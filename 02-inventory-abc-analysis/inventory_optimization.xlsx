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tHub\retail-excel-analytics\02-inventory-abc-analysis\"/>
    </mc:Choice>
  </mc:AlternateContent>
  <xr:revisionPtr revIDLastSave="0" documentId="13_ncr:1_{7BE26BA2-FC71-4C47-B5EB-8205D529C7E9}" xr6:coauthVersionLast="47" xr6:coauthVersionMax="47" xr10:uidLastSave="{00000000-0000-0000-0000-000000000000}"/>
  <bookViews>
    <workbookView xWindow="0" yWindow="0" windowWidth="13380" windowHeight="15465" tabRatio="500" firstSheet="6" activeTab="6" xr2:uid="{00000000-000D-0000-FFFF-FFFF00000000}"/>
  </bookViews>
  <sheets>
    <sheet name="README" sheetId="1" r:id="rId1"/>
    <sheet name="Dashboard" sheetId="2" r:id="rId2"/>
    <sheet name="SKU Data" sheetId="3" r:id="rId3"/>
    <sheet name="Assumptions" sheetId="6" r:id="rId4"/>
    <sheet name="ABC Analysis" sheetId="4" r:id="rId5"/>
    <sheet name="XYZ Analysis" sheetId="7" r:id="rId6"/>
    <sheet name="ABC-XYZ Matrix" sheetId="8" r:id="rId7"/>
    <sheet name="Reorder Point Model" sheetId="5" r:id="rId8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2" i="8" l="1"/>
  <c r="B29" i="8"/>
  <c r="B27" i="8"/>
  <c r="C27" i="8"/>
  <c r="D27" i="8"/>
  <c r="B28" i="8"/>
  <c r="C28" i="8"/>
  <c r="D28" i="8"/>
  <c r="C26" i="8"/>
  <c r="D26" i="8"/>
  <c r="B26" i="8"/>
  <c r="A3" i="8"/>
  <c r="D3" i="8" s="1"/>
  <c r="B3" i="8"/>
  <c r="C3" i="8"/>
  <c r="A4" i="8"/>
  <c r="D4" i="8" s="1"/>
  <c r="B4" i="8"/>
  <c r="A5" i="8"/>
  <c r="C5" i="8" s="1"/>
  <c r="B5" i="8"/>
  <c r="A6" i="8"/>
  <c r="C6" i="8" s="1"/>
  <c r="E6" i="8" s="1"/>
  <c r="B6" i="8"/>
  <c r="D6" i="8"/>
  <c r="A7" i="8"/>
  <c r="B7" i="8"/>
  <c r="C7" i="8"/>
  <c r="E7" i="8" s="1"/>
  <c r="D7" i="8"/>
  <c r="A8" i="8"/>
  <c r="D8" i="8" s="1"/>
  <c r="B8" i="8"/>
  <c r="C8" i="8"/>
  <c r="E8" i="8" s="1"/>
  <c r="A9" i="8"/>
  <c r="C9" i="8" s="1"/>
  <c r="B9" i="8"/>
  <c r="A10" i="8"/>
  <c r="C10" i="8" s="1"/>
  <c r="B10" i="8"/>
  <c r="A11" i="8"/>
  <c r="B11" i="8"/>
  <c r="C11" i="8"/>
  <c r="E11" i="8" s="1"/>
  <c r="D11" i="8"/>
  <c r="A12" i="8"/>
  <c r="D12" i="8" s="1"/>
  <c r="B12" i="8"/>
  <c r="C12" i="8"/>
  <c r="A13" i="8"/>
  <c r="C13" i="8" s="1"/>
  <c r="B13" i="8"/>
  <c r="A14" i="8"/>
  <c r="C14" i="8" s="1"/>
  <c r="B14" i="8"/>
  <c r="A15" i="8"/>
  <c r="B15" i="8"/>
  <c r="C15" i="8"/>
  <c r="E15" i="8" s="1"/>
  <c r="D15" i="8"/>
  <c r="A16" i="8"/>
  <c r="D16" i="8" s="1"/>
  <c r="B16" i="8"/>
  <c r="C16" i="8"/>
  <c r="A17" i="8"/>
  <c r="C17" i="8" s="1"/>
  <c r="B17" i="8"/>
  <c r="A18" i="8"/>
  <c r="C18" i="8" s="1"/>
  <c r="E18" i="8" s="1"/>
  <c r="B18" i="8"/>
  <c r="D18" i="8"/>
  <c r="A19" i="8"/>
  <c r="B19" i="8"/>
  <c r="C19" i="8"/>
  <c r="E19" i="8" s="1"/>
  <c r="D19" i="8"/>
  <c r="A20" i="8"/>
  <c r="D20" i="8" s="1"/>
  <c r="B20" i="8"/>
  <c r="C20" i="8"/>
  <c r="A21" i="8"/>
  <c r="C21" i="8" s="1"/>
  <c r="B21" i="8"/>
  <c r="E2" i="8"/>
  <c r="D2" i="8"/>
  <c r="C2" i="8"/>
  <c r="B2" i="8"/>
  <c r="A2" i="8"/>
  <c r="B32" i="7"/>
  <c r="B27" i="7"/>
  <c r="B28" i="7"/>
  <c r="B26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" i="7"/>
  <c r="A3" i="7"/>
  <c r="B3" i="7"/>
  <c r="C3" i="7"/>
  <c r="D3" i="7"/>
  <c r="E3" i="7"/>
  <c r="F3" i="7"/>
  <c r="A4" i="7"/>
  <c r="B4" i="7"/>
  <c r="C4" i="7"/>
  <c r="D4" i="7"/>
  <c r="E4" i="7"/>
  <c r="F4" i="7"/>
  <c r="A5" i="7"/>
  <c r="B5" i="7"/>
  <c r="C5" i="7"/>
  <c r="D5" i="7"/>
  <c r="E5" i="7"/>
  <c r="F5" i="7"/>
  <c r="A6" i="7"/>
  <c r="B6" i="7"/>
  <c r="C6" i="7"/>
  <c r="D6" i="7"/>
  <c r="E6" i="7"/>
  <c r="F6" i="7" s="1"/>
  <c r="A7" i="7"/>
  <c r="B7" i="7"/>
  <c r="C7" i="7"/>
  <c r="D7" i="7"/>
  <c r="E7" i="7"/>
  <c r="F7" i="7"/>
  <c r="A8" i="7"/>
  <c r="B8" i="7"/>
  <c r="C8" i="7"/>
  <c r="D8" i="7"/>
  <c r="F8" i="7" s="1"/>
  <c r="E8" i="7"/>
  <c r="A9" i="7"/>
  <c r="B9" i="7"/>
  <c r="C9" i="7"/>
  <c r="D9" i="7"/>
  <c r="F9" i="7" s="1"/>
  <c r="E9" i="7"/>
  <c r="A10" i="7"/>
  <c r="B10" i="7"/>
  <c r="C10" i="7"/>
  <c r="D10" i="7"/>
  <c r="E10" i="7"/>
  <c r="F10" i="7" s="1"/>
  <c r="A11" i="7"/>
  <c r="B11" i="7"/>
  <c r="C11" i="7"/>
  <c r="D11" i="7"/>
  <c r="E11" i="7"/>
  <c r="F11" i="7"/>
  <c r="A12" i="7"/>
  <c r="B12" i="7"/>
  <c r="C12" i="7"/>
  <c r="D12" i="7"/>
  <c r="F12" i="7" s="1"/>
  <c r="E12" i="7"/>
  <c r="A13" i="7"/>
  <c r="B13" i="7"/>
  <c r="C13" i="7"/>
  <c r="D13" i="7"/>
  <c r="F13" i="7" s="1"/>
  <c r="E13" i="7"/>
  <c r="A14" i="7"/>
  <c r="B14" i="7"/>
  <c r="C14" i="7"/>
  <c r="D14" i="7"/>
  <c r="E14" i="7"/>
  <c r="F14" i="7" s="1"/>
  <c r="A15" i="7"/>
  <c r="B15" i="7"/>
  <c r="C15" i="7"/>
  <c r="D15" i="7"/>
  <c r="F15" i="7" s="1"/>
  <c r="E15" i="7"/>
  <c r="A16" i="7"/>
  <c r="B16" i="7"/>
  <c r="C16" i="7"/>
  <c r="D16" i="7"/>
  <c r="E16" i="7"/>
  <c r="F16" i="7"/>
  <c r="A17" i="7"/>
  <c r="B17" i="7"/>
  <c r="C17" i="7"/>
  <c r="D17" i="7"/>
  <c r="F17" i="7" s="1"/>
  <c r="E17" i="7"/>
  <c r="A18" i="7"/>
  <c r="B18" i="7"/>
  <c r="C18" i="7"/>
  <c r="D18" i="7"/>
  <c r="E18" i="7"/>
  <c r="F18" i="7" s="1"/>
  <c r="A19" i="7"/>
  <c r="B19" i="7"/>
  <c r="C19" i="7"/>
  <c r="D19" i="7"/>
  <c r="F19" i="7" s="1"/>
  <c r="E19" i="7"/>
  <c r="A20" i="7"/>
  <c r="B20" i="7"/>
  <c r="C20" i="7"/>
  <c r="D20" i="7"/>
  <c r="E20" i="7"/>
  <c r="F20" i="7"/>
  <c r="A21" i="7"/>
  <c r="B21" i="7"/>
  <c r="C21" i="7"/>
  <c r="D21" i="7"/>
  <c r="F21" i="7" s="1"/>
  <c r="E21" i="7"/>
  <c r="F2" i="7"/>
  <c r="E2" i="7"/>
  <c r="D2" i="7"/>
  <c r="C2" i="7"/>
  <c r="B2" i="7"/>
  <c r="A2" i="7"/>
  <c r="B32" i="4"/>
  <c r="B31" i="4"/>
  <c r="D27" i="4"/>
  <c r="D28" i="4"/>
  <c r="D26" i="4"/>
  <c r="C27" i="4"/>
  <c r="C28" i="4"/>
  <c r="C26" i="4"/>
  <c r="B28" i="4"/>
  <c r="B27" i="4"/>
  <c r="B26" i="4"/>
  <c r="H21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" i="4"/>
  <c r="G2" i="4"/>
  <c r="J21" i="5"/>
  <c r="K21" i="5" s="1"/>
  <c r="F21" i="5"/>
  <c r="E21" i="5"/>
  <c r="D21" i="5"/>
  <c r="B21" i="5"/>
  <c r="A21" i="5"/>
  <c r="J20" i="5"/>
  <c r="K20" i="5" s="1"/>
  <c r="F20" i="5"/>
  <c r="E20" i="5"/>
  <c r="D20" i="5"/>
  <c r="B20" i="5"/>
  <c r="A20" i="5"/>
  <c r="J19" i="5"/>
  <c r="K19" i="5" s="1"/>
  <c r="F19" i="5"/>
  <c r="E19" i="5"/>
  <c r="D19" i="5"/>
  <c r="B19" i="5"/>
  <c r="A19" i="5"/>
  <c r="J18" i="5"/>
  <c r="K18" i="5" s="1"/>
  <c r="F18" i="5"/>
  <c r="E18" i="5"/>
  <c r="D18" i="5"/>
  <c r="B18" i="5"/>
  <c r="A18" i="5"/>
  <c r="J17" i="5"/>
  <c r="K17" i="5" s="1"/>
  <c r="F17" i="5"/>
  <c r="E17" i="5"/>
  <c r="D17" i="5"/>
  <c r="B17" i="5"/>
  <c r="A17" i="5"/>
  <c r="K16" i="5"/>
  <c r="J16" i="5"/>
  <c r="F16" i="5"/>
  <c r="E16" i="5"/>
  <c r="D16" i="5"/>
  <c r="B16" i="5"/>
  <c r="A16" i="5"/>
  <c r="J15" i="5"/>
  <c r="K15" i="5" s="1"/>
  <c r="F15" i="5"/>
  <c r="E15" i="5"/>
  <c r="D15" i="5"/>
  <c r="B15" i="5"/>
  <c r="A15" i="5"/>
  <c r="J14" i="5"/>
  <c r="K14" i="5" s="1"/>
  <c r="F14" i="5"/>
  <c r="E14" i="5"/>
  <c r="D14" i="5"/>
  <c r="B14" i="5"/>
  <c r="A14" i="5"/>
  <c r="K13" i="5"/>
  <c r="J13" i="5"/>
  <c r="F13" i="5"/>
  <c r="E13" i="5"/>
  <c r="D13" i="5"/>
  <c r="B13" i="5"/>
  <c r="A13" i="5"/>
  <c r="C13" i="5" s="1"/>
  <c r="G13" i="5" s="1"/>
  <c r="H13" i="5" s="1"/>
  <c r="I13" i="5" s="1"/>
  <c r="K12" i="5"/>
  <c r="J12" i="5"/>
  <c r="F12" i="5"/>
  <c r="E12" i="5"/>
  <c r="D12" i="5"/>
  <c r="B12" i="5"/>
  <c r="A12" i="5"/>
  <c r="J11" i="5"/>
  <c r="K11" i="5" s="1"/>
  <c r="F11" i="5"/>
  <c r="E11" i="5"/>
  <c r="D11" i="5"/>
  <c r="B11" i="5"/>
  <c r="A11" i="5"/>
  <c r="J10" i="5"/>
  <c r="K10" i="5" s="1"/>
  <c r="F10" i="5"/>
  <c r="E10" i="5"/>
  <c r="D10" i="5"/>
  <c r="B10" i="5"/>
  <c r="A10" i="5"/>
  <c r="J9" i="5"/>
  <c r="K9" i="5" s="1"/>
  <c r="F9" i="5"/>
  <c r="E9" i="5"/>
  <c r="D9" i="5"/>
  <c r="B9" i="5"/>
  <c r="A9" i="5"/>
  <c r="K8" i="5"/>
  <c r="J8" i="5"/>
  <c r="F8" i="5"/>
  <c r="E8" i="5"/>
  <c r="D8" i="5"/>
  <c r="B8" i="5"/>
  <c r="A8" i="5"/>
  <c r="J7" i="5"/>
  <c r="K7" i="5" s="1"/>
  <c r="F7" i="5"/>
  <c r="E7" i="5"/>
  <c r="D7" i="5"/>
  <c r="B7" i="5"/>
  <c r="A7" i="5"/>
  <c r="J6" i="5"/>
  <c r="K6" i="5" s="1"/>
  <c r="F6" i="5"/>
  <c r="E6" i="5"/>
  <c r="D6" i="5"/>
  <c r="B6" i="5"/>
  <c r="A6" i="5"/>
  <c r="K5" i="5"/>
  <c r="J5" i="5"/>
  <c r="F5" i="5"/>
  <c r="E5" i="5"/>
  <c r="D5" i="5"/>
  <c r="B5" i="5"/>
  <c r="A5" i="5"/>
  <c r="C5" i="5" s="1"/>
  <c r="G5" i="5" s="1"/>
  <c r="H5" i="5" s="1"/>
  <c r="I5" i="5" s="1"/>
  <c r="K4" i="5"/>
  <c r="J4" i="5"/>
  <c r="F4" i="5"/>
  <c r="E4" i="5"/>
  <c r="D4" i="5"/>
  <c r="B4" i="5"/>
  <c r="A4" i="5"/>
  <c r="J3" i="5"/>
  <c r="K3" i="5" s="1"/>
  <c r="F3" i="5"/>
  <c r="E3" i="5"/>
  <c r="D3" i="5"/>
  <c r="B3" i="5"/>
  <c r="A3" i="5"/>
  <c r="J2" i="5"/>
  <c r="K2" i="5" s="1"/>
  <c r="F2" i="5"/>
  <c r="E2" i="5"/>
  <c r="D2" i="5"/>
  <c r="B2" i="5"/>
  <c r="A2" i="5"/>
  <c r="F21" i="4"/>
  <c r="G21" i="4" s="1"/>
  <c r="E21" i="4"/>
  <c r="D21" i="4"/>
  <c r="C21" i="4"/>
  <c r="B21" i="4"/>
  <c r="A21" i="4"/>
  <c r="F20" i="4"/>
  <c r="G20" i="4" s="1"/>
  <c r="E20" i="4"/>
  <c r="D20" i="4"/>
  <c r="C20" i="4"/>
  <c r="B20" i="4"/>
  <c r="A20" i="4"/>
  <c r="F19" i="4"/>
  <c r="G19" i="4" s="1"/>
  <c r="E19" i="4"/>
  <c r="D19" i="4"/>
  <c r="C19" i="4"/>
  <c r="B19" i="4"/>
  <c r="A19" i="4"/>
  <c r="F18" i="4"/>
  <c r="G18" i="4" s="1"/>
  <c r="E18" i="4"/>
  <c r="D18" i="4"/>
  <c r="C18" i="4"/>
  <c r="B18" i="4"/>
  <c r="A18" i="4"/>
  <c r="F17" i="4"/>
  <c r="G17" i="4" s="1"/>
  <c r="E17" i="4"/>
  <c r="D17" i="4"/>
  <c r="C17" i="4"/>
  <c r="B17" i="4"/>
  <c r="A17" i="4"/>
  <c r="F16" i="4"/>
  <c r="G16" i="4" s="1"/>
  <c r="E16" i="4"/>
  <c r="D16" i="4"/>
  <c r="C16" i="4"/>
  <c r="B16" i="4"/>
  <c r="A16" i="4"/>
  <c r="F15" i="4"/>
  <c r="G15" i="4" s="1"/>
  <c r="E15" i="4"/>
  <c r="D15" i="4"/>
  <c r="C15" i="4"/>
  <c r="B15" i="4"/>
  <c r="A15" i="4"/>
  <c r="F14" i="4"/>
  <c r="G14" i="4" s="1"/>
  <c r="E14" i="4"/>
  <c r="D14" i="4"/>
  <c r="C14" i="4"/>
  <c r="B14" i="4"/>
  <c r="A14" i="4"/>
  <c r="F13" i="4"/>
  <c r="G13" i="4" s="1"/>
  <c r="E13" i="4"/>
  <c r="D13" i="4"/>
  <c r="C13" i="4"/>
  <c r="B13" i="4"/>
  <c r="A13" i="4"/>
  <c r="F12" i="4"/>
  <c r="G12" i="4" s="1"/>
  <c r="E12" i="4"/>
  <c r="D12" i="4"/>
  <c r="C12" i="4"/>
  <c r="B12" i="4"/>
  <c r="A12" i="4"/>
  <c r="F11" i="4"/>
  <c r="G11" i="4" s="1"/>
  <c r="E11" i="4"/>
  <c r="D11" i="4"/>
  <c r="C11" i="4"/>
  <c r="B11" i="4"/>
  <c r="A11" i="4"/>
  <c r="F10" i="4"/>
  <c r="G10" i="4" s="1"/>
  <c r="E10" i="4"/>
  <c r="D10" i="4"/>
  <c r="C10" i="4"/>
  <c r="B10" i="4"/>
  <c r="A10" i="4"/>
  <c r="F9" i="4"/>
  <c r="G9" i="4" s="1"/>
  <c r="E9" i="4"/>
  <c r="D9" i="4"/>
  <c r="C9" i="4"/>
  <c r="B9" i="4"/>
  <c r="A9" i="4"/>
  <c r="F8" i="4"/>
  <c r="G8" i="4" s="1"/>
  <c r="E8" i="4"/>
  <c r="D8" i="4"/>
  <c r="C8" i="4"/>
  <c r="B8" i="4"/>
  <c r="A8" i="4"/>
  <c r="F7" i="4"/>
  <c r="G7" i="4" s="1"/>
  <c r="E7" i="4"/>
  <c r="D7" i="4"/>
  <c r="C7" i="4"/>
  <c r="B7" i="4"/>
  <c r="A7" i="4"/>
  <c r="F6" i="4"/>
  <c r="G6" i="4" s="1"/>
  <c r="E6" i="4"/>
  <c r="D6" i="4"/>
  <c r="C6" i="4"/>
  <c r="B6" i="4"/>
  <c r="A6" i="4"/>
  <c r="F5" i="4"/>
  <c r="G5" i="4" s="1"/>
  <c r="E5" i="4"/>
  <c r="D5" i="4"/>
  <c r="C5" i="4"/>
  <c r="B5" i="4"/>
  <c r="A5" i="4"/>
  <c r="F4" i="4"/>
  <c r="G4" i="4" s="1"/>
  <c r="E4" i="4"/>
  <c r="D4" i="4"/>
  <c r="C4" i="4"/>
  <c r="B4" i="4"/>
  <c r="A4" i="4"/>
  <c r="F3" i="4"/>
  <c r="G3" i="4" s="1"/>
  <c r="E3" i="4"/>
  <c r="D3" i="4"/>
  <c r="C3" i="4"/>
  <c r="B3" i="4"/>
  <c r="A3" i="4"/>
  <c r="F2" i="4"/>
  <c r="E2" i="4"/>
  <c r="B10" i="2" s="1"/>
  <c r="D2" i="4"/>
  <c r="C2" i="4"/>
  <c r="B2" i="4"/>
  <c r="A2" i="4"/>
  <c r="B6" i="2"/>
  <c r="E16" i="8" l="1"/>
  <c r="E14" i="8"/>
  <c r="E13" i="8"/>
  <c r="E12" i="8"/>
  <c r="E20" i="8"/>
  <c r="E3" i="8"/>
  <c r="C4" i="8"/>
  <c r="E4" i="8" s="1"/>
  <c r="D10" i="8"/>
  <c r="E10" i="8" s="1"/>
  <c r="D21" i="8"/>
  <c r="E21" i="8" s="1"/>
  <c r="D13" i="8"/>
  <c r="D5" i="8"/>
  <c r="E5" i="8" s="1"/>
  <c r="D14" i="8"/>
  <c r="D17" i="8"/>
  <c r="E17" i="8" s="1"/>
  <c r="D9" i="8"/>
  <c r="E9" i="8" s="1"/>
  <c r="B29" i="7"/>
  <c r="C9" i="5"/>
  <c r="G9" i="5" s="1"/>
  <c r="H9" i="5" s="1"/>
  <c r="I9" i="5" s="1"/>
  <c r="C17" i="5"/>
  <c r="G17" i="5" s="1"/>
  <c r="H17" i="5" s="1"/>
  <c r="I17" i="5" s="1"/>
  <c r="C21" i="5"/>
  <c r="G21" i="5" s="1"/>
  <c r="H21" i="5" s="1"/>
  <c r="I21" i="5" s="1"/>
  <c r="C18" i="5"/>
  <c r="G18" i="5" s="1"/>
  <c r="H18" i="5" s="1"/>
  <c r="I18" i="5" s="1"/>
  <c r="F6" i="2"/>
  <c r="C7" i="5"/>
  <c r="G7" i="5" s="1"/>
  <c r="H7" i="5" s="1"/>
  <c r="I7" i="5" s="1"/>
  <c r="C2" i="5"/>
  <c r="G2" i="5" s="1"/>
  <c r="H2" i="5" s="1"/>
  <c r="I2" i="5" s="1"/>
  <c r="C6" i="5"/>
  <c r="G6" i="5" s="1"/>
  <c r="H6" i="5" s="1"/>
  <c r="I6" i="5" s="1"/>
  <c r="C10" i="5"/>
  <c r="G10" i="5" s="1"/>
  <c r="H10" i="5" s="1"/>
  <c r="I10" i="5" s="1"/>
  <c r="C14" i="5"/>
  <c r="G14" i="5" s="1"/>
  <c r="H14" i="5" s="1"/>
  <c r="I14" i="5" s="1"/>
  <c r="C8" i="5"/>
  <c r="G8" i="5" s="1"/>
  <c r="H8" i="5" s="1"/>
  <c r="I8" i="5" s="1"/>
  <c r="C16" i="5"/>
  <c r="G16" i="5" s="1"/>
  <c r="H16" i="5" s="1"/>
  <c r="I16" i="5" s="1"/>
  <c r="C3" i="5"/>
  <c r="G3" i="5" s="1"/>
  <c r="H3" i="5" s="1"/>
  <c r="I3" i="5" s="1"/>
  <c r="C11" i="5"/>
  <c r="G11" i="5" s="1"/>
  <c r="H11" i="5" s="1"/>
  <c r="I11" i="5" s="1"/>
  <c r="C19" i="5"/>
  <c r="G19" i="5" s="1"/>
  <c r="H19" i="5" s="1"/>
  <c r="I19" i="5" s="1"/>
  <c r="C4" i="5"/>
  <c r="G4" i="5" s="1"/>
  <c r="H4" i="5" s="1"/>
  <c r="I4" i="5" s="1"/>
  <c r="C12" i="5"/>
  <c r="G12" i="5" s="1"/>
  <c r="H12" i="5" s="1"/>
  <c r="I12" i="5" s="1"/>
  <c r="C20" i="5"/>
  <c r="G20" i="5" s="1"/>
  <c r="H20" i="5" s="1"/>
  <c r="I20" i="5" s="1"/>
  <c r="C15" i="5"/>
  <c r="G15" i="5" s="1"/>
  <c r="H15" i="5" s="1"/>
  <c r="I15" i="5" s="1"/>
  <c r="F10" i="2" l="1"/>
  <c r="H6" i="2"/>
  <c r="D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200-000001000000}">
      <text>
        <r>
          <rPr>
            <sz val="10"/>
            <rFont val="Arial"/>
            <family val="2"/>
          </rPr>
          <t>Blue cells throughout this workbook are editable inputs/assumptions. Everything else is a formula that recalculates automatically.</t>
        </r>
      </text>
    </comment>
  </commentList>
</comments>
</file>

<file path=xl/sharedStrings.xml><?xml version="1.0" encoding="utf-8"?>
<sst xmlns="http://schemas.openxmlformats.org/spreadsheetml/2006/main" count="191" uniqueCount="140">
  <si>
    <t>Inventory ABC Analysis &amp; Reorder Point Model</t>
  </si>
  <si>
    <t>Business Problem</t>
  </si>
  <si>
    <t>The warehouse is overstocked on low-value SKUs and stocking out on high-value ones, because every SKU is managed with the same review cadence and safety stock rule. Not all 20 SKUs deserve equal attention — a small number drive most of the inventory value and need tighter control, while the rest can run leaner.</t>
  </si>
  <si>
    <t>Excel Skills Demonstrated</t>
  </si>
  <si>
    <t>• SUMPRODUCT for a sort-free running-total (cumulative value) calculation</t>
  </si>
  <si>
    <t>• RANK to order SKUs by annual usage value without physically re-sorting the table</t>
  </si>
  <si>
    <t>• Nested IF classification into A / B / C tiers based on cumulative revenue share</t>
  </si>
  <si>
    <t>• Differentiated safety-stock formulas by tier (tighter service level for A-items)</t>
  </si>
  <si>
    <t>• Reorder point and EOQ (Economic Order Quantity) formulas</t>
  </si>
  <si>
    <t>• Conditional formatting to flag class and reorder urgency at a glance</t>
  </si>
  <si>
    <t>• Pareto-style chart (bar + cumulative % line) on the dashboard</t>
  </si>
  <si>
    <t>The ABC Method</t>
  </si>
  <si>
    <t>Annual Usage Value = Unit Cost x Annual Units Sold, for each SKU.</t>
  </si>
  <si>
    <t>SKUs are ranked by usage value (highest first) and their cumulative share of total value is calculated using SUMPRODUCT — no manual sorting required, so the table stays reorderable and still classifies correctly.</t>
  </si>
  <si>
    <t>Class A = SKUs making up the top 80% of cumulative value (tightest control, highest service level). Class B = next 15% (moderate control). Class C = remaining 5% (loosest control, review less often).</t>
  </si>
  <si>
    <t>These 80/15/5 thresholds are a common inventory-management convention, not a law — adjust them in the ABC Analysis sheet to match your business.</t>
  </si>
  <si>
    <t>Reorder Point Logic</t>
  </si>
  <si>
    <t>Safety Stock = Z x Demand Std Dev x SQRT(Lead Time). Z is the service-level factor: 2.33 (~99%) for A-items, 1.65 (~95%) for B-items, 1.28 (~90%) for C-items.</t>
  </si>
  <si>
    <t>Reorder Point = (Avg Daily Demand x Lead Time) + Safety Stock — the inventory level that should trigger a new purchase order.</t>
  </si>
  <si>
    <t>EOQ (Economic Order Quantity) = SQRT(2 x Annual Demand x Order Cost / Holding Cost) — the order quantity that minimizes total ordering + holding cost.</t>
  </si>
  <si>
    <t>Sheet Guide</t>
  </si>
  <si>
    <t>Dashboard — Pareto chart + ABC/reorder summary — start here.</t>
  </si>
  <si>
    <t>SKU Data — 20-SKU input table (blue = editable assumptions).</t>
  </si>
  <si>
    <t>ABC Analysis — Usage value, rank, cumulative %, and A/B/C class per SKU.</t>
  </si>
  <si>
    <t>Reorder Point Model — Safety stock, reorder point, and EOQ per SKU.</t>
  </si>
  <si>
    <t>Source: synthetic SKU data generated for this project (see gen_sku_data.py). Unit costs/prices are shared with the 01-sales-dashboard project for portfolio continuity; demand, lead time, and cost assumptions are illustrative, not real.</t>
  </si>
  <si>
    <t>Inventory ABC Analysis &amp; Reorder Point Dashboard</t>
  </si>
  <si>
    <t>20 SKUs  |  5 Categories  |  Annual Usage Value Basis</t>
  </si>
  <si>
    <t>Total Annual Usage Value</t>
  </si>
  <si>
    <t>Class A SKUs</t>
  </si>
  <si>
    <t>Class A Share of Value</t>
  </si>
  <si>
    <t>Avg Reorder Point (units)</t>
  </si>
  <si>
    <t>Top Value SKU</t>
  </si>
  <si>
    <t>Highest Reorder Point SKU (watch closely)</t>
  </si>
  <si>
    <t>SKU</t>
  </si>
  <si>
    <t>Product</t>
  </si>
  <si>
    <t>Category</t>
  </si>
  <si>
    <t>Unit Cost</t>
  </si>
  <si>
    <t>Unit Price</t>
  </si>
  <si>
    <t>Annual Units Sold</t>
  </si>
  <si>
    <t>Avg Daily Demand</t>
  </si>
  <si>
    <t>Demand Std Dev</t>
  </si>
  <si>
    <t>Lead Time (days)</t>
  </si>
  <si>
    <t>Order Cost</t>
  </si>
  <si>
    <t>Holding Cost %</t>
  </si>
  <si>
    <t>ELE-403</t>
  </si>
  <si>
    <t>Fitness Tracker Band</t>
  </si>
  <si>
    <t>Electronics</t>
  </si>
  <si>
    <t>FTW-201</t>
  </si>
  <si>
    <t>Running Sneakers</t>
  </si>
  <si>
    <t>Footwear</t>
  </si>
  <si>
    <t>ACC-302</t>
  </si>
  <si>
    <t>Aviator Sunglasses</t>
  </si>
  <si>
    <t>Accessories</t>
  </si>
  <si>
    <t>FTW-202</t>
  </si>
  <si>
    <t>Canvas Low-Top</t>
  </si>
  <si>
    <t>ELE-401</t>
  </si>
  <si>
    <t>Wireless Earbuds</t>
  </si>
  <si>
    <t>FTW-203</t>
  </si>
  <si>
    <t>Leather Ankle Boot</t>
  </si>
  <si>
    <t>HOM-503</t>
  </si>
  <si>
    <t>Cotton Throw Blanket</t>
  </si>
  <si>
    <t>Home Goods</t>
  </si>
  <si>
    <t>ELE-402</t>
  </si>
  <si>
    <t>Bluetooth Speaker</t>
  </si>
  <si>
    <t>APP-101</t>
  </si>
  <si>
    <t>Classic Denim Jacket</t>
  </si>
  <si>
    <t>Apparel</t>
  </si>
  <si>
    <t>APP-103</t>
  </si>
  <si>
    <t>Fleece Pullover Hoodie</t>
  </si>
  <si>
    <t>FTW-204</t>
  </si>
  <si>
    <t>Slide Sandals</t>
  </si>
  <si>
    <t>HOM-504</t>
  </si>
  <si>
    <t>Bamboo Cutting Board</t>
  </si>
  <si>
    <t>HOM-501</t>
  </si>
  <si>
    <t>Ceramic Coffee Mug Set</t>
  </si>
  <si>
    <t>APP-104</t>
  </si>
  <si>
    <t>Slim Fit Chinos</t>
  </si>
  <si>
    <t>ACC-304</t>
  </si>
  <si>
    <t>Wool Beanie</t>
  </si>
  <si>
    <t>ACC-301</t>
  </si>
  <si>
    <t>Leather Belt</t>
  </si>
  <si>
    <t>ACC-303</t>
  </si>
  <si>
    <t>Canvas Tote Bag</t>
  </si>
  <si>
    <t>ELE-404</t>
  </si>
  <si>
    <t>Phone Charging Cable</t>
  </si>
  <si>
    <t>HOM-502</t>
  </si>
  <si>
    <t>Scented Candle</t>
  </si>
  <si>
    <t>APP-102</t>
  </si>
  <si>
    <t>Cotton Crew T-Shirt</t>
  </si>
  <si>
    <t>Annual Usage Value</t>
  </si>
  <si>
    <t>Rank</t>
  </si>
  <si>
    <t>Cumulative Value</t>
  </si>
  <si>
    <t>Cumulative %</t>
  </si>
  <si>
    <t>Class</t>
  </si>
  <si>
    <t>A</t>
  </si>
  <si>
    <t>B</t>
  </si>
  <si>
    <t>C</t>
  </si>
  <si>
    <t>Service Level Z</t>
  </si>
  <si>
    <t>Safety Stock</t>
  </si>
  <si>
    <t>Reorder Point</t>
  </si>
  <si>
    <t>EOQ</t>
  </si>
  <si>
    <t>Annual Orders (EOQ)</t>
  </si>
  <si>
    <t>Service Level by Class (Z-score)</t>
  </si>
  <si>
    <t>~99% service level</t>
  </si>
  <si>
    <t>~95% service level</t>
  </si>
  <si>
    <t>~90% service level</t>
  </si>
  <si>
    <t>Inventory Optimization Assumptions</t>
  </si>
  <si>
    <t>ABC Classification</t>
  </si>
  <si>
    <t>Class A Threshold</t>
  </si>
  <si>
    <t>Class B Threshold</t>
  </si>
  <si>
    <t>Class C Threshold</t>
  </si>
  <si>
    <t>Service Levels</t>
  </si>
  <si>
    <t>Class A</t>
  </si>
  <si>
    <t>Class B</t>
  </si>
  <si>
    <t>Class C</t>
  </si>
  <si>
    <t>Z Scores</t>
  </si>
  <si>
    <t>ABC Summary</t>
  </si>
  <si>
    <t>SKU Count</t>
  </si>
  <si>
    <t>Value Share</t>
  </si>
  <si>
    <t>ABC Validation</t>
  </si>
  <si>
    <t>SKU Count Check</t>
  </si>
  <si>
    <t>Value Share Check</t>
  </si>
  <si>
    <t>Coefficient of Variation</t>
  </si>
  <si>
    <t>XYZ Class</t>
  </si>
  <si>
    <t>XYZ Classification</t>
  </si>
  <si>
    <t xml:space="preserve">X up to </t>
  </si>
  <si>
    <t xml:space="preserve">Y up to </t>
  </si>
  <si>
    <t>z = remainder</t>
  </si>
  <si>
    <t>XYZ Summary</t>
  </si>
  <si>
    <t>X</t>
  </si>
  <si>
    <t>Y</t>
  </si>
  <si>
    <t>Z</t>
  </si>
  <si>
    <t>Total</t>
  </si>
  <si>
    <t>XYZ Validation</t>
  </si>
  <si>
    <t>ABC Class</t>
  </si>
  <si>
    <t>ABC-XYZ Segment</t>
  </si>
  <si>
    <t>ABC-XYZ Matrix</t>
  </si>
  <si>
    <t>ABC / XYZ</t>
  </si>
  <si>
    <t>ABC-XYZ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</si>
</sst>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\$#,##0"/>
    <numFmt numFmtId="166" formatCode="0.0%"/>
    <numFmt numFmtId="167" formatCode="\$#,##0.00"/>
    <numFmt numFmtId="168" formatCode="0.0"/>
    <numFmt numFmtId="169" formatCode="&quot;$&quot;#,##0.00"/>
  </numFmts>
  <fonts count="22" x14ac:knownFonts="1">
    <font>
      <sz val="11"/>
      <color theme="1"/>
      <name val="Calibri"/>
      <family val="2"/>
      <charset val="1"/>
    </font>
    <font>
      <b/>
      <sz val="18"/>
      <color rgb="FF1F3864"/>
      <name val="Arial"/>
      <charset val="1"/>
    </font>
    <font>
      <b/>
      <sz val="12"/>
      <color rgb="FF1F3864"/>
      <name val="Arial"/>
      <charset val="1"/>
    </font>
    <font>
      <i/>
      <sz val="9"/>
      <color rgb="FF808080"/>
      <name val="Arial"/>
      <charset val="1"/>
    </font>
    <font>
      <b/>
      <sz val="20"/>
      <color rgb="FF1F3864"/>
      <name val="Arial"/>
      <charset val="1"/>
    </font>
    <font>
      <i/>
      <sz val="10"/>
      <color rgb="FF808080"/>
      <name val="Arial"/>
      <charset val="1"/>
    </font>
    <font>
      <b/>
      <sz val="10"/>
      <color rgb="FFFFFFFF"/>
      <name val="Arial"/>
      <charset val="1"/>
    </font>
    <font>
      <b/>
      <sz val="16"/>
      <color rgb="FF1F3864"/>
      <name val="Arial"/>
      <charset val="1"/>
    </font>
    <font>
      <b/>
      <sz val="10"/>
      <color rgb="FF1F3864"/>
      <name val="Arial"/>
      <charset val="1"/>
    </font>
    <font>
      <b/>
      <sz val="12"/>
      <color rgb="FF1F7A1F"/>
      <name val="Arial"/>
      <charset val="1"/>
    </font>
    <font>
      <b/>
      <sz val="12"/>
      <color rgb="FFC00000"/>
      <name val="Arial"/>
      <charset val="1"/>
    </font>
    <font>
      <sz val="11"/>
      <color rgb="FF0000FF"/>
      <name val="Arial"/>
      <charset val="1"/>
    </font>
    <font>
      <sz val="10"/>
      <name val="Arial"/>
      <family val="2"/>
    </font>
    <font>
      <b/>
      <sz val="20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charset val="1"/>
    </font>
    <font>
      <b/>
      <sz val="1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2">
    <xf numFmtId="0" fontId="0" fillId="0" borderId="0"/>
    <xf numFmtId="164" fontId="15" fillId="0" borderId="0" applyFont="0" applyFill="0" applyBorder="0" applyAlignment="0" applyProtection="0"/>
  </cellStyleXfs>
  <cellXfs count="45">
    <xf numFmtId="0" fontId="0" fillId="0" borderId="0" xfId="0"/>
    <xf numFmtId="0" fontId="8" fillId="0" borderId="0" xfId="0" applyFont="1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167" fontId="11" fillId="0" borderId="0" xfId="0" applyNumberFormat="1" applyFont="1"/>
    <xf numFmtId="0" fontId="11" fillId="0" borderId="0" xfId="0" applyFont="1"/>
    <xf numFmtId="2" fontId="11" fillId="0" borderId="0" xfId="0" applyNumberFormat="1" applyFont="1"/>
    <xf numFmtId="9" fontId="11" fillId="0" borderId="0" xfId="0" applyNumberFormat="1" applyFon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" fontId="0" fillId="0" borderId="0" xfId="0" applyNumberFormat="1"/>
    <xf numFmtId="168" fontId="0" fillId="0" borderId="0" xfId="0" applyNumberFormat="1"/>
    <xf numFmtId="0" fontId="3" fillId="0" borderId="0" xfId="0" applyFont="1"/>
    <xf numFmtId="9" fontId="0" fillId="0" borderId="0" xfId="0" applyNumberFormat="1"/>
    <xf numFmtId="0" fontId="13" fillId="0" borderId="0" xfId="0" applyFont="1"/>
    <xf numFmtId="0" fontId="14" fillId="0" borderId="0" xfId="0" applyFont="1"/>
    <xf numFmtId="0" fontId="12" fillId="0" borderId="1" xfId="0" applyFont="1" applyBorder="1"/>
    <xf numFmtId="10" fontId="0" fillId="0" borderId="0" xfId="0" applyNumberFormat="1"/>
    <xf numFmtId="0" fontId="17" fillId="0" borderId="1" xfId="0" applyFont="1" applyBorder="1"/>
    <xf numFmtId="0" fontId="17" fillId="0" borderId="1" xfId="0" applyFont="1" applyBorder="1" applyAlignment="1">
      <alignment wrapText="1"/>
    </xf>
    <xf numFmtId="169" fontId="0" fillId="0" borderId="0" xfId="1" applyNumberFormat="1" applyFont="1"/>
    <xf numFmtId="0" fontId="18" fillId="0" borderId="0" xfId="0" applyFont="1" applyAlignment="1">
      <alignment wrapText="1"/>
    </xf>
    <xf numFmtId="0" fontId="18" fillId="0" borderId="0" xfId="0" applyFont="1"/>
    <xf numFmtId="0" fontId="16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wrapText="1"/>
    </xf>
    <xf numFmtId="0" fontId="9" fillId="0" borderId="0" xfId="0" applyFont="1"/>
    <xf numFmtId="0" fontId="10" fillId="0" borderId="0" xfId="0" applyFont="1"/>
    <xf numFmtId="165" fontId="7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166" fontId="7" fillId="3" borderId="0" xfId="0" applyNumberFormat="1" applyFont="1" applyFill="1" applyAlignment="1">
      <alignment horizontal="center"/>
    </xf>
    <xf numFmtId="0" fontId="8" fillId="0" borderId="0" xfId="0" applyFont="1"/>
    <xf numFmtId="0" fontId="16" fillId="0" borderId="0" xfId="0" applyFont="1" applyAlignment="1">
      <alignment horizontal="center"/>
    </xf>
    <xf numFmtId="0" fontId="19" fillId="0" borderId="0" xfId="0" applyFont="1"/>
    <xf numFmtId="0" fontId="20" fillId="0" borderId="0" xfId="0" applyFont="1"/>
    <xf numFmtId="0" fontId="21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wrapText="1"/>
    </xf>
  </cellXfs>
  <cellStyles count="2">
    <cellStyle name="Comma" xfId="1" builtinId="3"/>
    <cellStyle name="Normal" xfId="0" builtinId="0"/>
  </cellStyles>
  <dxfs count="3"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C6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F7A1F"/>
      <rgbColor rgb="FF000080"/>
      <rgbColor rgb="FF808000"/>
      <rgbColor rgb="FF800080"/>
      <rgbColor rgb="FF008080"/>
      <rgbColor rgb="FFC6E0B4"/>
      <rgbColor rgb="FF808080"/>
      <rgbColor rgb="FF878787"/>
      <rgbColor rgb="FFBE4B48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BBB59"/>
      <rgbColor rgb="FFFFCC00"/>
      <rgbColor rgb="FFFF9900"/>
      <rgbColor rgb="FFFF6600"/>
      <rgbColor rgb="FF4F81BD"/>
      <rgbColor rgb="FF999999"/>
      <rgbColor rgb="FF1F3864"/>
      <rgbColor rgb="FF339966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Pareto: Annual Usage Value by SKU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'ABC Analysis'!$D$1</c:f>
              <c:strCache>
                <c:ptCount val="1"/>
                <c:pt idx="0">
                  <c:v>Annual Usage Value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'ABC Analysis'!$A$2:$A$21</c:f>
              <c:strCache>
                <c:ptCount val="20"/>
                <c:pt idx="0">
                  <c:v>ELE-403</c:v>
                </c:pt>
                <c:pt idx="1">
                  <c:v>FTW-201</c:v>
                </c:pt>
                <c:pt idx="2">
                  <c:v>ACC-302</c:v>
                </c:pt>
                <c:pt idx="3">
                  <c:v>FTW-202</c:v>
                </c:pt>
                <c:pt idx="4">
                  <c:v>ELE-401</c:v>
                </c:pt>
                <c:pt idx="5">
                  <c:v>FTW-203</c:v>
                </c:pt>
                <c:pt idx="6">
                  <c:v>HOM-503</c:v>
                </c:pt>
                <c:pt idx="7">
                  <c:v>ELE-402</c:v>
                </c:pt>
                <c:pt idx="8">
                  <c:v>APP-101</c:v>
                </c:pt>
                <c:pt idx="9">
                  <c:v>APP-103</c:v>
                </c:pt>
                <c:pt idx="10">
                  <c:v>FTW-204</c:v>
                </c:pt>
                <c:pt idx="11">
                  <c:v>HOM-504</c:v>
                </c:pt>
                <c:pt idx="12">
                  <c:v>HOM-501</c:v>
                </c:pt>
                <c:pt idx="13">
                  <c:v>APP-104</c:v>
                </c:pt>
                <c:pt idx="14">
                  <c:v>ACC-304</c:v>
                </c:pt>
                <c:pt idx="15">
                  <c:v>ACC-301</c:v>
                </c:pt>
                <c:pt idx="16">
                  <c:v>ACC-303</c:v>
                </c:pt>
                <c:pt idx="17">
                  <c:v>ELE-404</c:v>
                </c:pt>
                <c:pt idx="18">
                  <c:v>HOM-502</c:v>
                </c:pt>
                <c:pt idx="19">
                  <c:v>APP-102</c:v>
                </c:pt>
              </c:strCache>
            </c:strRef>
          </c:cat>
          <c:val>
            <c:numRef>
              <c:f>'ABC Analysis'!$D$2:$D$21</c:f>
              <c:numCache>
                <c:formatCode>\$#,##0</c:formatCode>
                <c:ptCount val="20"/>
                <c:pt idx="0">
                  <c:v>77490</c:v>
                </c:pt>
                <c:pt idx="1">
                  <c:v>31198</c:v>
                </c:pt>
                <c:pt idx="2">
                  <c:v>22995</c:v>
                </c:pt>
                <c:pt idx="3">
                  <c:v>20878</c:v>
                </c:pt>
                <c:pt idx="4">
                  <c:v>19550</c:v>
                </c:pt>
                <c:pt idx="5">
                  <c:v>16276</c:v>
                </c:pt>
                <c:pt idx="6">
                  <c:v>15360</c:v>
                </c:pt>
                <c:pt idx="7">
                  <c:v>13704</c:v>
                </c:pt>
                <c:pt idx="8">
                  <c:v>9185</c:v>
                </c:pt>
                <c:pt idx="9">
                  <c:v>7668</c:v>
                </c:pt>
                <c:pt idx="10">
                  <c:v>7668</c:v>
                </c:pt>
                <c:pt idx="11">
                  <c:v>7520</c:v>
                </c:pt>
                <c:pt idx="12">
                  <c:v>6600</c:v>
                </c:pt>
                <c:pt idx="13">
                  <c:v>5103</c:v>
                </c:pt>
                <c:pt idx="14">
                  <c:v>4405.5</c:v>
                </c:pt>
                <c:pt idx="15">
                  <c:v>3773</c:v>
                </c:pt>
                <c:pt idx="16">
                  <c:v>2278</c:v>
                </c:pt>
                <c:pt idx="17">
                  <c:v>1932</c:v>
                </c:pt>
                <c:pt idx="18">
                  <c:v>1860</c:v>
                </c:pt>
                <c:pt idx="19">
                  <c:v>1553.5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1E-4CAF-910B-36D9C8E46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440715"/>
        <c:axId val="51092154"/>
      </c:barChart>
      <c:lineChart>
        <c:grouping val="standard"/>
        <c:varyColors val="0"/>
        <c:ser>
          <c:idx val="1"/>
          <c:order val="1"/>
          <c:tx>
            <c:strRef>
              <c:f>'ABC Analysis'!$G$1</c:f>
              <c:strCache>
                <c:ptCount val="1"/>
                <c:pt idx="0">
                  <c:v>Cumulative %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'ABC Analysis'!$A$2:$A$21</c:f>
              <c:strCache>
                <c:ptCount val="20"/>
                <c:pt idx="0">
                  <c:v>ELE-403</c:v>
                </c:pt>
                <c:pt idx="1">
                  <c:v>FTW-201</c:v>
                </c:pt>
                <c:pt idx="2">
                  <c:v>ACC-302</c:v>
                </c:pt>
                <c:pt idx="3">
                  <c:v>FTW-202</c:v>
                </c:pt>
                <c:pt idx="4">
                  <c:v>ELE-401</c:v>
                </c:pt>
                <c:pt idx="5">
                  <c:v>FTW-203</c:v>
                </c:pt>
                <c:pt idx="6">
                  <c:v>HOM-503</c:v>
                </c:pt>
                <c:pt idx="7">
                  <c:v>ELE-402</c:v>
                </c:pt>
                <c:pt idx="8">
                  <c:v>APP-101</c:v>
                </c:pt>
                <c:pt idx="9">
                  <c:v>APP-103</c:v>
                </c:pt>
                <c:pt idx="10">
                  <c:v>FTW-204</c:v>
                </c:pt>
                <c:pt idx="11">
                  <c:v>HOM-504</c:v>
                </c:pt>
                <c:pt idx="12">
                  <c:v>HOM-501</c:v>
                </c:pt>
                <c:pt idx="13">
                  <c:v>APP-104</c:v>
                </c:pt>
                <c:pt idx="14">
                  <c:v>ACC-304</c:v>
                </c:pt>
                <c:pt idx="15">
                  <c:v>ACC-301</c:v>
                </c:pt>
                <c:pt idx="16">
                  <c:v>ACC-303</c:v>
                </c:pt>
                <c:pt idx="17">
                  <c:v>ELE-404</c:v>
                </c:pt>
                <c:pt idx="18">
                  <c:v>HOM-502</c:v>
                </c:pt>
                <c:pt idx="19">
                  <c:v>APP-102</c:v>
                </c:pt>
              </c:strCache>
            </c:strRef>
          </c:cat>
          <c:val>
            <c:numRef>
              <c:f>'ABC Analysis'!$G$2:$G$21</c:f>
              <c:numCache>
                <c:formatCode>0.0%</c:formatCode>
                <c:ptCount val="20"/>
                <c:pt idx="0">
                  <c:v>0.27975032220565565</c:v>
                </c:pt>
                <c:pt idx="1">
                  <c:v>0.39237970086318624</c:v>
                </c:pt>
                <c:pt idx="2">
                  <c:v>0.4753950403794987</c:v>
                </c:pt>
                <c:pt idx="3">
                  <c:v>0.55076769784510304</c:v>
                </c:pt>
                <c:pt idx="4">
                  <c:v>0.62134607956042842</c:v>
                </c:pt>
                <c:pt idx="5">
                  <c:v>0.68010483868056337</c:v>
                </c:pt>
                <c:pt idx="6">
                  <c:v>0.73555670278017449</c:v>
                </c:pt>
                <c:pt idx="7">
                  <c:v>0.78503016278154636</c:v>
                </c:pt>
                <c:pt idx="8">
                  <c:v>0.81818936667184117</c:v>
                </c:pt>
                <c:pt idx="9">
                  <c:v>0.87355458723379675</c:v>
                </c:pt>
                <c:pt idx="10">
                  <c:v>0.87355458723379675</c:v>
                </c:pt>
                <c:pt idx="11">
                  <c:v>0.90070289569923145</c:v>
                </c:pt>
                <c:pt idx="12">
                  <c:v>0.92452986855453312</c:v>
                </c:pt>
                <c:pt idx="13">
                  <c:v>0.94295245074856404</c:v>
                </c:pt>
                <c:pt idx="14">
                  <c:v>0.95885695512947788</c:v>
                </c:pt>
                <c:pt idx="15">
                  <c:v>0.97247804127842541</c:v>
                </c:pt>
                <c:pt idx="16">
                  <c:v>0.98070195706090679</c:v>
                </c:pt>
                <c:pt idx="17">
                  <c:v>0.987676761842186</c:v>
                </c:pt>
                <c:pt idx="18">
                  <c:v>0.99439163601049829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B1E-4CAF-910B-36D9C8E46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9979044"/>
        <c:axId val="7676414"/>
      </c:lineChart>
      <c:catAx>
        <c:axId val="614407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092154"/>
        <c:crosses val="autoZero"/>
        <c:auto val="1"/>
        <c:lblAlgn val="ctr"/>
        <c:lblOffset val="100"/>
        <c:noMultiLvlLbl val="0"/>
      </c:catAx>
      <c:valAx>
        <c:axId val="510921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Usage Value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440715"/>
        <c:crosses val="autoZero"/>
        <c:crossBetween val="between"/>
      </c:valAx>
      <c:catAx>
        <c:axId val="899790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76414"/>
        <c:crosses val="autoZero"/>
        <c:auto val="1"/>
        <c:lblAlgn val="ctr"/>
        <c:lblOffset val="100"/>
        <c:noMultiLvlLbl val="0"/>
      </c:catAx>
      <c:valAx>
        <c:axId val="7676414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Cumulative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979044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Usage Value by Class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'ABC Analysis'!$D$25</c:f>
              <c:strCache>
                <c:ptCount val="1"/>
                <c:pt idx="0">
                  <c:v>Value Share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A35A-403D-BC89-F2545E17F20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35A-403D-BC89-F2545E17F20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35A-403D-BC89-F2545E17F20A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5A-403D-BC89-F2545E17F20A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5A-403D-BC89-F2545E17F20A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5A-403D-BC89-F2545E17F2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'ABC Analysis'!$A$26:$A$28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'ABC Analysis'!$D$26:$D$28</c:f>
              <c:numCache>
                <c:formatCode>0.00%</c:formatCode>
                <c:ptCount val="3"/>
                <c:pt idx="0">
                  <c:v>0.78503016278154636</c:v>
                </c:pt>
                <c:pt idx="1">
                  <c:v>0.15792228796701768</c:v>
                </c:pt>
                <c:pt idx="2">
                  <c:v>5.7047549251435938E-2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5A-403D-BC89-F2545E17F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SKU Count by Class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'ABC Analysis'!$B$25</c:f>
              <c:strCache>
                <c:ptCount val="1"/>
                <c:pt idx="0">
                  <c:v>SKU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'ABC Analysis'!$A$26:$A$28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'ABC Analysis'!$B$26:$B$28</c:f>
              <c:numCache>
                <c:formatCode>General</c:formatCode>
                <c:ptCount val="3"/>
                <c:pt idx="0">
                  <c:v>8</c:v>
                </c:pt>
                <c:pt idx="1">
                  <c:v>6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F1-4439-BFAF-D419F70C8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497779"/>
        <c:axId val="43051308"/>
      </c:barChart>
      <c:catAx>
        <c:axId val="634977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051308"/>
        <c:crosses val="autoZero"/>
        <c:auto val="1"/>
        <c:lblAlgn val="ctr"/>
        <c:lblOffset val="100"/>
        <c:noMultiLvlLbl val="0"/>
      </c:catAx>
      <c:valAx>
        <c:axId val="430513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# SKUs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4977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70200</xdr:rowOff>
    </xdr:from>
    <xdr:to>
      <xdr:col>11</xdr:col>
      <xdr:colOff>415800</xdr:colOff>
      <xdr:row>29</xdr:row>
      <xdr:rowOff>50400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30</xdr:row>
      <xdr:rowOff>70560</xdr:rowOff>
    </xdr:from>
    <xdr:to>
      <xdr:col>6</xdr:col>
      <xdr:colOff>90720</xdr:colOff>
      <xdr:row>47</xdr:row>
      <xdr:rowOff>71640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30</xdr:row>
      <xdr:rowOff>70560</xdr:rowOff>
    </xdr:from>
    <xdr:to>
      <xdr:col>10</xdr:col>
      <xdr:colOff>90720</xdr:colOff>
      <xdr:row>47</xdr:row>
      <xdr:rowOff>71640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KUData" displayName="SKUData" ref="A1:K21" totalsRowShown="0">
  <autoFilter ref="A1:K21" xr:uid="{00000000-0009-0000-0100-000001000000}"/>
  <tableColumns count="11">
    <tableColumn id="1" xr3:uid="{00000000-0010-0000-0000-000001000000}" name="SKU"/>
    <tableColumn id="2" xr3:uid="{00000000-0010-0000-0000-000002000000}" name="Product"/>
    <tableColumn id="3" xr3:uid="{00000000-0010-0000-0000-000003000000}" name="Category"/>
    <tableColumn id="4" xr3:uid="{00000000-0010-0000-0000-000004000000}" name="Unit Cost"/>
    <tableColumn id="5" xr3:uid="{00000000-0010-0000-0000-000005000000}" name="Unit Price"/>
    <tableColumn id="6" xr3:uid="{00000000-0010-0000-0000-000006000000}" name="Annual Units Sold"/>
    <tableColumn id="7" xr3:uid="{00000000-0010-0000-0000-000007000000}" name="Avg Daily Demand"/>
    <tableColumn id="8" xr3:uid="{00000000-0010-0000-0000-000008000000}" name="Demand Std Dev"/>
    <tableColumn id="9" xr3:uid="{00000000-0010-0000-0000-000009000000}" name="Lead Time (days)"/>
    <tableColumn id="10" xr3:uid="{00000000-0010-0000-0000-00000A000000}" name="Order Cost"/>
    <tableColumn id="11" xr3:uid="{00000000-0010-0000-0000-00000B000000}" name="Holding Cost %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4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100" customWidth="1"/>
  </cols>
  <sheetData>
    <row r="2" spans="2:2" ht="23.25" x14ac:dyDescent="0.35">
      <c r="B2" s="2" t="s">
        <v>0</v>
      </c>
    </row>
    <row r="4" spans="2:2" ht="15.75" x14ac:dyDescent="0.25">
      <c r="B4" s="3" t="s">
        <v>1</v>
      </c>
    </row>
    <row r="5" spans="2:2" ht="54.75" customHeight="1" x14ac:dyDescent="0.25">
      <c r="B5" s="4" t="s">
        <v>2</v>
      </c>
    </row>
    <row r="7" spans="2:2" ht="15.75" x14ac:dyDescent="0.25">
      <c r="B7" s="3" t="s">
        <v>3</v>
      </c>
    </row>
    <row r="8" spans="2:2" ht="15.75" customHeight="1" x14ac:dyDescent="0.25">
      <c r="B8" s="5" t="s">
        <v>4</v>
      </c>
    </row>
    <row r="9" spans="2:2" ht="15.75" customHeight="1" x14ac:dyDescent="0.25">
      <c r="B9" s="5" t="s">
        <v>5</v>
      </c>
    </row>
    <row r="10" spans="2:2" ht="15.75" customHeight="1" x14ac:dyDescent="0.25">
      <c r="B10" s="5" t="s">
        <v>6</v>
      </c>
    </row>
    <row r="11" spans="2:2" ht="15.75" customHeight="1" x14ac:dyDescent="0.25">
      <c r="B11" s="5" t="s">
        <v>7</v>
      </c>
    </row>
    <row r="12" spans="2:2" ht="15.75" customHeight="1" x14ac:dyDescent="0.25">
      <c r="B12" s="5" t="s">
        <v>8</v>
      </c>
    </row>
    <row r="13" spans="2:2" ht="15.75" customHeight="1" x14ac:dyDescent="0.25">
      <c r="B13" s="5" t="s">
        <v>9</v>
      </c>
    </row>
    <row r="14" spans="2:2" ht="15.75" customHeight="1" x14ac:dyDescent="0.25">
      <c r="B14" s="5" t="s">
        <v>10</v>
      </c>
    </row>
    <row r="16" spans="2:2" ht="15.75" x14ac:dyDescent="0.25">
      <c r="B16" s="3" t="s">
        <v>11</v>
      </c>
    </row>
    <row r="17" spans="2:2" ht="30" customHeight="1" x14ac:dyDescent="0.25">
      <c r="B17" s="4" t="s">
        <v>12</v>
      </c>
    </row>
    <row r="18" spans="2:2" ht="30" customHeight="1" x14ac:dyDescent="0.25">
      <c r="B18" s="4" t="s">
        <v>13</v>
      </c>
    </row>
    <row r="19" spans="2:2" ht="30" customHeight="1" x14ac:dyDescent="0.25">
      <c r="B19" s="4" t="s">
        <v>14</v>
      </c>
    </row>
    <row r="20" spans="2:2" ht="30" customHeight="1" x14ac:dyDescent="0.25">
      <c r="B20" s="4" t="s">
        <v>15</v>
      </c>
    </row>
    <row r="22" spans="2:2" ht="15.75" x14ac:dyDescent="0.25">
      <c r="B22" s="3" t="s">
        <v>16</v>
      </c>
    </row>
    <row r="23" spans="2:2" ht="30" customHeight="1" x14ac:dyDescent="0.25">
      <c r="B23" s="4" t="s">
        <v>17</v>
      </c>
    </row>
    <row r="24" spans="2:2" ht="30" customHeight="1" x14ac:dyDescent="0.25">
      <c r="B24" s="4" t="s">
        <v>18</v>
      </c>
    </row>
    <row r="25" spans="2:2" ht="30" customHeight="1" x14ac:dyDescent="0.25">
      <c r="B25" s="4" t="s">
        <v>19</v>
      </c>
    </row>
    <row r="27" spans="2:2" ht="15.75" x14ac:dyDescent="0.25">
      <c r="B27" s="3" t="s">
        <v>20</v>
      </c>
    </row>
    <row r="28" spans="2:2" x14ac:dyDescent="0.25">
      <c r="B28" t="s">
        <v>21</v>
      </c>
    </row>
    <row r="29" spans="2:2" x14ac:dyDescent="0.25">
      <c r="B29" t="s">
        <v>22</v>
      </c>
    </row>
    <row r="30" spans="2:2" x14ac:dyDescent="0.25">
      <c r="B30" t="s">
        <v>23</v>
      </c>
    </row>
    <row r="31" spans="2:2" x14ac:dyDescent="0.25">
      <c r="B31" t="s">
        <v>24</v>
      </c>
    </row>
    <row r="34" spans="2:2" ht="30" customHeight="1" x14ac:dyDescent="0.25">
      <c r="B34" s="6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0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10" width="12" customWidth="1"/>
  </cols>
  <sheetData>
    <row r="2" spans="2:10" ht="26.25" x14ac:dyDescent="0.4">
      <c r="B2" s="29" t="s">
        <v>26</v>
      </c>
      <c r="C2" s="29"/>
      <c r="D2" s="29"/>
      <c r="E2" s="29"/>
      <c r="F2" s="29"/>
      <c r="G2" s="29"/>
      <c r="H2" s="29"/>
      <c r="I2" s="29"/>
      <c r="J2" s="29"/>
    </row>
    <row r="3" spans="2:10" x14ac:dyDescent="0.25">
      <c r="B3" s="30" t="s">
        <v>27</v>
      </c>
      <c r="C3" s="30"/>
      <c r="D3" s="30"/>
      <c r="E3" s="30"/>
      <c r="F3" s="30"/>
      <c r="G3" s="30"/>
      <c r="H3" s="30"/>
      <c r="I3" s="30"/>
      <c r="J3" s="30"/>
    </row>
    <row r="5" spans="2:10" ht="27.75" customHeight="1" x14ac:dyDescent="0.25">
      <c r="B5" s="31" t="s">
        <v>28</v>
      </c>
      <c r="C5" s="31"/>
      <c r="D5" s="31" t="s">
        <v>29</v>
      </c>
      <c r="E5" s="31"/>
      <c r="F5" s="31" t="s">
        <v>30</v>
      </c>
      <c r="G5" s="31"/>
      <c r="H5" s="31" t="s">
        <v>31</v>
      </c>
      <c r="I5" s="31"/>
    </row>
    <row r="6" spans="2:10" ht="27.75" customHeight="1" x14ac:dyDescent="0.3">
      <c r="B6" s="34">
        <f>SUM('ABC Analysis'!D2:D21)</f>
        <v>276997</v>
      </c>
      <c r="C6" s="34"/>
      <c r="D6" s="35">
        <f>'ABC Analysis'!B26</f>
        <v>8</v>
      </c>
      <c r="E6" s="35"/>
      <c r="F6" s="36">
        <f>'ABC Analysis'!E26</f>
        <v>0</v>
      </c>
      <c r="G6" s="36"/>
      <c r="H6" s="35">
        <f>AVERAGE('Reorder Point Model'!I2:I21)</f>
        <v>54.60994241513383</v>
      </c>
      <c r="I6" s="35"/>
    </row>
    <row r="9" spans="2:10" x14ac:dyDescent="0.25">
      <c r="B9" s="37" t="s">
        <v>32</v>
      </c>
      <c r="C9" s="37"/>
      <c r="D9" s="37"/>
      <c r="E9" s="37"/>
      <c r="F9" s="37" t="s">
        <v>33</v>
      </c>
      <c r="G9" s="37"/>
      <c r="H9" s="37"/>
      <c r="I9" s="37"/>
      <c r="J9" s="37"/>
    </row>
    <row r="10" spans="2:10" ht="15.75" x14ac:dyDescent="0.25">
      <c r="B10" s="32" t="str">
        <f>INDEX('ABC Analysis'!B2:B21,MATCH(1,'ABC Analysis'!E2:E21,0))</f>
        <v>Fitness Tracker Band</v>
      </c>
      <c r="C10" s="32"/>
      <c r="D10" s="32"/>
      <c r="E10" s="32"/>
      <c r="F10" s="33" t="str">
        <f>INDEX('Reorder Point Model'!B2:B21,MATCH(MAX('Reorder Point Model'!I2:I21),'Reorder Point Model'!I2:I21,0))</f>
        <v>Fitness Tracker Band</v>
      </c>
      <c r="G10" s="33"/>
      <c r="H10" s="33"/>
      <c r="I10" s="33"/>
      <c r="J10" s="33"/>
    </row>
  </sheetData>
  <mergeCells count="14">
    <mergeCell ref="B10:E10"/>
    <mergeCell ref="F10:J10"/>
    <mergeCell ref="B6:C6"/>
    <mergeCell ref="D6:E6"/>
    <mergeCell ref="F6:G6"/>
    <mergeCell ref="H6:I6"/>
    <mergeCell ref="B9:E9"/>
    <mergeCell ref="F9:J9"/>
    <mergeCell ref="B2:J2"/>
    <mergeCell ref="B3:J3"/>
    <mergeCell ref="B5:C5"/>
    <mergeCell ref="D5:E5"/>
    <mergeCell ref="F5:G5"/>
    <mergeCell ref="H5:I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22" customWidth="1"/>
    <col min="3" max="3" width="13" customWidth="1"/>
    <col min="4" max="5" width="10" customWidth="1"/>
    <col min="6" max="6" width="15" customWidth="1"/>
    <col min="7" max="7" width="14" customWidth="1"/>
    <col min="8" max="8" width="13" customWidth="1"/>
    <col min="9" max="9" width="14" customWidth="1"/>
    <col min="10" max="10" width="11" customWidth="1"/>
    <col min="11" max="11" width="12" customWidth="1"/>
  </cols>
  <sheetData>
    <row r="1" spans="1:11" ht="25.5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41</v>
      </c>
      <c r="I1" s="7" t="s">
        <v>42</v>
      </c>
      <c r="J1" s="7" t="s">
        <v>43</v>
      </c>
      <c r="K1" s="7" t="s">
        <v>44</v>
      </c>
    </row>
    <row r="2" spans="1:11" x14ac:dyDescent="0.25">
      <c r="A2" t="s">
        <v>45</v>
      </c>
      <c r="B2" t="s">
        <v>46</v>
      </c>
      <c r="C2" t="s">
        <v>47</v>
      </c>
      <c r="D2" s="8">
        <v>42</v>
      </c>
      <c r="E2" s="8">
        <v>99</v>
      </c>
      <c r="F2" s="9">
        <v>1845</v>
      </c>
      <c r="G2" s="10">
        <v>5.05</v>
      </c>
      <c r="H2" s="10">
        <v>1.31</v>
      </c>
      <c r="I2" s="9">
        <v>45</v>
      </c>
      <c r="J2" s="8">
        <v>79.099999999999994</v>
      </c>
      <c r="K2" s="11">
        <v>0.23</v>
      </c>
    </row>
    <row r="3" spans="1:11" x14ac:dyDescent="0.25">
      <c r="A3" t="s">
        <v>48</v>
      </c>
      <c r="B3" t="s">
        <v>49</v>
      </c>
      <c r="C3" t="s">
        <v>50</v>
      </c>
      <c r="D3" s="8">
        <v>38</v>
      </c>
      <c r="E3" s="8">
        <v>89</v>
      </c>
      <c r="F3" s="9">
        <v>821</v>
      </c>
      <c r="G3" s="10">
        <v>2.25</v>
      </c>
      <c r="H3" s="10">
        <v>0.77</v>
      </c>
      <c r="I3" s="9">
        <v>14</v>
      </c>
      <c r="J3" s="8">
        <v>99.48</v>
      </c>
      <c r="K3" s="11">
        <v>0.22</v>
      </c>
    </row>
    <row r="4" spans="1:11" x14ac:dyDescent="0.25">
      <c r="A4" t="s">
        <v>51</v>
      </c>
      <c r="B4" t="s">
        <v>52</v>
      </c>
      <c r="C4" t="s">
        <v>53</v>
      </c>
      <c r="D4" s="8">
        <v>15</v>
      </c>
      <c r="E4" s="8">
        <v>42</v>
      </c>
      <c r="F4" s="9">
        <v>1533</v>
      </c>
      <c r="G4" s="10">
        <v>4.2</v>
      </c>
      <c r="H4" s="10">
        <v>1.43</v>
      </c>
      <c r="I4" s="9">
        <v>10</v>
      </c>
      <c r="J4" s="8">
        <v>52.99</v>
      </c>
      <c r="K4" s="11">
        <v>0.2</v>
      </c>
    </row>
    <row r="5" spans="1:11" x14ac:dyDescent="0.25">
      <c r="A5" t="s">
        <v>54</v>
      </c>
      <c r="B5" t="s">
        <v>55</v>
      </c>
      <c r="C5" t="s">
        <v>50</v>
      </c>
      <c r="D5" s="8">
        <v>22</v>
      </c>
      <c r="E5" s="8">
        <v>55</v>
      </c>
      <c r="F5" s="9">
        <v>949</v>
      </c>
      <c r="G5" s="10">
        <v>2.6</v>
      </c>
      <c r="H5" s="10">
        <v>0.73</v>
      </c>
      <c r="I5" s="9">
        <v>14</v>
      </c>
      <c r="J5" s="8">
        <v>80.959999999999994</v>
      </c>
      <c r="K5" s="11">
        <v>0.22</v>
      </c>
    </row>
    <row r="6" spans="1:11" x14ac:dyDescent="0.25">
      <c r="A6" t="s">
        <v>56</v>
      </c>
      <c r="B6" t="s">
        <v>57</v>
      </c>
      <c r="C6" t="s">
        <v>47</v>
      </c>
      <c r="D6" s="8">
        <v>34</v>
      </c>
      <c r="E6" s="8">
        <v>79</v>
      </c>
      <c r="F6" s="9">
        <v>575</v>
      </c>
      <c r="G6" s="10">
        <v>1.58</v>
      </c>
      <c r="H6" s="10">
        <v>0.79</v>
      </c>
      <c r="I6" s="9">
        <v>21</v>
      </c>
      <c r="J6" s="8">
        <v>92.15</v>
      </c>
      <c r="K6" s="11">
        <v>0.24</v>
      </c>
    </row>
    <row r="7" spans="1:11" x14ac:dyDescent="0.25">
      <c r="A7" t="s">
        <v>58</v>
      </c>
      <c r="B7" t="s">
        <v>59</v>
      </c>
      <c r="C7" t="s">
        <v>50</v>
      </c>
      <c r="D7" s="8">
        <v>52</v>
      </c>
      <c r="E7" s="8">
        <v>120</v>
      </c>
      <c r="F7" s="9">
        <v>313</v>
      </c>
      <c r="G7" s="10">
        <v>0.86</v>
      </c>
      <c r="H7" s="10">
        <v>0.38</v>
      </c>
      <c r="I7" s="9">
        <v>45</v>
      </c>
      <c r="J7" s="8">
        <v>114.84</v>
      </c>
      <c r="K7" s="11">
        <v>0.21</v>
      </c>
    </row>
    <row r="8" spans="1:11" x14ac:dyDescent="0.25">
      <c r="A8" t="s">
        <v>60</v>
      </c>
      <c r="B8" t="s">
        <v>61</v>
      </c>
      <c r="C8" t="s">
        <v>62</v>
      </c>
      <c r="D8" s="8">
        <v>15</v>
      </c>
      <c r="E8" s="8">
        <v>38</v>
      </c>
      <c r="F8" s="9">
        <v>1024</v>
      </c>
      <c r="G8" s="10">
        <v>2.81</v>
      </c>
      <c r="H8" s="10">
        <v>1.52</v>
      </c>
      <c r="I8" s="9">
        <v>14</v>
      </c>
      <c r="J8" s="8">
        <v>49.13</v>
      </c>
      <c r="K8" s="11">
        <v>0.17</v>
      </c>
    </row>
    <row r="9" spans="1:11" x14ac:dyDescent="0.25">
      <c r="A9" t="s">
        <v>63</v>
      </c>
      <c r="B9" t="s">
        <v>64</v>
      </c>
      <c r="C9" t="s">
        <v>47</v>
      </c>
      <c r="D9" s="8">
        <v>24</v>
      </c>
      <c r="E9" s="8">
        <v>59</v>
      </c>
      <c r="F9" s="9">
        <v>571</v>
      </c>
      <c r="G9" s="10">
        <v>1.56</v>
      </c>
      <c r="H9" s="10">
        <v>0.69</v>
      </c>
      <c r="I9" s="9">
        <v>45</v>
      </c>
      <c r="J9" s="8">
        <v>71.31</v>
      </c>
      <c r="K9" s="11">
        <v>0.2</v>
      </c>
    </row>
    <row r="10" spans="1:11" x14ac:dyDescent="0.25">
      <c r="A10" t="s">
        <v>65</v>
      </c>
      <c r="B10" t="s">
        <v>66</v>
      </c>
      <c r="C10" t="s">
        <v>67</v>
      </c>
      <c r="D10" s="8">
        <v>27.5</v>
      </c>
      <c r="E10" s="8">
        <v>68</v>
      </c>
      <c r="F10" s="9">
        <v>334</v>
      </c>
      <c r="G10" s="10">
        <v>0.92</v>
      </c>
      <c r="H10" s="10">
        <v>0.34</v>
      </c>
      <c r="I10" s="9">
        <v>7</v>
      </c>
      <c r="J10" s="8">
        <v>47.97</v>
      </c>
      <c r="K10" s="11">
        <v>0.22</v>
      </c>
    </row>
    <row r="11" spans="1:11" x14ac:dyDescent="0.25">
      <c r="A11" t="s">
        <v>68</v>
      </c>
      <c r="B11" t="s">
        <v>69</v>
      </c>
      <c r="C11" t="s">
        <v>67</v>
      </c>
      <c r="D11" s="8">
        <v>18</v>
      </c>
      <c r="E11" s="8">
        <v>45</v>
      </c>
      <c r="F11" s="9">
        <v>426</v>
      </c>
      <c r="G11" s="10">
        <v>1.17</v>
      </c>
      <c r="H11" s="10">
        <v>0.33</v>
      </c>
      <c r="I11" s="9">
        <v>30</v>
      </c>
      <c r="J11" s="8">
        <v>46.5</v>
      </c>
      <c r="K11" s="11">
        <v>0.22</v>
      </c>
    </row>
    <row r="12" spans="1:11" x14ac:dyDescent="0.25">
      <c r="A12" t="s">
        <v>70</v>
      </c>
      <c r="B12" t="s">
        <v>71</v>
      </c>
      <c r="C12" t="s">
        <v>50</v>
      </c>
      <c r="D12" s="8">
        <v>9</v>
      </c>
      <c r="E12" s="8">
        <v>25</v>
      </c>
      <c r="F12" s="9">
        <v>852</v>
      </c>
      <c r="G12" s="10">
        <v>2.33</v>
      </c>
      <c r="H12" s="10">
        <v>1</v>
      </c>
      <c r="I12" s="9">
        <v>45</v>
      </c>
      <c r="J12" s="8">
        <v>79.77</v>
      </c>
      <c r="K12" s="11">
        <v>0.18</v>
      </c>
    </row>
    <row r="13" spans="1:11" x14ac:dyDescent="0.25">
      <c r="A13" t="s">
        <v>72</v>
      </c>
      <c r="B13" t="s">
        <v>73</v>
      </c>
      <c r="C13" t="s">
        <v>62</v>
      </c>
      <c r="D13" s="8">
        <v>10</v>
      </c>
      <c r="E13" s="8">
        <v>27</v>
      </c>
      <c r="F13" s="9">
        <v>752</v>
      </c>
      <c r="G13" s="10">
        <v>2.06</v>
      </c>
      <c r="H13" s="10">
        <v>0.52</v>
      </c>
      <c r="I13" s="9">
        <v>14</v>
      </c>
      <c r="J13" s="8">
        <v>68.900000000000006</v>
      </c>
      <c r="K13" s="11">
        <v>0.15</v>
      </c>
    </row>
    <row r="14" spans="1:11" x14ac:dyDescent="0.25">
      <c r="A14" t="s">
        <v>74</v>
      </c>
      <c r="B14" t="s">
        <v>75</v>
      </c>
      <c r="C14" t="s">
        <v>62</v>
      </c>
      <c r="D14" s="8">
        <v>8</v>
      </c>
      <c r="E14" s="8">
        <v>22</v>
      </c>
      <c r="F14" s="9">
        <v>825</v>
      </c>
      <c r="G14" s="10">
        <v>2.2599999999999998</v>
      </c>
      <c r="H14" s="10">
        <v>0.61</v>
      </c>
      <c r="I14" s="9">
        <v>45</v>
      </c>
      <c r="J14" s="8">
        <v>84.18</v>
      </c>
      <c r="K14" s="11">
        <v>0.19</v>
      </c>
    </row>
    <row r="15" spans="1:11" x14ac:dyDescent="0.25">
      <c r="A15" t="s">
        <v>76</v>
      </c>
      <c r="B15" t="s">
        <v>77</v>
      </c>
      <c r="C15" t="s">
        <v>67</v>
      </c>
      <c r="D15" s="8">
        <v>21</v>
      </c>
      <c r="E15" s="8">
        <v>52</v>
      </c>
      <c r="F15" s="9">
        <v>243</v>
      </c>
      <c r="G15" s="10">
        <v>0.67</v>
      </c>
      <c r="H15" s="10">
        <v>0.28000000000000003</v>
      </c>
      <c r="I15" s="9">
        <v>30</v>
      </c>
      <c r="J15" s="8">
        <v>45.45</v>
      </c>
      <c r="K15" s="11">
        <v>0.18</v>
      </c>
    </row>
    <row r="16" spans="1:11" x14ac:dyDescent="0.25">
      <c r="A16" t="s">
        <v>78</v>
      </c>
      <c r="B16" t="s">
        <v>79</v>
      </c>
      <c r="C16" t="s">
        <v>53</v>
      </c>
      <c r="D16" s="8">
        <v>5.5</v>
      </c>
      <c r="E16" s="8">
        <v>16</v>
      </c>
      <c r="F16" s="9">
        <v>801</v>
      </c>
      <c r="G16" s="10">
        <v>2.19</v>
      </c>
      <c r="H16" s="10">
        <v>0.77</v>
      </c>
      <c r="I16" s="9">
        <v>21</v>
      </c>
      <c r="J16" s="8">
        <v>105.38</v>
      </c>
      <c r="K16" s="11">
        <v>0.23</v>
      </c>
    </row>
    <row r="17" spans="1:11" x14ac:dyDescent="0.25">
      <c r="A17" t="s">
        <v>80</v>
      </c>
      <c r="B17" t="s">
        <v>81</v>
      </c>
      <c r="C17" t="s">
        <v>53</v>
      </c>
      <c r="D17" s="8">
        <v>11</v>
      </c>
      <c r="E17" s="8">
        <v>30</v>
      </c>
      <c r="F17" s="9">
        <v>343</v>
      </c>
      <c r="G17" s="10">
        <v>0.94</v>
      </c>
      <c r="H17" s="10">
        <v>0.25</v>
      </c>
      <c r="I17" s="9">
        <v>21</v>
      </c>
      <c r="J17" s="8">
        <v>97.77</v>
      </c>
      <c r="K17" s="11">
        <v>0.26</v>
      </c>
    </row>
    <row r="18" spans="1:11" x14ac:dyDescent="0.25">
      <c r="A18" t="s">
        <v>82</v>
      </c>
      <c r="B18" t="s">
        <v>83</v>
      </c>
      <c r="C18" t="s">
        <v>53</v>
      </c>
      <c r="D18" s="8">
        <v>8.5</v>
      </c>
      <c r="E18" s="8">
        <v>24</v>
      </c>
      <c r="F18" s="9">
        <v>268</v>
      </c>
      <c r="G18" s="10">
        <v>0.73</v>
      </c>
      <c r="H18" s="10">
        <v>0.39</v>
      </c>
      <c r="I18" s="9">
        <v>30</v>
      </c>
      <c r="J18" s="8">
        <v>44.31</v>
      </c>
      <c r="K18" s="11">
        <v>0.24</v>
      </c>
    </row>
    <row r="19" spans="1:11" x14ac:dyDescent="0.25">
      <c r="A19" t="s">
        <v>84</v>
      </c>
      <c r="B19" t="s">
        <v>85</v>
      </c>
      <c r="C19" t="s">
        <v>47</v>
      </c>
      <c r="D19" s="8">
        <v>3.5</v>
      </c>
      <c r="E19" s="8">
        <v>12</v>
      </c>
      <c r="F19" s="9">
        <v>552</v>
      </c>
      <c r="G19" s="10">
        <v>1.51</v>
      </c>
      <c r="H19" s="10">
        <v>0.48</v>
      </c>
      <c r="I19" s="9">
        <v>21</v>
      </c>
      <c r="J19" s="8">
        <v>54.23</v>
      </c>
      <c r="K19" s="11">
        <v>0.18</v>
      </c>
    </row>
    <row r="20" spans="1:11" x14ac:dyDescent="0.25">
      <c r="A20" t="s">
        <v>86</v>
      </c>
      <c r="B20" t="s">
        <v>87</v>
      </c>
      <c r="C20" t="s">
        <v>62</v>
      </c>
      <c r="D20" s="8">
        <v>5</v>
      </c>
      <c r="E20" s="8">
        <v>15</v>
      </c>
      <c r="F20" s="9">
        <v>372</v>
      </c>
      <c r="G20" s="10">
        <v>1.02</v>
      </c>
      <c r="H20" s="10">
        <v>0.52</v>
      </c>
      <c r="I20" s="9">
        <v>21</v>
      </c>
      <c r="J20" s="8">
        <v>117.7</v>
      </c>
      <c r="K20" s="11">
        <v>0.28000000000000003</v>
      </c>
    </row>
    <row r="21" spans="1:11" x14ac:dyDescent="0.25">
      <c r="A21" t="s">
        <v>88</v>
      </c>
      <c r="B21" t="s">
        <v>89</v>
      </c>
      <c r="C21" t="s">
        <v>67</v>
      </c>
      <c r="D21" s="8">
        <v>6.5</v>
      </c>
      <c r="E21" s="8">
        <v>18</v>
      </c>
      <c r="F21" s="9">
        <v>239</v>
      </c>
      <c r="G21" s="10">
        <v>0.65</v>
      </c>
      <c r="H21" s="10">
        <v>0.34</v>
      </c>
      <c r="I21" s="9">
        <v>14</v>
      </c>
      <c r="J21" s="8">
        <v>44.12</v>
      </c>
      <c r="K21" s="11">
        <v>0.21</v>
      </c>
    </row>
  </sheetData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9F81E-4192-476A-8613-1DD04D5D3BB6}">
  <dimension ref="A1:H12"/>
  <sheetViews>
    <sheetView workbookViewId="0">
      <selection activeCell="B12" sqref="B12"/>
    </sheetView>
  </sheetViews>
  <sheetFormatPr defaultRowHeight="15" x14ac:dyDescent="0.25"/>
  <cols>
    <col min="1" max="1" width="34.28515625" bestFit="1" customWidth="1"/>
    <col min="4" max="4" width="17.7109375" customWidth="1"/>
    <col min="7" max="7" width="15.42578125" customWidth="1"/>
  </cols>
  <sheetData>
    <row r="1" spans="1:8" ht="26.25" x14ac:dyDescent="0.4">
      <c r="A1" s="19" t="s">
        <v>107</v>
      </c>
    </row>
    <row r="3" spans="1:8" ht="18.75" x14ac:dyDescent="0.3">
      <c r="A3" s="20" t="s">
        <v>108</v>
      </c>
      <c r="D3" s="20" t="s">
        <v>112</v>
      </c>
      <c r="G3" s="20" t="s">
        <v>116</v>
      </c>
    </row>
    <row r="4" spans="1:8" x14ac:dyDescent="0.25">
      <c r="A4" t="s">
        <v>109</v>
      </c>
      <c r="B4" s="18">
        <v>0.8</v>
      </c>
      <c r="D4" t="s">
        <v>113</v>
      </c>
      <c r="E4" s="18">
        <v>0.99</v>
      </c>
      <c r="G4" t="s">
        <v>113</v>
      </c>
      <c r="H4">
        <v>2.33</v>
      </c>
    </row>
    <row r="5" spans="1:8" x14ac:dyDescent="0.25">
      <c r="A5" t="s">
        <v>110</v>
      </c>
      <c r="B5" s="18">
        <v>0.95</v>
      </c>
      <c r="D5" t="s">
        <v>114</v>
      </c>
      <c r="E5" s="18">
        <v>0.95</v>
      </c>
      <c r="G5" t="s">
        <v>114</v>
      </c>
      <c r="H5">
        <v>1.65</v>
      </c>
    </row>
    <row r="6" spans="1:8" x14ac:dyDescent="0.25">
      <c r="A6" t="s">
        <v>111</v>
      </c>
      <c r="B6" s="18">
        <v>1</v>
      </c>
      <c r="D6" t="s">
        <v>115</v>
      </c>
      <c r="E6" s="18">
        <v>0.9</v>
      </c>
      <c r="G6" t="s">
        <v>113</v>
      </c>
      <c r="H6">
        <v>1.28</v>
      </c>
    </row>
    <row r="9" spans="1:8" ht="18.75" x14ac:dyDescent="0.3">
      <c r="A9" s="20" t="s">
        <v>125</v>
      </c>
    </row>
    <row r="10" spans="1:8" x14ac:dyDescent="0.25">
      <c r="A10" t="s">
        <v>126</v>
      </c>
      <c r="B10" s="18">
        <v>0.5</v>
      </c>
    </row>
    <row r="11" spans="1:8" x14ac:dyDescent="0.25">
      <c r="A11" t="s">
        <v>127</v>
      </c>
      <c r="B11" s="18">
        <v>1</v>
      </c>
    </row>
    <row r="12" spans="1:8" x14ac:dyDescent="0.25">
      <c r="A12" t="s">
        <v>128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zoomScaleNormal="100" workbookViewId="0">
      <pane ySplit="1" topLeftCell="A2" activePane="bottomLeft" state="frozen"/>
      <selection pane="bottomLeft" activeCell="A30" sqref="A30"/>
    </sheetView>
  </sheetViews>
  <sheetFormatPr defaultColWidth="8.7109375" defaultRowHeight="15" x14ac:dyDescent="0.25"/>
  <cols>
    <col min="1" max="1" width="10" customWidth="1"/>
    <col min="2" max="2" width="22" customWidth="1"/>
    <col min="3" max="3" width="13" customWidth="1"/>
    <col min="4" max="4" width="16" customWidth="1"/>
    <col min="5" max="5" width="8" customWidth="1"/>
    <col min="6" max="6" width="15" customWidth="1"/>
    <col min="7" max="7" width="12" customWidth="1"/>
    <col min="8" max="8" width="9" customWidth="1"/>
    <col min="10" max="10" width="26" customWidth="1"/>
    <col min="11" max="11" width="10" customWidth="1"/>
  </cols>
  <sheetData>
    <row r="1" spans="1:11" ht="25.5" x14ac:dyDescent="0.25">
      <c r="A1" s="7" t="s">
        <v>34</v>
      </c>
      <c r="B1" s="7" t="s">
        <v>35</v>
      </c>
      <c r="C1" s="7" t="s">
        <v>36</v>
      </c>
      <c r="D1" s="7" t="s">
        <v>90</v>
      </c>
      <c r="E1" s="7" t="s">
        <v>91</v>
      </c>
      <c r="F1" s="7" t="s">
        <v>92</v>
      </c>
      <c r="G1" s="7" t="s">
        <v>93</v>
      </c>
      <c r="H1" s="7" t="s">
        <v>94</v>
      </c>
      <c r="J1" s="1"/>
    </row>
    <row r="2" spans="1:11" x14ac:dyDescent="0.25">
      <c r="A2" t="str">
        <f>'SKU Data'!A2</f>
        <v>ELE-403</v>
      </c>
      <c r="B2" t="str">
        <f>'SKU Data'!B2</f>
        <v>Fitness Tracker Band</v>
      </c>
      <c r="C2" t="str">
        <f>'SKU Data'!C2</f>
        <v>Electronics</v>
      </c>
      <c r="D2" s="12">
        <f>'SKU Data'!D2*'SKU Data'!F2</f>
        <v>77490</v>
      </c>
      <c r="E2">
        <f t="shared" ref="E2:E21" si="0">RANK(D2,$D$2:$D$21,0)</f>
        <v>1</v>
      </c>
      <c r="F2" s="12">
        <f t="shared" ref="F2:F21" si="1">SUMPRODUCT(($D$2:$D$21&gt;=D2)*$D$2:$D$21)</f>
        <v>77490</v>
      </c>
      <c r="G2" s="13">
        <f t="shared" ref="G2:G21" si="2">F2/SUM($D$2:$D$21)</f>
        <v>0.27975032220565565</v>
      </c>
      <c r="H2" t="str">
        <f>IF(G2&lt;=Assumptions!$B$4,"A",IF(G2&lt;=Assumptions!$B$5,"B","C"))</f>
        <v>A</v>
      </c>
      <c r="K2" s="11"/>
    </row>
    <row r="3" spans="1:11" x14ac:dyDescent="0.25">
      <c r="A3" t="str">
        <f>'SKU Data'!A3</f>
        <v>FTW-201</v>
      </c>
      <c r="B3" t="str">
        <f>'SKU Data'!B3</f>
        <v>Running Sneakers</v>
      </c>
      <c r="C3" t="str">
        <f>'SKU Data'!C3</f>
        <v>Footwear</v>
      </c>
      <c r="D3" s="12">
        <f>'SKU Data'!D3*'SKU Data'!F3</f>
        <v>31198</v>
      </c>
      <c r="E3">
        <f t="shared" si="0"/>
        <v>2</v>
      </c>
      <c r="F3" s="12">
        <f t="shared" si="1"/>
        <v>108688</v>
      </c>
      <c r="G3" s="13">
        <f t="shared" si="2"/>
        <v>0.39237970086318624</v>
      </c>
      <c r="H3" t="str">
        <f>IF(G3&lt;=Assumptions!$B$4,"A",IF(G3&lt;=Assumptions!$B$5,"B","C"))</f>
        <v>A</v>
      </c>
      <c r="K3" s="11"/>
    </row>
    <row r="4" spans="1:11" x14ac:dyDescent="0.25">
      <c r="A4" t="str">
        <f>'SKU Data'!A4</f>
        <v>ACC-302</v>
      </c>
      <c r="B4" t="str">
        <f>'SKU Data'!B4</f>
        <v>Aviator Sunglasses</v>
      </c>
      <c r="C4" t="str">
        <f>'SKU Data'!C4</f>
        <v>Accessories</v>
      </c>
      <c r="D4" s="12">
        <f>'SKU Data'!D4*'SKU Data'!F4</f>
        <v>22995</v>
      </c>
      <c r="E4">
        <f t="shared" si="0"/>
        <v>3</v>
      </c>
      <c r="F4" s="12">
        <f t="shared" si="1"/>
        <v>131683</v>
      </c>
      <c r="G4" s="13">
        <f t="shared" si="2"/>
        <v>0.4753950403794987</v>
      </c>
      <c r="H4" t="str">
        <f>IF(G4&lt;=Assumptions!$B$4,"A",IF(G4&lt;=Assumptions!$B$5,"B","C"))</f>
        <v>A</v>
      </c>
    </row>
    <row r="5" spans="1:11" x14ac:dyDescent="0.25">
      <c r="A5" t="str">
        <f>'SKU Data'!A5</f>
        <v>FTW-202</v>
      </c>
      <c r="B5" t="str">
        <f>'SKU Data'!B5</f>
        <v>Canvas Low-Top</v>
      </c>
      <c r="C5" t="str">
        <f>'SKU Data'!C5</f>
        <v>Footwear</v>
      </c>
      <c r="D5" s="12">
        <f>'SKU Data'!D5*'SKU Data'!F5</f>
        <v>20878</v>
      </c>
      <c r="E5">
        <f t="shared" si="0"/>
        <v>4</v>
      </c>
      <c r="F5" s="12">
        <f t="shared" si="1"/>
        <v>152561</v>
      </c>
      <c r="G5" s="13">
        <f t="shared" si="2"/>
        <v>0.55076769784510304</v>
      </c>
      <c r="H5" t="str">
        <f>IF(G5&lt;=Assumptions!$B$4,"A",IF(G5&lt;=Assumptions!$B$5,"B","C"))</f>
        <v>A</v>
      </c>
    </row>
    <row r="6" spans="1:11" x14ac:dyDescent="0.25">
      <c r="A6" t="str">
        <f>'SKU Data'!A6</f>
        <v>ELE-401</v>
      </c>
      <c r="B6" t="str">
        <f>'SKU Data'!B6</f>
        <v>Wireless Earbuds</v>
      </c>
      <c r="C6" t="str">
        <f>'SKU Data'!C6</f>
        <v>Electronics</v>
      </c>
      <c r="D6" s="12">
        <f>'SKU Data'!D6*'SKU Data'!F6</f>
        <v>19550</v>
      </c>
      <c r="E6">
        <f t="shared" si="0"/>
        <v>5</v>
      </c>
      <c r="F6" s="12">
        <f t="shared" si="1"/>
        <v>172111</v>
      </c>
      <c r="G6" s="13">
        <f t="shared" si="2"/>
        <v>0.62134607956042842</v>
      </c>
      <c r="H6" t="str">
        <f>IF(G6&lt;=Assumptions!$B$4,"A",IF(G6&lt;=Assumptions!$B$5,"B","C"))</f>
        <v>A</v>
      </c>
    </row>
    <row r="7" spans="1:11" x14ac:dyDescent="0.25">
      <c r="A7" t="str">
        <f>'SKU Data'!A7</f>
        <v>FTW-203</v>
      </c>
      <c r="B7" t="str">
        <f>'SKU Data'!B7</f>
        <v>Leather Ankle Boot</v>
      </c>
      <c r="C7" t="str">
        <f>'SKU Data'!C7</f>
        <v>Footwear</v>
      </c>
      <c r="D7" s="12">
        <f>'SKU Data'!D7*'SKU Data'!F7</f>
        <v>16276</v>
      </c>
      <c r="E7">
        <f t="shared" si="0"/>
        <v>6</v>
      </c>
      <c r="F7" s="12">
        <f t="shared" si="1"/>
        <v>188387</v>
      </c>
      <c r="G7" s="13">
        <f t="shared" si="2"/>
        <v>0.68010483868056337</v>
      </c>
      <c r="H7" t="str">
        <f>IF(G7&lt;=Assumptions!$B$4,"A",IF(G7&lt;=Assumptions!$B$5,"B","C"))</f>
        <v>A</v>
      </c>
    </row>
    <row r="8" spans="1:11" x14ac:dyDescent="0.25">
      <c r="A8" t="str">
        <f>'SKU Data'!A8</f>
        <v>HOM-503</v>
      </c>
      <c r="B8" t="str">
        <f>'SKU Data'!B8</f>
        <v>Cotton Throw Blanket</v>
      </c>
      <c r="C8" t="str">
        <f>'SKU Data'!C8</f>
        <v>Home Goods</v>
      </c>
      <c r="D8" s="12">
        <f>'SKU Data'!D8*'SKU Data'!F8</f>
        <v>15360</v>
      </c>
      <c r="E8">
        <f t="shared" si="0"/>
        <v>7</v>
      </c>
      <c r="F8" s="12">
        <f t="shared" si="1"/>
        <v>203747</v>
      </c>
      <c r="G8" s="13">
        <f t="shared" si="2"/>
        <v>0.73555670278017449</v>
      </c>
      <c r="H8" t="str">
        <f>IF(G8&lt;=Assumptions!$B$4,"A",IF(G8&lt;=Assumptions!$B$5,"B","C"))</f>
        <v>A</v>
      </c>
    </row>
    <row r="9" spans="1:11" x14ac:dyDescent="0.25">
      <c r="A9" t="str">
        <f>'SKU Data'!A9</f>
        <v>ELE-402</v>
      </c>
      <c r="B9" t="str">
        <f>'SKU Data'!B9</f>
        <v>Bluetooth Speaker</v>
      </c>
      <c r="C9" t="str">
        <f>'SKU Data'!C9</f>
        <v>Electronics</v>
      </c>
      <c r="D9" s="12">
        <f>'SKU Data'!D9*'SKU Data'!F9</f>
        <v>13704</v>
      </c>
      <c r="E9">
        <f t="shared" si="0"/>
        <v>8</v>
      </c>
      <c r="F9" s="12">
        <f t="shared" si="1"/>
        <v>217451</v>
      </c>
      <c r="G9" s="13">
        <f t="shared" si="2"/>
        <v>0.78503016278154636</v>
      </c>
      <c r="H9" t="str">
        <f>IF(G9&lt;=Assumptions!$B$4,"A",IF(G9&lt;=Assumptions!$B$5,"B","C"))</f>
        <v>A</v>
      </c>
    </row>
    <row r="10" spans="1:11" x14ac:dyDescent="0.25">
      <c r="A10" t="str">
        <f>'SKU Data'!A10</f>
        <v>APP-101</v>
      </c>
      <c r="B10" t="str">
        <f>'SKU Data'!B10</f>
        <v>Classic Denim Jacket</v>
      </c>
      <c r="C10" t="str">
        <f>'SKU Data'!C10</f>
        <v>Apparel</v>
      </c>
      <c r="D10" s="12">
        <f>'SKU Data'!D10*'SKU Data'!F10</f>
        <v>9185</v>
      </c>
      <c r="E10">
        <f t="shared" si="0"/>
        <v>9</v>
      </c>
      <c r="F10" s="12">
        <f t="shared" si="1"/>
        <v>226636</v>
      </c>
      <c r="G10" s="13">
        <f t="shared" si="2"/>
        <v>0.81818936667184117</v>
      </c>
      <c r="H10" t="str">
        <f>IF(G10&lt;=Assumptions!$B$4,"A",IF(G10&lt;=Assumptions!$B$5,"B","C"))</f>
        <v>B</v>
      </c>
    </row>
    <row r="11" spans="1:11" x14ac:dyDescent="0.25">
      <c r="A11" t="str">
        <f>'SKU Data'!A11</f>
        <v>APP-103</v>
      </c>
      <c r="B11" t="str">
        <f>'SKU Data'!B11</f>
        <v>Fleece Pullover Hoodie</v>
      </c>
      <c r="C11" t="str">
        <f>'SKU Data'!C11</f>
        <v>Apparel</v>
      </c>
      <c r="D11" s="12">
        <f>'SKU Data'!D11*'SKU Data'!F11</f>
        <v>7668</v>
      </c>
      <c r="E11">
        <f t="shared" si="0"/>
        <v>10</v>
      </c>
      <c r="F11" s="12">
        <f t="shared" si="1"/>
        <v>241972</v>
      </c>
      <c r="G11" s="13">
        <f t="shared" si="2"/>
        <v>0.87355458723379675</v>
      </c>
      <c r="H11" t="str">
        <f>IF(G11&lt;=Assumptions!$B$4,"A",IF(G11&lt;=Assumptions!$B$5,"B","C"))</f>
        <v>B</v>
      </c>
    </row>
    <row r="12" spans="1:11" x14ac:dyDescent="0.25">
      <c r="A12" t="str">
        <f>'SKU Data'!A12</f>
        <v>FTW-204</v>
      </c>
      <c r="B12" t="str">
        <f>'SKU Data'!B12</f>
        <v>Slide Sandals</v>
      </c>
      <c r="C12" t="str">
        <f>'SKU Data'!C12</f>
        <v>Footwear</v>
      </c>
      <c r="D12" s="12">
        <f>'SKU Data'!D12*'SKU Data'!F12</f>
        <v>7668</v>
      </c>
      <c r="E12">
        <f t="shared" si="0"/>
        <v>10</v>
      </c>
      <c r="F12" s="12">
        <f t="shared" si="1"/>
        <v>241972</v>
      </c>
      <c r="G12" s="13">
        <f t="shared" si="2"/>
        <v>0.87355458723379675</v>
      </c>
      <c r="H12" t="str">
        <f>IF(G12&lt;=Assumptions!$B$4,"A",IF(G12&lt;=Assumptions!$B$5,"B","C"))</f>
        <v>B</v>
      </c>
    </row>
    <row r="13" spans="1:11" x14ac:dyDescent="0.25">
      <c r="A13" t="str">
        <f>'SKU Data'!A13</f>
        <v>HOM-504</v>
      </c>
      <c r="B13" t="str">
        <f>'SKU Data'!B13</f>
        <v>Bamboo Cutting Board</v>
      </c>
      <c r="C13" t="str">
        <f>'SKU Data'!C13</f>
        <v>Home Goods</v>
      </c>
      <c r="D13" s="12">
        <f>'SKU Data'!D13*'SKU Data'!F13</f>
        <v>7520</v>
      </c>
      <c r="E13">
        <f t="shared" si="0"/>
        <v>12</v>
      </c>
      <c r="F13" s="12">
        <f t="shared" si="1"/>
        <v>249492</v>
      </c>
      <c r="G13" s="13">
        <f t="shared" si="2"/>
        <v>0.90070289569923145</v>
      </c>
      <c r="H13" t="str">
        <f>IF(G13&lt;=Assumptions!$B$4,"A",IF(G13&lt;=Assumptions!$B$5,"B","C"))</f>
        <v>B</v>
      </c>
    </row>
    <row r="14" spans="1:11" x14ac:dyDescent="0.25">
      <c r="A14" t="str">
        <f>'SKU Data'!A14</f>
        <v>HOM-501</v>
      </c>
      <c r="B14" t="str">
        <f>'SKU Data'!B14</f>
        <v>Ceramic Coffee Mug Set</v>
      </c>
      <c r="C14" t="str">
        <f>'SKU Data'!C14</f>
        <v>Home Goods</v>
      </c>
      <c r="D14" s="12">
        <f>'SKU Data'!D14*'SKU Data'!F14</f>
        <v>6600</v>
      </c>
      <c r="E14">
        <f t="shared" si="0"/>
        <v>13</v>
      </c>
      <c r="F14" s="12">
        <f t="shared" si="1"/>
        <v>256092</v>
      </c>
      <c r="G14" s="13">
        <f t="shared" si="2"/>
        <v>0.92452986855453312</v>
      </c>
      <c r="H14" t="str">
        <f>IF(G14&lt;=Assumptions!$B$4,"A",IF(G14&lt;=Assumptions!$B$5,"B","C"))</f>
        <v>B</v>
      </c>
    </row>
    <row r="15" spans="1:11" x14ac:dyDescent="0.25">
      <c r="A15" t="str">
        <f>'SKU Data'!A15</f>
        <v>APP-104</v>
      </c>
      <c r="B15" t="str">
        <f>'SKU Data'!B15</f>
        <v>Slim Fit Chinos</v>
      </c>
      <c r="C15" t="str">
        <f>'SKU Data'!C15</f>
        <v>Apparel</v>
      </c>
      <c r="D15" s="12">
        <f>'SKU Data'!D15*'SKU Data'!F15</f>
        <v>5103</v>
      </c>
      <c r="E15">
        <f t="shared" si="0"/>
        <v>14</v>
      </c>
      <c r="F15" s="12">
        <f t="shared" si="1"/>
        <v>261195</v>
      </c>
      <c r="G15" s="13">
        <f t="shared" si="2"/>
        <v>0.94295245074856404</v>
      </c>
      <c r="H15" t="str">
        <f>IF(G15&lt;=Assumptions!$B$4,"A",IF(G15&lt;=Assumptions!$B$5,"B","C"))</f>
        <v>B</v>
      </c>
    </row>
    <row r="16" spans="1:11" x14ac:dyDescent="0.25">
      <c r="A16" t="str">
        <f>'SKU Data'!A16</f>
        <v>ACC-304</v>
      </c>
      <c r="B16" t="str">
        <f>'SKU Data'!B16</f>
        <v>Wool Beanie</v>
      </c>
      <c r="C16" t="str">
        <f>'SKU Data'!C16</f>
        <v>Accessories</v>
      </c>
      <c r="D16" s="12">
        <f>'SKU Data'!D16*'SKU Data'!F16</f>
        <v>4405.5</v>
      </c>
      <c r="E16">
        <f t="shared" si="0"/>
        <v>15</v>
      </c>
      <c r="F16" s="12">
        <f t="shared" si="1"/>
        <v>265600.5</v>
      </c>
      <c r="G16" s="13">
        <f t="shared" si="2"/>
        <v>0.95885695512947788</v>
      </c>
      <c r="H16" t="str">
        <f>IF(G16&lt;=Assumptions!$B$4,"A",IF(G16&lt;=Assumptions!$B$5,"B","C"))</f>
        <v>C</v>
      </c>
    </row>
    <row r="17" spans="1:8" x14ac:dyDescent="0.25">
      <c r="A17" t="str">
        <f>'SKU Data'!A17</f>
        <v>ACC-301</v>
      </c>
      <c r="B17" t="str">
        <f>'SKU Data'!B17</f>
        <v>Leather Belt</v>
      </c>
      <c r="C17" t="str">
        <f>'SKU Data'!C17</f>
        <v>Accessories</v>
      </c>
      <c r="D17" s="12">
        <f>'SKU Data'!D17*'SKU Data'!F17</f>
        <v>3773</v>
      </c>
      <c r="E17">
        <f t="shared" si="0"/>
        <v>16</v>
      </c>
      <c r="F17" s="12">
        <f t="shared" si="1"/>
        <v>269373.5</v>
      </c>
      <c r="G17" s="13">
        <f t="shared" si="2"/>
        <v>0.97247804127842541</v>
      </c>
      <c r="H17" t="str">
        <f>IF(G17&lt;=Assumptions!$B$4,"A",IF(G17&lt;=Assumptions!$B$5,"B","C"))</f>
        <v>C</v>
      </c>
    </row>
    <row r="18" spans="1:8" x14ac:dyDescent="0.25">
      <c r="A18" t="str">
        <f>'SKU Data'!A18</f>
        <v>ACC-303</v>
      </c>
      <c r="B18" t="str">
        <f>'SKU Data'!B18</f>
        <v>Canvas Tote Bag</v>
      </c>
      <c r="C18" t="str">
        <f>'SKU Data'!C18</f>
        <v>Accessories</v>
      </c>
      <c r="D18" s="12">
        <f>'SKU Data'!D18*'SKU Data'!F18</f>
        <v>2278</v>
      </c>
      <c r="E18">
        <f t="shared" si="0"/>
        <v>17</v>
      </c>
      <c r="F18" s="12">
        <f t="shared" si="1"/>
        <v>271651.5</v>
      </c>
      <c r="G18" s="13">
        <f t="shared" si="2"/>
        <v>0.98070195706090679</v>
      </c>
      <c r="H18" t="str">
        <f>IF(G18&lt;=Assumptions!$B$4,"A",IF(G18&lt;=Assumptions!$B$5,"B","C"))</f>
        <v>C</v>
      </c>
    </row>
    <row r="19" spans="1:8" x14ac:dyDescent="0.25">
      <c r="A19" t="str">
        <f>'SKU Data'!A19</f>
        <v>ELE-404</v>
      </c>
      <c r="B19" t="str">
        <f>'SKU Data'!B19</f>
        <v>Phone Charging Cable</v>
      </c>
      <c r="C19" t="str">
        <f>'SKU Data'!C19</f>
        <v>Electronics</v>
      </c>
      <c r="D19" s="12">
        <f>'SKU Data'!D19*'SKU Data'!F19</f>
        <v>1932</v>
      </c>
      <c r="E19">
        <f t="shared" si="0"/>
        <v>18</v>
      </c>
      <c r="F19" s="12">
        <f t="shared" si="1"/>
        <v>273583.5</v>
      </c>
      <c r="G19" s="13">
        <f t="shared" si="2"/>
        <v>0.987676761842186</v>
      </c>
      <c r="H19" t="str">
        <f>IF(G19&lt;=Assumptions!$B$4,"A",IF(G19&lt;=Assumptions!$B$5,"B","C"))</f>
        <v>C</v>
      </c>
    </row>
    <row r="20" spans="1:8" x14ac:dyDescent="0.25">
      <c r="A20" t="str">
        <f>'SKU Data'!A20</f>
        <v>HOM-502</v>
      </c>
      <c r="B20" t="str">
        <f>'SKU Data'!B20</f>
        <v>Scented Candle</v>
      </c>
      <c r="C20" t="str">
        <f>'SKU Data'!C20</f>
        <v>Home Goods</v>
      </c>
      <c r="D20" s="12">
        <f>'SKU Data'!D20*'SKU Data'!F20</f>
        <v>1860</v>
      </c>
      <c r="E20">
        <f t="shared" si="0"/>
        <v>19</v>
      </c>
      <c r="F20" s="12">
        <f t="shared" si="1"/>
        <v>275443.5</v>
      </c>
      <c r="G20" s="13">
        <f t="shared" si="2"/>
        <v>0.99439163601049829</v>
      </c>
      <c r="H20" t="str">
        <f>IF(G20&lt;=Assumptions!$B$4,"A",IF(G20&lt;=Assumptions!$B$5,"B","C"))</f>
        <v>C</v>
      </c>
    </row>
    <row r="21" spans="1:8" x14ac:dyDescent="0.25">
      <c r="A21" t="str">
        <f>'SKU Data'!A21</f>
        <v>APP-102</v>
      </c>
      <c r="B21" t="str">
        <f>'SKU Data'!B21</f>
        <v>Cotton Crew T-Shirt</v>
      </c>
      <c r="C21" t="str">
        <f>'SKU Data'!C21</f>
        <v>Apparel</v>
      </c>
      <c r="D21" s="12">
        <f>'SKU Data'!D21*'SKU Data'!F21</f>
        <v>1553.5</v>
      </c>
      <c r="E21">
        <f t="shared" si="0"/>
        <v>20</v>
      </c>
      <c r="F21" s="12">
        <f t="shared" si="1"/>
        <v>276997</v>
      </c>
      <c r="G21" s="13">
        <f t="shared" si="2"/>
        <v>1</v>
      </c>
      <c r="H21" t="str">
        <f>IF(G21&lt;=Assumptions!$B$4,"A",IF(G21&lt;=Assumptions!$B$5,"B","C"))</f>
        <v>C</v>
      </c>
    </row>
    <row r="24" spans="1:8" ht="18" x14ac:dyDescent="0.25">
      <c r="A24" s="38" t="s">
        <v>117</v>
      </c>
      <c r="B24" s="38"/>
      <c r="C24" s="38"/>
      <c r="D24" s="38"/>
    </row>
    <row r="25" spans="1:8" ht="47.25" x14ac:dyDescent="0.25">
      <c r="A25" s="23" t="s">
        <v>94</v>
      </c>
      <c r="B25" s="23" t="s">
        <v>118</v>
      </c>
      <c r="C25" s="24" t="s">
        <v>90</v>
      </c>
      <c r="D25" s="23" t="s">
        <v>119</v>
      </c>
      <c r="E25" s="21"/>
    </row>
    <row r="26" spans="1:8" x14ac:dyDescent="0.25">
      <c r="A26" t="s">
        <v>95</v>
      </c>
      <c r="B26">
        <f>COUNTIF($H$2:$H$21, A26)</f>
        <v>8</v>
      </c>
      <c r="C26" s="25">
        <f>SUMIF($H$2:$H$21, A26,$D$2:$D$21)</f>
        <v>217451</v>
      </c>
      <c r="D26" s="22">
        <f>C26/SUM($D$2:$D$21)</f>
        <v>0.78503016278154636</v>
      </c>
      <c r="E26" s="13"/>
    </row>
    <row r="27" spans="1:8" x14ac:dyDescent="0.25">
      <c r="A27" t="s">
        <v>96</v>
      </c>
      <c r="B27">
        <f>COUNTIF($H$2:$H$21, A27)</f>
        <v>6</v>
      </c>
      <c r="C27" s="25">
        <f t="shared" ref="C27:C28" si="3">SUMIF($H$2:$H$21, A27,$D$2:$D$21)</f>
        <v>43744</v>
      </c>
      <c r="D27" s="22">
        <f t="shared" ref="D27:D28" si="4">C27/SUM($D$2:$D$21)</f>
        <v>0.15792228796701768</v>
      </c>
      <c r="E27" s="13"/>
    </row>
    <row r="28" spans="1:8" x14ac:dyDescent="0.25">
      <c r="A28" t="s">
        <v>97</v>
      </c>
      <c r="B28">
        <f>COUNTIF($H$2:$H$21, A28)</f>
        <v>6</v>
      </c>
      <c r="C28" s="25">
        <f t="shared" si="3"/>
        <v>15802</v>
      </c>
      <c r="D28" s="22">
        <f t="shared" si="4"/>
        <v>5.7047549251435938E-2</v>
      </c>
      <c r="E28" s="13"/>
    </row>
    <row r="29" spans="1:8" x14ac:dyDescent="0.25">
      <c r="D29" s="22"/>
    </row>
    <row r="30" spans="1:8" ht="18.75" x14ac:dyDescent="0.3">
      <c r="A30" s="20" t="s">
        <v>120</v>
      </c>
    </row>
    <row r="31" spans="1:8" ht="45" x14ac:dyDescent="0.25">
      <c r="A31" s="26" t="s">
        <v>121</v>
      </c>
      <c r="B31" s="27" t="b">
        <f>SUM(B26:B28)=COUNTA(A2:A21)</f>
        <v>1</v>
      </c>
    </row>
    <row r="32" spans="1:8" ht="45" x14ac:dyDescent="0.25">
      <c r="A32" s="26" t="s">
        <v>122</v>
      </c>
      <c r="B32" s="27" t="b">
        <f>ROUND(SUM(D26:D28),4)=1</f>
        <v>1</v>
      </c>
    </row>
  </sheetData>
  <mergeCells count="1">
    <mergeCell ref="A24:D24"/>
  </mergeCells>
  <conditionalFormatting sqref="H2:H21">
    <cfRule type="cellIs" dxfId="2" priority="2" operator="equal">
      <formula>"A"</formula>
    </cfRule>
    <cfRule type="cellIs" dxfId="1" priority="3" operator="equal">
      <formula>"B"</formula>
    </cfRule>
    <cfRule type="cellIs" dxfId="0" priority="4" operator="equal">
      <formula>"C"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11802-3106-4502-B7BB-E91DA0D5242D}">
  <dimension ref="A1:G32"/>
  <sheetViews>
    <sheetView topLeftCell="A13" workbookViewId="0">
      <selection activeCell="A31" sqref="A31:B31"/>
    </sheetView>
  </sheetViews>
  <sheetFormatPr defaultRowHeight="15" x14ac:dyDescent="0.25"/>
  <cols>
    <col min="2" max="2" width="19.28515625" bestFit="1" customWidth="1"/>
    <col min="3" max="3" width="10.5703125" bestFit="1" customWidth="1"/>
    <col min="4" max="4" width="19.140625" bestFit="1" customWidth="1"/>
    <col min="5" max="5" width="17.5703125" bestFit="1" customWidth="1"/>
    <col min="6" max="6" width="24" bestFit="1" customWidth="1"/>
    <col min="7" max="7" width="9.7109375" bestFit="1" customWidth="1"/>
  </cols>
  <sheetData>
    <row r="1" spans="1:7" ht="15.75" x14ac:dyDescent="0.25">
      <c r="A1" s="39" t="s">
        <v>34</v>
      </c>
      <c r="B1" s="39" t="s">
        <v>35</v>
      </c>
      <c r="C1" s="39" t="s">
        <v>36</v>
      </c>
      <c r="D1" s="39" t="s">
        <v>40</v>
      </c>
      <c r="E1" s="39" t="s">
        <v>41</v>
      </c>
      <c r="F1" s="39" t="s">
        <v>123</v>
      </c>
      <c r="G1" s="39" t="s">
        <v>124</v>
      </c>
    </row>
    <row r="2" spans="1:7" x14ac:dyDescent="0.25">
      <c r="A2" t="str">
        <f>'SKU Data'!A2</f>
        <v>ELE-403</v>
      </c>
      <c r="B2" t="str">
        <f>'SKU Data'!B2</f>
        <v>Fitness Tracker Band</v>
      </c>
      <c r="C2" t="str">
        <f>'SKU Data'!C2</f>
        <v>Electronics</v>
      </c>
      <c r="D2" s="14">
        <f>'SKU Data'!G2</f>
        <v>5.05</v>
      </c>
      <c r="E2" s="14">
        <f>'SKU Data'!H2</f>
        <v>1.31</v>
      </c>
      <c r="F2" s="22">
        <f>IFERROR(E2/D2, 0)</f>
        <v>0.25940594059405941</v>
      </c>
      <c r="G2" t="str">
        <f>IF(F2&lt;=Assumptions!$B$10, "X", IF(F2&lt;=Assumptions!$B$11, "Y", "Z"))</f>
        <v>X</v>
      </c>
    </row>
    <row r="3" spans="1:7" x14ac:dyDescent="0.25">
      <c r="A3" t="str">
        <f>'SKU Data'!A3</f>
        <v>FTW-201</v>
      </c>
      <c r="B3" t="str">
        <f>'SKU Data'!B3</f>
        <v>Running Sneakers</v>
      </c>
      <c r="C3" t="str">
        <f>'SKU Data'!C3</f>
        <v>Footwear</v>
      </c>
      <c r="D3" s="14">
        <f>'SKU Data'!G3</f>
        <v>2.25</v>
      </c>
      <c r="E3" s="14">
        <f>'SKU Data'!H3</f>
        <v>0.77</v>
      </c>
      <c r="F3" s="22">
        <f t="shared" ref="F3:F21" si="0">IFERROR(E3/D3, 0)</f>
        <v>0.34222222222222221</v>
      </c>
      <c r="G3" t="str">
        <f>IF(F3&lt;=Assumptions!$B$10, "X", IF(F3&lt;=Assumptions!$B$11, "Y", "Z"))</f>
        <v>X</v>
      </c>
    </row>
    <row r="4" spans="1:7" x14ac:dyDescent="0.25">
      <c r="A4" t="str">
        <f>'SKU Data'!A4</f>
        <v>ACC-302</v>
      </c>
      <c r="B4" t="str">
        <f>'SKU Data'!B4</f>
        <v>Aviator Sunglasses</v>
      </c>
      <c r="C4" t="str">
        <f>'SKU Data'!C4</f>
        <v>Accessories</v>
      </c>
      <c r="D4" s="14">
        <f>'SKU Data'!G4</f>
        <v>4.2</v>
      </c>
      <c r="E4" s="14">
        <f>'SKU Data'!H4</f>
        <v>1.43</v>
      </c>
      <c r="F4" s="22">
        <f t="shared" si="0"/>
        <v>0.34047619047619043</v>
      </c>
      <c r="G4" t="str">
        <f>IF(F4&lt;=Assumptions!$B$10, "X", IF(F4&lt;=Assumptions!$B$11, "Y", "Z"))</f>
        <v>X</v>
      </c>
    </row>
    <row r="5" spans="1:7" x14ac:dyDescent="0.25">
      <c r="A5" t="str">
        <f>'SKU Data'!A5</f>
        <v>FTW-202</v>
      </c>
      <c r="B5" t="str">
        <f>'SKU Data'!B5</f>
        <v>Canvas Low-Top</v>
      </c>
      <c r="C5" t="str">
        <f>'SKU Data'!C5</f>
        <v>Footwear</v>
      </c>
      <c r="D5" s="14">
        <f>'SKU Data'!G5</f>
        <v>2.6</v>
      </c>
      <c r="E5" s="14">
        <f>'SKU Data'!H5</f>
        <v>0.73</v>
      </c>
      <c r="F5" s="22">
        <f t="shared" si="0"/>
        <v>0.28076923076923077</v>
      </c>
      <c r="G5" t="str">
        <f>IF(F5&lt;=Assumptions!$B$10, "X", IF(F5&lt;=Assumptions!$B$11, "Y", "Z"))</f>
        <v>X</v>
      </c>
    </row>
    <row r="6" spans="1:7" x14ac:dyDescent="0.25">
      <c r="A6" t="str">
        <f>'SKU Data'!A6</f>
        <v>ELE-401</v>
      </c>
      <c r="B6" t="str">
        <f>'SKU Data'!B6</f>
        <v>Wireless Earbuds</v>
      </c>
      <c r="C6" t="str">
        <f>'SKU Data'!C6</f>
        <v>Electronics</v>
      </c>
      <c r="D6" s="14">
        <f>'SKU Data'!G6</f>
        <v>1.58</v>
      </c>
      <c r="E6" s="14">
        <f>'SKU Data'!H6</f>
        <v>0.79</v>
      </c>
      <c r="F6" s="22">
        <f t="shared" si="0"/>
        <v>0.5</v>
      </c>
      <c r="G6" t="str">
        <f>IF(F6&lt;=Assumptions!$B$10, "X", IF(F6&lt;=Assumptions!$B$11, "Y", "Z"))</f>
        <v>X</v>
      </c>
    </row>
    <row r="7" spans="1:7" x14ac:dyDescent="0.25">
      <c r="A7" t="str">
        <f>'SKU Data'!A7</f>
        <v>FTW-203</v>
      </c>
      <c r="B7" t="str">
        <f>'SKU Data'!B7</f>
        <v>Leather Ankle Boot</v>
      </c>
      <c r="C7" t="str">
        <f>'SKU Data'!C7</f>
        <v>Footwear</v>
      </c>
      <c r="D7" s="14">
        <f>'SKU Data'!G7</f>
        <v>0.86</v>
      </c>
      <c r="E7" s="14">
        <f>'SKU Data'!H7</f>
        <v>0.38</v>
      </c>
      <c r="F7" s="22">
        <f t="shared" si="0"/>
        <v>0.44186046511627908</v>
      </c>
      <c r="G7" t="str">
        <f>IF(F7&lt;=Assumptions!$B$10, "X", IF(F7&lt;=Assumptions!$B$11, "Y", "Z"))</f>
        <v>X</v>
      </c>
    </row>
    <row r="8" spans="1:7" x14ac:dyDescent="0.25">
      <c r="A8" t="str">
        <f>'SKU Data'!A8</f>
        <v>HOM-503</v>
      </c>
      <c r="B8" t="str">
        <f>'SKU Data'!B8</f>
        <v>Cotton Throw Blanket</v>
      </c>
      <c r="C8" t="str">
        <f>'SKU Data'!C8</f>
        <v>Home Goods</v>
      </c>
      <c r="D8" s="14">
        <f>'SKU Data'!G8</f>
        <v>2.81</v>
      </c>
      <c r="E8" s="14">
        <f>'SKU Data'!H8</f>
        <v>1.52</v>
      </c>
      <c r="F8" s="22">
        <f t="shared" si="0"/>
        <v>0.54092526690391463</v>
      </c>
      <c r="G8" t="str">
        <f>IF(F8&lt;=Assumptions!$B$10, "X", IF(F8&lt;=Assumptions!$B$11, "Y", "Z"))</f>
        <v>Y</v>
      </c>
    </row>
    <row r="9" spans="1:7" x14ac:dyDescent="0.25">
      <c r="A9" t="str">
        <f>'SKU Data'!A9</f>
        <v>ELE-402</v>
      </c>
      <c r="B9" t="str">
        <f>'SKU Data'!B9</f>
        <v>Bluetooth Speaker</v>
      </c>
      <c r="C9" t="str">
        <f>'SKU Data'!C9</f>
        <v>Electronics</v>
      </c>
      <c r="D9" s="14">
        <f>'SKU Data'!G9</f>
        <v>1.56</v>
      </c>
      <c r="E9" s="14">
        <f>'SKU Data'!H9</f>
        <v>0.69</v>
      </c>
      <c r="F9" s="22">
        <f t="shared" si="0"/>
        <v>0.44230769230769224</v>
      </c>
      <c r="G9" t="str">
        <f>IF(F9&lt;=Assumptions!$B$10, "X", IF(F9&lt;=Assumptions!$B$11, "Y", "Z"))</f>
        <v>X</v>
      </c>
    </row>
    <row r="10" spans="1:7" x14ac:dyDescent="0.25">
      <c r="A10" t="str">
        <f>'SKU Data'!A10</f>
        <v>APP-101</v>
      </c>
      <c r="B10" t="str">
        <f>'SKU Data'!B10</f>
        <v>Classic Denim Jacket</v>
      </c>
      <c r="C10" t="str">
        <f>'SKU Data'!C10</f>
        <v>Apparel</v>
      </c>
      <c r="D10" s="14">
        <f>'SKU Data'!G10</f>
        <v>0.92</v>
      </c>
      <c r="E10" s="14">
        <f>'SKU Data'!H10</f>
        <v>0.34</v>
      </c>
      <c r="F10" s="22">
        <f t="shared" si="0"/>
        <v>0.36956521739130438</v>
      </c>
      <c r="G10" t="str">
        <f>IF(F10&lt;=Assumptions!$B$10, "X", IF(F10&lt;=Assumptions!$B$11, "Y", "Z"))</f>
        <v>X</v>
      </c>
    </row>
    <row r="11" spans="1:7" x14ac:dyDescent="0.25">
      <c r="A11" t="str">
        <f>'SKU Data'!A11</f>
        <v>APP-103</v>
      </c>
      <c r="B11" t="str">
        <f>'SKU Data'!B11</f>
        <v>Fleece Pullover Hoodie</v>
      </c>
      <c r="C11" t="str">
        <f>'SKU Data'!C11</f>
        <v>Apparel</v>
      </c>
      <c r="D11" s="14">
        <f>'SKU Data'!G11</f>
        <v>1.17</v>
      </c>
      <c r="E11" s="14">
        <f>'SKU Data'!H11</f>
        <v>0.33</v>
      </c>
      <c r="F11" s="22">
        <f t="shared" si="0"/>
        <v>0.2820512820512821</v>
      </c>
      <c r="G11" t="str">
        <f>IF(F11&lt;=Assumptions!$B$10, "X", IF(F11&lt;=Assumptions!$B$11, "Y", "Z"))</f>
        <v>X</v>
      </c>
    </row>
    <row r="12" spans="1:7" x14ac:dyDescent="0.25">
      <c r="A12" t="str">
        <f>'SKU Data'!A12</f>
        <v>FTW-204</v>
      </c>
      <c r="B12" t="str">
        <f>'SKU Data'!B12</f>
        <v>Slide Sandals</v>
      </c>
      <c r="C12" t="str">
        <f>'SKU Data'!C12</f>
        <v>Footwear</v>
      </c>
      <c r="D12" s="14">
        <f>'SKU Data'!G12</f>
        <v>2.33</v>
      </c>
      <c r="E12" s="14">
        <f>'SKU Data'!H12</f>
        <v>1</v>
      </c>
      <c r="F12" s="22">
        <f t="shared" si="0"/>
        <v>0.42918454935622319</v>
      </c>
      <c r="G12" t="str">
        <f>IF(F12&lt;=Assumptions!$B$10, "X", IF(F12&lt;=Assumptions!$B$11, "Y", "Z"))</f>
        <v>X</v>
      </c>
    </row>
    <row r="13" spans="1:7" x14ac:dyDescent="0.25">
      <c r="A13" t="str">
        <f>'SKU Data'!A13</f>
        <v>HOM-504</v>
      </c>
      <c r="B13" t="str">
        <f>'SKU Data'!B13</f>
        <v>Bamboo Cutting Board</v>
      </c>
      <c r="C13" t="str">
        <f>'SKU Data'!C13</f>
        <v>Home Goods</v>
      </c>
      <c r="D13" s="14">
        <f>'SKU Data'!G13</f>
        <v>2.06</v>
      </c>
      <c r="E13" s="14">
        <f>'SKU Data'!H13</f>
        <v>0.52</v>
      </c>
      <c r="F13" s="22">
        <f t="shared" si="0"/>
        <v>0.25242718446601942</v>
      </c>
      <c r="G13" t="str">
        <f>IF(F13&lt;=Assumptions!$B$10, "X", IF(F13&lt;=Assumptions!$B$11, "Y", "Z"))</f>
        <v>X</v>
      </c>
    </row>
    <row r="14" spans="1:7" x14ac:dyDescent="0.25">
      <c r="A14" t="str">
        <f>'SKU Data'!A14</f>
        <v>HOM-501</v>
      </c>
      <c r="B14" t="str">
        <f>'SKU Data'!B14</f>
        <v>Ceramic Coffee Mug Set</v>
      </c>
      <c r="C14" t="str">
        <f>'SKU Data'!C14</f>
        <v>Home Goods</v>
      </c>
      <c r="D14" s="14">
        <f>'SKU Data'!G14</f>
        <v>2.2599999999999998</v>
      </c>
      <c r="E14" s="14">
        <f>'SKU Data'!H14</f>
        <v>0.61</v>
      </c>
      <c r="F14" s="22">
        <f t="shared" si="0"/>
        <v>0.26991150442477879</v>
      </c>
      <c r="G14" t="str">
        <f>IF(F14&lt;=Assumptions!$B$10, "X", IF(F14&lt;=Assumptions!$B$11, "Y", "Z"))</f>
        <v>X</v>
      </c>
    </row>
    <row r="15" spans="1:7" x14ac:dyDescent="0.25">
      <c r="A15" t="str">
        <f>'SKU Data'!A15</f>
        <v>APP-104</v>
      </c>
      <c r="B15" t="str">
        <f>'SKU Data'!B15</f>
        <v>Slim Fit Chinos</v>
      </c>
      <c r="C15" t="str">
        <f>'SKU Data'!C15</f>
        <v>Apparel</v>
      </c>
      <c r="D15" s="14">
        <f>'SKU Data'!G15</f>
        <v>0.67</v>
      </c>
      <c r="E15" s="14">
        <f>'SKU Data'!H15</f>
        <v>0.28000000000000003</v>
      </c>
      <c r="F15" s="22">
        <f t="shared" si="0"/>
        <v>0.41791044776119407</v>
      </c>
      <c r="G15" t="str">
        <f>IF(F15&lt;=Assumptions!$B$10, "X", IF(F15&lt;=Assumptions!$B$11, "Y", "Z"))</f>
        <v>X</v>
      </c>
    </row>
    <row r="16" spans="1:7" x14ac:dyDescent="0.25">
      <c r="A16" t="str">
        <f>'SKU Data'!A16</f>
        <v>ACC-304</v>
      </c>
      <c r="B16" t="str">
        <f>'SKU Data'!B16</f>
        <v>Wool Beanie</v>
      </c>
      <c r="C16" t="str">
        <f>'SKU Data'!C16</f>
        <v>Accessories</v>
      </c>
      <c r="D16" s="14">
        <f>'SKU Data'!G16</f>
        <v>2.19</v>
      </c>
      <c r="E16" s="14">
        <f>'SKU Data'!H16</f>
        <v>0.77</v>
      </c>
      <c r="F16" s="22">
        <f t="shared" si="0"/>
        <v>0.35159817351598177</v>
      </c>
      <c r="G16" t="str">
        <f>IF(F16&lt;=Assumptions!$B$10, "X", IF(F16&lt;=Assumptions!$B$11, "Y", "Z"))</f>
        <v>X</v>
      </c>
    </row>
    <row r="17" spans="1:7" x14ac:dyDescent="0.25">
      <c r="A17" t="str">
        <f>'SKU Data'!A17</f>
        <v>ACC-301</v>
      </c>
      <c r="B17" t="str">
        <f>'SKU Data'!B17</f>
        <v>Leather Belt</v>
      </c>
      <c r="C17" t="str">
        <f>'SKU Data'!C17</f>
        <v>Accessories</v>
      </c>
      <c r="D17" s="14">
        <f>'SKU Data'!G17</f>
        <v>0.94</v>
      </c>
      <c r="E17" s="14">
        <f>'SKU Data'!H17</f>
        <v>0.25</v>
      </c>
      <c r="F17" s="22">
        <f t="shared" si="0"/>
        <v>0.26595744680851063</v>
      </c>
      <c r="G17" t="str">
        <f>IF(F17&lt;=Assumptions!$B$10, "X", IF(F17&lt;=Assumptions!$B$11, "Y", "Z"))</f>
        <v>X</v>
      </c>
    </row>
    <row r="18" spans="1:7" x14ac:dyDescent="0.25">
      <c r="A18" t="str">
        <f>'SKU Data'!A18</f>
        <v>ACC-303</v>
      </c>
      <c r="B18" t="str">
        <f>'SKU Data'!B18</f>
        <v>Canvas Tote Bag</v>
      </c>
      <c r="C18" t="str">
        <f>'SKU Data'!C18</f>
        <v>Accessories</v>
      </c>
      <c r="D18" s="14">
        <f>'SKU Data'!G18</f>
        <v>0.73</v>
      </c>
      <c r="E18" s="14">
        <f>'SKU Data'!H18</f>
        <v>0.39</v>
      </c>
      <c r="F18" s="22">
        <f t="shared" si="0"/>
        <v>0.53424657534246578</v>
      </c>
      <c r="G18" t="str">
        <f>IF(F18&lt;=Assumptions!$B$10, "X", IF(F18&lt;=Assumptions!$B$11, "Y", "Z"))</f>
        <v>Y</v>
      </c>
    </row>
    <row r="19" spans="1:7" x14ac:dyDescent="0.25">
      <c r="A19" t="str">
        <f>'SKU Data'!A19</f>
        <v>ELE-404</v>
      </c>
      <c r="B19" t="str">
        <f>'SKU Data'!B19</f>
        <v>Phone Charging Cable</v>
      </c>
      <c r="C19" t="str">
        <f>'SKU Data'!C19</f>
        <v>Electronics</v>
      </c>
      <c r="D19" s="14">
        <f>'SKU Data'!G19</f>
        <v>1.51</v>
      </c>
      <c r="E19" s="14">
        <f>'SKU Data'!H19</f>
        <v>0.48</v>
      </c>
      <c r="F19" s="22">
        <f t="shared" si="0"/>
        <v>0.31788079470198677</v>
      </c>
      <c r="G19" t="str">
        <f>IF(F19&lt;=Assumptions!$B$10, "X", IF(F19&lt;=Assumptions!$B$11, "Y", "Z"))</f>
        <v>X</v>
      </c>
    </row>
    <row r="20" spans="1:7" x14ac:dyDescent="0.25">
      <c r="A20" t="str">
        <f>'SKU Data'!A20</f>
        <v>HOM-502</v>
      </c>
      <c r="B20" t="str">
        <f>'SKU Data'!B20</f>
        <v>Scented Candle</v>
      </c>
      <c r="C20" t="str">
        <f>'SKU Data'!C20</f>
        <v>Home Goods</v>
      </c>
      <c r="D20" s="14">
        <f>'SKU Data'!G20</f>
        <v>1.02</v>
      </c>
      <c r="E20" s="14">
        <f>'SKU Data'!H20</f>
        <v>0.52</v>
      </c>
      <c r="F20" s="22">
        <f t="shared" si="0"/>
        <v>0.50980392156862742</v>
      </c>
      <c r="G20" t="str">
        <f>IF(F20&lt;=Assumptions!$B$10, "X", IF(F20&lt;=Assumptions!$B$11, "Y", "Z"))</f>
        <v>Y</v>
      </c>
    </row>
    <row r="21" spans="1:7" x14ac:dyDescent="0.25">
      <c r="A21" t="str">
        <f>'SKU Data'!A21</f>
        <v>APP-102</v>
      </c>
      <c r="B21" t="str">
        <f>'SKU Data'!B21</f>
        <v>Cotton Crew T-Shirt</v>
      </c>
      <c r="C21" t="str">
        <f>'SKU Data'!C21</f>
        <v>Apparel</v>
      </c>
      <c r="D21" s="14">
        <f>'SKU Data'!G21</f>
        <v>0.65</v>
      </c>
      <c r="E21" s="14">
        <f>'SKU Data'!H21</f>
        <v>0.34</v>
      </c>
      <c r="F21" s="22">
        <f t="shared" si="0"/>
        <v>0.52307692307692311</v>
      </c>
      <c r="G21" t="str">
        <f>IF(F21&lt;=Assumptions!$B$10, "X", IF(F21&lt;=Assumptions!$B$11, "Y", "Z"))</f>
        <v>Y</v>
      </c>
    </row>
    <row r="24" spans="1:7" ht="18" x14ac:dyDescent="0.25">
      <c r="A24" s="38" t="s">
        <v>129</v>
      </c>
      <c r="B24" s="38"/>
      <c r="C24" s="38"/>
      <c r="D24" s="38"/>
    </row>
    <row r="25" spans="1:7" ht="15.75" x14ac:dyDescent="0.25">
      <c r="A25" s="23" t="s">
        <v>94</v>
      </c>
      <c r="B25" s="23" t="s">
        <v>118</v>
      </c>
    </row>
    <row r="26" spans="1:7" x14ac:dyDescent="0.25">
      <c r="A26" s="26" t="s">
        <v>130</v>
      </c>
      <c r="B26" s="26">
        <f>COUNTIF($G$2:$G$21,A26)</f>
        <v>16</v>
      </c>
    </row>
    <row r="27" spans="1:7" x14ac:dyDescent="0.25">
      <c r="A27" s="26" t="s">
        <v>131</v>
      </c>
      <c r="B27" s="26">
        <f t="shared" ref="B27:B28" si="1">COUNTIF($G$2:$G$21,A27)</f>
        <v>4</v>
      </c>
    </row>
    <row r="28" spans="1:7" x14ac:dyDescent="0.25">
      <c r="A28" s="26" t="s">
        <v>132</v>
      </c>
      <c r="B28">
        <f t="shared" si="1"/>
        <v>0</v>
      </c>
    </row>
    <row r="29" spans="1:7" x14ac:dyDescent="0.25">
      <c r="A29" s="26" t="s">
        <v>133</v>
      </c>
      <c r="B29" s="26">
        <f>SUM(B26:B28)</f>
        <v>20</v>
      </c>
    </row>
    <row r="31" spans="1:7" ht="45" customHeight="1" x14ac:dyDescent="0.25">
      <c r="A31" s="38" t="s">
        <v>134</v>
      </c>
      <c r="B31" s="38"/>
    </row>
    <row r="32" spans="1:7" ht="45" x14ac:dyDescent="0.25">
      <c r="A32" s="26" t="s">
        <v>121</v>
      </c>
      <c r="B32" t="b">
        <f>SUM(B26:B28)=COUNTA(A2:A21)</f>
        <v>1</v>
      </c>
    </row>
  </sheetData>
  <mergeCells count="2">
    <mergeCell ref="A24:D24"/>
    <mergeCell ref="A31:B3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6B65B-FE07-414F-B43D-C164FE6ABD2B}">
  <dimension ref="A1:E32"/>
  <sheetViews>
    <sheetView tabSelected="1" topLeftCell="A17" workbookViewId="0">
      <selection activeCell="F32" sqref="F32"/>
    </sheetView>
  </sheetViews>
  <sheetFormatPr defaultRowHeight="15" x14ac:dyDescent="0.25"/>
  <cols>
    <col min="1" max="1" width="15.85546875" customWidth="1"/>
    <col min="2" max="2" width="19.28515625" bestFit="1" customWidth="1"/>
    <col min="3" max="3" width="10" bestFit="1" customWidth="1"/>
    <col min="4" max="4" width="9.7109375" bestFit="1" customWidth="1"/>
    <col min="5" max="5" width="18.5703125" bestFit="1" customWidth="1"/>
  </cols>
  <sheetData>
    <row r="1" spans="1:5" ht="15.75" x14ac:dyDescent="0.25">
      <c r="A1" s="39" t="s">
        <v>34</v>
      </c>
      <c r="B1" s="39" t="s">
        <v>35</v>
      </c>
      <c r="C1" s="39" t="s">
        <v>135</v>
      </c>
      <c r="D1" s="39" t="s">
        <v>124</v>
      </c>
      <c r="E1" s="39" t="s">
        <v>136</v>
      </c>
    </row>
    <row r="2" spans="1:5" x14ac:dyDescent="0.25">
      <c r="A2" t="str">
        <f>'SKU Data'!A2</f>
        <v>ELE-403</v>
      </c>
      <c r="B2" t="str">
        <f>SKUData[[#This Row],[Product]]</f>
        <v>Fitness Tracker Band</v>
      </c>
      <c r="C2" t="str">
        <f>INDEX('ABC Analysis'!$H$2:$H$21,MATCH(A2,'ABC Analysis'!$A$2:$A$21,0))</f>
        <v>A</v>
      </c>
      <c r="D2" t="str">
        <f>INDEX('XYZ Analysis'!$G$2:$G$21,MATCH(A2,'XYZ Analysis'!$A$2:$A$21,0))</f>
        <v>X</v>
      </c>
      <c r="E2" t="str">
        <f>C2&amp;D2</f>
        <v>AX</v>
      </c>
    </row>
    <row r="3" spans="1:5" x14ac:dyDescent="0.25">
      <c r="A3" t="str">
        <f>'SKU Data'!A3</f>
        <v>FTW-201</v>
      </c>
      <c r="B3" t="str">
        <f>SKUData[[#This Row],[Product]]</f>
        <v>Running Sneakers</v>
      </c>
      <c r="C3" t="str">
        <f>INDEX('ABC Analysis'!$H$2:$H$21,MATCH(A3,'ABC Analysis'!$A$2:$A$21,0))</f>
        <v>A</v>
      </c>
      <c r="D3" t="str">
        <f>INDEX('XYZ Analysis'!$G$2:$G$21,MATCH(A3,'XYZ Analysis'!$A$2:$A$21,0))</f>
        <v>X</v>
      </c>
      <c r="E3" t="str">
        <f t="shared" ref="E3:E21" si="0">C3&amp;D3</f>
        <v>AX</v>
      </c>
    </row>
    <row r="4" spans="1:5" x14ac:dyDescent="0.25">
      <c r="A4" t="str">
        <f>'SKU Data'!A4</f>
        <v>ACC-302</v>
      </c>
      <c r="B4" t="str">
        <f>SKUData[[#This Row],[Product]]</f>
        <v>Aviator Sunglasses</v>
      </c>
      <c r="C4" t="str">
        <f>INDEX('ABC Analysis'!$H$2:$H$21,MATCH(A4,'ABC Analysis'!$A$2:$A$21,0))</f>
        <v>A</v>
      </c>
      <c r="D4" t="str">
        <f>INDEX('XYZ Analysis'!$G$2:$G$21,MATCH(A4,'XYZ Analysis'!$A$2:$A$21,0))</f>
        <v>X</v>
      </c>
      <c r="E4" t="str">
        <f t="shared" si="0"/>
        <v>AX</v>
      </c>
    </row>
    <row r="5" spans="1:5" x14ac:dyDescent="0.25">
      <c r="A5" t="str">
        <f>'SKU Data'!A5</f>
        <v>FTW-202</v>
      </c>
      <c r="B5" t="str">
        <f>SKUData[[#This Row],[Product]]</f>
        <v>Canvas Low-Top</v>
      </c>
      <c r="C5" t="str">
        <f>INDEX('ABC Analysis'!$H$2:$H$21,MATCH(A5,'ABC Analysis'!$A$2:$A$21,0))</f>
        <v>A</v>
      </c>
      <c r="D5" t="str">
        <f>INDEX('XYZ Analysis'!$G$2:$G$21,MATCH(A5,'XYZ Analysis'!$A$2:$A$21,0))</f>
        <v>X</v>
      </c>
      <c r="E5" t="str">
        <f t="shared" si="0"/>
        <v>AX</v>
      </c>
    </row>
    <row r="6" spans="1:5" x14ac:dyDescent="0.25">
      <c r="A6" t="str">
        <f>'SKU Data'!A6</f>
        <v>ELE-401</v>
      </c>
      <c r="B6" t="str">
        <f>SKUData[[#This Row],[Product]]</f>
        <v>Wireless Earbuds</v>
      </c>
      <c r="C6" t="str">
        <f>INDEX('ABC Analysis'!$H$2:$H$21,MATCH(A6,'ABC Analysis'!$A$2:$A$21,0))</f>
        <v>A</v>
      </c>
      <c r="D6" t="str">
        <f>INDEX('XYZ Analysis'!$G$2:$G$21,MATCH(A6,'XYZ Analysis'!$A$2:$A$21,0))</f>
        <v>X</v>
      </c>
      <c r="E6" t="str">
        <f t="shared" si="0"/>
        <v>AX</v>
      </c>
    </row>
    <row r="7" spans="1:5" x14ac:dyDescent="0.25">
      <c r="A7" t="str">
        <f>'SKU Data'!A7</f>
        <v>FTW-203</v>
      </c>
      <c r="B7" t="str">
        <f>SKUData[[#This Row],[Product]]</f>
        <v>Leather Ankle Boot</v>
      </c>
      <c r="C7" t="str">
        <f>INDEX('ABC Analysis'!$H$2:$H$21,MATCH(A7,'ABC Analysis'!$A$2:$A$21,0))</f>
        <v>A</v>
      </c>
      <c r="D7" t="str">
        <f>INDEX('XYZ Analysis'!$G$2:$G$21,MATCH(A7,'XYZ Analysis'!$A$2:$A$21,0))</f>
        <v>X</v>
      </c>
      <c r="E7" t="str">
        <f t="shared" si="0"/>
        <v>AX</v>
      </c>
    </row>
    <row r="8" spans="1:5" x14ac:dyDescent="0.25">
      <c r="A8" t="str">
        <f>'SKU Data'!A8</f>
        <v>HOM-503</v>
      </c>
      <c r="B8" t="str">
        <f>SKUData[[#This Row],[Product]]</f>
        <v>Cotton Throw Blanket</v>
      </c>
      <c r="C8" t="str">
        <f>INDEX('ABC Analysis'!$H$2:$H$21,MATCH(A8,'ABC Analysis'!$A$2:$A$21,0))</f>
        <v>A</v>
      </c>
      <c r="D8" t="str">
        <f>INDEX('XYZ Analysis'!$G$2:$G$21,MATCH(A8,'XYZ Analysis'!$A$2:$A$21,0))</f>
        <v>Y</v>
      </c>
      <c r="E8" t="str">
        <f t="shared" si="0"/>
        <v>AY</v>
      </c>
    </row>
    <row r="9" spans="1:5" x14ac:dyDescent="0.25">
      <c r="A9" t="str">
        <f>'SKU Data'!A9</f>
        <v>ELE-402</v>
      </c>
      <c r="B9" t="str">
        <f>SKUData[[#This Row],[Product]]</f>
        <v>Bluetooth Speaker</v>
      </c>
      <c r="C9" t="str">
        <f>INDEX('ABC Analysis'!$H$2:$H$21,MATCH(A9,'ABC Analysis'!$A$2:$A$21,0))</f>
        <v>A</v>
      </c>
      <c r="D9" t="str">
        <f>INDEX('XYZ Analysis'!$G$2:$G$21,MATCH(A9,'XYZ Analysis'!$A$2:$A$21,0))</f>
        <v>X</v>
      </c>
      <c r="E9" t="str">
        <f t="shared" si="0"/>
        <v>AX</v>
      </c>
    </row>
    <row r="10" spans="1:5" x14ac:dyDescent="0.25">
      <c r="A10" t="str">
        <f>'SKU Data'!A10</f>
        <v>APP-101</v>
      </c>
      <c r="B10" t="str">
        <f>SKUData[[#This Row],[Product]]</f>
        <v>Classic Denim Jacket</v>
      </c>
      <c r="C10" t="str">
        <f>INDEX('ABC Analysis'!$H$2:$H$21,MATCH(A10,'ABC Analysis'!$A$2:$A$21,0))</f>
        <v>B</v>
      </c>
      <c r="D10" t="str">
        <f>INDEX('XYZ Analysis'!$G$2:$G$21,MATCH(A10,'XYZ Analysis'!$A$2:$A$21,0))</f>
        <v>X</v>
      </c>
      <c r="E10" t="str">
        <f t="shared" si="0"/>
        <v>BX</v>
      </c>
    </row>
    <row r="11" spans="1:5" x14ac:dyDescent="0.25">
      <c r="A11" t="str">
        <f>'SKU Data'!A11</f>
        <v>APP-103</v>
      </c>
      <c r="B11" t="str">
        <f>SKUData[[#This Row],[Product]]</f>
        <v>Fleece Pullover Hoodie</v>
      </c>
      <c r="C11" t="str">
        <f>INDEX('ABC Analysis'!$H$2:$H$21,MATCH(A11,'ABC Analysis'!$A$2:$A$21,0))</f>
        <v>B</v>
      </c>
      <c r="D11" t="str">
        <f>INDEX('XYZ Analysis'!$G$2:$G$21,MATCH(A11,'XYZ Analysis'!$A$2:$A$21,0))</f>
        <v>X</v>
      </c>
      <c r="E11" t="str">
        <f t="shared" si="0"/>
        <v>BX</v>
      </c>
    </row>
    <row r="12" spans="1:5" x14ac:dyDescent="0.25">
      <c r="A12" t="str">
        <f>'SKU Data'!A12</f>
        <v>FTW-204</v>
      </c>
      <c r="B12" t="str">
        <f>SKUData[[#This Row],[Product]]</f>
        <v>Slide Sandals</v>
      </c>
      <c r="C12" t="str">
        <f>INDEX('ABC Analysis'!$H$2:$H$21,MATCH(A12,'ABC Analysis'!$A$2:$A$21,0))</f>
        <v>B</v>
      </c>
      <c r="D12" t="str">
        <f>INDEX('XYZ Analysis'!$G$2:$G$21,MATCH(A12,'XYZ Analysis'!$A$2:$A$21,0))</f>
        <v>X</v>
      </c>
      <c r="E12" t="str">
        <f t="shared" si="0"/>
        <v>BX</v>
      </c>
    </row>
    <row r="13" spans="1:5" x14ac:dyDescent="0.25">
      <c r="A13" t="str">
        <f>'SKU Data'!A13</f>
        <v>HOM-504</v>
      </c>
      <c r="B13" t="str">
        <f>SKUData[[#This Row],[Product]]</f>
        <v>Bamboo Cutting Board</v>
      </c>
      <c r="C13" t="str">
        <f>INDEX('ABC Analysis'!$H$2:$H$21,MATCH(A13,'ABC Analysis'!$A$2:$A$21,0))</f>
        <v>B</v>
      </c>
      <c r="D13" t="str">
        <f>INDEX('XYZ Analysis'!$G$2:$G$21,MATCH(A13,'XYZ Analysis'!$A$2:$A$21,0))</f>
        <v>X</v>
      </c>
      <c r="E13" t="str">
        <f t="shared" si="0"/>
        <v>BX</v>
      </c>
    </row>
    <row r="14" spans="1:5" x14ac:dyDescent="0.25">
      <c r="A14" t="str">
        <f>'SKU Data'!A14</f>
        <v>HOM-501</v>
      </c>
      <c r="B14" t="str">
        <f>SKUData[[#This Row],[Product]]</f>
        <v>Ceramic Coffee Mug Set</v>
      </c>
      <c r="C14" t="str">
        <f>INDEX('ABC Analysis'!$H$2:$H$21,MATCH(A14,'ABC Analysis'!$A$2:$A$21,0))</f>
        <v>B</v>
      </c>
      <c r="D14" t="str">
        <f>INDEX('XYZ Analysis'!$G$2:$G$21,MATCH(A14,'XYZ Analysis'!$A$2:$A$21,0))</f>
        <v>X</v>
      </c>
      <c r="E14" t="str">
        <f t="shared" si="0"/>
        <v>BX</v>
      </c>
    </row>
    <row r="15" spans="1:5" x14ac:dyDescent="0.25">
      <c r="A15" t="str">
        <f>'SKU Data'!A15</f>
        <v>APP-104</v>
      </c>
      <c r="B15" t="str">
        <f>SKUData[[#This Row],[Product]]</f>
        <v>Slim Fit Chinos</v>
      </c>
      <c r="C15" t="str">
        <f>INDEX('ABC Analysis'!$H$2:$H$21,MATCH(A15,'ABC Analysis'!$A$2:$A$21,0))</f>
        <v>B</v>
      </c>
      <c r="D15" t="str">
        <f>INDEX('XYZ Analysis'!$G$2:$G$21,MATCH(A15,'XYZ Analysis'!$A$2:$A$21,0))</f>
        <v>X</v>
      </c>
      <c r="E15" t="str">
        <f t="shared" si="0"/>
        <v>BX</v>
      </c>
    </row>
    <row r="16" spans="1:5" x14ac:dyDescent="0.25">
      <c r="A16" t="str">
        <f>'SKU Data'!A16</f>
        <v>ACC-304</v>
      </c>
      <c r="B16" t="str">
        <f>SKUData[[#This Row],[Product]]</f>
        <v>Wool Beanie</v>
      </c>
      <c r="C16" t="str">
        <f>INDEX('ABC Analysis'!$H$2:$H$21,MATCH(A16,'ABC Analysis'!$A$2:$A$21,0))</f>
        <v>C</v>
      </c>
      <c r="D16" t="str">
        <f>INDEX('XYZ Analysis'!$G$2:$G$21,MATCH(A16,'XYZ Analysis'!$A$2:$A$21,0))</f>
        <v>X</v>
      </c>
      <c r="E16" t="str">
        <f t="shared" si="0"/>
        <v>CX</v>
      </c>
    </row>
    <row r="17" spans="1:5" x14ac:dyDescent="0.25">
      <c r="A17" t="str">
        <f>'SKU Data'!A17</f>
        <v>ACC-301</v>
      </c>
      <c r="B17" t="str">
        <f>SKUData[[#This Row],[Product]]</f>
        <v>Leather Belt</v>
      </c>
      <c r="C17" t="str">
        <f>INDEX('ABC Analysis'!$H$2:$H$21,MATCH(A17,'ABC Analysis'!$A$2:$A$21,0))</f>
        <v>C</v>
      </c>
      <c r="D17" t="str">
        <f>INDEX('XYZ Analysis'!$G$2:$G$21,MATCH(A17,'XYZ Analysis'!$A$2:$A$21,0))</f>
        <v>X</v>
      </c>
      <c r="E17" t="str">
        <f t="shared" si="0"/>
        <v>CX</v>
      </c>
    </row>
    <row r="18" spans="1:5" x14ac:dyDescent="0.25">
      <c r="A18" t="str">
        <f>'SKU Data'!A18</f>
        <v>ACC-303</v>
      </c>
      <c r="B18" t="str">
        <f>SKUData[[#This Row],[Product]]</f>
        <v>Canvas Tote Bag</v>
      </c>
      <c r="C18" t="str">
        <f>INDEX('ABC Analysis'!$H$2:$H$21,MATCH(A18,'ABC Analysis'!$A$2:$A$21,0))</f>
        <v>C</v>
      </c>
      <c r="D18" t="str">
        <f>INDEX('XYZ Analysis'!$G$2:$G$21,MATCH(A18,'XYZ Analysis'!$A$2:$A$21,0))</f>
        <v>Y</v>
      </c>
      <c r="E18" t="str">
        <f t="shared" si="0"/>
        <v>CY</v>
      </c>
    </row>
    <row r="19" spans="1:5" x14ac:dyDescent="0.25">
      <c r="A19" t="str">
        <f>'SKU Data'!A19</f>
        <v>ELE-404</v>
      </c>
      <c r="B19" t="str">
        <f>SKUData[[#This Row],[Product]]</f>
        <v>Phone Charging Cable</v>
      </c>
      <c r="C19" t="str">
        <f>INDEX('ABC Analysis'!$H$2:$H$21,MATCH(A19,'ABC Analysis'!$A$2:$A$21,0))</f>
        <v>C</v>
      </c>
      <c r="D19" t="str">
        <f>INDEX('XYZ Analysis'!$G$2:$G$21,MATCH(A19,'XYZ Analysis'!$A$2:$A$21,0))</f>
        <v>X</v>
      </c>
      <c r="E19" t="str">
        <f t="shared" si="0"/>
        <v>CX</v>
      </c>
    </row>
    <row r="20" spans="1:5" x14ac:dyDescent="0.25">
      <c r="A20" t="str">
        <f>'SKU Data'!A20</f>
        <v>HOM-502</v>
      </c>
      <c r="B20" t="str">
        <f>SKUData[[#This Row],[Product]]</f>
        <v>Scented Candle</v>
      </c>
      <c r="C20" t="str">
        <f>INDEX('ABC Analysis'!$H$2:$H$21,MATCH(A20,'ABC Analysis'!$A$2:$A$21,0))</f>
        <v>C</v>
      </c>
      <c r="D20" t="str">
        <f>INDEX('XYZ Analysis'!$G$2:$G$21,MATCH(A20,'XYZ Analysis'!$A$2:$A$21,0))</f>
        <v>Y</v>
      </c>
      <c r="E20" t="str">
        <f t="shared" si="0"/>
        <v>CY</v>
      </c>
    </row>
    <row r="21" spans="1:5" x14ac:dyDescent="0.25">
      <c r="A21" t="str">
        <f>'SKU Data'!A21</f>
        <v>APP-102</v>
      </c>
      <c r="B21" t="str">
        <f>SKUData[[#This Row],[Product]]</f>
        <v>Cotton Crew T-Shirt</v>
      </c>
      <c r="C21" t="str">
        <f>INDEX('ABC Analysis'!$H$2:$H$21,MATCH(A21,'ABC Analysis'!$A$2:$A$21,0))</f>
        <v>C</v>
      </c>
      <c r="D21" t="str">
        <f>INDEX('XYZ Analysis'!$G$2:$G$21,MATCH(A21,'XYZ Analysis'!$A$2:$A$21,0))</f>
        <v>Y</v>
      </c>
      <c r="E21" t="str">
        <f t="shared" si="0"/>
        <v>CY</v>
      </c>
    </row>
    <row r="24" spans="1:5" ht="23.25" x14ac:dyDescent="0.35">
      <c r="A24" s="41" t="s">
        <v>137</v>
      </c>
      <c r="B24" s="41"/>
      <c r="C24" s="41"/>
      <c r="D24" s="41"/>
    </row>
    <row r="25" spans="1:5" ht="15.75" x14ac:dyDescent="0.25">
      <c r="A25" s="39" t="s">
        <v>138</v>
      </c>
      <c r="B25" s="42" t="s">
        <v>130</v>
      </c>
      <c r="C25" s="43" t="s">
        <v>131</v>
      </c>
      <c r="D25" s="43" t="s">
        <v>132</v>
      </c>
    </row>
    <row r="26" spans="1:5" ht="15.75" x14ac:dyDescent="0.25">
      <c r="A26" s="43" t="s">
        <v>95</v>
      </c>
      <c r="B26">
        <f>COUNTIFS($C$2:$C$21, $A26, $D$2:$D$21, B$25)</f>
        <v>7</v>
      </c>
      <c r="C26">
        <f t="shared" ref="C26:D28" si="1">COUNTIFS($C$2:$C$21, $A26, $D$2:$D$21, C$25)</f>
        <v>1</v>
      </c>
      <c r="D26">
        <f t="shared" si="1"/>
        <v>0</v>
      </c>
    </row>
    <row r="27" spans="1:5" ht="15.75" x14ac:dyDescent="0.25">
      <c r="A27" s="43" t="s">
        <v>96</v>
      </c>
      <c r="B27">
        <f t="shared" ref="B27:B28" si="2">COUNTIFS($C$2:$C$21, $A27, $D$2:$D$21, B$25)</f>
        <v>6</v>
      </c>
      <c r="C27">
        <f t="shared" si="1"/>
        <v>0</v>
      </c>
      <c r="D27">
        <f t="shared" si="1"/>
        <v>0</v>
      </c>
    </row>
    <row r="28" spans="1:5" ht="15.75" x14ac:dyDescent="0.25">
      <c r="A28" s="43" t="s">
        <v>97</v>
      </c>
      <c r="B28">
        <f t="shared" si="2"/>
        <v>3</v>
      </c>
      <c r="C28">
        <f t="shared" si="1"/>
        <v>3</v>
      </c>
      <c r="D28">
        <f t="shared" si="1"/>
        <v>0</v>
      </c>
    </row>
    <row r="29" spans="1:5" ht="15.75" x14ac:dyDescent="0.25">
      <c r="A29" s="43" t="s">
        <v>133</v>
      </c>
      <c r="B29">
        <f>SUM(B26:D28)</f>
        <v>20</v>
      </c>
    </row>
    <row r="30" spans="1:5" ht="18" x14ac:dyDescent="0.25">
      <c r="A30" s="38"/>
      <c r="B30" s="38"/>
      <c r="C30" s="28"/>
    </row>
    <row r="31" spans="1:5" ht="18" x14ac:dyDescent="0.25">
      <c r="A31" s="38" t="s">
        <v>139</v>
      </c>
      <c r="B31" s="38"/>
      <c r="C31" s="38"/>
    </row>
    <row r="32" spans="1:5" ht="31.5" x14ac:dyDescent="0.25">
      <c r="A32" s="44" t="s">
        <v>121</v>
      </c>
      <c r="B32" s="40" t="b">
        <f>B29=COUNTA(A2:A21)</f>
        <v>1</v>
      </c>
    </row>
  </sheetData>
  <mergeCells count="3">
    <mergeCell ref="A24:D24"/>
    <mergeCell ref="A31:C31"/>
    <mergeCell ref="A30:B30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22" customWidth="1"/>
    <col min="3" max="3" width="8" customWidth="1"/>
    <col min="4" max="4" width="15" customWidth="1"/>
    <col min="5" max="5" width="13" customWidth="1"/>
    <col min="6" max="6" width="14" customWidth="1"/>
    <col min="7" max="7" width="13" customWidth="1"/>
    <col min="8" max="8" width="12" customWidth="1"/>
    <col min="9" max="9" width="13" customWidth="1"/>
    <col min="10" max="10" width="10" customWidth="1"/>
    <col min="11" max="11" width="16" customWidth="1"/>
    <col min="13" max="13" width="8" customWidth="1"/>
    <col min="14" max="14" width="10" customWidth="1"/>
    <col min="15" max="15" width="20" customWidth="1"/>
  </cols>
  <sheetData>
    <row r="1" spans="1:15" ht="25.5" x14ac:dyDescent="0.25">
      <c r="A1" s="7" t="s">
        <v>34</v>
      </c>
      <c r="B1" s="7" t="s">
        <v>35</v>
      </c>
      <c r="C1" s="7" t="s">
        <v>94</v>
      </c>
      <c r="D1" s="7" t="s">
        <v>40</v>
      </c>
      <c r="E1" s="7" t="s">
        <v>41</v>
      </c>
      <c r="F1" s="7" t="s">
        <v>42</v>
      </c>
      <c r="G1" s="7" t="s">
        <v>98</v>
      </c>
      <c r="H1" s="7" t="s">
        <v>99</v>
      </c>
      <c r="I1" s="7" t="s">
        <v>100</v>
      </c>
      <c r="J1" s="7" t="s">
        <v>101</v>
      </c>
      <c r="K1" s="7" t="s">
        <v>102</v>
      </c>
      <c r="M1" s="1" t="s">
        <v>103</v>
      </c>
    </row>
    <row r="2" spans="1:15" x14ac:dyDescent="0.25">
      <c r="A2" t="str">
        <f>'SKU Data'!A2</f>
        <v>ELE-403</v>
      </c>
      <c r="B2" t="str">
        <f>'SKU Data'!B2</f>
        <v>Fitness Tracker Band</v>
      </c>
      <c r="C2" t="str">
        <f>INDEX('ABC Analysis'!$H$2:$H$21,MATCH(A2,'ABC Analysis'!$A$2:$A$21,0))</f>
        <v>A</v>
      </c>
      <c r="D2" s="14">
        <f>'SKU Data'!G2</f>
        <v>5.05</v>
      </c>
      <c r="E2" s="14">
        <f>'SKU Data'!H2</f>
        <v>1.31</v>
      </c>
      <c r="F2">
        <f>'SKU Data'!I2</f>
        <v>45</v>
      </c>
      <c r="G2" s="14">
        <f t="shared" ref="G2:G21" si="0">INDEX($N$2:$N$4,MATCH(C2,$M$2:$M$4,0))</f>
        <v>2.33</v>
      </c>
      <c r="H2" s="15">
        <f t="shared" ref="H2:H21" si="1">G2*E2*SQRT(F2)</f>
        <v>20.475450863167826</v>
      </c>
      <c r="I2" s="15">
        <f t="shared" ref="I2:I21" si="2">(D2*F2)+H2</f>
        <v>247.72545086316782</v>
      </c>
      <c r="J2" s="15">
        <f>SQRT((2*'SKU Data'!F2*'SKU Data'!J2)/('SKU Data'!D2*'SKU Data'!K2))</f>
        <v>173.82524957929544</v>
      </c>
      <c r="K2" s="16">
        <f>IFERROR('SKU Data'!F2/J2,0)</f>
        <v>10.614108160151668</v>
      </c>
      <c r="M2" t="s">
        <v>95</v>
      </c>
      <c r="N2" s="9">
        <v>2.33</v>
      </c>
      <c r="O2" s="17" t="s">
        <v>104</v>
      </c>
    </row>
    <row r="3" spans="1:15" x14ac:dyDescent="0.25">
      <c r="A3" t="str">
        <f>'SKU Data'!A3</f>
        <v>FTW-201</v>
      </c>
      <c r="B3" t="str">
        <f>'SKU Data'!B3</f>
        <v>Running Sneakers</v>
      </c>
      <c r="C3" t="str">
        <f>INDEX('ABC Analysis'!$H$2:$H$21,MATCH(A3,'ABC Analysis'!$A$2:$A$21,0))</f>
        <v>A</v>
      </c>
      <c r="D3" s="14">
        <f>'SKU Data'!G3</f>
        <v>2.25</v>
      </c>
      <c r="E3" s="14">
        <f>'SKU Data'!H3</f>
        <v>0.77</v>
      </c>
      <c r="F3">
        <f>'SKU Data'!I3</f>
        <v>14</v>
      </c>
      <c r="G3" s="14">
        <f t="shared" si="0"/>
        <v>2.33</v>
      </c>
      <c r="H3" s="15">
        <f t="shared" si="1"/>
        <v>6.7129075176111286</v>
      </c>
      <c r="I3" s="15">
        <f t="shared" si="2"/>
        <v>38.212907517611129</v>
      </c>
      <c r="J3" s="15">
        <f>SQRT((2*'SKU Data'!F3*'SKU Data'!J3)/('SKU Data'!D3*'SKU Data'!K3))</f>
        <v>139.78202443113702</v>
      </c>
      <c r="K3" s="16">
        <f>IFERROR('SKU Data'!F3/J3,0)</f>
        <v>5.873430459611507</v>
      </c>
      <c r="M3" t="s">
        <v>96</v>
      </c>
      <c r="N3" s="9">
        <v>1.65</v>
      </c>
      <c r="O3" s="17" t="s">
        <v>105</v>
      </c>
    </row>
    <row r="4" spans="1:15" x14ac:dyDescent="0.25">
      <c r="A4" t="str">
        <f>'SKU Data'!A4</f>
        <v>ACC-302</v>
      </c>
      <c r="B4" t="str">
        <f>'SKU Data'!B4</f>
        <v>Aviator Sunglasses</v>
      </c>
      <c r="C4" t="str">
        <f>INDEX('ABC Analysis'!$H$2:$H$21,MATCH(A4,'ABC Analysis'!$A$2:$A$21,0))</f>
        <v>A</v>
      </c>
      <c r="D4" s="14">
        <f>'SKU Data'!G4</f>
        <v>4.2</v>
      </c>
      <c r="E4" s="14">
        <f>'SKU Data'!H4</f>
        <v>1.43</v>
      </c>
      <c r="F4">
        <f>'SKU Data'!I4</f>
        <v>10</v>
      </c>
      <c r="G4" s="14">
        <f t="shared" si="0"/>
        <v>2.33</v>
      </c>
      <c r="H4" s="15">
        <f t="shared" si="1"/>
        <v>10.536392935915025</v>
      </c>
      <c r="I4" s="15">
        <f t="shared" si="2"/>
        <v>52.536392935915025</v>
      </c>
      <c r="J4" s="15">
        <f>SQRT((2*'SKU Data'!F4*'SKU Data'!J4)/('SKU Data'!D4*'SKU Data'!K4))</f>
        <v>232.71394457573874</v>
      </c>
      <c r="K4" s="16">
        <f>IFERROR('SKU Data'!F4/J4,0)</f>
        <v>6.587486636414571</v>
      </c>
      <c r="M4" t="s">
        <v>97</v>
      </c>
      <c r="N4" s="9">
        <v>1.28</v>
      </c>
      <c r="O4" s="17" t="s">
        <v>106</v>
      </c>
    </row>
    <row r="5" spans="1:15" x14ac:dyDescent="0.25">
      <c r="A5" t="str">
        <f>'SKU Data'!A5</f>
        <v>FTW-202</v>
      </c>
      <c r="B5" t="str">
        <f>'SKU Data'!B5</f>
        <v>Canvas Low-Top</v>
      </c>
      <c r="C5" t="str">
        <f>INDEX('ABC Analysis'!$H$2:$H$21,MATCH(A5,'ABC Analysis'!$A$2:$A$21,0))</f>
        <v>A</v>
      </c>
      <c r="D5" s="14">
        <f>'SKU Data'!G5</f>
        <v>2.6</v>
      </c>
      <c r="E5" s="14">
        <f>'SKU Data'!H5</f>
        <v>0.73</v>
      </c>
      <c r="F5">
        <f>'SKU Data'!I5</f>
        <v>14</v>
      </c>
      <c r="G5" s="14">
        <f t="shared" si="0"/>
        <v>2.33</v>
      </c>
      <c r="H5" s="15">
        <f t="shared" si="1"/>
        <v>6.3641850491637975</v>
      </c>
      <c r="I5" s="15">
        <f t="shared" si="2"/>
        <v>42.7641850491638</v>
      </c>
      <c r="J5" s="15">
        <f>SQRT((2*'SKU Data'!F5*'SKU Data'!J5)/('SKU Data'!D5*'SKU Data'!K5))</f>
        <v>178.18070500579921</v>
      </c>
      <c r="K5" s="16">
        <f>IFERROR('SKU Data'!F5/J5,0)</f>
        <v>5.3260536822385625</v>
      </c>
    </row>
    <row r="6" spans="1:15" x14ac:dyDescent="0.25">
      <c r="A6" t="str">
        <f>'SKU Data'!A6</f>
        <v>ELE-401</v>
      </c>
      <c r="B6" t="str">
        <f>'SKU Data'!B6</f>
        <v>Wireless Earbuds</v>
      </c>
      <c r="C6" t="str">
        <f>INDEX('ABC Analysis'!$H$2:$H$21,MATCH(A6,'ABC Analysis'!$A$2:$A$21,0))</f>
        <v>A</v>
      </c>
      <c r="D6" s="14">
        <f>'SKU Data'!G6</f>
        <v>1.58</v>
      </c>
      <c r="E6" s="14">
        <f>'SKU Data'!H6</f>
        <v>0.79</v>
      </c>
      <c r="F6">
        <f>'SKU Data'!I6</f>
        <v>21</v>
      </c>
      <c r="G6" s="14">
        <f t="shared" si="0"/>
        <v>2.33</v>
      </c>
      <c r="H6" s="15">
        <f t="shared" si="1"/>
        <v>8.4351470817052157</v>
      </c>
      <c r="I6" s="15">
        <f t="shared" si="2"/>
        <v>41.615147081705217</v>
      </c>
      <c r="J6" s="15">
        <f>SQRT((2*'SKU Data'!F6*'SKU Data'!J6)/('SKU Data'!D6*'SKU Data'!K6))</f>
        <v>113.95975596846527</v>
      </c>
      <c r="K6" s="16">
        <f>IFERROR('SKU Data'!F6/J6,0)</f>
        <v>5.0456408502586907</v>
      </c>
    </row>
    <row r="7" spans="1:15" x14ac:dyDescent="0.25">
      <c r="A7" t="str">
        <f>'SKU Data'!A7</f>
        <v>FTW-203</v>
      </c>
      <c r="B7" t="str">
        <f>'SKU Data'!B7</f>
        <v>Leather Ankle Boot</v>
      </c>
      <c r="C7" t="str">
        <f>INDEX('ABC Analysis'!$H$2:$H$21,MATCH(A7,'ABC Analysis'!$A$2:$A$21,0))</f>
        <v>A</v>
      </c>
      <c r="D7" s="14">
        <f>'SKU Data'!G7</f>
        <v>0.86</v>
      </c>
      <c r="E7" s="14">
        <f>'SKU Data'!H7</f>
        <v>0.38</v>
      </c>
      <c r="F7">
        <f>'SKU Data'!I7</f>
        <v>45</v>
      </c>
      <c r="G7" s="14">
        <f t="shared" si="0"/>
        <v>2.33</v>
      </c>
      <c r="H7" s="15">
        <f t="shared" si="1"/>
        <v>5.9394437618349425</v>
      </c>
      <c r="I7" s="15">
        <f t="shared" si="2"/>
        <v>44.639443761834947</v>
      </c>
      <c r="J7" s="15">
        <f>SQRT((2*'SKU Data'!F7*'SKU Data'!J7)/('SKU Data'!D7*'SKU Data'!K7))</f>
        <v>81.137652673211349</v>
      </c>
      <c r="K7" s="16">
        <f>IFERROR('SKU Data'!F7/J7,0)</f>
        <v>3.8576417937629222</v>
      </c>
    </row>
    <row r="8" spans="1:15" x14ac:dyDescent="0.25">
      <c r="A8" t="str">
        <f>'SKU Data'!A8</f>
        <v>HOM-503</v>
      </c>
      <c r="B8" t="str">
        <f>'SKU Data'!B8</f>
        <v>Cotton Throw Blanket</v>
      </c>
      <c r="C8" t="str">
        <f>INDEX('ABC Analysis'!$H$2:$H$21,MATCH(A8,'ABC Analysis'!$A$2:$A$21,0))</f>
        <v>A</v>
      </c>
      <c r="D8" s="14">
        <f>'SKU Data'!G8</f>
        <v>2.81</v>
      </c>
      <c r="E8" s="14">
        <f>'SKU Data'!H8</f>
        <v>1.52</v>
      </c>
      <c r="F8">
        <f>'SKU Data'!I8</f>
        <v>14</v>
      </c>
      <c r="G8" s="14">
        <f t="shared" si="0"/>
        <v>2.33</v>
      </c>
      <c r="H8" s="15">
        <f t="shared" si="1"/>
        <v>13.251453800998592</v>
      </c>
      <c r="I8" s="15">
        <f t="shared" si="2"/>
        <v>52.591453800998593</v>
      </c>
      <c r="J8" s="15">
        <f>SQRT((2*'SKU Data'!F8*'SKU Data'!J8)/('SKU Data'!D8*'SKU Data'!K8))</f>
        <v>198.64071418854024</v>
      </c>
      <c r="K8" s="16">
        <f>IFERROR('SKU Data'!F8/J8,0)</f>
        <v>5.1550358353427397</v>
      </c>
    </row>
    <row r="9" spans="1:15" x14ac:dyDescent="0.25">
      <c r="A9" t="str">
        <f>'SKU Data'!A9</f>
        <v>ELE-402</v>
      </c>
      <c r="B9" t="str">
        <f>'SKU Data'!B9</f>
        <v>Bluetooth Speaker</v>
      </c>
      <c r="C9" t="str">
        <f>INDEX('ABC Analysis'!$H$2:$H$21,MATCH(A9,'ABC Analysis'!$A$2:$A$21,0))</f>
        <v>A</v>
      </c>
      <c r="D9" s="14">
        <f>'SKU Data'!G9</f>
        <v>1.56</v>
      </c>
      <c r="E9" s="14">
        <f>'SKU Data'!H9</f>
        <v>0.69</v>
      </c>
      <c r="F9">
        <f>'SKU Data'!I9</f>
        <v>45</v>
      </c>
      <c r="G9" s="14">
        <f t="shared" si="0"/>
        <v>2.33</v>
      </c>
      <c r="H9" s="15">
        <f t="shared" si="1"/>
        <v>10.784779462279236</v>
      </c>
      <c r="I9" s="15">
        <f t="shared" si="2"/>
        <v>80.984779462279235</v>
      </c>
      <c r="J9" s="15">
        <f>SQRT((2*'SKU Data'!F9*'SKU Data'!J9)/('SKU Data'!D9*'SKU Data'!K9))</f>
        <v>130.2529750140088</v>
      </c>
      <c r="K9" s="16">
        <f>IFERROR('SKU Data'!F9/J9,0)</f>
        <v>4.3837770303410615</v>
      </c>
    </row>
    <row r="10" spans="1:15" x14ac:dyDescent="0.25">
      <c r="A10" t="str">
        <f>'SKU Data'!A10</f>
        <v>APP-101</v>
      </c>
      <c r="B10" t="str">
        <f>'SKU Data'!B10</f>
        <v>Classic Denim Jacket</v>
      </c>
      <c r="C10" t="str">
        <f>INDEX('ABC Analysis'!$H$2:$H$21,MATCH(A10,'ABC Analysis'!$A$2:$A$21,0))</f>
        <v>B</v>
      </c>
      <c r="D10" s="14">
        <f>'SKU Data'!G10</f>
        <v>0.92</v>
      </c>
      <c r="E10" s="14">
        <f>'SKU Data'!H10</f>
        <v>0.34</v>
      </c>
      <c r="F10">
        <f>'SKU Data'!I10</f>
        <v>7</v>
      </c>
      <c r="G10" s="14">
        <f t="shared" si="0"/>
        <v>1.65</v>
      </c>
      <c r="H10" s="15">
        <f t="shared" si="1"/>
        <v>1.4842664855072356</v>
      </c>
      <c r="I10" s="15">
        <f t="shared" si="2"/>
        <v>7.9242664855072356</v>
      </c>
      <c r="J10" s="15">
        <f>SQRT((2*'SKU Data'!F10*'SKU Data'!J10)/('SKU Data'!D10*'SKU Data'!K10))</f>
        <v>72.777210128237172</v>
      </c>
      <c r="K10" s="16">
        <f>IFERROR('SKU Data'!F10/J10,0)</f>
        <v>4.5893487729397</v>
      </c>
    </row>
    <row r="11" spans="1:15" x14ac:dyDescent="0.25">
      <c r="A11" t="str">
        <f>'SKU Data'!A11</f>
        <v>APP-103</v>
      </c>
      <c r="B11" t="str">
        <f>'SKU Data'!B11</f>
        <v>Fleece Pullover Hoodie</v>
      </c>
      <c r="C11" t="str">
        <f>INDEX('ABC Analysis'!$H$2:$H$21,MATCH(A11,'ABC Analysis'!$A$2:$A$21,0))</f>
        <v>B</v>
      </c>
      <c r="D11" s="14">
        <f>'SKU Data'!G11</f>
        <v>1.17</v>
      </c>
      <c r="E11" s="14">
        <f>'SKU Data'!H11</f>
        <v>0.33</v>
      </c>
      <c r="F11">
        <f>'SKU Data'!I11</f>
        <v>30</v>
      </c>
      <c r="G11" s="14">
        <f t="shared" si="0"/>
        <v>1.65</v>
      </c>
      <c r="H11" s="15">
        <f t="shared" si="1"/>
        <v>2.9823493256156293</v>
      </c>
      <c r="I11" s="15">
        <f t="shared" si="2"/>
        <v>38.082349325615624</v>
      </c>
      <c r="J11" s="15">
        <f>SQRT((2*'SKU Data'!F11*'SKU Data'!J11)/('SKU Data'!D11*'SKU Data'!K11))</f>
        <v>100.02272469066943</v>
      </c>
      <c r="K11" s="16">
        <f>IFERROR('SKU Data'!F11/J11,0)</f>
        <v>4.2590321481188278</v>
      </c>
    </row>
    <row r="12" spans="1:15" x14ac:dyDescent="0.25">
      <c r="A12" t="str">
        <f>'SKU Data'!A12</f>
        <v>FTW-204</v>
      </c>
      <c r="B12" t="str">
        <f>'SKU Data'!B12</f>
        <v>Slide Sandals</v>
      </c>
      <c r="C12" t="str">
        <f>INDEX('ABC Analysis'!$H$2:$H$21,MATCH(A12,'ABC Analysis'!$A$2:$A$21,0))</f>
        <v>B</v>
      </c>
      <c r="D12" s="14">
        <f>'SKU Data'!G12</f>
        <v>2.33</v>
      </c>
      <c r="E12" s="14">
        <f>'SKU Data'!H12</f>
        <v>1</v>
      </c>
      <c r="F12">
        <f>'SKU Data'!I12</f>
        <v>45</v>
      </c>
      <c r="G12" s="14">
        <f t="shared" si="0"/>
        <v>1.65</v>
      </c>
      <c r="H12" s="15">
        <f t="shared" si="1"/>
        <v>11.068536488623959</v>
      </c>
      <c r="I12" s="15">
        <f t="shared" si="2"/>
        <v>115.91853648862397</v>
      </c>
      <c r="J12" s="15">
        <f>SQRT((2*'SKU Data'!F12*'SKU Data'!J12)/('SKU Data'!D12*'SKU Data'!K12))</f>
        <v>289.66570770842418</v>
      </c>
      <c r="K12" s="16">
        <f>IFERROR('SKU Data'!F12/J12,0)</f>
        <v>2.9413215901193879</v>
      </c>
    </row>
    <row r="13" spans="1:15" x14ac:dyDescent="0.25">
      <c r="A13" t="str">
        <f>'SKU Data'!A13</f>
        <v>HOM-504</v>
      </c>
      <c r="B13" t="str">
        <f>'SKU Data'!B13</f>
        <v>Bamboo Cutting Board</v>
      </c>
      <c r="C13" t="str">
        <f>INDEX('ABC Analysis'!$H$2:$H$21,MATCH(A13,'ABC Analysis'!$A$2:$A$21,0))</f>
        <v>B</v>
      </c>
      <c r="D13" s="14">
        <f>'SKU Data'!G13</f>
        <v>2.06</v>
      </c>
      <c r="E13" s="14">
        <f>'SKU Data'!H13</f>
        <v>0.52</v>
      </c>
      <c r="F13">
        <f>'SKU Data'!I13</f>
        <v>14</v>
      </c>
      <c r="G13" s="14">
        <f t="shared" si="0"/>
        <v>1.65</v>
      </c>
      <c r="H13" s="15">
        <f t="shared" si="1"/>
        <v>3.2103420378520418</v>
      </c>
      <c r="I13" s="15">
        <f t="shared" si="2"/>
        <v>32.05034203785204</v>
      </c>
      <c r="J13" s="15">
        <f>SQRT((2*'SKU Data'!F13*'SKU Data'!J13)/('SKU Data'!D13*'SKU Data'!K13))</f>
        <v>262.83784608258634</v>
      </c>
      <c r="K13" s="16">
        <f>IFERROR('SKU Data'!F13/J13,0)</f>
        <v>2.861079601769807</v>
      </c>
    </row>
    <row r="14" spans="1:15" x14ac:dyDescent="0.25">
      <c r="A14" t="str">
        <f>'SKU Data'!A14</f>
        <v>HOM-501</v>
      </c>
      <c r="B14" t="str">
        <f>'SKU Data'!B14</f>
        <v>Ceramic Coffee Mug Set</v>
      </c>
      <c r="C14" t="str">
        <f>INDEX('ABC Analysis'!$H$2:$H$21,MATCH(A14,'ABC Analysis'!$A$2:$A$21,0))</f>
        <v>B</v>
      </c>
      <c r="D14" s="14">
        <f>'SKU Data'!G14</f>
        <v>2.2599999999999998</v>
      </c>
      <c r="E14" s="14">
        <f>'SKU Data'!H14</f>
        <v>0.61</v>
      </c>
      <c r="F14">
        <f>'SKU Data'!I14</f>
        <v>45</v>
      </c>
      <c r="G14" s="14">
        <f t="shared" si="0"/>
        <v>1.65</v>
      </c>
      <c r="H14" s="15">
        <f t="shared" si="1"/>
        <v>6.751807258060615</v>
      </c>
      <c r="I14" s="15">
        <f t="shared" si="2"/>
        <v>108.4518072580606</v>
      </c>
      <c r="J14" s="15">
        <f>SQRT((2*'SKU Data'!F14*'SKU Data'!J14)/('SKU Data'!D14*'SKU Data'!K14))</f>
        <v>302.29059737801617</v>
      </c>
      <c r="K14" s="16">
        <f>IFERROR('SKU Data'!F14/J14,0)</f>
        <v>2.7291619625480199</v>
      </c>
    </row>
    <row r="15" spans="1:15" x14ac:dyDescent="0.25">
      <c r="A15" t="str">
        <f>'SKU Data'!A15</f>
        <v>APP-104</v>
      </c>
      <c r="B15" t="str">
        <f>'SKU Data'!B15</f>
        <v>Slim Fit Chinos</v>
      </c>
      <c r="C15" t="str">
        <f>INDEX('ABC Analysis'!$H$2:$H$21,MATCH(A15,'ABC Analysis'!$A$2:$A$21,0))</f>
        <v>B</v>
      </c>
      <c r="D15" s="14">
        <f>'SKU Data'!G15</f>
        <v>0.67</v>
      </c>
      <c r="E15" s="14">
        <f>'SKU Data'!H15</f>
        <v>0.28000000000000003</v>
      </c>
      <c r="F15">
        <f>'SKU Data'!I15</f>
        <v>30</v>
      </c>
      <c r="G15" s="14">
        <f t="shared" si="0"/>
        <v>1.65</v>
      </c>
      <c r="H15" s="15">
        <f t="shared" si="1"/>
        <v>2.5304782156738677</v>
      </c>
      <c r="I15" s="15">
        <f t="shared" si="2"/>
        <v>22.630478215673868</v>
      </c>
      <c r="J15" s="15">
        <f>SQRT((2*'SKU Data'!F15*'SKU Data'!J15)/('SKU Data'!D15*'SKU Data'!K15))</f>
        <v>76.443256266144431</v>
      </c>
      <c r="K15" s="16">
        <f>IFERROR('SKU Data'!F15/J15,0)</f>
        <v>3.1788284783941241</v>
      </c>
    </row>
    <row r="16" spans="1:15" x14ac:dyDescent="0.25">
      <c r="A16" t="str">
        <f>'SKU Data'!A16</f>
        <v>ACC-304</v>
      </c>
      <c r="B16" t="str">
        <f>'SKU Data'!B16</f>
        <v>Wool Beanie</v>
      </c>
      <c r="C16" t="str">
        <f>INDEX('ABC Analysis'!$H$2:$H$21,MATCH(A16,'ABC Analysis'!$A$2:$A$21,0))</f>
        <v>C</v>
      </c>
      <c r="D16" s="14">
        <f>'SKU Data'!G16</f>
        <v>2.19</v>
      </c>
      <c r="E16" s="14">
        <f>'SKU Data'!H16</f>
        <v>0.77</v>
      </c>
      <c r="F16">
        <f>'SKU Data'!I16</f>
        <v>21</v>
      </c>
      <c r="G16" s="14">
        <f t="shared" si="0"/>
        <v>1.28</v>
      </c>
      <c r="H16" s="15">
        <f t="shared" si="1"/>
        <v>4.5165866049484755</v>
      </c>
      <c r="I16" s="15">
        <f t="shared" si="2"/>
        <v>50.506586604948481</v>
      </c>
      <c r="J16" s="15">
        <f>SQRT((2*'SKU Data'!F16*'SKU Data'!J16)/('SKU Data'!D16*'SKU Data'!K16))</f>
        <v>365.31296886011489</v>
      </c>
      <c r="K16" s="16">
        <f>IFERROR('SKU Data'!F16/J16,0)</f>
        <v>2.1926404707157214</v>
      </c>
    </row>
    <row r="17" spans="1:11" x14ac:dyDescent="0.25">
      <c r="A17" t="str">
        <f>'SKU Data'!A17</f>
        <v>ACC-301</v>
      </c>
      <c r="B17" t="str">
        <f>'SKU Data'!B17</f>
        <v>Leather Belt</v>
      </c>
      <c r="C17" t="str">
        <f>INDEX('ABC Analysis'!$H$2:$H$21,MATCH(A17,'ABC Analysis'!$A$2:$A$21,0))</f>
        <v>C</v>
      </c>
      <c r="D17" s="14">
        <f>'SKU Data'!G17</f>
        <v>0.94</v>
      </c>
      <c r="E17" s="14">
        <f>'SKU Data'!H17</f>
        <v>0.25</v>
      </c>
      <c r="F17">
        <f>'SKU Data'!I17</f>
        <v>21</v>
      </c>
      <c r="G17" s="14">
        <f t="shared" si="0"/>
        <v>1.28</v>
      </c>
      <c r="H17" s="15">
        <f t="shared" si="1"/>
        <v>1.4664242223858688</v>
      </c>
      <c r="I17" s="15">
        <f t="shared" si="2"/>
        <v>21.206424222385866</v>
      </c>
      <c r="J17" s="15">
        <f>SQRT((2*'SKU Data'!F17*'SKU Data'!J17)/('SKU Data'!D17*'SKU Data'!K17))</f>
        <v>153.13760437634471</v>
      </c>
      <c r="K17" s="16">
        <f>IFERROR('SKU Data'!F17/J17,0)</f>
        <v>2.23981563115652</v>
      </c>
    </row>
    <row r="18" spans="1:11" x14ac:dyDescent="0.25">
      <c r="A18" t="str">
        <f>'SKU Data'!A18</f>
        <v>ACC-303</v>
      </c>
      <c r="B18" t="str">
        <f>'SKU Data'!B18</f>
        <v>Canvas Tote Bag</v>
      </c>
      <c r="C18" t="str">
        <f>INDEX('ABC Analysis'!$H$2:$H$21,MATCH(A18,'ABC Analysis'!$A$2:$A$21,0))</f>
        <v>C</v>
      </c>
      <c r="D18" s="14">
        <f>'SKU Data'!G18</f>
        <v>0.73</v>
      </c>
      <c r="E18" s="14">
        <f>'SKU Data'!H18</f>
        <v>0.39</v>
      </c>
      <c r="F18">
        <f>'SKU Data'!I18</f>
        <v>30</v>
      </c>
      <c r="G18" s="14">
        <f t="shared" si="0"/>
        <v>1.28</v>
      </c>
      <c r="H18" s="15">
        <f t="shared" si="1"/>
        <v>2.7342310070657896</v>
      </c>
      <c r="I18" s="15">
        <f t="shared" si="2"/>
        <v>24.634231007065789</v>
      </c>
      <c r="J18" s="15">
        <f>SQRT((2*'SKU Data'!F18*'SKU Data'!J18)/('SKU Data'!D18*'SKU Data'!K18))</f>
        <v>107.8991904238287</v>
      </c>
      <c r="K18" s="16">
        <f>IFERROR('SKU Data'!F18/J18,0)</f>
        <v>2.4837999149696519</v>
      </c>
    </row>
    <row r="19" spans="1:11" x14ac:dyDescent="0.25">
      <c r="A19" t="str">
        <f>'SKU Data'!A19</f>
        <v>ELE-404</v>
      </c>
      <c r="B19" t="str">
        <f>'SKU Data'!B19</f>
        <v>Phone Charging Cable</v>
      </c>
      <c r="C19" t="str">
        <f>INDEX('ABC Analysis'!$H$2:$H$21,MATCH(A19,'ABC Analysis'!$A$2:$A$21,0))</f>
        <v>C</v>
      </c>
      <c r="D19" s="14">
        <f>'SKU Data'!G19</f>
        <v>1.51</v>
      </c>
      <c r="E19" s="14">
        <f>'SKU Data'!H19</f>
        <v>0.48</v>
      </c>
      <c r="F19">
        <f>'SKU Data'!I19</f>
        <v>21</v>
      </c>
      <c r="G19" s="14">
        <f t="shared" si="0"/>
        <v>1.28</v>
      </c>
      <c r="H19" s="15">
        <f t="shared" si="1"/>
        <v>2.8155345069808679</v>
      </c>
      <c r="I19" s="15">
        <f t="shared" si="2"/>
        <v>34.525534506980868</v>
      </c>
      <c r="J19" s="15">
        <f>SQRT((2*'SKU Data'!F19*'SKU Data'!J19)/('SKU Data'!D19*'SKU Data'!K19))</f>
        <v>308.27198874957651</v>
      </c>
      <c r="K19" s="16">
        <f>IFERROR('SKU Data'!F19/J19,0)</f>
        <v>1.7906265250989604</v>
      </c>
    </row>
    <row r="20" spans="1:11" x14ac:dyDescent="0.25">
      <c r="A20" t="str">
        <f>'SKU Data'!A20</f>
        <v>HOM-502</v>
      </c>
      <c r="B20" t="str">
        <f>'SKU Data'!B20</f>
        <v>Scented Candle</v>
      </c>
      <c r="C20" t="str">
        <f>INDEX('ABC Analysis'!$H$2:$H$21,MATCH(A20,'ABC Analysis'!$A$2:$A$21,0))</f>
        <v>C</v>
      </c>
      <c r="D20" s="14">
        <f>'SKU Data'!G20</f>
        <v>1.02</v>
      </c>
      <c r="E20" s="14">
        <f>'SKU Data'!H20</f>
        <v>0.52</v>
      </c>
      <c r="F20">
        <f>'SKU Data'!I20</f>
        <v>21</v>
      </c>
      <c r="G20" s="14">
        <f t="shared" si="0"/>
        <v>1.28</v>
      </c>
      <c r="H20" s="15">
        <f t="shared" si="1"/>
        <v>3.0501623825626072</v>
      </c>
      <c r="I20" s="15">
        <f t="shared" si="2"/>
        <v>24.470162382562609</v>
      </c>
      <c r="J20" s="15">
        <f>SQRT((2*'SKU Data'!F20*'SKU Data'!J20)/('SKU Data'!D20*'SKU Data'!K20))</f>
        <v>250.09826640171431</v>
      </c>
      <c r="K20" s="16">
        <f>IFERROR('SKU Data'!F20/J20,0)</f>
        <v>1.4874153481835175</v>
      </c>
    </row>
    <row r="21" spans="1:11" x14ac:dyDescent="0.25">
      <c r="A21" t="str">
        <f>'SKU Data'!A21</f>
        <v>APP-102</v>
      </c>
      <c r="B21" t="str">
        <f>'SKU Data'!B21</f>
        <v>Cotton Crew T-Shirt</v>
      </c>
      <c r="C21" t="str">
        <f>INDEX('ABC Analysis'!$H$2:$H$21,MATCH(A21,'ABC Analysis'!$A$2:$A$21,0))</f>
        <v>C</v>
      </c>
      <c r="D21" s="14">
        <f>'SKU Data'!G21</f>
        <v>0.65</v>
      </c>
      <c r="E21" s="14">
        <f>'SKU Data'!H21</f>
        <v>0.34</v>
      </c>
      <c r="F21">
        <f>'SKU Data'!I21</f>
        <v>14</v>
      </c>
      <c r="G21" s="14">
        <f t="shared" si="0"/>
        <v>1.28</v>
      </c>
      <c r="H21" s="15">
        <f t="shared" si="1"/>
        <v>1.6283692947240194</v>
      </c>
      <c r="I21" s="15">
        <f t="shared" si="2"/>
        <v>10.728369294724018</v>
      </c>
      <c r="J21" s="15">
        <f>SQRT((2*'SKU Data'!F21*'SKU Data'!J21)/('SKU Data'!D21*'SKU Data'!K21))</f>
        <v>124.29835311089438</v>
      </c>
      <c r="K21" s="16">
        <f>IFERROR('SKU Data'!F21/J21,0)</f>
        <v>1.9227929736669405</v>
      </c>
    </row>
  </sheetData>
  <conditionalFormatting sqref="I2:I2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Dashboard</vt:lpstr>
      <vt:lpstr>SKU Data</vt:lpstr>
      <vt:lpstr>Assumptions</vt:lpstr>
      <vt:lpstr>ABC Analysis</vt:lpstr>
      <vt:lpstr>XYZ Analysis</vt:lpstr>
      <vt:lpstr>ABC-XYZ Matrix</vt:lpstr>
      <vt:lpstr>Reorder Point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abu hozaifa</cp:lastModifiedBy>
  <cp:revision>1</cp:revision>
  <dcterms:created xsi:type="dcterms:W3CDTF">2026-09-11T03:46:59Z</dcterms:created>
  <dcterms:modified xsi:type="dcterms:W3CDTF">2026-09-15T20:49:12Z</dcterms:modified>
  <dc:language>en-US</dc:language>
</cp:coreProperties>
</file>