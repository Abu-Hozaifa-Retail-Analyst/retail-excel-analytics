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shboard" sheetId="2" state="visible" r:id="rId4"/>
    <sheet name="SKU Data" sheetId="3" state="visible" r:id="rId5"/>
    <sheet name="ABC Analysis" sheetId="4" state="visible" r:id="rId6"/>
    <sheet name="Reorder Point Model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Blue cells throughout this workbook are editable inputs/assumptions. Everything else is a formula that recalculates automatically.</t>
        </r>
      </text>
    </comment>
  </commentList>
</comments>
</file>

<file path=xl/sharedStrings.xml><?xml version="1.0" encoding="utf-8"?>
<sst xmlns="http://schemas.openxmlformats.org/spreadsheetml/2006/main" count="144" uniqueCount="116">
  <si>
    <t xml:space="preserve">Inventory ABC Analysis &amp; Reorder Point Model</t>
  </si>
  <si>
    <t xml:space="preserve">Business Problem</t>
  </si>
  <si>
    <t xml:space="preserve">The warehouse is overstocked on low-value SKUs and stocking out on high-value ones, because every SKU is managed with the same review cadence and safety stock rule. Not all 20 SKUs deserve equal attention — a small number drive most of the inventory value and need tighter control, while the rest can run leaner.</t>
  </si>
  <si>
    <t xml:space="preserve">Excel Skills Demonstrated</t>
  </si>
  <si>
    <t xml:space="preserve">• SUMPRODUCT for a sort-free running-total (cumulative value) calculation</t>
  </si>
  <si>
    <t xml:space="preserve">• RANK to order SKUs by annual usage value without physically re-sorting the table</t>
  </si>
  <si>
    <t xml:space="preserve">• Nested IF classification into A / B / C tiers based on cumulative revenue share</t>
  </si>
  <si>
    <t xml:space="preserve">• Differentiated safety-stock formulas by tier (tighter service level for A-items)</t>
  </si>
  <si>
    <t xml:space="preserve">• Reorder point and EOQ (Economic Order Quantity) formulas</t>
  </si>
  <si>
    <t xml:space="preserve">• Conditional formatting to flag class and reorder urgency at a glance</t>
  </si>
  <si>
    <t xml:space="preserve">• Pareto-style chart (bar + cumulative % line) on the dashboard</t>
  </si>
  <si>
    <t xml:space="preserve">The ABC Method</t>
  </si>
  <si>
    <t xml:space="preserve">Annual Usage Value = Unit Cost x Annual Units Sold, for each SKU.</t>
  </si>
  <si>
    <t xml:space="preserve">SKUs are ranked by usage value (highest first) and their cumulative share of total value is calculated using SUMPRODUCT — no manual sorting required, so the table stays reorderable and still classifies correctly.</t>
  </si>
  <si>
    <t xml:space="preserve">Class A = SKUs making up the top 80% of cumulative value (tightest control, highest service level). Class B = next 15% (moderate control). Class C = remaining 5% (loosest control, review less often).</t>
  </si>
  <si>
    <t xml:space="preserve">These 80/15/5 thresholds are a common inventory-management convention, not a law — adjust them in the ABC Analysis sheet to match your business.</t>
  </si>
  <si>
    <t xml:space="preserve">Reorder Point Logic</t>
  </si>
  <si>
    <t xml:space="preserve">Safety Stock = Z x Demand Std Dev x SQRT(Lead Time). Z is the service-level factor: 2.33 (~99%) for A-items, 1.65 (~95%) for B-items, 1.28 (~90%) for C-items.</t>
  </si>
  <si>
    <t xml:space="preserve">Reorder Point = (Avg Daily Demand x Lead Time) + Safety Stock — the inventory level that should trigger a new purchase order.</t>
  </si>
  <si>
    <t xml:space="preserve">EOQ (Economic Order Quantity) = SQRT(2 x Annual Demand x Order Cost / Holding Cost) — the order quantity that minimizes total ordering + holding cost.</t>
  </si>
  <si>
    <t xml:space="preserve">Sheet Guide</t>
  </si>
  <si>
    <t xml:space="preserve">Dashboard — Pareto chart + ABC/reorder summary — start here.</t>
  </si>
  <si>
    <t xml:space="preserve">SKU Data — 20-SKU input table (blue = editable assumptions).</t>
  </si>
  <si>
    <t xml:space="preserve">ABC Analysis — Usage value, rank, cumulative %, and A/B/C class per SKU.</t>
  </si>
  <si>
    <t xml:space="preserve">Reorder Point Model — Safety stock, reorder point, and EOQ per SKU.</t>
  </si>
  <si>
    <t xml:space="preserve">Source: synthetic SKU data generated for this project (see gen_sku_data.py). Unit costs/prices are shared with the 01-sales-dashboard project for portfolio continuity; demand, lead time, and cost assumptions are illustrative, not real.</t>
  </si>
  <si>
    <t xml:space="preserve">Inventory ABC Analysis &amp; Reorder Point Dashboard</t>
  </si>
  <si>
    <t xml:space="preserve">20 SKUs  |  5 Categories  |  Annual Usage Value Basis</t>
  </si>
  <si>
    <t xml:space="preserve">Total Annual Usage Value</t>
  </si>
  <si>
    <t xml:space="preserve">Class A SKUs</t>
  </si>
  <si>
    <t xml:space="preserve">Class A Share of Value</t>
  </si>
  <si>
    <t xml:space="preserve">Avg Reorder Point (units)</t>
  </si>
  <si>
    <t xml:space="preserve">Top Value SKU</t>
  </si>
  <si>
    <t xml:space="preserve">Highest Reorder Point SKU (watch closely)</t>
  </si>
  <si>
    <t xml:space="preserve">SKU</t>
  </si>
  <si>
    <t xml:space="preserve">Product</t>
  </si>
  <si>
    <t xml:space="preserve">Category</t>
  </si>
  <si>
    <t xml:space="preserve">Unit Cost</t>
  </si>
  <si>
    <t xml:space="preserve">Unit Price</t>
  </si>
  <si>
    <t xml:space="preserve">Annual Units Sold</t>
  </si>
  <si>
    <t xml:space="preserve">Avg Daily Demand</t>
  </si>
  <si>
    <t xml:space="preserve">Demand Std Dev</t>
  </si>
  <si>
    <t xml:space="preserve">Lead Time (days)</t>
  </si>
  <si>
    <t xml:space="preserve">Order Cost</t>
  </si>
  <si>
    <t xml:space="preserve">Holding Cost %</t>
  </si>
  <si>
    <t xml:space="preserve">ELE-403</t>
  </si>
  <si>
    <t xml:space="preserve">Fitness Tracker Band</t>
  </si>
  <si>
    <t xml:space="preserve">Electronics</t>
  </si>
  <si>
    <t xml:space="preserve">FTW-201</t>
  </si>
  <si>
    <t xml:space="preserve">Running Sneakers</t>
  </si>
  <si>
    <t xml:space="preserve">Footwear</t>
  </si>
  <si>
    <t xml:space="preserve">ACC-302</t>
  </si>
  <si>
    <t xml:space="preserve">Aviator Sunglasses</t>
  </si>
  <si>
    <t xml:space="preserve">Accessories</t>
  </si>
  <si>
    <t xml:space="preserve">FTW-202</t>
  </si>
  <si>
    <t xml:space="preserve">Canvas Low-Top</t>
  </si>
  <si>
    <t xml:space="preserve">ELE-401</t>
  </si>
  <si>
    <t xml:space="preserve">Wireless Earbuds</t>
  </si>
  <si>
    <t xml:space="preserve">FTW-203</t>
  </si>
  <si>
    <t xml:space="preserve">Leather Ankle Boot</t>
  </si>
  <si>
    <t xml:space="preserve">HOM-503</t>
  </si>
  <si>
    <t xml:space="preserve">Cotton Throw Blanket</t>
  </si>
  <si>
    <t xml:space="preserve">Home Goods</t>
  </si>
  <si>
    <t xml:space="preserve">ELE-402</t>
  </si>
  <si>
    <t xml:space="preserve">Bluetooth Speaker</t>
  </si>
  <si>
    <t xml:space="preserve">APP-101</t>
  </si>
  <si>
    <t xml:space="preserve">Classic Denim Jacket</t>
  </si>
  <si>
    <t xml:space="preserve">Apparel</t>
  </si>
  <si>
    <t xml:space="preserve">APP-103</t>
  </si>
  <si>
    <t xml:space="preserve">Fleece Pullover Hoodie</t>
  </si>
  <si>
    <t xml:space="preserve">FTW-204</t>
  </si>
  <si>
    <t xml:space="preserve">Slide Sandals</t>
  </si>
  <si>
    <t xml:space="preserve">HOM-504</t>
  </si>
  <si>
    <t xml:space="preserve">Bamboo Cutting Board</t>
  </si>
  <si>
    <t xml:space="preserve">HOM-501</t>
  </si>
  <si>
    <t xml:space="preserve">Ceramic Coffee Mug Set</t>
  </si>
  <si>
    <t xml:space="preserve">APP-104</t>
  </si>
  <si>
    <t xml:space="preserve">Slim Fit Chinos</t>
  </si>
  <si>
    <t xml:space="preserve">ACC-304</t>
  </si>
  <si>
    <t xml:space="preserve">Wool Beanie</t>
  </si>
  <si>
    <t xml:space="preserve">ACC-301</t>
  </si>
  <si>
    <t xml:space="preserve">Leather Belt</t>
  </si>
  <si>
    <t xml:space="preserve">ACC-303</t>
  </si>
  <si>
    <t xml:space="preserve">Canvas Tote Bag</t>
  </si>
  <si>
    <t xml:space="preserve">ELE-404</t>
  </si>
  <si>
    <t xml:space="preserve">Phone Charging Cable</t>
  </si>
  <si>
    <t xml:space="preserve">HOM-502</t>
  </si>
  <si>
    <t xml:space="preserve">Scented Candle</t>
  </si>
  <si>
    <t xml:space="preserve">APP-102</t>
  </si>
  <si>
    <t xml:space="preserve">Cotton Crew T-Shirt</t>
  </si>
  <si>
    <t xml:space="preserve">Annual Usage Value</t>
  </si>
  <si>
    <t xml:space="preserve">Rank</t>
  </si>
  <si>
    <t xml:space="preserve">Cumulative Value</t>
  </si>
  <si>
    <t xml:space="preserve">Cumulative %</t>
  </si>
  <si>
    <t xml:space="preserve">Class</t>
  </si>
  <si>
    <t xml:space="preserve">Class Thresholds (cumulative % of value)</t>
  </si>
  <si>
    <t xml:space="preserve">A up to</t>
  </si>
  <si>
    <t xml:space="preserve">B up to</t>
  </si>
  <si>
    <t xml:space="preserve">C = remainder</t>
  </si>
  <si>
    <t xml:space="preserve">Class Summary</t>
  </si>
  <si>
    <t xml:space="preserve"># SKUs</t>
  </si>
  <si>
    <t xml:space="preserve">% of SKUs</t>
  </si>
  <si>
    <t xml:space="preserve">Total Value</t>
  </si>
  <si>
    <t xml:space="preserve">% of Value</t>
  </si>
  <si>
    <t xml:space="preserve">A</t>
  </si>
  <si>
    <t xml:space="preserve">B</t>
  </si>
  <si>
    <t xml:space="preserve">C</t>
  </si>
  <si>
    <t xml:space="preserve">Service Level Z</t>
  </si>
  <si>
    <t xml:space="preserve">Safety Stock</t>
  </si>
  <si>
    <t xml:space="preserve">Reorder Point</t>
  </si>
  <si>
    <t xml:space="preserve">EOQ</t>
  </si>
  <si>
    <t xml:space="preserve">Annual Orders (EOQ)</t>
  </si>
  <si>
    <t xml:space="preserve">Service Level by Class (Z-score)</t>
  </si>
  <si>
    <t xml:space="preserve">~99% service level</t>
  </si>
  <si>
    <t xml:space="preserve">~95% service level</t>
  </si>
  <si>
    <t xml:space="preserve">~90% service level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</si>
</sst>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"/>
    <numFmt numFmtId="166" formatCode="0"/>
    <numFmt numFmtId="167" formatCode="0.0%"/>
    <numFmt numFmtId="168" formatCode="0%"/>
    <numFmt numFmtId="169" formatCode="\$#,##0.00"/>
    <numFmt numFmtId="170" formatCode="0.00"/>
    <numFmt numFmtId="171" formatCode="General"/>
    <numFmt numFmtId="172" formatCode="0.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20"/>
      <color rgb="FF1F3864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2"/>
      <color rgb="FF1F7A1F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rgb="FF0000FF"/>
      <name val="Arial"/>
      <family val="0"/>
      <charset val="1"/>
    </font>
    <font>
      <sz val="10"/>
      <name val="Arial"/>
      <family val="2"/>
    </font>
    <font>
      <b val="true"/>
      <sz val="11"/>
      <color rgb="FF1F386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0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C6E0B4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F7A1F"/>
      <rgbColor rgb="FF000080"/>
      <rgbColor rgb="FF808000"/>
      <rgbColor rgb="FF800080"/>
      <rgbColor rgb="FF008080"/>
      <rgbColor rgb="FFC6E0B4"/>
      <rgbColor rgb="FF808080"/>
      <rgbColor rgb="FF878787"/>
      <rgbColor rgb="FFBE4B48"/>
      <rgbColor rgb="FFFFF2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BBB59"/>
      <rgbColor rgb="FFFFCC00"/>
      <rgbColor rgb="FFFF9900"/>
      <rgbColor rgb="FFFF6600"/>
      <rgbColor rgb="FF4F81BD"/>
      <rgbColor rgb="FF999999"/>
      <rgbColor rgb="FF1F3864"/>
      <rgbColor rgb="FF339966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Pareto: Annual Usage Value by SKU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'ABC Analysis'!D1</c:f>
              <c:strCache>
                <c:ptCount val="1"/>
                <c:pt idx="0">
                  <c:v>Annual Usage Value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'ABC Analysis'!$A$2:$A$21</c:f>
              <c:strCache>
                <c:ptCount val="20"/>
                <c:pt idx="0">
                  <c:v>ELE-403</c:v>
                </c:pt>
                <c:pt idx="1">
                  <c:v>FTW-201</c:v>
                </c:pt>
                <c:pt idx="2">
                  <c:v>ACC-302</c:v>
                </c:pt>
                <c:pt idx="3">
                  <c:v>FTW-202</c:v>
                </c:pt>
                <c:pt idx="4">
                  <c:v>ELE-401</c:v>
                </c:pt>
                <c:pt idx="5">
                  <c:v>FTW-203</c:v>
                </c:pt>
                <c:pt idx="6">
                  <c:v>HOM-503</c:v>
                </c:pt>
                <c:pt idx="7">
                  <c:v>ELE-402</c:v>
                </c:pt>
                <c:pt idx="8">
                  <c:v>APP-101</c:v>
                </c:pt>
                <c:pt idx="9">
                  <c:v>APP-103</c:v>
                </c:pt>
                <c:pt idx="10">
                  <c:v>FTW-204</c:v>
                </c:pt>
                <c:pt idx="11">
                  <c:v>HOM-504</c:v>
                </c:pt>
                <c:pt idx="12">
                  <c:v>HOM-501</c:v>
                </c:pt>
                <c:pt idx="13">
                  <c:v>APP-104</c:v>
                </c:pt>
                <c:pt idx="14">
                  <c:v>ACC-304</c:v>
                </c:pt>
                <c:pt idx="15">
                  <c:v>ACC-301</c:v>
                </c:pt>
                <c:pt idx="16">
                  <c:v>ACC-303</c:v>
                </c:pt>
                <c:pt idx="17">
                  <c:v>ELE-404</c:v>
                </c:pt>
                <c:pt idx="18">
                  <c:v>HOM-502</c:v>
                </c:pt>
                <c:pt idx="19">
                  <c:v>APP-102</c:v>
                </c:pt>
              </c:strCache>
            </c:strRef>
          </c:cat>
          <c:val>
            <c:numRef>
              <c:f>'ABC Analysis'!$D$2:$D$21</c:f>
              <c:numCache>
                <c:formatCode>\$#,##0</c:formatCode>
                <c:ptCount val="20"/>
                <c:pt idx="0">
                  <c:v>77490</c:v>
                </c:pt>
                <c:pt idx="1">
                  <c:v>31198</c:v>
                </c:pt>
                <c:pt idx="2">
                  <c:v>22995</c:v>
                </c:pt>
                <c:pt idx="3">
                  <c:v>20878</c:v>
                </c:pt>
                <c:pt idx="4">
                  <c:v>19550</c:v>
                </c:pt>
                <c:pt idx="5">
                  <c:v>16276</c:v>
                </c:pt>
                <c:pt idx="6">
                  <c:v>15360</c:v>
                </c:pt>
                <c:pt idx="7">
                  <c:v>13704</c:v>
                </c:pt>
                <c:pt idx="8">
                  <c:v>9185</c:v>
                </c:pt>
                <c:pt idx="9">
                  <c:v>7668</c:v>
                </c:pt>
                <c:pt idx="10">
                  <c:v>7668</c:v>
                </c:pt>
                <c:pt idx="11">
                  <c:v>7520</c:v>
                </c:pt>
                <c:pt idx="12">
                  <c:v>6600</c:v>
                </c:pt>
                <c:pt idx="13">
                  <c:v>5103</c:v>
                </c:pt>
                <c:pt idx="14">
                  <c:v>4405.5</c:v>
                </c:pt>
                <c:pt idx="15">
                  <c:v>3773</c:v>
                </c:pt>
                <c:pt idx="16">
                  <c:v>2278</c:v>
                </c:pt>
                <c:pt idx="17">
                  <c:v>1932</c:v>
                </c:pt>
                <c:pt idx="18">
                  <c:v>1860</c:v>
                </c:pt>
                <c:pt idx="19">
                  <c:v>1553.5</c:v>
                </c:pt>
              </c:numCache>
            </c:numRef>
          </c:val>
        </c:ser>
        <c:gapWidth val="150"/>
        <c:overlap val="0"/>
        <c:axId val="61440715"/>
        <c:axId val="51092154"/>
      </c:barChart>
      <c:lineChart>
        <c:grouping val="standard"/>
        <c:varyColors val="0"/>
        <c:ser>
          <c:idx val="1"/>
          <c:order val="1"/>
          <c:tx>
            <c:strRef>
              <c:f>'ABC Analysis'!G1</c:f>
              <c:strCache>
                <c:ptCount val="1"/>
                <c:pt idx="0">
                  <c:v>Cumulative %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'ABC Analysis'!$A$2:$A$21</c:f>
              <c:strCache>
                <c:ptCount val="20"/>
                <c:pt idx="0">
                  <c:v>ELE-403</c:v>
                </c:pt>
                <c:pt idx="1">
                  <c:v>FTW-201</c:v>
                </c:pt>
                <c:pt idx="2">
                  <c:v>ACC-302</c:v>
                </c:pt>
                <c:pt idx="3">
                  <c:v>FTW-202</c:v>
                </c:pt>
                <c:pt idx="4">
                  <c:v>ELE-401</c:v>
                </c:pt>
                <c:pt idx="5">
                  <c:v>FTW-203</c:v>
                </c:pt>
                <c:pt idx="6">
                  <c:v>HOM-503</c:v>
                </c:pt>
                <c:pt idx="7">
                  <c:v>ELE-402</c:v>
                </c:pt>
                <c:pt idx="8">
                  <c:v>APP-101</c:v>
                </c:pt>
                <c:pt idx="9">
                  <c:v>APP-103</c:v>
                </c:pt>
                <c:pt idx="10">
                  <c:v>FTW-204</c:v>
                </c:pt>
                <c:pt idx="11">
                  <c:v>HOM-504</c:v>
                </c:pt>
                <c:pt idx="12">
                  <c:v>HOM-501</c:v>
                </c:pt>
                <c:pt idx="13">
                  <c:v>APP-104</c:v>
                </c:pt>
                <c:pt idx="14">
                  <c:v>ACC-304</c:v>
                </c:pt>
                <c:pt idx="15">
                  <c:v>ACC-301</c:v>
                </c:pt>
                <c:pt idx="16">
                  <c:v>ACC-303</c:v>
                </c:pt>
                <c:pt idx="17">
                  <c:v>ELE-404</c:v>
                </c:pt>
                <c:pt idx="18">
                  <c:v>HOM-502</c:v>
                </c:pt>
                <c:pt idx="19">
                  <c:v>APP-102</c:v>
                </c:pt>
              </c:strCache>
            </c:strRef>
          </c:cat>
          <c:val>
            <c:numRef>
              <c:f>'ABC Analysis'!$G$2:$G$21</c:f>
              <c:numCache>
                <c:formatCode>0.0%</c:formatCode>
                <c:ptCount val="20"/>
                <c:pt idx="0">
                  <c:v>0.279750322205656</c:v>
                </c:pt>
                <c:pt idx="1">
                  <c:v>0.392379700863186</c:v>
                </c:pt>
                <c:pt idx="2">
                  <c:v>0.475395040379499</c:v>
                </c:pt>
                <c:pt idx="3">
                  <c:v>0.550767697845103</c:v>
                </c:pt>
                <c:pt idx="4">
                  <c:v>0.621346079560428</c:v>
                </c:pt>
                <c:pt idx="5">
                  <c:v>0.680104838680563</c:v>
                </c:pt>
                <c:pt idx="6">
                  <c:v>0.735556702780175</c:v>
                </c:pt>
                <c:pt idx="7">
                  <c:v>0.785030162781546</c:v>
                </c:pt>
                <c:pt idx="8">
                  <c:v>0.818189366671841</c:v>
                </c:pt>
                <c:pt idx="9">
                  <c:v>0.873554587233797</c:v>
                </c:pt>
                <c:pt idx="10">
                  <c:v>0.873554587233797</c:v>
                </c:pt>
                <c:pt idx="11">
                  <c:v>0.900702895699232</c:v>
                </c:pt>
                <c:pt idx="12">
                  <c:v>0.924529868554533</c:v>
                </c:pt>
                <c:pt idx="13">
                  <c:v>0.942952450748564</c:v>
                </c:pt>
                <c:pt idx="14">
                  <c:v>0.958856955129478</c:v>
                </c:pt>
                <c:pt idx="15">
                  <c:v>0.972478041278425</c:v>
                </c:pt>
                <c:pt idx="16">
                  <c:v>0.980701957060907</c:v>
                </c:pt>
                <c:pt idx="17">
                  <c:v>0.987676761842186</c:v>
                </c:pt>
                <c:pt idx="18">
                  <c:v>0.994391636010498</c:v>
                </c:pt>
                <c:pt idx="19">
                  <c:v>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9979044"/>
        <c:axId val="7676414"/>
      </c:lineChart>
      <c:catAx>
        <c:axId val="614407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092154"/>
        <c:crosses val="autoZero"/>
        <c:auto val="1"/>
        <c:lblAlgn val="ctr"/>
        <c:lblOffset val="100"/>
        <c:noMultiLvlLbl val="0"/>
      </c:catAx>
      <c:valAx>
        <c:axId val="510921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Usage Value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440715"/>
        <c:crosses val="autoZero"/>
        <c:crossBetween val="between"/>
      </c:valAx>
      <c:catAx>
        <c:axId val="89979044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76414"/>
        <c:crosses val="autoZero"/>
        <c:auto val="1"/>
        <c:lblAlgn val="ctr"/>
        <c:lblOffset val="100"/>
        <c:noMultiLvlLbl val="0"/>
      </c:catAx>
      <c:valAx>
        <c:axId val="7676414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Cumulative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979044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Usage Value by Class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'ABC Analysis'!D25</c:f>
              <c:strCache>
                <c:ptCount val="1"/>
                <c:pt idx="0">
                  <c:v>Total Value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'ABC Analysis'!$A$26:$A$28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'ABC Analysis'!$D$26:$D$28</c:f>
              <c:numCache>
                <c:formatCode>\$#,##0</c:formatCode>
                <c:ptCount val="3"/>
                <c:pt idx="0">
                  <c:v>217451</c:v>
                </c:pt>
                <c:pt idx="1">
                  <c:v>43744</c:v>
                </c:pt>
                <c:pt idx="2">
                  <c:v>15802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SKU Count by Class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'ABC Analysis'!B25</c:f>
              <c:strCache>
                <c:ptCount val="1"/>
                <c:pt idx="0">
                  <c:v># SKUs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'ABC Analysis'!$A$26:$A$28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'ABC Analysis'!$B$26:$B$28</c:f>
              <c:numCache>
                <c:formatCode>General</c:formatCode>
                <c:ptCount val="3"/>
                <c:pt idx="0">
                  <c:v>8</c:v>
                </c:pt>
                <c:pt idx="1">
                  <c:v>6</c:v>
                </c:pt>
                <c:pt idx="2">
                  <c:v>6</c:v>
                </c:pt>
              </c:numCache>
            </c:numRef>
          </c:val>
        </c:ser>
        <c:gapWidth val="150"/>
        <c:overlap val="0"/>
        <c:axId val="63497779"/>
        <c:axId val="43051308"/>
      </c:barChart>
      <c:catAx>
        <c:axId val="634977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051308"/>
        <c:crosses val="autoZero"/>
        <c:auto val="1"/>
        <c:lblAlgn val="ctr"/>
        <c:lblOffset val="100"/>
        <c:noMultiLvlLbl val="0"/>
      </c:catAx>
      <c:valAx>
        <c:axId val="430513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# SKUs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4977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10</xdr:row>
      <xdr:rowOff>70200</xdr:rowOff>
    </xdr:from>
    <xdr:to>
      <xdr:col>11</xdr:col>
      <xdr:colOff>415800</xdr:colOff>
      <xdr:row>29</xdr:row>
      <xdr:rowOff>50400</xdr:rowOff>
    </xdr:to>
    <xdr:graphicFrame>
      <xdr:nvGraphicFramePr>
        <xdr:cNvPr id="0" name="Chart 1"/>
        <xdr:cNvGraphicFramePr/>
      </xdr:nvGraphicFramePr>
      <xdr:xfrm>
        <a:off x="141120" y="241920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30</xdr:row>
      <xdr:rowOff>70560</xdr:rowOff>
    </xdr:from>
    <xdr:to>
      <xdr:col>6</xdr:col>
      <xdr:colOff>90720</xdr:colOff>
      <xdr:row>47</xdr:row>
      <xdr:rowOff>71640</xdr:rowOff>
    </xdr:to>
    <xdr:graphicFrame>
      <xdr:nvGraphicFramePr>
        <xdr:cNvPr id="1" name="Chart 2"/>
        <xdr:cNvGraphicFramePr/>
      </xdr:nvGraphicFramePr>
      <xdr:xfrm>
        <a:off x="141120" y="622944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30</xdr:row>
      <xdr:rowOff>70560</xdr:rowOff>
    </xdr:from>
    <xdr:to>
      <xdr:col>10</xdr:col>
      <xdr:colOff>90720</xdr:colOff>
      <xdr:row>47</xdr:row>
      <xdr:rowOff>71640</xdr:rowOff>
    </xdr:to>
    <xdr:graphicFrame>
      <xdr:nvGraphicFramePr>
        <xdr:cNvPr id="2" name="Chart 3"/>
        <xdr:cNvGraphicFramePr/>
      </xdr:nvGraphicFramePr>
      <xdr:xfrm>
        <a:off x="3524400" y="622944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KUData" displayName="SKUData" ref="A1:K21" headerRowCount="1" totalsRowCount="0" totalsRowShown="0">
  <autoFilter ref="A1:K21"/>
  <tableColumns count="11">
    <tableColumn id="1" name="SKU"/>
    <tableColumn id="2" name="Product"/>
    <tableColumn id="3" name="Category"/>
    <tableColumn id="4" name="Unit Cost"/>
    <tableColumn id="5" name="Unit Price"/>
    <tableColumn id="6" name="Annual Units Sold"/>
    <tableColumn id="7" name="Avg Daily Demand"/>
    <tableColumn id="8" name="Demand Std Dev"/>
    <tableColumn id="9" name="Lead Time (days)"/>
    <tableColumn id="10" name="Order Cost"/>
    <tableColumn id="11" name="Holding Cost %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22.0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</row>
    <row r="5" customFormat="false" ht="54.75" hidden="false" customHeight="true" outlineLevel="0" collapsed="false">
      <c r="B5" s="3" t="s">
        <v>2</v>
      </c>
    </row>
    <row r="7" customFormat="false" ht="15" hidden="false" customHeight="false" outlineLevel="0" collapsed="false">
      <c r="B7" s="2" t="s">
        <v>3</v>
      </c>
    </row>
    <row r="8" customFormat="false" ht="15.75" hidden="false" customHeight="true" outlineLevel="0" collapsed="false">
      <c r="B8" s="4" t="s">
        <v>4</v>
      </c>
    </row>
    <row r="9" customFormat="false" ht="15.75" hidden="false" customHeight="true" outlineLevel="0" collapsed="false">
      <c r="B9" s="4" t="s">
        <v>5</v>
      </c>
    </row>
    <row r="10" customFormat="false" ht="15.75" hidden="false" customHeight="true" outlineLevel="0" collapsed="false">
      <c r="B10" s="4" t="s">
        <v>6</v>
      </c>
    </row>
    <row r="11" customFormat="false" ht="15.75" hidden="false" customHeight="true" outlineLevel="0" collapsed="false">
      <c r="B11" s="4" t="s">
        <v>7</v>
      </c>
    </row>
    <row r="12" customFormat="false" ht="15.75" hidden="false" customHeight="true" outlineLevel="0" collapsed="false">
      <c r="B12" s="4" t="s">
        <v>8</v>
      </c>
    </row>
    <row r="13" customFormat="false" ht="15.75" hidden="false" customHeight="true" outlineLevel="0" collapsed="false">
      <c r="B13" s="4" t="s">
        <v>9</v>
      </c>
    </row>
    <row r="14" customFormat="false" ht="15.75" hidden="false" customHeight="true" outlineLevel="0" collapsed="false">
      <c r="B14" s="4" t="s">
        <v>10</v>
      </c>
    </row>
    <row r="16" customFormat="false" ht="15" hidden="false" customHeight="false" outlineLevel="0" collapsed="false">
      <c r="B16" s="2" t="s">
        <v>11</v>
      </c>
    </row>
    <row r="17" customFormat="false" ht="30" hidden="false" customHeight="true" outlineLevel="0" collapsed="false">
      <c r="B17" s="3" t="s">
        <v>12</v>
      </c>
    </row>
    <row r="18" customFormat="false" ht="30" hidden="false" customHeight="true" outlineLevel="0" collapsed="false">
      <c r="B18" s="3" t="s">
        <v>13</v>
      </c>
    </row>
    <row r="19" customFormat="false" ht="30" hidden="false" customHeight="true" outlineLevel="0" collapsed="false">
      <c r="B19" s="3" t="s">
        <v>14</v>
      </c>
    </row>
    <row r="20" customFormat="false" ht="30" hidden="false" customHeight="true" outlineLevel="0" collapsed="false">
      <c r="B20" s="3" t="s">
        <v>15</v>
      </c>
    </row>
    <row r="22" customFormat="false" ht="15" hidden="false" customHeight="false" outlineLevel="0" collapsed="false">
      <c r="B22" s="2" t="s">
        <v>16</v>
      </c>
    </row>
    <row r="23" customFormat="false" ht="30" hidden="false" customHeight="true" outlineLevel="0" collapsed="false">
      <c r="B23" s="3" t="s">
        <v>17</v>
      </c>
    </row>
    <row r="24" customFormat="false" ht="30" hidden="false" customHeight="true" outlineLevel="0" collapsed="false">
      <c r="B24" s="3" t="s">
        <v>18</v>
      </c>
    </row>
    <row r="25" customFormat="false" ht="30" hidden="false" customHeight="true" outlineLevel="0" collapsed="false">
      <c r="B25" s="3" t="s">
        <v>19</v>
      </c>
    </row>
    <row r="27" customFormat="false" ht="15" hidden="false" customHeight="false" outlineLevel="0" collapsed="false">
      <c r="B27" s="2" t="s">
        <v>20</v>
      </c>
    </row>
    <row r="28" customFormat="false" ht="15" hidden="false" customHeight="false" outlineLevel="0" collapsed="false">
      <c r="B28" s="0" t="s">
        <v>21</v>
      </c>
    </row>
    <row r="29" customFormat="false" ht="15" hidden="false" customHeight="false" outlineLevel="0" collapsed="false">
      <c r="B29" s="0" t="s">
        <v>22</v>
      </c>
    </row>
    <row r="30" customFormat="false" ht="15" hidden="false" customHeight="false" outlineLevel="0" collapsed="false">
      <c r="B30" s="0" t="s">
        <v>23</v>
      </c>
    </row>
    <row r="31" customFormat="false" ht="15" hidden="false" customHeight="false" outlineLevel="0" collapsed="false">
      <c r="B31" s="0" t="s">
        <v>24</v>
      </c>
    </row>
    <row r="34" customFormat="false" ht="30" hidden="false" customHeight="true" outlineLevel="0" collapsed="false">
      <c r="B34" s="5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0" min="2" style="0" width="12"/>
  </cols>
  <sheetData>
    <row r="2" customFormat="false" ht="24.45" hidden="false" customHeight="false" outlineLevel="0" collapsed="false">
      <c r="B2" s="6" t="s">
        <v>26</v>
      </c>
      <c r="C2" s="6"/>
      <c r="D2" s="6"/>
      <c r="E2" s="6"/>
      <c r="F2" s="6"/>
      <c r="G2" s="6"/>
      <c r="H2" s="6"/>
      <c r="I2" s="6"/>
      <c r="J2" s="6"/>
    </row>
    <row r="3" customFormat="false" ht="15" hidden="false" customHeight="false" outlineLevel="0" collapsed="false">
      <c r="B3" s="7" t="s">
        <v>27</v>
      </c>
      <c r="C3" s="7"/>
      <c r="D3" s="7"/>
      <c r="E3" s="7"/>
      <c r="F3" s="7"/>
      <c r="G3" s="7"/>
      <c r="H3" s="7"/>
      <c r="I3" s="7"/>
      <c r="J3" s="7"/>
    </row>
    <row r="5" customFormat="false" ht="27.75" hidden="false" customHeight="true" outlineLevel="0" collapsed="false">
      <c r="B5" s="8" t="s">
        <v>28</v>
      </c>
      <c r="C5" s="8"/>
      <c r="D5" s="8" t="s">
        <v>29</v>
      </c>
      <c r="E5" s="8"/>
      <c r="F5" s="8" t="s">
        <v>30</v>
      </c>
      <c r="G5" s="8"/>
      <c r="H5" s="8" t="s">
        <v>31</v>
      </c>
      <c r="I5" s="8"/>
    </row>
    <row r="6" customFormat="false" ht="27.75" hidden="false" customHeight="true" outlineLevel="0" collapsed="false">
      <c r="B6" s="9" t="n">
        <f aca="false">SUM('ABC Analysis'!D2:D21)</f>
        <v>276997</v>
      </c>
      <c r="C6" s="9"/>
      <c r="D6" s="10" t="n">
        <f aca="false">'ABC Analysis'!B26</f>
        <v>8</v>
      </c>
      <c r="E6" s="10"/>
      <c r="F6" s="11" t="n">
        <f aca="false">'ABC Analysis'!E26</f>
        <v>0.785030162781546</v>
      </c>
      <c r="G6" s="11"/>
      <c r="H6" s="10" t="n">
        <f aca="false">AVERAGE('Reorder Point Model'!I2:I21)</f>
        <v>54.6099424151338</v>
      </c>
      <c r="I6" s="10"/>
    </row>
    <row r="9" customFormat="false" ht="15" hidden="false" customHeight="false" outlineLevel="0" collapsed="false">
      <c r="B9" s="12" t="s">
        <v>32</v>
      </c>
      <c r="C9" s="12"/>
      <c r="D9" s="12"/>
      <c r="E9" s="12"/>
      <c r="F9" s="12" t="s">
        <v>33</v>
      </c>
      <c r="G9" s="12"/>
      <c r="H9" s="12"/>
      <c r="I9" s="12"/>
      <c r="J9" s="12"/>
    </row>
    <row r="10" customFormat="false" ht="15" hidden="false" customHeight="false" outlineLevel="0" collapsed="false">
      <c r="B10" s="13" t="str">
        <f aca="false">INDEX('ABC Analysis'!B2:B21,MATCH(1,'ABC Analysis'!E2:E21,0))</f>
        <v>Fitness Tracker Band</v>
      </c>
      <c r="C10" s="13"/>
      <c r="D10" s="13"/>
      <c r="E10" s="13"/>
      <c r="F10" s="14" t="str">
        <f aca="false">INDEX('Reorder Point Model'!B2:B21,MATCH(MAX('Reorder Point Model'!I2:I21),'Reorder Point Model'!I2:I21,0))</f>
        <v>Fitness Tracker Band</v>
      </c>
      <c r="G10" s="14"/>
      <c r="H10" s="14"/>
      <c r="I10" s="14"/>
      <c r="J10" s="14"/>
    </row>
  </sheetData>
  <mergeCells count="14">
    <mergeCell ref="B2:J2"/>
    <mergeCell ref="B3:J3"/>
    <mergeCell ref="B5:C5"/>
    <mergeCell ref="D5:E5"/>
    <mergeCell ref="F5:G5"/>
    <mergeCell ref="H5:I5"/>
    <mergeCell ref="B6:C6"/>
    <mergeCell ref="D6:E6"/>
    <mergeCell ref="F6:G6"/>
    <mergeCell ref="H6:I6"/>
    <mergeCell ref="B9:E9"/>
    <mergeCell ref="F9:J9"/>
    <mergeCell ref="B10:E10"/>
    <mergeCell ref="F10:J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5" min="4" style="0" width="10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11"/>
    <col collapsed="false" customWidth="true" hidden="false" outlineLevel="0" max="11" min="11" style="0" width="12"/>
  </cols>
  <sheetData>
    <row r="1" customFormat="false" ht="23.85" hidden="false" customHeight="false" outlineLevel="0" collapsed="false">
      <c r="A1" s="15" t="s">
        <v>34</v>
      </c>
      <c r="B1" s="15" t="s">
        <v>35</v>
      </c>
      <c r="C1" s="15" t="s">
        <v>36</v>
      </c>
      <c r="D1" s="15" t="s">
        <v>37</v>
      </c>
      <c r="E1" s="15" t="s">
        <v>38</v>
      </c>
      <c r="F1" s="15" t="s">
        <v>39</v>
      </c>
      <c r="G1" s="15" t="s">
        <v>40</v>
      </c>
      <c r="H1" s="15" t="s">
        <v>41</v>
      </c>
      <c r="I1" s="15" t="s">
        <v>42</v>
      </c>
      <c r="J1" s="15" t="s">
        <v>43</v>
      </c>
      <c r="K1" s="15" t="s">
        <v>44</v>
      </c>
    </row>
    <row r="2" customFormat="false" ht="15" hidden="false" customHeight="false" outlineLevel="0" collapsed="false">
      <c r="A2" s="0" t="s">
        <v>45</v>
      </c>
      <c r="B2" s="0" t="s">
        <v>46</v>
      </c>
      <c r="C2" s="0" t="s">
        <v>47</v>
      </c>
      <c r="D2" s="16" t="n">
        <v>42</v>
      </c>
      <c r="E2" s="16" t="n">
        <v>99</v>
      </c>
      <c r="F2" s="17" t="n">
        <v>1845</v>
      </c>
      <c r="G2" s="18" t="n">
        <v>5.05</v>
      </c>
      <c r="H2" s="18" t="n">
        <v>1.31</v>
      </c>
      <c r="I2" s="17" t="n">
        <v>45</v>
      </c>
      <c r="J2" s="16" t="n">
        <v>79.1</v>
      </c>
      <c r="K2" s="19" t="n">
        <v>0.23</v>
      </c>
    </row>
    <row r="3" customFormat="false" ht="15" hidden="false" customHeight="false" outlineLevel="0" collapsed="false">
      <c r="A3" s="0" t="s">
        <v>48</v>
      </c>
      <c r="B3" s="0" t="s">
        <v>49</v>
      </c>
      <c r="C3" s="0" t="s">
        <v>50</v>
      </c>
      <c r="D3" s="16" t="n">
        <v>38</v>
      </c>
      <c r="E3" s="16" t="n">
        <v>89</v>
      </c>
      <c r="F3" s="17" t="n">
        <v>821</v>
      </c>
      <c r="G3" s="18" t="n">
        <v>2.25</v>
      </c>
      <c r="H3" s="18" t="n">
        <v>0.77</v>
      </c>
      <c r="I3" s="17" t="n">
        <v>14</v>
      </c>
      <c r="J3" s="16" t="n">
        <v>99.48</v>
      </c>
      <c r="K3" s="19" t="n">
        <v>0.22</v>
      </c>
    </row>
    <row r="4" customFormat="false" ht="15" hidden="false" customHeight="false" outlineLevel="0" collapsed="false">
      <c r="A4" s="0" t="s">
        <v>51</v>
      </c>
      <c r="B4" s="0" t="s">
        <v>52</v>
      </c>
      <c r="C4" s="0" t="s">
        <v>53</v>
      </c>
      <c r="D4" s="16" t="n">
        <v>15</v>
      </c>
      <c r="E4" s="16" t="n">
        <v>42</v>
      </c>
      <c r="F4" s="17" t="n">
        <v>1533</v>
      </c>
      <c r="G4" s="18" t="n">
        <v>4.2</v>
      </c>
      <c r="H4" s="18" t="n">
        <v>1.43</v>
      </c>
      <c r="I4" s="17" t="n">
        <v>10</v>
      </c>
      <c r="J4" s="16" t="n">
        <v>52.99</v>
      </c>
      <c r="K4" s="19" t="n">
        <v>0.2</v>
      </c>
    </row>
    <row r="5" customFormat="false" ht="15" hidden="false" customHeight="false" outlineLevel="0" collapsed="false">
      <c r="A5" s="0" t="s">
        <v>54</v>
      </c>
      <c r="B5" s="0" t="s">
        <v>55</v>
      </c>
      <c r="C5" s="0" t="s">
        <v>50</v>
      </c>
      <c r="D5" s="16" t="n">
        <v>22</v>
      </c>
      <c r="E5" s="16" t="n">
        <v>55</v>
      </c>
      <c r="F5" s="17" t="n">
        <v>949</v>
      </c>
      <c r="G5" s="18" t="n">
        <v>2.6</v>
      </c>
      <c r="H5" s="18" t="n">
        <v>0.73</v>
      </c>
      <c r="I5" s="17" t="n">
        <v>14</v>
      </c>
      <c r="J5" s="16" t="n">
        <v>80.96</v>
      </c>
      <c r="K5" s="19" t="n">
        <v>0.22</v>
      </c>
    </row>
    <row r="6" customFormat="false" ht="15" hidden="false" customHeight="false" outlineLevel="0" collapsed="false">
      <c r="A6" s="0" t="s">
        <v>56</v>
      </c>
      <c r="B6" s="0" t="s">
        <v>57</v>
      </c>
      <c r="C6" s="0" t="s">
        <v>47</v>
      </c>
      <c r="D6" s="16" t="n">
        <v>34</v>
      </c>
      <c r="E6" s="16" t="n">
        <v>79</v>
      </c>
      <c r="F6" s="17" t="n">
        <v>575</v>
      </c>
      <c r="G6" s="18" t="n">
        <v>1.58</v>
      </c>
      <c r="H6" s="18" t="n">
        <v>0.79</v>
      </c>
      <c r="I6" s="17" t="n">
        <v>21</v>
      </c>
      <c r="J6" s="16" t="n">
        <v>92.15</v>
      </c>
      <c r="K6" s="19" t="n">
        <v>0.24</v>
      </c>
    </row>
    <row r="7" customFormat="false" ht="15" hidden="false" customHeight="false" outlineLevel="0" collapsed="false">
      <c r="A7" s="0" t="s">
        <v>58</v>
      </c>
      <c r="B7" s="0" t="s">
        <v>59</v>
      </c>
      <c r="C7" s="0" t="s">
        <v>50</v>
      </c>
      <c r="D7" s="16" t="n">
        <v>52</v>
      </c>
      <c r="E7" s="16" t="n">
        <v>120</v>
      </c>
      <c r="F7" s="17" t="n">
        <v>313</v>
      </c>
      <c r="G7" s="18" t="n">
        <v>0.86</v>
      </c>
      <c r="H7" s="18" t="n">
        <v>0.38</v>
      </c>
      <c r="I7" s="17" t="n">
        <v>45</v>
      </c>
      <c r="J7" s="16" t="n">
        <v>114.84</v>
      </c>
      <c r="K7" s="19" t="n">
        <v>0.21</v>
      </c>
    </row>
    <row r="8" customFormat="false" ht="15" hidden="false" customHeight="false" outlineLevel="0" collapsed="false">
      <c r="A8" s="0" t="s">
        <v>60</v>
      </c>
      <c r="B8" s="0" t="s">
        <v>61</v>
      </c>
      <c r="C8" s="0" t="s">
        <v>62</v>
      </c>
      <c r="D8" s="16" t="n">
        <v>15</v>
      </c>
      <c r="E8" s="16" t="n">
        <v>38</v>
      </c>
      <c r="F8" s="17" t="n">
        <v>1024</v>
      </c>
      <c r="G8" s="18" t="n">
        <v>2.81</v>
      </c>
      <c r="H8" s="18" t="n">
        <v>1.52</v>
      </c>
      <c r="I8" s="17" t="n">
        <v>14</v>
      </c>
      <c r="J8" s="16" t="n">
        <v>49.13</v>
      </c>
      <c r="K8" s="19" t="n">
        <v>0.17</v>
      </c>
    </row>
    <row r="9" customFormat="false" ht="15" hidden="false" customHeight="false" outlineLevel="0" collapsed="false">
      <c r="A9" s="0" t="s">
        <v>63</v>
      </c>
      <c r="B9" s="0" t="s">
        <v>64</v>
      </c>
      <c r="C9" s="0" t="s">
        <v>47</v>
      </c>
      <c r="D9" s="16" t="n">
        <v>24</v>
      </c>
      <c r="E9" s="16" t="n">
        <v>59</v>
      </c>
      <c r="F9" s="17" t="n">
        <v>571</v>
      </c>
      <c r="G9" s="18" t="n">
        <v>1.56</v>
      </c>
      <c r="H9" s="18" t="n">
        <v>0.69</v>
      </c>
      <c r="I9" s="17" t="n">
        <v>45</v>
      </c>
      <c r="J9" s="16" t="n">
        <v>71.31</v>
      </c>
      <c r="K9" s="19" t="n">
        <v>0.2</v>
      </c>
    </row>
    <row r="10" customFormat="false" ht="15" hidden="false" customHeight="false" outlineLevel="0" collapsed="false">
      <c r="A10" s="0" t="s">
        <v>65</v>
      </c>
      <c r="B10" s="0" t="s">
        <v>66</v>
      </c>
      <c r="C10" s="0" t="s">
        <v>67</v>
      </c>
      <c r="D10" s="16" t="n">
        <v>27.5</v>
      </c>
      <c r="E10" s="16" t="n">
        <v>68</v>
      </c>
      <c r="F10" s="17" t="n">
        <v>334</v>
      </c>
      <c r="G10" s="18" t="n">
        <v>0.92</v>
      </c>
      <c r="H10" s="18" t="n">
        <v>0.34</v>
      </c>
      <c r="I10" s="17" t="n">
        <v>7</v>
      </c>
      <c r="J10" s="16" t="n">
        <v>47.97</v>
      </c>
      <c r="K10" s="19" t="n">
        <v>0.22</v>
      </c>
    </row>
    <row r="11" customFormat="false" ht="15" hidden="false" customHeight="false" outlineLevel="0" collapsed="false">
      <c r="A11" s="0" t="s">
        <v>68</v>
      </c>
      <c r="B11" s="0" t="s">
        <v>69</v>
      </c>
      <c r="C11" s="0" t="s">
        <v>67</v>
      </c>
      <c r="D11" s="16" t="n">
        <v>18</v>
      </c>
      <c r="E11" s="16" t="n">
        <v>45</v>
      </c>
      <c r="F11" s="17" t="n">
        <v>426</v>
      </c>
      <c r="G11" s="18" t="n">
        <v>1.17</v>
      </c>
      <c r="H11" s="18" t="n">
        <v>0.33</v>
      </c>
      <c r="I11" s="17" t="n">
        <v>30</v>
      </c>
      <c r="J11" s="16" t="n">
        <v>46.5</v>
      </c>
      <c r="K11" s="19" t="n">
        <v>0.22</v>
      </c>
    </row>
    <row r="12" customFormat="false" ht="15" hidden="false" customHeight="false" outlineLevel="0" collapsed="false">
      <c r="A12" s="0" t="s">
        <v>70</v>
      </c>
      <c r="B12" s="0" t="s">
        <v>71</v>
      </c>
      <c r="C12" s="0" t="s">
        <v>50</v>
      </c>
      <c r="D12" s="16" t="n">
        <v>9</v>
      </c>
      <c r="E12" s="16" t="n">
        <v>25</v>
      </c>
      <c r="F12" s="17" t="n">
        <v>852</v>
      </c>
      <c r="G12" s="18" t="n">
        <v>2.33</v>
      </c>
      <c r="H12" s="18" t="n">
        <v>1</v>
      </c>
      <c r="I12" s="17" t="n">
        <v>45</v>
      </c>
      <c r="J12" s="16" t="n">
        <v>79.77</v>
      </c>
      <c r="K12" s="19" t="n">
        <v>0.18</v>
      </c>
    </row>
    <row r="13" customFormat="false" ht="15" hidden="false" customHeight="false" outlineLevel="0" collapsed="false">
      <c r="A13" s="0" t="s">
        <v>72</v>
      </c>
      <c r="B13" s="0" t="s">
        <v>73</v>
      </c>
      <c r="C13" s="0" t="s">
        <v>62</v>
      </c>
      <c r="D13" s="16" t="n">
        <v>10</v>
      </c>
      <c r="E13" s="16" t="n">
        <v>27</v>
      </c>
      <c r="F13" s="17" t="n">
        <v>752</v>
      </c>
      <c r="G13" s="18" t="n">
        <v>2.06</v>
      </c>
      <c r="H13" s="18" t="n">
        <v>0.52</v>
      </c>
      <c r="I13" s="17" t="n">
        <v>14</v>
      </c>
      <c r="J13" s="16" t="n">
        <v>68.9</v>
      </c>
      <c r="K13" s="19" t="n">
        <v>0.15</v>
      </c>
    </row>
    <row r="14" customFormat="false" ht="15" hidden="false" customHeight="false" outlineLevel="0" collapsed="false">
      <c r="A14" s="0" t="s">
        <v>74</v>
      </c>
      <c r="B14" s="0" t="s">
        <v>75</v>
      </c>
      <c r="C14" s="0" t="s">
        <v>62</v>
      </c>
      <c r="D14" s="16" t="n">
        <v>8</v>
      </c>
      <c r="E14" s="16" t="n">
        <v>22</v>
      </c>
      <c r="F14" s="17" t="n">
        <v>825</v>
      </c>
      <c r="G14" s="18" t="n">
        <v>2.26</v>
      </c>
      <c r="H14" s="18" t="n">
        <v>0.61</v>
      </c>
      <c r="I14" s="17" t="n">
        <v>45</v>
      </c>
      <c r="J14" s="16" t="n">
        <v>84.18</v>
      </c>
      <c r="K14" s="19" t="n">
        <v>0.19</v>
      </c>
    </row>
    <row r="15" customFormat="false" ht="15" hidden="false" customHeight="false" outlineLevel="0" collapsed="false">
      <c r="A15" s="0" t="s">
        <v>76</v>
      </c>
      <c r="B15" s="0" t="s">
        <v>77</v>
      </c>
      <c r="C15" s="0" t="s">
        <v>67</v>
      </c>
      <c r="D15" s="16" t="n">
        <v>21</v>
      </c>
      <c r="E15" s="16" t="n">
        <v>52</v>
      </c>
      <c r="F15" s="17" t="n">
        <v>243</v>
      </c>
      <c r="G15" s="18" t="n">
        <v>0.67</v>
      </c>
      <c r="H15" s="18" t="n">
        <v>0.28</v>
      </c>
      <c r="I15" s="17" t="n">
        <v>30</v>
      </c>
      <c r="J15" s="16" t="n">
        <v>45.45</v>
      </c>
      <c r="K15" s="19" t="n">
        <v>0.18</v>
      </c>
    </row>
    <row r="16" customFormat="false" ht="15" hidden="false" customHeight="false" outlineLevel="0" collapsed="false">
      <c r="A16" s="0" t="s">
        <v>78</v>
      </c>
      <c r="B16" s="0" t="s">
        <v>79</v>
      </c>
      <c r="C16" s="0" t="s">
        <v>53</v>
      </c>
      <c r="D16" s="16" t="n">
        <v>5.5</v>
      </c>
      <c r="E16" s="16" t="n">
        <v>16</v>
      </c>
      <c r="F16" s="17" t="n">
        <v>801</v>
      </c>
      <c r="G16" s="18" t="n">
        <v>2.19</v>
      </c>
      <c r="H16" s="18" t="n">
        <v>0.77</v>
      </c>
      <c r="I16" s="17" t="n">
        <v>21</v>
      </c>
      <c r="J16" s="16" t="n">
        <v>105.38</v>
      </c>
      <c r="K16" s="19" t="n">
        <v>0.23</v>
      </c>
    </row>
    <row r="17" customFormat="false" ht="15" hidden="false" customHeight="false" outlineLevel="0" collapsed="false">
      <c r="A17" s="0" t="s">
        <v>80</v>
      </c>
      <c r="B17" s="0" t="s">
        <v>81</v>
      </c>
      <c r="C17" s="0" t="s">
        <v>53</v>
      </c>
      <c r="D17" s="16" t="n">
        <v>11</v>
      </c>
      <c r="E17" s="16" t="n">
        <v>30</v>
      </c>
      <c r="F17" s="17" t="n">
        <v>343</v>
      </c>
      <c r="G17" s="18" t="n">
        <v>0.94</v>
      </c>
      <c r="H17" s="18" t="n">
        <v>0.25</v>
      </c>
      <c r="I17" s="17" t="n">
        <v>21</v>
      </c>
      <c r="J17" s="16" t="n">
        <v>97.77</v>
      </c>
      <c r="K17" s="19" t="n">
        <v>0.26</v>
      </c>
    </row>
    <row r="18" customFormat="false" ht="15" hidden="false" customHeight="false" outlineLevel="0" collapsed="false">
      <c r="A18" s="0" t="s">
        <v>82</v>
      </c>
      <c r="B18" s="0" t="s">
        <v>83</v>
      </c>
      <c r="C18" s="0" t="s">
        <v>53</v>
      </c>
      <c r="D18" s="16" t="n">
        <v>8.5</v>
      </c>
      <c r="E18" s="16" t="n">
        <v>24</v>
      </c>
      <c r="F18" s="17" t="n">
        <v>268</v>
      </c>
      <c r="G18" s="18" t="n">
        <v>0.73</v>
      </c>
      <c r="H18" s="18" t="n">
        <v>0.39</v>
      </c>
      <c r="I18" s="17" t="n">
        <v>30</v>
      </c>
      <c r="J18" s="16" t="n">
        <v>44.31</v>
      </c>
      <c r="K18" s="19" t="n">
        <v>0.24</v>
      </c>
    </row>
    <row r="19" customFormat="false" ht="15" hidden="false" customHeight="false" outlineLevel="0" collapsed="false">
      <c r="A19" s="0" t="s">
        <v>84</v>
      </c>
      <c r="B19" s="0" t="s">
        <v>85</v>
      </c>
      <c r="C19" s="0" t="s">
        <v>47</v>
      </c>
      <c r="D19" s="16" t="n">
        <v>3.5</v>
      </c>
      <c r="E19" s="16" t="n">
        <v>12</v>
      </c>
      <c r="F19" s="17" t="n">
        <v>552</v>
      </c>
      <c r="G19" s="18" t="n">
        <v>1.51</v>
      </c>
      <c r="H19" s="18" t="n">
        <v>0.48</v>
      </c>
      <c r="I19" s="17" t="n">
        <v>21</v>
      </c>
      <c r="J19" s="16" t="n">
        <v>54.23</v>
      </c>
      <c r="K19" s="19" t="n">
        <v>0.18</v>
      </c>
    </row>
    <row r="20" customFormat="false" ht="15" hidden="false" customHeight="false" outlineLevel="0" collapsed="false">
      <c r="A20" s="0" t="s">
        <v>86</v>
      </c>
      <c r="B20" s="0" t="s">
        <v>87</v>
      </c>
      <c r="C20" s="0" t="s">
        <v>62</v>
      </c>
      <c r="D20" s="16" t="n">
        <v>5</v>
      </c>
      <c r="E20" s="16" t="n">
        <v>15</v>
      </c>
      <c r="F20" s="17" t="n">
        <v>372</v>
      </c>
      <c r="G20" s="18" t="n">
        <v>1.02</v>
      </c>
      <c r="H20" s="18" t="n">
        <v>0.52</v>
      </c>
      <c r="I20" s="17" t="n">
        <v>21</v>
      </c>
      <c r="J20" s="16" t="n">
        <v>117.7</v>
      </c>
      <c r="K20" s="19" t="n">
        <v>0.28</v>
      </c>
    </row>
    <row r="21" customFormat="false" ht="15" hidden="false" customHeight="false" outlineLevel="0" collapsed="false">
      <c r="A21" s="0" t="s">
        <v>88</v>
      </c>
      <c r="B21" s="0" t="s">
        <v>89</v>
      </c>
      <c r="C21" s="0" t="s">
        <v>67</v>
      </c>
      <c r="D21" s="16" t="n">
        <v>6.5</v>
      </c>
      <c r="E21" s="16" t="n">
        <v>18</v>
      </c>
      <c r="F21" s="17" t="n">
        <v>239</v>
      </c>
      <c r="G21" s="18" t="n">
        <v>0.65</v>
      </c>
      <c r="H21" s="18" t="n">
        <v>0.34</v>
      </c>
      <c r="I21" s="17" t="n">
        <v>14</v>
      </c>
      <c r="J21" s="16" t="n">
        <v>44.12</v>
      </c>
      <c r="K21" s="19" t="n">
        <v>0.21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8" min="8" style="0" width="9"/>
    <col collapsed="false" customWidth="true" hidden="false" outlineLevel="0" max="10" min="10" style="0" width="26"/>
    <col collapsed="false" customWidth="true" hidden="false" outlineLevel="0" max="11" min="11" style="0" width="10"/>
  </cols>
  <sheetData>
    <row r="1" customFormat="false" ht="23.85" hidden="false" customHeight="false" outlineLevel="0" collapsed="false">
      <c r="A1" s="15" t="s">
        <v>34</v>
      </c>
      <c r="B1" s="15" t="s">
        <v>35</v>
      </c>
      <c r="C1" s="15" t="s">
        <v>36</v>
      </c>
      <c r="D1" s="15" t="s">
        <v>90</v>
      </c>
      <c r="E1" s="15" t="s">
        <v>91</v>
      </c>
      <c r="F1" s="15" t="s">
        <v>92</v>
      </c>
      <c r="G1" s="15" t="s">
        <v>93</v>
      </c>
      <c r="H1" s="15" t="s">
        <v>94</v>
      </c>
      <c r="J1" s="20" t="s">
        <v>95</v>
      </c>
    </row>
    <row r="2" customFormat="false" ht="15" hidden="false" customHeight="false" outlineLevel="0" collapsed="false">
      <c r="A2" s="0" t="str">
        <f aca="false">'SKU Data'!A2</f>
        <v>ELE-403</v>
      </c>
      <c r="B2" s="0" t="str">
        <f aca="false">'SKU Data'!B2</f>
        <v>Fitness Tracker Band</v>
      </c>
      <c r="C2" s="0" t="str">
        <f aca="false">'SKU Data'!C2</f>
        <v>Electronics</v>
      </c>
      <c r="D2" s="21" t="n">
        <f aca="false">'SKU Data'!D2*'SKU Data'!F2</f>
        <v>77490</v>
      </c>
      <c r="E2" s="22" t="n">
        <f aca="false">RANK(D2,$D$2:$D$21,0)</f>
        <v>1</v>
      </c>
      <c r="F2" s="21" t="n">
        <f aca="false">SUMPRODUCT(($D$2:$D$21&gt;=D2)*$D$2:$D$21)</f>
        <v>77490</v>
      </c>
      <c r="G2" s="23" t="n">
        <f aca="false">F2/SUM($D$2:$D$21)</f>
        <v>0.279750322205656</v>
      </c>
      <c r="H2" s="0" t="str">
        <f aca="false">IF(G2&lt;=$K$2,"A",IF(G2&lt;=$K$3,"B","C"))</f>
        <v>A</v>
      </c>
      <c r="J2" s="22" t="s">
        <v>96</v>
      </c>
      <c r="K2" s="19" t="n">
        <v>0.8</v>
      </c>
    </row>
    <row r="3" customFormat="false" ht="15" hidden="false" customHeight="false" outlineLevel="0" collapsed="false">
      <c r="A3" s="0" t="str">
        <f aca="false">'SKU Data'!A3</f>
        <v>FTW-201</v>
      </c>
      <c r="B3" s="0" t="str">
        <f aca="false">'SKU Data'!B3</f>
        <v>Running Sneakers</v>
      </c>
      <c r="C3" s="0" t="str">
        <f aca="false">'SKU Data'!C3</f>
        <v>Footwear</v>
      </c>
      <c r="D3" s="21" t="n">
        <f aca="false">'SKU Data'!D3*'SKU Data'!F3</f>
        <v>31198</v>
      </c>
      <c r="E3" s="22" t="n">
        <f aca="false">RANK(D3,$D$2:$D$21,0)</f>
        <v>2</v>
      </c>
      <c r="F3" s="21" t="n">
        <f aca="false">SUMPRODUCT(($D$2:$D$21&gt;=D3)*$D$2:$D$21)</f>
        <v>108688</v>
      </c>
      <c r="G3" s="23" t="n">
        <f aca="false">F3/SUM($D$2:$D$21)</f>
        <v>0.392379700863186</v>
      </c>
      <c r="H3" s="0" t="str">
        <f aca="false">IF(G3&lt;=$K$2,"A",IF(G3&lt;=$K$3,"B","C"))</f>
        <v>A</v>
      </c>
      <c r="J3" s="22" t="s">
        <v>97</v>
      </c>
      <c r="K3" s="19" t="n">
        <v>0.95</v>
      </c>
    </row>
    <row r="4" customFormat="false" ht="15" hidden="false" customHeight="false" outlineLevel="0" collapsed="false">
      <c r="A4" s="0" t="str">
        <f aca="false">'SKU Data'!A4</f>
        <v>ACC-302</v>
      </c>
      <c r="B4" s="0" t="str">
        <f aca="false">'SKU Data'!B4</f>
        <v>Aviator Sunglasses</v>
      </c>
      <c r="C4" s="0" t="str">
        <f aca="false">'SKU Data'!C4</f>
        <v>Accessories</v>
      </c>
      <c r="D4" s="21" t="n">
        <f aca="false">'SKU Data'!D4*'SKU Data'!F4</f>
        <v>22995</v>
      </c>
      <c r="E4" s="22" t="n">
        <f aca="false">RANK(D4,$D$2:$D$21,0)</f>
        <v>3</v>
      </c>
      <c r="F4" s="21" t="n">
        <f aca="false">SUMPRODUCT(($D$2:$D$21&gt;=D4)*$D$2:$D$21)</f>
        <v>131683</v>
      </c>
      <c r="G4" s="23" t="n">
        <f aca="false">F4/SUM($D$2:$D$21)</f>
        <v>0.475395040379499</v>
      </c>
      <c r="H4" s="0" t="str">
        <f aca="false">IF(G4&lt;=$K$2,"A",IF(G4&lt;=$K$3,"B","C"))</f>
        <v>A</v>
      </c>
      <c r="J4" s="22" t="s">
        <v>98</v>
      </c>
    </row>
    <row r="5" customFormat="false" ht="15" hidden="false" customHeight="false" outlineLevel="0" collapsed="false">
      <c r="A5" s="0" t="str">
        <f aca="false">'SKU Data'!A5</f>
        <v>FTW-202</v>
      </c>
      <c r="B5" s="0" t="str">
        <f aca="false">'SKU Data'!B5</f>
        <v>Canvas Low-Top</v>
      </c>
      <c r="C5" s="0" t="str">
        <f aca="false">'SKU Data'!C5</f>
        <v>Footwear</v>
      </c>
      <c r="D5" s="21" t="n">
        <f aca="false">'SKU Data'!D5*'SKU Data'!F5</f>
        <v>20878</v>
      </c>
      <c r="E5" s="22" t="n">
        <f aca="false">RANK(D5,$D$2:$D$21,0)</f>
        <v>4</v>
      </c>
      <c r="F5" s="21" t="n">
        <f aca="false">SUMPRODUCT(($D$2:$D$21&gt;=D5)*$D$2:$D$21)</f>
        <v>152561</v>
      </c>
      <c r="G5" s="23" t="n">
        <f aca="false">F5/SUM($D$2:$D$21)</f>
        <v>0.550767697845103</v>
      </c>
      <c r="H5" s="0" t="str">
        <f aca="false">IF(G5&lt;=$K$2,"A",IF(G5&lt;=$K$3,"B","C"))</f>
        <v>A</v>
      </c>
    </row>
    <row r="6" customFormat="false" ht="15" hidden="false" customHeight="false" outlineLevel="0" collapsed="false">
      <c r="A6" s="0" t="str">
        <f aca="false">'SKU Data'!A6</f>
        <v>ELE-401</v>
      </c>
      <c r="B6" s="0" t="str">
        <f aca="false">'SKU Data'!B6</f>
        <v>Wireless Earbuds</v>
      </c>
      <c r="C6" s="0" t="str">
        <f aca="false">'SKU Data'!C6</f>
        <v>Electronics</v>
      </c>
      <c r="D6" s="21" t="n">
        <f aca="false">'SKU Data'!D6*'SKU Data'!F6</f>
        <v>19550</v>
      </c>
      <c r="E6" s="22" t="n">
        <f aca="false">RANK(D6,$D$2:$D$21,0)</f>
        <v>5</v>
      </c>
      <c r="F6" s="21" t="n">
        <f aca="false">SUMPRODUCT(($D$2:$D$21&gt;=D6)*$D$2:$D$21)</f>
        <v>172111</v>
      </c>
      <c r="G6" s="23" t="n">
        <f aca="false">F6/SUM($D$2:$D$21)</f>
        <v>0.621346079560428</v>
      </c>
      <c r="H6" s="0" t="str">
        <f aca="false">IF(G6&lt;=$K$2,"A",IF(G6&lt;=$K$3,"B","C"))</f>
        <v>A</v>
      </c>
    </row>
    <row r="7" customFormat="false" ht="15" hidden="false" customHeight="false" outlineLevel="0" collapsed="false">
      <c r="A7" s="0" t="str">
        <f aca="false">'SKU Data'!A7</f>
        <v>FTW-203</v>
      </c>
      <c r="B7" s="0" t="str">
        <f aca="false">'SKU Data'!B7</f>
        <v>Leather Ankle Boot</v>
      </c>
      <c r="C7" s="0" t="str">
        <f aca="false">'SKU Data'!C7</f>
        <v>Footwear</v>
      </c>
      <c r="D7" s="21" t="n">
        <f aca="false">'SKU Data'!D7*'SKU Data'!F7</f>
        <v>16276</v>
      </c>
      <c r="E7" s="22" t="n">
        <f aca="false">RANK(D7,$D$2:$D$21,0)</f>
        <v>6</v>
      </c>
      <c r="F7" s="21" t="n">
        <f aca="false">SUMPRODUCT(($D$2:$D$21&gt;=D7)*$D$2:$D$21)</f>
        <v>188387</v>
      </c>
      <c r="G7" s="23" t="n">
        <f aca="false">F7/SUM($D$2:$D$21)</f>
        <v>0.680104838680563</v>
      </c>
      <c r="H7" s="0" t="str">
        <f aca="false">IF(G7&lt;=$K$2,"A",IF(G7&lt;=$K$3,"B","C"))</f>
        <v>A</v>
      </c>
    </row>
    <row r="8" customFormat="false" ht="15" hidden="false" customHeight="false" outlineLevel="0" collapsed="false">
      <c r="A8" s="0" t="str">
        <f aca="false">'SKU Data'!A8</f>
        <v>HOM-503</v>
      </c>
      <c r="B8" s="0" t="str">
        <f aca="false">'SKU Data'!B8</f>
        <v>Cotton Throw Blanket</v>
      </c>
      <c r="C8" s="0" t="str">
        <f aca="false">'SKU Data'!C8</f>
        <v>Home Goods</v>
      </c>
      <c r="D8" s="21" t="n">
        <f aca="false">'SKU Data'!D8*'SKU Data'!F8</f>
        <v>15360</v>
      </c>
      <c r="E8" s="22" t="n">
        <f aca="false">RANK(D8,$D$2:$D$21,0)</f>
        <v>7</v>
      </c>
      <c r="F8" s="21" t="n">
        <f aca="false">SUMPRODUCT(($D$2:$D$21&gt;=D8)*$D$2:$D$21)</f>
        <v>203747</v>
      </c>
      <c r="G8" s="23" t="n">
        <f aca="false">F8/SUM($D$2:$D$21)</f>
        <v>0.735556702780175</v>
      </c>
      <c r="H8" s="0" t="str">
        <f aca="false">IF(G8&lt;=$K$2,"A",IF(G8&lt;=$K$3,"B","C"))</f>
        <v>A</v>
      </c>
    </row>
    <row r="9" customFormat="false" ht="15" hidden="false" customHeight="false" outlineLevel="0" collapsed="false">
      <c r="A9" s="0" t="str">
        <f aca="false">'SKU Data'!A9</f>
        <v>ELE-402</v>
      </c>
      <c r="B9" s="0" t="str">
        <f aca="false">'SKU Data'!B9</f>
        <v>Bluetooth Speaker</v>
      </c>
      <c r="C9" s="0" t="str">
        <f aca="false">'SKU Data'!C9</f>
        <v>Electronics</v>
      </c>
      <c r="D9" s="21" t="n">
        <f aca="false">'SKU Data'!D9*'SKU Data'!F9</f>
        <v>13704</v>
      </c>
      <c r="E9" s="22" t="n">
        <f aca="false">RANK(D9,$D$2:$D$21,0)</f>
        <v>8</v>
      </c>
      <c r="F9" s="21" t="n">
        <f aca="false">SUMPRODUCT(($D$2:$D$21&gt;=D9)*$D$2:$D$21)</f>
        <v>217451</v>
      </c>
      <c r="G9" s="23" t="n">
        <f aca="false">F9/SUM($D$2:$D$21)</f>
        <v>0.785030162781546</v>
      </c>
      <c r="H9" s="0" t="str">
        <f aca="false">IF(G9&lt;=$K$2,"A",IF(G9&lt;=$K$3,"B","C"))</f>
        <v>A</v>
      </c>
    </row>
    <row r="10" customFormat="false" ht="15" hidden="false" customHeight="false" outlineLevel="0" collapsed="false">
      <c r="A10" s="0" t="str">
        <f aca="false">'SKU Data'!A10</f>
        <v>APP-101</v>
      </c>
      <c r="B10" s="0" t="str">
        <f aca="false">'SKU Data'!B10</f>
        <v>Classic Denim Jacket</v>
      </c>
      <c r="C10" s="0" t="str">
        <f aca="false">'SKU Data'!C10</f>
        <v>Apparel</v>
      </c>
      <c r="D10" s="21" t="n">
        <f aca="false">'SKU Data'!D10*'SKU Data'!F10</f>
        <v>9185</v>
      </c>
      <c r="E10" s="22" t="n">
        <f aca="false">RANK(D10,$D$2:$D$21,0)</f>
        <v>9</v>
      </c>
      <c r="F10" s="21" t="n">
        <f aca="false">SUMPRODUCT(($D$2:$D$21&gt;=D10)*$D$2:$D$21)</f>
        <v>226636</v>
      </c>
      <c r="G10" s="23" t="n">
        <f aca="false">F10/SUM($D$2:$D$21)</f>
        <v>0.818189366671841</v>
      </c>
      <c r="H10" s="0" t="str">
        <f aca="false">IF(G10&lt;=$K$2,"A",IF(G10&lt;=$K$3,"B","C"))</f>
        <v>B</v>
      </c>
    </row>
    <row r="11" customFormat="false" ht="15" hidden="false" customHeight="false" outlineLevel="0" collapsed="false">
      <c r="A11" s="0" t="str">
        <f aca="false">'SKU Data'!A11</f>
        <v>APP-103</v>
      </c>
      <c r="B11" s="0" t="str">
        <f aca="false">'SKU Data'!B11</f>
        <v>Fleece Pullover Hoodie</v>
      </c>
      <c r="C11" s="0" t="str">
        <f aca="false">'SKU Data'!C11</f>
        <v>Apparel</v>
      </c>
      <c r="D11" s="21" t="n">
        <f aca="false">'SKU Data'!D11*'SKU Data'!F11</f>
        <v>7668</v>
      </c>
      <c r="E11" s="22" t="n">
        <f aca="false">RANK(D11,$D$2:$D$21,0)</f>
        <v>10</v>
      </c>
      <c r="F11" s="21" t="n">
        <f aca="false">SUMPRODUCT(($D$2:$D$21&gt;=D11)*$D$2:$D$21)</f>
        <v>241972</v>
      </c>
      <c r="G11" s="23" t="n">
        <f aca="false">F11/SUM($D$2:$D$21)</f>
        <v>0.873554587233797</v>
      </c>
      <c r="H11" s="0" t="str">
        <f aca="false">IF(G11&lt;=$K$2,"A",IF(G11&lt;=$K$3,"B","C"))</f>
        <v>B</v>
      </c>
    </row>
    <row r="12" customFormat="false" ht="15" hidden="false" customHeight="false" outlineLevel="0" collapsed="false">
      <c r="A12" s="0" t="str">
        <f aca="false">'SKU Data'!A12</f>
        <v>FTW-204</v>
      </c>
      <c r="B12" s="0" t="str">
        <f aca="false">'SKU Data'!B12</f>
        <v>Slide Sandals</v>
      </c>
      <c r="C12" s="0" t="str">
        <f aca="false">'SKU Data'!C12</f>
        <v>Footwear</v>
      </c>
      <c r="D12" s="21" t="n">
        <f aca="false">'SKU Data'!D12*'SKU Data'!F12</f>
        <v>7668</v>
      </c>
      <c r="E12" s="22" t="n">
        <f aca="false">RANK(D12,$D$2:$D$21,0)</f>
        <v>10</v>
      </c>
      <c r="F12" s="21" t="n">
        <f aca="false">SUMPRODUCT(($D$2:$D$21&gt;=D12)*$D$2:$D$21)</f>
        <v>241972</v>
      </c>
      <c r="G12" s="23" t="n">
        <f aca="false">F12/SUM($D$2:$D$21)</f>
        <v>0.873554587233797</v>
      </c>
      <c r="H12" s="0" t="str">
        <f aca="false">IF(G12&lt;=$K$2,"A",IF(G12&lt;=$K$3,"B","C"))</f>
        <v>B</v>
      </c>
    </row>
    <row r="13" customFormat="false" ht="15" hidden="false" customHeight="false" outlineLevel="0" collapsed="false">
      <c r="A13" s="0" t="str">
        <f aca="false">'SKU Data'!A13</f>
        <v>HOM-504</v>
      </c>
      <c r="B13" s="0" t="str">
        <f aca="false">'SKU Data'!B13</f>
        <v>Bamboo Cutting Board</v>
      </c>
      <c r="C13" s="0" t="str">
        <f aca="false">'SKU Data'!C13</f>
        <v>Home Goods</v>
      </c>
      <c r="D13" s="21" t="n">
        <f aca="false">'SKU Data'!D13*'SKU Data'!F13</f>
        <v>7520</v>
      </c>
      <c r="E13" s="22" t="n">
        <f aca="false">RANK(D13,$D$2:$D$21,0)</f>
        <v>12</v>
      </c>
      <c r="F13" s="21" t="n">
        <f aca="false">SUMPRODUCT(($D$2:$D$21&gt;=D13)*$D$2:$D$21)</f>
        <v>249492</v>
      </c>
      <c r="G13" s="23" t="n">
        <f aca="false">F13/SUM($D$2:$D$21)</f>
        <v>0.900702895699232</v>
      </c>
      <c r="H13" s="0" t="str">
        <f aca="false">IF(G13&lt;=$K$2,"A",IF(G13&lt;=$K$3,"B","C"))</f>
        <v>B</v>
      </c>
    </row>
    <row r="14" customFormat="false" ht="15" hidden="false" customHeight="false" outlineLevel="0" collapsed="false">
      <c r="A14" s="0" t="str">
        <f aca="false">'SKU Data'!A14</f>
        <v>HOM-501</v>
      </c>
      <c r="B14" s="0" t="str">
        <f aca="false">'SKU Data'!B14</f>
        <v>Ceramic Coffee Mug Set</v>
      </c>
      <c r="C14" s="0" t="str">
        <f aca="false">'SKU Data'!C14</f>
        <v>Home Goods</v>
      </c>
      <c r="D14" s="21" t="n">
        <f aca="false">'SKU Data'!D14*'SKU Data'!F14</f>
        <v>6600</v>
      </c>
      <c r="E14" s="22" t="n">
        <f aca="false">RANK(D14,$D$2:$D$21,0)</f>
        <v>13</v>
      </c>
      <c r="F14" s="21" t="n">
        <f aca="false">SUMPRODUCT(($D$2:$D$21&gt;=D14)*$D$2:$D$21)</f>
        <v>256092</v>
      </c>
      <c r="G14" s="23" t="n">
        <f aca="false">F14/SUM($D$2:$D$21)</f>
        <v>0.924529868554533</v>
      </c>
      <c r="H14" s="0" t="str">
        <f aca="false">IF(G14&lt;=$K$2,"A",IF(G14&lt;=$K$3,"B","C"))</f>
        <v>B</v>
      </c>
    </row>
    <row r="15" customFormat="false" ht="15" hidden="false" customHeight="false" outlineLevel="0" collapsed="false">
      <c r="A15" s="0" t="str">
        <f aca="false">'SKU Data'!A15</f>
        <v>APP-104</v>
      </c>
      <c r="B15" s="0" t="str">
        <f aca="false">'SKU Data'!B15</f>
        <v>Slim Fit Chinos</v>
      </c>
      <c r="C15" s="0" t="str">
        <f aca="false">'SKU Data'!C15</f>
        <v>Apparel</v>
      </c>
      <c r="D15" s="21" t="n">
        <f aca="false">'SKU Data'!D15*'SKU Data'!F15</f>
        <v>5103</v>
      </c>
      <c r="E15" s="22" t="n">
        <f aca="false">RANK(D15,$D$2:$D$21,0)</f>
        <v>14</v>
      </c>
      <c r="F15" s="21" t="n">
        <f aca="false">SUMPRODUCT(($D$2:$D$21&gt;=D15)*$D$2:$D$21)</f>
        <v>261195</v>
      </c>
      <c r="G15" s="23" t="n">
        <f aca="false">F15/SUM($D$2:$D$21)</f>
        <v>0.942952450748564</v>
      </c>
      <c r="H15" s="0" t="str">
        <f aca="false">IF(G15&lt;=$K$2,"A",IF(G15&lt;=$K$3,"B","C"))</f>
        <v>B</v>
      </c>
    </row>
    <row r="16" customFormat="false" ht="15" hidden="false" customHeight="false" outlineLevel="0" collapsed="false">
      <c r="A16" s="0" t="str">
        <f aca="false">'SKU Data'!A16</f>
        <v>ACC-304</v>
      </c>
      <c r="B16" s="0" t="str">
        <f aca="false">'SKU Data'!B16</f>
        <v>Wool Beanie</v>
      </c>
      <c r="C16" s="0" t="str">
        <f aca="false">'SKU Data'!C16</f>
        <v>Accessories</v>
      </c>
      <c r="D16" s="21" t="n">
        <f aca="false">'SKU Data'!D16*'SKU Data'!F16</f>
        <v>4405.5</v>
      </c>
      <c r="E16" s="22" t="n">
        <f aca="false">RANK(D16,$D$2:$D$21,0)</f>
        <v>15</v>
      </c>
      <c r="F16" s="21" t="n">
        <f aca="false">SUMPRODUCT(($D$2:$D$21&gt;=D16)*$D$2:$D$21)</f>
        <v>265600.5</v>
      </c>
      <c r="G16" s="23" t="n">
        <f aca="false">F16/SUM($D$2:$D$21)</f>
        <v>0.958856955129478</v>
      </c>
      <c r="H16" s="0" t="str">
        <f aca="false">IF(G16&lt;=$K$2,"A",IF(G16&lt;=$K$3,"B","C"))</f>
        <v>C</v>
      </c>
    </row>
    <row r="17" customFormat="false" ht="15" hidden="false" customHeight="false" outlineLevel="0" collapsed="false">
      <c r="A17" s="0" t="str">
        <f aca="false">'SKU Data'!A17</f>
        <v>ACC-301</v>
      </c>
      <c r="B17" s="0" t="str">
        <f aca="false">'SKU Data'!B17</f>
        <v>Leather Belt</v>
      </c>
      <c r="C17" s="0" t="str">
        <f aca="false">'SKU Data'!C17</f>
        <v>Accessories</v>
      </c>
      <c r="D17" s="21" t="n">
        <f aca="false">'SKU Data'!D17*'SKU Data'!F17</f>
        <v>3773</v>
      </c>
      <c r="E17" s="22" t="n">
        <f aca="false">RANK(D17,$D$2:$D$21,0)</f>
        <v>16</v>
      </c>
      <c r="F17" s="21" t="n">
        <f aca="false">SUMPRODUCT(($D$2:$D$21&gt;=D17)*$D$2:$D$21)</f>
        <v>269373.5</v>
      </c>
      <c r="G17" s="23" t="n">
        <f aca="false">F17/SUM($D$2:$D$21)</f>
        <v>0.972478041278425</v>
      </c>
      <c r="H17" s="0" t="str">
        <f aca="false">IF(G17&lt;=$K$2,"A",IF(G17&lt;=$K$3,"B","C"))</f>
        <v>C</v>
      </c>
    </row>
    <row r="18" customFormat="false" ht="15" hidden="false" customHeight="false" outlineLevel="0" collapsed="false">
      <c r="A18" s="0" t="str">
        <f aca="false">'SKU Data'!A18</f>
        <v>ACC-303</v>
      </c>
      <c r="B18" s="0" t="str">
        <f aca="false">'SKU Data'!B18</f>
        <v>Canvas Tote Bag</v>
      </c>
      <c r="C18" s="0" t="str">
        <f aca="false">'SKU Data'!C18</f>
        <v>Accessories</v>
      </c>
      <c r="D18" s="21" t="n">
        <f aca="false">'SKU Data'!D18*'SKU Data'!F18</f>
        <v>2278</v>
      </c>
      <c r="E18" s="22" t="n">
        <f aca="false">RANK(D18,$D$2:$D$21,0)</f>
        <v>17</v>
      </c>
      <c r="F18" s="21" t="n">
        <f aca="false">SUMPRODUCT(($D$2:$D$21&gt;=D18)*$D$2:$D$21)</f>
        <v>271651.5</v>
      </c>
      <c r="G18" s="23" t="n">
        <f aca="false">F18/SUM($D$2:$D$21)</f>
        <v>0.980701957060907</v>
      </c>
      <c r="H18" s="0" t="str">
        <f aca="false">IF(G18&lt;=$K$2,"A",IF(G18&lt;=$K$3,"B","C"))</f>
        <v>C</v>
      </c>
    </row>
    <row r="19" customFormat="false" ht="15" hidden="false" customHeight="false" outlineLevel="0" collapsed="false">
      <c r="A19" s="0" t="str">
        <f aca="false">'SKU Data'!A19</f>
        <v>ELE-404</v>
      </c>
      <c r="B19" s="0" t="str">
        <f aca="false">'SKU Data'!B19</f>
        <v>Phone Charging Cable</v>
      </c>
      <c r="C19" s="0" t="str">
        <f aca="false">'SKU Data'!C19</f>
        <v>Electronics</v>
      </c>
      <c r="D19" s="21" t="n">
        <f aca="false">'SKU Data'!D19*'SKU Data'!F19</f>
        <v>1932</v>
      </c>
      <c r="E19" s="22" t="n">
        <f aca="false">RANK(D19,$D$2:$D$21,0)</f>
        <v>18</v>
      </c>
      <c r="F19" s="21" t="n">
        <f aca="false">SUMPRODUCT(($D$2:$D$21&gt;=D19)*$D$2:$D$21)</f>
        <v>273583.5</v>
      </c>
      <c r="G19" s="23" t="n">
        <f aca="false">F19/SUM($D$2:$D$21)</f>
        <v>0.987676761842186</v>
      </c>
      <c r="H19" s="0" t="str">
        <f aca="false">IF(G19&lt;=$K$2,"A",IF(G19&lt;=$K$3,"B","C"))</f>
        <v>C</v>
      </c>
    </row>
    <row r="20" customFormat="false" ht="15" hidden="false" customHeight="false" outlineLevel="0" collapsed="false">
      <c r="A20" s="0" t="str">
        <f aca="false">'SKU Data'!A20</f>
        <v>HOM-502</v>
      </c>
      <c r="B20" s="0" t="str">
        <f aca="false">'SKU Data'!B20</f>
        <v>Scented Candle</v>
      </c>
      <c r="C20" s="0" t="str">
        <f aca="false">'SKU Data'!C20</f>
        <v>Home Goods</v>
      </c>
      <c r="D20" s="21" t="n">
        <f aca="false">'SKU Data'!D20*'SKU Data'!F20</f>
        <v>1860</v>
      </c>
      <c r="E20" s="22" t="n">
        <f aca="false">RANK(D20,$D$2:$D$21,0)</f>
        <v>19</v>
      </c>
      <c r="F20" s="21" t="n">
        <f aca="false">SUMPRODUCT(($D$2:$D$21&gt;=D20)*$D$2:$D$21)</f>
        <v>275443.5</v>
      </c>
      <c r="G20" s="23" t="n">
        <f aca="false">F20/SUM($D$2:$D$21)</f>
        <v>0.994391636010498</v>
      </c>
      <c r="H20" s="0" t="str">
        <f aca="false">IF(G20&lt;=$K$2,"A",IF(G20&lt;=$K$3,"B","C"))</f>
        <v>C</v>
      </c>
    </row>
    <row r="21" customFormat="false" ht="15" hidden="false" customHeight="false" outlineLevel="0" collapsed="false">
      <c r="A21" s="0" t="str">
        <f aca="false">'SKU Data'!A21</f>
        <v>APP-102</v>
      </c>
      <c r="B21" s="0" t="str">
        <f aca="false">'SKU Data'!B21</f>
        <v>Cotton Crew T-Shirt</v>
      </c>
      <c r="C21" s="0" t="str">
        <f aca="false">'SKU Data'!C21</f>
        <v>Apparel</v>
      </c>
      <c r="D21" s="21" t="n">
        <f aca="false">'SKU Data'!D21*'SKU Data'!F21</f>
        <v>1553.5</v>
      </c>
      <c r="E21" s="22" t="n">
        <f aca="false">RANK(D21,$D$2:$D$21,0)</f>
        <v>20</v>
      </c>
      <c r="F21" s="21" t="n">
        <f aca="false">SUMPRODUCT(($D$2:$D$21&gt;=D21)*$D$2:$D$21)</f>
        <v>276997</v>
      </c>
      <c r="G21" s="23" t="n">
        <f aca="false">F21/SUM($D$2:$D$21)</f>
        <v>1</v>
      </c>
      <c r="H21" s="0" t="str">
        <f aca="false">IF(G21&lt;=$K$2,"A",IF(G21&lt;=$K$3,"B","C"))</f>
        <v>C</v>
      </c>
    </row>
    <row r="24" customFormat="false" ht="15" hidden="false" customHeight="false" outlineLevel="0" collapsed="false">
      <c r="A24" s="24" t="s">
        <v>99</v>
      </c>
    </row>
    <row r="25" customFormat="false" ht="23.85" hidden="false" customHeight="false" outlineLevel="0" collapsed="false">
      <c r="A25" s="15" t="s">
        <v>94</v>
      </c>
      <c r="B25" s="15" t="s">
        <v>100</v>
      </c>
      <c r="C25" s="15" t="s">
        <v>101</v>
      </c>
      <c r="D25" s="15" t="s">
        <v>102</v>
      </c>
      <c r="E25" s="15" t="s">
        <v>103</v>
      </c>
    </row>
    <row r="26" customFormat="false" ht="15" hidden="false" customHeight="false" outlineLevel="0" collapsed="false">
      <c r="A26" s="0" t="s">
        <v>104</v>
      </c>
      <c r="B26" s="0" t="n">
        <f aca="false">COUNTIF($H$2:$H$21,A26)</f>
        <v>8</v>
      </c>
      <c r="C26" s="23" t="n">
        <f aca="false">B26/COUNTA($H$2:$H$21)</f>
        <v>0.4</v>
      </c>
      <c r="D26" s="21" t="n">
        <f aca="false">SUMIF($H$2:$H$21,A26,$D$2:$D$21)</f>
        <v>217451</v>
      </c>
      <c r="E26" s="23" t="n">
        <f aca="false">D26/SUM($D$2:$D$21)</f>
        <v>0.785030162781546</v>
      </c>
    </row>
    <row r="27" customFormat="false" ht="15" hidden="false" customHeight="false" outlineLevel="0" collapsed="false">
      <c r="A27" s="0" t="s">
        <v>105</v>
      </c>
      <c r="B27" s="0" t="n">
        <f aca="false">COUNTIF($H$2:$H$21,A27)</f>
        <v>6</v>
      </c>
      <c r="C27" s="23" t="n">
        <f aca="false">B27/COUNTA($H$2:$H$21)</f>
        <v>0.3</v>
      </c>
      <c r="D27" s="21" t="n">
        <f aca="false">SUMIF($H$2:$H$21,A27,$D$2:$D$21)</f>
        <v>43744</v>
      </c>
      <c r="E27" s="23" t="n">
        <f aca="false">D27/SUM($D$2:$D$21)</f>
        <v>0.157922287967018</v>
      </c>
    </row>
    <row r="28" customFormat="false" ht="15" hidden="false" customHeight="false" outlineLevel="0" collapsed="false">
      <c r="A28" s="0" t="s">
        <v>106</v>
      </c>
      <c r="B28" s="0" t="n">
        <f aca="false">COUNTIF($H$2:$H$21,A28)</f>
        <v>6</v>
      </c>
      <c r="C28" s="23" t="n">
        <f aca="false">B28/COUNTA($H$2:$H$21)</f>
        <v>0.3</v>
      </c>
      <c r="D28" s="21" t="n">
        <f aca="false">SUMIF($H$2:$H$21,A28,$D$2:$D$21)</f>
        <v>15802</v>
      </c>
      <c r="E28" s="23" t="n">
        <f aca="false">D28/SUM($D$2:$D$21)</f>
        <v>0.0570475492514359</v>
      </c>
    </row>
  </sheetData>
  <conditionalFormatting sqref="H2:H21">
    <cfRule type="cellIs" priority="2" operator="equal" aboveAverage="0" equalAverage="0" bottom="0" percent="0" rank="0" text="" dxfId="5">
      <formula>"A"</formula>
    </cfRule>
    <cfRule type="cellIs" priority="3" operator="equal" aboveAverage="0" equalAverage="0" bottom="0" percent="0" rank="0" text="" dxfId="6">
      <formula>"B"</formula>
    </cfRule>
    <cfRule type="cellIs" priority="4" operator="equal" aboveAverage="0" equalAverage="0" bottom="0" percent="0" rank="0" text="" dxfId="7">
      <formula>"C"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6"/>
    <col collapsed="false" customWidth="true" hidden="false" outlineLevel="0" max="13" min="13" style="0" width="8"/>
    <col collapsed="false" customWidth="true" hidden="false" outlineLevel="0" max="14" min="14" style="0" width="10"/>
    <col collapsed="false" customWidth="true" hidden="false" outlineLevel="0" max="15" min="15" style="0" width="20"/>
  </cols>
  <sheetData>
    <row r="1" customFormat="false" ht="23.85" hidden="false" customHeight="false" outlineLevel="0" collapsed="false">
      <c r="A1" s="15" t="s">
        <v>34</v>
      </c>
      <c r="B1" s="15" t="s">
        <v>35</v>
      </c>
      <c r="C1" s="15" t="s">
        <v>94</v>
      </c>
      <c r="D1" s="15" t="s">
        <v>40</v>
      </c>
      <c r="E1" s="15" t="s">
        <v>41</v>
      </c>
      <c r="F1" s="15" t="s">
        <v>42</v>
      </c>
      <c r="G1" s="15" t="s">
        <v>107</v>
      </c>
      <c r="H1" s="15" t="s">
        <v>108</v>
      </c>
      <c r="I1" s="15" t="s">
        <v>109</v>
      </c>
      <c r="J1" s="15" t="s">
        <v>110</v>
      </c>
      <c r="K1" s="15" t="s">
        <v>111</v>
      </c>
      <c r="M1" s="20" t="s">
        <v>112</v>
      </c>
    </row>
    <row r="2" customFormat="false" ht="15" hidden="false" customHeight="false" outlineLevel="0" collapsed="false">
      <c r="A2" s="0" t="str">
        <f aca="false">'SKU Data'!A2</f>
        <v>ELE-403</v>
      </c>
      <c r="B2" s="0" t="str">
        <f aca="false">'SKU Data'!B2</f>
        <v>Fitness Tracker Band</v>
      </c>
      <c r="C2" s="0" t="str">
        <f aca="false">INDEX('ABC Analysis'!$H$2:$H$21,MATCH(A2,'ABC Analysis'!$A$2:$A$21,0))</f>
        <v>A</v>
      </c>
      <c r="D2" s="25" t="n">
        <f aca="false">'SKU Data'!G2</f>
        <v>5.05</v>
      </c>
      <c r="E2" s="25" t="n">
        <f aca="false">'SKU Data'!H2</f>
        <v>1.31</v>
      </c>
      <c r="F2" s="22" t="n">
        <f aca="false">'SKU Data'!I2</f>
        <v>45</v>
      </c>
      <c r="G2" s="25" t="n">
        <f aca="false">INDEX($N$2:$N$4,MATCH(C2,$M$2:$M$4,0))</f>
        <v>2.33</v>
      </c>
      <c r="H2" s="26" t="n">
        <f aca="false">G2*E2*SQRT(F2)</f>
        <v>20.4754508631678</v>
      </c>
      <c r="I2" s="26" t="n">
        <f aca="false">(D2*F2)+H2</f>
        <v>247.725450863168</v>
      </c>
      <c r="J2" s="26" t="n">
        <f aca="false">SQRT((2*'SKU Data'!F2*'SKU Data'!J2)/('SKU Data'!D2*'SKU Data'!K2))</f>
        <v>173.825249579295</v>
      </c>
      <c r="K2" s="27" t="n">
        <f aca="false">IFERROR('SKU Data'!F2/J2,0)</f>
        <v>10.6141081601517</v>
      </c>
      <c r="M2" s="22" t="s">
        <v>104</v>
      </c>
      <c r="N2" s="17" t="n">
        <v>2.33</v>
      </c>
      <c r="O2" s="28" t="s">
        <v>113</v>
      </c>
    </row>
    <row r="3" customFormat="false" ht="15" hidden="false" customHeight="false" outlineLevel="0" collapsed="false">
      <c r="A3" s="0" t="str">
        <f aca="false">'SKU Data'!A3</f>
        <v>FTW-201</v>
      </c>
      <c r="B3" s="0" t="str">
        <f aca="false">'SKU Data'!B3</f>
        <v>Running Sneakers</v>
      </c>
      <c r="C3" s="0" t="str">
        <f aca="false">INDEX('ABC Analysis'!$H$2:$H$21,MATCH(A3,'ABC Analysis'!$A$2:$A$21,0))</f>
        <v>A</v>
      </c>
      <c r="D3" s="25" t="n">
        <f aca="false">'SKU Data'!G3</f>
        <v>2.25</v>
      </c>
      <c r="E3" s="25" t="n">
        <f aca="false">'SKU Data'!H3</f>
        <v>0.77</v>
      </c>
      <c r="F3" s="22" t="n">
        <f aca="false">'SKU Data'!I3</f>
        <v>14</v>
      </c>
      <c r="G3" s="25" t="n">
        <f aca="false">INDEX($N$2:$N$4,MATCH(C3,$M$2:$M$4,0))</f>
        <v>2.33</v>
      </c>
      <c r="H3" s="26" t="n">
        <f aca="false">G3*E3*SQRT(F3)</f>
        <v>6.71290751761113</v>
      </c>
      <c r="I3" s="26" t="n">
        <f aca="false">(D3*F3)+H3</f>
        <v>38.2129075176111</v>
      </c>
      <c r="J3" s="26" t="n">
        <f aca="false">SQRT((2*'SKU Data'!F3*'SKU Data'!J3)/('SKU Data'!D3*'SKU Data'!K3))</f>
        <v>139.782024431137</v>
      </c>
      <c r="K3" s="27" t="n">
        <f aca="false">IFERROR('SKU Data'!F3/J3,0)</f>
        <v>5.87343045961151</v>
      </c>
      <c r="M3" s="22" t="s">
        <v>105</v>
      </c>
      <c r="N3" s="17" t="n">
        <v>1.65</v>
      </c>
      <c r="O3" s="28" t="s">
        <v>114</v>
      </c>
    </row>
    <row r="4" customFormat="false" ht="15" hidden="false" customHeight="false" outlineLevel="0" collapsed="false">
      <c r="A4" s="0" t="str">
        <f aca="false">'SKU Data'!A4</f>
        <v>ACC-302</v>
      </c>
      <c r="B4" s="0" t="str">
        <f aca="false">'SKU Data'!B4</f>
        <v>Aviator Sunglasses</v>
      </c>
      <c r="C4" s="0" t="str">
        <f aca="false">INDEX('ABC Analysis'!$H$2:$H$21,MATCH(A4,'ABC Analysis'!$A$2:$A$21,0))</f>
        <v>A</v>
      </c>
      <c r="D4" s="25" t="n">
        <f aca="false">'SKU Data'!G4</f>
        <v>4.2</v>
      </c>
      <c r="E4" s="25" t="n">
        <f aca="false">'SKU Data'!H4</f>
        <v>1.43</v>
      </c>
      <c r="F4" s="22" t="n">
        <f aca="false">'SKU Data'!I4</f>
        <v>10</v>
      </c>
      <c r="G4" s="25" t="n">
        <f aca="false">INDEX($N$2:$N$4,MATCH(C4,$M$2:$M$4,0))</f>
        <v>2.33</v>
      </c>
      <c r="H4" s="26" t="n">
        <f aca="false">G4*E4*SQRT(F4)</f>
        <v>10.536392935915</v>
      </c>
      <c r="I4" s="26" t="n">
        <f aca="false">(D4*F4)+H4</f>
        <v>52.536392935915</v>
      </c>
      <c r="J4" s="26" t="n">
        <f aca="false">SQRT((2*'SKU Data'!F4*'SKU Data'!J4)/('SKU Data'!D4*'SKU Data'!K4))</f>
        <v>232.713944575739</v>
      </c>
      <c r="K4" s="27" t="n">
        <f aca="false">IFERROR('SKU Data'!F4/J4,0)</f>
        <v>6.58748663641457</v>
      </c>
      <c r="M4" s="22" t="s">
        <v>106</v>
      </c>
      <c r="N4" s="17" t="n">
        <v>1.28</v>
      </c>
      <c r="O4" s="28" t="s">
        <v>115</v>
      </c>
    </row>
    <row r="5" customFormat="false" ht="15" hidden="false" customHeight="false" outlineLevel="0" collapsed="false">
      <c r="A5" s="0" t="str">
        <f aca="false">'SKU Data'!A5</f>
        <v>FTW-202</v>
      </c>
      <c r="B5" s="0" t="str">
        <f aca="false">'SKU Data'!B5</f>
        <v>Canvas Low-Top</v>
      </c>
      <c r="C5" s="0" t="str">
        <f aca="false">INDEX('ABC Analysis'!$H$2:$H$21,MATCH(A5,'ABC Analysis'!$A$2:$A$21,0))</f>
        <v>A</v>
      </c>
      <c r="D5" s="25" t="n">
        <f aca="false">'SKU Data'!G5</f>
        <v>2.6</v>
      </c>
      <c r="E5" s="25" t="n">
        <f aca="false">'SKU Data'!H5</f>
        <v>0.73</v>
      </c>
      <c r="F5" s="22" t="n">
        <f aca="false">'SKU Data'!I5</f>
        <v>14</v>
      </c>
      <c r="G5" s="25" t="n">
        <f aca="false">INDEX($N$2:$N$4,MATCH(C5,$M$2:$M$4,0))</f>
        <v>2.33</v>
      </c>
      <c r="H5" s="26" t="n">
        <f aca="false">G5*E5*SQRT(F5)</f>
        <v>6.3641850491638</v>
      </c>
      <c r="I5" s="26" t="n">
        <f aca="false">(D5*F5)+H5</f>
        <v>42.7641850491638</v>
      </c>
      <c r="J5" s="26" t="n">
        <f aca="false">SQRT((2*'SKU Data'!F5*'SKU Data'!J5)/('SKU Data'!D5*'SKU Data'!K5))</f>
        <v>178.180705005799</v>
      </c>
      <c r="K5" s="27" t="n">
        <f aca="false">IFERROR('SKU Data'!F5/J5,0)</f>
        <v>5.32605368223856</v>
      </c>
    </row>
    <row r="6" customFormat="false" ht="15" hidden="false" customHeight="false" outlineLevel="0" collapsed="false">
      <c r="A6" s="0" t="str">
        <f aca="false">'SKU Data'!A6</f>
        <v>ELE-401</v>
      </c>
      <c r="B6" s="0" t="str">
        <f aca="false">'SKU Data'!B6</f>
        <v>Wireless Earbuds</v>
      </c>
      <c r="C6" s="0" t="str">
        <f aca="false">INDEX('ABC Analysis'!$H$2:$H$21,MATCH(A6,'ABC Analysis'!$A$2:$A$21,0))</f>
        <v>A</v>
      </c>
      <c r="D6" s="25" t="n">
        <f aca="false">'SKU Data'!G6</f>
        <v>1.58</v>
      </c>
      <c r="E6" s="25" t="n">
        <f aca="false">'SKU Data'!H6</f>
        <v>0.79</v>
      </c>
      <c r="F6" s="22" t="n">
        <f aca="false">'SKU Data'!I6</f>
        <v>21</v>
      </c>
      <c r="G6" s="25" t="n">
        <f aca="false">INDEX($N$2:$N$4,MATCH(C6,$M$2:$M$4,0))</f>
        <v>2.33</v>
      </c>
      <c r="H6" s="26" t="n">
        <f aca="false">G6*E6*SQRT(F6)</f>
        <v>8.43514708170522</v>
      </c>
      <c r="I6" s="26" t="n">
        <f aca="false">(D6*F6)+H6</f>
        <v>41.6151470817052</v>
      </c>
      <c r="J6" s="26" t="n">
        <f aca="false">SQRT((2*'SKU Data'!F6*'SKU Data'!J6)/('SKU Data'!D6*'SKU Data'!K6))</f>
        <v>113.959755968465</v>
      </c>
      <c r="K6" s="27" t="n">
        <f aca="false">IFERROR('SKU Data'!F6/J6,0)</f>
        <v>5.04564085025869</v>
      </c>
    </row>
    <row r="7" customFormat="false" ht="15" hidden="false" customHeight="false" outlineLevel="0" collapsed="false">
      <c r="A7" s="0" t="str">
        <f aca="false">'SKU Data'!A7</f>
        <v>FTW-203</v>
      </c>
      <c r="B7" s="0" t="str">
        <f aca="false">'SKU Data'!B7</f>
        <v>Leather Ankle Boot</v>
      </c>
      <c r="C7" s="0" t="str">
        <f aca="false">INDEX('ABC Analysis'!$H$2:$H$21,MATCH(A7,'ABC Analysis'!$A$2:$A$21,0))</f>
        <v>A</v>
      </c>
      <c r="D7" s="25" t="n">
        <f aca="false">'SKU Data'!G7</f>
        <v>0.86</v>
      </c>
      <c r="E7" s="25" t="n">
        <f aca="false">'SKU Data'!H7</f>
        <v>0.38</v>
      </c>
      <c r="F7" s="22" t="n">
        <f aca="false">'SKU Data'!I7</f>
        <v>45</v>
      </c>
      <c r="G7" s="25" t="n">
        <f aca="false">INDEX($N$2:$N$4,MATCH(C7,$M$2:$M$4,0))</f>
        <v>2.33</v>
      </c>
      <c r="H7" s="26" t="n">
        <f aca="false">G7*E7*SQRT(F7)</f>
        <v>5.93944376183494</v>
      </c>
      <c r="I7" s="26" t="n">
        <f aca="false">(D7*F7)+H7</f>
        <v>44.639443761835</v>
      </c>
      <c r="J7" s="26" t="n">
        <f aca="false">SQRT((2*'SKU Data'!F7*'SKU Data'!J7)/('SKU Data'!D7*'SKU Data'!K7))</f>
        <v>81.1376526732114</v>
      </c>
      <c r="K7" s="27" t="n">
        <f aca="false">IFERROR('SKU Data'!F7/J7,0)</f>
        <v>3.85764179376292</v>
      </c>
    </row>
    <row r="8" customFormat="false" ht="15" hidden="false" customHeight="false" outlineLevel="0" collapsed="false">
      <c r="A8" s="0" t="str">
        <f aca="false">'SKU Data'!A8</f>
        <v>HOM-503</v>
      </c>
      <c r="B8" s="0" t="str">
        <f aca="false">'SKU Data'!B8</f>
        <v>Cotton Throw Blanket</v>
      </c>
      <c r="C8" s="0" t="str">
        <f aca="false">INDEX('ABC Analysis'!$H$2:$H$21,MATCH(A8,'ABC Analysis'!$A$2:$A$21,0))</f>
        <v>A</v>
      </c>
      <c r="D8" s="25" t="n">
        <f aca="false">'SKU Data'!G8</f>
        <v>2.81</v>
      </c>
      <c r="E8" s="25" t="n">
        <f aca="false">'SKU Data'!H8</f>
        <v>1.52</v>
      </c>
      <c r="F8" s="22" t="n">
        <f aca="false">'SKU Data'!I8</f>
        <v>14</v>
      </c>
      <c r="G8" s="25" t="n">
        <f aca="false">INDEX($N$2:$N$4,MATCH(C8,$M$2:$M$4,0))</f>
        <v>2.33</v>
      </c>
      <c r="H8" s="26" t="n">
        <f aca="false">G8*E8*SQRT(F8)</f>
        <v>13.2514538009986</v>
      </c>
      <c r="I8" s="26" t="n">
        <f aca="false">(D8*F8)+H8</f>
        <v>52.5914538009986</v>
      </c>
      <c r="J8" s="26" t="n">
        <f aca="false">SQRT((2*'SKU Data'!F8*'SKU Data'!J8)/('SKU Data'!D8*'SKU Data'!K8))</f>
        <v>198.64071418854</v>
      </c>
      <c r="K8" s="27" t="n">
        <f aca="false">IFERROR('SKU Data'!F8/J8,0)</f>
        <v>5.15503583534274</v>
      </c>
    </row>
    <row r="9" customFormat="false" ht="15" hidden="false" customHeight="false" outlineLevel="0" collapsed="false">
      <c r="A9" s="0" t="str">
        <f aca="false">'SKU Data'!A9</f>
        <v>ELE-402</v>
      </c>
      <c r="B9" s="0" t="str">
        <f aca="false">'SKU Data'!B9</f>
        <v>Bluetooth Speaker</v>
      </c>
      <c r="C9" s="0" t="str">
        <f aca="false">INDEX('ABC Analysis'!$H$2:$H$21,MATCH(A9,'ABC Analysis'!$A$2:$A$21,0))</f>
        <v>A</v>
      </c>
      <c r="D9" s="25" t="n">
        <f aca="false">'SKU Data'!G9</f>
        <v>1.56</v>
      </c>
      <c r="E9" s="25" t="n">
        <f aca="false">'SKU Data'!H9</f>
        <v>0.69</v>
      </c>
      <c r="F9" s="22" t="n">
        <f aca="false">'SKU Data'!I9</f>
        <v>45</v>
      </c>
      <c r="G9" s="25" t="n">
        <f aca="false">INDEX($N$2:$N$4,MATCH(C9,$M$2:$M$4,0))</f>
        <v>2.33</v>
      </c>
      <c r="H9" s="26" t="n">
        <f aca="false">G9*E9*SQRT(F9)</f>
        <v>10.7847794622792</v>
      </c>
      <c r="I9" s="26" t="n">
        <f aca="false">(D9*F9)+H9</f>
        <v>80.9847794622792</v>
      </c>
      <c r="J9" s="26" t="n">
        <f aca="false">SQRT((2*'SKU Data'!F9*'SKU Data'!J9)/('SKU Data'!D9*'SKU Data'!K9))</f>
        <v>130.252975014009</v>
      </c>
      <c r="K9" s="27" t="n">
        <f aca="false">IFERROR('SKU Data'!F9/J9,0)</f>
        <v>4.38377703034106</v>
      </c>
    </row>
    <row r="10" customFormat="false" ht="15" hidden="false" customHeight="false" outlineLevel="0" collapsed="false">
      <c r="A10" s="0" t="str">
        <f aca="false">'SKU Data'!A10</f>
        <v>APP-101</v>
      </c>
      <c r="B10" s="0" t="str">
        <f aca="false">'SKU Data'!B10</f>
        <v>Classic Denim Jacket</v>
      </c>
      <c r="C10" s="0" t="str">
        <f aca="false">INDEX('ABC Analysis'!$H$2:$H$21,MATCH(A10,'ABC Analysis'!$A$2:$A$21,0))</f>
        <v>B</v>
      </c>
      <c r="D10" s="25" t="n">
        <f aca="false">'SKU Data'!G10</f>
        <v>0.92</v>
      </c>
      <c r="E10" s="25" t="n">
        <f aca="false">'SKU Data'!H10</f>
        <v>0.34</v>
      </c>
      <c r="F10" s="22" t="n">
        <f aca="false">'SKU Data'!I10</f>
        <v>7</v>
      </c>
      <c r="G10" s="25" t="n">
        <f aca="false">INDEX($N$2:$N$4,MATCH(C10,$M$2:$M$4,0))</f>
        <v>1.65</v>
      </c>
      <c r="H10" s="26" t="n">
        <f aca="false">G10*E10*SQRT(F10)</f>
        <v>1.48426648550724</v>
      </c>
      <c r="I10" s="26" t="n">
        <f aca="false">(D10*F10)+H10</f>
        <v>7.92426648550724</v>
      </c>
      <c r="J10" s="26" t="n">
        <f aca="false">SQRT((2*'SKU Data'!F10*'SKU Data'!J10)/('SKU Data'!D10*'SKU Data'!K10))</f>
        <v>72.7772101282372</v>
      </c>
      <c r="K10" s="27" t="n">
        <f aca="false">IFERROR('SKU Data'!F10/J10,0)</f>
        <v>4.5893487729397</v>
      </c>
    </row>
    <row r="11" customFormat="false" ht="15" hidden="false" customHeight="false" outlineLevel="0" collapsed="false">
      <c r="A11" s="0" t="str">
        <f aca="false">'SKU Data'!A11</f>
        <v>APP-103</v>
      </c>
      <c r="B11" s="0" t="str">
        <f aca="false">'SKU Data'!B11</f>
        <v>Fleece Pullover Hoodie</v>
      </c>
      <c r="C11" s="0" t="str">
        <f aca="false">INDEX('ABC Analysis'!$H$2:$H$21,MATCH(A11,'ABC Analysis'!$A$2:$A$21,0))</f>
        <v>B</v>
      </c>
      <c r="D11" s="25" t="n">
        <f aca="false">'SKU Data'!G11</f>
        <v>1.17</v>
      </c>
      <c r="E11" s="25" t="n">
        <f aca="false">'SKU Data'!H11</f>
        <v>0.33</v>
      </c>
      <c r="F11" s="22" t="n">
        <f aca="false">'SKU Data'!I11</f>
        <v>30</v>
      </c>
      <c r="G11" s="25" t="n">
        <f aca="false">INDEX($N$2:$N$4,MATCH(C11,$M$2:$M$4,0))</f>
        <v>1.65</v>
      </c>
      <c r="H11" s="26" t="n">
        <f aca="false">G11*E11*SQRT(F11)</f>
        <v>2.98234932561563</v>
      </c>
      <c r="I11" s="26" t="n">
        <f aca="false">(D11*F11)+H11</f>
        <v>38.0823493256156</v>
      </c>
      <c r="J11" s="26" t="n">
        <f aca="false">SQRT((2*'SKU Data'!F11*'SKU Data'!J11)/('SKU Data'!D11*'SKU Data'!K11))</f>
        <v>100.022724690669</v>
      </c>
      <c r="K11" s="27" t="n">
        <f aca="false">IFERROR('SKU Data'!F11/J11,0)</f>
        <v>4.25903214811883</v>
      </c>
    </row>
    <row r="12" customFormat="false" ht="15" hidden="false" customHeight="false" outlineLevel="0" collapsed="false">
      <c r="A12" s="0" t="str">
        <f aca="false">'SKU Data'!A12</f>
        <v>FTW-204</v>
      </c>
      <c r="B12" s="0" t="str">
        <f aca="false">'SKU Data'!B12</f>
        <v>Slide Sandals</v>
      </c>
      <c r="C12" s="0" t="str">
        <f aca="false">INDEX('ABC Analysis'!$H$2:$H$21,MATCH(A12,'ABC Analysis'!$A$2:$A$21,0))</f>
        <v>B</v>
      </c>
      <c r="D12" s="25" t="n">
        <f aca="false">'SKU Data'!G12</f>
        <v>2.33</v>
      </c>
      <c r="E12" s="25" t="n">
        <f aca="false">'SKU Data'!H12</f>
        <v>1</v>
      </c>
      <c r="F12" s="22" t="n">
        <f aca="false">'SKU Data'!I12</f>
        <v>45</v>
      </c>
      <c r="G12" s="25" t="n">
        <f aca="false">INDEX($N$2:$N$4,MATCH(C12,$M$2:$M$4,0))</f>
        <v>1.65</v>
      </c>
      <c r="H12" s="26" t="n">
        <f aca="false">G12*E12*SQRT(F12)</f>
        <v>11.068536488624</v>
      </c>
      <c r="I12" s="26" t="n">
        <f aca="false">(D12*F12)+H12</f>
        <v>115.918536488624</v>
      </c>
      <c r="J12" s="26" t="n">
        <f aca="false">SQRT((2*'SKU Data'!F12*'SKU Data'!J12)/('SKU Data'!D12*'SKU Data'!K12))</f>
        <v>289.665707708424</v>
      </c>
      <c r="K12" s="27" t="n">
        <f aca="false">IFERROR('SKU Data'!F12/J12,0)</f>
        <v>2.94132159011939</v>
      </c>
    </row>
    <row r="13" customFormat="false" ht="15" hidden="false" customHeight="false" outlineLevel="0" collapsed="false">
      <c r="A13" s="0" t="str">
        <f aca="false">'SKU Data'!A13</f>
        <v>HOM-504</v>
      </c>
      <c r="B13" s="0" t="str">
        <f aca="false">'SKU Data'!B13</f>
        <v>Bamboo Cutting Board</v>
      </c>
      <c r="C13" s="0" t="str">
        <f aca="false">INDEX('ABC Analysis'!$H$2:$H$21,MATCH(A13,'ABC Analysis'!$A$2:$A$21,0))</f>
        <v>B</v>
      </c>
      <c r="D13" s="25" t="n">
        <f aca="false">'SKU Data'!G13</f>
        <v>2.06</v>
      </c>
      <c r="E13" s="25" t="n">
        <f aca="false">'SKU Data'!H13</f>
        <v>0.52</v>
      </c>
      <c r="F13" s="22" t="n">
        <f aca="false">'SKU Data'!I13</f>
        <v>14</v>
      </c>
      <c r="G13" s="25" t="n">
        <f aca="false">INDEX($N$2:$N$4,MATCH(C13,$M$2:$M$4,0))</f>
        <v>1.65</v>
      </c>
      <c r="H13" s="26" t="n">
        <f aca="false">G13*E13*SQRT(F13)</f>
        <v>3.21034203785204</v>
      </c>
      <c r="I13" s="26" t="n">
        <f aca="false">(D13*F13)+H13</f>
        <v>32.050342037852</v>
      </c>
      <c r="J13" s="26" t="n">
        <f aca="false">SQRT((2*'SKU Data'!F13*'SKU Data'!J13)/('SKU Data'!D13*'SKU Data'!K13))</f>
        <v>262.837846082586</v>
      </c>
      <c r="K13" s="27" t="n">
        <f aca="false">IFERROR('SKU Data'!F13/J13,0)</f>
        <v>2.86107960176981</v>
      </c>
    </row>
    <row r="14" customFormat="false" ht="15" hidden="false" customHeight="false" outlineLevel="0" collapsed="false">
      <c r="A14" s="0" t="str">
        <f aca="false">'SKU Data'!A14</f>
        <v>HOM-501</v>
      </c>
      <c r="B14" s="0" t="str">
        <f aca="false">'SKU Data'!B14</f>
        <v>Ceramic Coffee Mug Set</v>
      </c>
      <c r="C14" s="0" t="str">
        <f aca="false">INDEX('ABC Analysis'!$H$2:$H$21,MATCH(A14,'ABC Analysis'!$A$2:$A$21,0))</f>
        <v>B</v>
      </c>
      <c r="D14" s="25" t="n">
        <f aca="false">'SKU Data'!G14</f>
        <v>2.26</v>
      </c>
      <c r="E14" s="25" t="n">
        <f aca="false">'SKU Data'!H14</f>
        <v>0.61</v>
      </c>
      <c r="F14" s="22" t="n">
        <f aca="false">'SKU Data'!I14</f>
        <v>45</v>
      </c>
      <c r="G14" s="25" t="n">
        <f aca="false">INDEX($N$2:$N$4,MATCH(C14,$M$2:$M$4,0))</f>
        <v>1.65</v>
      </c>
      <c r="H14" s="26" t="n">
        <f aca="false">G14*E14*SQRT(F14)</f>
        <v>6.75180725806062</v>
      </c>
      <c r="I14" s="26" t="n">
        <f aca="false">(D14*F14)+H14</f>
        <v>108.451807258061</v>
      </c>
      <c r="J14" s="26" t="n">
        <f aca="false">SQRT((2*'SKU Data'!F14*'SKU Data'!J14)/('SKU Data'!D14*'SKU Data'!K14))</f>
        <v>302.290597378016</v>
      </c>
      <c r="K14" s="27" t="n">
        <f aca="false">IFERROR('SKU Data'!F14/J14,0)</f>
        <v>2.72916196254802</v>
      </c>
    </row>
    <row r="15" customFormat="false" ht="15" hidden="false" customHeight="false" outlineLevel="0" collapsed="false">
      <c r="A15" s="0" t="str">
        <f aca="false">'SKU Data'!A15</f>
        <v>APP-104</v>
      </c>
      <c r="B15" s="0" t="str">
        <f aca="false">'SKU Data'!B15</f>
        <v>Slim Fit Chinos</v>
      </c>
      <c r="C15" s="0" t="str">
        <f aca="false">INDEX('ABC Analysis'!$H$2:$H$21,MATCH(A15,'ABC Analysis'!$A$2:$A$21,0))</f>
        <v>B</v>
      </c>
      <c r="D15" s="25" t="n">
        <f aca="false">'SKU Data'!G15</f>
        <v>0.67</v>
      </c>
      <c r="E15" s="25" t="n">
        <f aca="false">'SKU Data'!H15</f>
        <v>0.28</v>
      </c>
      <c r="F15" s="22" t="n">
        <f aca="false">'SKU Data'!I15</f>
        <v>30</v>
      </c>
      <c r="G15" s="25" t="n">
        <f aca="false">INDEX($N$2:$N$4,MATCH(C15,$M$2:$M$4,0))</f>
        <v>1.65</v>
      </c>
      <c r="H15" s="26" t="n">
        <f aca="false">G15*E15*SQRT(F15)</f>
        <v>2.53047821567387</v>
      </c>
      <c r="I15" s="26" t="n">
        <f aca="false">(D15*F15)+H15</f>
        <v>22.6304782156739</v>
      </c>
      <c r="J15" s="26" t="n">
        <f aca="false">SQRT((2*'SKU Data'!F15*'SKU Data'!J15)/('SKU Data'!D15*'SKU Data'!K15))</f>
        <v>76.4432562661444</v>
      </c>
      <c r="K15" s="27" t="n">
        <f aca="false">IFERROR('SKU Data'!F15/J15,0)</f>
        <v>3.17882847839412</v>
      </c>
    </row>
    <row r="16" customFormat="false" ht="15" hidden="false" customHeight="false" outlineLevel="0" collapsed="false">
      <c r="A16" s="0" t="str">
        <f aca="false">'SKU Data'!A16</f>
        <v>ACC-304</v>
      </c>
      <c r="B16" s="0" t="str">
        <f aca="false">'SKU Data'!B16</f>
        <v>Wool Beanie</v>
      </c>
      <c r="C16" s="0" t="str">
        <f aca="false">INDEX('ABC Analysis'!$H$2:$H$21,MATCH(A16,'ABC Analysis'!$A$2:$A$21,0))</f>
        <v>C</v>
      </c>
      <c r="D16" s="25" t="n">
        <f aca="false">'SKU Data'!G16</f>
        <v>2.19</v>
      </c>
      <c r="E16" s="25" t="n">
        <f aca="false">'SKU Data'!H16</f>
        <v>0.77</v>
      </c>
      <c r="F16" s="22" t="n">
        <f aca="false">'SKU Data'!I16</f>
        <v>21</v>
      </c>
      <c r="G16" s="25" t="n">
        <f aca="false">INDEX($N$2:$N$4,MATCH(C16,$M$2:$M$4,0))</f>
        <v>1.28</v>
      </c>
      <c r="H16" s="26" t="n">
        <f aca="false">G16*E16*SQRT(F16)</f>
        <v>4.51658660494848</v>
      </c>
      <c r="I16" s="26" t="n">
        <f aca="false">(D16*F16)+H16</f>
        <v>50.5065866049485</v>
      </c>
      <c r="J16" s="26" t="n">
        <f aca="false">SQRT((2*'SKU Data'!F16*'SKU Data'!J16)/('SKU Data'!D16*'SKU Data'!K16))</f>
        <v>365.312968860115</v>
      </c>
      <c r="K16" s="27" t="n">
        <f aca="false">IFERROR('SKU Data'!F16/J16,0)</f>
        <v>2.19264047071572</v>
      </c>
    </row>
    <row r="17" customFormat="false" ht="15" hidden="false" customHeight="false" outlineLevel="0" collapsed="false">
      <c r="A17" s="0" t="str">
        <f aca="false">'SKU Data'!A17</f>
        <v>ACC-301</v>
      </c>
      <c r="B17" s="0" t="str">
        <f aca="false">'SKU Data'!B17</f>
        <v>Leather Belt</v>
      </c>
      <c r="C17" s="0" t="str">
        <f aca="false">INDEX('ABC Analysis'!$H$2:$H$21,MATCH(A17,'ABC Analysis'!$A$2:$A$21,0))</f>
        <v>C</v>
      </c>
      <c r="D17" s="25" t="n">
        <f aca="false">'SKU Data'!G17</f>
        <v>0.94</v>
      </c>
      <c r="E17" s="25" t="n">
        <f aca="false">'SKU Data'!H17</f>
        <v>0.25</v>
      </c>
      <c r="F17" s="22" t="n">
        <f aca="false">'SKU Data'!I17</f>
        <v>21</v>
      </c>
      <c r="G17" s="25" t="n">
        <f aca="false">INDEX($N$2:$N$4,MATCH(C17,$M$2:$M$4,0))</f>
        <v>1.28</v>
      </c>
      <c r="H17" s="26" t="n">
        <f aca="false">G17*E17*SQRT(F17)</f>
        <v>1.46642422238587</v>
      </c>
      <c r="I17" s="26" t="n">
        <f aca="false">(D17*F17)+H17</f>
        <v>21.2064242223859</v>
      </c>
      <c r="J17" s="26" t="n">
        <f aca="false">SQRT((2*'SKU Data'!F17*'SKU Data'!J17)/('SKU Data'!D17*'SKU Data'!K17))</f>
        <v>153.137604376345</v>
      </c>
      <c r="K17" s="27" t="n">
        <f aca="false">IFERROR('SKU Data'!F17/J17,0)</f>
        <v>2.23981563115652</v>
      </c>
    </row>
    <row r="18" customFormat="false" ht="15" hidden="false" customHeight="false" outlineLevel="0" collapsed="false">
      <c r="A18" s="0" t="str">
        <f aca="false">'SKU Data'!A18</f>
        <v>ACC-303</v>
      </c>
      <c r="B18" s="0" t="str">
        <f aca="false">'SKU Data'!B18</f>
        <v>Canvas Tote Bag</v>
      </c>
      <c r="C18" s="0" t="str">
        <f aca="false">INDEX('ABC Analysis'!$H$2:$H$21,MATCH(A18,'ABC Analysis'!$A$2:$A$21,0))</f>
        <v>C</v>
      </c>
      <c r="D18" s="25" t="n">
        <f aca="false">'SKU Data'!G18</f>
        <v>0.73</v>
      </c>
      <c r="E18" s="25" t="n">
        <f aca="false">'SKU Data'!H18</f>
        <v>0.39</v>
      </c>
      <c r="F18" s="22" t="n">
        <f aca="false">'SKU Data'!I18</f>
        <v>30</v>
      </c>
      <c r="G18" s="25" t="n">
        <f aca="false">INDEX($N$2:$N$4,MATCH(C18,$M$2:$M$4,0))</f>
        <v>1.28</v>
      </c>
      <c r="H18" s="26" t="n">
        <f aca="false">G18*E18*SQRT(F18)</f>
        <v>2.73423100706579</v>
      </c>
      <c r="I18" s="26" t="n">
        <f aca="false">(D18*F18)+H18</f>
        <v>24.6342310070658</v>
      </c>
      <c r="J18" s="26" t="n">
        <f aca="false">SQRT((2*'SKU Data'!F18*'SKU Data'!J18)/('SKU Data'!D18*'SKU Data'!K18))</f>
        <v>107.899190423829</v>
      </c>
      <c r="K18" s="27" t="n">
        <f aca="false">IFERROR('SKU Data'!F18/J18,0)</f>
        <v>2.48379991496965</v>
      </c>
    </row>
    <row r="19" customFormat="false" ht="15" hidden="false" customHeight="false" outlineLevel="0" collapsed="false">
      <c r="A19" s="0" t="str">
        <f aca="false">'SKU Data'!A19</f>
        <v>ELE-404</v>
      </c>
      <c r="B19" s="0" t="str">
        <f aca="false">'SKU Data'!B19</f>
        <v>Phone Charging Cable</v>
      </c>
      <c r="C19" s="0" t="str">
        <f aca="false">INDEX('ABC Analysis'!$H$2:$H$21,MATCH(A19,'ABC Analysis'!$A$2:$A$21,0))</f>
        <v>C</v>
      </c>
      <c r="D19" s="25" t="n">
        <f aca="false">'SKU Data'!G19</f>
        <v>1.51</v>
      </c>
      <c r="E19" s="25" t="n">
        <f aca="false">'SKU Data'!H19</f>
        <v>0.48</v>
      </c>
      <c r="F19" s="22" t="n">
        <f aca="false">'SKU Data'!I19</f>
        <v>21</v>
      </c>
      <c r="G19" s="25" t="n">
        <f aca="false">INDEX($N$2:$N$4,MATCH(C19,$M$2:$M$4,0))</f>
        <v>1.28</v>
      </c>
      <c r="H19" s="26" t="n">
        <f aca="false">G19*E19*SQRT(F19)</f>
        <v>2.81553450698087</v>
      </c>
      <c r="I19" s="26" t="n">
        <f aca="false">(D19*F19)+H19</f>
        <v>34.5255345069809</v>
      </c>
      <c r="J19" s="26" t="n">
        <f aca="false">SQRT((2*'SKU Data'!F19*'SKU Data'!J19)/('SKU Data'!D19*'SKU Data'!K19))</f>
        <v>308.271988749577</v>
      </c>
      <c r="K19" s="27" t="n">
        <f aca="false">IFERROR('SKU Data'!F19/J19,0)</f>
        <v>1.79062652509896</v>
      </c>
    </row>
    <row r="20" customFormat="false" ht="15" hidden="false" customHeight="false" outlineLevel="0" collapsed="false">
      <c r="A20" s="0" t="str">
        <f aca="false">'SKU Data'!A20</f>
        <v>HOM-502</v>
      </c>
      <c r="B20" s="0" t="str">
        <f aca="false">'SKU Data'!B20</f>
        <v>Scented Candle</v>
      </c>
      <c r="C20" s="0" t="str">
        <f aca="false">INDEX('ABC Analysis'!$H$2:$H$21,MATCH(A20,'ABC Analysis'!$A$2:$A$21,0))</f>
        <v>C</v>
      </c>
      <c r="D20" s="25" t="n">
        <f aca="false">'SKU Data'!G20</f>
        <v>1.02</v>
      </c>
      <c r="E20" s="25" t="n">
        <f aca="false">'SKU Data'!H20</f>
        <v>0.52</v>
      </c>
      <c r="F20" s="22" t="n">
        <f aca="false">'SKU Data'!I20</f>
        <v>21</v>
      </c>
      <c r="G20" s="25" t="n">
        <f aca="false">INDEX($N$2:$N$4,MATCH(C20,$M$2:$M$4,0))</f>
        <v>1.28</v>
      </c>
      <c r="H20" s="26" t="n">
        <f aca="false">G20*E20*SQRT(F20)</f>
        <v>3.05016238256261</v>
      </c>
      <c r="I20" s="26" t="n">
        <f aca="false">(D20*F20)+H20</f>
        <v>24.4701623825626</v>
      </c>
      <c r="J20" s="26" t="n">
        <f aca="false">SQRT((2*'SKU Data'!F20*'SKU Data'!J20)/('SKU Data'!D20*'SKU Data'!K20))</f>
        <v>250.098266401714</v>
      </c>
      <c r="K20" s="27" t="n">
        <f aca="false">IFERROR('SKU Data'!F20/J20,0)</f>
        <v>1.48741534818352</v>
      </c>
    </row>
    <row r="21" customFormat="false" ht="15" hidden="false" customHeight="false" outlineLevel="0" collapsed="false">
      <c r="A21" s="0" t="str">
        <f aca="false">'SKU Data'!A21</f>
        <v>APP-102</v>
      </c>
      <c r="B21" s="0" t="str">
        <f aca="false">'SKU Data'!B21</f>
        <v>Cotton Crew T-Shirt</v>
      </c>
      <c r="C21" s="0" t="str">
        <f aca="false">INDEX('ABC Analysis'!$H$2:$H$21,MATCH(A21,'ABC Analysis'!$A$2:$A$21,0))</f>
        <v>C</v>
      </c>
      <c r="D21" s="25" t="n">
        <f aca="false">'SKU Data'!G21</f>
        <v>0.65</v>
      </c>
      <c r="E21" s="25" t="n">
        <f aca="false">'SKU Data'!H21</f>
        <v>0.34</v>
      </c>
      <c r="F21" s="22" t="n">
        <f aca="false">'SKU Data'!I21</f>
        <v>14</v>
      </c>
      <c r="G21" s="25" t="n">
        <f aca="false">INDEX($N$2:$N$4,MATCH(C21,$M$2:$M$4,0))</f>
        <v>1.28</v>
      </c>
      <c r="H21" s="26" t="n">
        <f aca="false">G21*E21*SQRT(F21)</f>
        <v>1.62836929472402</v>
      </c>
      <c r="I21" s="26" t="n">
        <f aca="false">(D21*F21)+H21</f>
        <v>10.728369294724</v>
      </c>
      <c r="J21" s="26" t="n">
        <f aca="false">SQRT((2*'SKU Data'!F21*'SKU Data'!J21)/('SKU Data'!D21*'SKU Data'!K21))</f>
        <v>124.298353110894</v>
      </c>
      <c r="K21" s="27" t="n">
        <f aca="false">IFERROR('SKU Data'!F21/J21,0)</f>
        <v>1.92279297366694</v>
      </c>
    </row>
  </sheetData>
  <conditionalFormatting sqref="I2:I21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2026-09-11T03:46:59Z</dcterms:created>
  <dc:creator>openpyxl</dc:creator>
  <dc:description/>
  <dc:language>en-US</dc:language>
  <cp:lastModifiedBy/>
  <dcterms:modified xsi:type="dcterms:W3CDTF">2026-09-11T03:47:04Z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