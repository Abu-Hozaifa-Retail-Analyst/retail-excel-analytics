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Raw Data" sheetId="3" state="visible" r:id="rId5"/>
    <sheet name="Store Summary" sheetId="4" state="visible" r:id="rId6"/>
    <sheet name="Category Summary" sheetId="5" state="visible" r:id="rId7"/>
    <sheet name="Monthly Tren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<sst xmlns="http://schemas.openxmlformats.org/spreadsheetml/2006/main" count="26126" uniqueCount="115">
  <si>
    <t xml:space="preserve">Retail Sales Performance Dashboard</t>
  </si>
  <si>
    <t xml:space="preserve">Business Problem</t>
  </si>
  <si>
    <t xml:space="preserve">A regional manager oversees 6 stores selling 20 SKUs across 5 categories. They need a single view of sales, profit, and margin performance by store, category, and month — without manually pulling numbers from raw POS exports every week.</t>
  </si>
  <si>
    <t xml:space="preserve">Excel Skills Demonstrated</t>
  </si>
  <si>
    <t xml:space="preserve">• SUMIFS / COUNTIFS / AVERAGEIFS for conditional aggregation across a 4,300+ row transaction log</t>
  </si>
  <si>
    <t xml:space="preserve">• Structured Excel Table (sortable/filterable) for the raw data source</t>
  </si>
  <si>
    <t xml:space="preserve">• Formula-driven summary tables (no hardcoded totals) by Store, Category, and Month</t>
  </si>
  <si>
    <t xml:space="preserve">• Conditional formatting (color scales) to flag margin and performance outliers</t>
  </si>
  <si>
    <t xml:space="preserve">• PivotChart-style dashboard: bar, line, and pie charts wired to live formulas</t>
  </si>
  <si>
    <t xml:space="preserve">• KPI header cards computed live from the transaction log</t>
  </si>
  <si>
    <t xml:space="preserve">How This Was Built</t>
  </si>
  <si>
    <t xml:space="preserve">Raw Data: 4,339 synthetic POS transactions, Jan-Jun 2026, 6 stores x 5 categories x 20 SKUs, with built-in seasonality (e.g. Footwear peaks in spring) and weekend traffic lift.</t>
  </si>
  <si>
    <t xml:space="preserve">Revenue, Cost, and Profit are calculated columns (formulas) on the Raw Data sheet, not pasted values — edit any Units/Price/Cost cell and every summary recalculates.</t>
  </si>
  <si>
    <t xml:space="preserve">Store Summary, Category Summary, and Monthly Trend sheets use SUMIFS/COUNTIFS/AVERAGEIFS against the Raw Data table — no manual pivoting required to refresh them.</t>
  </si>
  <si>
    <t xml:space="preserve">Dashboard sheet pulls KPI cards and charts directly from the summary sheets.</t>
  </si>
  <si>
    <t xml:space="preserve">Sheet Guide</t>
  </si>
  <si>
    <t xml:space="preserve">Dashboard — One-page KPI + chart view — start here.</t>
  </si>
  <si>
    <t xml:space="preserve">Raw Data — 4,339-row transaction log (Excel Table: RawData).</t>
  </si>
  <si>
    <t xml:space="preserve">Store Summary — Revenue, units, profit, margin % by store.</t>
  </si>
  <si>
    <t xml:space="preserve">Category Summary — Revenue, units, profit, margin % by category.</t>
  </si>
  <si>
    <t xml:space="preserve">Monthly Trend — Revenue, units, profit by month, Jan-Jun 2026.</t>
  </si>
  <si>
    <t xml:space="preserve">Source: synthetic dataset generated for this project (see gen_data.py). Not real POS data.</t>
  </si>
  <si>
    <t xml:space="preserve">Jan – Jun 2026  |  6 Stores  |  5 Categories  |  20 SKUs</t>
  </si>
  <si>
    <t xml:space="preserve">Total Revenue</t>
  </si>
  <si>
    <t xml:space="preserve">Total Profit</t>
  </si>
  <si>
    <t xml:space="preserve">Overall Margin %</t>
  </si>
  <si>
    <t xml:space="preserve">Units Sold</t>
  </si>
  <si>
    <t xml:space="preserve">Top Performing Store (by Revenue)</t>
  </si>
  <si>
    <t xml:space="preserve">Top Performing Category (by Revenue)</t>
  </si>
  <si>
    <t xml:space="preserve">Date</t>
  </si>
  <si>
    <t xml:space="preserve">Store Code</t>
  </si>
  <si>
    <t xml:space="preserve">Store</t>
  </si>
  <si>
    <t xml:space="preserve">Region</t>
  </si>
  <si>
    <t xml:space="preserve">Category</t>
  </si>
  <si>
    <t xml:space="preserve">SKU</t>
  </si>
  <si>
    <t xml:space="preserve">Product</t>
  </si>
  <si>
    <t xml:space="preserve">Unit Price</t>
  </si>
  <si>
    <t xml:space="preserve">Unit Cost</t>
  </si>
  <si>
    <t xml:space="preserve">Revenue</t>
  </si>
  <si>
    <t xml:space="preserve">Cost</t>
  </si>
  <si>
    <t xml:space="preserve">Profit</t>
  </si>
  <si>
    <t xml:space="preserve">Margin %</t>
  </si>
  <si>
    <t xml:space="preserve">S01</t>
  </si>
  <si>
    <t xml:space="preserve">Downtown</t>
  </si>
  <si>
    <t xml:space="preserve">Central</t>
  </si>
  <si>
    <t xml:space="preserve">Apparel</t>
  </si>
  <si>
    <t xml:space="preserve">APP-103</t>
  </si>
  <si>
    <t xml:space="preserve">Fleece Pullover Hoodie</t>
  </si>
  <si>
    <t xml:space="preserve">APP-101</t>
  </si>
  <si>
    <t xml:space="preserve">Classic Denim Jacket</t>
  </si>
  <si>
    <t xml:space="preserve">S02</t>
  </si>
  <si>
    <t xml:space="preserve">Westside Mall</t>
  </si>
  <si>
    <t xml:space="preserve">West</t>
  </si>
  <si>
    <t xml:space="preserve">Footwear</t>
  </si>
  <si>
    <t xml:space="preserve">FTW-202</t>
  </si>
  <si>
    <t xml:space="preserve">Canvas Low-Top</t>
  </si>
  <si>
    <t xml:space="preserve">Home Goods</t>
  </si>
  <si>
    <t xml:space="preserve">HOM-504</t>
  </si>
  <si>
    <t xml:space="preserve">Bamboo Cutting Board</t>
  </si>
  <si>
    <t xml:space="preserve">S03</t>
  </si>
  <si>
    <t xml:space="preserve">Eastgate</t>
  </si>
  <si>
    <t xml:space="preserve">East</t>
  </si>
  <si>
    <t xml:space="preserve">APP-102</t>
  </si>
  <si>
    <t xml:space="preserve">Cotton Crew T-Shirt</t>
  </si>
  <si>
    <t xml:space="preserve">Electronics</t>
  </si>
  <si>
    <t xml:space="preserve">ELE-401</t>
  </si>
  <si>
    <t xml:space="preserve">Wireless Earbuds</t>
  </si>
  <si>
    <t xml:space="preserve">HOM-503</t>
  </si>
  <si>
    <t xml:space="preserve">Cotton Throw Blanket</t>
  </si>
  <si>
    <t xml:space="preserve">S04</t>
  </si>
  <si>
    <t xml:space="preserve">Northpark</t>
  </si>
  <si>
    <t xml:space="preserve">North</t>
  </si>
  <si>
    <t xml:space="preserve">APP-104</t>
  </si>
  <si>
    <t xml:space="preserve">Slim Fit Chinos</t>
  </si>
  <si>
    <t xml:space="preserve">FTW-201</t>
  </si>
  <si>
    <t xml:space="preserve">Running Sneakers</t>
  </si>
  <si>
    <t xml:space="preserve">Accessories</t>
  </si>
  <si>
    <t xml:space="preserve">ACC-302</t>
  </si>
  <si>
    <t xml:space="preserve">Aviator Sunglasses</t>
  </si>
  <si>
    <t xml:space="preserve">ACC-301</t>
  </si>
  <si>
    <t xml:space="preserve">Leather Belt</t>
  </si>
  <si>
    <t xml:space="preserve">S05</t>
  </si>
  <si>
    <t xml:space="preserve">Riverside</t>
  </si>
  <si>
    <t xml:space="preserve">South</t>
  </si>
  <si>
    <t xml:space="preserve">FTW-204</t>
  </si>
  <si>
    <t xml:space="preserve">Slide Sandals</t>
  </si>
  <si>
    <t xml:space="preserve">HOM-502</t>
  </si>
  <si>
    <t xml:space="preserve">Scented Candle</t>
  </si>
  <si>
    <t xml:space="preserve">S06</t>
  </si>
  <si>
    <t xml:space="preserve">Airport Plaza</t>
  </si>
  <si>
    <t xml:space="preserve">ELE-404</t>
  </si>
  <si>
    <t xml:space="preserve">Phone Charging Cable</t>
  </si>
  <si>
    <t xml:space="preserve">FTW-203</t>
  </si>
  <si>
    <t xml:space="preserve">Leather Ankle Boot</t>
  </si>
  <si>
    <t xml:space="preserve">ELE-403</t>
  </si>
  <si>
    <t xml:space="preserve">Fitness Tracker Band</t>
  </si>
  <si>
    <t xml:space="preserve">ELE-402</t>
  </si>
  <si>
    <t xml:space="preserve">Bluetooth Speaker</t>
  </si>
  <si>
    <t xml:space="preserve">HOM-501</t>
  </si>
  <si>
    <t xml:space="preserve">Ceramic Coffee Mug Set</t>
  </si>
  <si>
    <t xml:space="preserve">ACC-304</t>
  </si>
  <si>
    <t xml:space="preserve">Wool Beanie</t>
  </si>
  <si>
    <t xml:space="preserve">ACC-303</t>
  </si>
  <si>
    <t xml:space="preserve">Canvas Tote Bag</t>
  </si>
  <si>
    <t xml:space="preserve">Transactions</t>
  </si>
  <si>
    <t xml:space="preserve">Avg Order Value</t>
  </si>
  <si>
    <t xml:space="preserve">Total</t>
  </si>
  <si>
    <t xml:space="preserve">% of Total Revenue</t>
  </si>
  <si>
    <t xml:space="preserve">Month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</si>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</sst>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0.0%"/>
    <numFmt numFmtId="167" formatCode="#,##0"/>
    <numFmt numFmtId="168" formatCode="0%"/>
    <numFmt numFmtId="169" formatCode="yyyy\-mm\-dd"/>
    <numFmt numFmtId="170" formatCode="\$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1F7A1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C0C0C0"/>
      <rgbColor rgb="FF808080"/>
      <rgbColor rgb="FF878787"/>
      <rgbColor rgb="FFC0504D"/>
      <rgbColor rgb="FFF9F9F9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99999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Store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'Store Summary'!E1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'Store Summary'!$A$2:$A$7</c:f>
              <c:strCache>
                <c:ptCount val="6"/>
                <c:pt idx="0">
                  <c:v>Downtown</c:v>
                </c:pt>
                <c:pt idx="1">
                  <c:v>Westside Mall</c:v>
                </c:pt>
                <c:pt idx="2">
                  <c:v>Eastgate</c:v>
                </c:pt>
                <c:pt idx="3">
                  <c:v>Northpark</c:v>
                </c:pt>
                <c:pt idx="4">
                  <c:v>Riverside</c:v>
                </c:pt>
                <c:pt idx="5">
                  <c:v>Airport Plaza</c:v>
                </c:pt>
              </c:strCache>
            </c:strRef>
          </c:cat>
          <c:val>
            <c:numRef>
              <c:f>'Store Summary'!$E$2:$E$7</c:f>
              <c:numCache>
                <c:formatCode>\$#,##0</c:formatCode>
                <c:ptCount val="6"/>
                <c:pt idx="0">
                  <c:v>200129.26</c:v>
                </c:pt>
                <c:pt idx="1">
                  <c:v>178963.88</c:v>
                </c:pt>
                <c:pt idx="2">
                  <c:v>153207.04</c:v>
                </c:pt>
                <c:pt idx="3">
                  <c:v>133732.81</c:v>
                </c:pt>
                <c:pt idx="4">
                  <c:v>122991.97</c:v>
                </c:pt>
                <c:pt idx="5">
                  <c:v>178323.05</c:v>
                </c:pt>
              </c:numCache>
            </c:numRef>
          </c:val>
        </c:ser>
        <c:gapWidth val="150"/>
        <c:overlap val="0"/>
        <c:axId val="55255868"/>
        <c:axId val="80364521"/>
      </c:barChart>
      <c:catAx>
        <c:axId val="552558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64521"/>
        <c:crosses val="autoZero"/>
        <c:auto val="1"/>
        <c:lblAlgn val="ctr"/>
        <c:lblOffset val="100"/>
        <c:noMultiLvlLbl val="0"/>
      </c:catAx>
      <c:valAx>
        <c:axId val="803645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558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Trend'!C1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a7ebb"/>
            </a:solidFill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Trend'!$A$2:$A$7</c:f>
              <c:strCache>
                <c:ptCount val="6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</c:strCache>
            </c:strRef>
          </c:cat>
          <c:val>
            <c:numRef>
              <c:f>'Monthly Trend'!$C$2:$C$7</c:f>
              <c:numCache>
                <c:formatCode>\$#,##0</c:formatCode>
                <c:ptCount val="6"/>
                <c:pt idx="0">
                  <c:v>174203.1</c:v>
                </c:pt>
                <c:pt idx="1">
                  <c:v>127519.09</c:v>
                </c:pt>
                <c:pt idx="2">
                  <c:v>164568.84</c:v>
                </c:pt>
                <c:pt idx="3">
                  <c:v>168323.52</c:v>
                </c:pt>
                <c:pt idx="4">
                  <c:v>176164.81</c:v>
                </c:pt>
                <c:pt idx="5">
                  <c:v>156568.65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642289"/>
        <c:axId val="83696325"/>
      </c:lineChart>
      <c:catAx>
        <c:axId val="256422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96325"/>
        <c:crosses val="autoZero"/>
        <c:auto val="1"/>
        <c:lblAlgn val="ctr"/>
        <c:lblOffset val="100"/>
        <c:noMultiLvlLbl val="0"/>
      </c:catAx>
      <c:valAx>
        <c:axId val="836963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422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Mix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'Category Summary'!D1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'Category Summary'!$A$2:$A$6</c:f>
              <c:strCache>
                <c:ptCount val="5"/>
                <c:pt idx="0">
                  <c:v>Apparel</c:v>
                </c:pt>
                <c:pt idx="1">
                  <c:v>Footwear</c:v>
                </c:pt>
                <c:pt idx="2">
                  <c:v>Accessories</c:v>
                </c:pt>
                <c:pt idx="3">
                  <c:v>Electronics</c:v>
                </c:pt>
                <c:pt idx="4">
                  <c:v>Home Goods</c:v>
                </c:pt>
              </c:strCache>
            </c:strRef>
          </c:cat>
          <c:val>
            <c:numRef>
              <c:f>'Category Summary'!$D$2:$D$6</c:f>
              <c:numCache>
                <c:formatCode>\$#,##0</c:formatCode>
                <c:ptCount val="5"/>
                <c:pt idx="0">
                  <c:v>185594.66</c:v>
                </c:pt>
                <c:pt idx="1">
                  <c:v>294958.92</c:v>
                </c:pt>
                <c:pt idx="2">
                  <c:v>122837.71</c:v>
                </c:pt>
                <c:pt idx="3">
                  <c:v>256403.95</c:v>
                </c:pt>
                <c:pt idx="4">
                  <c:v>107552.77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% by Store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'Store Summary'!H1</c:f>
              <c:strCache>
                <c:ptCount val="1"/>
                <c:pt idx="0">
                  <c:v>Margin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'Store Summary'!$A$2:$A$7</c:f>
              <c:strCache>
                <c:ptCount val="6"/>
                <c:pt idx="0">
                  <c:v>Downtown</c:v>
                </c:pt>
                <c:pt idx="1">
                  <c:v>Westside Mall</c:v>
                </c:pt>
                <c:pt idx="2">
                  <c:v>Eastgate</c:v>
                </c:pt>
                <c:pt idx="3">
                  <c:v>Northpark</c:v>
                </c:pt>
                <c:pt idx="4">
                  <c:v>Riverside</c:v>
                </c:pt>
                <c:pt idx="5">
                  <c:v>Airport Plaza</c:v>
                </c:pt>
              </c:strCache>
            </c:strRef>
          </c:cat>
          <c:val>
            <c:numRef>
              <c:f>'Store Summary'!$H$2:$H$7</c:f>
              <c:numCache>
                <c:formatCode>0.0%</c:formatCode>
                <c:ptCount val="6"/>
                <c:pt idx="0">
                  <c:v>0.583091947674218</c:v>
                </c:pt>
                <c:pt idx="1">
                  <c:v>0.583105820012396</c:v>
                </c:pt>
                <c:pt idx="2">
                  <c:v>0.580472933880845</c:v>
                </c:pt>
                <c:pt idx="3">
                  <c:v>0.583482916421183</c:v>
                </c:pt>
                <c:pt idx="4">
                  <c:v>0.582273541923103</c:v>
                </c:pt>
                <c:pt idx="5">
                  <c:v>0.582594622512345</c:v>
                </c:pt>
              </c:numCache>
            </c:numRef>
          </c:val>
        </c:ser>
        <c:gapWidth val="150"/>
        <c:overlap val="0"/>
        <c:axId val="35957388"/>
        <c:axId val="82392978"/>
      </c:barChart>
      <c:catAx>
        <c:axId val="359573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92978"/>
        <c:crosses val="autoZero"/>
        <c:auto val="1"/>
        <c:lblAlgn val="ctr"/>
        <c:lblOffset val="100"/>
        <c:noMultiLvlLbl val="0"/>
      </c:catAx>
      <c:valAx>
        <c:axId val="82392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Margin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573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70200</xdr:rowOff>
    </xdr:from>
    <xdr:to>
      <xdr:col>7</xdr:col>
      <xdr:colOff>324720</xdr:colOff>
      <xdr:row>26</xdr:row>
      <xdr:rowOff>71280</xdr:rowOff>
    </xdr:to>
    <xdr:graphicFrame>
      <xdr:nvGraphicFramePr>
        <xdr:cNvPr id="0" name="Chart 1"/>
        <xdr:cNvGraphicFramePr/>
      </xdr:nvGraphicFramePr>
      <xdr:xfrm>
        <a:off x="141120" y="20667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</xdr:row>
      <xdr:rowOff>70200</xdr:rowOff>
    </xdr:from>
    <xdr:to>
      <xdr:col>11</xdr:col>
      <xdr:colOff>559080</xdr:colOff>
      <xdr:row>26</xdr:row>
      <xdr:rowOff>71280</xdr:rowOff>
    </xdr:to>
    <xdr:graphicFrame>
      <xdr:nvGraphicFramePr>
        <xdr:cNvPr id="1" name="Chart 2"/>
        <xdr:cNvGraphicFramePr/>
      </xdr:nvGraphicFramePr>
      <xdr:xfrm>
        <a:off x="3524400" y="20667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70200</xdr:rowOff>
    </xdr:from>
    <xdr:to>
      <xdr:col>7</xdr:col>
      <xdr:colOff>324720</xdr:colOff>
      <xdr:row>44</xdr:row>
      <xdr:rowOff>71280</xdr:rowOff>
    </xdr:to>
    <xdr:graphicFrame>
      <xdr:nvGraphicFramePr>
        <xdr:cNvPr id="2" name="Chart 3"/>
        <xdr:cNvGraphicFramePr/>
      </xdr:nvGraphicFramePr>
      <xdr:xfrm>
        <a:off x="141120" y="54957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27</xdr:row>
      <xdr:rowOff>70200</xdr:rowOff>
    </xdr:from>
    <xdr:to>
      <xdr:col>11</xdr:col>
      <xdr:colOff>559080</xdr:colOff>
      <xdr:row>44</xdr:row>
      <xdr:rowOff>71280</xdr:rowOff>
    </xdr:to>
    <xdr:graphicFrame>
      <xdr:nvGraphicFramePr>
        <xdr:cNvPr id="3" name="Chart 4"/>
        <xdr:cNvGraphicFramePr/>
      </xdr:nvGraphicFramePr>
      <xdr:xfrm>
        <a:off x="3524400" y="54957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awData" displayName="RawData" ref="A1:N4340" headerRowCount="1" totalsRowCount="0" totalsRowShown="0">
  <autoFilter ref="A1:N4340"/>
  <tableColumns count="14">
    <tableColumn id="1" name="Date"/>
    <tableColumn id="2" name="Store Code"/>
    <tableColumn id="3" name="Store"/>
    <tableColumn id="4" name="Region"/>
    <tableColumn id="5" name="Category"/>
    <tableColumn id="6" name="SKU"/>
    <tableColumn id="7" name="Product"/>
    <tableColumn id="8" name="Units Sold"/>
    <tableColumn id="9" name="Unit Price"/>
    <tableColumn id="10" name="Unit Cost"/>
    <tableColumn id="11" name="Revenue"/>
    <tableColumn id="12" name="Cost"/>
    <tableColumn id="13" name="Profit"/>
    <tableColumn id="14" name="Margin %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22.0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45" hidden="false" customHeight="true" outlineLevel="0" collapsed="false">
      <c r="B5" s="3" t="s">
        <v>2</v>
      </c>
    </row>
    <row r="7" customFormat="false" ht="15" hidden="false" customHeight="false" outlineLevel="0" collapsed="false">
      <c r="B7" s="2" t="s">
        <v>3</v>
      </c>
    </row>
    <row r="8" customFormat="false" ht="15.75" hidden="false" customHeight="true" outlineLevel="0" collapsed="false">
      <c r="B8" s="4" t="s">
        <v>4</v>
      </c>
    </row>
    <row r="9" customFormat="false" ht="15.75" hidden="false" customHeight="true" outlineLevel="0" collapsed="false">
      <c r="B9" s="4" t="s">
        <v>5</v>
      </c>
    </row>
    <row r="10" customFormat="false" ht="15.75" hidden="false" customHeight="true" outlineLevel="0" collapsed="false">
      <c r="B10" s="4" t="s">
        <v>6</v>
      </c>
    </row>
    <row r="11" customFormat="false" ht="15.75" hidden="false" customHeight="true" outlineLevel="0" collapsed="false">
      <c r="B11" s="4" t="s">
        <v>7</v>
      </c>
    </row>
    <row r="12" customFormat="false" ht="15.75" hidden="false" customHeight="true" outlineLevel="0" collapsed="false">
      <c r="B12" s="4" t="s">
        <v>8</v>
      </c>
    </row>
    <row r="13" customFormat="false" ht="15.75" hidden="false" customHeight="true" outlineLevel="0" collapsed="false">
      <c r="B13" s="4" t="s">
        <v>9</v>
      </c>
    </row>
    <row r="15" customFormat="false" ht="15" hidden="false" customHeight="false" outlineLevel="0" collapsed="false">
      <c r="B15" s="2" t="s">
        <v>10</v>
      </c>
    </row>
    <row r="16" customFormat="false" ht="30" hidden="false" customHeight="true" outlineLevel="0" collapsed="false">
      <c r="B16" s="3" t="s">
        <v>11</v>
      </c>
    </row>
    <row r="17" customFormat="false" ht="30" hidden="false" customHeight="true" outlineLevel="0" collapsed="false">
      <c r="B17" s="3" t="s">
        <v>12</v>
      </c>
    </row>
    <row r="18" customFormat="false" ht="30" hidden="false" customHeight="true" outlineLevel="0" collapsed="false">
      <c r="B18" s="3" t="s">
        <v>13</v>
      </c>
    </row>
    <row r="19" customFormat="false" ht="30" hidden="false" customHeight="true" outlineLevel="0" collapsed="false">
      <c r="B19" s="3" t="s">
        <v>14</v>
      </c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0" t="s">
        <v>16</v>
      </c>
    </row>
    <row r="23" customFormat="false" ht="15" hidden="false" customHeight="false" outlineLevel="0" collapsed="false">
      <c r="B23" s="0" t="s">
        <v>17</v>
      </c>
    </row>
    <row r="24" customFormat="false" ht="15" hidden="false" customHeight="false" outlineLevel="0" collapsed="false">
      <c r="B24" s="0" t="s">
        <v>18</v>
      </c>
    </row>
    <row r="25" customFormat="false" ht="15" hidden="false" customHeight="false" outlineLevel="0" collapsed="false">
      <c r="B25" s="0" t="s">
        <v>19</v>
      </c>
    </row>
    <row r="26" customFormat="false" ht="15" hidden="false" customHeight="false" outlineLevel="0" collapsed="false">
      <c r="B26" s="0" t="s">
        <v>20</v>
      </c>
    </row>
    <row r="29" customFormat="false" ht="15" hidden="false" customHeight="false" outlineLevel="0" collapsed="false">
      <c r="B29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0" min="2" style="0" width="12"/>
  </cols>
  <sheetData>
    <row r="2" customFormat="false" ht="24.45" hidden="false" customHeight="false" outlineLevel="0" collapsed="false">
      <c r="B2" s="6" t="s">
        <v>0</v>
      </c>
      <c r="C2" s="6"/>
      <c r="D2" s="6"/>
      <c r="E2" s="6"/>
      <c r="F2" s="6"/>
      <c r="G2" s="6"/>
      <c r="H2" s="6"/>
      <c r="I2" s="6"/>
      <c r="J2" s="6"/>
    </row>
    <row r="3" customFormat="false" ht="15" hidden="false" customHeight="false" outlineLevel="0" collapsed="false">
      <c r="B3" s="7" t="s">
        <v>22</v>
      </c>
      <c r="C3" s="7"/>
      <c r="D3" s="7"/>
      <c r="E3" s="7"/>
      <c r="F3" s="7"/>
      <c r="G3" s="7"/>
      <c r="H3" s="7"/>
      <c r="I3" s="7"/>
      <c r="J3" s="7"/>
    </row>
    <row r="5" customFormat="false" ht="15" hidden="false" customHeight="false" outlineLevel="0" collapsed="false">
      <c r="B5" s="8" t="s">
        <v>23</v>
      </c>
      <c r="C5" s="8"/>
      <c r="D5" s="8" t="s">
        <v>24</v>
      </c>
      <c r="E5" s="8"/>
      <c r="F5" s="8" t="s">
        <v>25</v>
      </c>
      <c r="G5" s="8"/>
      <c r="H5" s="8" t="s">
        <v>26</v>
      </c>
      <c r="I5" s="8"/>
    </row>
    <row r="6" customFormat="false" ht="27.75" hidden="false" customHeight="true" outlineLevel="0" collapsed="false">
      <c r="B6" s="9" t="n">
        <f aca="false">'Store Summary'!E9</f>
        <v>967348.01</v>
      </c>
      <c r="C6" s="9"/>
      <c r="D6" s="9" t="n">
        <f aca="false">'Store Summary'!G9</f>
        <v>563517.01</v>
      </c>
      <c r="E6" s="9"/>
      <c r="F6" s="10" t="n">
        <f aca="false">'Store Summary'!H9</f>
        <v>0.582538036130348</v>
      </c>
      <c r="G6" s="10"/>
      <c r="H6" s="11" t="n">
        <f aca="false">'Store Summary'!D9</f>
        <v>21819</v>
      </c>
      <c r="I6" s="11"/>
    </row>
    <row r="8" customFormat="false" ht="15" hidden="false" customHeight="false" outlineLevel="0" collapsed="false">
      <c r="B8" s="12" t="s">
        <v>27</v>
      </c>
      <c r="C8" s="12"/>
      <c r="D8" s="12"/>
      <c r="E8" s="12"/>
      <c r="F8" s="12" t="s">
        <v>28</v>
      </c>
      <c r="G8" s="12"/>
      <c r="H8" s="12"/>
      <c r="I8" s="12"/>
      <c r="J8" s="12"/>
    </row>
    <row r="9" customFormat="false" ht="15" hidden="false" customHeight="false" outlineLevel="0" collapsed="false">
      <c r="B9" s="13" t="str">
        <f aca="false">INDEX('Store Summary'!A2:A7,MATCH(MAX('Store Summary'!E2:E7),'Store Summary'!E2:E7,0))</f>
        <v>Downtown</v>
      </c>
      <c r="C9" s="13"/>
      <c r="D9" s="13"/>
      <c r="E9" s="13"/>
      <c r="F9" s="13" t="str">
        <f aca="false">INDEX('Category Summary'!A2:A6,MATCH(MAX('Category Summary'!D2:D6),'Category Summary'!D2:D6,0))</f>
        <v>Footwear</v>
      </c>
      <c r="G9" s="13"/>
      <c r="H9" s="13"/>
      <c r="I9" s="13"/>
      <c r="J9" s="13"/>
    </row>
  </sheetData>
  <mergeCells count="14">
    <mergeCell ref="B2:J2"/>
    <mergeCell ref="B3:J3"/>
    <mergeCell ref="B5:C5"/>
    <mergeCell ref="D5:E5"/>
    <mergeCell ref="F5:G5"/>
    <mergeCell ref="H5:I5"/>
    <mergeCell ref="B6:C6"/>
    <mergeCell ref="D6:E6"/>
    <mergeCell ref="F6:G6"/>
    <mergeCell ref="H6:I6"/>
    <mergeCell ref="B8:E8"/>
    <mergeCell ref="F8:J8"/>
    <mergeCell ref="B9:E9"/>
    <mergeCell ref="F9:J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3" min="11" style="0" width="11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14" t="s">
        <v>29</v>
      </c>
      <c r="B1" s="14" t="s">
        <v>30</v>
      </c>
      <c r="C1" s="14" t="s">
        <v>31</v>
      </c>
      <c r="D1" s="14" t="s">
        <v>32</v>
      </c>
      <c r="E1" s="14" t="s">
        <v>33</v>
      </c>
      <c r="F1" s="14" t="s">
        <v>34</v>
      </c>
      <c r="G1" s="14" t="s">
        <v>35</v>
      </c>
      <c r="H1" s="14" t="s">
        <v>26</v>
      </c>
      <c r="I1" s="14" t="s">
        <v>36</v>
      </c>
      <c r="J1" s="14" t="s">
        <v>37</v>
      </c>
      <c r="K1" s="14" t="s">
        <v>38</v>
      </c>
      <c r="L1" s="14" t="s">
        <v>39</v>
      </c>
      <c r="M1" s="14" t="s">
        <v>40</v>
      </c>
      <c r="N1" s="14" t="s">
        <v>41</v>
      </c>
    </row>
    <row r="2" customFormat="false" ht="15" hidden="false" customHeight="false" outlineLevel="0" collapsed="false">
      <c r="A2" s="15" t="n">
        <v>46023</v>
      </c>
      <c r="B2" s="14" t="s">
        <v>42</v>
      </c>
      <c r="C2" s="14" t="s">
        <v>43</v>
      </c>
      <c r="D2" s="14" t="s">
        <v>44</v>
      </c>
      <c r="E2" s="14" t="s">
        <v>45</v>
      </c>
      <c r="F2" s="14" t="s">
        <v>46</v>
      </c>
      <c r="G2" s="14" t="s">
        <v>47</v>
      </c>
      <c r="H2" s="0" t="n">
        <v>5</v>
      </c>
      <c r="I2" s="16" t="n">
        <v>42.2</v>
      </c>
      <c r="J2" s="16" t="n">
        <v>18</v>
      </c>
      <c r="K2" s="16" t="n">
        <f aca="false">H2*I2</f>
        <v>211</v>
      </c>
      <c r="L2" s="16" t="n">
        <f aca="false">H2*J2</f>
        <v>90</v>
      </c>
      <c r="M2" s="16" t="n">
        <f aca="false">K2-L2</f>
        <v>121</v>
      </c>
      <c r="N2" s="17" t="n">
        <f aca="false">IFERROR(M2/K2,0)</f>
        <v>0.573459715639811</v>
      </c>
    </row>
    <row r="3" customFormat="false" ht="15" hidden="false" customHeight="false" outlineLevel="0" collapsed="false">
      <c r="A3" s="15" t="n">
        <v>46023</v>
      </c>
      <c r="B3" s="14" t="s">
        <v>42</v>
      </c>
      <c r="C3" s="14" t="s">
        <v>43</v>
      </c>
      <c r="D3" s="14" t="s">
        <v>44</v>
      </c>
      <c r="E3" s="14" t="s">
        <v>45</v>
      </c>
      <c r="F3" s="14" t="s">
        <v>48</v>
      </c>
      <c r="G3" s="14" t="s">
        <v>49</v>
      </c>
      <c r="H3" s="0" t="n">
        <v>9</v>
      </c>
      <c r="I3" s="16" t="n">
        <v>62.73</v>
      </c>
      <c r="J3" s="16" t="n">
        <v>27.5</v>
      </c>
      <c r="K3" s="16" t="n">
        <f aca="false">H3*I3</f>
        <v>564.57</v>
      </c>
      <c r="L3" s="16" t="n">
        <f aca="false">H3*J3</f>
        <v>247.5</v>
      </c>
      <c r="M3" s="16" t="n">
        <f aca="false">K3-L3</f>
        <v>317.07</v>
      </c>
      <c r="N3" s="17" t="n">
        <f aca="false">IFERROR(M3/K3,0)</f>
        <v>0.561613263191455</v>
      </c>
    </row>
    <row r="4" customFormat="false" ht="15" hidden="false" customHeight="false" outlineLevel="0" collapsed="false">
      <c r="A4" s="15" t="n">
        <v>46023</v>
      </c>
      <c r="B4" s="14" t="s">
        <v>50</v>
      </c>
      <c r="C4" s="14" t="s">
        <v>51</v>
      </c>
      <c r="D4" s="14" t="s">
        <v>52</v>
      </c>
      <c r="E4" s="14" t="s">
        <v>53</v>
      </c>
      <c r="F4" s="14" t="s">
        <v>54</v>
      </c>
      <c r="G4" s="14" t="s">
        <v>55</v>
      </c>
      <c r="H4" s="0" t="n">
        <v>1</v>
      </c>
      <c r="I4" s="16" t="n">
        <v>53.07</v>
      </c>
      <c r="J4" s="16" t="n">
        <v>22</v>
      </c>
      <c r="K4" s="16" t="n">
        <f aca="false">H4*I4</f>
        <v>53.07</v>
      </c>
      <c r="L4" s="16" t="n">
        <f aca="false">H4*J4</f>
        <v>22</v>
      </c>
      <c r="M4" s="16" t="n">
        <f aca="false">K4-L4</f>
        <v>31.07</v>
      </c>
      <c r="N4" s="17" t="n">
        <f aca="false">IFERROR(M4/K4,0)</f>
        <v>0.585453175051818</v>
      </c>
    </row>
    <row r="5" customFormat="false" ht="15" hidden="false" customHeight="false" outlineLevel="0" collapsed="false">
      <c r="A5" s="15" t="n">
        <v>46023</v>
      </c>
      <c r="B5" s="14" t="s">
        <v>50</v>
      </c>
      <c r="C5" s="14" t="s">
        <v>51</v>
      </c>
      <c r="D5" s="14" t="s">
        <v>52</v>
      </c>
      <c r="E5" s="14" t="s">
        <v>56</v>
      </c>
      <c r="F5" s="14" t="s">
        <v>57</v>
      </c>
      <c r="G5" s="14" t="s">
        <v>58</v>
      </c>
      <c r="H5" s="0" t="n">
        <v>5</v>
      </c>
      <c r="I5" s="16" t="n">
        <v>25.81</v>
      </c>
      <c r="J5" s="16" t="n">
        <v>10</v>
      </c>
      <c r="K5" s="16" t="n">
        <f aca="false">H5*I5</f>
        <v>129.05</v>
      </c>
      <c r="L5" s="16" t="n">
        <f aca="false">H5*J5</f>
        <v>50</v>
      </c>
      <c r="M5" s="16" t="n">
        <f aca="false">K5-L5</f>
        <v>79.05</v>
      </c>
      <c r="N5" s="17" t="n">
        <f aca="false">IFERROR(M5/K5,0)</f>
        <v>0.612553273924835</v>
      </c>
    </row>
    <row r="6" customFormat="false" ht="15" hidden="false" customHeight="false" outlineLevel="0" collapsed="false">
      <c r="A6" s="15" t="n">
        <v>46023</v>
      </c>
      <c r="B6" s="14" t="s">
        <v>59</v>
      </c>
      <c r="C6" s="14" t="s">
        <v>60</v>
      </c>
      <c r="D6" s="14" t="s">
        <v>61</v>
      </c>
      <c r="E6" s="14" t="s">
        <v>45</v>
      </c>
      <c r="F6" s="14" t="s">
        <v>62</v>
      </c>
      <c r="G6" s="14" t="s">
        <v>63</v>
      </c>
      <c r="H6" s="0" t="n">
        <v>6</v>
      </c>
      <c r="I6" s="16" t="n">
        <v>17.05</v>
      </c>
      <c r="J6" s="16" t="n">
        <v>6.5</v>
      </c>
      <c r="K6" s="16" t="n">
        <f aca="false">H6*I6</f>
        <v>102.3</v>
      </c>
      <c r="L6" s="16" t="n">
        <f aca="false">H6*J6</f>
        <v>39</v>
      </c>
      <c r="M6" s="16" t="n">
        <f aca="false">K6-L6</f>
        <v>63.3</v>
      </c>
      <c r="N6" s="17" t="n">
        <f aca="false">IFERROR(M6/K6,0)</f>
        <v>0.618768328445748</v>
      </c>
    </row>
    <row r="7" customFormat="false" ht="15" hidden="false" customHeight="false" outlineLevel="0" collapsed="false">
      <c r="A7" s="15" t="n">
        <v>46023</v>
      </c>
      <c r="B7" s="14" t="s">
        <v>59</v>
      </c>
      <c r="C7" s="14" t="s">
        <v>60</v>
      </c>
      <c r="D7" s="14" t="s">
        <v>61</v>
      </c>
      <c r="E7" s="14" t="s">
        <v>53</v>
      </c>
      <c r="F7" s="14" t="s">
        <v>54</v>
      </c>
      <c r="G7" s="14" t="s">
        <v>55</v>
      </c>
      <c r="H7" s="0" t="n">
        <v>5</v>
      </c>
      <c r="I7" s="16" t="n">
        <v>51.05</v>
      </c>
      <c r="J7" s="16" t="n">
        <v>22</v>
      </c>
      <c r="K7" s="16" t="n">
        <f aca="false">H7*I7</f>
        <v>255.25</v>
      </c>
      <c r="L7" s="16" t="n">
        <f aca="false">H7*J7</f>
        <v>110</v>
      </c>
      <c r="M7" s="16" t="n">
        <f aca="false">K7-L7</f>
        <v>145.25</v>
      </c>
      <c r="N7" s="17" t="n">
        <f aca="false">IFERROR(M7/K7,0)</f>
        <v>0.569049951028404</v>
      </c>
    </row>
    <row r="8" customFormat="false" ht="15" hidden="false" customHeight="false" outlineLevel="0" collapsed="false">
      <c r="A8" s="15" t="n">
        <v>46023</v>
      </c>
      <c r="B8" s="14" t="s">
        <v>59</v>
      </c>
      <c r="C8" s="14" t="s">
        <v>60</v>
      </c>
      <c r="D8" s="14" t="s">
        <v>61</v>
      </c>
      <c r="E8" s="14" t="s">
        <v>64</v>
      </c>
      <c r="F8" s="14" t="s">
        <v>65</v>
      </c>
      <c r="G8" s="14" t="s">
        <v>66</v>
      </c>
      <c r="H8" s="0" t="n">
        <v>7</v>
      </c>
      <c r="I8" s="16" t="n">
        <v>78.04</v>
      </c>
      <c r="J8" s="16" t="n">
        <v>34</v>
      </c>
      <c r="K8" s="16" t="n">
        <f aca="false">H8*I8</f>
        <v>546.28</v>
      </c>
      <c r="L8" s="16" t="n">
        <f aca="false">H8*J8</f>
        <v>238</v>
      </c>
      <c r="M8" s="16" t="n">
        <f aca="false">K8-L8</f>
        <v>308.28</v>
      </c>
      <c r="N8" s="17" t="n">
        <f aca="false">IFERROR(M8/K8,0)</f>
        <v>0.564325986673501</v>
      </c>
    </row>
    <row r="9" customFormat="false" ht="15" hidden="false" customHeight="false" outlineLevel="0" collapsed="false">
      <c r="A9" s="15" t="n">
        <v>46023</v>
      </c>
      <c r="B9" s="14" t="s">
        <v>59</v>
      </c>
      <c r="C9" s="14" t="s">
        <v>60</v>
      </c>
      <c r="D9" s="14" t="s">
        <v>61</v>
      </c>
      <c r="E9" s="14" t="s">
        <v>56</v>
      </c>
      <c r="F9" s="14" t="s">
        <v>67</v>
      </c>
      <c r="G9" s="14" t="s">
        <v>68</v>
      </c>
      <c r="H9" s="0" t="n">
        <v>1</v>
      </c>
      <c r="I9" s="16" t="n">
        <v>37.18</v>
      </c>
      <c r="J9" s="16" t="n">
        <v>15</v>
      </c>
      <c r="K9" s="16" t="n">
        <f aca="false">H9*I9</f>
        <v>37.18</v>
      </c>
      <c r="L9" s="16" t="n">
        <f aca="false">H9*J9</f>
        <v>15</v>
      </c>
      <c r="M9" s="16" t="n">
        <f aca="false">K9-L9</f>
        <v>22.18</v>
      </c>
      <c r="N9" s="17" t="n">
        <f aca="false">IFERROR(M9/K9,0)</f>
        <v>0.596557288864981</v>
      </c>
    </row>
    <row r="10" customFormat="false" ht="15" hidden="false" customHeight="false" outlineLevel="0" collapsed="false">
      <c r="A10" s="15" t="n">
        <v>46023</v>
      </c>
      <c r="B10" s="14" t="s">
        <v>69</v>
      </c>
      <c r="C10" s="14" t="s">
        <v>70</v>
      </c>
      <c r="D10" s="14" t="s">
        <v>71</v>
      </c>
      <c r="E10" s="14" t="s">
        <v>45</v>
      </c>
      <c r="F10" s="14" t="s">
        <v>72</v>
      </c>
      <c r="G10" s="14" t="s">
        <v>73</v>
      </c>
      <c r="H10" s="0" t="n">
        <v>2</v>
      </c>
      <c r="I10" s="16" t="n">
        <v>50.14</v>
      </c>
      <c r="J10" s="16" t="n">
        <v>21</v>
      </c>
      <c r="K10" s="16" t="n">
        <f aca="false">H10*I10</f>
        <v>100.28</v>
      </c>
      <c r="L10" s="16" t="n">
        <f aca="false">H10*J10</f>
        <v>42</v>
      </c>
      <c r="M10" s="16" t="n">
        <f aca="false">K10-L10</f>
        <v>58.28</v>
      </c>
      <c r="N10" s="17" t="n">
        <f aca="false">IFERROR(M10/K10,0)</f>
        <v>0.581172716394097</v>
      </c>
    </row>
    <row r="11" customFormat="false" ht="15" hidden="false" customHeight="false" outlineLevel="0" collapsed="false">
      <c r="A11" s="15" t="n">
        <v>46023</v>
      </c>
      <c r="B11" s="14" t="s">
        <v>69</v>
      </c>
      <c r="C11" s="14" t="s">
        <v>70</v>
      </c>
      <c r="D11" s="14" t="s">
        <v>71</v>
      </c>
      <c r="E11" s="14" t="s">
        <v>56</v>
      </c>
      <c r="F11" s="14" t="s">
        <v>67</v>
      </c>
      <c r="G11" s="14" t="s">
        <v>68</v>
      </c>
      <c r="H11" s="0" t="n">
        <v>3</v>
      </c>
      <c r="I11" s="16" t="n">
        <v>37.1</v>
      </c>
      <c r="J11" s="16" t="n">
        <v>15</v>
      </c>
      <c r="K11" s="16" t="n">
        <f aca="false">H11*I11</f>
        <v>111.3</v>
      </c>
      <c r="L11" s="16" t="n">
        <f aca="false">H11*J11</f>
        <v>45</v>
      </c>
      <c r="M11" s="16" t="n">
        <f aca="false">K11-L11</f>
        <v>66.3</v>
      </c>
      <c r="N11" s="17" t="n">
        <f aca="false">IFERROR(M11/K11,0)</f>
        <v>0.595687331536388</v>
      </c>
    </row>
    <row r="12" customFormat="false" ht="15" hidden="false" customHeight="false" outlineLevel="0" collapsed="false">
      <c r="A12" s="15" t="n">
        <v>46023</v>
      </c>
      <c r="B12" s="14" t="s">
        <v>69</v>
      </c>
      <c r="C12" s="14" t="s">
        <v>70</v>
      </c>
      <c r="D12" s="14" t="s">
        <v>71</v>
      </c>
      <c r="E12" s="14" t="s">
        <v>45</v>
      </c>
      <c r="F12" s="14" t="s">
        <v>62</v>
      </c>
      <c r="G12" s="14" t="s">
        <v>63</v>
      </c>
      <c r="H12" s="0" t="n">
        <v>4</v>
      </c>
      <c r="I12" s="16" t="n">
        <v>17.98</v>
      </c>
      <c r="J12" s="16" t="n">
        <v>6.5</v>
      </c>
      <c r="K12" s="16" t="n">
        <f aca="false">H12*I12</f>
        <v>71.92</v>
      </c>
      <c r="L12" s="16" t="n">
        <f aca="false">H12*J12</f>
        <v>26</v>
      </c>
      <c r="M12" s="16" t="n">
        <f aca="false">K12-L12</f>
        <v>45.92</v>
      </c>
      <c r="N12" s="17" t="n">
        <f aca="false">IFERROR(M12/K12,0)</f>
        <v>0.638487208008899</v>
      </c>
    </row>
    <row r="13" customFormat="false" ht="15" hidden="false" customHeight="false" outlineLevel="0" collapsed="false">
      <c r="A13" s="15" t="n">
        <v>46023</v>
      </c>
      <c r="B13" s="14" t="s">
        <v>69</v>
      </c>
      <c r="C13" s="14" t="s">
        <v>70</v>
      </c>
      <c r="D13" s="14" t="s">
        <v>71</v>
      </c>
      <c r="E13" s="14" t="s">
        <v>53</v>
      </c>
      <c r="F13" s="14" t="s">
        <v>74</v>
      </c>
      <c r="G13" s="14" t="s">
        <v>75</v>
      </c>
      <c r="H13" s="0" t="n">
        <v>5</v>
      </c>
      <c r="I13" s="16" t="n">
        <v>83.86</v>
      </c>
      <c r="J13" s="16" t="n">
        <v>38</v>
      </c>
      <c r="K13" s="16" t="n">
        <f aca="false">H13*I13</f>
        <v>419.3</v>
      </c>
      <c r="L13" s="16" t="n">
        <f aca="false">H13*J13</f>
        <v>190</v>
      </c>
      <c r="M13" s="16" t="n">
        <f aca="false">K13-L13</f>
        <v>229.3</v>
      </c>
      <c r="N13" s="17" t="n">
        <f aca="false">IFERROR(M13/K13,0)</f>
        <v>0.54686382065347</v>
      </c>
    </row>
    <row r="14" customFormat="false" ht="15" hidden="false" customHeight="false" outlineLevel="0" collapsed="false">
      <c r="A14" s="15" t="n">
        <v>46023</v>
      </c>
      <c r="B14" s="14" t="s">
        <v>69</v>
      </c>
      <c r="C14" s="14" t="s">
        <v>70</v>
      </c>
      <c r="D14" s="14" t="s">
        <v>71</v>
      </c>
      <c r="E14" s="14" t="s">
        <v>76</v>
      </c>
      <c r="F14" s="14" t="s">
        <v>77</v>
      </c>
      <c r="G14" s="14" t="s">
        <v>78</v>
      </c>
      <c r="H14" s="0" t="n">
        <v>6</v>
      </c>
      <c r="I14" s="16" t="n">
        <v>39.83</v>
      </c>
      <c r="J14" s="16" t="n">
        <v>15</v>
      </c>
      <c r="K14" s="16" t="n">
        <f aca="false">H14*I14</f>
        <v>238.98</v>
      </c>
      <c r="L14" s="16" t="n">
        <f aca="false">H14*J14</f>
        <v>90</v>
      </c>
      <c r="M14" s="16" t="n">
        <f aca="false">K14-L14</f>
        <v>148.98</v>
      </c>
      <c r="N14" s="17" t="n">
        <f aca="false">IFERROR(M14/K14,0)</f>
        <v>0.623399447652523</v>
      </c>
    </row>
    <row r="15" customFormat="false" ht="15" hidden="false" customHeight="false" outlineLevel="0" collapsed="false">
      <c r="A15" s="15" t="n">
        <v>46023</v>
      </c>
      <c r="B15" s="14" t="s">
        <v>69</v>
      </c>
      <c r="C15" s="14" t="s">
        <v>70</v>
      </c>
      <c r="D15" s="14" t="s">
        <v>71</v>
      </c>
      <c r="E15" s="14" t="s">
        <v>76</v>
      </c>
      <c r="F15" s="14" t="s">
        <v>79</v>
      </c>
      <c r="G15" s="14" t="s">
        <v>80</v>
      </c>
      <c r="H15" s="0" t="n">
        <v>3</v>
      </c>
      <c r="I15" s="16" t="n">
        <v>28.88</v>
      </c>
      <c r="J15" s="16" t="n">
        <v>11</v>
      </c>
      <c r="K15" s="16" t="n">
        <f aca="false">H15*I15</f>
        <v>86.64</v>
      </c>
      <c r="L15" s="16" t="n">
        <f aca="false">H15*J15</f>
        <v>33</v>
      </c>
      <c r="M15" s="16" t="n">
        <f aca="false">K15-L15</f>
        <v>53.64</v>
      </c>
      <c r="N15" s="17" t="n">
        <f aca="false">IFERROR(M15/K15,0)</f>
        <v>0.619113573407202</v>
      </c>
    </row>
    <row r="16" customFormat="false" ht="15" hidden="false" customHeight="false" outlineLevel="0" collapsed="false">
      <c r="A16" s="15" t="n">
        <v>46023</v>
      </c>
      <c r="B16" s="14" t="s">
        <v>81</v>
      </c>
      <c r="C16" s="14" t="s">
        <v>82</v>
      </c>
      <c r="D16" s="14" t="s">
        <v>83</v>
      </c>
      <c r="E16" s="14" t="s">
        <v>53</v>
      </c>
      <c r="F16" s="14" t="s">
        <v>84</v>
      </c>
      <c r="G16" s="14" t="s">
        <v>85</v>
      </c>
      <c r="H16" s="0" t="n">
        <v>5</v>
      </c>
      <c r="I16" s="16" t="n">
        <v>23.54</v>
      </c>
      <c r="J16" s="16" t="n">
        <v>9</v>
      </c>
      <c r="K16" s="16" t="n">
        <f aca="false">H16*I16</f>
        <v>117.7</v>
      </c>
      <c r="L16" s="16" t="n">
        <f aca="false">H16*J16</f>
        <v>45</v>
      </c>
      <c r="M16" s="16" t="n">
        <f aca="false">K16-L16</f>
        <v>72.7</v>
      </c>
      <c r="N16" s="17" t="n">
        <f aca="false">IFERROR(M16/K16,0)</f>
        <v>0.61767204757859</v>
      </c>
    </row>
    <row r="17" customFormat="false" ht="15" hidden="false" customHeight="false" outlineLevel="0" collapsed="false">
      <c r="A17" s="15" t="n">
        <v>46023</v>
      </c>
      <c r="B17" s="14" t="s">
        <v>81</v>
      </c>
      <c r="C17" s="14" t="s">
        <v>82</v>
      </c>
      <c r="D17" s="14" t="s">
        <v>83</v>
      </c>
      <c r="E17" s="14" t="s">
        <v>56</v>
      </c>
      <c r="F17" s="14" t="s">
        <v>86</v>
      </c>
      <c r="G17" s="14" t="s">
        <v>87</v>
      </c>
      <c r="H17" s="0" t="n">
        <v>4</v>
      </c>
      <c r="I17" s="16" t="n">
        <v>14.81</v>
      </c>
      <c r="J17" s="16" t="n">
        <v>5</v>
      </c>
      <c r="K17" s="16" t="n">
        <f aca="false">H17*I17</f>
        <v>59.24</v>
      </c>
      <c r="L17" s="16" t="n">
        <f aca="false">H17*J17</f>
        <v>20</v>
      </c>
      <c r="M17" s="16" t="n">
        <f aca="false">K17-L17</f>
        <v>39.24</v>
      </c>
      <c r="N17" s="17" t="n">
        <f aca="false">IFERROR(M17/K17,0)</f>
        <v>0.662390276839973</v>
      </c>
    </row>
    <row r="18" customFormat="false" ht="15" hidden="false" customHeight="false" outlineLevel="0" collapsed="false">
      <c r="A18" s="15" t="n">
        <v>46023</v>
      </c>
      <c r="B18" s="14" t="s">
        <v>81</v>
      </c>
      <c r="C18" s="14" t="s">
        <v>82</v>
      </c>
      <c r="D18" s="14" t="s">
        <v>83</v>
      </c>
      <c r="E18" s="14" t="s">
        <v>45</v>
      </c>
      <c r="F18" s="14" t="s">
        <v>62</v>
      </c>
      <c r="G18" s="14" t="s">
        <v>63</v>
      </c>
      <c r="H18" s="0" t="n">
        <v>1</v>
      </c>
      <c r="I18" s="16" t="n">
        <v>17.72</v>
      </c>
      <c r="J18" s="16" t="n">
        <v>6.5</v>
      </c>
      <c r="K18" s="16" t="n">
        <f aca="false">H18*I18</f>
        <v>17.72</v>
      </c>
      <c r="L18" s="16" t="n">
        <f aca="false">H18*J18</f>
        <v>6.5</v>
      </c>
      <c r="M18" s="16" t="n">
        <f aca="false">K18-L18</f>
        <v>11.22</v>
      </c>
      <c r="N18" s="17" t="n">
        <f aca="false">IFERROR(M18/K18,0)</f>
        <v>0.633182844243792</v>
      </c>
    </row>
    <row r="19" customFormat="false" ht="15" hidden="false" customHeight="false" outlineLevel="0" collapsed="false">
      <c r="A19" s="15" t="n">
        <v>46023</v>
      </c>
      <c r="B19" s="14" t="s">
        <v>88</v>
      </c>
      <c r="C19" s="14" t="s">
        <v>89</v>
      </c>
      <c r="D19" s="14" t="s">
        <v>44</v>
      </c>
      <c r="E19" s="14" t="s">
        <v>76</v>
      </c>
      <c r="F19" s="14" t="s">
        <v>79</v>
      </c>
      <c r="G19" s="14" t="s">
        <v>80</v>
      </c>
      <c r="H19" s="0" t="n">
        <v>5</v>
      </c>
      <c r="I19" s="16" t="n">
        <v>29.79</v>
      </c>
      <c r="J19" s="16" t="n">
        <v>11</v>
      </c>
      <c r="K19" s="16" t="n">
        <f aca="false">H19*I19</f>
        <v>148.95</v>
      </c>
      <c r="L19" s="16" t="n">
        <f aca="false">H19*J19</f>
        <v>55</v>
      </c>
      <c r="M19" s="16" t="n">
        <f aca="false">K19-L19</f>
        <v>93.95</v>
      </c>
      <c r="N19" s="17" t="n">
        <f aca="false">IFERROR(M19/K19,0)</f>
        <v>0.630748573346761</v>
      </c>
    </row>
    <row r="20" customFormat="false" ht="15" hidden="false" customHeight="false" outlineLevel="0" collapsed="false">
      <c r="A20" s="15" t="n">
        <v>46023</v>
      </c>
      <c r="B20" s="14" t="s">
        <v>88</v>
      </c>
      <c r="C20" s="14" t="s">
        <v>89</v>
      </c>
      <c r="D20" s="14" t="s">
        <v>44</v>
      </c>
      <c r="E20" s="14" t="s">
        <v>56</v>
      </c>
      <c r="F20" s="14" t="s">
        <v>67</v>
      </c>
      <c r="G20" s="14" t="s">
        <v>68</v>
      </c>
      <c r="H20" s="0" t="n">
        <v>4</v>
      </c>
      <c r="I20" s="16" t="n">
        <v>36.95</v>
      </c>
      <c r="J20" s="16" t="n">
        <v>15</v>
      </c>
      <c r="K20" s="16" t="n">
        <f aca="false">H20*I20</f>
        <v>147.8</v>
      </c>
      <c r="L20" s="16" t="n">
        <f aca="false">H20*J20</f>
        <v>60</v>
      </c>
      <c r="M20" s="16" t="n">
        <f aca="false">K20-L20</f>
        <v>87.8</v>
      </c>
      <c r="N20" s="17" t="n">
        <f aca="false">IFERROR(M20/K20,0)</f>
        <v>0.59404600811908</v>
      </c>
    </row>
    <row r="21" customFormat="false" ht="15" hidden="false" customHeight="false" outlineLevel="0" collapsed="false">
      <c r="A21" s="15" t="n">
        <v>46023</v>
      </c>
      <c r="B21" s="14" t="s">
        <v>88</v>
      </c>
      <c r="C21" s="14" t="s">
        <v>89</v>
      </c>
      <c r="D21" s="14" t="s">
        <v>44</v>
      </c>
      <c r="E21" s="14" t="s">
        <v>64</v>
      </c>
      <c r="F21" s="14" t="s">
        <v>90</v>
      </c>
      <c r="G21" s="14" t="s">
        <v>91</v>
      </c>
      <c r="H21" s="0" t="n">
        <v>4</v>
      </c>
      <c r="I21" s="16" t="n">
        <v>11.29</v>
      </c>
      <c r="J21" s="16" t="n">
        <v>3.5</v>
      </c>
      <c r="K21" s="16" t="n">
        <f aca="false">H21*I21</f>
        <v>45.16</v>
      </c>
      <c r="L21" s="16" t="n">
        <f aca="false">H21*J21</f>
        <v>14</v>
      </c>
      <c r="M21" s="16" t="n">
        <f aca="false">K21-L21</f>
        <v>31.16</v>
      </c>
      <c r="N21" s="17" t="n">
        <f aca="false">IFERROR(M21/K21,0)</f>
        <v>0.689991142604074</v>
      </c>
    </row>
    <row r="22" customFormat="false" ht="15" hidden="false" customHeight="false" outlineLevel="0" collapsed="false">
      <c r="A22" s="15" t="n">
        <v>46023</v>
      </c>
      <c r="B22" s="14" t="s">
        <v>88</v>
      </c>
      <c r="C22" s="14" t="s">
        <v>89</v>
      </c>
      <c r="D22" s="14" t="s">
        <v>44</v>
      </c>
      <c r="E22" s="14" t="s">
        <v>53</v>
      </c>
      <c r="F22" s="14" t="s">
        <v>92</v>
      </c>
      <c r="G22" s="14" t="s">
        <v>93</v>
      </c>
      <c r="H22" s="0" t="n">
        <v>7</v>
      </c>
      <c r="I22" s="16" t="n">
        <v>119.02</v>
      </c>
      <c r="J22" s="16" t="n">
        <v>52</v>
      </c>
      <c r="K22" s="16" t="n">
        <f aca="false">H22*I22</f>
        <v>833.14</v>
      </c>
      <c r="L22" s="16" t="n">
        <f aca="false">H22*J22</f>
        <v>364</v>
      </c>
      <c r="M22" s="16" t="n">
        <f aca="false">K22-L22</f>
        <v>469.14</v>
      </c>
      <c r="N22" s="17" t="n">
        <f aca="false">IFERROR(M22/K22,0)</f>
        <v>0.563098638884221</v>
      </c>
    </row>
    <row r="23" customFormat="false" ht="15" hidden="false" customHeight="false" outlineLevel="0" collapsed="false">
      <c r="A23" s="15" t="n">
        <v>46023</v>
      </c>
      <c r="B23" s="14" t="s">
        <v>88</v>
      </c>
      <c r="C23" s="14" t="s">
        <v>89</v>
      </c>
      <c r="D23" s="14" t="s">
        <v>44</v>
      </c>
      <c r="E23" s="14" t="s">
        <v>64</v>
      </c>
      <c r="F23" s="14" t="s">
        <v>94</v>
      </c>
      <c r="G23" s="14" t="s">
        <v>95</v>
      </c>
      <c r="H23" s="0" t="n">
        <v>5</v>
      </c>
      <c r="I23" s="16" t="n">
        <v>98.98</v>
      </c>
      <c r="J23" s="16" t="n">
        <v>42</v>
      </c>
      <c r="K23" s="16" t="n">
        <f aca="false">H23*I23</f>
        <v>494.9</v>
      </c>
      <c r="L23" s="16" t="n">
        <f aca="false">H23*J23</f>
        <v>210</v>
      </c>
      <c r="M23" s="16" t="n">
        <f aca="false">K23-L23</f>
        <v>284.9</v>
      </c>
      <c r="N23" s="17" t="n">
        <f aca="false">IFERROR(M23/K23,0)</f>
        <v>0.575671852899576</v>
      </c>
    </row>
    <row r="24" customFormat="false" ht="15" hidden="false" customHeight="false" outlineLevel="0" collapsed="false">
      <c r="A24" s="15" t="n">
        <v>46024</v>
      </c>
      <c r="B24" s="14" t="s">
        <v>42</v>
      </c>
      <c r="C24" s="14" t="s">
        <v>43</v>
      </c>
      <c r="D24" s="14" t="s">
        <v>44</v>
      </c>
      <c r="E24" s="14" t="s">
        <v>56</v>
      </c>
      <c r="F24" s="14" t="s">
        <v>57</v>
      </c>
      <c r="G24" s="14" t="s">
        <v>58</v>
      </c>
      <c r="H24" s="0" t="n">
        <v>3</v>
      </c>
      <c r="I24" s="16" t="n">
        <v>26.47</v>
      </c>
      <c r="J24" s="16" t="n">
        <v>10</v>
      </c>
      <c r="K24" s="16" t="n">
        <f aca="false">H24*I24</f>
        <v>79.41</v>
      </c>
      <c r="L24" s="16" t="n">
        <f aca="false">H24*J24</f>
        <v>30</v>
      </c>
      <c r="M24" s="16" t="n">
        <f aca="false">K24-L24</f>
        <v>49.41</v>
      </c>
      <c r="N24" s="17" t="n">
        <f aca="false">IFERROR(M24/K24,0)</f>
        <v>0.622213826973933</v>
      </c>
    </row>
    <row r="25" customFormat="false" ht="15" hidden="false" customHeight="false" outlineLevel="0" collapsed="false">
      <c r="A25" s="15" t="n">
        <v>46024</v>
      </c>
      <c r="B25" s="14" t="s">
        <v>42</v>
      </c>
      <c r="C25" s="14" t="s">
        <v>43</v>
      </c>
      <c r="D25" s="14" t="s">
        <v>44</v>
      </c>
      <c r="E25" s="14" t="s">
        <v>45</v>
      </c>
      <c r="F25" s="14" t="s">
        <v>62</v>
      </c>
      <c r="G25" s="14" t="s">
        <v>63</v>
      </c>
      <c r="H25" s="0" t="n">
        <v>4</v>
      </c>
      <c r="I25" s="16" t="n">
        <v>17.7</v>
      </c>
      <c r="J25" s="16" t="n">
        <v>6.5</v>
      </c>
      <c r="K25" s="16" t="n">
        <f aca="false">H25*I25</f>
        <v>70.8</v>
      </c>
      <c r="L25" s="16" t="n">
        <f aca="false">H25*J25</f>
        <v>26</v>
      </c>
      <c r="M25" s="16" t="n">
        <f aca="false">K25-L25</f>
        <v>44.8</v>
      </c>
      <c r="N25" s="17" t="n">
        <f aca="false">IFERROR(M25/K25,0)</f>
        <v>0.632768361581921</v>
      </c>
    </row>
    <row r="26" customFormat="false" ht="15" hidden="false" customHeight="false" outlineLevel="0" collapsed="false">
      <c r="A26" s="15" t="n">
        <v>46024</v>
      </c>
      <c r="B26" s="14" t="s">
        <v>42</v>
      </c>
      <c r="C26" s="14" t="s">
        <v>43</v>
      </c>
      <c r="D26" s="14" t="s">
        <v>44</v>
      </c>
      <c r="E26" s="14" t="s">
        <v>64</v>
      </c>
      <c r="F26" s="14" t="s">
        <v>65</v>
      </c>
      <c r="G26" s="14" t="s">
        <v>66</v>
      </c>
      <c r="H26" s="0" t="n">
        <v>12</v>
      </c>
      <c r="I26" s="16" t="n">
        <v>75.09</v>
      </c>
      <c r="J26" s="16" t="n">
        <v>34</v>
      </c>
      <c r="K26" s="16" t="n">
        <f aca="false">H26*I26</f>
        <v>901.08</v>
      </c>
      <c r="L26" s="16" t="n">
        <f aca="false">H26*J26</f>
        <v>408</v>
      </c>
      <c r="M26" s="16" t="n">
        <f aca="false">K26-L26</f>
        <v>493.08</v>
      </c>
      <c r="N26" s="17" t="n">
        <f aca="false">IFERROR(M26/K26,0)</f>
        <v>0.547210014649088</v>
      </c>
    </row>
    <row r="27" customFormat="false" ht="15" hidden="false" customHeight="false" outlineLevel="0" collapsed="false">
      <c r="A27" s="15" t="n">
        <v>46024</v>
      </c>
      <c r="B27" s="14" t="s">
        <v>50</v>
      </c>
      <c r="C27" s="14" t="s">
        <v>51</v>
      </c>
      <c r="D27" s="14" t="s">
        <v>52</v>
      </c>
      <c r="E27" s="14" t="s">
        <v>56</v>
      </c>
      <c r="F27" s="14" t="s">
        <v>67</v>
      </c>
      <c r="G27" s="14" t="s">
        <v>68</v>
      </c>
      <c r="H27" s="0" t="n">
        <v>1</v>
      </c>
      <c r="I27" s="16" t="n">
        <v>37.03</v>
      </c>
      <c r="J27" s="16" t="n">
        <v>15</v>
      </c>
      <c r="K27" s="16" t="n">
        <f aca="false">H27*I27</f>
        <v>37.03</v>
      </c>
      <c r="L27" s="16" t="n">
        <f aca="false">H27*J27</f>
        <v>15</v>
      </c>
      <c r="M27" s="16" t="n">
        <f aca="false">K27-L27</f>
        <v>22.03</v>
      </c>
      <c r="N27" s="17" t="n">
        <f aca="false">IFERROR(M27/K27,0)</f>
        <v>0.594923035376722</v>
      </c>
    </row>
    <row r="28" customFormat="false" ht="15" hidden="false" customHeight="false" outlineLevel="0" collapsed="false">
      <c r="A28" s="15" t="n">
        <v>46024</v>
      </c>
      <c r="B28" s="14" t="s">
        <v>50</v>
      </c>
      <c r="C28" s="14" t="s">
        <v>51</v>
      </c>
      <c r="D28" s="14" t="s">
        <v>52</v>
      </c>
      <c r="E28" s="14" t="s">
        <v>45</v>
      </c>
      <c r="F28" s="14" t="s">
        <v>46</v>
      </c>
      <c r="G28" s="14" t="s">
        <v>47</v>
      </c>
      <c r="H28" s="0" t="n">
        <v>7</v>
      </c>
      <c r="I28" s="16" t="n">
        <v>41.8</v>
      </c>
      <c r="J28" s="16" t="n">
        <v>18</v>
      </c>
      <c r="K28" s="16" t="n">
        <f aca="false">H28*I28</f>
        <v>292.6</v>
      </c>
      <c r="L28" s="16" t="n">
        <f aca="false">H28*J28</f>
        <v>126</v>
      </c>
      <c r="M28" s="16" t="n">
        <f aca="false">K28-L28</f>
        <v>166.6</v>
      </c>
      <c r="N28" s="17" t="n">
        <f aca="false">IFERROR(M28/K28,0)</f>
        <v>0.569377990430622</v>
      </c>
    </row>
    <row r="29" customFormat="false" ht="15" hidden="false" customHeight="false" outlineLevel="0" collapsed="false">
      <c r="A29" s="15" t="n">
        <v>46024</v>
      </c>
      <c r="B29" s="14" t="s">
        <v>50</v>
      </c>
      <c r="C29" s="14" t="s">
        <v>51</v>
      </c>
      <c r="D29" s="14" t="s">
        <v>52</v>
      </c>
      <c r="E29" s="14" t="s">
        <v>64</v>
      </c>
      <c r="F29" s="14" t="s">
        <v>96</v>
      </c>
      <c r="G29" s="14" t="s">
        <v>97</v>
      </c>
      <c r="H29" s="0" t="n">
        <v>12</v>
      </c>
      <c r="I29" s="16" t="n">
        <v>54.3</v>
      </c>
      <c r="J29" s="16" t="n">
        <v>24</v>
      </c>
      <c r="K29" s="16" t="n">
        <f aca="false">H29*I29</f>
        <v>651.6</v>
      </c>
      <c r="L29" s="16" t="n">
        <f aca="false">H29*J29</f>
        <v>288</v>
      </c>
      <c r="M29" s="16" t="n">
        <f aca="false">K29-L29</f>
        <v>363.6</v>
      </c>
      <c r="N29" s="17" t="n">
        <f aca="false">IFERROR(M29/K29,0)</f>
        <v>0.558011049723757</v>
      </c>
    </row>
    <row r="30" customFormat="false" ht="15" hidden="false" customHeight="false" outlineLevel="0" collapsed="false">
      <c r="A30" s="15" t="n">
        <v>46024</v>
      </c>
      <c r="B30" s="14" t="s">
        <v>50</v>
      </c>
      <c r="C30" s="14" t="s">
        <v>51</v>
      </c>
      <c r="D30" s="14" t="s">
        <v>52</v>
      </c>
      <c r="E30" s="14" t="s">
        <v>76</v>
      </c>
      <c r="F30" s="14" t="s">
        <v>77</v>
      </c>
      <c r="G30" s="14" t="s">
        <v>78</v>
      </c>
      <c r="H30" s="0" t="n">
        <v>3</v>
      </c>
      <c r="I30" s="16" t="n">
        <v>41.56</v>
      </c>
      <c r="J30" s="16" t="n">
        <v>15</v>
      </c>
      <c r="K30" s="16" t="n">
        <f aca="false">H30*I30</f>
        <v>124.68</v>
      </c>
      <c r="L30" s="16" t="n">
        <f aca="false">H30*J30</f>
        <v>45</v>
      </c>
      <c r="M30" s="16" t="n">
        <f aca="false">K30-L30</f>
        <v>79.68</v>
      </c>
      <c r="N30" s="17" t="n">
        <f aca="false">IFERROR(M30/K30,0)</f>
        <v>0.639076034648701</v>
      </c>
    </row>
    <row r="31" customFormat="false" ht="15" hidden="false" customHeight="false" outlineLevel="0" collapsed="false">
      <c r="A31" s="15" t="n">
        <v>46024</v>
      </c>
      <c r="B31" s="14" t="s">
        <v>50</v>
      </c>
      <c r="C31" s="14" t="s">
        <v>51</v>
      </c>
      <c r="D31" s="14" t="s">
        <v>52</v>
      </c>
      <c r="E31" s="14" t="s">
        <v>76</v>
      </c>
      <c r="F31" s="14" t="s">
        <v>77</v>
      </c>
      <c r="G31" s="14" t="s">
        <v>78</v>
      </c>
      <c r="H31" s="0" t="n">
        <v>4</v>
      </c>
      <c r="I31" s="16" t="n">
        <v>39.9</v>
      </c>
      <c r="J31" s="16" t="n">
        <v>15</v>
      </c>
      <c r="K31" s="16" t="n">
        <f aca="false">H31*I31</f>
        <v>159.6</v>
      </c>
      <c r="L31" s="16" t="n">
        <f aca="false">H31*J31</f>
        <v>60</v>
      </c>
      <c r="M31" s="16" t="n">
        <f aca="false">K31-L31</f>
        <v>99.6</v>
      </c>
      <c r="N31" s="17" t="n">
        <f aca="false">IFERROR(M31/K31,0)</f>
        <v>0.62406015037594</v>
      </c>
    </row>
    <row r="32" customFormat="false" ht="15" hidden="false" customHeight="false" outlineLevel="0" collapsed="false">
      <c r="A32" s="15" t="n">
        <v>46024</v>
      </c>
      <c r="B32" s="14" t="s">
        <v>59</v>
      </c>
      <c r="C32" s="14" t="s">
        <v>60</v>
      </c>
      <c r="D32" s="14" t="s">
        <v>61</v>
      </c>
      <c r="E32" s="14" t="s">
        <v>56</v>
      </c>
      <c r="F32" s="14" t="s">
        <v>98</v>
      </c>
      <c r="G32" s="14" t="s">
        <v>99</v>
      </c>
      <c r="H32" s="0" t="n">
        <v>5</v>
      </c>
      <c r="I32" s="16" t="n">
        <v>21.1</v>
      </c>
      <c r="J32" s="16" t="n">
        <v>8</v>
      </c>
      <c r="K32" s="16" t="n">
        <f aca="false">H32*I32</f>
        <v>105.5</v>
      </c>
      <c r="L32" s="16" t="n">
        <f aca="false">H32*J32</f>
        <v>40</v>
      </c>
      <c r="M32" s="16" t="n">
        <f aca="false">K32-L32</f>
        <v>65.5</v>
      </c>
      <c r="N32" s="17" t="n">
        <f aca="false">IFERROR(M32/K32,0)</f>
        <v>0.62085308056872</v>
      </c>
    </row>
    <row r="33" customFormat="false" ht="15" hidden="false" customHeight="false" outlineLevel="0" collapsed="false">
      <c r="A33" s="15" t="n">
        <v>46024</v>
      </c>
      <c r="B33" s="14" t="s">
        <v>59</v>
      </c>
      <c r="C33" s="14" t="s">
        <v>60</v>
      </c>
      <c r="D33" s="14" t="s">
        <v>61</v>
      </c>
      <c r="E33" s="14" t="s">
        <v>45</v>
      </c>
      <c r="F33" s="14" t="s">
        <v>46</v>
      </c>
      <c r="G33" s="14" t="s">
        <v>47</v>
      </c>
      <c r="H33" s="0" t="n">
        <v>4</v>
      </c>
      <c r="I33" s="16" t="n">
        <v>42.26</v>
      </c>
      <c r="J33" s="16" t="n">
        <v>18</v>
      </c>
      <c r="K33" s="16" t="n">
        <f aca="false">H33*I33</f>
        <v>169.04</v>
      </c>
      <c r="L33" s="16" t="n">
        <f aca="false">H33*J33</f>
        <v>72</v>
      </c>
      <c r="M33" s="16" t="n">
        <f aca="false">K33-L33</f>
        <v>97.04</v>
      </c>
      <c r="N33" s="17" t="n">
        <f aca="false">IFERROR(M33/K33,0)</f>
        <v>0.574065309985802</v>
      </c>
    </row>
    <row r="34" customFormat="false" ht="15" hidden="false" customHeight="false" outlineLevel="0" collapsed="false">
      <c r="A34" s="15" t="n">
        <v>46024</v>
      </c>
      <c r="B34" s="14" t="s">
        <v>59</v>
      </c>
      <c r="C34" s="14" t="s">
        <v>60</v>
      </c>
      <c r="D34" s="14" t="s">
        <v>61</v>
      </c>
      <c r="E34" s="14" t="s">
        <v>53</v>
      </c>
      <c r="F34" s="14" t="s">
        <v>74</v>
      </c>
      <c r="G34" s="14" t="s">
        <v>75</v>
      </c>
      <c r="H34" s="0" t="n">
        <v>2</v>
      </c>
      <c r="I34" s="16" t="n">
        <v>87.09</v>
      </c>
      <c r="J34" s="16" t="n">
        <v>38</v>
      </c>
      <c r="K34" s="16" t="n">
        <f aca="false">H34*I34</f>
        <v>174.18</v>
      </c>
      <c r="L34" s="16" t="n">
        <f aca="false">H34*J34</f>
        <v>76</v>
      </c>
      <c r="M34" s="16" t="n">
        <f aca="false">K34-L34</f>
        <v>98.18</v>
      </c>
      <c r="N34" s="17" t="n">
        <f aca="false">IFERROR(M34/K34,0)</f>
        <v>0.563669766907797</v>
      </c>
    </row>
    <row r="35" customFormat="false" ht="15" hidden="false" customHeight="false" outlineLevel="0" collapsed="false">
      <c r="A35" s="15" t="n">
        <v>46024</v>
      </c>
      <c r="B35" s="14" t="s">
        <v>69</v>
      </c>
      <c r="C35" s="14" t="s">
        <v>70</v>
      </c>
      <c r="D35" s="14" t="s">
        <v>71</v>
      </c>
      <c r="E35" s="14" t="s">
        <v>56</v>
      </c>
      <c r="F35" s="14" t="s">
        <v>86</v>
      </c>
      <c r="G35" s="14" t="s">
        <v>87</v>
      </c>
      <c r="H35" s="0" t="n">
        <v>3</v>
      </c>
      <c r="I35" s="16" t="n">
        <v>14.59</v>
      </c>
      <c r="J35" s="16" t="n">
        <v>5</v>
      </c>
      <c r="K35" s="16" t="n">
        <f aca="false">H35*I35</f>
        <v>43.77</v>
      </c>
      <c r="L35" s="16" t="n">
        <f aca="false">H35*J35</f>
        <v>15</v>
      </c>
      <c r="M35" s="16" t="n">
        <f aca="false">K35-L35</f>
        <v>28.77</v>
      </c>
      <c r="N35" s="17" t="n">
        <f aca="false">IFERROR(M35/K35,0)</f>
        <v>0.657299520219328</v>
      </c>
    </row>
    <row r="36" customFormat="false" ht="15" hidden="false" customHeight="false" outlineLevel="0" collapsed="false">
      <c r="A36" s="15" t="n">
        <v>46024</v>
      </c>
      <c r="B36" s="14" t="s">
        <v>69</v>
      </c>
      <c r="C36" s="14" t="s">
        <v>70</v>
      </c>
      <c r="D36" s="14" t="s">
        <v>71</v>
      </c>
      <c r="E36" s="14" t="s">
        <v>56</v>
      </c>
      <c r="F36" s="14" t="s">
        <v>86</v>
      </c>
      <c r="G36" s="14" t="s">
        <v>87</v>
      </c>
      <c r="H36" s="0" t="n">
        <v>4</v>
      </c>
      <c r="I36" s="16" t="n">
        <v>14.43</v>
      </c>
      <c r="J36" s="16" t="n">
        <v>5</v>
      </c>
      <c r="K36" s="16" t="n">
        <f aca="false">H36*I36</f>
        <v>57.72</v>
      </c>
      <c r="L36" s="16" t="n">
        <f aca="false">H36*J36</f>
        <v>20</v>
      </c>
      <c r="M36" s="16" t="n">
        <f aca="false">K36-L36</f>
        <v>37.72</v>
      </c>
      <c r="N36" s="17" t="n">
        <f aca="false">IFERROR(M36/K36,0)</f>
        <v>0.653499653499653</v>
      </c>
    </row>
    <row r="37" customFormat="false" ht="15" hidden="false" customHeight="false" outlineLevel="0" collapsed="false">
      <c r="A37" s="15" t="n">
        <v>46024</v>
      </c>
      <c r="B37" s="14" t="s">
        <v>81</v>
      </c>
      <c r="C37" s="14" t="s">
        <v>82</v>
      </c>
      <c r="D37" s="14" t="s">
        <v>83</v>
      </c>
      <c r="E37" s="14" t="s">
        <v>64</v>
      </c>
      <c r="F37" s="14" t="s">
        <v>96</v>
      </c>
      <c r="G37" s="14" t="s">
        <v>97</v>
      </c>
      <c r="H37" s="0" t="n">
        <v>4</v>
      </c>
      <c r="I37" s="16" t="n">
        <v>57.65</v>
      </c>
      <c r="J37" s="16" t="n">
        <v>24</v>
      </c>
      <c r="K37" s="16" t="n">
        <f aca="false">H37*I37</f>
        <v>230.6</v>
      </c>
      <c r="L37" s="16" t="n">
        <f aca="false">H37*J37</f>
        <v>96</v>
      </c>
      <c r="M37" s="16" t="n">
        <f aca="false">K37-L37</f>
        <v>134.6</v>
      </c>
      <c r="N37" s="17" t="n">
        <f aca="false">IFERROR(M37/K37,0)</f>
        <v>0.583694709453599</v>
      </c>
    </row>
    <row r="38" customFormat="false" ht="15" hidden="false" customHeight="false" outlineLevel="0" collapsed="false">
      <c r="A38" s="15" t="n">
        <v>46024</v>
      </c>
      <c r="B38" s="14" t="s">
        <v>81</v>
      </c>
      <c r="C38" s="14" t="s">
        <v>82</v>
      </c>
      <c r="D38" s="14" t="s">
        <v>83</v>
      </c>
      <c r="E38" s="14" t="s">
        <v>64</v>
      </c>
      <c r="F38" s="14" t="s">
        <v>94</v>
      </c>
      <c r="G38" s="14" t="s">
        <v>95</v>
      </c>
      <c r="H38" s="0" t="n">
        <v>8</v>
      </c>
      <c r="I38" s="16" t="n">
        <v>98.2</v>
      </c>
      <c r="J38" s="16" t="n">
        <v>42</v>
      </c>
      <c r="K38" s="16" t="n">
        <f aca="false">H38*I38</f>
        <v>785.6</v>
      </c>
      <c r="L38" s="16" t="n">
        <f aca="false">H38*J38</f>
        <v>336</v>
      </c>
      <c r="M38" s="16" t="n">
        <f aca="false">K38-L38</f>
        <v>449.6</v>
      </c>
      <c r="N38" s="17" t="n">
        <f aca="false">IFERROR(M38/K38,0)</f>
        <v>0.572301425661914</v>
      </c>
    </row>
    <row r="39" customFormat="false" ht="15" hidden="false" customHeight="false" outlineLevel="0" collapsed="false">
      <c r="A39" s="15" t="n">
        <v>46024</v>
      </c>
      <c r="B39" s="14" t="s">
        <v>81</v>
      </c>
      <c r="C39" s="14" t="s">
        <v>82</v>
      </c>
      <c r="D39" s="14" t="s">
        <v>83</v>
      </c>
      <c r="E39" s="14" t="s">
        <v>64</v>
      </c>
      <c r="F39" s="14" t="s">
        <v>65</v>
      </c>
      <c r="G39" s="14" t="s">
        <v>66</v>
      </c>
      <c r="H39" s="0" t="n">
        <v>4</v>
      </c>
      <c r="I39" s="16" t="n">
        <v>74.1</v>
      </c>
      <c r="J39" s="16" t="n">
        <v>34</v>
      </c>
      <c r="K39" s="16" t="n">
        <f aca="false">H39*I39</f>
        <v>296.4</v>
      </c>
      <c r="L39" s="16" t="n">
        <f aca="false">H39*J39</f>
        <v>136</v>
      </c>
      <c r="M39" s="16" t="n">
        <f aca="false">K39-L39</f>
        <v>160.4</v>
      </c>
      <c r="N39" s="17" t="n">
        <f aca="false">IFERROR(M39/K39,0)</f>
        <v>0.541160593792173</v>
      </c>
    </row>
    <row r="40" customFormat="false" ht="15" hidden="false" customHeight="false" outlineLevel="0" collapsed="false">
      <c r="A40" s="15" t="n">
        <v>46024</v>
      </c>
      <c r="B40" s="14" t="s">
        <v>81</v>
      </c>
      <c r="C40" s="14" t="s">
        <v>82</v>
      </c>
      <c r="D40" s="14" t="s">
        <v>83</v>
      </c>
      <c r="E40" s="14" t="s">
        <v>76</v>
      </c>
      <c r="F40" s="14" t="s">
        <v>79</v>
      </c>
      <c r="G40" s="14" t="s">
        <v>80</v>
      </c>
      <c r="H40" s="0" t="n">
        <v>3</v>
      </c>
      <c r="I40" s="16" t="n">
        <v>29.01</v>
      </c>
      <c r="J40" s="16" t="n">
        <v>11</v>
      </c>
      <c r="K40" s="16" t="n">
        <f aca="false">H40*I40</f>
        <v>87.03</v>
      </c>
      <c r="L40" s="16" t="n">
        <f aca="false">H40*J40</f>
        <v>33</v>
      </c>
      <c r="M40" s="16" t="n">
        <f aca="false">K40-L40</f>
        <v>54.03</v>
      </c>
      <c r="N40" s="17" t="n">
        <f aca="false">IFERROR(M40/K40,0)</f>
        <v>0.620820406756291</v>
      </c>
    </row>
    <row r="41" customFormat="false" ht="15" hidden="false" customHeight="false" outlineLevel="0" collapsed="false">
      <c r="A41" s="15" t="n">
        <v>46024</v>
      </c>
      <c r="B41" s="14" t="s">
        <v>81</v>
      </c>
      <c r="C41" s="14" t="s">
        <v>82</v>
      </c>
      <c r="D41" s="14" t="s">
        <v>83</v>
      </c>
      <c r="E41" s="14" t="s">
        <v>45</v>
      </c>
      <c r="F41" s="14" t="s">
        <v>48</v>
      </c>
      <c r="G41" s="14" t="s">
        <v>49</v>
      </c>
      <c r="H41" s="0" t="n">
        <v>1</v>
      </c>
      <c r="I41" s="16" t="n">
        <v>63.81</v>
      </c>
      <c r="J41" s="16" t="n">
        <v>27.5</v>
      </c>
      <c r="K41" s="16" t="n">
        <f aca="false">H41*I41</f>
        <v>63.81</v>
      </c>
      <c r="L41" s="16" t="n">
        <f aca="false">H41*J41</f>
        <v>27.5</v>
      </c>
      <c r="M41" s="16" t="n">
        <f aca="false">K41-L41</f>
        <v>36.31</v>
      </c>
      <c r="N41" s="17" t="n">
        <f aca="false">IFERROR(M41/K41,0)</f>
        <v>0.569033066917411</v>
      </c>
    </row>
    <row r="42" customFormat="false" ht="15" hidden="false" customHeight="false" outlineLevel="0" collapsed="false">
      <c r="A42" s="15" t="n">
        <v>46024</v>
      </c>
      <c r="B42" s="14" t="s">
        <v>81</v>
      </c>
      <c r="C42" s="14" t="s">
        <v>82</v>
      </c>
      <c r="D42" s="14" t="s">
        <v>83</v>
      </c>
      <c r="E42" s="14" t="s">
        <v>45</v>
      </c>
      <c r="F42" s="14" t="s">
        <v>46</v>
      </c>
      <c r="G42" s="14" t="s">
        <v>47</v>
      </c>
      <c r="H42" s="0" t="n">
        <v>2</v>
      </c>
      <c r="I42" s="16" t="n">
        <v>43.25</v>
      </c>
      <c r="J42" s="16" t="n">
        <v>18</v>
      </c>
      <c r="K42" s="16" t="n">
        <f aca="false">H42*I42</f>
        <v>86.5</v>
      </c>
      <c r="L42" s="16" t="n">
        <f aca="false">H42*J42</f>
        <v>36</v>
      </c>
      <c r="M42" s="16" t="n">
        <f aca="false">K42-L42</f>
        <v>50.5</v>
      </c>
      <c r="N42" s="17" t="n">
        <f aca="false">IFERROR(M42/K42,0)</f>
        <v>0.583815028901734</v>
      </c>
    </row>
    <row r="43" customFormat="false" ht="15" hidden="false" customHeight="false" outlineLevel="0" collapsed="false">
      <c r="A43" s="15" t="n">
        <v>46024</v>
      </c>
      <c r="B43" s="14" t="s">
        <v>88</v>
      </c>
      <c r="C43" s="14" t="s">
        <v>89</v>
      </c>
      <c r="D43" s="14" t="s">
        <v>44</v>
      </c>
      <c r="E43" s="14" t="s">
        <v>64</v>
      </c>
      <c r="F43" s="14" t="s">
        <v>96</v>
      </c>
      <c r="G43" s="14" t="s">
        <v>97</v>
      </c>
      <c r="H43" s="0" t="n">
        <v>4</v>
      </c>
      <c r="I43" s="16" t="n">
        <v>57.69</v>
      </c>
      <c r="J43" s="16" t="n">
        <v>24</v>
      </c>
      <c r="K43" s="16" t="n">
        <f aca="false">H43*I43</f>
        <v>230.76</v>
      </c>
      <c r="L43" s="16" t="n">
        <f aca="false">H43*J43</f>
        <v>96</v>
      </c>
      <c r="M43" s="16" t="n">
        <f aca="false">K43-L43</f>
        <v>134.76</v>
      </c>
      <c r="N43" s="17" t="n">
        <f aca="false">IFERROR(M43/K43,0)</f>
        <v>0.583983359334373</v>
      </c>
    </row>
    <row r="44" customFormat="false" ht="15" hidden="false" customHeight="false" outlineLevel="0" collapsed="false">
      <c r="A44" s="15" t="n">
        <v>46024</v>
      </c>
      <c r="B44" s="14" t="s">
        <v>88</v>
      </c>
      <c r="C44" s="14" t="s">
        <v>89</v>
      </c>
      <c r="D44" s="14" t="s">
        <v>44</v>
      </c>
      <c r="E44" s="14" t="s">
        <v>56</v>
      </c>
      <c r="F44" s="14" t="s">
        <v>57</v>
      </c>
      <c r="G44" s="14" t="s">
        <v>58</v>
      </c>
      <c r="H44" s="0" t="n">
        <v>4</v>
      </c>
      <c r="I44" s="16" t="n">
        <v>26.53</v>
      </c>
      <c r="J44" s="16" t="n">
        <v>10</v>
      </c>
      <c r="K44" s="16" t="n">
        <f aca="false">H44*I44</f>
        <v>106.12</v>
      </c>
      <c r="L44" s="16" t="n">
        <f aca="false">H44*J44</f>
        <v>40</v>
      </c>
      <c r="M44" s="16" t="n">
        <f aca="false">K44-L44</f>
        <v>66.12</v>
      </c>
      <c r="N44" s="17" t="n">
        <f aca="false">IFERROR(M44/K44,0)</f>
        <v>0.623068224651338</v>
      </c>
    </row>
    <row r="45" customFormat="false" ht="15" hidden="false" customHeight="false" outlineLevel="0" collapsed="false">
      <c r="A45" s="15" t="n">
        <v>46024</v>
      </c>
      <c r="B45" s="14" t="s">
        <v>88</v>
      </c>
      <c r="C45" s="14" t="s">
        <v>89</v>
      </c>
      <c r="D45" s="14" t="s">
        <v>44</v>
      </c>
      <c r="E45" s="14" t="s">
        <v>64</v>
      </c>
      <c r="F45" s="14" t="s">
        <v>96</v>
      </c>
      <c r="G45" s="14" t="s">
        <v>97</v>
      </c>
      <c r="H45" s="0" t="n">
        <v>3</v>
      </c>
      <c r="I45" s="16" t="n">
        <v>54.74</v>
      </c>
      <c r="J45" s="16" t="n">
        <v>24</v>
      </c>
      <c r="K45" s="16" t="n">
        <f aca="false">H45*I45</f>
        <v>164.22</v>
      </c>
      <c r="L45" s="16" t="n">
        <f aca="false">H45*J45</f>
        <v>72</v>
      </c>
      <c r="M45" s="16" t="n">
        <f aca="false">K45-L45</f>
        <v>92.22</v>
      </c>
      <c r="N45" s="17" t="n">
        <f aca="false">IFERROR(M45/K45,0)</f>
        <v>0.561563755937158</v>
      </c>
    </row>
    <row r="46" customFormat="false" ht="15" hidden="false" customHeight="false" outlineLevel="0" collapsed="false">
      <c r="A46" s="15" t="n">
        <v>46024</v>
      </c>
      <c r="B46" s="14" t="s">
        <v>88</v>
      </c>
      <c r="C46" s="14" t="s">
        <v>89</v>
      </c>
      <c r="D46" s="14" t="s">
        <v>44</v>
      </c>
      <c r="E46" s="14" t="s">
        <v>64</v>
      </c>
      <c r="F46" s="14" t="s">
        <v>94</v>
      </c>
      <c r="G46" s="14" t="s">
        <v>95</v>
      </c>
      <c r="H46" s="0" t="n">
        <v>10</v>
      </c>
      <c r="I46" s="16" t="n">
        <v>94.34</v>
      </c>
      <c r="J46" s="16" t="n">
        <v>42</v>
      </c>
      <c r="K46" s="16" t="n">
        <f aca="false">H46*I46</f>
        <v>943.4</v>
      </c>
      <c r="L46" s="16" t="n">
        <f aca="false">H46*J46</f>
        <v>420</v>
      </c>
      <c r="M46" s="16" t="n">
        <f aca="false">K46-L46</f>
        <v>523.4</v>
      </c>
      <c r="N46" s="17" t="n">
        <f aca="false">IFERROR(M46/K46,0)</f>
        <v>0.554801780792877</v>
      </c>
    </row>
    <row r="47" customFormat="false" ht="15" hidden="false" customHeight="false" outlineLevel="0" collapsed="false">
      <c r="A47" s="15" t="n">
        <v>46025</v>
      </c>
      <c r="B47" s="14" t="s">
        <v>42</v>
      </c>
      <c r="C47" s="14" t="s">
        <v>43</v>
      </c>
      <c r="D47" s="14" t="s">
        <v>44</v>
      </c>
      <c r="E47" s="14" t="s">
        <v>45</v>
      </c>
      <c r="F47" s="14" t="s">
        <v>48</v>
      </c>
      <c r="G47" s="14" t="s">
        <v>49</v>
      </c>
      <c r="H47" s="0" t="n">
        <v>11</v>
      </c>
      <c r="I47" s="16" t="n">
        <v>66.52</v>
      </c>
      <c r="J47" s="16" t="n">
        <v>27.5</v>
      </c>
      <c r="K47" s="16" t="n">
        <f aca="false">H47*I47</f>
        <v>731.72</v>
      </c>
      <c r="L47" s="16" t="n">
        <f aca="false">H47*J47</f>
        <v>302.5</v>
      </c>
      <c r="M47" s="16" t="n">
        <f aca="false">K47-L47</f>
        <v>429.22</v>
      </c>
      <c r="N47" s="17" t="n">
        <f aca="false">IFERROR(M47/K47,0)</f>
        <v>0.586590499098016</v>
      </c>
    </row>
    <row r="48" customFormat="false" ht="15" hidden="false" customHeight="false" outlineLevel="0" collapsed="false">
      <c r="A48" s="15" t="n">
        <v>46025</v>
      </c>
      <c r="B48" s="14" t="s">
        <v>42</v>
      </c>
      <c r="C48" s="14" t="s">
        <v>43</v>
      </c>
      <c r="D48" s="14" t="s">
        <v>44</v>
      </c>
      <c r="E48" s="14" t="s">
        <v>45</v>
      </c>
      <c r="F48" s="14" t="s">
        <v>62</v>
      </c>
      <c r="G48" s="14" t="s">
        <v>63</v>
      </c>
      <c r="H48" s="0" t="n">
        <v>6</v>
      </c>
      <c r="I48" s="16" t="n">
        <v>16.83</v>
      </c>
      <c r="J48" s="16" t="n">
        <v>6.5</v>
      </c>
      <c r="K48" s="16" t="n">
        <f aca="false">H48*I48</f>
        <v>100.98</v>
      </c>
      <c r="L48" s="16" t="n">
        <f aca="false">H48*J48</f>
        <v>39</v>
      </c>
      <c r="M48" s="16" t="n">
        <f aca="false">K48-L48</f>
        <v>61.98</v>
      </c>
      <c r="N48" s="17" t="n">
        <f aca="false">IFERROR(M48/K48,0)</f>
        <v>0.613784907902555</v>
      </c>
    </row>
    <row r="49" customFormat="false" ht="15" hidden="false" customHeight="false" outlineLevel="0" collapsed="false">
      <c r="A49" s="15" t="n">
        <v>46025</v>
      </c>
      <c r="B49" s="14" t="s">
        <v>50</v>
      </c>
      <c r="C49" s="14" t="s">
        <v>51</v>
      </c>
      <c r="D49" s="14" t="s">
        <v>52</v>
      </c>
      <c r="E49" s="14" t="s">
        <v>53</v>
      </c>
      <c r="F49" s="14" t="s">
        <v>84</v>
      </c>
      <c r="G49" s="14" t="s">
        <v>85</v>
      </c>
      <c r="H49" s="0" t="n">
        <v>4</v>
      </c>
      <c r="I49" s="16" t="n">
        <v>23.56</v>
      </c>
      <c r="J49" s="16" t="n">
        <v>9</v>
      </c>
      <c r="K49" s="16" t="n">
        <f aca="false">H49*I49</f>
        <v>94.24</v>
      </c>
      <c r="L49" s="16" t="n">
        <f aca="false">H49*J49</f>
        <v>36</v>
      </c>
      <c r="M49" s="16" t="n">
        <f aca="false">K49-L49</f>
        <v>58.24</v>
      </c>
      <c r="N49" s="17" t="n">
        <f aca="false">IFERROR(M49/K49,0)</f>
        <v>0.617996604414261</v>
      </c>
    </row>
    <row r="50" customFormat="false" ht="15" hidden="false" customHeight="false" outlineLevel="0" collapsed="false">
      <c r="A50" s="15" t="n">
        <v>46025</v>
      </c>
      <c r="B50" s="14" t="s">
        <v>50</v>
      </c>
      <c r="C50" s="14" t="s">
        <v>51</v>
      </c>
      <c r="D50" s="14" t="s">
        <v>52</v>
      </c>
      <c r="E50" s="14" t="s">
        <v>53</v>
      </c>
      <c r="F50" s="14" t="s">
        <v>74</v>
      </c>
      <c r="G50" s="14" t="s">
        <v>75</v>
      </c>
      <c r="H50" s="0" t="n">
        <v>10</v>
      </c>
      <c r="I50" s="16" t="n">
        <v>87.63</v>
      </c>
      <c r="J50" s="16" t="n">
        <v>38</v>
      </c>
      <c r="K50" s="16" t="n">
        <f aca="false">H50*I50</f>
        <v>876.3</v>
      </c>
      <c r="L50" s="16" t="n">
        <f aca="false">H50*J50</f>
        <v>380</v>
      </c>
      <c r="M50" s="16" t="n">
        <f aca="false">K50-L50</f>
        <v>496.3</v>
      </c>
      <c r="N50" s="17" t="n">
        <f aca="false">IFERROR(M50/K50,0)</f>
        <v>0.566358553006961</v>
      </c>
    </row>
    <row r="51" customFormat="false" ht="15" hidden="false" customHeight="false" outlineLevel="0" collapsed="false">
      <c r="A51" s="15" t="n">
        <v>46025</v>
      </c>
      <c r="B51" s="14" t="s">
        <v>50</v>
      </c>
      <c r="C51" s="14" t="s">
        <v>51</v>
      </c>
      <c r="D51" s="14" t="s">
        <v>52</v>
      </c>
      <c r="E51" s="14" t="s">
        <v>56</v>
      </c>
      <c r="F51" s="14" t="s">
        <v>98</v>
      </c>
      <c r="G51" s="14" t="s">
        <v>99</v>
      </c>
      <c r="H51" s="0" t="n">
        <v>1</v>
      </c>
      <c r="I51" s="16" t="n">
        <v>21.39</v>
      </c>
      <c r="J51" s="16" t="n">
        <v>8</v>
      </c>
      <c r="K51" s="16" t="n">
        <f aca="false">H51*I51</f>
        <v>21.39</v>
      </c>
      <c r="L51" s="16" t="n">
        <f aca="false">H51*J51</f>
        <v>8</v>
      </c>
      <c r="M51" s="16" t="n">
        <f aca="false">K51-L51</f>
        <v>13.39</v>
      </c>
      <c r="N51" s="17" t="n">
        <f aca="false">IFERROR(M51/K51,0)</f>
        <v>0.625993454885461</v>
      </c>
    </row>
    <row r="52" customFormat="false" ht="15" hidden="false" customHeight="false" outlineLevel="0" collapsed="false">
      <c r="A52" s="15" t="n">
        <v>46025</v>
      </c>
      <c r="B52" s="14" t="s">
        <v>50</v>
      </c>
      <c r="C52" s="14" t="s">
        <v>51</v>
      </c>
      <c r="D52" s="14" t="s">
        <v>52</v>
      </c>
      <c r="E52" s="14" t="s">
        <v>56</v>
      </c>
      <c r="F52" s="14" t="s">
        <v>98</v>
      </c>
      <c r="G52" s="14" t="s">
        <v>99</v>
      </c>
      <c r="H52" s="0" t="n">
        <v>3</v>
      </c>
      <c r="I52" s="16" t="n">
        <v>21.87</v>
      </c>
      <c r="J52" s="16" t="n">
        <v>8</v>
      </c>
      <c r="K52" s="16" t="n">
        <f aca="false">H52*I52</f>
        <v>65.61</v>
      </c>
      <c r="L52" s="16" t="n">
        <f aca="false">H52*J52</f>
        <v>24</v>
      </c>
      <c r="M52" s="16" t="n">
        <f aca="false">K52-L52</f>
        <v>41.61</v>
      </c>
      <c r="N52" s="17" t="n">
        <f aca="false">IFERROR(M52/K52,0)</f>
        <v>0.634202103337906</v>
      </c>
    </row>
    <row r="53" customFormat="false" ht="15" hidden="false" customHeight="false" outlineLevel="0" collapsed="false">
      <c r="A53" s="15" t="n">
        <v>46025</v>
      </c>
      <c r="B53" s="14" t="s">
        <v>50</v>
      </c>
      <c r="C53" s="14" t="s">
        <v>51</v>
      </c>
      <c r="D53" s="14" t="s">
        <v>52</v>
      </c>
      <c r="E53" s="14" t="s">
        <v>53</v>
      </c>
      <c r="F53" s="14" t="s">
        <v>54</v>
      </c>
      <c r="G53" s="14" t="s">
        <v>55</v>
      </c>
      <c r="H53" s="0" t="n">
        <v>9</v>
      </c>
      <c r="I53" s="16" t="n">
        <v>52.74</v>
      </c>
      <c r="J53" s="16" t="n">
        <v>22</v>
      </c>
      <c r="K53" s="16" t="n">
        <f aca="false">H53*I53</f>
        <v>474.66</v>
      </c>
      <c r="L53" s="16" t="n">
        <f aca="false">H53*J53</f>
        <v>198</v>
      </c>
      <c r="M53" s="16" t="n">
        <f aca="false">K53-L53</f>
        <v>276.66</v>
      </c>
      <c r="N53" s="17" t="n">
        <f aca="false">IFERROR(M53/K53,0)</f>
        <v>0.582859309821767</v>
      </c>
    </row>
    <row r="54" customFormat="false" ht="15" hidden="false" customHeight="false" outlineLevel="0" collapsed="false">
      <c r="A54" s="15" t="n">
        <v>46025</v>
      </c>
      <c r="B54" s="14" t="s">
        <v>59</v>
      </c>
      <c r="C54" s="14" t="s">
        <v>60</v>
      </c>
      <c r="D54" s="14" t="s">
        <v>61</v>
      </c>
      <c r="E54" s="14" t="s">
        <v>64</v>
      </c>
      <c r="F54" s="14" t="s">
        <v>65</v>
      </c>
      <c r="G54" s="14" t="s">
        <v>66</v>
      </c>
      <c r="H54" s="0" t="n">
        <v>4</v>
      </c>
      <c r="I54" s="16" t="n">
        <v>75.08</v>
      </c>
      <c r="J54" s="16" t="n">
        <v>34</v>
      </c>
      <c r="K54" s="16" t="n">
        <f aca="false">H54*I54</f>
        <v>300.32</v>
      </c>
      <c r="L54" s="16" t="n">
        <f aca="false">H54*J54</f>
        <v>136</v>
      </c>
      <c r="M54" s="16" t="n">
        <f aca="false">K54-L54</f>
        <v>164.32</v>
      </c>
      <c r="N54" s="17" t="n">
        <f aca="false">IFERROR(M54/K54,0)</f>
        <v>0.547149706979222</v>
      </c>
    </row>
    <row r="55" customFormat="false" ht="15" hidden="false" customHeight="false" outlineLevel="0" collapsed="false">
      <c r="A55" s="15" t="n">
        <v>46025</v>
      </c>
      <c r="B55" s="14" t="s">
        <v>59</v>
      </c>
      <c r="C55" s="14" t="s">
        <v>60</v>
      </c>
      <c r="D55" s="14" t="s">
        <v>61</v>
      </c>
      <c r="E55" s="14" t="s">
        <v>64</v>
      </c>
      <c r="F55" s="14" t="s">
        <v>94</v>
      </c>
      <c r="G55" s="14" t="s">
        <v>95</v>
      </c>
      <c r="H55" s="0" t="n">
        <v>12</v>
      </c>
      <c r="I55" s="16" t="n">
        <v>93.34</v>
      </c>
      <c r="J55" s="16" t="n">
        <v>42</v>
      </c>
      <c r="K55" s="16" t="n">
        <f aca="false">H55*I55</f>
        <v>1120.08</v>
      </c>
      <c r="L55" s="16" t="n">
        <f aca="false">H55*J55</f>
        <v>504</v>
      </c>
      <c r="M55" s="16" t="n">
        <f aca="false">K55-L55</f>
        <v>616.08</v>
      </c>
      <c r="N55" s="17" t="n">
        <f aca="false">IFERROR(M55/K55,0)</f>
        <v>0.550032140561389</v>
      </c>
    </row>
    <row r="56" customFormat="false" ht="15" hidden="false" customHeight="false" outlineLevel="0" collapsed="false">
      <c r="A56" s="15" t="n">
        <v>46025</v>
      </c>
      <c r="B56" s="14" t="s">
        <v>59</v>
      </c>
      <c r="C56" s="14" t="s">
        <v>60</v>
      </c>
      <c r="D56" s="14" t="s">
        <v>61</v>
      </c>
      <c r="E56" s="14" t="s">
        <v>56</v>
      </c>
      <c r="F56" s="14" t="s">
        <v>57</v>
      </c>
      <c r="G56" s="14" t="s">
        <v>58</v>
      </c>
      <c r="H56" s="0" t="n">
        <v>3</v>
      </c>
      <c r="I56" s="16" t="n">
        <v>25.25</v>
      </c>
      <c r="J56" s="16" t="n">
        <v>10</v>
      </c>
      <c r="K56" s="16" t="n">
        <f aca="false">H56*I56</f>
        <v>75.75</v>
      </c>
      <c r="L56" s="16" t="n">
        <f aca="false">H56*J56</f>
        <v>30</v>
      </c>
      <c r="M56" s="16" t="n">
        <f aca="false">K56-L56</f>
        <v>45.75</v>
      </c>
      <c r="N56" s="17" t="n">
        <f aca="false">IFERROR(M56/K56,0)</f>
        <v>0.603960396039604</v>
      </c>
    </row>
    <row r="57" customFormat="false" ht="15" hidden="false" customHeight="false" outlineLevel="0" collapsed="false">
      <c r="A57" s="15" t="n">
        <v>46025</v>
      </c>
      <c r="B57" s="14" t="s">
        <v>69</v>
      </c>
      <c r="C57" s="14" t="s">
        <v>70</v>
      </c>
      <c r="D57" s="14" t="s">
        <v>71</v>
      </c>
      <c r="E57" s="14" t="s">
        <v>45</v>
      </c>
      <c r="F57" s="14" t="s">
        <v>48</v>
      </c>
      <c r="G57" s="14" t="s">
        <v>49</v>
      </c>
      <c r="H57" s="0" t="n">
        <v>6</v>
      </c>
      <c r="I57" s="16" t="n">
        <v>62.87</v>
      </c>
      <c r="J57" s="16" t="n">
        <v>27.5</v>
      </c>
      <c r="K57" s="16" t="n">
        <f aca="false">H57*I57</f>
        <v>377.22</v>
      </c>
      <c r="L57" s="16" t="n">
        <f aca="false">H57*J57</f>
        <v>165</v>
      </c>
      <c r="M57" s="16" t="n">
        <f aca="false">K57-L57</f>
        <v>212.22</v>
      </c>
      <c r="N57" s="17" t="n">
        <f aca="false">IFERROR(M57/K57,0)</f>
        <v>0.562589470335613</v>
      </c>
    </row>
    <row r="58" customFormat="false" ht="15" hidden="false" customHeight="false" outlineLevel="0" collapsed="false">
      <c r="A58" s="15" t="n">
        <v>46025</v>
      </c>
      <c r="B58" s="14" t="s">
        <v>69</v>
      </c>
      <c r="C58" s="14" t="s">
        <v>70</v>
      </c>
      <c r="D58" s="14" t="s">
        <v>71</v>
      </c>
      <c r="E58" s="14" t="s">
        <v>56</v>
      </c>
      <c r="F58" s="14" t="s">
        <v>57</v>
      </c>
      <c r="G58" s="14" t="s">
        <v>58</v>
      </c>
      <c r="H58" s="0" t="n">
        <v>3</v>
      </c>
      <c r="I58" s="16" t="n">
        <v>24.96</v>
      </c>
      <c r="J58" s="16" t="n">
        <v>10</v>
      </c>
      <c r="K58" s="16" t="n">
        <f aca="false">H58*I58</f>
        <v>74.88</v>
      </c>
      <c r="L58" s="16" t="n">
        <f aca="false">H58*J58</f>
        <v>30</v>
      </c>
      <c r="M58" s="16" t="n">
        <f aca="false">K58-L58</f>
        <v>44.88</v>
      </c>
      <c r="N58" s="17" t="n">
        <f aca="false">IFERROR(M58/K58,0)</f>
        <v>0.599358974358974</v>
      </c>
    </row>
    <row r="59" customFormat="false" ht="15" hidden="false" customHeight="false" outlineLevel="0" collapsed="false">
      <c r="A59" s="15" t="n">
        <v>46025</v>
      </c>
      <c r="B59" s="14" t="s">
        <v>69</v>
      </c>
      <c r="C59" s="14" t="s">
        <v>70</v>
      </c>
      <c r="D59" s="14" t="s">
        <v>71</v>
      </c>
      <c r="E59" s="14" t="s">
        <v>56</v>
      </c>
      <c r="F59" s="14" t="s">
        <v>98</v>
      </c>
      <c r="G59" s="14" t="s">
        <v>99</v>
      </c>
      <c r="H59" s="0" t="n">
        <v>3</v>
      </c>
      <c r="I59" s="16" t="n">
        <v>20.36</v>
      </c>
      <c r="J59" s="16" t="n">
        <v>8</v>
      </c>
      <c r="K59" s="16" t="n">
        <f aca="false">H59*I59</f>
        <v>61.08</v>
      </c>
      <c r="L59" s="16" t="n">
        <f aca="false">H59*J59</f>
        <v>24</v>
      </c>
      <c r="M59" s="16" t="n">
        <f aca="false">K59-L59</f>
        <v>37.08</v>
      </c>
      <c r="N59" s="17" t="n">
        <f aca="false">IFERROR(M59/K59,0)</f>
        <v>0.607072691552063</v>
      </c>
    </row>
    <row r="60" customFormat="false" ht="15" hidden="false" customHeight="false" outlineLevel="0" collapsed="false">
      <c r="A60" s="15" t="n">
        <v>46025</v>
      </c>
      <c r="B60" s="14" t="s">
        <v>81</v>
      </c>
      <c r="C60" s="14" t="s">
        <v>82</v>
      </c>
      <c r="D60" s="14" t="s">
        <v>83</v>
      </c>
      <c r="E60" s="14" t="s">
        <v>53</v>
      </c>
      <c r="F60" s="14" t="s">
        <v>84</v>
      </c>
      <c r="G60" s="14" t="s">
        <v>85</v>
      </c>
      <c r="H60" s="0" t="n">
        <v>2</v>
      </c>
      <c r="I60" s="16" t="n">
        <v>24.88</v>
      </c>
      <c r="J60" s="16" t="n">
        <v>9</v>
      </c>
      <c r="K60" s="16" t="n">
        <f aca="false">H60*I60</f>
        <v>49.76</v>
      </c>
      <c r="L60" s="16" t="n">
        <f aca="false">H60*J60</f>
        <v>18</v>
      </c>
      <c r="M60" s="16" t="n">
        <f aca="false">K60-L60</f>
        <v>31.76</v>
      </c>
      <c r="N60" s="17" t="n">
        <f aca="false">IFERROR(M60/K60,0)</f>
        <v>0.638263665594855</v>
      </c>
    </row>
    <row r="61" customFormat="false" ht="15" hidden="false" customHeight="false" outlineLevel="0" collapsed="false">
      <c r="A61" s="15" t="n">
        <v>46025</v>
      </c>
      <c r="B61" s="14" t="s">
        <v>81</v>
      </c>
      <c r="C61" s="14" t="s">
        <v>82</v>
      </c>
      <c r="D61" s="14" t="s">
        <v>83</v>
      </c>
      <c r="E61" s="14" t="s">
        <v>56</v>
      </c>
      <c r="F61" s="14" t="s">
        <v>86</v>
      </c>
      <c r="G61" s="14" t="s">
        <v>87</v>
      </c>
      <c r="H61" s="0" t="n">
        <v>1</v>
      </c>
      <c r="I61" s="16" t="n">
        <v>14.54</v>
      </c>
      <c r="J61" s="16" t="n">
        <v>5</v>
      </c>
      <c r="K61" s="16" t="n">
        <f aca="false">H61*I61</f>
        <v>14.54</v>
      </c>
      <c r="L61" s="16" t="n">
        <f aca="false">H61*J61</f>
        <v>5</v>
      </c>
      <c r="M61" s="16" t="n">
        <f aca="false">K61-L61</f>
        <v>9.54</v>
      </c>
      <c r="N61" s="17" t="n">
        <f aca="false">IFERROR(M61/K61,0)</f>
        <v>0.656121045392022</v>
      </c>
    </row>
    <row r="62" customFormat="false" ht="15" hidden="false" customHeight="false" outlineLevel="0" collapsed="false">
      <c r="A62" s="15" t="n">
        <v>46025</v>
      </c>
      <c r="B62" s="14" t="s">
        <v>88</v>
      </c>
      <c r="C62" s="14" t="s">
        <v>89</v>
      </c>
      <c r="D62" s="14" t="s">
        <v>44</v>
      </c>
      <c r="E62" s="14" t="s">
        <v>56</v>
      </c>
      <c r="F62" s="14" t="s">
        <v>67</v>
      </c>
      <c r="G62" s="14" t="s">
        <v>68</v>
      </c>
      <c r="H62" s="0" t="n">
        <v>7</v>
      </c>
      <c r="I62" s="16" t="n">
        <v>35.58</v>
      </c>
      <c r="J62" s="16" t="n">
        <v>15</v>
      </c>
      <c r="K62" s="16" t="n">
        <f aca="false">H62*I62</f>
        <v>249.06</v>
      </c>
      <c r="L62" s="16" t="n">
        <f aca="false">H62*J62</f>
        <v>105</v>
      </c>
      <c r="M62" s="16" t="n">
        <f aca="false">K62-L62</f>
        <v>144.06</v>
      </c>
      <c r="N62" s="17" t="n">
        <f aca="false">IFERROR(M62/K62,0)</f>
        <v>0.578414839797639</v>
      </c>
    </row>
    <row r="63" customFormat="false" ht="15" hidden="false" customHeight="false" outlineLevel="0" collapsed="false">
      <c r="A63" s="15" t="n">
        <v>46025</v>
      </c>
      <c r="B63" s="14" t="s">
        <v>88</v>
      </c>
      <c r="C63" s="14" t="s">
        <v>89</v>
      </c>
      <c r="D63" s="14" t="s">
        <v>44</v>
      </c>
      <c r="E63" s="14" t="s">
        <v>76</v>
      </c>
      <c r="F63" s="14" t="s">
        <v>77</v>
      </c>
      <c r="G63" s="14" t="s">
        <v>78</v>
      </c>
      <c r="H63" s="0" t="n">
        <v>7</v>
      </c>
      <c r="I63" s="16" t="n">
        <v>39.97</v>
      </c>
      <c r="J63" s="16" t="n">
        <v>15</v>
      </c>
      <c r="K63" s="16" t="n">
        <f aca="false">H63*I63</f>
        <v>279.79</v>
      </c>
      <c r="L63" s="16" t="n">
        <f aca="false">H63*J63</f>
        <v>105</v>
      </c>
      <c r="M63" s="16" t="n">
        <f aca="false">K63-L63</f>
        <v>174.79</v>
      </c>
      <c r="N63" s="17" t="n">
        <f aca="false">IFERROR(M63/K63,0)</f>
        <v>0.624718538904178</v>
      </c>
    </row>
    <row r="64" customFormat="false" ht="15" hidden="false" customHeight="false" outlineLevel="0" collapsed="false">
      <c r="A64" s="15" t="n">
        <v>46025</v>
      </c>
      <c r="B64" s="14" t="s">
        <v>88</v>
      </c>
      <c r="C64" s="14" t="s">
        <v>89</v>
      </c>
      <c r="D64" s="14" t="s">
        <v>44</v>
      </c>
      <c r="E64" s="14" t="s">
        <v>76</v>
      </c>
      <c r="F64" s="14" t="s">
        <v>100</v>
      </c>
      <c r="G64" s="14" t="s">
        <v>101</v>
      </c>
      <c r="H64" s="0" t="n">
        <v>9</v>
      </c>
      <c r="I64" s="16" t="n">
        <v>15.91</v>
      </c>
      <c r="J64" s="16" t="n">
        <v>5.5</v>
      </c>
      <c r="K64" s="16" t="n">
        <f aca="false">H64*I64</f>
        <v>143.19</v>
      </c>
      <c r="L64" s="16" t="n">
        <f aca="false">H64*J64</f>
        <v>49.5</v>
      </c>
      <c r="M64" s="16" t="n">
        <f aca="false">K64-L64</f>
        <v>93.69</v>
      </c>
      <c r="N64" s="17" t="n">
        <f aca="false">IFERROR(M64/K64,0)</f>
        <v>0.654305468258957</v>
      </c>
    </row>
    <row r="65" customFormat="false" ht="15" hidden="false" customHeight="false" outlineLevel="0" collapsed="false">
      <c r="A65" s="15" t="n">
        <v>46025</v>
      </c>
      <c r="B65" s="14" t="s">
        <v>88</v>
      </c>
      <c r="C65" s="14" t="s">
        <v>89</v>
      </c>
      <c r="D65" s="14" t="s">
        <v>44</v>
      </c>
      <c r="E65" s="14" t="s">
        <v>45</v>
      </c>
      <c r="F65" s="14" t="s">
        <v>48</v>
      </c>
      <c r="G65" s="14" t="s">
        <v>49</v>
      </c>
      <c r="H65" s="0" t="n">
        <v>10</v>
      </c>
      <c r="I65" s="16" t="n">
        <v>65.94</v>
      </c>
      <c r="J65" s="16" t="n">
        <v>27.5</v>
      </c>
      <c r="K65" s="16" t="n">
        <f aca="false">H65*I65</f>
        <v>659.4</v>
      </c>
      <c r="L65" s="16" t="n">
        <f aca="false">H65*J65</f>
        <v>275</v>
      </c>
      <c r="M65" s="16" t="n">
        <f aca="false">K65-L65</f>
        <v>384.4</v>
      </c>
      <c r="N65" s="17" t="n">
        <f aca="false">IFERROR(M65/K65,0)</f>
        <v>0.582954200788596</v>
      </c>
    </row>
    <row r="66" customFormat="false" ht="15" hidden="false" customHeight="false" outlineLevel="0" collapsed="false">
      <c r="A66" s="15" t="n">
        <v>46025</v>
      </c>
      <c r="B66" s="14" t="s">
        <v>88</v>
      </c>
      <c r="C66" s="14" t="s">
        <v>89</v>
      </c>
      <c r="D66" s="14" t="s">
        <v>44</v>
      </c>
      <c r="E66" s="14" t="s">
        <v>56</v>
      </c>
      <c r="F66" s="14" t="s">
        <v>98</v>
      </c>
      <c r="G66" s="14" t="s">
        <v>99</v>
      </c>
      <c r="H66" s="0" t="n">
        <v>3</v>
      </c>
      <c r="I66" s="16" t="n">
        <v>21.19</v>
      </c>
      <c r="J66" s="16" t="n">
        <v>8</v>
      </c>
      <c r="K66" s="16" t="n">
        <f aca="false">H66*I66</f>
        <v>63.57</v>
      </c>
      <c r="L66" s="16" t="n">
        <f aca="false">H66*J66</f>
        <v>24</v>
      </c>
      <c r="M66" s="16" t="n">
        <f aca="false">K66-L66</f>
        <v>39.57</v>
      </c>
      <c r="N66" s="17" t="n">
        <f aca="false">IFERROR(M66/K66,0)</f>
        <v>0.622463426144408</v>
      </c>
    </row>
    <row r="67" customFormat="false" ht="15" hidden="false" customHeight="false" outlineLevel="0" collapsed="false">
      <c r="A67" s="15" t="n">
        <v>46026</v>
      </c>
      <c r="B67" s="14" t="s">
        <v>42</v>
      </c>
      <c r="C67" s="14" t="s">
        <v>43</v>
      </c>
      <c r="D67" s="14" t="s">
        <v>44</v>
      </c>
      <c r="E67" s="14" t="s">
        <v>76</v>
      </c>
      <c r="F67" s="14" t="s">
        <v>77</v>
      </c>
      <c r="G67" s="14" t="s">
        <v>78</v>
      </c>
      <c r="H67" s="0" t="n">
        <v>11</v>
      </c>
      <c r="I67" s="16" t="n">
        <v>41.6</v>
      </c>
      <c r="J67" s="16" t="n">
        <v>15</v>
      </c>
      <c r="K67" s="16" t="n">
        <f aca="false">H67*I67</f>
        <v>457.6</v>
      </c>
      <c r="L67" s="16" t="n">
        <f aca="false">H67*J67</f>
        <v>165</v>
      </c>
      <c r="M67" s="16" t="n">
        <f aca="false">K67-L67</f>
        <v>292.6</v>
      </c>
      <c r="N67" s="17" t="n">
        <f aca="false">IFERROR(M67/K67,0)</f>
        <v>0.639423076923077</v>
      </c>
    </row>
    <row r="68" customFormat="false" ht="15" hidden="false" customHeight="false" outlineLevel="0" collapsed="false">
      <c r="A68" s="15" t="n">
        <v>46026</v>
      </c>
      <c r="B68" s="14" t="s">
        <v>42</v>
      </c>
      <c r="C68" s="14" t="s">
        <v>43</v>
      </c>
      <c r="D68" s="14" t="s">
        <v>44</v>
      </c>
      <c r="E68" s="14" t="s">
        <v>53</v>
      </c>
      <c r="F68" s="14" t="s">
        <v>92</v>
      </c>
      <c r="G68" s="14" t="s">
        <v>93</v>
      </c>
      <c r="H68" s="0" t="n">
        <v>7</v>
      </c>
      <c r="I68" s="16" t="n">
        <v>111.91</v>
      </c>
      <c r="J68" s="16" t="n">
        <v>52</v>
      </c>
      <c r="K68" s="16" t="n">
        <f aca="false">H68*I68</f>
        <v>783.37</v>
      </c>
      <c r="L68" s="16" t="n">
        <f aca="false">H68*J68</f>
        <v>364</v>
      </c>
      <c r="M68" s="16" t="n">
        <f aca="false">K68-L68</f>
        <v>419.37</v>
      </c>
      <c r="N68" s="17" t="n">
        <f aca="false">IFERROR(M68/K68,0)</f>
        <v>0.535340898936646</v>
      </c>
    </row>
    <row r="69" customFormat="false" ht="15" hidden="false" customHeight="false" outlineLevel="0" collapsed="false">
      <c r="A69" s="15" t="n">
        <v>46026</v>
      </c>
      <c r="B69" s="14" t="s">
        <v>42</v>
      </c>
      <c r="C69" s="14" t="s">
        <v>43</v>
      </c>
      <c r="D69" s="14" t="s">
        <v>44</v>
      </c>
      <c r="E69" s="14" t="s">
        <v>56</v>
      </c>
      <c r="F69" s="14" t="s">
        <v>67</v>
      </c>
      <c r="G69" s="14" t="s">
        <v>68</v>
      </c>
      <c r="H69" s="0" t="n">
        <v>2</v>
      </c>
      <c r="I69" s="16" t="n">
        <v>36.99</v>
      </c>
      <c r="J69" s="16" t="n">
        <v>15</v>
      </c>
      <c r="K69" s="16" t="n">
        <f aca="false">H69*I69</f>
        <v>73.98</v>
      </c>
      <c r="L69" s="16" t="n">
        <f aca="false">H69*J69</f>
        <v>30</v>
      </c>
      <c r="M69" s="16" t="n">
        <f aca="false">K69-L69</f>
        <v>43.98</v>
      </c>
      <c r="N69" s="17" t="n">
        <f aca="false">IFERROR(M69/K69,0)</f>
        <v>0.59448499594485</v>
      </c>
    </row>
    <row r="70" customFormat="false" ht="15" hidden="false" customHeight="false" outlineLevel="0" collapsed="false">
      <c r="A70" s="15" t="n">
        <v>46026</v>
      </c>
      <c r="B70" s="14" t="s">
        <v>42</v>
      </c>
      <c r="C70" s="14" t="s">
        <v>43</v>
      </c>
      <c r="D70" s="14" t="s">
        <v>44</v>
      </c>
      <c r="E70" s="14" t="s">
        <v>56</v>
      </c>
      <c r="F70" s="14" t="s">
        <v>67</v>
      </c>
      <c r="G70" s="14" t="s">
        <v>68</v>
      </c>
      <c r="H70" s="0" t="n">
        <v>3</v>
      </c>
      <c r="I70" s="16" t="n">
        <v>37.81</v>
      </c>
      <c r="J70" s="16" t="n">
        <v>15</v>
      </c>
      <c r="K70" s="16" t="n">
        <f aca="false">H70*I70</f>
        <v>113.43</v>
      </c>
      <c r="L70" s="16" t="n">
        <f aca="false">H70*J70</f>
        <v>45</v>
      </c>
      <c r="M70" s="16" t="n">
        <f aca="false">K70-L70</f>
        <v>68.43</v>
      </c>
      <c r="N70" s="17" t="n">
        <f aca="false">IFERROR(M70/K70,0)</f>
        <v>0.603279555673102</v>
      </c>
    </row>
    <row r="71" customFormat="false" ht="15" hidden="false" customHeight="false" outlineLevel="0" collapsed="false">
      <c r="A71" s="15" t="n">
        <v>46026</v>
      </c>
      <c r="B71" s="14" t="s">
        <v>42</v>
      </c>
      <c r="C71" s="14" t="s">
        <v>43</v>
      </c>
      <c r="D71" s="14" t="s">
        <v>44</v>
      </c>
      <c r="E71" s="14" t="s">
        <v>53</v>
      </c>
      <c r="F71" s="14" t="s">
        <v>92</v>
      </c>
      <c r="G71" s="14" t="s">
        <v>93</v>
      </c>
      <c r="H71" s="0" t="n">
        <v>3</v>
      </c>
      <c r="I71" s="16" t="n">
        <v>118.94</v>
      </c>
      <c r="J71" s="16" t="n">
        <v>52</v>
      </c>
      <c r="K71" s="16" t="n">
        <f aca="false">H71*I71</f>
        <v>356.82</v>
      </c>
      <c r="L71" s="16" t="n">
        <f aca="false">H71*J71</f>
        <v>156</v>
      </c>
      <c r="M71" s="16" t="n">
        <f aca="false">K71-L71</f>
        <v>200.82</v>
      </c>
      <c r="N71" s="17" t="n">
        <f aca="false">IFERROR(M71/K71,0)</f>
        <v>0.562804775517067</v>
      </c>
    </row>
    <row r="72" customFormat="false" ht="15" hidden="false" customHeight="false" outlineLevel="0" collapsed="false">
      <c r="A72" s="15" t="n">
        <v>46026</v>
      </c>
      <c r="B72" s="14" t="s">
        <v>42</v>
      </c>
      <c r="C72" s="14" t="s">
        <v>43</v>
      </c>
      <c r="D72" s="14" t="s">
        <v>44</v>
      </c>
      <c r="E72" s="14" t="s">
        <v>56</v>
      </c>
      <c r="F72" s="14" t="s">
        <v>86</v>
      </c>
      <c r="G72" s="14" t="s">
        <v>87</v>
      </c>
      <c r="H72" s="0" t="n">
        <v>8</v>
      </c>
      <c r="I72" s="16" t="n">
        <v>14.14</v>
      </c>
      <c r="J72" s="16" t="n">
        <v>5</v>
      </c>
      <c r="K72" s="16" t="n">
        <f aca="false">H72*I72</f>
        <v>113.12</v>
      </c>
      <c r="L72" s="16" t="n">
        <f aca="false">H72*J72</f>
        <v>40</v>
      </c>
      <c r="M72" s="16" t="n">
        <f aca="false">K72-L72</f>
        <v>73.12</v>
      </c>
      <c r="N72" s="17" t="n">
        <f aca="false">IFERROR(M72/K72,0)</f>
        <v>0.646393210749646</v>
      </c>
    </row>
    <row r="73" customFormat="false" ht="15" hidden="false" customHeight="false" outlineLevel="0" collapsed="false">
      <c r="A73" s="15" t="n">
        <v>46026</v>
      </c>
      <c r="B73" s="14" t="s">
        <v>50</v>
      </c>
      <c r="C73" s="14" t="s">
        <v>51</v>
      </c>
      <c r="D73" s="14" t="s">
        <v>52</v>
      </c>
      <c r="E73" s="14" t="s">
        <v>76</v>
      </c>
      <c r="F73" s="14" t="s">
        <v>77</v>
      </c>
      <c r="G73" s="14" t="s">
        <v>78</v>
      </c>
      <c r="H73" s="0" t="n">
        <v>8</v>
      </c>
      <c r="I73" s="16" t="n">
        <v>40.34</v>
      </c>
      <c r="J73" s="16" t="n">
        <v>15</v>
      </c>
      <c r="K73" s="16" t="n">
        <f aca="false">H73*I73</f>
        <v>322.72</v>
      </c>
      <c r="L73" s="16" t="n">
        <f aca="false">H73*J73</f>
        <v>120</v>
      </c>
      <c r="M73" s="16" t="n">
        <f aca="false">K73-L73</f>
        <v>202.72</v>
      </c>
      <c r="N73" s="17" t="n">
        <f aca="false">IFERROR(M73/K73,0)</f>
        <v>0.62816063460585</v>
      </c>
    </row>
    <row r="74" customFormat="false" ht="15" hidden="false" customHeight="false" outlineLevel="0" collapsed="false">
      <c r="A74" s="15" t="n">
        <v>46026</v>
      </c>
      <c r="B74" s="14" t="s">
        <v>50</v>
      </c>
      <c r="C74" s="14" t="s">
        <v>51</v>
      </c>
      <c r="D74" s="14" t="s">
        <v>52</v>
      </c>
      <c r="E74" s="14" t="s">
        <v>76</v>
      </c>
      <c r="F74" s="14" t="s">
        <v>79</v>
      </c>
      <c r="G74" s="14" t="s">
        <v>80</v>
      </c>
      <c r="H74" s="0" t="n">
        <v>3</v>
      </c>
      <c r="I74" s="16" t="n">
        <v>29.12</v>
      </c>
      <c r="J74" s="16" t="n">
        <v>11</v>
      </c>
      <c r="K74" s="16" t="n">
        <f aca="false">H74*I74</f>
        <v>87.36</v>
      </c>
      <c r="L74" s="16" t="n">
        <f aca="false">H74*J74</f>
        <v>33</v>
      </c>
      <c r="M74" s="16" t="n">
        <f aca="false">K74-L74</f>
        <v>54.36</v>
      </c>
      <c r="N74" s="17" t="n">
        <f aca="false">IFERROR(M74/K74,0)</f>
        <v>0.622252747252747</v>
      </c>
    </row>
    <row r="75" customFormat="false" ht="15" hidden="false" customHeight="false" outlineLevel="0" collapsed="false">
      <c r="A75" s="15" t="n">
        <v>46026</v>
      </c>
      <c r="B75" s="14" t="s">
        <v>50</v>
      </c>
      <c r="C75" s="14" t="s">
        <v>51</v>
      </c>
      <c r="D75" s="14" t="s">
        <v>52</v>
      </c>
      <c r="E75" s="14" t="s">
        <v>76</v>
      </c>
      <c r="F75" s="14" t="s">
        <v>79</v>
      </c>
      <c r="G75" s="14" t="s">
        <v>80</v>
      </c>
      <c r="H75" s="0" t="n">
        <v>2</v>
      </c>
      <c r="I75" s="16" t="n">
        <v>28.4</v>
      </c>
      <c r="J75" s="16" t="n">
        <v>11</v>
      </c>
      <c r="K75" s="16" t="n">
        <f aca="false">H75*I75</f>
        <v>56.8</v>
      </c>
      <c r="L75" s="16" t="n">
        <f aca="false">H75*J75</f>
        <v>22</v>
      </c>
      <c r="M75" s="16" t="n">
        <f aca="false">K75-L75</f>
        <v>34.8</v>
      </c>
      <c r="N75" s="17" t="n">
        <f aca="false">IFERROR(M75/K75,0)</f>
        <v>0.612676056338028</v>
      </c>
    </row>
    <row r="76" customFormat="false" ht="15" hidden="false" customHeight="false" outlineLevel="0" collapsed="false">
      <c r="A76" s="15" t="n">
        <v>46026</v>
      </c>
      <c r="B76" s="14" t="s">
        <v>59</v>
      </c>
      <c r="C76" s="14" t="s">
        <v>60</v>
      </c>
      <c r="D76" s="14" t="s">
        <v>61</v>
      </c>
      <c r="E76" s="14" t="s">
        <v>76</v>
      </c>
      <c r="F76" s="14" t="s">
        <v>77</v>
      </c>
      <c r="G76" s="14" t="s">
        <v>78</v>
      </c>
      <c r="H76" s="0" t="n">
        <v>10</v>
      </c>
      <c r="I76" s="16" t="n">
        <v>40.49</v>
      </c>
      <c r="J76" s="16" t="n">
        <v>15</v>
      </c>
      <c r="K76" s="16" t="n">
        <f aca="false">H76*I76</f>
        <v>404.9</v>
      </c>
      <c r="L76" s="16" t="n">
        <f aca="false">H76*J76</f>
        <v>150</v>
      </c>
      <c r="M76" s="16" t="n">
        <f aca="false">K76-L76</f>
        <v>254.9</v>
      </c>
      <c r="N76" s="17" t="n">
        <f aca="false">IFERROR(M76/K76,0)</f>
        <v>0.62953815756977</v>
      </c>
    </row>
    <row r="77" customFormat="false" ht="15" hidden="false" customHeight="false" outlineLevel="0" collapsed="false">
      <c r="A77" s="15" t="n">
        <v>46026</v>
      </c>
      <c r="B77" s="14" t="s">
        <v>59</v>
      </c>
      <c r="C77" s="14" t="s">
        <v>60</v>
      </c>
      <c r="D77" s="14" t="s">
        <v>61</v>
      </c>
      <c r="E77" s="14" t="s">
        <v>64</v>
      </c>
      <c r="F77" s="14" t="s">
        <v>65</v>
      </c>
      <c r="G77" s="14" t="s">
        <v>66</v>
      </c>
      <c r="H77" s="0" t="n">
        <v>3</v>
      </c>
      <c r="I77" s="16" t="n">
        <v>73.16</v>
      </c>
      <c r="J77" s="16" t="n">
        <v>34</v>
      </c>
      <c r="K77" s="16" t="n">
        <f aca="false">H77*I77</f>
        <v>219.48</v>
      </c>
      <c r="L77" s="16" t="n">
        <f aca="false">H77*J77</f>
        <v>102</v>
      </c>
      <c r="M77" s="16" t="n">
        <f aca="false">K77-L77</f>
        <v>117.48</v>
      </c>
      <c r="N77" s="17" t="n">
        <f aca="false">IFERROR(M77/K77,0)</f>
        <v>0.53526517222526</v>
      </c>
    </row>
    <row r="78" customFormat="false" ht="15" hidden="false" customHeight="false" outlineLevel="0" collapsed="false">
      <c r="A78" s="15" t="n">
        <v>46026</v>
      </c>
      <c r="B78" s="14" t="s">
        <v>59</v>
      </c>
      <c r="C78" s="14" t="s">
        <v>60</v>
      </c>
      <c r="D78" s="14" t="s">
        <v>61</v>
      </c>
      <c r="E78" s="14" t="s">
        <v>53</v>
      </c>
      <c r="F78" s="14" t="s">
        <v>74</v>
      </c>
      <c r="G78" s="14" t="s">
        <v>75</v>
      </c>
      <c r="H78" s="0" t="n">
        <v>6</v>
      </c>
      <c r="I78" s="16" t="n">
        <v>86.03</v>
      </c>
      <c r="J78" s="16" t="n">
        <v>38</v>
      </c>
      <c r="K78" s="16" t="n">
        <f aca="false">H78*I78</f>
        <v>516.18</v>
      </c>
      <c r="L78" s="16" t="n">
        <f aca="false">H78*J78</f>
        <v>228</v>
      </c>
      <c r="M78" s="16" t="n">
        <f aca="false">K78-L78</f>
        <v>288.18</v>
      </c>
      <c r="N78" s="17" t="n">
        <f aca="false">IFERROR(M78/K78,0)</f>
        <v>0.558293618505173</v>
      </c>
    </row>
    <row r="79" customFormat="false" ht="15" hidden="false" customHeight="false" outlineLevel="0" collapsed="false">
      <c r="A79" s="15" t="n">
        <v>46026</v>
      </c>
      <c r="B79" s="14" t="s">
        <v>69</v>
      </c>
      <c r="C79" s="14" t="s">
        <v>70</v>
      </c>
      <c r="D79" s="14" t="s">
        <v>71</v>
      </c>
      <c r="E79" s="14" t="s">
        <v>64</v>
      </c>
      <c r="F79" s="14" t="s">
        <v>96</v>
      </c>
      <c r="G79" s="14" t="s">
        <v>97</v>
      </c>
      <c r="H79" s="0" t="n">
        <v>1</v>
      </c>
      <c r="I79" s="16" t="n">
        <v>55.73</v>
      </c>
      <c r="J79" s="16" t="n">
        <v>24</v>
      </c>
      <c r="K79" s="16" t="n">
        <f aca="false">H79*I79</f>
        <v>55.73</v>
      </c>
      <c r="L79" s="16" t="n">
        <f aca="false">H79*J79</f>
        <v>24</v>
      </c>
      <c r="M79" s="16" t="n">
        <f aca="false">K79-L79</f>
        <v>31.73</v>
      </c>
      <c r="N79" s="17" t="n">
        <f aca="false">IFERROR(M79/K79,0)</f>
        <v>0.569352233985286</v>
      </c>
    </row>
    <row r="80" customFormat="false" ht="15" hidden="false" customHeight="false" outlineLevel="0" collapsed="false">
      <c r="A80" s="15" t="n">
        <v>46026</v>
      </c>
      <c r="B80" s="14" t="s">
        <v>69</v>
      </c>
      <c r="C80" s="14" t="s">
        <v>70</v>
      </c>
      <c r="D80" s="14" t="s">
        <v>71</v>
      </c>
      <c r="E80" s="14" t="s">
        <v>45</v>
      </c>
      <c r="F80" s="14" t="s">
        <v>46</v>
      </c>
      <c r="G80" s="14" t="s">
        <v>47</v>
      </c>
      <c r="H80" s="0" t="n">
        <v>4</v>
      </c>
      <c r="I80" s="16" t="n">
        <v>43.86</v>
      </c>
      <c r="J80" s="16" t="n">
        <v>18</v>
      </c>
      <c r="K80" s="16" t="n">
        <f aca="false">H80*I80</f>
        <v>175.44</v>
      </c>
      <c r="L80" s="16" t="n">
        <f aca="false">H80*J80</f>
        <v>72</v>
      </c>
      <c r="M80" s="16" t="n">
        <f aca="false">K80-L80</f>
        <v>103.44</v>
      </c>
      <c r="N80" s="17" t="n">
        <f aca="false">IFERROR(M80/K80,0)</f>
        <v>0.589603283173735</v>
      </c>
    </row>
    <row r="81" customFormat="false" ht="15" hidden="false" customHeight="false" outlineLevel="0" collapsed="false">
      <c r="A81" s="15" t="n">
        <v>46026</v>
      </c>
      <c r="B81" s="14" t="s">
        <v>69</v>
      </c>
      <c r="C81" s="14" t="s">
        <v>70</v>
      </c>
      <c r="D81" s="14" t="s">
        <v>71</v>
      </c>
      <c r="E81" s="14" t="s">
        <v>45</v>
      </c>
      <c r="F81" s="14" t="s">
        <v>46</v>
      </c>
      <c r="G81" s="14" t="s">
        <v>47</v>
      </c>
      <c r="H81" s="0" t="n">
        <v>7</v>
      </c>
      <c r="I81" s="16" t="n">
        <v>44.91</v>
      </c>
      <c r="J81" s="16" t="n">
        <v>18</v>
      </c>
      <c r="K81" s="16" t="n">
        <f aca="false">H81*I81</f>
        <v>314.37</v>
      </c>
      <c r="L81" s="16" t="n">
        <f aca="false">H81*J81</f>
        <v>126</v>
      </c>
      <c r="M81" s="16" t="n">
        <f aca="false">K81-L81</f>
        <v>188.37</v>
      </c>
      <c r="N81" s="17" t="n">
        <f aca="false">IFERROR(M81/K81,0)</f>
        <v>0.599198396793587</v>
      </c>
    </row>
    <row r="82" customFormat="false" ht="15" hidden="false" customHeight="false" outlineLevel="0" collapsed="false">
      <c r="A82" s="15" t="n">
        <v>46026</v>
      </c>
      <c r="B82" s="14" t="s">
        <v>81</v>
      </c>
      <c r="C82" s="14" t="s">
        <v>82</v>
      </c>
      <c r="D82" s="14" t="s">
        <v>83</v>
      </c>
      <c r="E82" s="14" t="s">
        <v>53</v>
      </c>
      <c r="F82" s="14" t="s">
        <v>54</v>
      </c>
      <c r="G82" s="14" t="s">
        <v>55</v>
      </c>
      <c r="H82" s="0" t="n">
        <v>3</v>
      </c>
      <c r="I82" s="16" t="n">
        <v>54.48</v>
      </c>
      <c r="J82" s="16" t="n">
        <v>22</v>
      </c>
      <c r="K82" s="16" t="n">
        <f aca="false">H82*I82</f>
        <v>163.44</v>
      </c>
      <c r="L82" s="16" t="n">
        <f aca="false">H82*J82</f>
        <v>66</v>
      </c>
      <c r="M82" s="16" t="n">
        <f aca="false">K82-L82</f>
        <v>97.44</v>
      </c>
      <c r="N82" s="17" t="n">
        <f aca="false">IFERROR(M82/K82,0)</f>
        <v>0.596182085168869</v>
      </c>
    </row>
    <row r="83" customFormat="false" ht="15" hidden="false" customHeight="false" outlineLevel="0" collapsed="false">
      <c r="A83" s="15" t="n">
        <v>46026</v>
      </c>
      <c r="B83" s="14" t="s">
        <v>81</v>
      </c>
      <c r="C83" s="14" t="s">
        <v>82</v>
      </c>
      <c r="D83" s="14" t="s">
        <v>83</v>
      </c>
      <c r="E83" s="14" t="s">
        <v>45</v>
      </c>
      <c r="F83" s="14" t="s">
        <v>62</v>
      </c>
      <c r="G83" s="14" t="s">
        <v>63</v>
      </c>
      <c r="H83" s="0" t="n">
        <v>6</v>
      </c>
      <c r="I83" s="16" t="n">
        <v>17.69</v>
      </c>
      <c r="J83" s="16" t="n">
        <v>6.5</v>
      </c>
      <c r="K83" s="16" t="n">
        <f aca="false">H83*I83</f>
        <v>106.14</v>
      </c>
      <c r="L83" s="16" t="n">
        <f aca="false">H83*J83</f>
        <v>39</v>
      </c>
      <c r="M83" s="16" t="n">
        <f aca="false">K83-L83</f>
        <v>67.14</v>
      </c>
      <c r="N83" s="17" t="n">
        <f aca="false">IFERROR(M83/K83,0)</f>
        <v>0.63256076879593</v>
      </c>
    </row>
    <row r="84" customFormat="false" ht="15" hidden="false" customHeight="false" outlineLevel="0" collapsed="false">
      <c r="A84" s="15" t="n">
        <v>46026</v>
      </c>
      <c r="B84" s="14" t="s">
        <v>81</v>
      </c>
      <c r="C84" s="14" t="s">
        <v>82</v>
      </c>
      <c r="D84" s="14" t="s">
        <v>83</v>
      </c>
      <c r="E84" s="14" t="s">
        <v>64</v>
      </c>
      <c r="F84" s="14" t="s">
        <v>96</v>
      </c>
      <c r="G84" s="14" t="s">
        <v>97</v>
      </c>
      <c r="H84" s="0" t="n">
        <v>6</v>
      </c>
      <c r="I84" s="16" t="n">
        <v>55.03</v>
      </c>
      <c r="J84" s="16" t="n">
        <v>24</v>
      </c>
      <c r="K84" s="16" t="n">
        <f aca="false">H84*I84</f>
        <v>330.18</v>
      </c>
      <c r="L84" s="16" t="n">
        <f aca="false">H84*J84</f>
        <v>144</v>
      </c>
      <c r="M84" s="16" t="n">
        <f aca="false">K84-L84</f>
        <v>186.18</v>
      </c>
      <c r="N84" s="17" t="n">
        <f aca="false">IFERROR(M84/K84,0)</f>
        <v>0.563874250408868</v>
      </c>
    </row>
    <row r="85" customFormat="false" ht="15" hidden="false" customHeight="false" outlineLevel="0" collapsed="false">
      <c r="A85" s="15" t="n">
        <v>46026</v>
      </c>
      <c r="B85" s="14" t="s">
        <v>88</v>
      </c>
      <c r="C85" s="14" t="s">
        <v>89</v>
      </c>
      <c r="D85" s="14" t="s">
        <v>44</v>
      </c>
      <c r="E85" s="14" t="s">
        <v>64</v>
      </c>
      <c r="F85" s="14" t="s">
        <v>65</v>
      </c>
      <c r="G85" s="14" t="s">
        <v>66</v>
      </c>
      <c r="H85" s="0" t="n">
        <v>14</v>
      </c>
      <c r="I85" s="16" t="n">
        <v>74.09</v>
      </c>
      <c r="J85" s="16" t="n">
        <v>34</v>
      </c>
      <c r="K85" s="16" t="n">
        <f aca="false">H85*I85</f>
        <v>1037.26</v>
      </c>
      <c r="L85" s="16" t="n">
        <f aca="false">H85*J85</f>
        <v>476</v>
      </c>
      <c r="M85" s="16" t="n">
        <f aca="false">K85-L85</f>
        <v>561.26</v>
      </c>
      <c r="N85" s="17" t="n">
        <f aca="false">IFERROR(M85/K85,0)</f>
        <v>0.541098663787286</v>
      </c>
    </row>
    <row r="86" customFormat="false" ht="15" hidden="false" customHeight="false" outlineLevel="0" collapsed="false">
      <c r="A86" s="15" t="n">
        <v>46026</v>
      </c>
      <c r="B86" s="14" t="s">
        <v>88</v>
      </c>
      <c r="C86" s="14" t="s">
        <v>89</v>
      </c>
      <c r="D86" s="14" t="s">
        <v>44</v>
      </c>
      <c r="E86" s="14" t="s">
        <v>64</v>
      </c>
      <c r="F86" s="14" t="s">
        <v>94</v>
      </c>
      <c r="G86" s="14" t="s">
        <v>95</v>
      </c>
      <c r="H86" s="0" t="n">
        <v>9</v>
      </c>
      <c r="I86" s="16" t="n">
        <v>97.58</v>
      </c>
      <c r="J86" s="16" t="n">
        <v>42</v>
      </c>
      <c r="K86" s="16" t="n">
        <f aca="false">H86*I86</f>
        <v>878.22</v>
      </c>
      <c r="L86" s="16" t="n">
        <f aca="false">H86*J86</f>
        <v>378</v>
      </c>
      <c r="M86" s="16" t="n">
        <f aca="false">K86-L86</f>
        <v>500.22</v>
      </c>
      <c r="N86" s="17" t="n">
        <f aca="false">IFERROR(M86/K86,0)</f>
        <v>0.569583931133429</v>
      </c>
    </row>
    <row r="87" customFormat="false" ht="15" hidden="false" customHeight="false" outlineLevel="0" collapsed="false">
      <c r="A87" s="15" t="n">
        <v>46027</v>
      </c>
      <c r="B87" s="14" t="s">
        <v>42</v>
      </c>
      <c r="C87" s="14" t="s">
        <v>43</v>
      </c>
      <c r="D87" s="14" t="s">
        <v>44</v>
      </c>
      <c r="E87" s="14" t="s">
        <v>53</v>
      </c>
      <c r="F87" s="14" t="s">
        <v>74</v>
      </c>
      <c r="G87" s="14" t="s">
        <v>75</v>
      </c>
      <c r="H87" s="0" t="n">
        <v>5</v>
      </c>
      <c r="I87" s="16" t="n">
        <v>84.72</v>
      </c>
      <c r="J87" s="16" t="n">
        <v>38</v>
      </c>
      <c r="K87" s="16" t="n">
        <f aca="false">H87*I87</f>
        <v>423.6</v>
      </c>
      <c r="L87" s="16" t="n">
        <f aca="false">H87*J87</f>
        <v>190</v>
      </c>
      <c r="M87" s="16" t="n">
        <f aca="false">K87-L87</f>
        <v>233.6</v>
      </c>
      <c r="N87" s="17" t="n">
        <f aca="false">IFERROR(M87/K87,0)</f>
        <v>0.551463644948064</v>
      </c>
    </row>
    <row r="88" customFormat="false" ht="15" hidden="false" customHeight="false" outlineLevel="0" collapsed="false">
      <c r="A88" s="15" t="n">
        <v>46027</v>
      </c>
      <c r="B88" s="14" t="s">
        <v>42</v>
      </c>
      <c r="C88" s="14" t="s">
        <v>43</v>
      </c>
      <c r="D88" s="14" t="s">
        <v>44</v>
      </c>
      <c r="E88" s="14" t="s">
        <v>76</v>
      </c>
      <c r="F88" s="14" t="s">
        <v>79</v>
      </c>
      <c r="G88" s="14" t="s">
        <v>80</v>
      </c>
      <c r="H88" s="0" t="n">
        <v>7</v>
      </c>
      <c r="I88" s="16" t="n">
        <v>28.44</v>
      </c>
      <c r="J88" s="16" t="n">
        <v>11</v>
      </c>
      <c r="K88" s="16" t="n">
        <f aca="false">H88*I88</f>
        <v>199.08</v>
      </c>
      <c r="L88" s="16" t="n">
        <f aca="false">H88*J88</f>
        <v>77</v>
      </c>
      <c r="M88" s="16" t="n">
        <f aca="false">K88-L88</f>
        <v>122.08</v>
      </c>
      <c r="N88" s="17" t="n">
        <f aca="false">IFERROR(M88/K88,0)</f>
        <v>0.613220815752461</v>
      </c>
    </row>
    <row r="89" customFormat="false" ht="15" hidden="false" customHeight="false" outlineLevel="0" collapsed="false">
      <c r="A89" s="15" t="n">
        <v>46027</v>
      </c>
      <c r="B89" s="14" t="s">
        <v>42</v>
      </c>
      <c r="C89" s="14" t="s">
        <v>43</v>
      </c>
      <c r="D89" s="14" t="s">
        <v>44</v>
      </c>
      <c r="E89" s="14" t="s">
        <v>56</v>
      </c>
      <c r="F89" s="14" t="s">
        <v>57</v>
      </c>
      <c r="G89" s="14" t="s">
        <v>58</v>
      </c>
      <c r="H89" s="0" t="n">
        <v>8</v>
      </c>
      <c r="I89" s="16" t="n">
        <v>26.87</v>
      </c>
      <c r="J89" s="16" t="n">
        <v>10</v>
      </c>
      <c r="K89" s="16" t="n">
        <f aca="false">H89*I89</f>
        <v>214.96</v>
      </c>
      <c r="L89" s="16" t="n">
        <f aca="false">H89*J89</f>
        <v>80</v>
      </c>
      <c r="M89" s="16" t="n">
        <f aca="false">K89-L89</f>
        <v>134.96</v>
      </c>
      <c r="N89" s="17" t="n">
        <f aca="false">IFERROR(M89/K89,0)</f>
        <v>0.627837737253443</v>
      </c>
    </row>
    <row r="90" customFormat="false" ht="15" hidden="false" customHeight="false" outlineLevel="0" collapsed="false">
      <c r="A90" s="15" t="n">
        <v>46027</v>
      </c>
      <c r="B90" s="14" t="s">
        <v>50</v>
      </c>
      <c r="C90" s="14" t="s">
        <v>51</v>
      </c>
      <c r="D90" s="14" t="s">
        <v>52</v>
      </c>
      <c r="E90" s="14" t="s">
        <v>76</v>
      </c>
      <c r="F90" s="14" t="s">
        <v>77</v>
      </c>
      <c r="G90" s="14" t="s">
        <v>78</v>
      </c>
      <c r="H90" s="0" t="n">
        <v>6</v>
      </c>
      <c r="I90" s="16" t="n">
        <v>38.77</v>
      </c>
      <c r="J90" s="16" t="n">
        <v>15</v>
      </c>
      <c r="K90" s="16" t="n">
        <f aca="false">H90*I90</f>
        <v>232.62</v>
      </c>
      <c r="L90" s="16" t="n">
        <f aca="false">H90*J90</f>
        <v>90</v>
      </c>
      <c r="M90" s="16" t="n">
        <f aca="false">K90-L90</f>
        <v>142.62</v>
      </c>
      <c r="N90" s="17" t="n">
        <f aca="false">IFERROR(M90/K90,0)</f>
        <v>0.61310291462471</v>
      </c>
    </row>
    <row r="91" customFormat="false" ht="15" hidden="false" customHeight="false" outlineLevel="0" collapsed="false">
      <c r="A91" s="15" t="n">
        <v>46027</v>
      </c>
      <c r="B91" s="14" t="s">
        <v>50</v>
      </c>
      <c r="C91" s="14" t="s">
        <v>51</v>
      </c>
      <c r="D91" s="14" t="s">
        <v>52</v>
      </c>
      <c r="E91" s="14" t="s">
        <v>56</v>
      </c>
      <c r="F91" s="14" t="s">
        <v>57</v>
      </c>
      <c r="G91" s="14" t="s">
        <v>58</v>
      </c>
      <c r="H91" s="0" t="n">
        <v>7</v>
      </c>
      <c r="I91" s="16" t="n">
        <v>26.41</v>
      </c>
      <c r="J91" s="16" t="n">
        <v>10</v>
      </c>
      <c r="K91" s="16" t="n">
        <f aca="false">H91*I91</f>
        <v>184.87</v>
      </c>
      <c r="L91" s="16" t="n">
        <f aca="false">H91*J91</f>
        <v>70</v>
      </c>
      <c r="M91" s="16" t="n">
        <f aca="false">K91-L91</f>
        <v>114.87</v>
      </c>
      <c r="N91" s="17" t="n">
        <f aca="false">IFERROR(M91/K91,0)</f>
        <v>0.621355547141234</v>
      </c>
    </row>
    <row r="92" customFormat="false" ht="15" hidden="false" customHeight="false" outlineLevel="0" collapsed="false">
      <c r="A92" s="15" t="n">
        <v>46027</v>
      </c>
      <c r="B92" s="14" t="s">
        <v>59</v>
      </c>
      <c r="C92" s="14" t="s">
        <v>60</v>
      </c>
      <c r="D92" s="14" t="s">
        <v>61</v>
      </c>
      <c r="E92" s="14" t="s">
        <v>64</v>
      </c>
      <c r="F92" s="14" t="s">
        <v>65</v>
      </c>
      <c r="G92" s="14" t="s">
        <v>66</v>
      </c>
      <c r="H92" s="0" t="n">
        <v>8</v>
      </c>
      <c r="I92" s="16" t="n">
        <v>78.36</v>
      </c>
      <c r="J92" s="16" t="n">
        <v>34</v>
      </c>
      <c r="K92" s="16" t="n">
        <f aca="false">H92*I92</f>
        <v>626.88</v>
      </c>
      <c r="L92" s="16" t="n">
        <f aca="false">H92*J92</f>
        <v>272</v>
      </c>
      <c r="M92" s="16" t="n">
        <f aca="false">K92-L92</f>
        <v>354.88</v>
      </c>
      <c r="N92" s="17" t="n">
        <f aca="false">IFERROR(M92/K92,0)</f>
        <v>0.566105155691679</v>
      </c>
    </row>
    <row r="93" customFormat="false" ht="15" hidden="false" customHeight="false" outlineLevel="0" collapsed="false">
      <c r="A93" s="15" t="n">
        <v>46027</v>
      </c>
      <c r="B93" s="14" t="s">
        <v>59</v>
      </c>
      <c r="C93" s="14" t="s">
        <v>60</v>
      </c>
      <c r="D93" s="14" t="s">
        <v>61</v>
      </c>
      <c r="E93" s="14" t="s">
        <v>53</v>
      </c>
      <c r="F93" s="14" t="s">
        <v>92</v>
      </c>
      <c r="G93" s="14" t="s">
        <v>93</v>
      </c>
      <c r="H93" s="0" t="n">
        <v>1</v>
      </c>
      <c r="I93" s="16" t="n">
        <v>117.2</v>
      </c>
      <c r="J93" s="16" t="n">
        <v>52</v>
      </c>
      <c r="K93" s="16" t="n">
        <f aca="false">H93*I93</f>
        <v>117.2</v>
      </c>
      <c r="L93" s="16" t="n">
        <f aca="false">H93*J93</f>
        <v>52</v>
      </c>
      <c r="M93" s="16" t="n">
        <f aca="false">K93-L93</f>
        <v>65.2</v>
      </c>
      <c r="N93" s="17" t="n">
        <f aca="false">IFERROR(M93/K93,0)</f>
        <v>0.556313993174062</v>
      </c>
    </row>
    <row r="94" customFormat="false" ht="15" hidden="false" customHeight="false" outlineLevel="0" collapsed="false">
      <c r="A94" s="15" t="n">
        <v>46027</v>
      </c>
      <c r="B94" s="14" t="s">
        <v>59</v>
      </c>
      <c r="C94" s="14" t="s">
        <v>60</v>
      </c>
      <c r="D94" s="14" t="s">
        <v>61</v>
      </c>
      <c r="E94" s="14" t="s">
        <v>45</v>
      </c>
      <c r="F94" s="14" t="s">
        <v>62</v>
      </c>
      <c r="G94" s="14" t="s">
        <v>63</v>
      </c>
      <c r="H94" s="0" t="n">
        <v>5</v>
      </c>
      <c r="I94" s="16" t="n">
        <v>17.18</v>
      </c>
      <c r="J94" s="16" t="n">
        <v>6.5</v>
      </c>
      <c r="K94" s="16" t="n">
        <f aca="false">H94*I94</f>
        <v>85.9</v>
      </c>
      <c r="L94" s="16" t="n">
        <f aca="false">H94*J94</f>
        <v>32.5</v>
      </c>
      <c r="M94" s="16" t="n">
        <f aca="false">K94-L94</f>
        <v>53.4</v>
      </c>
      <c r="N94" s="17" t="n">
        <f aca="false">IFERROR(M94/K94,0)</f>
        <v>0.621653084982538</v>
      </c>
    </row>
    <row r="95" customFormat="false" ht="15" hidden="false" customHeight="false" outlineLevel="0" collapsed="false">
      <c r="A95" s="15" t="n">
        <v>46027</v>
      </c>
      <c r="B95" s="14" t="s">
        <v>59</v>
      </c>
      <c r="C95" s="14" t="s">
        <v>60</v>
      </c>
      <c r="D95" s="14" t="s">
        <v>61</v>
      </c>
      <c r="E95" s="14" t="s">
        <v>76</v>
      </c>
      <c r="F95" s="14" t="s">
        <v>102</v>
      </c>
      <c r="G95" s="14" t="s">
        <v>103</v>
      </c>
      <c r="H95" s="0" t="n">
        <v>2</v>
      </c>
      <c r="I95" s="16" t="n">
        <v>23.46</v>
      </c>
      <c r="J95" s="16" t="n">
        <v>8.5</v>
      </c>
      <c r="K95" s="16" t="n">
        <f aca="false">H95*I95</f>
        <v>46.92</v>
      </c>
      <c r="L95" s="16" t="n">
        <f aca="false">H95*J95</f>
        <v>17</v>
      </c>
      <c r="M95" s="16" t="n">
        <f aca="false">K95-L95</f>
        <v>29.92</v>
      </c>
      <c r="N95" s="17" t="n">
        <f aca="false">IFERROR(M95/K95,0)</f>
        <v>0.63768115942029</v>
      </c>
    </row>
    <row r="96" customFormat="false" ht="15" hidden="false" customHeight="false" outlineLevel="0" collapsed="false">
      <c r="A96" s="15" t="n">
        <v>46027</v>
      </c>
      <c r="B96" s="14" t="s">
        <v>69</v>
      </c>
      <c r="C96" s="14" t="s">
        <v>70</v>
      </c>
      <c r="D96" s="14" t="s">
        <v>71</v>
      </c>
      <c r="E96" s="14" t="s">
        <v>56</v>
      </c>
      <c r="F96" s="14" t="s">
        <v>67</v>
      </c>
      <c r="G96" s="14" t="s">
        <v>68</v>
      </c>
      <c r="H96" s="0" t="n">
        <v>6</v>
      </c>
      <c r="I96" s="16" t="n">
        <v>35.95</v>
      </c>
      <c r="J96" s="16" t="n">
        <v>15</v>
      </c>
      <c r="K96" s="16" t="n">
        <f aca="false">H96*I96</f>
        <v>215.7</v>
      </c>
      <c r="L96" s="16" t="n">
        <f aca="false">H96*J96</f>
        <v>90</v>
      </c>
      <c r="M96" s="16" t="n">
        <f aca="false">K96-L96</f>
        <v>125.7</v>
      </c>
      <c r="N96" s="17" t="n">
        <f aca="false">IFERROR(M96/K96,0)</f>
        <v>0.582753824756606</v>
      </c>
    </row>
    <row r="97" customFormat="false" ht="15" hidden="false" customHeight="false" outlineLevel="0" collapsed="false">
      <c r="A97" s="15" t="n">
        <v>46027</v>
      </c>
      <c r="B97" s="14" t="s">
        <v>69</v>
      </c>
      <c r="C97" s="14" t="s">
        <v>70</v>
      </c>
      <c r="D97" s="14" t="s">
        <v>71</v>
      </c>
      <c r="E97" s="14" t="s">
        <v>76</v>
      </c>
      <c r="F97" s="14" t="s">
        <v>77</v>
      </c>
      <c r="G97" s="14" t="s">
        <v>78</v>
      </c>
      <c r="H97" s="0" t="n">
        <v>4</v>
      </c>
      <c r="I97" s="16" t="n">
        <v>40.05</v>
      </c>
      <c r="J97" s="16" t="n">
        <v>15</v>
      </c>
      <c r="K97" s="16" t="n">
        <f aca="false">H97*I97</f>
        <v>160.2</v>
      </c>
      <c r="L97" s="16" t="n">
        <f aca="false">H97*J97</f>
        <v>60</v>
      </c>
      <c r="M97" s="16" t="n">
        <f aca="false">K97-L97</f>
        <v>100.2</v>
      </c>
      <c r="N97" s="17" t="n">
        <f aca="false">IFERROR(M97/K97,0)</f>
        <v>0.625468164794008</v>
      </c>
    </row>
    <row r="98" customFormat="false" ht="15" hidden="false" customHeight="false" outlineLevel="0" collapsed="false">
      <c r="A98" s="15" t="n">
        <v>46027</v>
      </c>
      <c r="B98" s="14" t="s">
        <v>69</v>
      </c>
      <c r="C98" s="14" t="s">
        <v>70</v>
      </c>
      <c r="D98" s="14" t="s">
        <v>71</v>
      </c>
      <c r="E98" s="14" t="s">
        <v>64</v>
      </c>
      <c r="F98" s="14" t="s">
        <v>96</v>
      </c>
      <c r="G98" s="14" t="s">
        <v>97</v>
      </c>
      <c r="H98" s="0" t="n">
        <v>6</v>
      </c>
      <c r="I98" s="16" t="n">
        <v>56.2</v>
      </c>
      <c r="J98" s="16" t="n">
        <v>24</v>
      </c>
      <c r="K98" s="16" t="n">
        <f aca="false">H98*I98</f>
        <v>337.2</v>
      </c>
      <c r="L98" s="16" t="n">
        <f aca="false">H98*J98</f>
        <v>144</v>
      </c>
      <c r="M98" s="16" t="n">
        <f aca="false">K98-L98</f>
        <v>193.2</v>
      </c>
      <c r="N98" s="17" t="n">
        <f aca="false">IFERROR(M98/K98,0)</f>
        <v>0.572953736654804</v>
      </c>
    </row>
    <row r="99" customFormat="false" ht="15" hidden="false" customHeight="false" outlineLevel="0" collapsed="false">
      <c r="A99" s="15" t="n">
        <v>46027</v>
      </c>
      <c r="B99" s="14" t="s">
        <v>69</v>
      </c>
      <c r="C99" s="14" t="s">
        <v>70</v>
      </c>
      <c r="D99" s="14" t="s">
        <v>71</v>
      </c>
      <c r="E99" s="14" t="s">
        <v>45</v>
      </c>
      <c r="F99" s="14" t="s">
        <v>46</v>
      </c>
      <c r="G99" s="14" t="s">
        <v>47</v>
      </c>
      <c r="H99" s="0" t="n">
        <v>4</v>
      </c>
      <c r="I99" s="16" t="n">
        <v>42.16</v>
      </c>
      <c r="J99" s="16" t="n">
        <v>18</v>
      </c>
      <c r="K99" s="16" t="n">
        <f aca="false">H99*I99</f>
        <v>168.64</v>
      </c>
      <c r="L99" s="16" t="n">
        <f aca="false">H99*J99</f>
        <v>72</v>
      </c>
      <c r="M99" s="16" t="n">
        <f aca="false">K99-L99</f>
        <v>96.64</v>
      </c>
      <c r="N99" s="17" t="n">
        <f aca="false">IFERROR(M99/K99,0)</f>
        <v>0.573055028462998</v>
      </c>
    </row>
    <row r="100" customFormat="false" ht="15" hidden="false" customHeight="false" outlineLevel="0" collapsed="false">
      <c r="A100" s="15" t="n">
        <v>46027</v>
      </c>
      <c r="B100" s="14" t="s">
        <v>81</v>
      </c>
      <c r="C100" s="14" t="s">
        <v>82</v>
      </c>
      <c r="D100" s="14" t="s">
        <v>83</v>
      </c>
      <c r="E100" s="14" t="s">
        <v>56</v>
      </c>
      <c r="F100" s="14" t="s">
        <v>67</v>
      </c>
      <c r="G100" s="14" t="s">
        <v>68</v>
      </c>
      <c r="H100" s="0" t="n">
        <v>6</v>
      </c>
      <c r="I100" s="16" t="n">
        <v>36.3</v>
      </c>
      <c r="J100" s="16" t="n">
        <v>15</v>
      </c>
      <c r="K100" s="16" t="n">
        <f aca="false">H100*I100</f>
        <v>217.8</v>
      </c>
      <c r="L100" s="16" t="n">
        <f aca="false">H100*J100</f>
        <v>90</v>
      </c>
      <c r="M100" s="16" t="n">
        <f aca="false">K100-L100</f>
        <v>127.8</v>
      </c>
      <c r="N100" s="17" t="n">
        <f aca="false">IFERROR(M100/K100,0)</f>
        <v>0.586776859504132</v>
      </c>
    </row>
    <row r="101" customFormat="false" ht="15" hidden="false" customHeight="false" outlineLevel="0" collapsed="false">
      <c r="A101" s="15" t="n">
        <v>46027</v>
      </c>
      <c r="B101" s="14" t="s">
        <v>81</v>
      </c>
      <c r="C101" s="14" t="s">
        <v>82</v>
      </c>
      <c r="D101" s="14" t="s">
        <v>83</v>
      </c>
      <c r="E101" s="14" t="s">
        <v>53</v>
      </c>
      <c r="F101" s="14" t="s">
        <v>84</v>
      </c>
      <c r="G101" s="14" t="s">
        <v>85</v>
      </c>
      <c r="H101" s="0" t="n">
        <v>2</v>
      </c>
      <c r="I101" s="16" t="n">
        <v>24.32</v>
      </c>
      <c r="J101" s="16" t="n">
        <v>9</v>
      </c>
      <c r="K101" s="16" t="n">
        <f aca="false">H101*I101</f>
        <v>48.64</v>
      </c>
      <c r="L101" s="16" t="n">
        <f aca="false">H101*J101</f>
        <v>18</v>
      </c>
      <c r="M101" s="16" t="n">
        <f aca="false">K101-L101</f>
        <v>30.64</v>
      </c>
      <c r="N101" s="17" t="n">
        <f aca="false">IFERROR(M101/K101,0)</f>
        <v>0.629934210526316</v>
      </c>
    </row>
    <row r="102" customFormat="false" ht="15" hidden="false" customHeight="false" outlineLevel="0" collapsed="false">
      <c r="A102" s="15" t="n">
        <v>46027</v>
      </c>
      <c r="B102" s="14" t="s">
        <v>81</v>
      </c>
      <c r="C102" s="14" t="s">
        <v>82</v>
      </c>
      <c r="D102" s="14" t="s">
        <v>83</v>
      </c>
      <c r="E102" s="14" t="s">
        <v>76</v>
      </c>
      <c r="F102" s="14" t="s">
        <v>102</v>
      </c>
      <c r="G102" s="14" t="s">
        <v>103</v>
      </c>
      <c r="H102" s="0" t="n">
        <v>2</v>
      </c>
      <c r="I102" s="16" t="n">
        <v>23.65</v>
      </c>
      <c r="J102" s="16" t="n">
        <v>8.5</v>
      </c>
      <c r="K102" s="16" t="n">
        <f aca="false">H102*I102</f>
        <v>47.3</v>
      </c>
      <c r="L102" s="16" t="n">
        <f aca="false">H102*J102</f>
        <v>17</v>
      </c>
      <c r="M102" s="16" t="n">
        <f aca="false">K102-L102</f>
        <v>30.3</v>
      </c>
      <c r="N102" s="17" t="n">
        <f aca="false">IFERROR(M102/K102,0)</f>
        <v>0.640591966173361</v>
      </c>
    </row>
    <row r="103" customFormat="false" ht="15" hidden="false" customHeight="false" outlineLevel="0" collapsed="false">
      <c r="A103" s="15" t="n">
        <v>46027</v>
      </c>
      <c r="B103" s="14" t="s">
        <v>81</v>
      </c>
      <c r="C103" s="14" t="s">
        <v>82</v>
      </c>
      <c r="D103" s="14" t="s">
        <v>83</v>
      </c>
      <c r="E103" s="14" t="s">
        <v>53</v>
      </c>
      <c r="F103" s="14" t="s">
        <v>92</v>
      </c>
      <c r="G103" s="14" t="s">
        <v>93</v>
      </c>
      <c r="H103" s="0" t="n">
        <v>3</v>
      </c>
      <c r="I103" s="16" t="n">
        <v>118.14</v>
      </c>
      <c r="J103" s="16" t="n">
        <v>52</v>
      </c>
      <c r="K103" s="16" t="n">
        <f aca="false">H103*I103</f>
        <v>354.42</v>
      </c>
      <c r="L103" s="16" t="n">
        <f aca="false">H103*J103</f>
        <v>156</v>
      </c>
      <c r="M103" s="16" t="n">
        <f aca="false">K103-L103</f>
        <v>198.42</v>
      </c>
      <c r="N103" s="17" t="n">
        <f aca="false">IFERROR(M103/K103,0)</f>
        <v>0.559844252581683</v>
      </c>
    </row>
    <row r="104" customFormat="false" ht="15" hidden="false" customHeight="false" outlineLevel="0" collapsed="false">
      <c r="A104" s="15" t="n">
        <v>46027</v>
      </c>
      <c r="B104" s="14" t="s">
        <v>81</v>
      </c>
      <c r="C104" s="14" t="s">
        <v>82</v>
      </c>
      <c r="D104" s="14" t="s">
        <v>83</v>
      </c>
      <c r="E104" s="14" t="s">
        <v>53</v>
      </c>
      <c r="F104" s="14" t="s">
        <v>74</v>
      </c>
      <c r="G104" s="14" t="s">
        <v>75</v>
      </c>
      <c r="H104" s="0" t="n">
        <v>1</v>
      </c>
      <c r="I104" s="16" t="n">
        <v>83.62</v>
      </c>
      <c r="J104" s="16" t="n">
        <v>38</v>
      </c>
      <c r="K104" s="16" t="n">
        <f aca="false">H104*I104</f>
        <v>83.62</v>
      </c>
      <c r="L104" s="16" t="n">
        <f aca="false">H104*J104</f>
        <v>38</v>
      </c>
      <c r="M104" s="16" t="n">
        <f aca="false">K104-L104</f>
        <v>45.62</v>
      </c>
      <c r="N104" s="17" t="n">
        <f aca="false">IFERROR(M104/K104,0)</f>
        <v>0.545563262377422</v>
      </c>
    </row>
    <row r="105" customFormat="false" ht="15" hidden="false" customHeight="false" outlineLevel="0" collapsed="false">
      <c r="A105" s="15" t="n">
        <v>46027</v>
      </c>
      <c r="B105" s="14" t="s">
        <v>81</v>
      </c>
      <c r="C105" s="14" t="s">
        <v>82</v>
      </c>
      <c r="D105" s="14" t="s">
        <v>83</v>
      </c>
      <c r="E105" s="14" t="s">
        <v>64</v>
      </c>
      <c r="F105" s="14" t="s">
        <v>65</v>
      </c>
      <c r="G105" s="14" t="s">
        <v>66</v>
      </c>
      <c r="H105" s="0" t="n">
        <v>8</v>
      </c>
      <c r="I105" s="16" t="n">
        <v>75.3</v>
      </c>
      <c r="J105" s="16" t="n">
        <v>34</v>
      </c>
      <c r="K105" s="16" t="n">
        <f aca="false">H105*I105</f>
        <v>602.4</v>
      </c>
      <c r="L105" s="16" t="n">
        <f aca="false">H105*J105</f>
        <v>272</v>
      </c>
      <c r="M105" s="16" t="n">
        <f aca="false">K105-L105</f>
        <v>330.4</v>
      </c>
      <c r="N105" s="17" t="n">
        <f aca="false">IFERROR(M105/K105,0)</f>
        <v>0.548472775564409</v>
      </c>
    </row>
    <row r="106" customFormat="false" ht="15" hidden="false" customHeight="false" outlineLevel="0" collapsed="false">
      <c r="A106" s="15" t="n">
        <v>46027</v>
      </c>
      <c r="B106" s="14" t="s">
        <v>88</v>
      </c>
      <c r="C106" s="14" t="s">
        <v>89</v>
      </c>
      <c r="D106" s="14" t="s">
        <v>44</v>
      </c>
      <c r="E106" s="14" t="s">
        <v>53</v>
      </c>
      <c r="F106" s="14" t="s">
        <v>84</v>
      </c>
      <c r="G106" s="14" t="s">
        <v>85</v>
      </c>
      <c r="H106" s="0" t="n">
        <v>8</v>
      </c>
      <c r="I106" s="16" t="n">
        <v>23.8</v>
      </c>
      <c r="J106" s="16" t="n">
        <v>9</v>
      </c>
      <c r="K106" s="16" t="n">
        <f aca="false">H106*I106</f>
        <v>190.4</v>
      </c>
      <c r="L106" s="16" t="n">
        <f aca="false">H106*J106</f>
        <v>72</v>
      </c>
      <c r="M106" s="16" t="n">
        <f aca="false">K106-L106</f>
        <v>118.4</v>
      </c>
      <c r="N106" s="17" t="n">
        <f aca="false">IFERROR(M106/K106,0)</f>
        <v>0.621848739495798</v>
      </c>
    </row>
    <row r="107" customFormat="false" ht="15" hidden="false" customHeight="false" outlineLevel="0" collapsed="false">
      <c r="A107" s="15" t="n">
        <v>46027</v>
      </c>
      <c r="B107" s="14" t="s">
        <v>88</v>
      </c>
      <c r="C107" s="14" t="s">
        <v>89</v>
      </c>
      <c r="D107" s="14" t="s">
        <v>44</v>
      </c>
      <c r="E107" s="14" t="s">
        <v>53</v>
      </c>
      <c r="F107" s="14" t="s">
        <v>74</v>
      </c>
      <c r="G107" s="14" t="s">
        <v>75</v>
      </c>
      <c r="H107" s="0" t="n">
        <v>2</v>
      </c>
      <c r="I107" s="16" t="n">
        <v>87.42</v>
      </c>
      <c r="J107" s="16" t="n">
        <v>38</v>
      </c>
      <c r="K107" s="16" t="n">
        <f aca="false">H107*I107</f>
        <v>174.84</v>
      </c>
      <c r="L107" s="16" t="n">
        <f aca="false">H107*J107</f>
        <v>76</v>
      </c>
      <c r="M107" s="16" t="n">
        <f aca="false">K107-L107</f>
        <v>98.84</v>
      </c>
      <c r="N107" s="17" t="n">
        <f aca="false">IFERROR(M107/K107,0)</f>
        <v>0.565316861130176</v>
      </c>
    </row>
    <row r="108" customFormat="false" ht="15" hidden="false" customHeight="false" outlineLevel="0" collapsed="false">
      <c r="A108" s="15" t="n">
        <v>46027</v>
      </c>
      <c r="B108" s="14" t="s">
        <v>88</v>
      </c>
      <c r="C108" s="14" t="s">
        <v>89</v>
      </c>
      <c r="D108" s="14" t="s">
        <v>44</v>
      </c>
      <c r="E108" s="14" t="s">
        <v>53</v>
      </c>
      <c r="F108" s="14" t="s">
        <v>54</v>
      </c>
      <c r="G108" s="14" t="s">
        <v>55</v>
      </c>
      <c r="H108" s="0" t="n">
        <v>8</v>
      </c>
      <c r="I108" s="16" t="n">
        <v>50.82</v>
      </c>
      <c r="J108" s="16" t="n">
        <v>22</v>
      </c>
      <c r="K108" s="16" t="n">
        <f aca="false">H108*I108</f>
        <v>406.56</v>
      </c>
      <c r="L108" s="16" t="n">
        <f aca="false">H108*J108</f>
        <v>176</v>
      </c>
      <c r="M108" s="16" t="n">
        <f aca="false">K108-L108</f>
        <v>230.56</v>
      </c>
      <c r="N108" s="17" t="n">
        <f aca="false">IFERROR(M108/K108,0)</f>
        <v>0.567099567099567</v>
      </c>
    </row>
    <row r="109" customFormat="false" ht="15" hidden="false" customHeight="false" outlineLevel="0" collapsed="false">
      <c r="A109" s="15" t="n">
        <v>46027</v>
      </c>
      <c r="B109" s="14" t="s">
        <v>88</v>
      </c>
      <c r="C109" s="14" t="s">
        <v>89</v>
      </c>
      <c r="D109" s="14" t="s">
        <v>44</v>
      </c>
      <c r="E109" s="14" t="s">
        <v>53</v>
      </c>
      <c r="F109" s="14" t="s">
        <v>74</v>
      </c>
      <c r="G109" s="14" t="s">
        <v>75</v>
      </c>
      <c r="H109" s="0" t="n">
        <v>8</v>
      </c>
      <c r="I109" s="16" t="n">
        <v>82.83</v>
      </c>
      <c r="J109" s="16" t="n">
        <v>38</v>
      </c>
      <c r="K109" s="16" t="n">
        <f aca="false">H109*I109</f>
        <v>662.64</v>
      </c>
      <c r="L109" s="16" t="n">
        <f aca="false">H109*J109</f>
        <v>304</v>
      </c>
      <c r="M109" s="16" t="n">
        <f aca="false">K109-L109</f>
        <v>358.64</v>
      </c>
      <c r="N109" s="17" t="n">
        <f aca="false">IFERROR(M109/K109,0)</f>
        <v>0.541229023300736</v>
      </c>
    </row>
    <row r="110" customFormat="false" ht="15" hidden="false" customHeight="false" outlineLevel="0" collapsed="false">
      <c r="A110" s="15" t="n">
        <v>46027</v>
      </c>
      <c r="B110" s="14" t="s">
        <v>88</v>
      </c>
      <c r="C110" s="14" t="s">
        <v>89</v>
      </c>
      <c r="D110" s="14" t="s">
        <v>44</v>
      </c>
      <c r="E110" s="14" t="s">
        <v>64</v>
      </c>
      <c r="F110" s="14" t="s">
        <v>94</v>
      </c>
      <c r="G110" s="14" t="s">
        <v>95</v>
      </c>
      <c r="H110" s="0" t="n">
        <v>11</v>
      </c>
      <c r="I110" s="16" t="n">
        <v>95.93</v>
      </c>
      <c r="J110" s="16" t="n">
        <v>42</v>
      </c>
      <c r="K110" s="16" t="n">
        <f aca="false">H110*I110</f>
        <v>1055.23</v>
      </c>
      <c r="L110" s="16" t="n">
        <f aca="false">H110*J110</f>
        <v>462</v>
      </c>
      <c r="M110" s="16" t="n">
        <f aca="false">K110-L110</f>
        <v>593.23</v>
      </c>
      <c r="N110" s="17" t="n">
        <f aca="false">IFERROR(M110/K110,0)</f>
        <v>0.562180756801835</v>
      </c>
    </row>
    <row r="111" customFormat="false" ht="15" hidden="false" customHeight="false" outlineLevel="0" collapsed="false">
      <c r="A111" s="15" t="n">
        <v>46027</v>
      </c>
      <c r="B111" s="14" t="s">
        <v>88</v>
      </c>
      <c r="C111" s="14" t="s">
        <v>89</v>
      </c>
      <c r="D111" s="14" t="s">
        <v>44</v>
      </c>
      <c r="E111" s="14" t="s">
        <v>56</v>
      </c>
      <c r="F111" s="14" t="s">
        <v>57</v>
      </c>
      <c r="G111" s="14" t="s">
        <v>58</v>
      </c>
      <c r="H111" s="0" t="n">
        <v>8</v>
      </c>
      <c r="I111" s="16" t="n">
        <v>26.78</v>
      </c>
      <c r="J111" s="16" t="n">
        <v>10</v>
      </c>
      <c r="K111" s="16" t="n">
        <f aca="false">H111*I111</f>
        <v>214.24</v>
      </c>
      <c r="L111" s="16" t="n">
        <f aca="false">H111*J111</f>
        <v>80</v>
      </c>
      <c r="M111" s="16" t="n">
        <f aca="false">K111-L111</f>
        <v>134.24</v>
      </c>
      <c r="N111" s="17" t="n">
        <f aca="false">IFERROR(M111/K111,0)</f>
        <v>0.626587005227782</v>
      </c>
    </row>
    <row r="112" customFormat="false" ht="15" hidden="false" customHeight="false" outlineLevel="0" collapsed="false">
      <c r="A112" s="15" t="n">
        <v>46028</v>
      </c>
      <c r="B112" s="14" t="s">
        <v>42</v>
      </c>
      <c r="C112" s="14" t="s">
        <v>43</v>
      </c>
      <c r="D112" s="14" t="s">
        <v>44</v>
      </c>
      <c r="E112" s="14" t="s">
        <v>64</v>
      </c>
      <c r="F112" s="14" t="s">
        <v>94</v>
      </c>
      <c r="G112" s="14" t="s">
        <v>95</v>
      </c>
      <c r="H112" s="0" t="n">
        <v>7</v>
      </c>
      <c r="I112" s="16" t="n">
        <v>97.73</v>
      </c>
      <c r="J112" s="16" t="n">
        <v>42</v>
      </c>
      <c r="K112" s="16" t="n">
        <f aca="false">H112*I112</f>
        <v>684.11</v>
      </c>
      <c r="L112" s="16" t="n">
        <f aca="false">H112*J112</f>
        <v>294</v>
      </c>
      <c r="M112" s="16" t="n">
        <f aca="false">K112-L112</f>
        <v>390.11</v>
      </c>
      <c r="N112" s="17" t="n">
        <f aca="false">IFERROR(M112/K112,0)</f>
        <v>0.570244551314847</v>
      </c>
    </row>
    <row r="113" customFormat="false" ht="15" hidden="false" customHeight="false" outlineLevel="0" collapsed="false">
      <c r="A113" s="15" t="n">
        <v>46028</v>
      </c>
      <c r="B113" s="14" t="s">
        <v>42</v>
      </c>
      <c r="C113" s="14" t="s">
        <v>43</v>
      </c>
      <c r="D113" s="14" t="s">
        <v>44</v>
      </c>
      <c r="E113" s="14" t="s">
        <v>76</v>
      </c>
      <c r="F113" s="14" t="s">
        <v>100</v>
      </c>
      <c r="G113" s="14" t="s">
        <v>101</v>
      </c>
      <c r="H113" s="0" t="n">
        <v>6</v>
      </c>
      <c r="I113" s="16" t="n">
        <v>15.07</v>
      </c>
      <c r="J113" s="16" t="n">
        <v>5.5</v>
      </c>
      <c r="K113" s="16" t="n">
        <f aca="false">H113*I113</f>
        <v>90.42</v>
      </c>
      <c r="L113" s="16" t="n">
        <f aca="false">H113*J113</f>
        <v>33</v>
      </c>
      <c r="M113" s="16" t="n">
        <f aca="false">K113-L113</f>
        <v>57.42</v>
      </c>
      <c r="N113" s="17" t="n">
        <f aca="false">IFERROR(M113/K113,0)</f>
        <v>0.635036496350365</v>
      </c>
    </row>
    <row r="114" customFormat="false" ht="15" hidden="false" customHeight="false" outlineLevel="0" collapsed="false">
      <c r="A114" s="15" t="n">
        <v>46028</v>
      </c>
      <c r="B114" s="14" t="s">
        <v>42</v>
      </c>
      <c r="C114" s="14" t="s">
        <v>43</v>
      </c>
      <c r="D114" s="14" t="s">
        <v>44</v>
      </c>
      <c r="E114" s="14" t="s">
        <v>45</v>
      </c>
      <c r="F114" s="14" t="s">
        <v>46</v>
      </c>
      <c r="G114" s="14" t="s">
        <v>47</v>
      </c>
      <c r="H114" s="0" t="n">
        <v>5</v>
      </c>
      <c r="I114" s="16" t="n">
        <v>42.38</v>
      </c>
      <c r="J114" s="16" t="n">
        <v>18</v>
      </c>
      <c r="K114" s="16" t="n">
        <f aca="false">H114*I114</f>
        <v>211.9</v>
      </c>
      <c r="L114" s="16" t="n">
        <f aca="false">H114*J114</f>
        <v>90</v>
      </c>
      <c r="M114" s="16" t="n">
        <f aca="false">K114-L114</f>
        <v>121.9</v>
      </c>
      <c r="N114" s="17" t="n">
        <f aca="false">IFERROR(M114/K114,0)</f>
        <v>0.575271354412459</v>
      </c>
    </row>
    <row r="115" customFormat="false" ht="15" hidden="false" customHeight="false" outlineLevel="0" collapsed="false">
      <c r="A115" s="15" t="n">
        <v>46028</v>
      </c>
      <c r="B115" s="14" t="s">
        <v>42</v>
      </c>
      <c r="C115" s="14" t="s">
        <v>43</v>
      </c>
      <c r="D115" s="14" t="s">
        <v>44</v>
      </c>
      <c r="E115" s="14" t="s">
        <v>76</v>
      </c>
      <c r="F115" s="14" t="s">
        <v>79</v>
      </c>
      <c r="G115" s="14" t="s">
        <v>80</v>
      </c>
      <c r="H115" s="0" t="n">
        <v>4</v>
      </c>
      <c r="I115" s="16" t="n">
        <v>27.96</v>
      </c>
      <c r="J115" s="16" t="n">
        <v>11</v>
      </c>
      <c r="K115" s="16" t="n">
        <f aca="false">H115*I115</f>
        <v>111.84</v>
      </c>
      <c r="L115" s="16" t="n">
        <f aca="false">H115*J115</f>
        <v>44</v>
      </c>
      <c r="M115" s="16" t="n">
        <f aca="false">K115-L115</f>
        <v>67.84</v>
      </c>
      <c r="N115" s="17" t="n">
        <f aca="false">IFERROR(M115/K115,0)</f>
        <v>0.606580829756795</v>
      </c>
    </row>
    <row r="116" customFormat="false" ht="15" hidden="false" customHeight="false" outlineLevel="0" collapsed="false">
      <c r="A116" s="15" t="n">
        <v>46028</v>
      </c>
      <c r="B116" s="14" t="s">
        <v>42</v>
      </c>
      <c r="C116" s="14" t="s">
        <v>43</v>
      </c>
      <c r="D116" s="14" t="s">
        <v>44</v>
      </c>
      <c r="E116" s="14" t="s">
        <v>64</v>
      </c>
      <c r="F116" s="14" t="s">
        <v>96</v>
      </c>
      <c r="G116" s="14" t="s">
        <v>97</v>
      </c>
      <c r="H116" s="0" t="n">
        <v>7</v>
      </c>
      <c r="I116" s="16" t="n">
        <v>54.58</v>
      </c>
      <c r="J116" s="16" t="n">
        <v>24</v>
      </c>
      <c r="K116" s="16" t="n">
        <f aca="false">H116*I116</f>
        <v>382.06</v>
      </c>
      <c r="L116" s="16" t="n">
        <f aca="false">H116*J116</f>
        <v>168</v>
      </c>
      <c r="M116" s="16" t="n">
        <f aca="false">K116-L116</f>
        <v>214.06</v>
      </c>
      <c r="N116" s="17" t="n">
        <f aca="false">IFERROR(M116/K116,0)</f>
        <v>0.560278490289483</v>
      </c>
    </row>
    <row r="117" customFormat="false" ht="15" hidden="false" customHeight="false" outlineLevel="0" collapsed="false">
      <c r="A117" s="15" t="n">
        <v>46028</v>
      </c>
      <c r="B117" s="14" t="s">
        <v>50</v>
      </c>
      <c r="C117" s="14" t="s">
        <v>51</v>
      </c>
      <c r="D117" s="14" t="s">
        <v>52</v>
      </c>
      <c r="E117" s="14" t="s">
        <v>76</v>
      </c>
      <c r="F117" s="14" t="s">
        <v>100</v>
      </c>
      <c r="G117" s="14" t="s">
        <v>101</v>
      </c>
      <c r="H117" s="0" t="n">
        <v>9</v>
      </c>
      <c r="I117" s="16" t="n">
        <v>14.8</v>
      </c>
      <c r="J117" s="16" t="n">
        <v>5.5</v>
      </c>
      <c r="K117" s="16" t="n">
        <f aca="false">H117*I117</f>
        <v>133.2</v>
      </c>
      <c r="L117" s="16" t="n">
        <f aca="false">H117*J117</f>
        <v>49.5</v>
      </c>
      <c r="M117" s="16" t="n">
        <f aca="false">K117-L117</f>
        <v>83.7</v>
      </c>
      <c r="N117" s="17" t="n">
        <f aca="false">IFERROR(M117/K117,0)</f>
        <v>0.628378378378378</v>
      </c>
    </row>
    <row r="118" customFormat="false" ht="15" hidden="false" customHeight="false" outlineLevel="0" collapsed="false">
      <c r="A118" s="15" t="n">
        <v>46028</v>
      </c>
      <c r="B118" s="14" t="s">
        <v>50</v>
      </c>
      <c r="C118" s="14" t="s">
        <v>51</v>
      </c>
      <c r="D118" s="14" t="s">
        <v>52</v>
      </c>
      <c r="E118" s="14" t="s">
        <v>64</v>
      </c>
      <c r="F118" s="14" t="s">
        <v>90</v>
      </c>
      <c r="G118" s="14" t="s">
        <v>91</v>
      </c>
      <c r="H118" s="0" t="n">
        <v>1</v>
      </c>
      <c r="I118" s="16" t="n">
        <v>11.86</v>
      </c>
      <c r="J118" s="16" t="n">
        <v>3.5</v>
      </c>
      <c r="K118" s="16" t="n">
        <f aca="false">H118*I118</f>
        <v>11.86</v>
      </c>
      <c r="L118" s="16" t="n">
        <f aca="false">H118*J118</f>
        <v>3.5</v>
      </c>
      <c r="M118" s="16" t="n">
        <f aca="false">K118-L118</f>
        <v>8.36</v>
      </c>
      <c r="N118" s="17" t="n">
        <f aca="false">IFERROR(M118/K118,0)</f>
        <v>0.704890387858347</v>
      </c>
    </row>
    <row r="119" customFormat="false" ht="15" hidden="false" customHeight="false" outlineLevel="0" collapsed="false">
      <c r="A119" s="15" t="n">
        <v>46028</v>
      </c>
      <c r="B119" s="14" t="s">
        <v>50</v>
      </c>
      <c r="C119" s="14" t="s">
        <v>51</v>
      </c>
      <c r="D119" s="14" t="s">
        <v>52</v>
      </c>
      <c r="E119" s="14" t="s">
        <v>56</v>
      </c>
      <c r="F119" s="14" t="s">
        <v>57</v>
      </c>
      <c r="G119" s="14" t="s">
        <v>58</v>
      </c>
      <c r="H119" s="0" t="n">
        <v>9</v>
      </c>
      <c r="I119" s="16" t="n">
        <v>24.85</v>
      </c>
      <c r="J119" s="16" t="n">
        <v>10</v>
      </c>
      <c r="K119" s="16" t="n">
        <f aca="false">H119*I119</f>
        <v>223.65</v>
      </c>
      <c r="L119" s="16" t="n">
        <f aca="false">H119*J119</f>
        <v>90</v>
      </c>
      <c r="M119" s="16" t="n">
        <f aca="false">K119-L119</f>
        <v>133.65</v>
      </c>
      <c r="N119" s="17" t="n">
        <f aca="false">IFERROR(M119/K119,0)</f>
        <v>0.597585513078471</v>
      </c>
    </row>
    <row r="120" customFormat="false" ht="15" hidden="false" customHeight="false" outlineLevel="0" collapsed="false">
      <c r="A120" s="15" t="n">
        <v>46028</v>
      </c>
      <c r="B120" s="14" t="s">
        <v>50</v>
      </c>
      <c r="C120" s="14" t="s">
        <v>51</v>
      </c>
      <c r="D120" s="14" t="s">
        <v>52</v>
      </c>
      <c r="E120" s="14" t="s">
        <v>76</v>
      </c>
      <c r="F120" s="14" t="s">
        <v>102</v>
      </c>
      <c r="G120" s="14" t="s">
        <v>103</v>
      </c>
      <c r="H120" s="0" t="n">
        <v>9</v>
      </c>
      <c r="I120" s="16" t="n">
        <v>23.72</v>
      </c>
      <c r="J120" s="16" t="n">
        <v>8.5</v>
      </c>
      <c r="K120" s="16" t="n">
        <f aca="false">H120*I120</f>
        <v>213.48</v>
      </c>
      <c r="L120" s="16" t="n">
        <f aca="false">H120*J120</f>
        <v>76.5</v>
      </c>
      <c r="M120" s="16" t="n">
        <f aca="false">K120-L120</f>
        <v>136.98</v>
      </c>
      <c r="N120" s="17" t="n">
        <f aca="false">IFERROR(M120/K120,0)</f>
        <v>0.641652613827993</v>
      </c>
    </row>
    <row r="121" customFormat="false" ht="15" hidden="false" customHeight="false" outlineLevel="0" collapsed="false">
      <c r="A121" s="15" t="n">
        <v>46028</v>
      </c>
      <c r="B121" s="14" t="s">
        <v>50</v>
      </c>
      <c r="C121" s="14" t="s">
        <v>51</v>
      </c>
      <c r="D121" s="14" t="s">
        <v>52</v>
      </c>
      <c r="E121" s="14" t="s">
        <v>64</v>
      </c>
      <c r="F121" s="14" t="s">
        <v>96</v>
      </c>
      <c r="G121" s="14" t="s">
        <v>97</v>
      </c>
      <c r="H121" s="0" t="n">
        <v>12</v>
      </c>
      <c r="I121" s="16" t="n">
        <v>55.32</v>
      </c>
      <c r="J121" s="16" t="n">
        <v>24</v>
      </c>
      <c r="K121" s="16" t="n">
        <f aca="false">H121*I121</f>
        <v>663.84</v>
      </c>
      <c r="L121" s="16" t="n">
        <f aca="false">H121*J121</f>
        <v>288</v>
      </c>
      <c r="M121" s="16" t="n">
        <f aca="false">K121-L121</f>
        <v>375.84</v>
      </c>
      <c r="N121" s="17" t="n">
        <f aca="false">IFERROR(M121/K121,0)</f>
        <v>0.566160520607375</v>
      </c>
    </row>
    <row r="122" customFormat="false" ht="15" hidden="false" customHeight="false" outlineLevel="0" collapsed="false">
      <c r="A122" s="15" t="n">
        <v>46028</v>
      </c>
      <c r="B122" s="14" t="s">
        <v>59</v>
      </c>
      <c r="C122" s="14" t="s">
        <v>60</v>
      </c>
      <c r="D122" s="14" t="s">
        <v>61</v>
      </c>
      <c r="E122" s="14" t="s">
        <v>64</v>
      </c>
      <c r="F122" s="14" t="s">
        <v>65</v>
      </c>
      <c r="G122" s="14" t="s">
        <v>66</v>
      </c>
      <c r="H122" s="0" t="n">
        <v>8</v>
      </c>
      <c r="I122" s="16" t="n">
        <v>74.8</v>
      </c>
      <c r="J122" s="16" t="n">
        <v>34</v>
      </c>
      <c r="K122" s="16" t="n">
        <f aca="false">H122*I122</f>
        <v>598.4</v>
      </c>
      <c r="L122" s="16" t="n">
        <f aca="false">H122*J122</f>
        <v>272</v>
      </c>
      <c r="M122" s="16" t="n">
        <f aca="false">K122-L122</f>
        <v>326.4</v>
      </c>
      <c r="N122" s="17" t="n">
        <f aca="false">IFERROR(M122/K122,0)</f>
        <v>0.545454545454545</v>
      </c>
    </row>
    <row r="123" customFormat="false" ht="15" hidden="false" customHeight="false" outlineLevel="0" collapsed="false">
      <c r="A123" s="15" t="n">
        <v>46028</v>
      </c>
      <c r="B123" s="14" t="s">
        <v>59</v>
      </c>
      <c r="C123" s="14" t="s">
        <v>60</v>
      </c>
      <c r="D123" s="14" t="s">
        <v>61</v>
      </c>
      <c r="E123" s="14" t="s">
        <v>64</v>
      </c>
      <c r="F123" s="14" t="s">
        <v>96</v>
      </c>
      <c r="G123" s="14" t="s">
        <v>97</v>
      </c>
      <c r="H123" s="0" t="n">
        <v>9</v>
      </c>
      <c r="I123" s="16" t="n">
        <v>58.62</v>
      </c>
      <c r="J123" s="16" t="n">
        <v>24</v>
      </c>
      <c r="K123" s="16" t="n">
        <f aca="false">H123*I123</f>
        <v>527.58</v>
      </c>
      <c r="L123" s="16" t="n">
        <f aca="false">H123*J123</f>
        <v>216</v>
      </c>
      <c r="M123" s="16" t="n">
        <f aca="false">K123-L123</f>
        <v>311.58</v>
      </c>
      <c r="N123" s="17" t="n">
        <f aca="false">IFERROR(M123/K123,0)</f>
        <v>0.590583418628454</v>
      </c>
    </row>
    <row r="124" customFormat="false" ht="15" hidden="false" customHeight="false" outlineLevel="0" collapsed="false">
      <c r="A124" s="15" t="n">
        <v>46028</v>
      </c>
      <c r="B124" s="14" t="s">
        <v>59</v>
      </c>
      <c r="C124" s="14" t="s">
        <v>60</v>
      </c>
      <c r="D124" s="14" t="s">
        <v>61</v>
      </c>
      <c r="E124" s="14" t="s">
        <v>56</v>
      </c>
      <c r="F124" s="14" t="s">
        <v>98</v>
      </c>
      <c r="G124" s="14" t="s">
        <v>99</v>
      </c>
      <c r="H124" s="0" t="n">
        <v>6</v>
      </c>
      <c r="I124" s="16" t="n">
        <v>21.28</v>
      </c>
      <c r="J124" s="16" t="n">
        <v>8</v>
      </c>
      <c r="K124" s="16" t="n">
        <f aca="false">H124*I124</f>
        <v>127.68</v>
      </c>
      <c r="L124" s="16" t="n">
        <f aca="false">H124*J124</f>
        <v>48</v>
      </c>
      <c r="M124" s="16" t="n">
        <f aca="false">K124-L124</f>
        <v>79.68</v>
      </c>
      <c r="N124" s="17" t="n">
        <f aca="false">IFERROR(M124/K124,0)</f>
        <v>0.62406015037594</v>
      </c>
    </row>
    <row r="125" customFormat="false" ht="15" hidden="false" customHeight="false" outlineLevel="0" collapsed="false">
      <c r="A125" s="15" t="n">
        <v>46028</v>
      </c>
      <c r="B125" s="14" t="s">
        <v>59</v>
      </c>
      <c r="C125" s="14" t="s">
        <v>60</v>
      </c>
      <c r="D125" s="14" t="s">
        <v>61</v>
      </c>
      <c r="E125" s="14" t="s">
        <v>45</v>
      </c>
      <c r="F125" s="14" t="s">
        <v>48</v>
      </c>
      <c r="G125" s="14" t="s">
        <v>49</v>
      </c>
      <c r="H125" s="0" t="n">
        <v>6</v>
      </c>
      <c r="I125" s="16" t="n">
        <v>63.3</v>
      </c>
      <c r="J125" s="16" t="n">
        <v>27.5</v>
      </c>
      <c r="K125" s="16" t="n">
        <f aca="false">H125*I125</f>
        <v>379.8</v>
      </c>
      <c r="L125" s="16" t="n">
        <f aca="false">H125*J125</f>
        <v>165</v>
      </c>
      <c r="M125" s="16" t="n">
        <f aca="false">K125-L125</f>
        <v>214.8</v>
      </c>
      <c r="N125" s="17" t="n">
        <f aca="false">IFERROR(M125/K125,0)</f>
        <v>0.565560821484992</v>
      </c>
    </row>
    <row r="126" customFormat="false" ht="15" hidden="false" customHeight="false" outlineLevel="0" collapsed="false">
      <c r="A126" s="15" t="n">
        <v>46028</v>
      </c>
      <c r="B126" s="14" t="s">
        <v>59</v>
      </c>
      <c r="C126" s="14" t="s">
        <v>60</v>
      </c>
      <c r="D126" s="14" t="s">
        <v>61</v>
      </c>
      <c r="E126" s="14" t="s">
        <v>64</v>
      </c>
      <c r="F126" s="14" t="s">
        <v>96</v>
      </c>
      <c r="G126" s="14" t="s">
        <v>97</v>
      </c>
      <c r="H126" s="0" t="n">
        <v>1</v>
      </c>
      <c r="I126" s="16" t="n">
        <v>55.51</v>
      </c>
      <c r="J126" s="16" t="n">
        <v>24</v>
      </c>
      <c r="K126" s="16" t="n">
        <f aca="false">H126*I126</f>
        <v>55.51</v>
      </c>
      <c r="L126" s="16" t="n">
        <f aca="false">H126*J126</f>
        <v>24</v>
      </c>
      <c r="M126" s="16" t="n">
        <f aca="false">K126-L126</f>
        <v>31.51</v>
      </c>
      <c r="N126" s="17" t="n">
        <f aca="false">IFERROR(M126/K126,0)</f>
        <v>0.567645469284814</v>
      </c>
    </row>
    <row r="127" customFormat="false" ht="15" hidden="false" customHeight="false" outlineLevel="0" collapsed="false">
      <c r="A127" s="15" t="n">
        <v>46028</v>
      </c>
      <c r="B127" s="14" t="s">
        <v>69</v>
      </c>
      <c r="C127" s="14" t="s">
        <v>70</v>
      </c>
      <c r="D127" s="14" t="s">
        <v>71</v>
      </c>
      <c r="E127" s="14" t="s">
        <v>53</v>
      </c>
      <c r="F127" s="14" t="s">
        <v>84</v>
      </c>
      <c r="G127" s="14" t="s">
        <v>85</v>
      </c>
      <c r="H127" s="0" t="n">
        <v>5</v>
      </c>
      <c r="I127" s="16" t="n">
        <v>23.68</v>
      </c>
      <c r="J127" s="16" t="n">
        <v>9</v>
      </c>
      <c r="K127" s="16" t="n">
        <f aca="false">H127*I127</f>
        <v>118.4</v>
      </c>
      <c r="L127" s="16" t="n">
        <f aca="false">H127*J127</f>
        <v>45</v>
      </c>
      <c r="M127" s="16" t="n">
        <f aca="false">K127-L127</f>
        <v>73.4</v>
      </c>
      <c r="N127" s="17" t="n">
        <f aca="false">IFERROR(M127/K127,0)</f>
        <v>0.619932432432433</v>
      </c>
    </row>
    <row r="128" customFormat="false" ht="15" hidden="false" customHeight="false" outlineLevel="0" collapsed="false">
      <c r="A128" s="15" t="n">
        <v>46028</v>
      </c>
      <c r="B128" s="14" t="s">
        <v>69</v>
      </c>
      <c r="C128" s="14" t="s">
        <v>70</v>
      </c>
      <c r="D128" s="14" t="s">
        <v>71</v>
      </c>
      <c r="E128" s="14" t="s">
        <v>64</v>
      </c>
      <c r="F128" s="14" t="s">
        <v>94</v>
      </c>
      <c r="G128" s="14" t="s">
        <v>95</v>
      </c>
      <c r="H128" s="0" t="n">
        <v>8</v>
      </c>
      <c r="I128" s="16" t="n">
        <v>93.08</v>
      </c>
      <c r="J128" s="16" t="n">
        <v>42</v>
      </c>
      <c r="K128" s="16" t="n">
        <f aca="false">H128*I128</f>
        <v>744.64</v>
      </c>
      <c r="L128" s="16" t="n">
        <f aca="false">H128*J128</f>
        <v>336</v>
      </c>
      <c r="M128" s="16" t="n">
        <f aca="false">K128-L128</f>
        <v>408.64</v>
      </c>
      <c r="N128" s="17" t="n">
        <f aca="false">IFERROR(M128/K128,0)</f>
        <v>0.548775247099269</v>
      </c>
    </row>
    <row r="129" customFormat="false" ht="15" hidden="false" customHeight="false" outlineLevel="0" collapsed="false">
      <c r="A129" s="15" t="n">
        <v>46028</v>
      </c>
      <c r="B129" s="14" t="s">
        <v>69</v>
      </c>
      <c r="C129" s="14" t="s">
        <v>70</v>
      </c>
      <c r="D129" s="14" t="s">
        <v>71</v>
      </c>
      <c r="E129" s="14" t="s">
        <v>45</v>
      </c>
      <c r="F129" s="14" t="s">
        <v>72</v>
      </c>
      <c r="G129" s="14" t="s">
        <v>73</v>
      </c>
      <c r="H129" s="0" t="n">
        <v>1</v>
      </c>
      <c r="I129" s="16" t="n">
        <v>50.96</v>
      </c>
      <c r="J129" s="16" t="n">
        <v>21</v>
      </c>
      <c r="K129" s="16" t="n">
        <f aca="false">H129*I129</f>
        <v>50.96</v>
      </c>
      <c r="L129" s="16" t="n">
        <f aca="false">H129*J129</f>
        <v>21</v>
      </c>
      <c r="M129" s="16" t="n">
        <f aca="false">K129-L129</f>
        <v>29.96</v>
      </c>
      <c r="N129" s="17" t="n">
        <f aca="false">IFERROR(M129/K129,0)</f>
        <v>0.587912087912088</v>
      </c>
    </row>
    <row r="130" customFormat="false" ht="15" hidden="false" customHeight="false" outlineLevel="0" collapsed="false">
      <c r="A130" s="15" t="n">
        <v>46028</v>
      </c>
      <c r="B130" s="14" t="s">
        <v>69</v>
      </c>
      <c r="C130" s="14" t="s">
        <v>70</v>
      </c>
      <c r="D130" s="14" t="s">
        <v>71</v>
      </c>
      <c r="E130" s="14" t="s">
        <v>45</v>
      </c>
      <c r="F130" s="14" t="s">
        <v>46</v>
      </c>
      <c r="G130" s="14" t="s">
        <v>47</v>
      </c>
      <c r="H130" s="0" t="n">
        <v>3</v>
      </c>
      <c r="I130" s="16" t="n">
        <v>43.74</v>
      </c>
      <c r="J130" s="16" t="n">
        <v>18</v>
      </c>
      <c r="K130" s="16" t="n">
        <f aca="false">H130*I130</f>
        <v>131.22</v>
      </c>
      <c r="L130" s="16" t="n">
        <f aca="false">H130*J130</f>
        <v>54</v>
      </c>
      <c r="M130" s="16" t="n">
        <f aca="false">K130-L130</f>
        <v>77.22</v>
      </c>
      <c r="N130" s="17" t="n">
        <f aca="false">IFERROR(M130/K130,0)</f>
        <v>0.588477366255144</v>
      </c>
    </row>
    <row r="131" customFormat="false" ht="15" hidden="false" customHeight="false" outlineLevel="0" collapsed="false">
      <c r="A131" s="15" t="n">
        <v>46028</v>
      </c>
      <c r="B131" s="14" t="s">
        <v>81</v>
      </c>
      <c r="C131" s="14" t="s">
        <v>82</v>
      </c>
      <c r="D131" s="14" t="s">
        <v>83</v>
      </c>
      <c r="E131" s="14" t="s">
        <v>45</v>
      </c>
      <c r="F131" s="14" t="s">
        <v>62</v>
      </c>
      <c r="G131" s="14" t="s">
        <v>63</v>
      </c>
      <c r="H131" s="0" t="n">
        <v>3</v>
      </c>
      <c r="I131" s="16" t="n">
        <v>17.77</v>
      </c>
      <c r="J131" s="16" t="n">
        <v>6.5</v>
      </c>
      <c r="K131" s="16" t="n">
        <f aca="false">H131*I131</f>
        <v>53.31</v>
      </c>
      <c r="L131" s="16" t="n">
        <f aca="false">H131*J131</f>
        <v>19.5</v>
      </c>
      <c r="M131" s="16" t="n">
        <f aca="false">K131-L131</f>
        <v>33.81</v>
      </c>
      <c r="N131" s="17" t="n">
        <f aca="false">IFERROR(M131/K131,0)</f>
        <v>0.634214969048959</v>
      </c>
    </row>
    <row r="132" customFormat="false" ht="15" hidden="false" customHeight="false" outlineLevel="0" collapsed="false">
      <c r="A132" s="15" t="n">
        <v>46028</v>
      </c>
      <c r="B132" s="14" t="s">
        <v>81</v>
      </c>
      <c r="C132" s="14" t="s">
        <v>82</v>
      </c>
      <c r="D132" s="14" t="s">
        <v>83</v>
      </c>
      <c r="E132" s="14" t="s">
        <v>56</v>
      </c>
      <c r="F132" s="14" t="s">
        <v>86</v>
      </c>
      <c r="G132" s="14" t="s">
        <v>87</v>
      </c>
      <c r="H132" s="0" t="n">
        <v>3</v>
      </c>
      <c r="I132" s="16" t="n">
        <v>13.95</v>
      </c>
      <c r="J132" s="16" t="n">
        <v>5</v>
      </c>
      <c r="K132" s="16" t="n">
        <f aca="false">H132*I132</f>
        <v>41.85</v>
      </c>
      <c r="L132" s="16" t="n">
        <f aca="false">H132*J132</f>
        <v>15</v>
      </c>
      <c r="M132" s="16" t="n">
        <f aca="false">K132-L132</f>
        <v>26.85</v>
      </c>
      <c r="N132" s="17" t="n">
        <f aca="false">IFERROR(M132/K132,0)</f>
        <v>0.6415770609319</v>
      </c>
    </row>
    <row r="133" customFormat="false" ht="15" hidden="false" customHeight="false" outlineLevel="0" collapsed="false">
      <c r="A133" s="15" t="n">
        <v>46028</v>
      </c>
      <c r="B133" s="14" t="s">
        <v>88</v>
      </c>
      <c r="C133" s="14" t="s">
        <v>89</v>
      </c>
      <c r="D133" s="14" t="s">
        <v>44</v>
      </c>
      <c r="E133" s="14" t="s">
        <v>56</v>
      </c>
      <c r="F133" s="14" t="s">
        <v>86</v>
      </c>
      <c r="G133" s="14" t="s">
        <v>87</v>
      </c>
      <c r="H133" s="0" t="n">
        <v>8</v>
      </c>
      <c r="I133" s="16" t="n">
        <v>14.64</v>
      </c>
      <c r="J133" s="16" t="n">
        <v>5</v>
      </c>
      <c r="K133" s="16" t="n">
        <f aca="false">H133*I133</f>
        <v>117.12</v>
      </c>
      <c r="L133" s="16" t="n">
        <f aca="false">H133*J133</f>
        <v>40</v>
      </c>
      <c r="M133" s="16" t="n">
        <f aca="false">K133-L133</f>
        <v>77.12</v>
      </c>
      <c r="N133" s="17" t="n">
        <f aca="false">IFERROR(M133/K133,0)</f>
        <v>0.658469945355191</v>
      </c>
    </row>
    <row r="134" customFormat="false" ht="15" hidden="false" customHeight="false" outlineLevel="0" collapsed="false">
      <c r="A134" s="15" t="n">
        <v>46028</v>
      </c>
      <c r="B134" s="14" t="s">
        <v>88</v>
      </c>
      <c r="C134" s="14" t="s">
        <v>89</v>
      </c>
      <c r="D134" s="14" t="s">
        <v>44</v>
      </c>
      <c r="E134" s="14" t="s">
        <v>76</v>
      </c>
      <c r="F134" s="14" t="s">
        <v>77</v>
      </c>
      <c r="G134" s="14" t="s">
        <v>78</v>
      </c>
      <c r="H134" s="0" t="n">
        <v>2</v>
      </c>
      <c r="I134" s="16" t="n">
        <v>41.25</v>
      </c>
      <c r="J134" s="16" t="n">
        <v>15</v>
      </c>
      <c r="K134" s="16" t="n">
        <f aca="false">H134*I134</f>
        <v>82.5</v>
      </c>
      <c r="L134" s="16" t="n">
        <f aca="false">H134*J134</f>
        <v>30</v>
      </c>
      <c r="M134" s="16" t="n">
        <f aca="false">K134-L134</f>
        <v>52.5</v>
      </c>
      <c r="N134" s="17" t="n">
        <f aca="false">IFERROR(M134/K134,0)</f>
        <v>0.636363636363636</v>
      </c>
    </row>
    <row r="135" customFormat="false" ht="15" hidden="false" customHeight="false" outlineLevel="0" collapsed="false">
      <c r="A135" s="15" t="n">
        <v>46029</v>
      </c>
      <c r="B135" s="14" t="s">
        <v>42</v>
      </c>
      <c r="C135" s="14" t="s">
        <v>43</v>
      </c>
      <c r="D135" s="14" t="s">
        <v>44</v>
      </c>
      <c r="E135" s="14" t="s">
        <v>76</v>
      </c>
      <c r="F135" s="14" t="s">
        <v>79</v>
      </c>
      <c r="G135" s="14" t="s">
        <v>80</v>
      </c>
      <c r="H135" s="0" t="n">
        <v>1</v>
      </c>
      <c r="I135" s="16" t="n">
        <v>29.83</v>
      </c>
      <c r="J135" s="16" t="n">
        <v>11</v>
      </c>
      <c r="K135" s="16" t="n">
        <f aca="false">H135*I135</f>
        <v>29.83</v>
      </c>
      <c r="L135" s="16" t="n">
        <f aca="false">H135*J135</f>
        <v>11</v>
      </c>
      <c r="M135" s="16" t="n">
        <f aca="false">K135-L135</f>
        <v>18.83</v>
      </c>
      <c r="N135" s="17" t="n">
        <f aca="false">IFERROR(M135/K135,0)</f>
        <v>0.631243714381495</v>
      </c>
    </row>
    <row r="136" customFormat="false" ht="15" hidden="false" customHeight="false" outlineLevel="0" collapsed="false">
      <c r="A136" s="15" t="n">
        <v>46029</v>
      </c>
      <c r="B136" s="14" t="s">
        <v>42</v>
      </c>
      <c r="C136" s="14" t="s">
        <v>43</v>
      </c>
      <c r="D136" s="14" t="s">
        <v>44</v>
      </c>
      <c r="E136" s="14" t="s">
        <v>56</v>
      </c>
      <c r="F136" s="14" t="s">
        <v>57</v>
      </c>
      <c r="G136" s="14" t="s">
        <v>58</v>
      </c>
      <c r="H136" s="0" t="n">
        <v>9</v>
      </c>
      <c r="I136" s="16" t="n">
        <v>26.87</v>
      </c>
      <c r="J136" s="16" t="n">
        <v>10</v>
      </c>
      <c r="K136" s="16" t="n">
        <f aca="false">H136*I136</f>
        <v>241.83</v>
      </c>
      <c r="L136" s="16" t="n">
        <f aca="false">H136*J136</f>
        <v>90</v>
      </c>
      <c r="M136" s="16" t="n">
        <f aca="false">K136-L136</f>
        <v>151.83</v>
      </c>
      <c r="N136" s="17" t="n">
        <f aca="false">IFERROR(M136/K136,0)</f>
        <v>0.627837737253443</v>
      </c>
    </row>
    <row r="137" customFormat="false" ht="15" hidden="false" customHeight="false" outlineLevel="0" collapsed="false">
      <c r="A137" s="15" t="n">
        <v>46029</v>
      </c>
      <c r="B137" s="14" t="s">
        <v>42</v>
      </c>
      <c r="C137" s="14" t="s">
        <v>43</v>
      </c>
      <c r="D137" s="14" t="s">
        <v>44</v>
      </c>
      <c r="E137" s="14" t="s">
        <v>53</v>
      </c>
      <c r="F137" s="14" t="s">
        <v>74</v>
      </c>
      <c r="G137" s="14" t="s">
        <v>75</v>
      </c>
      <c r="H137" s="0" t="n">
        <v>5</v>
      </c>
      <c r="I137" s="16" t="n">
        <v>82.61</v>
      </c>
      <c r="J137" s="16" t="n">
        <v>38</v>
      </c>
      <c r="K137" s="16" t="n">
        <f aca="false">H137*I137</f>
        <v>413.05</v>
      </c>
      <c r="L137" s="16" t="n">
        <f aca="false">H137*J137</f>
        <v>190</v>
      </c>
      <c r="M137" s="16" t="n">
        <f aca="false">K137-L137</f>
        <v>223.05</v>
      </c>
      <c r="N137" s="17" t="n">
        <f aca="false">IFERROR(M137/K137,0)</f>
        <v>0.540007263043215</v>
      </c>
    </row>
    <row r="138" customFormat="false" ht="15" hidden="false" customHeight="false" outlineLevel="0" collapsed="false">
      <c r="A138" s="15" t="n">
        <v>46029</v>
      </c>
      <c r="B138" s="14" t="s">
        <v>50</v>
      </c>
      <c r="C138" s="14" t="s">
        <v>51</v>
      </c>
      <c r="D138" s="14" t="s">
        <v>52</v>
      </c>
      <c r="E138" s="14" t="s">
        <v>56</v>
      </c>
      <c r="F138" s="14" t="s">
        <v>98</v>
      </c>
      <c r="G138" s="14" t="s">
        <v>99</v>
      </c>
      <c r="H138" s="0" t="n">
        <v>1</v>
      </c>
      <c r="I138" s="16" t="n">
        <v>20.85</v>
      </c>
      <c r="J138" s="16" t="n">
        <v>8</v>
      </c>
      <c r="K138" s="16" t="n">
        <f aca="false">H138*I138</f>
        <v>20.85</v>
      </c>
      <c r="L138" s="16" t="n">
        <f aca="false">H138*J138</f>
        <v>8</v>
      </c>
      <c r="M138" s="16" t="n">
        <f aca="false">K138-L138</f>
        <v>12.85</v>
      </c>
      <c r="N138" s="17" t="n">
        <f aca="false">IFERROR(M138/K138,0)</f>
        <v>0.616306954436451</v>
      </c>
    </row>
    <row r="139" customFormat="false" ht="15" hidden="false" customHeight="false" outlineLevel="0" collapsed="false">
      <c r="A139" s="15" t="n">
        <v>46029</v>
      </c>
      <c r="B139" s="14" t="s">
        <v>50</v>
      </c>
      <c r="C139" s="14" t="s">
        <v>51</v>
      </c>
      <c r="D139" s="14" t="s">
        <v>52</v>
      </c>
      <c r="E139" s="14" t="s">
        <v>64</v>
      </c>
      <c r="F139" s="14" t="s">
        <v>94</v>
      </c>
      <c r="G139" s="14" t="s">
        <v>95</v>
      </c>
      <c r="H139" s="0" t="n">
        <v>3</v>
      </c>
      <c r="I139" s="16" t="n">
        <v>95.09</v>
      </c>
      <c r="J139" s="16" t="n">
        <v>42</v>
      </c>
      <c r="K139" s="16" t="n">
        <f aca="false">H139*I139</f>
        <v>285.27</v>
      </c>
      <c r="L139" s="16" t="n">
        <f aca="false">H139*J139</f>
        <v>126</v>
      </c>
      <c r="M139" s="16" t="n">
        <f aca="false">K139-L139</f>
        <v>159.27</v>
      </c>
      <c r="N139" s="17" t="n">
        <f aca="false">IFERROR(M139/K139,0)</f>
        <v>0.55831317699022</v>
      </c>
    </row>
    <row r="140" customFormat="false" ht="15" hidden="false" customHeight="false" outlineLevel="0" collapsed="false">
      <c r="A140" s="15" t="n">
        <v>46029</v>
      </c>
      <c r="B140" s="14" t="s">
        <v>50</v>
      </c>
      <c r="C140" s="14" t="s">
        <v>51</v>
      </c>
      <c r="D140" s="14" t="s">
        <v>52</v>
      </c>
      <c r="E140" s="14" t="s">
        <v>76</v>
      </c>
      <c r="F140" s="14" t="s">
        <v>79</v>
      </c>
      <c r="G140" s="14" t="s">
        <v>80</v>
      </c>
      <c r="H140" s="0" t="n">
        <v>9</v>
      </c>
      <c r="I140" s="16" t="n">
        <v>29.57</v>
      </c>
      <c r="J140" s="16" t="n">
        <v>11</v>
      </c>
      <c r="K140" s="16" t="n">
        <f aca="false">H140*I140</f>
        <v>266.13</v>
      </c>
      <c r="L140" s="16" t="n">
        <f aca="false">H140*J140</f>
        <v>99</v>
      </c>
      <c r="M140" s="16" t="n">
        <f aca="false">K140-L140</f>
        <v>167.13</v>
      </c>
      <c r="N140" s="17" t="n">
        <f aca="false">IFERROR(M140/K140,0)</f>
        <v>0.628001352722354</v>
      </c>
    </row>
    <row r="141" customFormat="false" ht="15" hidden="false" customHeight="false" outlineLevel="0" collapsed="false">
      <c r="A141" s="15" t="n">
        <v>46029</v>
      </c>
      <c r="B141" s="14" t="s">
        <v>50</v>
      </c>
      <c r="C141" s="14" t="s">
        <v>51</v>
      </c>
      <c r="D141" s="14" t="s">
        <v>52</v>
      </c>
      <c r="E141" s="14" t="s">
        <v>45</v>
      </c>
      <c r="F141" s="14" t="s">
        <v>72</v>
      </c>
      <c r="G141" s="14" t="s">
        <v>73</v>
      </c>
      <c r="H141" s="0" t="n">
        <v>7</v>
      </c>
      <c r="I141" s="16" t="n">
        <v>50.48</v>
      </c>
      <c r="J141" s="16" t="n">
        <v>21</v>
      </c>
      <c r="K141" s="16" t="n">
        <f aca="false">H141*I141</f>
        <v>353.36</v>
      </c>
      <c r="L141" s="16" t="n">
        <f aca="false">H141*J141</f>
        <v>147</v>
      </c>
      <c r="M141" s="16" t="n">
        <f aca="false">K141-L141</f>
        <v>206.36</v>
      </c>
      <c r="N141" s="17" t="n">
        <f aca="false">IFERROR(M141/K141,0)</f>
        <v>0.583993660855784</v>
      </c>
    </row>
    <row r="142" customFormat="false" ht="15" hidden="false" customHeight="false" outlineLevel="0" collapsed="false">
      <c r="A142" s="15" t="n">
        <v>46029</v>
      </c>
      <c r="B142" s="14" t="s">
        <v>59</v>
      </c>
      <c r="C142" s="14" t="s">
        <v>60</v>
      </c>
      <c r="D142" s="14" t="s">
        <v>61</v>
      </c>
      <c r="E142" s="14" t="s">
        <v>53</v>
      </c>
      <c r="F142" s="14" t="s">
        <v>84</v>
      </c>
      <c r="G142" s="14" t="s">
        <v>85</v>
      </c>
      <c r="H142" s="0" t="n">
        <v>2</v>
      </c>
      <c r="I142" s="16" t="n">
        <v>24.47</v>
      </c>
      <c r="J142" s="16" t="n">
        <v>9</v>
      </c>
      <c r="K142" s="16" t="n">
        <f aca="false">H142*I142</f>
        <v>48.94</v>
      </c>
      <c r="L142" s="16" t="n">
        <f aca="false">H142*J142</f>
        <v>18</v>
      </c>
      <c r="M142" s="16" t="n">
        <f aca="false">K142-L142</f>
        <v>30.94</v>
      </c>
      <c r="N142" s="17" t="n">
        <f aca="false">IFERROR(M142/K142,0)</f>
        <v>0.632202697180221</v>
      </c>
    </row>
    <row r="143" customFormat="false" ht="15" hidden="false" customHeight="false" outlineLevel="0" collapsed="false">
      <c r="A143" s="15" t="n">
        <v>46029</v>
      </c>
      <c r="B143" s="14" t="s">
        <v>59</v>
      </c>
      <c r="C143" s="14" t="s">
        <v>60</v>
      </c>
      <c r="D143" s="14" t="s">
        <v>61</v>
      </c>
      <c r="E143" s="14" t="s">
        <v>76</v>
      </c>
      <c r="F143" s="14" t="s">
        <v>100</v>
      </c>
      <c r="G143" s="14" t="s">
        <v>101</v>
      </c>
      <c r="H143" s="0" t="n">
        <v>8</v>
      </c>
      <c r="I143" s="16" t="n">
        <v>15.28</v>
      </c>
      <c r="J143" s="16" t="n">
        <v>5.5</v>
      </c>
      <c r="K143" s="16" t="n">
        <f aca="false">H143*I143</f>
        <v>122.24</v>
      </c>
      <c r="L143" s="16" t="n">
        <f aca="false">H143*J143</f>
        <v>44</v>
      </c>
      <c r="M143" s="16" t="n">
        <f aca="false">K143-L143</f>
        <v>78.24</v>
      </c>
      <c r="N143" s="17" t="n">
        <f aca="false">IFERROR(M143/K143,0)</f>
        <v>0.640052356020942</v>
      </c>
    </row>
    <row r="144" customFormat="false" ht="15" hidden="false" customHeight="false" outlineLevel="0" collapsed="false">
      <c r="A144" s="15" t="n">
        <v>46029</v>
      </c>
      <c r="B144" s="14" t="s">
        <v>59</v>
      </c>
      <c r="C144" s="14" t="s">
        <v>60</v>
      </c>
      <c r="D144" s="14" t="s">
        <v>61</v>
      </c>
      <c r="E144" s="14" t="s">
        <v>56</v>
      </c>
      <c r="F144" s="14" t="s">
        <v>67</v>
      </c>
      <c r="G144" s="14" t="s">
        <v>68</v>
      </c>
      <c r="H144" s="0" t="n">
        <v>5</v>
      </c>
      <c r="I144" s="16" t="n">
        <v>37.55</v>
      </c>
      <c r="J144" s="16" t="n">
        <v>15</v>
      </c>
      <c r="K144" s="16" t="n">
        <f aca="false">H144*I144</f>
        <v>187.75</v>
      </c>
      <c r="L144" s="16" t="n">
        <f aca="false">H144*J144</f>
        <v>75</v>
      </c>
      <c r="M144" s="16" t="n">
        <f aca="false">K144-L144</f>
        <v>112.75</v>
      </c>
      <c r="N144" s="17" t="n">
        <f aca="false">IFERROR(M144/K144,0)</f>
        <v>0.600532623169108</v>
      </c>
    </row>
    <row r="145" customFormat="false" ht="15" hidden="false" customHeight="false" outlineLevel="0" collapsed="false">
      <c r="A145" s="15" t="n">
        <v>46029</v>
      </c>
      <c r="B145" s="14" t="s">
        <v>59</v>
      </c>
      <c r="C145" s="14" t="s">
        <v>60</v>
      </c>
      <c r="D145" s="14" t="s">
        <v>61</v>
      </c>
      <c r="E145" s="14" t="s">
        <v>45</v>
      </c>
      <c r="F145" s="14" t="s">
        <v>46</v>
      </c>
      <c r="G145" s="14" t="s">
        <v>47</v>
      </c>
      <c r="H145" s="0" t="n">
        <v>7</v>
      </c>
      <c r="I145" s="16" t="n">
        <v>42.28</v>
      </c>
      <c r="J145" s="16" t="n">
        <v>18</v>
      </c>
      <c r="K145" s="16" t="n">
        <f aca="false">H145*I145</f>
        <v>295.96</v>
      </c>
      <c r="L145" s="16" t="n">
        <f aca="false">H145*J145</f>
        <v>126</v>
      </c>
      <c r="M145" s="16" t="n">
        <f aca="false">K145-L145</f>
        <v>169.96</v>
      </c>
      <c r="N145" s="17" t="n">
        <f aca="false">IFERROR(M145/K145,0)</f>
        <v>0.574266792809839</v>
      </c>
    </row>
    <row r="146" customFormat="false" ht="15" hidden="false" customHeight="false" outlineLevel="0" collapsed="false">
      <c r="A146" s="15" t="n">
        <v>46029</v>
      </c>
      <c r="B146" s="14" t="s">
        <v>59</v>
      </c>
      <c r="C146" s="14" t="s">
        <v>60</v>
      </c>
      <c r="D146" s="14" t="s">
        <v>61</v>
      </c>
      <c r="E146" s="14" t="s">
        <v>64</v>
      </c>
      <c r="F146" s="14" t="s">
        <v>90</v>
      </c>
      <c r="G146" s="14" t="s">
        <v>91</v>
      </c>
      <c r="H146" s="0" t="n">
        <v>7</v>
      </c>
      <c r="I146" s="16" t="n">
        <v>11.07</v>
      </c>
      <c r="J146" s="16" t="n">
        <v>3.5</v>
      </c>
      <c r="K146" s="16" t="n">
        <f aca="false">H146*I146</f>
        <v>77.49</v>
      </c>
      <c r="L146" s="16" t="n">
        <f aca="false">H146*J146</f>
        <v>24.5</v>
      </c>
      <c r="M146" s="16" t="n">
        <f aca="false">K146-L146</f>
        <v>52.99</v>
      </c>
      <c r="N146" s="17" t="n">
        <f aca="false">IFERROR(M146/K146,0)</f>
        <v>0.68383017163505</v>
      </c>
    </row>
    <row r="147" customFormat="false" ht="15" hidden="false" customHeight="false" outlineLevel="0" collapsed="false">
      <c r="A147" s="15" t="n">
        <v>46029</v>
      </c>
      <c r="B147" s="14" t="s">
        <v>69</v>
      </c>
      <c r="C147" s="14" t="s">
        <v>70</v>
      </c>
      <c r="D147" s="14" t="s">
        <v>71</v>
      </c>
      <c r="E147" s="14" t="s">
        <v>53</v>
      </c>
      <c r="F147" s="14" t="s">
        <v>84</v>
      </c>
      <c r="G147" s="14" t="s">
        <v>85</v>
      </c>
      <c r="H147" s="0" t="n">
        <v>3</v>
      </c>
      <c r="I147" s="16" t="n">
        <v>23.71</v>
      </c>
      <c r="J147" s="16" t="n">
        <v>9</v>
      </c>
      <c r="K147" s="16" t="n">
        <f aca="false">H147*I147</f>
        <v>71.13</v>
      </c>
      <c r="L147" s="16" t="n">
        <f aca="false">H147*J147</f>
        <v>27</v>
      </c>
      <c r="M147" s="16" t="n">
        <f aca="false">K147-L147</f>
        <v>44.13</v>
      </c>
      <c r="N147" s="17" t="n">
        <f aca="false">IFERROR(M147/K147,0)</f>
        <v>0.620413327709827</v>
      </c>
    </row>
    <row r="148" customFormat="false" ht="15" hidden="false" customHeight="false" outlineLevel="0" collapsed="false">
      <c r="A148" s="15" t="n">
        <v>46029</v>
      </c>
      <c r="B148" s="14" t="s">
        <v>69</v>
      </c>
      <c r="C148" s="14" t="s">
        <v>70</v>
      </c>
      <c r="D148" s="14" t="s">
        <v>71</v>
      </c>
      <c r="E148" s="14" t="s">
        <v>76</v>
      </c>
      <c r="F148" s="14" t="s">
        <v>102</v>
      </c>
      <c r="G148" s="14" t="s">
        <v>103</v>
      </c>
      <c r="H148" s="0" t="n">
        <v>5</v>
      </c>
      <c r="I148" s="16" t="n">
        <v>23.77</v>
      </c>
      <c r="J148" s="16" t="n">
        <v>8.5</v>
      </c>
      <c r="K148" s="16" t="n">
        <f aca="false">H148*I148</f>
        <v>118.85</v>
      </c>
      <c r="L148" s="16" t="n">
        <f aca="false">H148*J148</f>
        <v>42.5</v>
      </c>
      <c r="M148" s="16" t="n">
        <f aca="false">K148-L148</f>
        <v>76.35</v>
      </c>
      <c r="N148" s="17" t="n">
        <f aca="false">IFERROR(M148/K148,0)</f>
        <v>0.642406394615061</v>
      </c>
    </row>
    <row r="149" customFormat="false" ht="15" hidden="false" customHeight="false" outlineLevel="0" collapsed="false">
      <c r="A149" s="15" t="n">
        <v>46029</v>
      </c>
      <c r="B149" s="14" t="s">
        <v>69</v>
      </c>
      <c r="C149" s="14" t="s">
        <v>70</v>
      </c>
      <c r="D149" s="14" t="s">
        <v>71</v>
      </c>
      <c r="E149" s="14" t="s">
        <v>76</v>
      </c>
      <c r="F149" s="14" t="s">
        <v>79</v>
      </c>
      <c r="G149" s="14" t="s">
        <v>80</v>
      </c>
      <c r="H149" s="0" t="n">
        <v>4</v>
      </c>
      <c r="I149" s="16" t="n">
        <v>27.81</v>
      </c>
      <c r="J149" s="16" t="n">
        <v>11</v>
      </c>
      <c r="K149" s="16" t="n">
        <f aca="false">H149*I149</f>
        <v>111.24</v>
      </c>
      <c r="L149" s="16" t="n">
        <f aca="false">H149*J149</f>
        <v>44</v>
      </c>
      <c r="M149" s="16" t="n">
        <f aca="false">K149-L149</f>
        <v>67.24</v>
      </c>
      <c r="N149" s="17" t="n">
        <f aca="false">IFERROR(M149/K149,0)</f>
        <v>0.604458827759799</v>
      </c>
    </row>
    <row r="150" customFormat="false" ht="15" hidden="false" customHeight="false" outlineLevel="0" collapsed="false">
      <c r="A150" s="15" t="n">
        <v>46029</v>
      </c>
      <c r="B150" s="14" t="s">
        <v>69</v>
      </c>
      <c r="C150" s="14" t="s">
        <v>70</v>
      </c>
      <c r="D150" s="14" t="s">
        <v>71</v>
      </c>
      <c r="E150" s="14" t="s">
        <v>64</v>
      </c>
      <c r="F150" s="14" t="s">
        <v>90</v>
      </c>
      <c r="G150" s="14" t="s">
        <v>91</v>
      </c>
      <c r="H150" s="0" t="n">
        <v>4</v>
      </c>
      <c r="I150" s="16" t="n">
        <v>11.7</v>
      </c>
      <c r="J150" s="16" t="n">
        <v>3.5</v>
      </c>
      <c r="K150" s="16" t="n">
        <f aca="false">H150*I150</f>
        <v>46.8</v>
      </c>
      <c r="L150" s="16" t="n">
        <f aca="false">H150*J150</f>
        <v>14</v>
      </c>
      <c r="M150" s="16" t="n">
        <f aca="false">K150-L150</f>
        <v>32.8</v>
      </c>
      <c r="N150" s="17" t="n">
        <f aca="false">IFERROR(M150/K150,0)</f>
        <v>0.700854700854701</v>
      </c>
    </row>
    <row r="151" customFormat="false" ht="15" hidden="false" customHeight="false" outlineLevel="0" collapsed="false">
      <c r="A151" s="15" t="n">
        <v>46029</v>
      </c>
      <c r="B151" s="14" t="s">
        <v>81</v>
      </c>
      <c r="C151" s="14" t="s">
        <v>82</v>
      </c>
      <c r="D151" s="14" t="s">
        <v>83</v>
      </c>
      <c r="E151" s="14" t="s">
        <v>64</v>
      </c>
      <c r="F151" s="14" t="s">
        <v>65</v>
      </c>
      <c r="G151" s="14" t="s">
        <v>66</v>
      </c>
      <c r="H151" s="0" t="n">
        <v>2</v>
      </c>
      <c r="I151" s="16" t="n">
        <v>74.54</v>
      </c>
      <c r="J151" s="16" t="n">
        <v>34</v>
      </c>
      <c r="K151" s="16" t="n">
        <f aca="false">H151*I151</f>
        <v>149.08</v>
      </c>
      <c r="L151" s="16" t="n">
        <f aca="false">H151*J151</f>
        <v>68</v>
      </c>
      <c r="M151" s="16" t="n">
        <f aca="false">K151-L151</f>
        <v>81.08</v>
      </c>
      <c r="N151" s="17" t="n">
        <f aca="false">IFERROR(M151/K151,0)</f>
        <v>0.543869063590019</v>
      </c>
    </row>
    <row r="152" customFormat="false" ht="15" hidden="false" customHeight="false" outlineLevel="0" collapsed="false">
      <c r="A152" s="15" t="n">
        <v>46029</v>
      </c>
      <c r="B152" s="14" t="s">
        <v>81</v>
      </c>
      <c r="C152" s="14" t="s">
        <v>82</v>
      </c>
      <c r="D152" s="14" t="s">
        <v>83</v>
      </c>
      <c r="E152" s="14" t="s">
        <v>64</v>
      </c>
      <c r="F152" s="14" t="s">
        <v>96</v>
      </c>
      <c r="G152" s="14" t="s">
        <v>97</v>
      </c>
      <c r="H152" s="0" t="n">
        <v>5</v>
      </c>
      <c r="I152" s="16" t="n">
        <v>57.41</v>
      </c>
      <c r="J152" s="16" t="n">
        <v>24</v>
      </c>
      <c r="K152" s="16" t="n">
        <f aca="false">H152*I152</f>
        <v>287.05</v>
      </c>
      <c r="L152" s="16" t="n">
        <f aca="false">H152*J152</f>
        <v>120</v>
      </c>
      <c r="M152" s="16" t="n">
        <f aca="false">K152-L152</f>
        <v>167.05</v>
      </c>
      <c r="N152" s="17" t="n">
        <f aca="false">IFERROR(M152/K152,0)</f>
        <v>0.581954363351332</v>
      </c>
    </row>
    <row r="153" customFormat="false" ht="15" hidden="false" customHeight="false" outlineLevel="0" collapsed="false">
      <c r="A153" s="15" t="n">
        <v>46029</v>
      </c>
      <c r="B153" s="14" t="s">
        <v>81</v>
      </c>
      <c r="C153" s="14" t="s">
        <v>82</v>
      </c>
      <c r="D153" s="14" t="s">
        <v>83</v>
      </c>
      <c r="E153" s="14" t="s">
        <v>76</v>
      </c>
      <c r="F153" s="14" t="s">
        <v>100</v>
      </c>
      <c r="G153" s="14" t="s">
        <v>101</v>
      </c>
      <c r="H153" s="0" t="n">
        <v>5</v>
      </c>
      <c r="I153" s="16" t="n">
        <v>15.26</v>
      </c>
      <c r="J153" s="16" t="n">
        <v>5.5</v>
      </c>
      <c r="K153" s="16" t="n">
        <f aca="false">H153*I153</f>
        <v>76.3</v>
      </c>
      <c r="L153" s="16" t="n">
        <f aca="false">H153*J153</f>
        <v>27.5</v>
      </c>
      <c r="M153" s="16" t="n">
        <f aca="false">K153-L153</f>
        <v>48.8</v>
      </c>
      <c r="N153" s="17" t="n">
        <f aca="false">IFERROR(M153/K153,0)</f>
        <v>0.639580602883355</v>
      </c>
    </row>
    <row r="154" customFormat="false" ht="15" hidden="false" customHeight="false" outlineLevel="0" collapsed="false">
      <c r="A154" s="15" t="n">
        <v>46029</v>
      </c>
      <c r="B154" s="14" t="s">
        <v>81</v>
      </c>
      <c r="C154" s="14" t="s">
        <v>82</v>
      </c>
      <c r="D154" s="14" t="s">
        <v>83</v>
      </c>
      <c r="E154" s="14" t="s">
        <v>56</v>
      </c>
      <c r="F154" s="14" t="s">
        <v>67</v>
      </c>
      <c r="G154" s="14" t="s">
        <v>68</v>
      </c>
      <c r="H154" s="0" t="n">
        <v>4</v>
      </c>
      <c r="I154" s="16" t="n">
        <v>37.1</v>
      </c>
      <c r="J154" s="16" t="n">
        <v>15</v>
      </c>
      <c r="K154" s="16" t="n">
        <f aca="false">H154*I154</f>
        <v>148.4</v>
      </c>
      <c r="L154" s="16" t="n">
        <f aca="false">H154*J154</f>
        <v>60</v>
      </c>
      <c r="M154" s="16" t="n">
        <f aca="false">K154-L154</f>
        <v>88.4</v>
      </c>
      <c r="N154" s="17" t="n">
        <f aca="false">IFERROR(M154/K154,0)</f>
        <v>0.595687331536388</v>
      </c>
    </row>
    <row r="155" customFormat="false" ht="15" hidden="false" customHeight="false" outlineLevel="0" collapsed="false">
      <c r="A155" s="15" t="n">
        <v>46029</v>
      </c>
      <c r="B155" s="14" t="s">
        <v>81</v>
      </c>
      <c r="C155" s="14" t="s">
        <v>82</v>
      </c>
      <c r="D155" s="14" t="s">
        <v>83</v>
      </c>
      <c r="E155" s="14" t="s">
        <v>76</v>
      </c>
      <c r="F155" s="14" t="s">
        <v>102</v>
      </c>
      <c r="G155" s="14" t="s">
        <v>103</v>
      </c>
      <c r="H155" s="0" t="n">
        <v>4</v>
      </c>
      <c r="I155" s="16" t="n">
        <v>22.52</v>
      </c>
      <c r="J155" s="16" t="n">
        <v>8.5</v>
      </c>
      <c r="K155" s="16" t="n">
        <f aca="false">H155*I155</f>
        <v>90.08</v>
      </c>
      <c r="L155" s="16" t="n">
        <f aca="false">H155*J155</f>
        <v>34</v>
      </c>
      <c r="M155" s="16" t="n">
        <f aca="false">K155-L155</f>
        <v>56.08</v>
      </c>
      <c r="N155" s="17" t="n">
        <f aca="false">IFERROR(M155/K155,0)</f>
        <v>0.622557726465364</v>
      </c>
    </row>
    <row r="156" customFormat="false" ht="15" hidden="false" customHeight="false" outlineLevel="0" collapsed="false">
      <c r="A156" s="15" t="n">
        <v>46029</v>
      </c>
      <c r="B156" s="14" t="s">
        <v>88</v>
      </c>
      <c r="C156" s="14" t="s">
        <v>89</v>
      </c>
      <c r="D156" s="14" t="s">
        <v>44</v>
      </c>
      <c r="E156" s="14" t="s">
        <v>76</v>
      </c>
      <c r="F156" s="14" t="s">
        <v>79</v>
      </c>
      <c r="G156" s="14" t="s">
        <v>80</v>
      </c>
      <c r="H156" s="0" t="n">
        <v>3</v>
      </c>
      <c r="I156" s="16" t="n">
        <v>28.06</v>
      </c>
      <c r="J156" s="16" t="n">
        <v>11</v>
      </c>
      <c r="K156" s="16" t="n">
        <f aca="false">H156*I156</f>
        <v>84.18</v>
      </c>
      <c r="L156" s="16" t="n">
        <f aca="false">H156*J156</f>
        <v>33</v>
      </c>
      <c r="M156" s="16" t="n">
        <f aca="false">K156-L156</f>
        <v>51.18</v>
      </c>
      <c r="N156" s="17" t="n">
        <f aca="false">IFERROR(M156/K156,0)</f>
        <v>0.607982893799002</v>
      </c>
    </row>
    <row r="157" customFormat="false" ht="15" hidden="false" customHeight="false" outlineLevel="0" collapsed="false">
      <c r="A157" s="15" t="n">
        <v>46029</v>
      </c>
      <c r="B157" s="14" t="s">
        <v>88</v>
      </c>
      <c r="C157" s="14" t="s">
        <v>89</v>
      </c>
      <c r="D157" s="14" t="s">
        <v>44</v>
      </c>
      <c r="E157" s="14" t="s">
        <v>64</v>
      </c>
      <c r="F157" s="14" t="s">
        <v>94</v>
      </c>
      <c r="G157" s="14" t="s">
        <v>95</v>
      </c>
      <c r="H157" s="0" t="n">
        <v>7</v>
      </c>
      <c r="I157" s="16" t="n">
        <v>98.85</v>
      </c>
      <c r="J157" s="16" t="n">
        <v>42</v>
      </c>
      <c r="K157" s="16" t="n">
        <f aca="false">H157*I157</f>
        <v>691.95</v>
      </c>
      <c r="L157" s="16" t="n">
        <f aca="false">H157*J157</f>
        <v>294</v>
      </c>
      <c r="M157" s="16" t="n">
        <f aca="false">K157-L157</f>
        <v>397.95</v>
      </c>
      <c r="N157" s="17" t="n">
        <f aca="false">IFERROR(M157/K157,0)</f>
        <v>0.575113808801214</v>
      </c>
    </row>
    <row r="158" customFormat="false" ht="15" hidden="false" customHeight="false" outlineLevel="0" collapsed="false">
      <c r="A158" s="15" t="n">
        <v>46029</v>
      </c>
      <c r="B158" s="14" t="s">
        <v>88</v>
      </c>
      <c r="C158" s="14" t="s">
        <v>89</v>
      </c>
      <c r="D158" s="14" t="s">
        <v>44</v>
      </c>
      <c r="E158" s="14" t="s">
        <v>53</v>
      </c>
      <c r="F158" s="14" t="s">
        <v>92</v>
      </c>
      <c r="G158" s="14" t="s">
        <v>93</v>
      </c>
      <c r="H158" s="0" t="n">
        <v>4</v>
      </c>
      <c r="I158" s="16" t="n">
        <v>113.86</v>
      </c>
      <c r="J158" s="16" t="n">
        <v>52</v>
      </c>
      <c r="K158" s="16" t="n">
        <f aca="false">H158*I158</f>
        <v>455.44</v>
      </c>
      <c r="L158" s="16" t="n">
        <f aca="false">H158*J158</f>
        <v>208</v>
      </c>
      <c r="M158" s="16" t="n">
        <f aca="false">K158-L158</f>
        <v>247.44</v>
      </c>
      <c r="N158" s="17" t="n">
        <f aca="false">IFERROR(M158/K158,0)</f>
        <v>0.543298787985245</v>
      </c>
    </row>
    <row r="159" customFormat="false" ht="15" hidden="false" customHeight="false" outlineLevel="0" collapsed="false">
      <c r="A159" s="15" t="n">
        <v>46030</v>
      </c>
      <c r="B159" s="14" t="s">
        <v>42</v>
      </c>
      <c r="C159" s="14" t="s">
        <v>43</v>
      </c>
      <c r="D159" s="14" t="s">
        <v>44</v>
      </c>
      <c r="E159" s="14" t="s">
        <v>45</v>
      </c>
      <c r="F159" s="14" t="s">
        <v>62</v>
      </c>
      <c r="G159" s="14" t="s">
        <v>63</v>
      </c>
      <c r="H159" s="0" t="n">
        <v>6</v>
      </c>
      <c r="I159" s="16" t="n">
        <v>16.63</v>
      </c>
      <c r="J159" s="16" t="n">
        <v>6.5</v>
      </c>
      <c r="K159" s="16" t="n">
        <f aca="false">H159*I159</f>
        <v>99.78</v>
      </c>
      <c r="L159" s="16" t="n">
        <f aca="false">H159*J159</f>
        <v>39</v>
      </c>
      <c r="M159" s="16" t="n">
        <f aca="false">K159-L159</f>
        <v>60.78</v>
      </c>
      <c r="N159" s="17" t="n">
        <f aca="false">IFERROR(M159/K159,0)</f>
        <v>0.609140108238124</v>
      </c>
    </row>
    <row r="160" customFormat="false" ht="15" hidden="false" customHeight="false" outlineLevel="0" collapsed="false">
      <c r="A160" s="15" t="n">
        <v>46030</v>
      </c>
      <c r="B160" s="14" t="s">
        <v>42</v>
      </c>
      <c r="C160" s="14" t="s">
        <v>43</v>
      </c>
      <c r="D160" s="14" t="s">
        <v>44</v>
      </c>
      <c r="E160" s="14" t="s">
        <v>45</v>
      </c>
      <c r="F160" s="14" t="s">
        <v>46</v>
      </c>
      <c r="G160" s="14" t="s">
        <v>47</v>
      </c>
      <c r="H160" s="0" t="n">
        <v>4</v>
      </c>
      <c r="I160" s="16" t="n">
        <v>43.7</v>
      </c>
      <c r="J160" s="16" t="n">
        <v>18</v>
      </c>
      <c r="K160" s="16" t="n">
        <f aca="false">H160*I160</f>
        <v>174.8</v>
      </c>
      <c r="L160" s="16" t="n">
        <f aca="false">H160*J160</f>
        <v>72</v>
      </c>
      <c r="M160" s="16" t="n">
        <f aca="false">K160-L160</f>
        <v>102.8</v>
      </c>
      <c r="N160" s="17" t="n">
        <f aca="false">IFERROR(M160/K160,0)</f>
        <v>0.588100686498856</v>
      </c>
    </row>
    <row r="161" customFormat="false" ht="15" hidden="false" customHeight="false" outlineLevel="0" collapsed="false">
      <c r="A161" s="15" t="n">
        <v>46030</v>
      </c>
      <c r="B161" s="14" t="s">
        <v>42</v>
      </c>
      <c r="C161" s="14" t="s">
        <v>43</v>
      </c>
      <c r="D161" s="14" t="s">
        <v>44</v>
      </c>
      <c r="E161" s="14" t="s">
        <v>64</v>
      </c>
      <c r="F161" s="14" t="s">
        <v>65</v>
      </c>
      <c r="G161" s="14" t="s">
        <v>66</v>
      </c>
      <c r="H161" s="0" t="n">
        <v>2</v>
      </c>
      <c r="I161" s="16" t="n">
        <v>76.31</v>
      </c>
      <c r="J161" s="16" t="n">
        <v>34</v>
      </c>
      <c r="K161" s="16" t="n">
        <f aca="false">H161*I161</f>
        <v>152.62</v>
      </c>
      <c r="L161" s="16" t="n">
        <f aca="false">H161*J161</f>
        <v>68</v>
      </c>
      <c r="M161" s="16" t="n">
        <f aca="false">K161-L161</f>
        <v>84.62</v>
      </c>
      <c r="N161" s="17" t="n">
        <f aca="false">IFERROR(M161/K161,0)</f>
        <v>0.554448958196829</v>
      </c>
    </row>
    <row r="162" customFormat="false" ht="15" hidden="false" customHeight="false" outlineLevel="0" collapsed="false">
      <c r="A162" s="15" t="n">
        <v>46030</v>
      </c>
      <c r="B162" s="14" t="s">
        <v>42</v>
      </c>
      <c r="C162" s="14" t="s">
        <v>43</v>
      </c>
      <c r="D162" s="14" t="s">
        <v>44</v>
      </c>
      <c r="E162" s="14" t="s">
        <v>64</v>
      </c>
      <c r="F162" s="14" t="s">
        <v>90</v>
      </c>
      <c r="G162" s="14" t="s">
        <v>91</v>
      </c>
      <c r="H162" s="0" t="n">
        <v>14</v>
      </c>
      <c r="I162" s="16" t="n">
        <v>11.37</v>
      </c>
      <c r="J162" s="16" t="n">
        <v>3.5</v>
      </c>
      <c r="K162" s="16" t="n">
        <f aca="false">H162*I162</f>
        <v>159.18</v>
      </c>
      <c r="L162" s="16" t="n">
        <f aca="false">H162*J162</f>
        <v>49</v>
      </c>
      <c r="M162" s="16" t="n">
        <f aca="false">K162-L162</f>
        <v>110.18</v>
      </c>
      <c r="N162" s="17" t="n">
        <f aca="false">IFERROR(M162/K162,0)</f>
        <v>0.692172383465259</v>
      </c>
    </row>
    <row r="163" customFormat="false" ht="15" hidden="false" customHeight="false" outlineLevel="0" collapsed="false">
      <c r="A163" s="15" t="n">
        <v>46030</v>
      </c>
      <c r="B163" s="14" t="s">
        <v>50</v>
      </c>
      <c r="C163" s="14" t="s">
        <v>51</v>
      </c>
      <c r="D163" s="14" t="s">
        <v>52</v>
      </c>
      <c r="E163" s="14" t="s">
        <v>76</v>
      </c>
      <c r="F163" s="14" t="s">
        <v>100</v>
      </c>
      <c r="G163" s="14" t="s">
        <v>101</v>
      </c>
      <c r="H163" s="0" t="n">
        <v>3</v>
      </c>
      <c r="I163" s="16" t="n">
        <v>15.77</v>
      </c>
      <c r="J163" s="16" t="n">
        <v>5.5</v>
      </c>
      <c r="K163" s="16" t="n">
        <f aca="false">H163*I163</f>
        <v>47.31</v>
      </c>
      <c r="L163" s="16" t="n">
        <f aca="false">H163*J163</f>
        <v>16.5</v>
      </c>
      <c r="M163" s="16" t="n">
        <f aca="false">K163-L163</f>
        <v>30.81</v>
      </c>
      <c r="N163" s="17" t="n">
        <f aca="false">IFERROR(M163/K163,0)</f>
        <v>0.651236525047559</v>
      </c>
    </row>
    <row r="164" customFormat="false" ht="15" hidden="false" customHeight="false" outlineLevel="0" collapsed="false">
      <c r="A164" s="15" t="n">
        <v>46030</v>
      </c>
      <c r="B164" s="14" t="s">
        <v>50</v>
      </c>
      <c r="C164" s="14" t="s">
        <v>51</v>
      </c>
      <c r="D164" s="14" t="s">
        <v>52</v>
      </c>
      <c r="E164" s="14" t="s">
        <v>64</v>
      </c>
      <c r="F164" s="14" t="s">
        <v>90</v>
      </c>
      <c r="G164" s="14" t="s">
        <v>91</v>
      </c>
      <c r="H164" s="0" t="n">
        <v>3</v>
      </c>
      <c r="I164" s="16" t="n">
        <v>11.59</v>
      </c>
      <c r="J164" s="16" t="n">
        <v>3.5</v>
      </c>
      <c r="K164" s="16" t="n">
        <f aca="false">H164*I164</f>
        <v>34.77</v>
      </c>
      <c r="L164" s="16" t="n">
        <f aca="false">H164*J164</f>
        <v>10.5</v>
      </c>
      <c r="M164" s="16" t="n">
        <f aca="false">K164-L164</f>
        <v>24.27</v>
      </c>
      <c r="N164" s="17" t="n">
        <f aca="false">IFERROR(M164/K164,0)</f>
        <v>0.698015530629853</v>
      </c>
    </row>
    <row r="165" customFormat="false" ht="15" hidden="false" customHeight="false" outlineLevel="0" collapsed="false">
      <c r="A165" s="15" t="n">
        <v>46030</v>
      </c>
      <c r="B165" s="14" t="s">
        <v>59</v>
      </c>
      <c r="C165" s="14" t="s">
        <v>60</v>
      </c>
      <c r="D165" s="14" t="s">
        <v>61</v>
      </c>
      <c r="E165" s="14" t="s">
        <v>53</v>
      </c>
      <c r="F165" s="14" t="s">
        <v>54</v>
      </c>
      <c r="G165" s="14" t="s">
        <v>55</v>
      </c>
      <c r="H165" s="0" t="n">
        <v>4</v>
      </c>
      <c r="I165" s="16" t="n">
        <v>50.97</v>
      </c>
      <c r="J165" s="16" t="n">
        <v>22</v>
      </c>
      <c r="K165" s="16" t="n">
        <f aca="false">H165*I165</f>
        <v>203.88</v>
      </c>
      <c r="L165" s="16" t="n">
        <f aca="false">H165*J165</f>
        <v>88</v>
      </c>
      <c r="M165" s="16" t="n">
        <f aca="false">K165-L165</f>
        <v>115.88</v>
      </c>
      <c r="N165" s="17" t="n">
        <f aca="false">IFERROR(M165/K165,0)</f>
        <v>0.568373553070434</v>
      </c>
    </row>
    <row r="166" customFormat="false" ht="15" hidden="false" customHeight="false" outlineLevel="0" collapsed="false">
      <c r="A166" s="15" t="n">
        <v>46030</v>
      </c>
      <c r="B166" s="14" t="s">
        <v>59</v>
      </c>
      <c r="C166" s="14" t="s">
        <v>60</v>
      </c>
      <c r="D166" s="14" t="s">
        <v>61</v>
      </c>
      <c r="E166" s="14" t="s">
        <v>53</v>
      </c>
      <c r="F166" s="14" t="s">
        <v>74</v>
      </c>
      <c r="G166" s="14" t="s">
        <v>75</v>
      </c>
      <c r="H166" s="0" t="n">
        <v>6</v>
      </c>
      <c r="I166" s="16" t="n">
        <v>86.2</v>
      </c>
      <c r="J166" s="16" t="n">
        <v>38</v>
      </c>
      <c r="K166" s="16" t="n">
        <f aca="false">H166*I166</f>
        <v>517.2</v>
      </c>
      <c r="L166" s="16" t="n">
        <f aca="false">H166*J166</f>
        <v>228</v>
      </c>
      <c r="M166" s="16" t="n">
        <f aca="false">K166-L166</f>
        <v>289.2</v>
      </c>
      <c r="N166" s="17" t="n">
        <f aca="false">IFERROR(M166/K166,0)</f>
        <v>0.559164733178654</v>
      </c>
    </row>
    <row r="167" customFormat="false" ht="15" hidden="false" customHeight="false" outlineLevel="0" collapsed="false">
      <c r="A167" s="15" t="n">
        <v>46030</v>
      </c>
      <c r="B167" s="14" t="s">
        <v>69</v>
      </c>
      <c r="C167" s="14" t="s">
        <v>70</v>
      </c>
      <c r="D167" s="14" t="s">
        <v>71</v>
      </c>
      <c r="E167" s="14" t="s">
        <v>53</v>
      </c>
      <c r="F167" s="14" t="s">
        <v>84</v>
      </c>
      <c r="G167" s="14" t="s">
        <v>85</v>
      </c>
      <c r="H167" s="0" t="n">
        <v>6</v>
      </c>
      <c r="I167" s="16" t="n">
        <v>24.82</v>
      </c>
      <c r="J167" s="16" t="n">
        <v>9</v>
      </c>
      <c r="K167" s="16" t="n">
        <f aca="false">H167*I167</f>
        <v>148.92</v>
      </c>
      <c r="L167" s="16" t="n">
        <f aca="false">H167*J167</f>
        <v>54</v>
      </c>
      <c r="M167" s="16" t="n">
        <f aca="false">K167-L167</f>
        <v>94.92</v>
      </c>
      <c r="N167" s="17" t="n">
        <f aca="false">IFERROR(M167/K167,0)</f>
        <v>0.637389202256245</v>
      </c>
    </row>
    <row r="168" customFormat="false" ht="15" hidden="false" customHeight="false" outlineLevel="0" collapsed="false">
      <c r="A168" s="15" t="n">
        <v>46030</v>
      </c>
      <c r="B168" s="14" t="s">
        <v>69</v>
      </c>
      <c r="C168" s="14" t="s">
        <v>70</v>
      </c>
      <c r="D168" s="14" t="s">
        <v>71</v>
      </c>
      <c r="E168" s="14" t="s">
        <v>76</v>
      </c>
      <c r="F168" s="14" t="s">
        <v>100</v>
      </c>
      <c r="G168" s="14" t="s">
        <v>101</v>
      </c>
      <c r="H168" s="0" t="n">
        <v>5</v>
      </c>
      <c r="I168" s="16" t="n">
        <v>15.45</v>
      </c>
      <c r="J168" s="16" t="n">
        <v>5.5</v>
      </c>
      <c r="K168" s="16" t="n">
        <f aca="false">H168*I168</f>
        <v>77.25</v>
      </c>
      <c r="L168" s="16" t="n">
        <f aca="false">H168*J168</f>
        <v>27.5</v>
      </c>
      <c r="M168" s="16" t="n">
        <f aca="false">K168-L168</f>
        <v>49.75</v>
      </c>
      <c r="N168" s="17" t="n">
        <f aca="false">IFERROR(M168/K168,0)</f>
        <v>0.644012944983819</v>
      </c>
    </row>
    <row r="169" customFormat="false" ht="15" hidden="false" customHeight="false" outlineLevel="0" collapsed="false">
      <c r="A169" s="15" t="n">
        <v>46030</v>
      </c>
      <c r="B169" s="14" t="s">
        <v>69</v>
      </c>
      <c r="C169" s="14" t="s">
        <v>70</v>
      </c>
      <c r="D169" s="14" t="s">
        <v>71</v>
      </c>
      <c r="E169" s="14" t="s">
        <v>45</v>
      </c>
      <c r="F169" s="14" t="s">
        <v>48</v>
      </c>
      <c r="G169" s="14" t="s">
        <v>49</v>
      </c>
      <c r="H169" s="0" t="n">
        <v>3</v>
      </c>
      <c r="I169" s="16" t="n">
        <v>65.96</v>
      </c>
      <c r="J169" s="16" t="n">
        <v>27.5</v>
      </c>
      <c r="K169" s="16" t="n">
        <f aca="false">H169*I169</f>
        <v>197.88</v>
      </c>
      <c r="L169" s="16" t="n">
        <f aca="false">H169*J169</f>
        <v>82.5</v>
      </c>
      <c r="M169" s="16" t="n">
        <f aca="false">K169-L169</f>
        <v>115.38</v>
      </c>
      <c r="N169" s="17" t="n">
        <f aca="false">IFERROR(M169/K169,0)</f>
        <v>0.583080654942389</v>
      </c>
    </row>
    <row r="170" customFormat="false" ht="15" hidden="false" customHeight="false" outlineLevel="0" collapsed="false">
      <c r="A170" s="15" t="n">
        <v>46030</v>
      </c>
      <c r="B170" s="14" t="s">
        <v>69</v>
      </c>
      <c r="C170" s="14" t="s">
        <v>70</v>
      </c>
      <c r="D170" s="14" t="s">
        <v>71</v>
      </c>
      <c r="E170" s="14" t="s">
        <v>76</v>
      </c>
      <c r="F170" s="14" t="s">
        <v>79</v>
      </c>
      <c r="G170" s="14" t="s">
        <v>80</v>
      </c>
      <c r="H170" s="0" t="n">
        <v>3</v>
      </c>
      <c r="I170" s="16" t="n">
        <v>28.18</v>
      </c>
      <c r="J170" s="16" t="n">
        <v>11</v>
      </c>
      <c r="K170" s="16" t="n">
        <f aca="false">H170*I170</f>
        <v>84.54</v>
      </c>
      <c r="L170" s="16" t="n">
        <f aca="false">H170*J170</f>
        <v>33</v>
      </c>
      <c r="M170" s="16" t="n">
        <f aca="false">K170-L170</f>
        <v>51.54</v>
      </c>
      <c r="N170" s="17" t="n">
        <f aca="false">IFERROR(M170/K170,0)</f>
        <v>0.609652235628105</v>
      </c>
    </row>
    <row r="171" customFormat="false" ht="15" hidden="false" customHeight="false" outlineLevel="0" collapsed="false">
      <c r="A171" s="15" t="n">
        <v>46030</v>
      </c>
      <c r="B171" s="14" t="s">
        <v>69</v>
      </c>
      <c r="C171" s="14" t="s">
        <v>70</v>
      </c>
      <c r="D171" s="14" t="s">
        <v>71</v>
      </c>
      <c r="E171" s="14" t="s">
        <v>56</v>
      </c>
      <c r="F171" s="14" t="s">
        <v>98</v>
      </c>
      <c r="G171" s="14" t="s">
        <v>99</v>
      </c>
      <c r="H171" s="0" t="n">
        <v>3</v>
      </c>
      <c r="I171" s="16" t="n">
        <v>20.24</v>
      </c>
      <c r="J171" s="16" t="n">
        <v>8</v>
      </c>
      <c r="K171" s="16" t="n">
        <f aca="false">H171*I171</f>
        <v>60.72</v>
      </c>
      <c r="L171" s="16" t="n">
        <f aca="false">H171*J171</f>
        <v>24</v>
      </c>
      <c r="M171" s="16" t="n">
        <f aca="false">K171-L171</f>
        <v>36.72</v>
      </c>
      <c r="N171" s="17" t="n">
        <f aca="false">IFERROR(M171/K171,0)</f>
        <v>0.604743083003953</v>
      </c>
    </row>
    <row r="172" customFormat="false" ht="15" hidden="false" customHeight="false" outlineLevel="0" collapsed="false">
      <c r="A172" s="15" t="n">
        <v>46030</v>
      </c>
      <c r="B172" s="14" t="s">
        <v>69</v>
      </c>
      <c r="C172" s="14" t="s">
        <v>70</v>
      </c>
      <c r="D172" s="14" t="s">
        <v>71</v>
      </c>
      <c r="E172" s="14" t="s">
        <v>64</v>
      </c>
      <c r="F172" s="14" t="s">
        <v>90</v>
      </c>
      <c r="G172" s="14" t="s">
        <v>91</v>
      </c>
      <c r="H172" s="0" t="n">
        <v>6</v>
      </c>
      <c r="I172" s="16" t="n">
        <v>11.07</v>
      </c>
      <c r="J172" s="16" t="n">
        <v>3.5</v>
      </c>
      <c r="K172" s="16" t="n">
        <f aca="false">H172*I172</f>
        <v>66.42</v>
      </c>
      <c r="L172" s="16" t="n">
        <f aca="false">H172*J172</f>
        <v>21</v>
      </c>
      <c r="M172" s="16" t="n">
        <f aca="false">K172-L172</f>
        <v>45.42</v>
      </c>
      <c r="N172" s="17" t="n">
        <f aca="false">IFERROR(M172/K172,0)</f>
        <v>0.68383017163505</v>
      </c>
    </row>
    <row r="173" customFormat="false" ht="15" hidden="false" customHeight="false" outlineLevel="0" collapsed="false">
      <c r="A173" s="15" t="n">
        <v>46030</v>
      </c>
      <c r="B173" s="14" t="s">
        <v>81</v>
      </c>
      <c r="C173" s="14" t="s">
        <v>82</v>
      </c>
      <c r="D173" s="14" t="s">
        <v>83</v>
      </c>
      <c r="E173" s="14" t="s">
        <v>76</v>
      </c>
      <c r="F173" s="14" t="s">
        <v>100</v>
      </c>
      <c r="G173" s="14" t="s">
        <v>101</v>
      </c>
      <c r="H173" s="0" t="n">
        <v>2</v>
      </c>
      <c r="I173" s="16" t="n">
        <v>15.6</v>
      </c>
      <c r="J173" s="16" t="n">
        <v>5.5</v>
      </c>
      <c r="K173" s="16" t="n">
        <f aca="false">H173*I173</f>
        <v>31.2</v>
      </c>
      <c r="L173" s="16" t="n">
        <f aca="false">H173*J173</f>
        <v>11</v>
      </c>
      <c r="M173" s="16" t="n">
        <f aca="false">K173-L173</f>
        <v>20.2</v>
      </c>
      <c r="N173" s="17" t="n">
        <f aca="false">IFERROR(M173/K173,0)</f>
        <v>0.647435897435898</v>
      </c>
    </row>
    <row r="174" customFormat="false" ht="15" hidden="false" customHeight="false" outlineLevel="0" collapsed="false">
      <c r="A174" s="15" t="n">
        <v>46030</v>
      </c>
      <c r="B174" s="14" t="s">
        <v>81</v>
      </c>
      <c r="C174" s="14" t="s">
        <v>82</v>
      </c>
      <c r="D174" s="14" t="s">
        <v>83</v>
      </c>
      <c r="E174" s="14" t="s">
        <v>76</v>
      </c>
      <c r="F174" s="14" t="s">
        <v>77</v>
      </c>
      <c r="G174" s="14" t="s">
        <v>78</v>
      </c>
      <c r="H174" s="0" t="n">
        <v>6</v>
      </c>
      <c r="I174" s="16" t="n">
        <v>39.03</v>
      </c>
      <c r="J174" s="16" t="n">
        <v>15</v>
      </c>
      <c r="K174" s="16" t="n">
        <f aca="false">H174*I174</f>
        <v>234.18</v>
      </c>
      <c r="L174" s="16" t="n">
        <f aca="false">H174*J174</f>
        <v>90</v>
      </c>
      <c r="M174" s="16" t="n">
        <f aca="false">K174-L174</f>
        <v>144.18</v>
      </c>
      <c r="N174" s="17" t="n">
        <f aca="false">IFERROR(M174/K174,0)</f>
        <v>0.615680245964643</v>
      </c>
    </row>
    <row r="175" customFormat="false" ht="15" hidden="false" customHeight="false" outlineLevel="0" collapsed="false">
      <c r="A175" s="15" t="n">
        <v>46030</v>
      </c>
      <c r="B175" s="14" t="s">
        <v>81</v>
      </c>
      <c r="C175" s="14" t="s">
        <v>82</v>
      </c>
      <c r="D175" s="14" t="s">
        <v>83</v>
      </c>
      <c r="E175" s="14" t="s">
        <v>53</v>
      </c>
      <c r="F175" s="14" t="s">
        <v>54</v>
      </c>
      <c r="G175" s="14" t="s">
        <v>55</v>
      </c>
      <c r="H175" s="0" t="n">
        <v>3</v>
      </c>
      <c r="I175" s="16" t="n">
        <v>54.24</v>
      </c>
      <c r="J175" s="16" t="n">
        <v>22</v>
      </c>
      <c r="K175" s="16" t="n">
        <f aca="false">H175*I175</f>
        <v>162.72</v>
      </c>
      <c r="L175" s="16" t="n">
        <f aca="false">H175*J175</f>
        <v>66</v>
      </c>
      <c r="M175" s="16" t="n">
        <f aca="false">K175-L175</f>
        <v>96.72</v>
      </c>
      <c r="N175" s="17" t="n">
        <f aca="false">IFERROR(M175/K175,0)</f>
        <v>0.594395280235988</v>
      </c>
    </row>
    <row r="176" customFormat="false" ht="15" hidden="false" customHeight="false" outlineLevel="0" collapsed="false">
      <c r="A176" s="15" t="n">
        <v>46030</v>
      </c>
      <c r="B176" s="14" t="s">
        <v>81</v>
      </c>
      <c r="C176" s="14" t="s">
        <v>82</v>
      </c>
      <c r="D176" s="14" t="s">
        <v>83</v>
      </c>
      <c r="E176" s="14" t="s">
        <v>45</v>
      </c>
      <c r="F176" s="14" t="s">
        <v>48</v>
      </c>
      <c r="G176" s="14" t="s">
        <v>49</v>
      </c>
      <c r="H176" s="0" t="n">
        <v>2</v>
      </c>
      <c r="I176" s="16" t="n">
        <v>66.87</v>
      </c>
      <c r="J176" s="16" t="n">
        <v>27.5</v>
      </c>
      <c r="K176" s="16" t="n">
        <f aca="false">H176*I176</f>
        <v>133.74</v>
      </c>
      <c r="L176" s="16" t="n">
        <f aca="false">H176*J176</f>
        <v>55</v>
      </c>
      <c r="M176" s="16" t="n">
        <f aca="false">K176-L176</f>
        <v>78.74</v>
      </c>
      <c r="N176" s="17" t="n">
        <f aca="false">IFERROR(M176/K176,0)</f>
        <v>0.58875429938687</v>
      </c>
    </row>
    <row r="177" customFormat="false" ht="15" hidden="false" customHeight="false" outlineLevel="0" collapsed="false">
      <c r="A177" s="15" t="n">
        <v>46030</v>
      </c>
      <c r="B177" s="14" t="s">
        <v>88</v>
      </c>
      <c r="C177" s="14" t="s">
        <v>89</v>
      </c>
      <c r="D177" s="14" t="s">
        <v>44</v>
      </c>
      <c r="E177" s="14" t="s">
        <v>56</v>
      </c>
      <c r="F177" s="14" t="s">
        <v>67</v>
      </c>
      <c r="G177" s="14" t="s">
        <v>68</v>
      </c>
      <c r="H177" s="0" t="n">
        <v>8</v>
      </c>
      <c r="I177" s="16" t="n">
        <v>35.34</v>
      </c>
      <c r="J177" s="16" t="n">
        <v>15</v>
      </c>
      <c r="K177" s="16" t="n">
        <f aca="false">H177*I177</f>
        <v>282.72</v>
      </c>
      <c r="L177" s="16" t="n">
        <f aca="false">H177*J177</f>
        <v>120</v>
      </c>
      <c r="M177" s="16" t="n">
        <f aca="false">K177-L177</f>
        <v>162.72</v>
      </c>
      <c r="N177" s="17" t="n">
        <f aca="false">IFERROR(M177/K177,0)</f>
        <v>0.575551782682513</v>
      </c>
    </row>
    <row r="178" customFormat="false" ht="15" hidden="false" customHeight="false" outlineLevel="0" collapsed="false">
      <c r="A178" s="15" t="n">
        <v>46030</v>
      </c>
      <c r="B178" s="14" t="s">
        <v>88</v>
      </c>
      <c r="C178" s="14" t="s">
        <v>89</v>
      </c>
      <c r="D178" s="14" t="s">
        <v>44</v>
      </c>
      <c r="E178" s="14" t="s">
        <v>76</v>
      </c>
      <c r="F178" s="14" t="s">
        <v>100</v>
      </c>
      <c r="G178" s="14" t="s">
        <v>101</v>
      </c>
      <c r="H178" s="0" t="n">
        <v>6</v>
      </c>
      <c r="I178" s="16" t="n">
        <v>15.36</v>
      </c>
      <c r="J178" s="16" t="n">
        <v>5.5</v>
      </c>
      <c r="K178" s="16" t="n">
        <f aca="false">H178*I178</f>
        <v>92.16</v>
      </c>
      <c r="L178" s="16" t="n">
        <f aca="false">H178*J178</f>
        <v>33</v>
      </c>
      <c r="M178" s="16" t="n">
        <f aca="false">K178-L178</f>
        <v>59.16</v>
      </c>
      <c r="N178" s="17" t="n">
        <f aca="false">IFERROR(M178/K178,0)</f>
        <v>0.641927083333333</v>
      </c>
    </row>
    <row r="179" customFormat="false" ht="15" hidden="false" customHeight="false" outlineLevel="0" collapsed="false">
      <c r="A179" s="15" t="n">
        <v>46030</v>
      </c>
      <c r="B179" s="14" t="s">
        <v>88</v>
      </c>
      <c r="C179" s="14" t="s">
        <v>89</v>
      </c>
      <c r="D179" s="14" t="s">
        <v>44</v>
      </c>
      <c r="E179" s="14" t="s">
        <v>64</v>
      </c>
      <c r="F179" s="14" t="s">
        <v>90</v>
      </c>
      <c r="G179" s="14" t="s">
        <v>91</v>
      </c>
      <c r="H179" s="0" t="n">
        <v>3</v>
      </c>
      <c r="I179" s="16" t="n">
        <v>11.61</v>
      </c>
      <c r="J179" s="16" t="n">
        <v>3.5</v>
      </c>
      <c r="K179" s="16" t="n">
        <f aca="false">H179*I179</f>
        <v>34.83</v>
      </c>
      <c r="L179" s="16" t="n">
        <f aca="false">H179*J179</f>
        <v>10.5</v>
      </c>
      <c r="M179" s="16" t="n">
        <f aca="false">K179-L179</f>
        <v>24.33</v>
      </c>
      <c r="N179" s="17" t="n">
        <f aca="false">IFERROR(M179/K179,0)</f>
        <v>0.698535745047373</v>
      </c>
    </row>
    <row r="180" customFormat="false" ht="15" hidden="false" customHeight="false" outlineLevel="0" collapsed="false">
      <c r="A180" s="15" t="n">
        <v>46030</v>
      </c>
      <c r="B180" s="14" t="s">
        <v>88</v>
      </c>
      <c r="C180" s="14" t="s">
        <v>89</v>
      </c>
      <c r="D180" s="14" t="s">
        <v>44</v>
      </c>
      <c r="E180" s="14" t="s">
        <v>64</v>
      </c>
      <c r="F180" s="14" t="s">
        <v>94</v>
      </c>
      <c r="G180" s="14" t="s">
        <v>95</v>
      </c>
      <c r="H180" s="0" t="n">
        <v>7</v>
      </c>
      <c r="I180" s="16" t="n">
        <v>91.28</v>
      </c>
      <c r="J180" s="16" t="n">
        <v>42</v>
      </c>
      <c r="K180" s="16" t="n">
        <f aca="false">H180*I180</f>
        <v>638.96</v>
      </c>
      <c r="L180" s="16" t="n">
        <f aca="false">H180*J180</f>
        <v>294</v>
      </c>
      <c r="M180" s="16" t="n">
        <f aca="false">K180-L180</f>
        <v>344.96</v>
      </c>
      <c r="N180" s="17" t="n">
        <f aca="false">IFERROR(M180/K180,0)</f>
        <v>0.539877300613497</v>
      </c>
    </row>
    <row r="181" customFormat="false" ht="15" hidden="false" customHeight="false" outlineLevel="0" collapsed="false">
      <c r="A181" s="15" t="n">
        <v>46030</v>
      </c>
      <c r="B181" s="14" t="s">
        <v>88</v>
      </c>
      <c r="C181" s="14" t="s">
        <v>89</v>
      </c>
      <c r="D181" s="14" t="s">
        <v>44</v>
      </c>
      <c r="E181" s="14" t="s">
        <v>53</v>
      </c>
      <c r="F181" s="14" t="s">
        <v>74</v>
      </c>
      <c r="G181" s="14" t="s">
        <v>75</v>
      </c>
      <c r="H181" s="0" t="n">
        <v>5</v>
      </c>
      <c r="I181" s="16" t="n">
        <v>85.98</v>
      </c>
      <c r="J181" s="16" t="n">
        <v>38</v>
      </c>
      <c r="K181" s="16" t="n">
        <f aca="false">H181*I181</f>
        <v>429.9</v>
      </c>
      <c r="L181" s="16" t="n">
        <f aca="false">H181*J181</f>
        <v>190</v>
      </c>
      <c r="M181" s="16" t="n">
        <f aca="false">K181-L181</f>
        <v>239.9</v>
      </c>
      <c r="N181" s="17" t="n">
        <f aca="false">IFERROR(M181/K181,0)</f>
        <v>0.558036752733194</v>
      </c>
    </row>
    <row r="182" customFormat="false" ht="15" hidden="false" customHeight="false" outlineLevel="0" collapsed="false">
      <c r="A182" s="15" t="n">
        <v>46030</v>
      </c>
      <c r="B182" s="14" t="s">
        <v>88</v>
      </c>
      <c r="C182" s="14" t="s">
        <v>89</v>
      </c>
      <c r="D182" s="14" t="s">
        <v>44</v>
      </c>
      <c r="E182" s="14" t="s">
        <v>53</v>
      </c>
      <c r="F182" s="14" t="s">
        <v>84</v>
      </c>
      <c r="G182" s="14" t="s">
        <v>85</v>
      </c>
      <c r="H182" s="0" t="n">
        <v>8</v>
      </c>
      <c r="I182" s="16" t="n">
        <v>24.83</v>
      </c>
      <c r="J182" s="16" t="n">
        <v>9</v>
      </c>
      <c r="K182" s="16" t="n">
        <f aca="false">H182*I182</f>
        <v>198.64</v>
      </c>
      <c r="L182" s="16" t="n">
        <f aca="false">H182*J182</f>
        <v>72</v>
      </c>
      <c r="M182" s="16" t="n">
        <f aca="false">K182-L182</f>
        <v>126.64</v>
      </c>
      <c r="N182" s="17" t="n">
        <f aca="false">IFERROR(M182/K182,0)</f>
        <v>0.63753523962948</v>
      </c>
    </row>
    <row r="183" customFormat="false" ht="15" hidden="false" customHeight="false" outlineLevel="0" collapsed="false">
      <c r="A183" s="15" t="n">
        <v>46031</v>
      </c>
      <c r="B183" s="14" t="s">
        <v>42</v>
      </c>
      <c r="C183" s="14" t="s">
        <v>43</v>
      </c>
      <c r="D183" s="14" t="s">
        <v>44</v>
      </c>
      <c r="E183" s="14" t="s">
        <v>56</v>
      </c>
      <c r="F183" s="14" t="s">
        <v>57</v>
      </c>
      <c r="G183" s="14" t="s">
        <v>58</v>
      </c>
      <c r="H183" s="0" t="n">
        <v>10</v>
      </c>
      <c r="I183" s="16" t="n">
        <v>26.93</v>
      </c>
      <c r="J183" s="16" t="n">
        <v>10</v>
      </c>
      <c r="K183" s="16" t="n">
        <f aca="false">H183*I183</f>
        <v>269.3</v>
      </c>
      <c r="L183" s="16" t="n">
        <f aca="false">H183*J183</f>
        <v>100</v>
      </c>
      <c r="M183" s="16" t="n">
        <f aca="false">K183-L183</f>
        <v>169.3</v>
      </c>
      <c r="N183" s="17" t="n">
        <f aca="false">IFERROR(M183/K183,0)</f>
        <v>0.628666914222057</v>
      </c>
    </row>
    <row r="184" customFormat="false" ht="15" hidden="false" customHeight="false" outlineLevel="0" collapsed="false">
      <c r="A184" s="15" t="n">
        <v>46031</v>
      </c>
      <c r="B184" s="14" t="s">
        <v>42</v>
      </c>
      <c r="C184" s="14" t="s">
        <v>43</v>
      </c>
      <c r="D184" s="14" t="s">
        <v>44</v>
      </c>
      <c r="E184" s="14" t="s">
        <v>64</v>
      </c>
      <c r="F184" s="14" t="s">
        <v>94</v>
      </c>
      <c r="G184" s="14" t="s">
        <v>95</v>
      </c>
      <c r="H184" s="0" t="n">
        <v>12</v>
      </c>
      <c r="I184" s="16" t="n">
        <v>93.72</v>
      </c>
      <c r="J184" s="16" t="n">
        <v>42</v>
      </c>
      <c r="K184" s="16" t="n">
        <f aca="false">H184*I184</f>
        <v>1124.64</v>
      </c>
      <c r="L184" s="16" t="n">
        <f aca="false">H184*J184</f>
        <v>504</v>
      </c>
      <c r="M184" s="16" t="n">
        <f aca="false">K184-L184</f>
        <v>620.64</v>
      </c>
      <c r="N184" s="17" t="n">
        <f aca="false">IFERROR(M184/K184,0)</f>
        <v>0.551856594110115</v>
      </c>
    </row>
    <row r="185" customFormat="false" ht="15" hidden="false" customHeight="false" outlineLevel="0" collapsed="false">
      <c r="A185" s="15" t="n">
        <v>46031</v>
      </c>
      <c r="B185" s="14" t="s">
        <v>42</v>
      </c>
      <c r="C185" s="14" t="s">
        <v>43</v>
      </c>
      <c r="D185" s="14" t="s">
        <v>44</v>
      </c>
      <c r="E185" s="14" t="s">
        <v>45</v>
      </c>
      <c r="F185" s="14" t="s">
        <v>62</v>
      </c>
      <c r="G185" s="14" t="s">
        <v>63</v>
      </c>
      <c r="H185" s="0" t="n">
        <v>8</v>
      </c>
      <c r="I185" s="16" t="n">
        <v>17.15</v>
      </c>
      <c r="J185" s="16" t="n">
        <v>6.5</v>
      </c>
      <c r="K185" s="16" t="n">
        <f aca="false">H185*I185</f>
        <v>137.2</v>
      </c>
      <c r="L185" s="16" t="n">
        <f aca="false">H185*J185</f>
        <v>52</v>
      </c>
      <c r="M185" s="16" t="n">
        <f aca="false">K185-L185</f>
        <v>85.2</v>
      </c>
      <c r="N185" s="17" t="n">
        <f aca="false">IFERROR(M185/K185,0)</f>
        <v>0.620991253644315</v>
      </c>
    </row>
    <row r="186" customFormat="false" ht="15" hidden="false" customHeight="false" outlineLevel="0" collapsed="false">
      <c r="A186" s="15" t="n">
        <v>46031</v>
      </c>
      <c r="B186" s="14" t="s">
        <v>50</v>
      </c>
      <c r="C186" s="14" t="s">
        <v>51</v>
      </c>
      <c r="D186" s="14" t="s">
        <v>52</v>
      </c>
      <c r="E186" s="14" t="s">
        <v>76</v>
      </c>
      <c r="F186" s="14" t="s">
        <v>100</v>
      </c>
      <c r="G186" s="14" t="s">
        <v>101</v>
      </c>
      <c r="H186" s="0" t="n">
        <v>1</v>
      </c>
      <c r="I186" s="16" t="n">
        <v>15.3</v>
      </c>
      <c r="J186" s="16" t="n">
        <v>5.5</v>
      </c>
      <c r="K186" s="16" t="n">
        <f aca="false">H186*I186</f>
        <v>15.3</v>
      </c>
      <c r="L186" s="16" t="n">
        <f aca="false">H186*J186</f>
        <v>5.5</v>
      </c>
      <c r="M186" s="16" t="n">
        <f aca="false">K186-L186</f>
        <v>9.8</v>
      </c>
      <c r="N186" s="17" t="n">
        <f aca="false">IFERROR(M186/K186,0)</f>
        <v>0.640522875816994</v>
      </c>
    </row>
    <row r="187" customFormat="false" ht="15" hidden="false" customHeight="false" outlineLevel="0" collapsed="false">
      <c r="A187" s="15" t="n">
        <v>46031</v>
      </c>
      <c r="B187" s="14" t="s">
        <v>50</v>
      </c>
      <c r="C187" s="14" t="s">
        <v>51</v>
      </c>
      <c r="D187" s="14" t="s">
        <v>52</v>
      </c>
      <c r="E187" s="14" t="s">
        <v>76</v>
      </c>
      <c r="F187" s="14" t="s">
        <v>102</v>
      </c>
      <c r="G187" s="14" t="s">
        <v>103</v>
      </c>
      <c r="H187" s="0" t="n">
        <v>8</v>
      </c>
      <c r="I187" s="16" t="n">
        <v>22.3</v>
      </c>
      <c r="J187" s="16" t="n">
        <v>8.5</v>
      </c>
      <c r="K187" s="16" t="n">
        <f aca="false">H187*I187</f>
        <v>178.4</v>
      </c>
      <c r="L187" s="16" t="n">
        <f aca="false">H187*J187</f>
        <v>68</v>
      </c>
      <c r="M187" s="16" t="n">
        <f aca="false">K187-L187</f>
        <v>110.4</v>
      </c>
      <c r="N187" s="17" t="n">
        <f aca="false">IFERROR(M187/K187,0)</f>
        <v>0.618834080717489</v>
      </c>
    </row>
    <row r="188" customFormat="false" ht="15" hidden="false" customHeight="false" outlineLevel="0" collapsed="false">
      <c r="A188" s="15" t="n">
        <v>46031</v>
      </c>
      <c r="B188" s="14" t="s">
        <v>50</v>
      </c>
      <c r="C188" s="14" t="s">
        <v>51</v>
      </c>
      <c r="D188" s="14" t="s">
        <v>52</v>
      </c>
      <c r="E188" s="14" t="s">
        <v>64</v>
      </c>
      <c r="F188" s="14" t="s">
        <v>65</v>
      </c>
      <c r="G188" s="14" t="s">
        <v>66</v>
      </c>
      <c r="H188" s="0" t="n">
        <v>12</v>
      </c>
      <c r="I188" s="16" t="n">
        <v>75.29</v>
      </c>
      <c r="J188" s="16" t="n">
        <v>34</v>
      </c>
      <c r="K188" s="16" t="n">
        <f aca="false">H188*I188</f>
        <v>903.48</v>
      </c>
      <c r="L188" s="16" t="n">
        <f aca="false">H188*J188</f>
        <v>408</v>
      </c>
      <c r="M188" s="16" t="n">
        <f aca="false">K188-L188</f>
        <v>495.48</v>
      </c>
      <c r="N188" s="17" t="n">
        <f aca="false">IFERROR(M188/K188,0)</f>
        <v>0.548412803825209</v>
      </c>
    </row>
    <row r="189" customFormat="false" ht="15" hidden="false" customHeight="false" outlineLevel="0" collapsed="false">
      <c r="A189" s="15" t="n">
        <v>46031</v>
      </c>
      <c r="B189" s="14" t="s">
        <v>50</v>
      </c>
      <c r="C189" s="14" t="s">
        <v>51</v>
      </c>
      <c r="D189" s="14" t="s">
        <v>52</v>
      </c>
      <c r="E189" s="14" t="s">
        <v>53</v>
      </c>
      <c r="F189" s="14" t="s">
        <v>92</v>
      </c>
      <c r="G189" s="14" t="s">
        <v>93</v>
      </c>
      <c r="H189" s="0" t="n">
        <v>8</v>
      </c>
      <c r="I189" s="16" t="n">
        <v>116.4</v>
      </c>
      <c r="J189" s="16" t="n">
        <v>52</v>
      </c>
      <c r="K189" s="16" t="n">
        <f aca="false">H189*I189</f>
        <v>931.2</v>
      </c>
      <c r="L189" s="16" t="n">
        <f aca="false">H189*J189</f>
        <v>416</v>
      </c>
      <c r="M189" s="16" t="n">
        <f aca="false">K189-L189</f>
        <v>515.2</v>
      </c>
      <c r="N189" s="17" t="n">
        <f aca="false">IFERROR(M189/K189,0)</f>
        <v>0.553264604810997</v>
      </c>
    </row>
    <row r="190" customFormat="false" ht="15" hidden="false" customHeight="false" outlineLevel="0" collapsed="false">
      <c r="A190" s="15" t="n">
        <v>46031</v>
      </c>
      <c r="B190" s="14" t="s">
        <v>50</v>
      </c>
      <c r="C190" s="14" t="s">
        <v>51</v>
      </c>
      <c r="D190" s="14" t="s">
        <v>52</v>
      </c>
      <c r="E190" s="14" t="s">
        <v>45</v>
      </c>
      <c r="F190" s="14" t="s">
        <v>62</v>
      </c>
      <c r="G190" s="14" t="s">
        <v>63</v>
      </c>
      <c r="H190" s="0" t="n">
        <v>6</v>
      </c>
      <c r="I190" s="16" t="n">
        <v>17.35</v>
      </c>
      <c r="J190" s="16" t="n">
        <v>6.5</v>
      </c>
      <c r="K190" s="16" t="n">
        <f aca="false">H190*I190</f>
        <v>104.1</v>
      </c>
      <c r="L190" s="16" t="n">
        <f aca="false">H190*J190</f>
        <v>39</v>
      </c>
      <c r="M190" s="16" t="n">
        <f aca="false">K190-L190</f>
        <v>65.1</v>
      </c>
      <c r="N190" s="17" t="n">
        <f aca="false">IFERROR(M190/K190,0)</f>
        <v>0.62536023054755</v>
      </c>
    </row>
    <row r="191" customFormat="false" ht="15" hidden="false" customHeight="false" outlineLevel="0" collapsed="false">
      <c r="A191" s="15" t="n">
        <v>46031</v>
      </c>
      <c r="B191" s="14" t="s">
        <v>59</v>
      </c>
      <c r="C191" s="14" t="s">
        <v>60</v>
      </c>
      <c r="D191" s="14" t="s">
        <v>61</v>
      </c>
      <c r="E191" s="14" t="s">
        <v>64</v>
      </c>
      <c r="F191" s="14" t="s">
        <v>90</v>
      </c>
      <c r="G191" s="14" t="s">
        <v>91</v>
      </c>
      <c r="H191" s="0" t="n">
        <v>2</v>
      </c>
      <c r="I191" s="16" t="n">
        <v>11.07</v>
      </c>
      <c r="J191" s="16" t="n">
        <v>3.5</v>
      </c>
      <c r="K191" s="16" t="n">
        <f aca="false">H191*I191</f>
        <v>22.14</v>
      </c>
      <c r="L191" s="16" t="n">
        <f aca="false">H191*J191</f>
        <v>7</v>
      </c>
      <c r="M191" s="16" t="n">
        <f aca="false">K191-L191</f>
        <v>15.14</v>
      </c>
      <c r="N191" s="17" t="n">
        <f aca="false">IFERROR(M191/K191,0)</f>
        <v>0.68383017163505</v>
      </c>
    </row>
    <row r="192" customFormat="false" ht="15" hidden="false" customHeight="false" outlineLevel="0" collapsed="false">
      <c r="A192" s="15" t="n">
        <v>46031</v>
      </c>
      <c r="B192" s="14" t="s">
        <v>59</v>
      </c>
      <c r="C192" s="14" t="s">
        <v>60</v>
      </c>
      <c r="D192" s="14" t="s">
        <v>61</v>
      </c>
      <c r="E192" s="14" t="s">
        <v>56</v>
      </c>
      <c r="F192" s="14" t="s">
        <v>86</v>
      </c>
      <c r="G192" s="14" t="s">
        <v>87</v>
      </c>
      <c r="H192" s="0" t="n">
        <v>3</v>
      </c>
      <c r="I192" s="16" t="n">
        <v>14.17</v>
      </c>
      <c r="J192" s="16" t="n">
        <v>5</v>
      </c>
      <c r="K192" s="16" t="n">
        <f aca="false">H192*I192</f>
        <v>42.51</v>
      </c>
      <c r="L192" s="16" t="n">
        <f aca="false">H192*J192</f>
        <v>15</v>
      </c>
      <c r="M192" s="16" t="n">
        <f aca="false">K192-L192</f>
        <v>27.51</v>
      </c>
      <c r="N192" s="17" t="n">
        <f aca="false">IFERROR(M192/K192,0)</f>
        <v>0.647141848976711</v>
      </c>
    </row>
    <row r="193" customFormat="false" ht="15" hidden="false" customHeight="false" outlineLevel="0" collapsed="false">
      <c r="A193" s="15" t="n">
        <v>46031</v>
      </c>
      <c r="B193" s="14" t="s">
        <v>59</v>
      </c>
      <c r="C193" s="14" t="s">
        <v>60</v>
      </c>
      <c r="D193" s="14" t="s">
        <v>61</v>
      </c>
      <c r="E193" s="14" t="s">
        <v>45</v>
      </c>
      <c r="F193" s="14" t="s">
        <v>72</v>
      </c>
      <c r="G193" s="14" t="s">
        <v>73</v>
      </c>
      <c r="H193" s="0" t="n">
        <v>2</v>
      </c>
      <c r="I193" s="16" t="n">
        <v>48.77</v>
      </c>
      <c r="J193" s="16" t="n">
        <v>21</v>
      </c>
      <c r="K193" s="16" t="n">
        <f aca="false">H193*I193</f>
        <v>97.54</v>
      </c>
      <c r="L193" s="16" t="n">
        <f aca="false">H193*J193</f>
        <v>42</v>
      </c>
      <c r="M193" s="16" t="n">
        <f aca="false">K193-L193</f>
        <v>55.54</v>
      </c>
      <c r="N193" s="17" t="n">
        <f aca="false">IFERROR(M193/K193,0)</f>
        <v>0.569407422595858</v>
      </c>
    </row>
    <row r="194" customFormat="false" ht="15" hidden="false" customHeight="false" outlineLevel="0" collapsed="false">
      <c r="A194" s="15" t="n">
        <v>46031</v>
      </c>
      <c r="B194" s="14" t="s">
        <v>59</v>
      </c>
      <c r="C194" s="14" t="s">
        <v>60</v>
      </c>
      <c r="D194" s="14" t="s">
        <v>61</v>
      </c>
      <c r="E194" s="14" t="s">
        <v>45</v>
      </c>
      <c r="F194" s="14" t="s">
        <v>72</v>
      </c>
      <c r="G194" s="14" t="s">
        <v>73</v>
      </c>
      <c r="H194" s="0" t="n">
        <v>2</v>
      </c>
      <c r="I194" s="16" t="n">
        <v>50.53</v>
      </c>
      <c r="J194" s="16" t="n">
        <v>21</v>
      </c>
      <c r="K194" s="16" t="n">
        <f aca="false">H194*I194</f>
        <v>101.06</v>
      </c>
      <c r="L194" s="16" t="n">
        <f aca="false">H194*J194</f>
        <v>42</v>
      </c>
      <c r="M194" s="16" t="n">
        <f aca="false">K194-L194</f>
        <v>59.06</v>
      </c>
      <c r="N194" s="17" t="n">
        <f aca="false">IFERROR(M194/K194,0)</f>
        <v>0.584405303779933</v>
      </c>
    </row>
    <row r="195" customFormat="false" ht="15" hidden="false" customHeight="false" outlineLevel="0" collapsed="false">
      <c r="A195" s="15" t="n">
        <v>46031</v>
      </c>
      <c r="B195" s="14" t="s">
        <v>69</v>
      </c>
      <c r="C195" s="14" t="s">
        <v>70</v>
      </c>
      <c r="D195" s="14" t="s">
        <v>71</v>
      </c>
      <c r="E195" s="14" t="s">
        <v>64</v>
      </c>
      <c r="F195" s="14" t="s">
        <v>94</v>
      </c>
      <c r="G195" s="14" t="s">
        <v>95</v>
      </c>
      <c r="H195" s="0" t="n">
        <v>6</v>
      </c>
      <c r="I195" s="16" t="n">
        <v>94.37</v>
      </c>
      <c r="J195" s="16" t="n">
        <v>42</v>
      </c>
      <c r="K195" s="16" t="n">
        <f aca="false">H195*I195</f>
        <v>566.22</v>
      </c>
      <c r="L195" s="16" t="n">
        <f aca="false">H195*J195</f>
        <v>252</v>
      </c>
      <c r="M195" s="16" t="n">
        <f aca="false">K195-L195</f>
        <v>314.22</v>
      </c>
      <c r="N195" s="17" t="n">
        <f aca="false">IFERROR(M195/K195,0)</f>
        <v>0.554943308254742</v>
      </c>
    </row>
    <row r="196" customFormat="false" ht="15" hidden="false" customHeight="false" outlineLevel="0" collapsed="false">
      <c r="A196" s="15" t="n">
        <v>46031</v>
      </c>
      <c r="B196" s="14" t="s">
        <v>69</v>
      </c>
      <c r="C196" s="14" t="s">
        <v>70</v>
      </c>
      <c r="D196" s="14" t="s">
        <v>71</v>
      </c>
      <c r="E196" s="14" t="s">
        <v>64</v>
      </c>
      <c r="F196" s="14" t="s">
        <v>90</v>
      </c>
      <c r="G196" s="14" t="s">
        <v>91</v>
      </c>
      <c r="H196" s="0" t="n">
        <v>4</v>
      </c>
      <c r="I196" s="16" t="n">
        <v>11.48</v>
      </c>
      <c r="J196" s="16" t="n">
        <v>3.5</v>
      </c>
      <c r="K196" s="16" t="n">
        <f aca="false">H196*I196</f>
        <v>45.92</v>
      </c>
      <c r="L196" s="16" t="n">
        <f aca="false">H196*J196</f>
        <v>14</v>
      </c>
      <c r="M196" s="16" t="n">
        <f aca="false">K196-L196</f>
        <v>31.92</v>
      </c>
      <c r="N196" s="17" t="n">
        <f aca="false">IFERROR(M196/K196,0)</f>
        <v>0.695121951219512</v>
      </c>
    </row>
    <row r="197" customFormat="false" ht="15" hidden="false" customHeight="false" outlineLevel="0" collapsed="false">
      <c r="A197" s="15" t="n">
        <v>46031</v>
      </c>
      <c r="B197" s="14" t="s">
        <v>69</v>
      </c>
      <c r="C197" s="14" t="s">
        <v>70</v>
      </c>
      <c r="D197" s="14" t="s">
        <v>71</v>
      </c>
      <c r="E197" s="14" t="s">
        <v>53</v>
      </c>
      <c r="F197" s="14" t="s">
        <v>84</v>
      </c>
      <c r="G197" s="14" t="s">
        <v>85</v>
      </c>
      <c r="H197" s="0" t="n">
        <v>3</v>
      </c>
      <c r="I197" s="16" t="n">
        <v>24.84</v>
      </c>
      <c r="J197" s="16" t="n">
        <v>9</v>
      </c>
      <c r="K197" s="16" t="n">
        <f aca="false">H197*I197</f>
        <v>74.52</v>
      </c>
      <c r="L197" s="16" t="n">
        <f aca="false">H197*J197</f>
        <v>27</v>
      </c>
      <c r="M197" s="16" t="n">
        <f aca="false">K197-L197</f>
        <v>47.52</v>
      </c>
      <c r="N197" s="17" t="n">
        <f aca="false">IFERROR(M197/K197,0)</f>
        <v>0.63768115942029</v>
      </c>
    </row>
    <row r="198" customFormat="false" ht="15" hidden="false" customHeight="false" outlineLevel="0" collapsed="false">
      <c r="A198" s="15" t="n">
        <v>46031</v>
      </c>
      <c r="B198" s="14" t="s">
        <v>81</v>
      </c>
      <c r="C198" s="14" t="s">
        <v>82</v>
      </c>
      <c r="D198" s="14" t="s">
        <v>83</v>
      </c>
      <c r="E198" s="14" t="s">
        <v>53</v>
      </c>
      <c r="F198" s="14" t="s">
        <v>74</v>
      </c>
      <c r="G198" s="14" t="s">
        <v>75</v>
      </c>
      <c r="H198" s="0" t="n">
        <v>3</v>
      </c>
      <c r="I198" s="16" t="n">
        <v>87.38</v>
      </c>
      <c r="J198" s="16" t="n">
        <v>38</v>
      </c>
      <c r="K198" s="16" t="n">
        <f aca="false">H198*I198</f>
        <v>262.14</v>
      </c>
      <c r="L198" s="16" t="n">
        <f aca="false">H198*J198</f>
        <v>114</v>
      </c>
      <c r="M198" s="16" t="n">
        <f aca="false">K198-L198</f>
        <v>148.14</v>
      </c>
      <c r="N198" s="17" t="n">
        <f aca="false">IFERROR(M198/K198,0)</f>
        <v>0.565117875944152</v>
      </c>
    </row>
    <row r="199" customFormat="false" ht="15" hidden="false" customHeight="false" outlineLevel="0" collapsed="false">
      <c r="A199" s="15" t="n">
        <v>46031</v>
      </c>
      <c r="B199" s="14" t="s">
        <v>81</v>
      </c>
      <c r="C199" s="14" t="s">
        <v>82</v>
      </c>
      <c r="D199" s="14" t="s">
        <v>83</v>
      </c>
      <c r="E199" s="14" t="s">
        <v>64</v>
      </c>
      <c r="F199" s="14" t="s">
        <v>94</v>
      </c>
      <c r="G199" s="14" t="s">
        <v>95</v>
      </c>
      <c r="H199" s="0" t="n">
        <v>5</v>
      </c>
      <c r="I199" s="16" t="n">
        <v>97.58</v>
      </c>
      <c r="J199" s="16" t="n">
        <v>42</v>
      </c>
      <c r="K199" s="16" t="n">
        <f aca="false">H199*I199</f>
        <v>487.9</v>
      </c>
      <c r="L199" s="16" t="n">
        <f aca="false">H199*J199</f>
        <v>210</v>
      </c>
      <c r="M199" s="16" t="n">
        <f aca="false">K199-L199</f>
        <v>277.9</v>
      </c>
      <c r="N199" s="17" t="n">
        <f aca="false">IFERROR(M199/K199,0)</f>
        <v>0.569583931133429</v>
      </c>
    </row>
    <row r="200" customFormat="false" ht="15" hidden="false" customHeight="false" outlineLevel="0" collapsed="false">
      <c r="A200" s="15" t="n">
        <v>46031</v>
      </c>
      <c r="B200" s="14" t="s">
        <v>81</v>
      </c>
      <c r="C200" s="14" t="s">
        <v>82</v>
      </c>
      <c r="D200" s="14" t="s">
        <v>83</v>
      </c>
      <c r="E200" s="14" t="s">
        <v>76</v>
      </c>
      <c r="F200" s="14" t="s">
        <v>102</v>
      </c>
      <c r="G200" s="14" t="s">
        <v>103</v>
      </c>
      <c r="H200" s="0" t="n">
        <v>7</v>
      </c>
      <c r="I200" s="16" t="n">
        <v>23.74</v>
      </c>
      <c r="J200" s="16" t="n">
        <v>8.5</v>
      </c>
      <c r="K200" s="16" t="n">
        <f aca="false">H200*I200</f>
        <v>166.18</v>
      </c>
      <c r="L200" s="16" t="n">
        <f aca="false">H200*J200</f>
        <v>59.5</v>
      </c>
      <c r="M200" s="16" t="n">
        <f aca="false">K200-L200</f>
        <v>106.68</v>
      </c>
      <c r="N200" s="17" t="n">
        <f aca="false">IFERROR(M200/K200,0)</f>
        <v>0.64195450716091</v>
      </c>
    </row>
    <row r="201" customFormat="false" ht="15" hidden="false" customHeight="false" outlineLevel="0" collapsed="false">
      <c r="A201" s="15" t="n">
        <v>46031</v>
      </c>
      <c r="B201" s="14" t="s">
        <v>81</v>
      </c>
      <c r="C201" s="14" t="s">
        <v>82</v>
      </c>
      <c r="D201" s="14" t="s">
        <v>83</v>
      </c>
      <c r="E201" s="14" t="s">
        <v>64</v>
      </c>
      <c r="F201" s="14" t="s">
        <v>90</v>
      </c>
      <c r="G201" s="14" t="s">
        <v>91</v>
      </c>
      <c r="H201" s="0" t="n">
        <v>6</v>
      </c>
      <c r="I201" s="16" t="n">
        <v>11.36</v>
      </c>
      <c r="J201" s="16" t="n">
        <v>3.5</v>
      </c>
      <c r="K201" s="16" t="n">
        <f aca="false">H201*I201</f>
        <v>68.16</v>
      </c>
      <c r="L201" s="16" t="n">
        <f aca="false">H201*J201</f>
        <v>21</v>
      </c>
      <c r="M201" s="16" t="n">
        <f aca="false">K201-L201</f>
        <v>47.16</v>
      </c>
      <c r="N201" s="17" t="n">
        <f aca="false">IFERROR(M201/K201,0)</f>
        <v>0.691901408450704</v>
      </c>
    </row>
    <row r="202" customFormat="false" ht="15" hidden="false" customHeight="false" outlineLevel="0" collapsed="false">
      <c r="A202" s="15" t="n">
        <v>46031</v>
      </c>
      <c r="B202" s="14" t="s">
        <v>81</v>
      </c>
      <c r="C202" s="14" t="s">
        <v>82</v>
      </c>
      <c r="D202" s="14" t="s">
        <v>83</v>
      </c>
      <c r="E202" s="14" t="s">
        <v>56</v>
      </c>
      <c r="F202" s="14" t="s">
        <v>57</v>
      </c>
      <c r="G202" s="14" t="s">
        <v>58</v>
      </c>
      <c r="H202" s="0" t="n">
        <v>6</v>
      </c>
      <c r="I202" s="16" t="n">
        <v>26.85</v>
      </c>
      <c r="J202" s="16" t="n">
        <v>10</v>
      </c>
      <c r="K202" s="16" t="n">
        <f aca="false">H202*I202</f>
        <v>161.1</v>
      </c>
      <c r="L202" s="16" t="n">
        <f aca="false">H202*J202</f>
        <v>60</v>
      </c>
      <c r="M202" s="16" t="n">
        <f aca="false">K202-L202</f>
        <v>101.1</v>
      </c>
      <c r="N202" s="17" t="n">
        <f aca="false">IFERROR(M202/K202,0)</f>
        <v>0.62756052141527</v>
      </c>
    </row>
    <row r="203" customFormat="false" ht="15" hidden="false" customHeight="false" outlineLevel="0" collapsed="false">
      <c r="A203" s="15" t="n">
        <v>46031</v>
      </c>
      <c r="B203" s="14" t="s">
        <v>81</v>
      </c>
      <c r="C203" s="14" t="s">
        <v>82</v>
      </c>
      <c r="D203" s="14" t="s">
        <v>83</v>
      </c>
      <c r="E203" s="14" t="s">
        <v>53</v>
      </c>
      <c r="F203" s="14" t="s">
        <v>54</v>
      </c>
      <c r="G203" s="14" t="s">
        <v>55</v>
      </c>
      <c r="H203" s="0" t="n">
        <v>5</v>
      </c>
      <c r="I203" s="16" t="n">
        <v>51.63</v>
      </c>
      <c r="J203" s="16" t="n">
        <v>22</v>
      </c>
      <c r="K203" s="16" t="n">
        <f aca="false">H203*I203</f>
        <v>258.15</v>
      </c>
      <c r="L203" s="16" t="n">
        <f aca="false">H203*J203</f>
        <v>110</v>
      </c>
      <c r="M203" s="16" t="n">
        <f aca="false">K203-L203</f>
        <v>148.15</v>
      </c>
      <c r="N203" s="17" t="n">
        <f aca="false">IFERROR(M203/K203,0)</f>
        <v>0.573891148557041</v>
      </c>
    </row>
    <row r="204" customFormat="false" ht="15" hidden="false" customHeight="false" outlineLevel="0" collapsed="false">
      <c r="A204" s="15" t="n">
        <v>46031</v>
      </c>
      <c r="B204" s="14" t="s">
        <v>88</v>
      </c>
      <c r="C204" s="14" t="s">
        <v>89</v>
      </c>
      <c r="D204" s="14" t="s">
        <v>44</v>
      </c>
      <c r="E204" s="14" t="s">
        <v>45</v>
      </c>
      <c r="F204" s="14" t="s">
        <v>46</v>
      </c>
      <c r="G204" s="14" t="s">
        <v>47</v>
      </c>
      <c r="H204" s="0" t="n">
        <v>8</v>
      </c>
      <c r="I204" s="16" t="n">
        <v>43.94</v>
      </c>
      <c r="J204" s="16" t="n">
        <v>18</v>
      </c>
      <c r="K204" s="16" t="n">
        <f aca="false">H204*I204</f>
        <v>351.52</v>
      </c>
      <c r="L204" s="16" t="n">
        <f aca="false">H204*J204</f>
        <v>144</v>
      </c>
      <c r="M204" s="16" t="n">
        <f aca="false">K204-L204</f>
        <v>207.52</v>
      </c>
      <c r="N204" s="17" t="n">
        <f aca="false">IFERROR(M204/K204,0)</f>
        <v>0.590350477924442</v>
      </c>
    </row>
    <row r="205" customFormat="false" ht="15" hidden="false" customHeight="false" outlineLevel="0" collapsed="false">
      <c r="A205" s="15" t="n">
        <v>46031</v>
      </c>
      <c r="B205" s="14" t="s">
        <v>88</v>
      </c>
      <c r="C205" s="14" t="s">
        <v>89</v>
      </c>
      <c r="D205" s="14" t="s">
        <v>44</v>
      </c>
      <c r="E205" s="14" t="s">
        <v>64</v>
      </c>
      <c r="F205" s="14" t="s">
        <v>90</v>
      </c>
      <c r="G205" s="14" t="s">
        <v>91</v>
      </c>
      <c r="H205" s="0" t="n">
        <v>4</v>
      </c>
      <c r="I205" s="16" t="n">
        <v>11.52</v>
      </c>
      <c r="J205" s="16" t="n">
        <v>3.5</v>
      </c>
      <c r="K205" s="16" t="n">
        <f aca="false">H205*I205</f>
        <v>46.08</v>
      </c>
      <c r="L205" s="16" t="n">
        <f aca="false">H205*J205</f>
        <v>14</v>
      </c>
      <c r="M205" s="16" t="n">
        <f aca="false">K205-L205</f>
        <v>32.08</v>
      </c>
      <c r="N205" s="17" t="n">
        <f aca="false">IFERROR(M205/K205,0)</f>
        <v>0.696180555555556</v>
      </c>
    </row>
    <row r="206" customFormat="false" ht="15" hidden="false" customHeight="false" outlineLevel="0" collapsed="false">
      <c r="A206" s="15" t="n">
        <v>46031</v>
      </c>
      <c r="B206" s="14" t="s">
        <v>88</v>
      </c>
      <c r="C206" s="14" t="s">
        <v>89</v>
      </c>
      <c r="D206" s="14" t="s">
        <v>44</v>
      </c>
      <c r="E206" s="14" t="s">
        <v>45</v>
      </c>
      <c r="F206" s="14" t="s">
        <v>62</v>
      </c>
      <c r="G206" s="14" t="s">
        <v>63</v>
      </c>
      <c r="H206" s="0" t="n">
        <v>6</v>
      </c>
      <c r="I206" s="16" t="n">
        <v>17.81</v>
      </c>
      <c r="J206" s="16" t="n">
        <v>6.5</v>
      </c>
      <c r="K206" s="16" t="n">
        <f aca="false">H206*I206</f>
        <v>106.86</v>
      </c>
      <c r="L206" s="16" t="n">
        <f aca="false">H206*J206</f>
        <v>39</v>
      </c>
      <c r="M206" s="16" t="n">
        <f aca="false">K206-L206</f>
        <v>67.86</v>
      </c>
      <c r="N206" s="17" t="n">
        <f aca="false">IFERROR(M206/K206,0)</f>
        <v>0.635036496350365</v>
      </c>
    </row>
    <row r="207" customFormat="false" ht="15" hidden="false" customHeight="false" outlineLevel="0" collapsed="false">
      <c r="A207" s="15" t="n">
        <v>46031</v>
      </c>
      <c r="B207" s="14" t="s">
        <v>88</v>
      </c>
      <c r="C207" s="14" t="s">
        <v>89</v>
      </c>
      <c r="D207" s="14" t="s">
        <v>44</v>
      </c>
      <c r="E207" s="14" t="s">
        <v>64</v>
      </c>
      <c r="F207" s="14" t="s">
        <v>65</v>
      </c>
      <c r="G207" s="14" t="s">
        <v>66</v>
      </c>
      <c r="H207" s="0" t="n">
        <v>11</v>
      </c>
      <c r="I207" s="16" t="n">
        <v>72.78</v>
      </c>
      <c r="J207" s="16" t="n">
        <v>34</v>
      </c>
      <c r="K207" s="16" t="n">
        <f aca="false">H207*I207</f>
        <v>800.58</v>
      </c>
      <c r="L207" s="16" t="n">
        <f aca="false">H207*J207</f>
        <v>374</v>
      </c>
      <c r="M207" s="16" t="n">
        <f aca="false">K207-L207</f>
        <v>426.58</v>
      </c>
      <c r="N207" s="17" t="n">
        <f aca="false">IFERROR(M207/K207,0)</f>
        <v>0.532838691948337</v>
      </c>
    </row>
    <row r="208" customFormat="false" ht="15" hidden="false" customHeight="false" outlineLevel="0" collapsed="false">
      <c r="A208" s="15" t="n">
        <v>46031</v>
      </c>
      <c r="B208" s="14" t="s">
        <v>88</v>
      </c>
      <c r="C208" s="14" t="s">
        <v>89</v>
      </c>
      <c r="D208" s="14" t="s">
        <v>44</v>
      </c>
      <c r="E208" s="14" t="s">
        <v>53</v>
      </c>
      <c r="F208" s="14" t="s">
        <v>84</v>
      </c>
      <c r="G208" s="14" t="s">
        <v>85</v>
      </c>
      <c r="H208" s="0" t="n">
        <v>3</v>
      </c>
      <c r="I208" s="16" t="n">
        <v>23.15</v>
      </c>
      <c r="J208" s="16" t="n">
        <v>9</v>
      </c>
      <c r="K208" s="16" t="n">
        <f aca="false">H208*I208</f>
        <v>69.45</v>
      </c>
      <c r="L208" s="16" t="n">
        <f aca="false">H208*J208</f>
        <v>27</v>
      </c>
      <c r="M208" s="16" t="n">
        <f aca="false">K208-L208</f>
        <v>42.45</v>
      </c>
      <c r="N208" s="17" t="n">
        <f aca="false">IFERROR(M208/K208,0)</f>
        <v>0.611231101511879</v>
      </c>
    </row>
    <row r="209" customFormat="false" ht="15" hidden="false" customHeight="false" outlineLevel="0" collapsed="false">
      <c r="A209" s="15" t="n">
        <v>46032</v>
      </c>
      <c r="B209" s="14" t="s">
        <v>42</v>
      </c>
      <c r="C209" s="14" t="s">
        <v>43</v>
      </c>
      <c r="D209" s="14" t="s">
        <v>44</v>
      </c>
      <c r="E209" s="14" t="s">
        <v>76</v>
      </c>
      <c r="F209" s="14" t="s">
        <v>100</v>
      </c>
      <c r="G209" s="14" t="s">
        <v>101</v>
      </c>
      <c r="H209" s="0" t="n">
        <v>4</v>
      </c>
      <c r="I209" s="16" t="n">
        <v>15.81</v>
      </c>
      <c r="J209" s="16" t="n">
        <v>5.5</v>
      </c>
      <c r="K209" s="16" t="n">
        <f aca="false">H209*I209</f>
        <v>63.24</v>
      </c>
      <c r="L209" s="16" t="n">
        <f aca="false">H209*J209</f>
        <v>22</v>
      </c>
      <c r="M209" s="16" t="n">
        <f aca="false">K209-L209</f>
        <v>41.24</v>
      </c>
      <c r="N209" s="17" t="n">
        <f aca="false">IFERROR(M209/K209,0)</f>
        <v>0.652118912080961</v>
      </c>
    </row>
    <row r="210" customFormat="false" ht="15" hidden="false" customHeight="false" outlineLevel="0" collapsed="false">
      <c r="A210" s="15" t="n">
        <v>46032</v>
      </c>
      <c r="B210" s="14" t="s">
        <v>42</v>
      </c>
      <c r="C210" s="14" t="s">
        <v>43</v>
      </c>
      <c r="D210" s="14" t="s">
        <v>44</v>
      </c>
      <c r="E210" s="14" t="s">
        <v>56</v>
      </c>
      <c r="F210" s="14" t="s">
        <v>57</v>
      </c>
      <c r="G210" s="14" t="s">
        <v>58</v>
      </c>
      <c r="H210" s="0" t="n">
        <v>10</v>
      </c>
      <c r="I210" s="16" t="n">
        <v>26.19</v>
      </c>
      <c r="J210" s="16" t="n">
        <v>10</v>
      </c>
      <c r="K210" s="16" t="n">
        <f aca="false">H210*I210</f>
        <v>261.9</v>
      </c>
      <c r="L210" s="16" t="n">
        <f aca="false">H210*J210</f>
        <v>100</v>
      </c>
      <c r="M210" s="16" t="n">
        <f aca="false">K210-L210</f>
        <v>161.9</v>
      </c>
      <c r="N210" s="17" t="n">
        <f aca="false">IFERROR(M210/K210,0)</f>
        <v>0.618174875906835</v>
      </c>
    </row>
    <row r="211" customFormat="false" ht="15" hidden="false" customHeight="false" outlineLevel="0" collapsed="false">
      <c r="A211" s="15" t="n">
        <v>46032</v>
      </c>
      <c r="B211" s="14" t="s">
        <v>42</v>
      </c>
      <c r="C211" s="14" t="s">
        <v>43</v>
      </c>
      <c r="D211" s="14" t="s">
        <v>44</v>
      </c>
      <c r="E211" s="14" t="s">
        <v>64</v>
      </c>
      <c r="F211" s="14" t="s">
        <v>65</v>
      </c>
      <c r="G211" s="14" t="s">
        <v>66</v>
      </c>
      <c r="H211" s="0" t="n">
        <v>4</v>
      </c>
      <c r="I211" s="16" t="n">
        <v>74.16</v>
      </c>
      <c r="J211" s="16" t="n">
        <v>34</v>
      </c>
      <c r="K211" s="16" t="n">
        <f aca="false">H211*I211</f>
        <v>296.64</v>
      </c>
      <c r="L211" s="16" t="n">
        <f aca="false">H211*J211</f>
        <v>136</v>
      </c>
      <c r="M211" s="16" t="n">
        <f aca="false">K211-L211</f>
        <v>160.64</v>
      </c>
      <c r="N211" s="17" t="n">
        <f aca="false">IFERROR(M211/K211,0)</f>
        <v>0.541531823085221</v>
      </c>
    </row>
    <row r="212" customFormat="false" ht="15" hidden="false" customHeight="false" outlineLevel="0" collapsed="false">
      <c r="A212" s="15" t="n">
        <v>46032</v>
      </c>
      <c r="B212" s="14" t="s">
        <v>42</v>
      </c>
      <c r="C212" s="14" t="s">
        <v>43</v>
      </c>
      <c r="D212" s="14" t="s">
        <v>44</v>
      </c>
      <c r="E212" s="14" t="s">
        <v>76</v>
      </c>
      <c r="F212" s="14" t="s">
        <v>77</v>
      </c>
      <c r="G212" s="14" t="s">
        <v>78</v>
      </c>
      <c r="H212" s="0" t="n">
        <v>4</v>
      </c>
      <c r="I212" s="16" t="n">
        <v>40.1</v>
      </c>
      <c r="J212" s="16" t="n">
        <v>15</v>
      </c>
      <c r="K212" s="16" t="n">
        <f aca="false">H212*I212</f>
        <v>160.4</v>
      </c>
      <c r="L212" s="16" t="n">
        <f aca="false">H212*J212</f>
        <v>60</v>
      </c>
      <c r="M212" s="16" t="n">
        <f aca="false">K212-L212</f>
        <v>100.4</v>
      </c>
      <c r="N212" s="17" t="n">
        <f aca="false">IFERROR(M212/K212,0)</f>
        <v>0.625935162094763</v>
      </c>
    </row>
    <row r="213" customFormat="false" ht="15" hidden="false" customHeight="false" outlineLevel="0" collapsed="false">
      <c r="A213" s="15" t="n">
        <v>46032</v>
      </c>
      <c r="B213" s="14" t="s">
        <v>50</v>
      </c>
      <c r="C213" s="14" t="s">
        <v>51</v>
      </c>
      <c r="D213" s="14" t="s">
        <v>52</v>
      </c>
      <c r="E213" s="14" t="s">
        <v>45</v>
      </c>
      <c r="F213" s="14" t="s">
        <v>72</v>
      </c>
      <c r="G213" s="14" t="s">
        <v>73</v>
      </c>
      <c r="H213" s="0" t="n">
        <v>4</v>
      </c>
      <c r="I213" s="16" t="n">
        <v>50.73</v>
      </c>
      <c r="J213" s="16" t="n">
        <v>21</v>
      </c>
      <c r="K213" s="16" t="n">
        <f aca="false">H213*I213</f>
        <v>202.92</v>
      </c>
      <c r="L213" s="16" t="n">
        <f aca="false">H213*J213</f>
        <v>84</v>
      </c>
      <c r="M213" s="16" t="n">
        <f aca="false">K213-L213</f>
        <v>118.92</v>
      </c>
      <c r="N213" s="17" t="n">
        <f aca="false">IFERROR(M213/K213,0)</f>
        <v>0.586043761088114</v>
      </c>
    </row>
    <row r="214" customFormat="false" ht="15" hidden="false" customHeight="false" outlineLevel="0" collapsed="false">
      <c r="A214" s="15" t="n">
        <v>46032</v>
      </c>
      <c r="B214" s="14" t="s">
        <v>50</v>
      </c>
      <c r="C214" s="14" t="s">
        <v>51</v>
      </c>
      <c r="D214" s="14" t="s">
        <v>52</v>
      </c>
      <c r="E214" s="14" t="s">
        <v>45</v>
      </c>
      <c r="F214" s="14" t="s">
        <v>48</v>
      </c>
      <c r="G214" s="14" t="s">
        <v>49</v>
      </c>
      <c r="H214" s="0" t="n">
        <v>9</v>
      </c>
      <c r="I214" s="16" t="n">
        <v>66.89</v>
      </c>
      <c r="J214" s="16" t="n">
        <v>27.5</v>
      </c>
      <c r="K214" s="16" t="n">
        <f aca="false">H214*I214</f>
        <v>602.01</v>
      </c>
      <c r="L214" s="16" t="n">
        <f aca="false">H214*J214</f>
        <v>247.5</v>
      </c>
      <c r="M214" s="16" t="n">
        <f aca="false">K214-L214</f>
        <v>354.51</v>
      </c>
      <c r="N214" s="17" t="n">
        <f aca="false">IFERROR(M214/K214,0)</f>
        <v>0.588877261175064</v>
      </c>
    </row>
    <row r="215" customFormat="false" ht="15" hidden="false" customHeight="false" outlineLevel="0" collapsed="false">
      <c r="A215" s="15" t="n">
        <v>46032</v>
      </c>
      <c r="B215" s="14" t="s">
        <v>59</v>
      </c>
      <c r="C215" s="14" t="s">
        <v>60</v>
      </c>
      <c r="D215" s="14" t="s">
        <v>61</v>
      </c>
      <c r="E215" s="14" t="s">
        <v>76</v>
      </c>
      <c r="F215" s="14" t="s">
        <v>102</v>
      </c>
      <c r="G215" s="14" t="s">
        <v>103</v>
      </c>
      <c r="H215" s="0" t="n">
        <v>9</v>
      </c>
      <c r="I215" s="16" t="n">
        <v>22.36</v>
      </c>
      <c r="J215" s="16" t="n">
        <v>8.5</v>
      </c>
      <c r="K215" s="16" t="n">
        <f aca="false">H215*I215</f>
        <v>201.24</v>
      </c>
      <c r="L215" s="16" t="n">
        <f aca="false">H215*J215</f>
        <v>76.5</v>
      </c>
      <c r="M215" s="16" t="n">
        <f aca="false">K215-L215</f>
        <v>124.74</v>
      </c>
      <c r="N215" s="17" t="n">
        <f aca="false">IFERROR(M215/K215,0)</f>
        <v>0.619856887298748</v>
      </c>
    </row>
    <row r="216" customFormat="false" ht="15" hidden="false" customHeight="false" outlineLevel="0" collapsed="false">
      <c r="A216" s="15" t="n">
        <v>46032</v>
      </c>
      <c r="B216" s="14" t="s">
        <v>59</v>
      </c>
      <c r="C216" s="14" t="s">
        <v>60</v>
      </c>
      <c r="D216" s="14" t="s">
        <v>61</v>
      </c>
      <c r="E216" s="14" t="s">
        <v>56</v>
      </c>
      <c r="F216" s="14" t="s">
        <v>57</v>
      </c>
      <c r="G216" s="14" t="s">
        <v>58</v>
      </c>
      <c r="H216" s="0" t="n">
        <v>3</v>
      </c>
      <c r="I216" s="16" t="n">
        <v>25.21</v>
      </c>
      <c r="J216" s="16" t="n">
        <v>10</v>
      </c>
      <c r="K216" s="16" t="n">
        <f aca="false">H216*I216</f>
        <v>75.63</v>
      </c>
      <c r="L216" s="16" t="n">
        <f aca="false">H216*J216</f>
        <v>30</v>
      </c>
      <c r="M216" s="16" t="n">
        <f aca="false">K216-L216</f>
        <v>45.63</v>
      </c>
      <c r="N216" s="17" t="n">
        <f aca="false">IFERROR(M216/K216,0)</f>
        <v>0.603332011106704</v>
      </c>
    </row>
    <row r="217" customFormat="false" ht="15" hidden="false" customHeight="false" outlineLevel="0" collapsed="false">
      <c r="A217" s="15" t="n">
        <v>46032</v>
      </c>
      <c r="B217" s="14" t="s">
        <v>59</v>
      </c>
      <c r="C217" s="14" t="s">
        <v>60</v>
      </c>
      <c r="D217" s="14" t="s">
        <v>61</v>
      </c>
      <c r="E217" s="14" t="s">
        <v>45</v>
      </c>
      <c r="F217" s="14" t="s">
        <v>72</v>
      </c>
      <c r="G217" s="14" t="s">
        <v>73</v>
      </c>
      <c r="H217" s="0" t="n">
        <v>4</v>
      </c>
      <c r="I217" s="16" t="n">
        <v>49.91</v>
      </c>
      <c r="J217" s="16" t="n">
        <v>21</v>
      </c>
      <c r="K217" s="16" t="n">
        <f aca="false">H217*I217</f>
        <v>199.64</v>
      </c>
      <c r="L217" s="16" t="n">
        <f aca="false">H217*J217</f>
        <v>84</v>
      </c>
      <c r="M217" s="16" t="n">
        <f aca="false">K217-L217</f>
        <v>115.64</v>
      </c>
      <c r="N217" s="17" t="n">
        <f aca="false">IFERROR(M217/K217,0)</f>
        <v>0.579242636746143</v>
      </c>
    </row>
    <row r="218" customFormat="false" ht="15" hidden="false" customHeight="false" outlineLevel="0" collapsed="false">
      <c r="A218" s="15" t="n">
        <v>46032</v>
      </c>
      <c r="B218" s="14" t="s">
        <v>59</v>
      </c>
      <c r="C218" s="14" t="s">
        <v>60</v>
      </c>
      <c r="D218" s="14" t="s">
        <v>61</v>
      </c>
      <c r="E218" s="14" t="s">
        <v>56</v>
      </c>
      <c r="F218" s="14" t="s">
        <v>86</v>
      </c>
      <c r="G218" s="14" t="s">
        <v>87</v>
      </c>
      <c r="H218" s="0" t="n">
        <v>4</v>
      </c>
      <c r="I218" s="16" t="n">
        <v>14.35</v>
      </c>
      <c r="J218" s="16" t="n">
        <v>5</v>
      </c>
      <c r="K218" s="16" t="n">
        <f aca="false">H218*I218</f>
        <v>57.4</v>
      </c>
      <c r="L218" s="16" t="n">
        <f aca="false">H218*J218</f>
        <v>20</v>
      </c>
      <c r="M218" s="16" t="n">
        <f aca="false">K218-L218</f>
        <v>37.4</v>
      </c>
      <c r="N218" s="17" t="n">
        <f aca="false">IFERROR(M218/K218,0)</f>
        <v>0.651567944250871</v>
      </c>
    </row>
    <row r="219" customFormat="false" ht="15" hidden="false" customHeight="false" outlineLevel="0" collapsed="false">
      <c r="A219" s="15" t="n">
        <v>46032</v>
      </c>
      <c r="B219" s="14" t="s">
        <v>69</v>
      </c>
      <c r="C219" s="14" t="s">
        <v>70</v>
      </c>
      <c r="D219" s="14" t="s">
        <v>71</v>
      </c>
      <c r="E219" s="14" t="s">
        <v>64</v>
      </c>
      <c r="F219" s="14" t="s">
        <v>94</v>
      </c>
      <c r="G219" s="14" t="s">
        <v>95</v>
      </c>
      <c r="H219" s="0" t="n">
        <v>1</v>
      </c>
      <c r="I219" s="16" t="n">
        <v>98.2</v>
      </c>
      <c r="J219" s="16" t="n">
        <v>42</v>
      </c>
      <c r="K219" s="16" t="n">
        <f aca="false">H219*I219</f>
        <v>98.2</v>
      </c>
      <c r="L219" s="16" t="n">
        <f aca="false">H219*J219</f>
        <v>42</v>
      </c>
      <c r="M219" s="16" t="n">
        <f aca="false">K219-L219</f>
        <v>56.2</v>
      </c>
      <c r="N219" s="17" t="n">
        <f aca="false">IFERROR(M219/K219,0)</f>
        <v>0.572301425661914</v>
      </c>
    </row>
    <row r="220" customFormat="false" ht="15" hidden="false" customHeight="false" outlineLevel="0" collapsed="false">
      <c r="A220" s="15" t="n">
        <v>46032</v>
      </c>
      <c r="B220" s="14" t="s">
        <v>69</v>
      </c>
      <c r="C220" s="14" t="s">
        <v>70</v>
      </c>
      <c r="D220" s="14" t="s">
        <v>71</v>
      </c>
      <c r="E220" s="14" t="s">
        <v>64</v>
      </c>
      <c r="F220" s="14" t="s">
        <v>94</v>
      </c>
      <c r="G220" s="14" t="s">
        <v>95</v>
      </c>
      <c r="H220" s="0" t="n">
        <v>4</v>
      </c>
      <c r="I220" s="16" t="n">
        <v>91.66</v>
      </c>
      <c r="J220" s="16" t="n">
        <v>42</v>
      </c>
      <c r="K220" s="16" t="n">
        <f aca="false">H220*I220</f>
        <v>366.64</v>
      </c>
      <c r="L220" s="16" t="n">
        <f aca="false">H220*J220</f>
        <v>168</v>
      </c>
      <c r="M220" s="16" t="n">
        <f aca="false">K220-L220</f>
        <v>198.64</v>
      </c>
      <c r="N220" s="17" t="n">
        <f aca="false">IFERROR(M220/K220,0)</f>
        <v>0.541784857080515</v>
      </c>
    </row>
    <row r="221" customFormat="false" ht="15" hidden="false" customHeight="false" outlineLevel="0" collapsed="false">
      <c r="A221" s="15" t="n">
        <v>46032</v>
      </c>
      <c r="B221" s="14" t="s">
        <v>69</v>
      </c>
      <c r="C221" s="14" t="s">
        <v>70</v>
      </c>
      <c r="D221" s="14" t="s">
        <v>71</v>
      </c>
      <c r="E221" s="14" t="s">
        <v>76</v>
      </c>
      <c r="F221" s="14" t="s">
        <v>102</v>
      </c>
      <c r="G221" s="14" t="s">
        <v>103</v>
      </c>
      <c r="H221" s="0" t="n">
        <v>8</v>
      </c>
      <c r="I221" s="16" t="n">
        <v>23.41</v>
      </c>
      <c r="J221" s="16" t="n">
        <v>8.5</v>
      </c>
      <c r="K221" s="16" t="n">
        <f aca="false">H221*I221</f>
        <v>187.28</v>
      </c>
      <c r="L221" s="16" t="n">
        <f aca="false">H221*J221</f>
        <v>68</v>
      </c>
      <c r="M221" s="16" t="n">
        <f aca="false">K221-L221</f>
        <v>119.28</v>
      </c>
      <c r="N221" s="17" t="n">
        <f aca="false">IFERROR(M221/K221,0)</f>
        <v>0.636907304570696</v>
      </c>
    </row>
    <row r="222" customFormat="false" ht="15" hidden="false" customHeight="false" outlineLevel="0" collapsed="false">
      <c r="A222" s="15" t="n">
        <v>46032</v>
      </c>
      <c r="B222" s="14" t="s">
        <v>69</v>
      </c>
      <c r="C222" s="14" t="s">
        <v>70</v>
      </c>
      <c r="D222" s="14" t="s">
        <v>71</v>
      </c>
      <c r="E222" s="14" t="s">
        <v>64</v>
      </c>
      <c r="F222" s="14" t="s">
        <v>94</v>
      </c>
      <c r="G222" s="14" t="s">
        <v>95</v>
      </c>
      <c r="H222" s="0" t="n">
        <v>6</v>
      </c>
      <c r="I222" s="16" t="n">
        <v>99</v>
      </c>
      <c r="J222" s="16" t="n">
        <v>42</v>
      </c>
      <c r="K222" s="16" t="n">
        <f aca="false">H222*I222</f>
        <v>594</v>
      </c>
      <c r="L222" s="16" t="n">
        <f aca="false">H222*J222</f>
        <v>252</v>
      </c>
      <c r="M222" s="16" t="n">
        <f aca="false">K222-L222</f>
        <v>342</v>
      </c>
      <c r="N222" s="17" t="n">
        <f aca="false">IFERROR(M222/K222,0)</f>
        <v>0.575757575757576</v>
      </c>
    </row>
    <row r="223" customFormat="false" ht="15" hidden="false" customHeight="false" outlineLevel="0" collapsed="false">
      <c r="A223" s="15" t="n">
        <v>46032</v>
      </c>
      <c r="B223" s="14" t="s">
        <v>81</v>
      </c>
      <c r="C223" s="14" t="s">
        <v>82</v>
      </c>
      <c r="D223" s="14" t="s">
        <v>83</v>
      </c>
      <c r="E223" s="14" t="s">
        <v>45</v>
      </c>
      <c r="F223" s="14" t="s">
        <v>62</v>
      </c>
      <c r="G223" s="14" t="s">
        <v>63</v>
      </c>
      <c r="H223" s="0" t="n">
        <v>7</v>
      </c>
      <c r="I223" s="16" t="n">
        <v>17.38</v>
      </c>
      <c r="J223" s="16" t="n">
        <v>6.5</v>
      </c>
      <c r="K223" s="16" t="n">
        <f aca="false">H223*I223</f>
        <v>121.66</v>
      </c>
      <c r="L223" s="16" t="n">
        <f aca="false">H223*J223</f>
        <v>45.5</v>
      </c>
      <c r="M223" s="16" t="n">
        <f aca="false">K223-L223</f>
        <v>76.16</v>
      </c>
      <c r="N223" s="17" t="n">
        <f aca="false">IFERROR(M223/K223,0)</f>
        <v>0.626006904487917</v>
      </c>
    </row>
    <row r="224" customFormat="false" ht="15" hidden="false" customHeight="false" outlineLevel="0" collapsed="false">
      <c r="A224" s="15" t="n">
        <v>46032</v>
      </c>
      <c r="B224" s="14" t="s">
        <v>81</v>
      </c>
      <c r="C224" s="14" t="s">
        <v>82</v>
      </c>
      <c r="D224" s="14" t="s">
        <v>83</v>
      </c>
      <c r="E224" s="14" t="s">
        <v>56</v>
      </c>
      <c r="F224" s="14" t="s">
        <v>67</v>
      </c>
      <c r="G224" s="14" t="s">
        <v>68</v>
      </c>
      <c r="H224" s="0" t="n">
        <v>5</v>
      </c>
      <c r="I224" s="16" t="n">
        <v>35.03</v>
      </c>
      <c r="J224" s="16" t="n">
        <v>15</v>
      </c>
      <c r="K224" s="16" t="n">
        <f aca="false">H224*I224</f>
        <v>175.15</v>
      </c>
      <c r="L224" s="16" t="n">
        <f aca="false">H224*J224</f>
        <v>75</v>
      </c>
      <c r="M224" s="16" t="n">
        <f aca="false">K224-L224</f>
        <v>100.15</v>
      </c>
      <c r="N224" s="17" t="n">
        <f aca="false">IFERROR(M224/K224,0)</f>
        <v>0.571795603768199</v>
      </c>
    </row>
    <row r="225" customFormat="false" ht="15" hidden="false" customHeight="false" outlineLevel="0" collapsed="false">
      <c r="A225" s="15" t="n">
        <v>46032</v>
      </c>
      <c r="B225" s="14" t="s">
        <v>81</v>
      </c>
      <c r="C225" s="14" t="s">
        <v>82</v>
      </c>
      <c r="D225" s="14" t="s">
        <v>83</v>
      </c>
      <c r="E225" s="14" t="s">
        <v>64</v>
      </c>
      <c r="F225" s="14" t="s">
        <v>94</v>
      </c>
      <c r="G225" s="14" t="s">
        <v>95</v>
      </c>
      <c r="H225" s="0" t="n">
        <v>1</v>
      </c>
      <c r="I225" s="16" t="n">
        <v>95.56</v>
      </c>
      <c r="J225" s="16" t="n">
        <v>42</v>
      </c>
      <c r="K225" s="16" t="n">
        <f aca="false">H225*I225</f>
        <v>95.56</v>
      </c>
      <c r="L225" s="16" t="n">
        <f aca="false">H225*J225</f>
        <v>42</v>
      </c>
      <c r="M225" s="16" t="n">
        <f aca="false">K225-L225</f>
        <v>53.56</v>
      </c>
      <c r="N225" s="17" t="n">
        <f aca="false">IFERROR(M225/K225,0)</f>
        <v>0.560485558811218</v>
      </c>
    </row>
    <row r="226" customFormat="false" ht="15" hidden="false" customHeight="false" outlineLevel="0" collapsed="false">
      <c r="A226" s="15" t="n">
        <v>46032</v>
      </c>
      <c r="B226" s="14" t="s">
        <v>81</v>
      </c>
      <c r="C226" s="14" t="s">
        <v>82</v>
      </c>
      <c r="D226" s="14" t="s">
        <v>83</v>
      </c>
      <c r="E226" s="14" t="s">
        <v>45</v>
      </c>
      <c r="F226" s="14" t="s">
        <v>72</v>
      </c>
      <c r="G226" s="14" t="s">
        <v>73</v>
      </c>
      <c r="H226" s="0" t="n">
        <v>5</v>
      </c>
      <c r="I226" s="16" t="n">
        <v>51.07</v>
      </c>
      <c r="J226" s="16" t="n">
        <v>21</v>
      </c>
      <c r="K226" s="16" t="n">
        <f aca="false">H226*I226</f>
        <v>255.35</v>
      </c>
      <c r="L226" s="16" t="n">
        <f aca="false">H226*J226</f>
        <v>105</v>
      </c>
      <c r="M226" s="16" t="n">
        <f aca="false">K226-L226</f>
        <v>150.35</v>
      </c>
      <c r="N226" s="17" t="n">
        <f aca="false">IFERROR(M226/K226,0)</f>
        <v>0.588799686704523</v>
      </c>
    </row>
    <row r="227" customFormat="false" ht="15" hidden="false" customHeight="false" outlineLevel="0" collapsed="false">
      <c r="A227" s="15" t="n">
        <v>46032</v>
      </c>
      <c r="B227" s="14" t="s">
        <v>81</v>
      </c>
      <c r="C227" s="14" t="s">
        <v>82</v>
      </c>
      <c r="D227" s="14" t="s">
        <v>83</v>
      </c>
      <c r="E227" s="14" t="s">
        <v>53</v>
      </c>
      <c r="F227" s="14" t="s">
        <v>92</v>
      </c>
      <c r="G227" s="14" t="s">
        <v>93</v>
      </c>
      <c r="H227" s="0" t="n">
        <v>3</v>
      </c>
      <c r="I227" s="16" t="n">
        <v>116.51</v>
      </c>
      <c r="J227" s="16" t="n">
        <v>52</v>
      </c>
      <c r="K227" s="16" t="n">
        <f aca="false">H227*I227</f>
        <v>349.53</v>
      </c>
      <c r="L227" s="16" t="n">
        <f aca="false">H227*J227</f>
        <v>156</v>
      </c>
      <c r="M227" s="16" t="n">
        <f aca="false">K227-L227</f>
        <v>193.53</v>
      </c>
      <c r="N227" s="17" t="n">
        <f aca="false">IFERROR(M227/K227,0)</f>
        <v>0.553686378851601</v>
      </c>
    </row>
    <row r="228" customFormat="false" ht="15" hidden="false" customHeight="false" outlineLevel="0" collapsed="false">
      <c r="A228" s="15" t="n">
        <v>46032</v>
      </c>
      <c r="B228" s="14" t="s">
        <v>88</v>
      </c>
      <c r="C228" s="14" t="s">
        <v>89</v>
      </c>
      <c r="D228" s="14" t="s">
        <v>44</v>
      </c>
      <c r="E228" s="14" t="s">
        <v>76</v>
      </c>
      <c r="F228" s="14" t="s">
        <v>77</v>
      </c>
      <c r="G228" s="14" t="s">
        <v>78</v>
      </c>
      <c r="H228" s="0" t="n">
        <v>3</v>
      </c>
      <c r="I228" s="16" t="n">
        <v>41.68</v>
      </c>
      <c r="J228" s="16" t="n">
        <v>15</v>
      </c>
      <c r="K228" s="16" t="n">
        <f aca="false">H228*I228</f>
        <v>125.04</v>
      </c>
      <c r="L228" s="16" t="n">
        <f aca="false">H228*J228</f>
        <v>45</v>
      </c>
      <c r="M228" s="16" t="n">
        <f aca="false">K228-L228</f>
        <v>80.04</v>
      </c>
      <c r="N228" s="17" t="n">
        <f aca="false">IFERROR(M228/K228,0)</f>
        <v>0.640115163147793</v>
      </c>
    </row>
    <row r="229" customFormat="false" ht="15" hidden="false" customHeight="false" outlineLevel="0" collapsed="false">
      <c r="A229" s="15" t="n">
        <v>46032</v>
      </c>
      <c r="B229" s="14" t="s">
        <v>88</v>
      </c>
      <c r="C229" s="14" t="s">
        <v>89</v>
      </c>
      <c r="D229" s="14" t="s">
        <v>44</v>
      </c>
      <c r="E229" s="14" t="s">
        <v>45</v>
      </c>
      <c r="F229" s="14" t="s">
        <v>46</v>
      </c>
      <c r="G229" s="14" t="s">
        <v>47</v>
      </c>
      <c r="H229" s="0" t="n">
        <v>10</v>
      </c>
      <c r="I229" s="16" t="n">
        <v>41.52</v>
      </c>
      <c r="J229" s="16" t="n">
        <v>18</v>
      </c>
      <c r="K229" s="16" t="n">
        <f aca="false">H229*I229</f>
        <v>415.2</v>
      </c>
      <c r="L229" s="16" t="n">
        <f aca="false">H229*J229</f>
        <v>180</v>
      </c>
      <c r="M229" s="16" t="n">
        <f aca="false">K229-L229</f>
        <v>235.2</v>
      </c>
      <c r="N229" s="17" t="n">
        <f aca="false">IFERROR(M229/K229,0)</f>
        <v>0.566473988439306</v>
      </c>
    </row>
    <row r="230" customFormat="false" ht="15" hidden="false" customHeight="false" outlineLevel="0" collapsed="false">
      <c r="A230" s="15" t="n">
        <v>46032</v>
      </c>
      <c r="B230" s="14" t="s">
        <v>88</v>
      </c>
      <c r="C230" s="14" t="s">
        <v>89</v>
      </c>
      <c r="D230" s="14" t="s">
        <v>44</v>
      </c>
      <c r="E230" s="14" t="s">
        <v>76</v>
      </c>
      <c r="F230" s="14" t="s">
        <v>77</v>
      </c>
      <c r="G230" s="14" t="s">
        <v>78</v>
      </c>
      <c r="H230" s="0" t="n">
        <v>3</v>
      </c>
      <c r="I230" s="16" t="n">
        <v>41.7</v>
      </c>
      <c r="J230" s="16" t="n">
        <v>15</v>
      </c>
      <c r="K230" s="16" t="n">
        <f aca="false">H230*I230</f>
        <v>125.1</v>
      </c>
      <c r="L230" s="16" t="n">
        <f aca="false">H230*J230</f>
        <v>45</v>
      </c>
      <c r="M230" s="16" t="n">
        <f aca="false">K230-L230</f>
        <v>80.1</v>
      </c>
      <c r="N230" s="17" t="n">
        <f aca="false">IFERROR(M230/K230,0)</f>
        <v>0.640287769784173</v>
      </c>
    </row>
    <row r="231" customFormat="false" ht="15" hidden="false" customHeight="false" outlineLevel="0" collapsed="false">
      <c r="A231" s="15" t="n">
        <v>46032</v>
      </c>
      <c r="B231" s="14" t="s">
        <v>88</v>
      </c>
      <c r="C231" s="14" t="s">
        <v>89</v>
      </c>
      <c r="D231" s="14" t="s">
        <v>44</v>
      </c>
      <c r="E231" s="14" t="s">
        <v>76</v>
      </c>
      <c r="F231" s="14" t="s">
        <v>100</v>
      </c>
      <c r="G231" s="14" t="s">
        <v>101</v>
      </c>
      <c r="H231" s="0" t="n">
        <v>4</v>
      </c>
      <c r="I231" s="16" t="n">
        <v>14.98</v>
      </c>
      <c r="J231" s="16" t="n">
        <v>5.5</v>
      </c>
      <c r="K231" s="16" t="n">
        <f aca="false">H231*I231</f>
        <v>59.92</v>
      </c>
      <c r="L231" s="16" t="n">
        <f aca="false">H231*J231</f>
        <v>22</v>
      </c>
      <c r="M231" s="16" t="n">
        <f aca="false">K231-L231</f>
        <v>37.92</v>
      </c>
      <c r="N231" s="17" t="n">
        <f aca="false">IFERROR(M231/K231,0)</f>
        <v>0.632843791722296</v>
      </c>
    </row>
    <row r="232" customFormat="false" ht="15" hidden="false" customHeight="false" outlineLevel="0" collapsed="false">
      <c r="A232" s="15" t="n">
        <v>46032</v>
      </c>
      <c r="B232" s="14" t="s">
        <v>88</v>
      </c>
      <c r="C232" s="14" t="s">
        <v>89</v>
      </c>
      <c r="D232" s="14" t="s">
        <v>44</v>
      </c>
      <c r="E232" s="14" t="s">
        <v>56</v>
      </c>
      <c r="F232" s="14" t="s">
        <v>67</v>
      </c>
      <c r="G232" s="14" t="s">
        <v>68</v>
      </c>
      <c r="H232" s="0" t="n">
        <v>7</v>
      </c>
      <c r="I232" s="16" t="n">
        <v>37.48</v>
      </c>
      <c r="J232" s="16" t="n">
        <v>15</v>
      </c>
      <c r="K232" s="16" t="n">
        <f aca="false">H232*I232</f>
        <v>262.36</v>
      </c>
      <c r="L232" s="16" t="n">
        <f aca="false">H232*J232</f>
        <v>105</v>
      </c>
      <c r="M232" s="16" t="n">
        <f aca="false">K232-L232</f>
        <v>157.36</v>
      </c>
      <c r="N232" s="17" t="n">
        <f aca="false">IFERROR(M232/K232,0)</f>
        <v>0.599786552828175</v>
      </c>
    </row>
    <row r="233" customFormat="false" ht="15" hidden="false" customHeight="false" outlineLevel="0" collapsed="false">
      <c r="A233" s="15" t="n">
        <v>46032</v>
      </c>
      <c r="B233" s="14" t="s">
        <v>88</v>
      </c>
      <c r="C233" s="14" t="s">
        <v>89</v>
      </c>
      <c r="D233" s="14" t="s">
        <v>44</v>
      </c>
      <c r="E233" s="14" t="s">
        <v>76</v>
      </c>
      <c r="F233" s="14" t="s">
        <v>100</v>
      </c>
      <c r="G233" s="14" t="s">
        <v>101</v>
      </c>
      <c r="H233" s="0" t="n">
        <v>7</v>
      </c>
      <c r="I233" s="16" t="n">
        <v>15.68</v>
      </c>
      <c r="J233" s="16" t="n">
        <v>5.5</v>
      </c>
      <c r="K233" s="16" t="n">
        <f aca="false">H233*I233</f>
        <v>109.76</v>
      </c>
      <c r="L233" s="16" t="n">
        <f aca="false">H233*J233</f>
        <v>38.5</v>
      </c>
      <c r="M233" s="16" t="n">
        <f aca="false">K233-L233</f>
        <v>71.26</v>
      </c>
      <c r="N233" s="17" t="n">
        <f aca="false">IFERROR(M233/K233,0)</f>
        <v>0.649234693877551</v>
      </c>
    </row>
    <row r="234" customFormat="false" ht="15" hidden="false" customHeight="false" outlineLevel="0" collapsed="false">
      <c r="A234" s="15" t="n">
        <v>46033</v>
      </c>
      <c r="B234" s="14" t="s">
        <v>42</v>
      </c>
      <c r="C234" s="14" t="s">
        <v>43</v>
      </c>
      <c r="D234" s="14" t="s">
        <v>44</v>
      </c>
      <c r="E234" s="14" t="s">
        <v>45</v>
      </c>
      <c r="F234" s="14" t="s">
        <v>72</v>
      </c>
      <c r="G234" s="14" t="s">
        <v>73</v>
      </c>
      <c r="H234" s="0" t="n">
        <v>3</v>
      </c>
      <c r="I234" s="16" t="n">
        <v>48.43</v>
      </c>
      <c r="J234" s="16" t="n">
        <v>21</v>
      </c>
      <c r="K234" s="16" t="n">
        <f aca="false">H234*I234</f>
        <v>145.29</v>
      </c>
      <c r="L234" s="16" t="n">
        <f aca="false">H234*J234</f>
        <v>63</v>
      </c>
      <c r="M234" s="16" t="n">
        <f aca="false">K234-L234</f>
        <v>82.29</v>
      </c>
      <c r="N234" s="17" t="n">
        <f aca="false">IFERROR(M234/K234,0)</f>
        <v>0.566384472434442</v>
      </c>
    </row>
    <row r="235" customFormat="false" ht="15" hidden="false" customHeight="false" outlineLevel="0" collapsed="false">
      <c r="A235" s="15" t="n">
        <v>46033</v>
      </c>
      <c r="B235" s="14" t="s">
        <v>42</v>
      </c>
      <c r="C235" s="14" t="s">
        <v>43</v>
      </c>
      <c r="D235" s="14" t="s">
        <v>44</v>
      </c>
      <c r="E235" s="14" t="s">
        <v>53</v>
      </c>
      <c r="F235" s="14" t="s">
        <v>84</v>
      </c>
      <c r="G235" s="14" t="s">
        <v>85</v>
      </c>
      <c r="H235" s="0" t="n">
        <v>9</v>
      </c>
      <c r="I235" s="16" t="n">
        <v>23.18</v>
      </c>
      <c r="J235" s="16" t="n">
        <v>9</v>
      </c>
      <c r="K235" s="16" t="n">
        <f aca="false">H235*I235</f>
        <v>208.62</v>
      </c>
      <c r="L235" s="16" t="n">
        <f aca="false">H235*J235</f>
        <v>81</v>
      </c>
      <c r="M235" s="16" t="n">
        <f aca="false">K235-L235</f>
        <v>127.62</v>
      </c>
      <c r="N235" s="17" t="n">
        <f aca="false">IFERROR(M235/K235,0)</f>
        <v>0.611734253666954</v>
      </c>
    </row>
    <row r="236" customFormat="false" ht="15" hidden="false" customHeight="false" outlineLevel="0" collapsed="false">
      <c r="A236" s="15" t="n">
        <v>46033</v>
      </c>
      <c r="B236" s="14" t="s">
        <v>42</v>
      </c>
      <c r="C236" s="14" t="s">
        <v>43</v>
      </c>
      <c r="D236" s="14" t="s">
        <v>44</v>
      </c>
      <c r="E236" s="14" t="s">
        <v>64</v>
      </c>
      <c r="F236" s="14" t="s">
        <v>65</v>
      </c>
      <c r="G236" s="14" t="s">
        <v>66</v>
      </c>
      <c r="H236" s="0" t="n">
        <v>11</v>
      </c>
      <c r="I236" s="16" t="n">
        <v>76.07</v>
      </c>
      <c r="J236" s="16" t="n">
        <v>34</v>
      </c>
      <c r="K236" s="16" t="n">
        <f aca="false">H236*I236</f>
        <v>836.77</v>
      </c>
      <c r="L236" s="16" t="n">
        <f aca="false">H236*J236</f>
        <v>374</v>
      </c>
      <c r="M236" s="16" t="n">
        <f aca="false">K236-L236</f>
        <v>462.77</v>
      </c>
      <c r="N236" s="17" t="n">
        <f aca="false">IFERROR(M236/K236,0)</f>
        <v>0.553043249638491</v>
      </c>
    </row>
    <row r="237" customFormat="false" ht="15" hidden="false" customHeight="false" outlineLevel="0" collapsed="false">
      <c r="A237" s="15" t="n">
        <v>46033</v>
      </c>
      <c r="B237" s="14" t="s">
        <v>42</v>
      </c>
      <c r="C237" s="14" t="s">
        <v>43</v>
      </c>
      <c r="D237" s="14" t="s">
        <v>44</v>
      </c>
      <c r="E237" s="14" t="s">
        <v>64</v>
      </c>
      <c r="F237" s="14" t="s">
        <v>94</v>
      </c>
      <c r="G237" s="14" t="s">
        <v>95</v>
      </c>
      <c r="H237" s="0" t="n">
        <v>11</v>
      </c>
      <c r="I237" s="16" t="n">
        <v>95.71</v>
      </c>
      <c r="J237" s="16" t="n">
        <v>42</v>
      </c>
      <c r="K237" s="16" t="n">
        <f aca="false">H237*I237</f>
        <v>1052.81</v>
      </c>
      <c r="L237" s="16" t="n">
        <f aca="false">H237*J237</f>
        <v>462</v>
      </c>
      <c r="M237" s="16" t="n">
        <f aca="false">K237-L237</f>
        <v>590.81</v>
      </c>
      <c r="N237" s="17" t="n">
        <f aca="false">IFERROR(M237/K237,0)</f>
        <v>0.56117438094243</v>
      </c>
    </row>
    <row r="238" customFormat="false" ht="15" hidden="false" customHeight="false" outlineLevel="0" collapsed="false">
      <c r="A238" s="15" t="n">
        <v>46033</v>
      </c>
      <c r="B238" s="14" t="s">
        <v>50</v>
      </c>
      <c r="C238" s="14" t="s">
        <v>51</v>
      </c>
      <c r="D238" s="14" t="s">
        <v>52</v>
      </c>
      <c r="E238" s="14" t="s">
        <v>45</v>
      </c>
      <c r="F238" s="14" t="s">
        <v>62</v>
      </c>
      <c r="G238" s="14" t="s">
        <v>63</v>
      </c>
      <c r="H238" s="0" t="n">
        <v>12</v>
      </c>
      <c r="I238" s="16" t="n">
        <v>16.6</v>
      </c>
      <c r="J238" s="16" t="n">
        <v>6.5</v>
      </c>
      <c r="K238" s="16" t="n">
        <f aca="false">H238*I238</f>
        <v>199.2</v>
      </c>
      <c r="L238" s="16" t="n">
        <f aca="false">H238*J238</f>
        <v>78</v>
      </c>
      <c r="M238" s="16" t="n">
        <f aca="false">K238-L238</f>
        <v>121.2</v>
      </c>
      <c r="N238" s="17" t="n">
        <f aca="false">IFERROR(M238/K238,0)</f>
        <v>0.608433734939759</v>
      </c>
    </row>
    <row r="239" customFormat="false" ht="15" hidden="false" customHeight="false" outlineLevel="0" collapsed="false">
      <c r="A239" s="15" t="n">
        <v>46033</v>
      </c>
      <c r="B239" s="14" t="s">
        <v>50</v>
      </c>
      <c r="C239" s="14" t="s">
        <v>51</v>
      </c>
      <c r="D239" s="14" t="s">
        <v>52</v>
      </c>
      <c r="E239" s="14" t="s">
        <v>56</v>
      </c>
      <c r="F239" s="14" t="s">
        <v>67</v>
      </c>
      <c r="G239" s="14" t="s">
        <v>68</v>
      </c>
      <c r="H239" s="0" t="n">
        <v>6</v>
      </c>
      <c r="I239" s="16" t="n">
        <v>36.93</v>
      </c>
      <c r="J239" s="16" t="n">
        <v>15</v>
      </c>
      <c r="K239" s="16" t="n">
        <f aca="false">H239*I239</f>
        <v>221.58</v>
      </c>
      <c r="L239" s="16" t="n">
        <f aca="false">H239*J239</f>
        <v>90</v>
      </c>
      <c r="M239" s="16" t="n">
        <f aca="false">K239-L239</f>
        <v>131.58</v>
      </c>
      <c r="N239" s="17" t="n">
        <f aca="false">IFERROR(M239/K239,0)</f>
        <v>0.593826157595451</v>
      </c>
    </row>
    <row r="240" customFormat="false" ht="15" hidden="false" customHeight="false" outlineLevel="0" collapsed="false">
      <c r="A240" s="15" t="n">
        <v>46033</v>
      </c>
      <c r="B240" s="14" t="s">
        <v>50</v>
      </c>
      <c r="C240" s="14" t="s">
        <v>51</v>
      </c>
      <c r="D240" s="14" t="s">
        <v>52</v>
      </c>
      <c r="E240" s="14" t="s">
        <v>64</v>
      </c>
      <c r="F240" s="14" t="s">
        <v>94</v>
      </c>
      <c r="G240" s="14" t="s">
        <v>95</v>
      </c>
      <c r="H240" s="0" t="n">
        <v>13</v>
      </c>
      <c r="I240" s="16" t="n">
        <v>92</v>
      </c>
      <c r="J240" s="16" t="n">
        <v>42</v>
      </c>
      <c r="K240" s="16" t="n">
        <f aca="false">H240*I240</f>
        <v>1196</v>
      </c>
      <c r="L240" s="16" t="n">
        <f aca="false">H240*J240</f>
        <v>546</v>
      </c>
      <c r="M240" s="16" t="n">
        <f aca="false">K240-L240</f>
        <v>650</v>
      </c>
      <c r="N240" s="17" t="n">
        <f aca="false">IFERROR(M240/K240,0)</f>
        <v>0.543478260869565</v>
      </c>
    </row>
    <row r="241" customFormat="false" ht="15" hidden="false" customHeight="false" outlineLevel="0" collapsed="false">
      <c r="A241" s="15" t="n">
        <v>46033</v>
      </c>
      <c r="B241" s="14" t="s">
        <v>50</v>
      </c>
      <c r="C241" s="14" t="s">
        <v>51</v>
      </c>
      <c r="D241" s="14" t="s">
        <v>52</v>
      </c>
      <c r="E241" s="14" t="s">
        <v>45</v>
      </c>
      <c r="F241" s="14" t="s">
        <v>48</v>
      </c>
      <c r="G241" s="14" t="s">
        <v>49</v>
      </c>
      <c r="H241" s="0" t="n">
        <v>7</v>
      </c>
      <c r="I241" s="16" t="n">
        <v>67.98</v>
      </c>
      <c r="J241" s="16" t="n">
        <v>27.5</v>
      </c>
      <c r="K241" s="16" t="n">
        <f aca="false">H241*I241</f>
        <v>475.86</v>
      </c>
      <c r="L241" s="16" t="n">
        <f aca="false">H241*J241</f>
        <v>192.5</v>
      </c>
      <c r="M241" s="16" t="n">
        <f aca="false">K241-L241</f>
        <v>283.36</v>
      </c>
      <c r="N241" s="17" t="n">
        <f aca="false">IFERROR(M241/K241,0)</f>
        <v>0.595469255663431</v>
      </c>
    </row>
    <row r="242" customFormat="false" ht="15" hidden="false" customHeight="false" outlineLevel="0" collapsed="false">
      <c r="A242" s="15" t="n">
        <v>46033</v>
      </c>
      <c r="B242" s="14" t="s">
        <v>59</v>
      </c>
      <c r="C242" s="14" t="s">
        <v>60</v>
      </c>
      <c r="D242" s="14" t="s">
        <v>61</v>
      </c>
      <c r="E242" s="14" t="s">
        <v>45</v>
      </c>
      <c r="F242" s="14" t="s">
        <v>62</v>
      </c>
      <c r="G242" s="14" t="s">
        <v>63</v>
      </c>
      <c r="H242" s="0" t="n">
        <v>3</v>
      </c>
      <c r="I242" s="16" t="n">
        <v>17.12</v>
      </c>
      <c r="J242" s="16" t="n">
        <v>6.5</v>
      </c>
      <c r="K242" s="16" t="n">
        <f aca="false">H242*I242</f>
        <v>51.36</v>
      </c>
      <c r="L242" s="16" t="n">
        <f aca="false">H242*J242</f>
        <v>19.5</v>
      </c>
      <c r="M242" s="16" t="n">
        <f aca="false">K242-L242</f>
        <v>31.86</v>
      </c>
      <c r="N242" s="17" t="n">
        <f aca="false">IFERROR(M242/K242,0)</f>
        <v>0.620327102803738</v>
      </c>
    </row>
    <row r="243" customFormat="false" ht="15" hidden="false" customHeight="false" outlineLevel="0" collapsed="false">
      <c r="A243" s="15" t="n">
        <v>46033</v>
      </c>
      <c r="B243" s="14" t="s">
        <v>59</v>
      </c>
      <c r="C243" s="14" t="s">
        <v>60</v>
      </c>
      <c r="D243" s="14" t="s">
        <v>61</v>
      </c>
      <c r="E243" s="14" t="s">
        <v>76</v>
      </c>
      <c r="F243" s="14" t="s">
        <v>100</v>
      </c>
      <c r="G243" s="14" t="s">
        <v>101</v>
      </c>
      <c r="H243" s="0" t="n">
        <v>4</v>
      </c>
      <c r="I243" s="16" t="n">
        <v>15.85</v>
      </c>
      <c r="J243" s="16" t="n">
        <v>5.5</v>
      </c>
      <c r="K243" s="16" t="n">
        <f aca="false">H243*I243</f>
        <v>63.4</v>
      </c>
      <c r="L243" s="16" t="n">
        <f aca="false">H243*J243</f>
        <v>22</v>
      </c>
      <c r="M243" s="16" t="n">
        <f aca="false">K243-L243</f>
        <v>41.4</v>
      </c>
      <c r="N243" s="17" t="n">
        <f aca="false">IFERROR(M243/K243,0)</f>
        <v>0.652996845425867</v>
      </c>
    </row>
    <row r="244" customFormat="false" ht="15" hidden="false" customHeight="false" outlineLevel="0" collapsed="false">
      <c r="A244" s="15" t="n">
        <v>46033</v>
      </c>
      <c r="B244" s="14" t="s">
        <v>69</v>
      </c>
      <c r="C244" s="14" t="s">
        <v>70</v>
      </c>
      <c r="D244" s="14" t="s">
        <v>71</v>
      </c>
      <c r="E244" s="14" t="s">
        <v>64</v>
      </c>
      <c r="F244" s="14" t="s">
        <v>90</v>
      </c>
      <c r="G244" s="14" t="s">
        <v>91</v>
      </c>
      <c r="H244" s="0" t="n">
        <v>7</v>
      </c>
      <c r="I244" s="16" t="n">
        <v>11.07</v>
      </c>
      <c r="J244" s="16" t="n">
        <v>3.5</v>
      </c>
      <c r="K244" s="16" t="n">
        <f aca="false">H244*I244</f>
        <v>77.49</v>
      </c>
      <c r="L244" s="16" t="n">
        <f aca="false">H244*J244</f>
        <v>24.5</v>
      </c>
      <c r="M244" s="16" t="n">
        <f aca="false">K244-L244</f>
        <v>52.99</v>
      </c>
      <c r="N244" s="17" t="n">
        <f aca="false">IFERROR(M244/K244,0)</f>
        <v>0.68383017163505</v>
      </c>
    </row>
    <row r="245" customFormat="false" ht="15" hidden="false" customHeight="false" outlineLevel="0" collapsed="false">
      <c r="A245" s="15" t="n">
        <v>46033</v>
      </c>
      <c r="B245" s="14" t="s">
        <v>69</v>
      </c>
      <c r="C245" s="14" t="s">
        <v>70</v>
      </c>
      <c r="D245" s="14" t="s">
        <v>71</v>
      </c>
      <c r="E245" s="14" t="s">
        <v>76</v>
      </c>
      <c r="F245" s="14" t="s">
        <v>77</v>
      </c>
      <c r="G245" s="14" t="s">
        <v>78</v>
      </c>
      <c r="H245" s="0" t="n">
        <v>9</v>
      </c>
      <c r="I245" s="16" t="n">
        <v>40.13</v>
      </c>
      <c r="J245" s="16" t="n">
        <v>15</v>
      </c>
      <c r="K245" s="16" t="n">
        <f aca="false">H245*I245</f>
        <v>361.17</v>
      </c>
      <c r="L245" s="16" t="n">
        <f aca="false">H245*J245</f>
        <v>135</v>
      </c>
      <c r="M245" s="16" t="n">
        <f aca="false">K245-L245</f>
        <v>226.17</v>
      </c>
      <c r="N245" s="17" t="n">
        <f aca="false">IFERROR(M245/K245,0)</f>
        <v>0.626214801893845</v>
      </c>
    </row>
    <row r="246" customFormat="false" ht="15" hidden="false" customHeight="false" outlineLevel="0" collapsed="false">
      <c r="A246" s="15" t="n">
        <v>46033</v>
      </c>
      <c r="B246" s="14" t="s">
        <v>81</v>
      </c>
      <c r="C246" s="14" t="s">
        <v>82</v>
      </c>
      <c r="D246" s="14" t="s">
        <v>83</v>
      </c>
      <c r="E246" s="14" t="s">
        <v>76</v>
      </c>
      <c r="F246" s="14" t="s">
        <v>79</v>
      </c>
      <c r="G246" s="14" t="s">
        <v>80</v>
      </c>
      <c r="H246" s="0" t="n">
        <v>6</v>
      </c>
      <c r="I246" s="16" t="n">
        <v>28.91</v>
      </c>
      <c r="J246" s="16" t="n">
        <v>11</v>
      </c>
      <c r="K246" s="16" t="n">
        <f aca="false">H246*I246</f>
        <v>173.46</v>
      </c>
      <c r="L246" s="16" t="n">
        <f aca="false">H246*J246</f>
        <v>66</v>
      </c>
      <c r="M246" s="16" t="n">
        <f aca="false">K246-L246</f>
        <v>107.46</v>
      </c>
      <c r="N246" s="17" t="n">
        <f aca="false">IFERROR(M246/K246,0)</f>
        <v>0.619508820477344</v>
      </c>
    </row>
    <row r="247" customFormat="false" ht="15" hidden="false" customHeight="false" outlineLevel="0" collapsed="false">
      <c r="A247" s="15" t="n">
        <v>46033</v>
      </c>
      <c r="B247" s="14" t="s">
        <v>81</v>
      </c>
      <c r="C247" s="14" t="s">
        <v>82</v>
      </c>
      <c r="D247" s="14" t="s">
        <v>83</v>
      </c>
      <c r="E247" s="14" t="s">
        <v>76</v>
      </c>
      <c r="F247" s="14" t="s">
        <v>79</v>
      </c>
      <c r="G247" s="14" t="s">
        <v>80</v>
      </c>
      <c r="H247" s="0" t="n">
        <v>7</v>
      </c>
      <c r="I247" s="16" t="n">
        <v>28.26</v>
      </c>
      <c r="J247" s="16" t="n">
        <v>11</v>
      </c>
      <c r="K247" s="16" t="n">
        <f aca="false">H247*I247</f>
        <v>197.82</v>
      </c>
      <c r="L247" s="16" t="n">
        <f aca="false">H247*J247</f>
        <v>77</v>
      </c>
      <c r="M247" s="16" t="n">
        <f aca="false">K247-L247</f>
        <v>120.82</v>
      </c>
      <c r="N247" s="17" t="n">
        <f aca="false">IFERROR(M247/K247,0)</f>
        <v>0.610757254069356</v>
      </c>
    </row>
    <row r="248" customFormat="false" ht="15" hidden="false" customHeight="false" outlineLevel="0" collapsed="false">
      <c r="A248" s="15" t="n">
        <v>46033</v>
      </c>
      <c r="B248" s="14" t="s">
        <v>81</v>
      </c>
      <c r="C248" s="14" t="s">
        <v>82</v>
      </c>
      <c r="D248" s="14" t="s">
        <v>83</v>
      </c>
      <c r="E248" s="14" t="s">
        <v>45</v>
      </c>
      <c r="F248" s="14" t="s">
        <v>72</v>
      </c>
      <c r="G248" s="14" t="s">
        <v>73</v>
      </c>
      <c r="H248" s="0" t="n">
        <v>2</v>
      </c>
      <c r="I248" s="16" t="n">
        <v>50.6</v>
      </c>
      <c r="J248" s="16" t="n">
        <v>21</v>
      </c>
      <c r="K248" s="16" t="n">
        <f aca="false">H248*I248</f>
        <v>101.2</v>
      </c>
      <c r="L248" s="16" t="n">
        <f aca="false">H248*J248</f>
        <v>42</v>
      </c>
      <c r="M248" s="16" t="n">
        <f aca="false">K248-L248</f>
        <v>59.2</v>
      </c>
      <c r="N248" s="17" t="n">
        <f aca="false">IFERROR(M248/K248,0)</f>
        <v>0.58498023715415</v>
      </c>
    </row>
    <row r="249" customFormat="false" ht="15" hidden="false" customHeight="false" outlineLevel="0" collapsed="false">
      <c r="A249" s="15" t="n">
        <v>46033</v>
      </c>
      <c r="B249" s="14" t="s">
        <v>88</v>
      </c>
      <c r="C249" s="14" t="s">
        <v>89</v>
      </c>
      <c r="D249" s="14" t="s">
        <v>44</v>
      </c>
      <c r="E249" s="14" t="s">
        <v>45</v>
      </c>
      <c r="F249" s="14" t="s">
        <v>48</v>
      </c>
      <c r="G249" s="14" t="s">
        <v>49</v>
      </c>
      <c r="H249" s="0" t="n">
        <v>8</v>
      </c>
      <c r="I249" s="16" t="n">
        <v>63.89</v>
      </c>
      <c r="J249" s="16" t="n">
        <v>27.5</v>
      </c>
      <c r="K249" s="16" t="n">
        <f aca="false">H249*I249</f>
        <v>511.12</v>
      </c>
      <c r="L249" s="16" t="n">
        <f aca="false">H249*J249</f>
        <v>220</v>
      </c>
      <c r="M249" s="16" t="n">
        <f aca="false">K249-L249</f>
        <v>291.12</v>
      </c>
      <c r="N249" s="17" t="n">
        <f aca="false">IFERROR(M249/K249,0)</f>
        <v>0.569572703083425</v>
      </c>
    </row>
    <row r="250" customFormat="false" ht="15" hidden="false" customHeight="false" outlineLevel="0" collapsed="false">
      <c r="A250" s="15" t="n">
        <v>46033</v>
      </c>
      <c r="B250" s="14" t="s">
        <v>88</v>
      </c>
      <c r="C250" s="14" t="s">
        <v>89</v>
      </c>
      <c r="D250" s="14" t="s">
        <v>44</v>
      </c>
      <c r="E250" s="14" t="s">
        <v>53</v>
      </c>
      <c r="F250" s="14" t="s">
        <v>54</v>
      </c>
      <c r="G250" s="14" t="s">
        <v>55</v>
      </c>
      <c r="H250" s="0" t="n">
        <v>2</v>
      </c>
      <c r="I250" s="16" t="n">
        <v>54.25</v>
      </c>
      <c r="J250" s="16" t="n">
        <v>22</v>
      </c>
      <c r="K250" s="16" t="n">
        <f aca="false">H250*I250</f>
        <v>108.5</v>
      </c>
      <c r="L250" s="16" t="n">
        <f aca="false">H250*J250</f>
        <v>44</v>
      </c>
      <c r="M250" s="16" t="n">
        <f aca="false">K250-L250</f>
        <v>64.5</v>
      </c>
      <c r="N250" s="17" t="n">
        <f aca="false">IFERROR(M250/K250,0)</f>
        <v>0.594470046082949</v>
      </c>
    </row>
    <row r="251" customFormat="false" ht="15" hidden="false" customHeight="false" outlineLevel="0" collapsed="false">
      <c r="A251" s="15" t="n">
        <v>46033</v>
      </c>
      <c r="B251" s="14" t="s">
        <v>88</v>
      </c>
      <c r="C251" s="14" t="s">
        <v>89</v>
      </c>
      <c r="D251" s="14" t="s">
        <v>44</v>
      </c>
      <c r="E251" s="14" t="s">
        <v>56</v>
      </c>
      <c r="F251" s="14" t="s">
        <v>86</v>
      </c>
      <c r="G251" s="14" t="s">
        <v>87</v>
      </c>
      <c r="H251" s="0" t="n">
        <v>5</v>
      </c>
      <c r="I251" s="16" t="n">
        <v>14.78</v>
      </c>
      <c r="J251" s="16" t="n">
        <v>5</v>
      </c>
      <c r="K251" s="16" t="n">
        <f aca="false">H251*I251</f>
        <v>73.9</v>
      </c>
      <c r="L251" s="16" t="n">
        <f aca="false">H251*J251</f>
        <v>25</v>
      </c>
      <c r="M251" s="16" t="n">
        <f aca="false">K251-L251</f>
        <v>48.9</v>
      </c>
      <c r="N251" s="17" t="n">
        <f aca="false">IFERROR(M251/K251,0)</f>
        <v>0.6617050067659</v>
      </c>
    </row>
    <row r="252" customFormat="false" ht="15" hidden="false" customHeight="false" outlineLevel="0" collapsed="false">
      <c r="A252" s="15" t="n">
        <v>46033</v>
      </c>
      <c r="B252" s="14" t="s">
        <v>88</v>
      </c>
      <c r="C252" s="14" t="s">
        <v>89</v>
      </c>
      <c r="D252" s="14" t="s">
        <v>44</v>
      </c>
      <c r="E252" s="14" t="s">
        <v>53</v>
      </c>
      <c r="F252" s="14" t="s">
        <v>92</v>
      </c>
      <c r="G252" s="14" t="s">
        <v>93</v>
      </c>
      <c r="H252" s="0" t="n">
        <v>4</v>
      </c>
      <c r="I252" s="16" t="n">
        <v>117.97</v>
      </c>
      <c r="J252" s="16" t="n">
        <v>52</v>
      </c>
      <c r="K252" s="16" t="n">
        <f aca="false">H252*I252</f>
        <v>471.88</v>
      </c>
      <c r="L252" s="16" t="n">
        <f aca="false">H252*J252</f>
        <v>208</v>
      </c>
      <c r="M252" s="16" t="n">
        <f aca="false">K252-L252</f>
        <v>263.88</v>
      </c>
      <c r="N252" s="17" t="n">
        <f aca="false">IFERROR(M252/K252,0)</f>
        <v>0.559209968636094</v>
      </c>
    </row>
    <row r="253" customFormat="false" ht="15" hidden="false" customHeight="false" outlineLevel="0" collapsed="false">
      <c r="A253" s="15" t="n">
        <v>46033</v>
      </c>
      <c r="B253" s="14" t="s">
        <v>88</v>
      </c>
      <c r="C253" s="14" t="s">
        <v>89</v>
      </c>
      <c r="D253" s="14" t="s">
        <v>44</v>
      </c>
      <c r="E253" s="14" t="s">
        <v>56</v>
      </c>
      <c r="F253" s="14" t="s">
        <v>98</v>
      </c>
      <c r="G253" s="14" t="s">
        <v>99</v>
      </c>
      <c r="H253" s="0" t="n">
        <v>7</v>
      </c>
      <c r="I253" s="16" t="n">
        <v>21.75</v>
      </c>
      <c r="J253" s="16" t="n">
        <v>8</v>
      </c>
      <c r="K253" s="16" t="n">
        <f aca="false">H253*I253</f>
        <v>152.25</v>
      </c>
      <c r="L253" s="16" t="n">
        <f aca="false">H253*J253</f>
        <v>56</v>
      </c>
      <c r="M253" s="16" t="n">
        <f aca="false">K253-L253</f>
        <v>96.25</v>
      </c>
      <c r="N253" s="17" t="n">
        <f aca="false">IFERROR(M253/K253,0)</f>
        <v>0.632183908045977</v>
      </c>
    </row>
    <row r="254" customFormat="false" ht="15" hidden="false" customHeight="false" outlineLevel="0" collapsed="false">
      <c r="A254" s="15" t="n">
        <v>46033</v>
      </c>
      <c r="B254" s="14" t="s">
        <v>88</v>
      </c>
      <c r="C254" s="14" t="s">
        <v>89</v>
      </c>
      <c r="D254" s="14" t="s">
        <v>44</v>
      </c>
      <c r="E254" s="14" t="s">
        <v>53</v>
      </c>
      <c r="F254" s="14" t="s">
        <v>54</v>
      </c>
      <c r="G254" s="14" t="s">
        <v>55</v>
      </c>
      <c r="H254" s="0" t="n">
        <v>6</v>
      </c>
      <c r="I254" s="16" t="n">
        <v>54.11</v>
      </c>
      <c r="J254" s="16" t="n">
        <v>22</v>
      </c>
      <c r="K254" s="16" t="n">
        <f aca="false">H254*I254</f>
        <v>324.66</v>
      </c>
      <c r="L254" s="16" t="n">
        <f aca="false">H254*J254</f>
        <v>132</v>
      </c>
      <c r="M254" s="16" t="n">
        <f aca="false">K254-L254</f>
        <v>192.66</v>
      </c>
      <c r="N254" s="17" t="n">
        <f aca="false">IFERROR(M254/K254,0)</f>
        <v>0.593420809462207</v>
      </c>
    </row>
    <row r="255" customFormat="false" ht="15" hidden="false" customHeight="false" outlineLevel="0" collapsed="false">
      <c r="A255" s="15" t="n">
        <v>46034</v>
      </c>
      <c r="B255" s="14" t="s">
        <v>42</v>
      </c>
      <c r="C255" s="14" t="s">
        <v>43</v>
      </c>
      <c r="D255" s="14" t="s">
        <v>44</v>
      </c>
      <c r="E255" s="14" t="s">
        <v>45</v>
      </c>
      <c r="F255" s="14" t="s">
        <v>62</v>
      </c>
      <c r="G255" s="14" t="s">
        <v>63</v>
      </c>
      <c r="H255" s="0" t="n">
        <v>1</v>
      </c>
      <c r="I255" s="16" t="n">
        <v>17.08</v>
      </c>
      <c r="J255" s="16" t="n">
        <v>6.5</v>
      </c>
      <c r="K255" s="16" t="n">
        <f aca="false">H255*I255</f>
        <v>17.08</v>
      </c>
      <c r="L255" s="16" t="n">
        <f aca="false">H255*J255</f>
        <v>6.5</v>
      </c>
      <c r="M255" s="16" t="n">
        <f aca="false">K255-L255</f>
        <v>10.58</v>
      </c>
      <c r="N255" s="17" t="n">
        <f aca="false">IFERROR(M255/K255,0)</f>
        <v>0.61943793911007</v>
      </c>
    </row>
    <row r="256" customFormat="false" ht="15" hidden="false" customHeight="false" outlineLevel="0" collapsed="false">
      <c r="A256" s="15" t="n">
        <v>46034</v>
      </c>
      <c r="B256" s="14" t="s">
        <v>42</v>
      </c>
      <c r="C256" s="14" t="s">
        <v>43</v>
      </c>
      <c r="D256" s="14" t="s">
        <v>44</v>
      </c>
      <c r="E256" s="14" t="s">
        <v>53</v>
      </c>
      <c r="F256" s="14" t="s">
        <v>92</v>
      </c>
      <c r="G256" s="14" t="s">
        <v>93</v>
      </c>
      <c r="H256" s="0" t="n">
        <v>1</v>
      </c>
      <c r="I256" s="16" t="n">
        <v>112.07</v>
      </c>
      <c r="J256" s="16" t="n">
        <v>52</v>
      </c>
      <c r="K256" s="16" t="n">
        <f aca="false">H256*I256</f>
        <v>112.07</v>
      </c>
      <c r="L256" s="16" t="n">
        <f aca="false">H256*J256</f>
        <v>52</v>
      </c>
      <c r="M256" s="16" t="n">
        <f aca="false">K256-L256</f>
        <v>60.07</v>
      </c>
      <c r="N256" s="17" t="n">
        <f aca="false">IFERROR(M256/K256,0)</f>
        <v>0.536004283037387</v>
      </c>
    </row>
    <row r="257" customFormat="false" ht="15" hidden="false" customHeight="false" outlineLevel="0" collapsed="false">
      <c r="A257" s="15" t="n">
        <v>46034</v>
      </c>
      <c r="B257" s="14" t="s">
        <v>50</v>
      </c>
      <c r="C257" s="14" t="s">
        <v>51</v>
      </c>
      <c r="D257" s="14" t="s">
        <v>52</v>
      </c>
      <c r="E257" s="14" t="s">
        <v>53</v>
      </c>
      <c r="F257" s="14" t="s">
        <v>84</v>
      </c>
      <c r="G257" s="14" t="s">
        <v>85</v>
      </c>
      <c r="H257" s="0" t="n">
        <v>2</v>
      </c>
      <c r="I257" s="16" t="n">
        <v>24.49</v>
      </c>
      <c r="J257" s="16" t="n">
        <v>9</v>
      </c>
      <c r="K257" s="16" t="n">
        <f aca="false">H257*I257</f>
        <v>48.98</v>
      </c>
      <c r="L257" s="16" t="n">
        <f aca="false">H257*J257</f>
        <v>18</v>
      </c>
      <c r="M257" s="16" t="n">
        <f aca="false">K257-L257</f>
        <v>30.98</v>
      </c>
      <c r="N257" s="17" t="n">
        <f aca="false">IFERROR(M257/K257,0)</f>
        <v>0.632503062474479</v>
      </c>
    </row>
    <row r="258" customFormat="false" ht="15" hidden="false" customHeight="false" outlineLevel="0" collapsed="false">
      <c r="A258" s="15" t="n">
        <v>46034</v>
      </c>
      <c r="B258" s="14" t="s">
        <v>50</v>
      </c>
      <c r="C258" s="14" t="s">
        <v>51</v>
      </c>
      <c r="D258" s="14" t="s">
        <v>52</v>
      </c>
      <c r="E258" s="14" t="s">
        <v>64</v>
      </c>
      <c r="F258" s="14" t="s">
        <v>90</v>
      </c>
      <c r="G258" s="14" t="s">
        <v>91</v>
      </c>
      <c r="H258" s="0" t="n">
        <v>9</v>
      </c>
      <c r="I258" s="16" t="n">
        <v>11.53</v>
      </c>
      <c r="J258" s="16" t="n">
        <v>3.5</v>
      </c>
      <c r="K258" s="16" t="n">
        <f aca="false">H258*I258</f>
        <v>103.77</v>
      </c>
      <c r="L258" s="16" t="n">
        <f aca="false">H258*J258</f>
        <v>31.5</v>
      </c>
      <c r="M258" s="16" t="n">
        <f aca="false">K258-L258</f>
        <v>72.27</v>
      </c>
      <c r="N258" s="17" t="n">
        <f aca="false">IFERROR(M258/K258,0)</f>
        <v>0.696444058976583</v>
      </c>
    </row>
    <row r="259" customFormat="false" ht="15" hidden="false" customHeight="false" outlineLevel="0" collapsed="false">
      <c r="A259" s="15" t="n">
        <v>46034</v>
      </c>
      <c r="B259" s="14" t="s">
        <v>59</v>
      </c>
      <c r="C259" s="14" t="s">
        <v>60</v>
      </c>
      <c r="D259" s="14" t="s">
        <v>61</v>
      </c>
      <c r="E259" s="14" t="s">
        <v>64</v>
      </c>
      <c r="F259" s="14" t="s">
        <v>96</v>
      </c>
      <c r="G259" s="14" t="s">
        <v>97</v>
      </c>
      <c r="H259" s="0" t="n">
        <v>1</v>
      </c>
      <c r="I259" s="16" t="n">
        <v>57.71</v>
      </c>
      <c r="J259" s="16" t="n">
        <v>24</v>
      </c>
      <c r="K259" s="16" t="n">
        <f aca="false">H259*I259</f>
        <v>57.71</v>
      </c>
      <c r="L259" s="16" t="n">
        <f aca="false">H259*J259</f>
        <v>24</v>
      </c>
      <c r="M259" s="16" t="n">
        <f aca="false">K259-L259</f>
        <v>33.71</v>
      </c>
      <c r="N259" s="17" t="n">
        <f aca="false">IFERROR(M259/K259,0)</f>
        <v>0.584127534222838</v>
      </c>
    </row>
    <row r="260" customFormat="false" ht="15" hidden="false" customHeight="false" outlineLevel="0" collapsed="false">
      <c r="A260" s="15" t="n">
        <v>46034</v>
      </c>
      <c r="B260" s="14" t="s">
        <v>59</v>
      </c>
      <c r="C260" s="14" t="s">
        <v>60</v>
      </c>
      <c r="D260" s="14" t="s">
        <v>61</v>
      </c>
      <c r="E260" s="14" t="s">
        <v>56</v>
      </c>
      <c r="F260" s="14" t="s">
        <v>67</v>
      </c>
      <c r="G260" s="14" t="s">
        <v>68</v>
      </c>
      <c r="H260" s="0" t="n">
        <v>7</v>
      </c>
      <c r="I260" s="16" t="n">
        <v>36.92</v>
      </c>
      <c r="J260" s="16" t="n">
        <v>15</v>
      </c>
      <c r="K260" s="16" t="n">
        <f aca="false">H260*I260</f>
        <v>258.44</v>
      </c>
      <c r="L260" s="16" t="n">
        <f aca="false">H260*J260</f>
        <v>105</v>
      </c>
      <c r="M260" s="16" t="n">
        <f aca="false">K260-L260</f>
        <v>153.44</v>
      </c>
      <c r="N260" s="17" t="n">
        <f aca="false">IFERROR(M260/K260,0)</f>
        <v>0.593716143011918</v>
      </c>
    </row>
    <row r="261" customFormat="false" ht="15" hidden="false" customHeight="false" outlineLevel="0" collapsed="false">
      <c r="A261" s="15" t="n">
        <v>46034</v>
      </c>
      <c r="B261" s="14" t="s">
        <v>69</v>
      </c>
      <c r="C261" s="14" t="s">
        <v>70</v>
      </c>
      <c r="D261" s="14" t="s">
        <v>71</v>
      </c>
      <c r="E261" s="14" t="s">
        <v>45</v>
      </c>
      <c r="F261" s="14" t="s">
        <v>72</v>
      </c>
      <c r="G261" s="14" t="s">
        <v>73</v>
      </c>
      <c r="H261" s="0" t="n">
        <v>6</v>
      </c>
      <c r="I261" s="16" t="n">
        <v>49.61</v>
      </c>
      <c r="J261" s="16" t="n">
        <v>21</v>
      </c>
      <c r="K261" s="16" t="n">
        <f aca="false">H261*I261</f>
        <v>297.66</v>
      </c>
      <c r="L261" s="16" t="n">
        <f aca="false">H261*J261</f>
        <v>126</v>
      </c>
      <c r="M261" s="16" t="n">
        <f aca="false">K261-L261</f>
        <v>171.66</v>
      </c>
      <c r="N261" s="17" t="n">
        <f aca="false">IFERROR(M261/K261,0)</f>
        <v>0.576698246321306</v>
      </c>
    </row>
    <row r="262" customFormat="false" ht="15" hidden="false" customHeight="false" outlineLevel="0" collapsed="false">
      <c r="A262" s="15" t="n">
        <v>46034</v>
      </c>
      <c r="B262" s="14" t="s">
        <v>69</v>
      </c>
      <c r="C262" s="14" t="s">
        <v>70</v>
      </c>
      <c r="D262" s="14" t="s">
        <v>71</v>
      </c>
      <c r="E262" s="14" t="s">
        <v>45</v>
      </c>
      <c r="F262" s="14" t="s">
        <v>72</v>
      </c>
      <c r="G262" s="14" t="s">
        <v>73</v>
      </c>
      <c r="H262" s="0" t="n">
        <v>7</v>
      </c>
      <c r="I262" s="16" t="n">
        <v>48.15</v>
      </c>
      <c r="J262" s="16" t="n">
        <v>21</v>
      </c>
      <c r="K262" s="16" t="n">
        <f aca="false">H262*I262</f>
        <v>337.05</v>
      </c>
      <c r="L262" s="16" t="n">
        <f aca="false">H262*J262</f>
        <v>147</v>
      </c>
      <c r="M262" s="16" t="n">
        <f aca="false">K262-L262</f>
        <v>190.05</v>
      </c>
      <c r="N262" s="17" t="n">
        <f aca="false">IFERROR(M262/K262,0)</f>
        <v>0.56386292834891</v>
      </c>
    </row>
    <row r="263" customFormat="false" ht="15" hidden="false" customHeight="false" outlineLevel="0" collapsed="false">
      <c r="A263" s="15" t="n">
        <v>46034</v>
      </c>
      <c r="B263" s="14" t="s">
        <v>81</v>
      </c>
      <c r="C263" s="14" t="s">
        <v>82</v>
      </c>
      <c r="D263" s="14" t="s">
        <v>83</v>
      </c>
      <c r="E263" s="14" t="s">
        <v>76</v>
      </c>
      <c r="F263" s="14" t="s">
        <v>77</v>
      </c>
      <c r="G263" s="14" t="s">
        <v>78</v>
      </c>
      <c r="H263" s="0" t="n">
        <v>2</v>
      </c>
      <c r="I263" s="16" t="n">
        <v>39.06</v>
      </c>
      <c r="J263" s="16" t="n">
        <v>15</v>
      </c>
      <c r="K263" s="16" t="n">
        <f aca="false">H263*I263</f>
        <v>78.12</v>
      </c>
      <c r="L263" s="16" t="n">
        <f aca="false">H263*J263</f>
        <v>30</v>
      </c>
      <c r="M263" s="16" t="n">
        <f aca="false">K263-L263</f>
        <v>48.12</v>
      </c>
      <c r="N263" s="17" t="n">
        <f aca="false">IFERROR(M263/K263,0)</f>
        <v>0.615975422427035</v>
      </c>
    </row>
    <row r="264" customFormat="false" ht="15" hidden="false" customHeight="false" outlineLevel="0" collapsed="false">
      <c r="A264" s="15" t="n">
        <v>46034</v>
      </c>
      <c r="B264" s="14" t="s">
        <v>81</v>
      </c>
      <c r="C264" s="14" t="s">
        <v>82</v>
      </c>
      <c r="D264" s="14" t="s">
        <v>83</v>
      </c>
      <c r="E264" s="14" t="s">
        <v>56</v>
      </c>
      <c r="F264" s="14" t="s">
        <v>67</v>
      </c>
      <c r="G264" s="14" t="s">
        <v>68</v>
      </c>
      <c r="H264" s="0" t="n">
        <v>5</v>
      </c>
      <c r="I264" s="16" t="n">
        <v>37.98</v>
      </c>
      <c r="J264" s="16" t="n">
        <v>15</v>
      </c>
      <c r="K264" s="16" t="n">
        <f aca="false">H264*I264</f>
        <v>189.9</v>
      </c>
      <c r="L264" s="16" t="n">
        <f aca="false">H264*J264</f>
        <v>75</v>
      </c>
      <c r="M264" s="16" t="n">
        <f aca="false">K264-L264</f>
        <v>114.9</v>
      </c>
      <c r="N264" s="17" t="n">
        <f aca="false">IFERROR(M264/K264,0)</f>
        <v>0.605055292259084</v>
      </c>
    </row>
    <row r="265" customFormat="false" ht="15" hidden="false" customHeight="false" outlineLevel="0" collapsed="false">
      <c r="A265" s="15" t="n">
        <v>46034</v>
      </c>
      <c r="B265" s="14" t="s">
        <v>88</v>
      </c>
      <c r="C265" s="14" t="s">
        <v>89</v>
      </c>
      <c r="D265" s="14" t="s">
        <v>44</v>
      </c>
      <c r="E265" s="14" t="s">
        <v>76</v>
      </c>
      <c r="F265" s="14" t="s">
        <v>100</v>
      </c>
      <c r="G265" s="14" t="s">
        <v>101</v>
      </c>
      <c r="H265" s="0" t="n">
        <v>8</v>
      </c>
      <c r="I265" s="16" t="n">
        <v>14.85</v>
      </c>
      <c r="J265" s="16" t="n">
        <v>5.5</v>
      </c>
      <c r="K265" s="16" t="n">
        <f aca="false">H265*I265</f>
        <v>118.8</v>
      </c>
      <c r="L265" s="16" t="n">
        <f aca="false">H265*J265</f>
        <v>44</v>
      </c>
      <c r="M265" s="16" t="n">
        <f aca="false">K265-L265</f>
        <v>74.8</v>
      </c>
      <c r="N265" s="17" t="n">
        <f aca="false">IFERROR(M265/K265,0)</f>
        <v>0.62962962962963</v>
      </c>
    </row>
    <row r="266" customFormat="false" ht="15" hidden="false" customHeight="false" outlineLevel="0" collapsed="false">
      <c r="A266" s="15" t="n">
        <v>46034</v>
      </c>
      <c r="B266" s="14" t="s">
        <v>88</v>
      </c>
      <c r="C266" s="14" t="s">
        <v>89</v>
      </c>
      <c r="D266" s="14" t="s">
        <v>44</v>
      </c>
      <c r="E266" s="14" t="s">
        <v>45</v>
      </c>
      <c r="F266" s="14" t="s">
        <v>62</v>
      </c>
      <c r="G266" s="14" t="s">
        <v>63</v>
      </c>
      <c r="H266" s="0" t="n">
        <v>7</v>
      </c>
      <c r="I266" s="16" t="n">
        <v>17.21</v>
      </c>
      <c r="J266" s="16" t="n">
        <v>6.5</v>
      </c>
      <c r="K266" s="16" t="n">
        <f aca="false">H266*I266</f>
        <v>120.47</v>
      </c>
      <c r="L266" s="16" t="n">
        <f aca="false">H266*J266</f>
        <v>45.5</v>
      </c>
      <c r="M266" s="16" t="n">
        <f aca="false">K266-L266</f>
        <v>74.97</v>
      </c>
      <c r="N266" s="17" t="n">
        <f aca="false">IFERROR(M266/K266,0)</f>
        <v>0.622312608948286</v>
      </c>
    </row>
    <row r="267" customFormat="false" ht="15" hidden="false" customHeight="false" outlineLevel="0" collapsed="false">
      <c r="A267" s="15" t="n">
        <v>46034</v>
      </c>
      <c r="B267" s="14" t="s">
        <v>88</v>
      </c>
      <c r="C267" s="14" t="s">
        <v>89</v>
      </c>
      <c r="D267" s="14" t="s">
        <v>44</v>
      </c>
      <c r="E267" s="14" t="s">
        <v>53</v>
      </c>
      <c r="F267" s="14" t="s">
        <v>84</v>
      </c>
      <c r="G267" s="14" t="s">
        <v>85</v>
      </c>
      <c r="H267" s="0" t="n">
        <v>6</v>
      </c>
      <c r="I267" s="16" t="n">
        <v>24.65</v>
      </c>
      <c r="J267" s="16" t="n">
        <v>9</v>
      </c>
      <c r="K267" s="16" t="n">
        <f aca="false">H267*I267</f>
        <v>147.9</v>
      </c>
      <c r="L267" s="16" t="n">
        <f aca="false">H267*J267</f>
        <v>54</v>
      </c>
      <c r="M267" s="16" t="n">
        <f aca="false">K267-L267</f>
        <v>93.9</v>
      </c>
      <c r="N267" s="17" t="n">
        <f aca="false">IFERROR(M267/K267,0)</f>
        <v>0.634888438133874</v>
      </c>
    </row>
    <row r="268" customFormat="false" ht="15" hidden="false" customHeight="false" outlineLevel="0" collapsed="false">
      <c r="A268" s="15" t="n">
        <v>46034</v>
      </c>
      <c r="B268" s="14" t="s">
        <v>88</v>
      </c>
      <c r="C268" s="14" t="s">
        <v>89</v>
      </c>
      <c r="D268" s="14" t="s">
        <v>44</v>
      </c>
      <c r="E268" s="14" t="s">
        <v>64</v>
      </c>
      <c r="F268" s="14" t="s">
        <v>90</v>
      </c>
      <c r="G268" s="14" t="s">
        <v>91</v>
      </c>
      <c r="H268" s="0" t="n">
        <v>3</v>
      </c>
      <c r="I268" s="16" t="n">
        <v>11.34</v>
      </c>
      <c r="J268" s="16" t="n">
        <v>3.5</v>
      </c>
      <c r="K268" s="16" t="n">
        <f aca="false">H268*I268</f>
        <v>34.02</v>
      </c>
      <c r="L268" s="16" t="n">
        <f aca="false">H268*J268</f>
        <v>10.5</v>
      </c>
      <c r="M268" s="16" t="n">
        <f aca="false">K268-L268</f>
        <v>23.52</v>
      </c>
      <c r="N268" s="17" t="n">
        <f aca="false">IFERROR(M268/K268,0)</f>
        <v>0.691358024691358</v>
      </c>
    </row>
    <row r="269" customFormat="false" ht="15" hidden="false" customHeight="false" outlineLevel="0" collapsed="false">
      <c r="A269" s="15" t="n">
        <v>46034</v>
      </c>
      <c r="B269" s="14" t="s">
        <v>88</v>
      </c>
      <c r="C269" s="14" t="s">
        <v>89</v>
      </c>
      <c r="D269" s="14" t="s">
        <v>44</v>
      </c>
      <c r="E269" s="14" t="s">
        <v>76</v>
      </c>
      <c r="F269" s="14" t="s">
        <v>102</v>
      </c>
      <c r="G269" s="14" t="s">
        <v>103</v>
      </c>
      <c r="H269" s="0" t="n">
        <v>7</v>
      </c>
      <c r="I269" s="16" t="n">
        <v>23.91</v>
      </c>
      <c r="J269" s="16" t="n">
        <v>8.5</v>
      </c>
      <c r="K269" s="16" t="n">
        <f aca="false">H269*I269</f>
        <v>167.37</v>
      </c>
      <c r="L269" s="16" t="n">
        <f aca="false">H269*J269</f>
        <v>59.5</v>
      </c>
      <c r="M269" s="16" t="n">
        <f aca="false">K269-L269</f>
        <v>107.87</v>
      </c>
      <c r="N269" s="17" t="n">
        <f aca="false">IFERROR(M269/K269,0)</f>
        <v>0.644500209117524</v>
      </c>
    </row>
    <row r="270" customFormat="false" ht="15" hidden="false" customHeight="false" outlineLevel="0" collapsed="false">
      <c r="A270" s="15" t="n">
        <v>46034</v>
      </c>
      <c r="B270" s="14" t="s">
        <v>88</v>
      </c>
      <c r="C270" s="14" t="s">
        <v>89</v>
      </c>
      <c r="D270" s="14" t="s">
        <v>44</v>
      </c>
      <c r="E270" s="14" t="s">
        <v>64</v>
      </c>
      <c r="F270" s="14" t="s">
        <v>65</v>
      </c>
      <c r="G270" s="14" t="s">
        <v>66</v>
      </c>
      <c r="H270" s="0" t="n">
        <v>3</v>
      </c>
      <c r="I270" s="16" t="n">
        <v>77.94</v>
      </c>
      <c r="J270" s="16" t="n">
        <v>34</v>
      </c>
      <c r="K270" s="16" t="n">
        <f aca="false">H270*I270</f>
        <v>233.82</v>
      </c>
      <c r="L270" s="16" t="n">
        <f aca="false">H270*J270</f>
        <v>102</v>
      </c>
      <c r="M270" s="16" t="n">
        <f aca="false">K270-L270</f>
        <v>131.82</v>
      </c>
      <c r="N270" s="17" t="n">
        <f aca="false">IFERROR(M270/K270,0)</f>
        <v>0.563767000256608</v>
      </c>
    </row>
    <row r="271" customFormat="false" ht="15" hidden="false" customHeight="false" outlineLevel="0" collapsed="false">
      <c r="A271" s="15" t="n">
        <v>46035</v>
      </c>
      <c r="B271" s="14" t="s">
        <v>42</v>
      </c>
      <c r="C271" s="14" t="s">
        <v>43</v>
      </c>
      <c r="D271" s="14" t="s">
        <v>44</v>
      </c>
      <c r="E271" s="14" t="s">
        <v>64</v>
      </c>
      <c r="F271" s="14" t="s">
        <v>65</v>
      </c>
      <c r="G271" s="14" t="s">
        <v>66</v>
      </c>
      <c r="H271" s="0" t="n">
        <v>10</v>
      </c>
      <c r="I271" s="16" t="n">
        <v>77.81</v>
      </c>
      <c r="J271" s="16" t="n">
        <v>34</v>
      </c>
      <c r="K271" s="16" t="n">
        <f aca="false">H271*I271</f>
        <v>778.1</v>
      </c>
      <c r="L271" s="16" t="n">
        <f aca="false">H271*J271</f>
        <v>340</v>
      </c>
      <c r="M271" s="16" t="n">
        <f aca="false">K271-L271</f>
        <v>438.1</v>
      </c>
      <c r="N271" s="17" t="n">
        <f aca="false">IFERROR(M271/K271,0)</f>
        <v>0.563038169901041</v>
      </c>
    </row>
    <row r="272" customFormat="false" ht="15" hidden="false" customHeight="false" outlineLevel="0" collapsed="false">
      <c r="A272" s="15" t="n">
        <v>46035</v>
      </c>
      <c r="B272" s="14" t="s">
        <v>42</v>
      </c>
      <c r="C272" s="14" t="s">
        <v>43</v>
      </c>
      <c r="D272" s="14" t="s">
        <v>44</v>
      </c>
      <c r="E272" s="14" t="s">
        <v>56</v>
      </c>
      <c r="F272" s="14" t="s">
        <v>98</v>
      </c>
      <c r="G272" s="14" t="s">
        <v>99</v>
      </c>
      <c r="H272" s="0" t="n">
        <v>8</v>
      </c>
      <c r="I272" s="16" t="n">
        <v>21.42</v>
      </c>
      <c r="J272" s="16" t="n">
        <v>8</v>
      </c>
      <c r="K272" s="16" t="n">
        <f aca="false">H272*I272</f>
        <v>171.36</v>
      </c>
      <c r="L272" s="16" t="n">
        <f aca="false">H272*J272</f>
        <v>64</v>
      </c>
      <c r="M272" s="16" t="n">
        <f aca="false">K272-L272</f>
        <v>107.36</v>
      </c>
      <c r="N272" s="17" t="n">
        <f aca="false">IFERROR(M272/K272,0)</f>
        <v>0.626517273576097</v>
      </c>
    </row>
    <row r="273" customFormat="false" ht="15" hidden="false" customHeight="false" outlineLevel="0" collapsed="false">
      <c r="A273" s="15" t="n">
        <v>46035</v>
      </c>
      <c r="B273" s="14" t="s">
        <v>50</v>
      </c>
      <c r="C273" s="14" t="s">
        <v>51</v>
      </c>
      <c r="D273" s="14" t="s">
        <v>52</v>
      </c>
      <c r="E273" s="14" t="s">
        <v>76</v>
      </c>
      <c r="F273" s="14" t="s">
        <v>100</v>
      </c>
      <c r="G273" s="14" t="s">
        <v>101</v>
      </c>
      <c r="H273" s="0" t="n">
        <v>1</v>
      </c>
      <c r="I273" s="16" t="n">
        <v>15.96</v>
      </c>
      <c r="J273" s="16" t="n">
        <v>5.5</v>
      </c>
      <c r="K273" s="16" t="n">
        <f aca="false">H273*I273</f>
        <v>15.96</v>
      </c>
      <c r="L273" s="16" t="n">
        <f aca="false">H273*J273</f>
        <v>5.5</v>
      </c>
      <c r="M273" s="16" t="n">
        <f aca="false">K273-L273</f>
        <v>10.46</v>
      </c>
      <c r="N273" s="17" t="n">
        <f aca="false">IFERROR(M273/K273,0)</f>
        <v>0.655388471177945</v>
      </c>
    </row>
    <row r="274" customFormat="false" ht="15" hidden="false" customHeight="false" outlineLevel="0" collapsed="false">
      <c r="A274" s="15" t="n">
        <v>46035</v>
      </c>
      <c r="B274" s="14" t="s">
        <v>50</v>
      </c>
      <c r="C274" s="14" t="s">
        <v>51</v>
      </c>
      <c r="D274" s="14" t="s">
        <v>52</v>
      </c>
      <c r="E274" s="14" t="s">
        <v>56</v>
      </c>
      <c r="F274" s="14" t="s">
        <v>67</v>
      </c>
      <c r="G274" s="14" t="s">
        <v>68</v>
      </c>
      <c r="H274" s="0" t="n">
        <v>7</v>
      </c>
      <c r="I274" s="16" t="n">
        <v>35.27</v>
      </c>
      <c r="J274" s="16" t="n">
        <v>15</v>
      </c>
      <c r="K274" s="16" t="n">
        <f aca="false">H274*I274</f>
        <v>246.89</v>
      </c>
      <c r="L274" s="16" t="n">
        <f aca="false">H274*J274</f>
        <v>105</v>
      </c>
      <c r="M274" s="16" t="n">
        <f aca="false">K274-L274</f>
        <v>141.89</v>
      </c>
      <c r="N274" s="17" t="n">
        <f aca="false">IFERROR(M274/K274,0)</f>
        <v>0.574709384746243</v>
      </c>
    </row>
    <row r="275" customFormat="false" ht="15" hidden="false" customHeight="false" outlineLevel="0" collapsed="false">
      <c r="A275" s="15" t="n">
        <v>46035</v>
      </c>
      <c r="B275" s="14" t="s">
        <v>50</v>
      </c>
      <c r="C275" s="14" t="s">
        <v>51</v>
      </c>
      <c r="D275" s="14" t="s">
        <v>52</v>
      </c>
      <c r="E275" s="14" t="s">
        <v>56</v>
      </c>
      <c r="F275" s="14" t="s">
        <v>86</v>
      </c>
      <c r="G275" s="14" t="s">
        <v>87</v>
      </c>
      <c r="H275" s="0" t="n">
        <v>3</v>
      </c>
      <c r="I275" s="16" t="n">
        <v>14.59</v>
      </c>
      <c r="J275" s="16" t="n">
        <v>5</v>
      </c>
      <c r="K275" s="16" t="n">
        <f aca="false">H275*I275</f>
        <v>43.77</v>
      </c>
      <c r="L275" s="16" t="n">
        <f aca="false">H275*J275</f>
        <v>15</v>
      </c>
      <c r="M275" s="16" t="n">
        <f aca="false">K275-L275</f>
        <v>28.77</v>
      </c>
      <c r="N275" s="17" t="n">
        <f aca="false">IFERROR(M275/K275,0)</f>
        <v>0.657299520219328</v>
      </c>
    </row>
    <row r="276" customFormat="false" ht="15" hidden="false" customHeight="false" outlineLevel="0" collapsed="false">
      <c r="A276" s="15" t="n">
        <v>46035</v>
      </c>
      <c r="B276" s="14" t="s">
        <v>50</v>
      </c>
      <c r="C276" s="14" t="s">
        <v>51</v>
      </c>
      <c r="D276" s="14" t="s">
        <v>52</v>
      </c>
      <c r="E276" s="14" t="s">
        <v>53</v>
      </c>
      <c r="F276" s="14" t="s">
        <v>74</v>
      </c>
      <c r="G276" s="14" t="s">
        <v>75</v>
      </c>
      <c r="H276" s="0" t="n">
        <v>6</v>
      </c>
      <c r="I276" s="16" t="n">
        <v>87.9</v>
      </c>
      <c r="J276" s="16" t="n">
        <v>38</v>
      </c>
      <c r="K276" s="16" t="n">
        <f aca="false">H276*I276</f>
        <v>527.4</v>
      </c>
      <c r="L276" s="16" t="n">
        <f aca="false">H276*J276</f>
        <v>228</v>
      </c>
      <c r="M276" s="16" t="n">
        <f aca="false">K276-L276</f>
        <v>299.4</v>
      </c>
      <c r="N276" s="17" t="n">
        <f aca="false">IFERROR(M276/K276,0)</f>
        <v>0.56769055745165</v>
      </c>
    </row>
    <row r="277" customFormat="false" ht="15" hidden="false" customHeight="false" outlineLevel="0" collapsed="false">
      <c r="A277" s="15" t="n">
        <v>46035</v>
      </c>
      <c r="B277" s="14" t="s">
        <v>50</v>
      </c>
      <c r="C277" s="14" t="s">
        <v>51</v>
      </c>
      <c r="D277" s="14" t="s">
        <v>52</v>
      </c>
      <c r="E277" s="14" t="s">
        <v>76</v>
      </c>
      <c r="F277" s="14" t="s">
        <v>79</v>
      </c>
      <c r="G277" s="14" t="s">
        <v>80</v>
      </c>
      <c r="H277" s="0" t="n">
        <v>6</v>
      </c>
      <c r="I277" s="16" t="n">
        <v>28.98</v>
      </c>
      <c r="J277" s="16" t="n">
        <v>11</v>
      </c>
      <c r="K277" s="16" t="n">
        <f aca="false">H277*I277</f>
        <v>173.88</v>
      </c>
      <c r="L277" s="16" t="n">
        <f aca="false">H277*J277</f>
        <v>66</v>
      </c>
      <c r="M277" s="16" t="n">
        <f aca="false">K277-L277</f>
        <v>107.88</v>
      </c>
      <c r="N277" s="17" t="n">
        <f aca="false">IFERROR(M277/K277,0)</f>
        <v>0.620427881297447</v>
      </c>
    </row>
    <row r="278" customFormat="false" ht="15" hidden="false" customHeight="false" outlineLevel="0" collapsed="false">
      <c r="A278" s="15" t="n">
        <v>46035</v>
      </c>
      <c r="B278" s="14" t="s">
        <v>59</v>
      </c>
      <c r="C278" s="14" t="s">
        <v>60</v>
      </c>
      <c r="D278" s="14" t="s">
        <v>61</v>
      </c>
      <c r="E278" s="14" t="s">
        <v>56</v>
      </c>
      <c r="F278" s="14" t="s">
        <v>98</v>
      </c>
      <c r="G278" s="14" t="s">
        <v>99</v>
      </c>
      <c r="H278" s="0" t="n">
        <v>4</v>
      </c>
      <c r="I278" s="16" t="n">
        <v>20.29</v>
      </c>
      <c r="J278" s="16" t="n">
        <v>8</v>
      </c>
      <c r="K278" s="16" t="n">
        <f aca="false">H278*I278</f>
        <v>81.16</v>
      </c>
      <c r="L278" s="16" t="n">
        <f aca="false">H278*J278</f>
        <v>32</v>
      </c>
      <c r="M278" s="16" t="n">
        <f aca="false">K278-L278</f>
        <v>49.16</v>
      </c>
      <c r="N278" s="17" t="n">
        <f aca="false">IFERROR(M278/K278,0)</f>
        <v>0.6057171020207</v>
      </c>
    </row>
    <row r="279" customFormat="false" ht="15" hidden="false" customHeight="false" outlineLevel="0" collapsed="false">
      <c r="A279" s="15" t="n">
        <v>46035</v>
      </c>
      <c r="B279" s="14" t="s">
        <v>59</v>
      </c>
      <c r="C279" s="14" t="s">
        <v>60</v>
      </c>
      <c r="D279" s="14" t="s">
        <v>61</v>
      </c>
      <c r="E279" s="14" t="s">
        <v>76</v>
      </c>
      <c r="F279" s="14" t="s">
        <v>102</v>
      </c>
      <c r="G279" s="14" t="s">
        <v>103</v>
      </c>
      <c r="H279" s="0" t="n">
        <v>6</v>
      </c>
      <c r="I279" s="16" t="n">
        <v>22.75</v>
      </c>
      <c r="J279" s="16" t="n">
        <v>8.5</v>
      </c>
      <c r="K279" s="16" t="n">
        <f aca="false">H279*I279</f>
        <v>136.5</v>
      </c>
      <c r="L279" s="16" t="n">
        <f aca="false">H279*J279</f>
        <v>51</v>
      </c>
      <c r="M279" s="16" t="n">
        <f aca="false">K279-L279</f>
        <v>85.5</v>
      </c>
      <c r="N279" s="17" t="n">
        <f aca="false">IFERROR(M279/K279,0)</f>
        <v>0.626373626373626</v>
      </c>
    </row>
    <row r="280" customFormat="false" ht="15" hidden="false" customHeight="false" outlineLevel="0" collapsed="false">
      <c r="A280" s="15" t="n">
        <v>46035</v>
      </c>
      <c r="B280" s="14" t="s">
        <v>59</v>
      </c>
      <c r="C280" s="14" t="s">
        <v>60</v>
      </c>
      <c r="D280" s="14" t="s">
        <v>61</v>
      </c>
      <c r="E280" s="14" t="s">
        <v>53</v>
      </c>
      <c r="F280" s="14" t="s">
        <v>54</v>
      </c>
      <c r="G280" s="14" t="s">
        <v>55</v>
      </c>
      <c r="H280" s="0" t="n">
        <v>6</v>
      </c>
      <c r="I280" s="16" t="n">
        <v>50.91</v>
      </c>
      <c r="J280" s="16" t="n">
        <v>22</v>
      </c>
      <c r="K280" s="16" t="n">
        <f aca="false">H280*I280</f>
        <v>305.46</v>
      </c>
      <c r="L280" s="16" t="n">
        <f aca="false">H280*J280</f>
        <v>132</v>
      </c>
      <c r="M280" s="16" t="n">
        <f aca="false">K280-L280</f>
        <v>173.46</v>
      </c>
      <c r="N280" s="17" t="n">
        <f aca="false">IFERROR(M280/K280,0)</f>
        <v>0.567864859556079</v>
      </c>
    </row>
    <row r="281" customFormat="false" ht="15" hidden="false" customHeight="false" outlineLevel="0" collapsed="false">
      <c r="A281" s="15" t="n">
        <v>46035</v>
      </c>
      <c r="B281" s="14" t="s">
        <v>59</v>
      </c>
      <c r="C281" s="14" t="s">
        <v>60</v>
      </c>
      <c r="D281" s="14" t="s">
        <v>61</v>
      </c>
      <c r="E281" s="14" t="s">
        <v>45</v>
      </c>
      <c r="F281" s="14" t="s">
        <v>48</v>
      </c>
      <c r="G281" s="14" t="s">
        <v>49</v>
      </c>
      <c r="H281" s="0" t="n">
        <v>4</v>
      </c>
      <c r="I281" s="16" t="n">
        <v>64.61</v>
      </c>
      <c r="J281" s="16" t="n">
        <v>27.5</v>
      </c>
      <c r="K281" s="16" t="n">
        <f aca="false">H281*I281</f>
        <v>258.44</v>
      </c>
      <c r="L281" s="16" t="n">
        <f aca="false">H281*J281</f>
        <v>110</v>
      </c>
      <c r="M281" s="16" t="n">
        <f aca="false">K281-L281</f>
        <v>148.44</v>
      </c>
      <c r="N281" s="17" t="n">
        <f aca="false">IFERROR(M281/K281,0)</f>
        <v>0.574369292679152</v>
      </c>
    </row>
    <row r="282" customFormat="false" ht="15" hidden="false" customHeight="false" outlineLevel="0" collapsed="false">
      <c r="A282" s="15" t="n">
        <v>46035</v>
      </c>
      <c r="B282" s="14" t="s">
        <v>59</v>
      </c>
      <c r="C282" s="14" t="s">
        <v>60</v>
      </c>
      <c r="D282" s="14" t="s">
        <v>61</v>
      </c>
      <c r="E282" s="14" t="s">
        <v>64</v>
      </c>
      <c r="F282" s="14" t="s">
        <v>94</v>
      </c>
      <c r="G282" s="14" t="s">
        <v>95</v>
      </c>
      <c r="H282" s="0" t="n">
        <v>4</v>
      </c>
      <c r="I282" s="16" t="n">
        <v>94.01</v>
      </c>
      <c r="J282" s="16" t="n">
        <v>42</v>
      </c>
      <c r="K282" s="16" t="n">
        <f aca="false">H282*I282</f>
        <v>376.04</v>
      </c>
      <c r="L282" s="16" t="n">
        <f aca="false">H282*J282</f>
        <v>168</v>
      </c>
      <c r="M282" s="16" t="n">
        <f aca="false">K282-L282</f>
        <v>208.04</v>
      </c>
      <c r="N282" s="17" t="n">
        <f aca="false">IFERROR(M282/K282,0)</f>
        <v>0.553239017125838</v>
      </c>
    </row>
    <row r="283" customFormat="false" ht="15" hidden="false" customHeight="false" outlineLevel="0" collapsed="false">
      <c r="A283" s="15" t="n">
        <v>46035</v>
      </c>
      <c r="B283" s="14" t="s">
        <v>69</v>
      </c>
      <c r="C283" s="14" t="s">
        <v>70</v>
      </c>
      <c r="D283" s="14" t="s">
        <v>71</v>
      </c>
      <c r="E283" s="14" t="s">
        <v>56</v>
      </c>
      <c r="F283" s="14" t="s">
        <v>98</v>
      </c>
      <c r="G283" s="14" t="s">
        <v>99</v>
      </c>
      <c r="H283" s="0" t="n">
        <v>1</v>
      </c>
      <c r="I283" s="16" t="n">
        <v>20.51</v>
      </c>
      <c r="J283" s="16" t="n">
        <v>8</v>
      </c>
      <c r="K283" s="16" t="n">
        <f aca="false">H283*I283</f>
        <v>20.51</v>
      </c>
      <c r="L283" s="16" t="n">
        <f aca="false">H283*J283</f>
        <v>8</v>
      </c>
      <c r="M283" s="16" t="n">
        <f aca="false">K283-L283</f>
        <v>12.51</v>
      </c>
      <c r="N283" s="17" t="n">
        <f aca="false">IFERROR(M283/K283,0)</f>
        <v>0.609946367625549</v>
      </c>
    </row>
    <row r="284" customFormat="false" ht="15" hidden="false" customHeight="false" outlineLevel="0" collapsed="false">
      <c r="A284" s="15" t="n">
        <v>46035</v>
      </c>
      <c r="B284" s="14" t="s">
        <v>69</v>
      </c>
      <c r="C284" s="14" t="s">
        <v>70</v>
      </c>
      <c r="D284" s="14" t="s">
        <v>71</v>
      </c>
      <c r="E284" s="14" t="s">
        <v>56</v>
      </c>
      <c r="F284" s="14" t="s">
        <v>98</v>
      </c>
      <c r="G284" s="14" t="s">
        <v>99</v>
      </c>
      <c r="H284" s="0" t="n">
        <v>2</v>
      </c>
      <c r="I284" s="16" t="n">
        <v>20.72</v>
      </c>
      <c r="J284" s="16" t="n">
        <v>8</v>
      </c>
      <c r="K284" s="16" t="n">
        <f aca="false">H284*I284</f>
        <v>41.44</v>
      </c>
      <c r="L284" s="16" t="n">
        <f aca="false">H284*J284</f>
        <v>16</v>
      </c>
      <c r="M284" s="16" t="n">
        <f aca="false">K284-L284</f>
        <v>25.44</v>
      </c>
      <c r="N284" s="17" t="n">
        <f aca="false">IFERROR(M284/K284,0)</f>
        <v>0.613899613899614</v>
      </c>
    </row>
    <row r="285" customFormat="false" ht="15" hidden="false" customHeight="false" outlineLevel="0" collapsed="false">
      <c r="A285" s="15" t="n">
        <v>46035</v>
      </c>
      <c r="B285" s="14" t="s">
        <v>69</v>
      </c>
      <c r="C285" s="14" t="s">
        <v>70</v>
      </c>
      <c r="D285" s="14" t="s">
        <v>71</v>
      </c>
      <c r="E285" s="14" t="s">
        <v>64</v>
      </c>
      <c r="F285" s="14" t="s">
        <v>90</v>
      </c>
      <c r="G285" s="14" t="s">
        <v>91</v>
      </c>
      <c r="H285" s="0" t="n">
        <v>9</v>
      </c>
      <c r="I285" s="16" t="n">
        <v>11.44</v>
      </c>
      <c r="J285" s="16" t="n">
        <v>3.5</v>
      </c>
      <c r="K285" s="16" t="n">
        <f aca="false">H285*I285</f>
        <v>102.96</v>
      </c>
      <c r="L285" s="16" t="n">
        <f aca="false">H285*J285</f>
        <v>31.5</v>
      </c>
      <c r="M285" s="16" t="n">
        <f aca="false">K285-L285</f>
        <v>71.46</v>
      </c>
      <c r="N285" s="17" t="n">
        <f aca="false">IFERROR(M285/K285,0)</f>
        <v>0.694055944055944</v>
      </c>
    </row>
    <row r="286" customFormat="false" ht="15" hidden="false" customHeight="false" outlineLevel="0" collapsed="false">
      <c r="A286" s="15" t="n">
        <v>46035</v>
      </c>
      <c r="B286" s="14" t="s">
        <v>69</v>
      </c>
      <c r="C286" s="14" t="s">
        <v>70</v>
      </c>
      <c r="D286" s="14" t="s">
        <v>71</v>
      </c>
      <c r="E286" s="14" t="s">
        <v>53</v>
      </c>
      <c r="F286" s="14" t="s">
        <v>74</v>
      </c>
      <c r="G286" s="14" t="s">
        <v>75</v>
      </c>
      <c r="H286" s="0" t="n">
        <v>5</v>
      </c>
      <c r="I286" s="16" t="n">
        <v>84.94</v>
      </c>
      <c r="J286" s="16" t="n">
        <v>38</v>
      </c>
      <c r="K286" s="16" t="n">
        <f aca="false">H286*I286</f>
        <v>424.7</v>
      </c>
      <c r="L286" s="16" t="n">
        <f aca="false">H286*J286</f>
        <v>190</v>
      </c>
      <c r="M286" s="16" t="n">
        <f aca="false">K286-L286</f>
        <v>234.7</v>
      </c>
      <c r="N286" s="17" t="n">
        <f aca="false">IFERROR(M286/K286,0)</f>
        <v>0.552625382623028</v>
      </c>
    </row>
    <row r="287" customFormat="false" ht="15" hidden="false" customHeight="false" outlineLevel="0" collapsed="false">
      <c r="A287" s="15" t="n">
        <v>46035</v>
      </c>
      <c r="B287" s="14" t="s">
        <v>81</v>
      </c>
      <c r="C287" s="14" t="s">
        <v>82</v>
      </c>
      <c r="D287" s="14" t="s">
        <v>83</v>
      </c>
      <c r="E287" s="14" t="s">
        <v>56</v>
      </c>
      <c r="F287" s="14" t="s">
        <v>57</v>
      </c>
      <c r="G287" s="14" t="s">
        <v>58</v>
      </c>
      <c r="H287" s="0" t="n">
        <v>4</v>
      </c>
      <c r="I287" s="16" t="n">
        <v>24.94</v>
      </c>
      <c r="J287" s="16" t="n">
        <v>10</v>
      </c>
      <c r="K287" s="16" t="n">
        <f aca="false">H287*I287</f>
        <v>99.76</v>
      </c>
      <c r="L287" s="16" t="n">
        <f aca="false">H287*J287</f>
        <v>40</v>
      </c>
      <c r="M287" s="16" t="n">
        <f aca="false">K287-L287</f>
        <v>59.76</v>
      </c>
      <c r="N287" s="17" t="n">
        <f aca="false">IFERROR(M287/K287,0)</f>
        <v>0.599037690457097</v>
      </c>
    </row>
    <row r="288" customFormat="false" ht="15" hidden="false" customHeight="false" outlineLevel="0" collapsed="false">
      <c r="A288" s="15" t="n">
        <v>46035</v>
      </c>
      <c r="B288" s="14" t="s">
        <v>81</v>
      </c>
      <c r="C288" s="14" t="s">
        <v>82</v>
      </c>
      <c r="D288" s="14" t="s">
        <v>83</v>
      </c>
      <c r="E288" s="14" t="s">
        <v>64</v>
      </c>
      <c r="F288" s="14" t="s">
        <v>65</v>
      </c>
      <c r="G288" s="14" t="s">
        <v>66</v>
      </c>
      <c r="H288" s="0" t="n">
        <v>1</v>
      </c>
      <c r="I288" s="16" t="n">
        <v>73.97</v>
      </c>
      <c r="J288" s="16" t="n">
        <v>34</v>
      </c>
      <c r="K288" s="16" t="n">
        <f aca="false">H288*I288</f>
        <v>73.97</v>
      </c>
      <c r="L288" s="16" t="n">
        <f aca="false">H288*J288</f>
        <v>34</v>
      </c>
      <c r="M288" s="16" t="n">
        <f aca="false">K288-L288</f>
        <v>39.97</v>
      </c>
      <c r="N288" s="17" t="n">
        <f aca="false">IFERROR(M288/K288,0)</f>
        <v>0.540354197647695</v>
      </c>
    </row>
    <row r="289" customFormat="false" ht="15" hidden="false" customHeight="false" outlineLevel="0" collapsed="false">
      <c r="A289" s="15" t="n">
        <v>46035</v>
      </c>
      <c r="B289" s="14" t="s">
        <v>81</v>
      </c>
      <c r="C289" s="14" t="s">
        <v>82</v>
      </c>
      <c r="D289" s="14" t="s">
        <v>83</v>
      </c>
      <c r="E289" s="14" t="s">
        <v>53</v>
      </c>
      <c r="F289" s="14" t="s">
        <v>54</v>
      </c>
      <c r="G289" s="14" t="s">
        <v>55</v>
      </c>
      <c r="H289" s="0" t="n">
        <v>3</v>
      </c>
      <c r="I289" s="16" t="n">
        <v>51.87</v>
      </c>
      <c r="J289" s="16" t="n">
        <v>22</v>
      </c>
      <c r="K289" s="16" t="n">
        <f aca="false">H289*I289</f>
        <v>155.61</v>
      </c>
      <c r="L289" s="16" t="n">
        <f aca="false">H289*J289</f>
        <v>66</v>
      </c>
      <c r="M289" s="16" t="n">
        <f aca="false">K289-L289</f>
        <v>89.61</v>
      </c>
      <c r="N289" s="17" t="n">
        <f aca="false">IFERROR(M289/K289,0)</f>
        <v>0.575862733757471</v>
      </c>
    </row>
    <row r="290" customFormat="false" ht="15" hidden="false" customHeight="false" outlineLevel="0" collapsed="false">
      <c r="A290" s="15" t="n">
        <v>46035</v>
      </c>
      <c r="B290" s="14" t="s">
        <v>81</v>
      </c>
      <c r="C290" s="14" t="s">
        <v>82</v>
      </c>
      <c r="D290" s="14" t="s">
        <v>83</v>
      </c>
      <c r="E290" s="14" t="s">
        <v>45</v>
      </c>
      <c r="F290" s="14" t="s">
        <v>48</v>
      </c>
      <c r="G290" s="14" t="s">
        <v>49</v>
      </c>
      <c r="H290" s="0" t="n">
        <v>6</v>
      </c>
      <c r="I290" s="16" t="n">
        <v>66.62</v>
      </c>
      <c r="J290" s="16" t="n">
        <v>27.5</v>
      </c>
      <c r="K290" s="16" t="n">
        <f aca="false">H290*I290</f>
        <v>399.72</v>
      </c>
      <c r="L290" s="16" t="n">
        <f aca="false">H290*J290</f>
        <v>165</v>
      </c>
      <c r="M290" s="16" t="n">
        <f aca="false">K290-L290</f>
        <v>234.72</v>
      </c>
      <c r="N290" s="17" t="n">
        <f aca="false">IFERROR(M290/K290,0)</f>
        <v>0.587211047733413</v>
      </c>
    </row>
    <row r="291" customFormat="false" ht="15" hidden="false" customHeight="false" outlineLevel="0" collapsed="false">
      <c r="A291" s="15" t="n">
        <v>46035</v>
      </c>
      <c r="B291" s="14" t="s">
        <v>88</v>
      </c>
      <c r="C291" s="14" t="s">
        <v>89</v>
      </c>
      <c r="D291" s="14" t="s">
        <v>44</v>
      </c>
      <c r="E291" s="14" t="s">
        <v>53</v>
      </c>
      <c r="F291" s="14" t="s">
        <v>84</v>
      </c>
      <c r="G291" s="14" t="s">
        <v>85</v>
      </c>
      <c r="H291" s="0" t="n">
        <v>4</v>
      </c>
      <c r="I291" s="16" t="n">
        <v>24</v>
      </c>
      <c r="J291" s="16" t="n">
        <v>9</v>
      </c>
      <c r="K291" s="16" t="n">
        <f aca="false">H291*I291</f>
        <v>96</v>
      </c>
      <c r="L291" s="16" t="n">
        <f aca="false">H291*J291</f>
        <v>36</v>
      </c>
      <c r="M291" s="16" t="n">
        <f aca="false">K291-L291</f>
        <v>60</v>
      </c>
      <c r="N291" s="17" t="n">
        <f aca="false">IFERROR(M291/K291,0)</f>
        <v>0.625</v>
      </c>
    </row>
    <row r="292" customFormat="false" ht="15" hidden="false" customHeight="false" outlineLevel="0" collapsed="false">
      <c r="A292" s="15" t="n">
        <v>46035</v>
      </c>
      <c r="B292" s="14" t="s">
        <v>88</v>
      </c>
      <c r="C292" s="14" t="s">
        <v>89</v>
      </c>
      <c r="D292" s="14" t="s">
        <v>44</v>
      </c>
      <c r="E292" s="14" t="s">
        <v>76</v>
      </c>
      <c r="F292" s="14" t="s">
        <v>79</v>
      </c>
      <c r="G292" s="14" t="s">
        <v>80</v>
      </c>
      <c r="H292" s="0" t="n">
        <v>8</v>
      </c>
      <c r="I292" s="16" t="n">
        <v>29.67</v>
      </c>
      <c r="J292" s="16" t="n">
        <v>11</v>
      </c>
      <c r="K292" s="16" t="n">
        <f aca="false">H292*I292</f>
        <v>237.36</v>
      </c>
      <c r="L292" s="16" t="n">
        <f aca="false">H292*J292</f>
        <v>88</v>
      </c>
      <c r="M292" s="16" t="n">
        <f aca="false">K292-L292</f>
        <v>149.36</v>
      </c>
      <c r="N292" s="17" t="n">
        <f aca="false">IFERROR(M292/K292,0)</f>
        <v>0.629255139871925</v>
      </c>
    </row>
    <row r="293" customFormat="false" ht="15" hidden="false" customHeight="false" outlineLevel="0" collapsed="false">
      <c r="A293" s="15" t="n">
        <v>46035</v>
      </c>
      <c r="B293" s="14" t="s">
        <v>88</v>
      </c>
      <c r="C293" s="14" t="s">
        <v>89</v>
      </c>
      <c r="D293" s="14" t="s">
        <v>44</v>
      </c>
      <c r="E293" s="14" t="s">
        <v>45</v>
      </c>
      <c r="F293" s="14" t="s">
        <v>72</v>
      </c>
      <c r="G293" s="14" t="s">
        <v>73</v>
      </c>
      <c r="H293" s="0" t="n">
        <v>1</v>
      </c>
      <c r="I293" s="16" t="n">
        <v>49.75</v>
      </c>
      <c r="J293" s="16" t="n">
        <v>21</v>
      </c>
      <c r="K293" s="16" t="n">
        <f aca="false">H293*I293</f>
        <v>49.75</v>
      </c>
      <c r="L293" s="16" t="n">
        <f aca="false">H293*J293</f>
        <v>21</v>
      </c>
      <c r="M293" s="16" t="n">
        <f aca="false">K293-L293</f>
        <v>28.75</v>
      </c>
      <c r="N293" s="17" t="n">
        <f aca="false">IFERROR(M293/K293,0)</f>
        <v>0.577889447236181</v>
      </c>
    </row>
    <row r="294" customFormat="false" ht="15" hidden="false" customHeight="false" outlineLevel="0" collapsed="false">
      <c r="A294" s="15" t="n">
        <v>46036</v>
      </c>
      <c r="B294" s="14" t="s">
        <v>42</v>
      </c>
      <c r="C294" s="14" t="s">
        <v>43</v>
      </c>
      <c r="D294" s="14" t="s">
        <v>44</v>
      </c>
      <c r="E294" s="14" t="s">
        <v>76</v>
      </c>
      <c r="F294" s="14" t="s">
        <v>100</v>
      </c>
      <c r="G294" s="14" t="s">
        <v>101</v>
      </c>
      <c r="H294" s="0" t="n">
        <v>10</v>
      </c>
      <c r="I294" s="16" t="n">
        <v>15.63</v>
      </c>
      <c r="J294" s="16" t="n">
        <v>5.5</v>
      </c>
      <c r="K294" s="16" t="n">
        <f aca="false">H294*I294</f>
        <v>156.3</v>
      </c>
      <c r="L294" s="16" t="n">
        <f aca="false">H294*J294</f>
        <v>55</v>
      </c>
      <c r="M294" s="16" t="n">
        <f aca="false">K294-L294</f>
        <v>101.3</v>
      </c>
      <c r="N294" s="17" t="n">
        <f aca="false">IFERROR(M294/K294,0)</f>
        <v>0.648112603966731</v>
      </c>
    </row>
    <row r="295" customFormat="false" ht="15" hidden="false" customHeight="false" outlineLevel="0" collapsed="false">
      <c r="A295" s="15" t="n">
        <v>46036</v>
      </c>
      <c r="B295" s="14" t="s">
        <v>42</v>
      </c>
      <c r="C295" s="14" t="s">
        <v>43</v>
      </c>
      <c r="D295" s="14" t="s">
        <v>44</v>
      </c>
      <c r="E295" s="14" t="s">
        <v>64</v>
      </c>
      <c r="F295" s="14" t="s">
        <v>94</v>
      </c>
      <c r="G295" s="14" t="s">
        <v>95</v>
      </c>
      <c r="H295" s="0" t="n">
        <v>3</v>
      </c>
      <c r="I295" s="16" t="n">
        <v>94.29</v>
      </c>
      <c r="J295" s="16" t="n">
        <v>42</v>
      </c>
      <c r="K295" s="16" t="n">
        <f aca="false">H295*I295</f>
        <v>282.87</v>
      </c>
      <c r="L295" s="16" t="n">
        <f aca="false">H295*J295</f>
        <v>126</v>
      </c>
      <c r="M295" s="16" t="n">
        <f aca="false">K295-L295</f>
        <v>156.87</v>
      </c>
      <c r="N295" s="17" t="n">
        <f aca="false">IFERROR(M295/K295,0)</f>
        <v>0.55456570155902</v>
      </c>
    </row>
    <row r="296" customFormat="false" ht="15" hidden="false" customHeight="false" outlineLevel="0" collapsed="false">
      <c r="A296" s="15" t="n">
        <v>46036</v>
      </c>
      <c r="B296" s="14" t="s">
        <v>50</v>
      </c>
      <c r="C296" s="14" t="s">
        <v>51</v>
      </c>
      <c r="D296" s="14" t="s">
        <v>52</v>
      </c>
      <c r="E296" s="14" t="s">
        <v>53</v>
      </c>
      <c r="F296" s="14" t="s">
        <v>84</v>
      </c>
      <c r="G296" s="14" t="s">
        <v>85</v>
      </c>
      <c r="H296" s="0" t="n">
        <v>6</v>
      </c>
      <c r="I296" s="16" t="n">
        <v>23.18</v>
      </c>
      <c r="J296" s="16" t="n">
        <v>9</v>
      </c>
      <c r="K296" s="16" t="n">
        <f aca="false">H296*I296</f>
        <v>139.08</v>
      </c>
      <c r="L296" s="16" t="n">
        <f aca="false">H296*J296</f>
        <v>54</v>
      </c>
      <c r="M296" s="16" t="n">
        <f aca="false">K296-L296</f>
        <v>85.08</v>
      </c>
      <c r="N296" s="17" t="n">
        <f aca="false">IFERROR(M296/K296,0)</f>
        <v>0.611734253666954</v>
      </c>
    </row>
    <row r="297" customFormat="false" ht="15" hidden="false" customHeight="false" outlineLevel="0" collapsed="false">
      <c r="A297" s="15" t="n">
        <v>46036</v>
      </c>
      <c r="B297" s="14" t="s">
        <v>50</v>
      </c>
      <c r="C297" s="14" t="s">
        <v>51</v>
      </c>
      <c r="D297" s="14" t="s">
        <v>52</v>
      </c>
      <c r="E297" s="14" t="s">
        <v>45</v>
      </c>
      <c r="F297" s="14" t="s">
        <v>62</v>
      </c>
      <c r="G297" s="14" t="s">
        <v>63</v>
      </c>
      <c r="H297" s="0" t="n">
        <v>8</v>
      </c>
      <c r="I297" s="16" t="n">
        <v>17.41</v>
      </c>
      <c r="J297" s="16" t="n">
        <v>6.5</v>
      </c>
      <c r="K297" s="16" t="n">
        <f aca="false">H297*I297</f>
        <v>139.28</v>
      </c>
      <c r="L297" s="16" t="n">
        <f aca="false">H297*J297</f>
        <v>52</v>
      </c>
      <c r="M297" s="16" t="n">
        <f aca="false">K297-L297</f>
        <v>87.28</v>
      </c>
      <c r="N297" s="17" t="n">
        <f aca="false">IFERROR(M297/K297,0)</f>
        <v>0.626651349798966</v>
      </c>
    </row>
    <row r="298" customFormat="false" ht="15" hidden="false" customHeight="false" outlineLevel="0" collapsed="false">
      <c r="A298" s="15" t="n">
        <v>46036</v>
      </c>
      <c r="B298" s="14" t="s">
        <v>50</v>
      </c>
      <c r="C298" s="14" t="s">
        <v>51</v>
      </c>
      <c r="D298" s="14" t="s">
        <v>52</v>
      </c>
      <c r="E298" s="14" t="s">
        <v>56</v>
      </c>
      <c r="F298" s="14" t="s">
        <v>98</v>
      </c>
      <c r="G298" s="14" t="s">
        <v>99</v>
      </c>
      <c r="H298" s="0" t="n">
        <v>8</v>
      </c>
      <c r="I298" s="16" t="n">
        <v>21.77</v>
      </c>
      <c r="J298" s="16" t="n">
        <v>8</v>
      </c>
      <c r="K298" s="16" t="n">
        <f aca="false">H298*I298</f>
        <v>174.16</v>
      </c>
      <c r="L298" s="16" t="n">
        <f aca="false">H298*J298</f>
        <v>64</v>
      </c>
      <c r="M298" s="16" t="n">
        <f aca="false">K298-L298</f>
        <v>110.16</v>
      </c>
      <c r="N298" s="17" t="n">
        <f aca="false">IFERROR(M298/K298,0)</f>
        <v>0.632521819016996</v>
      </c>
    </row>
    <row r="299" customFormat="false" ht="15" hidden="false" customHeight="false" outlineLevel="0" collapsed="false">
      <c r="A299" s="15" t="n">
        <v>46036</v>
      </c>
      <c r="B299" s="14" t="s">
        <v>50</v>
      </c>
      <c r="C299" s="14" t="s">
        <v>51</v>
      </c>
      <c r="D299" s="14" t="s">
        <v>52</v>
      </c>
      <c r="E299" s="14" t="s">
        <v>76</v>
      </c>
      <c r="F299" s="14" t="s">
        <v>77</v>
      </c>
      <c r="G299" s="14" t="s">
        <v>78</v>
      </c>
      <c r="H299" s="0" t="n">
        <v>8</v>
      </c>
      <c r="I299" s="16" t="n">
        <v>41.26</v>
      </c>
      <c r="J299" s="16" t="n">
        <v>15</v>
      </c>
      <c r="K299" s="16" t="n">
        <f aca="false">H299*I299</f>
        <v>330.08</v>
      </c>
      <c r="L299" s="16" t="n">
        <f aca="false">H299*J299</f>
        <v>120</v>
      </c>
      <c r="M299" s="16" t="n">
        <f aca="false">K299-L299</f>
        <v>210.08</v>
      </c>
      <c r="N299" s="17" t="n">
        <f aca="false">IFERROR(M299/K299,0)</f>
        <v>0.636451769268056</v>
      </c>
    </row>
    <row r="300" customFormat="false" ht="15" hidden="false" customHeight="false" outlineLevel="0" collapsed="false">
      <c r="A300" s="15" t="n">
        <v>46036</v>
      </c>
      <c r="B300" s="14" t="s">
        <v>59</v>
      </c>
      <c r="C300" s="14" t="s">
        <v>60</v>
      </c>
      <c r="D300" s="14" t="s">
        <v>61</v>
      </c>
      <c r="E300" s="14" t="s">
        <v>56</v>
      </c>
      <c r="F300" s="14" t="s">
        <v>98</v>
      </c>
      <c r="G300" s="14" t="s">
        <v>99</v>
      </c>
      <c r="H300" s="0" t="n">
        <v>4</v>
      </c>
      <c r="I300" s="16" t="n">
        <v>21.83</v>
      </c>
      <c r="J300" s="16" t="n">
        <v>8</v>
      </c>
      <c r="K300" s="16" t="n">
        <f aca="false">H300*I300</f>
        <v>87.32</v>
      </c>
      <c r="L300" s="16" t="n">
        <f aca="false">H300*J300</f>
        <v>32</v>
      </c>
      <c r="M300" s="16" t="n">
        <f aca="false">K300-L300</f>
        <v>55.32</v>
      </c>
      <c r="N300" s="17" t="n">
        <f aca="false">IFERROR(M300/K300,0)</f>
        <v>0.633531836921667</v>
      </c>
    </row>
    <row r="301" customFormat="false" ht="15" hidden="false" customHeight="false" outlineLevel="0" collapsed="false">
      <c r="A301" s="15" t="n">
        <v>46036</v>
      </c>
      <c r="B301" s="14" t="s">
        <v>59</v>
      </c>
      <c r="C301" s="14" t="s">
        <v>60</v>
      </c>
      <c r="D301" s="14" t="s">
        <v>61</v>
      </c>
      <c r="E301" s="14" t="s">
        <v>76</v>
      </c>
      <c r="F301" s="14" t="s">
        <v>102</v>
      </c>
      <c r="G301" s="14" t="s">
        <v>103</v>
      </c>
      <c r="H301" s="0" t="n">
        <v>3</v>
      </c>
      <c r="I301" s="16" t="n">
        <v>22.53</v>
      </c>
      <c r="J301" s="16" t="n">
        <v>8.5</v>
      </c>
      <c r="K301" s="16" t="n">
        <f aca="false">H301*I301</f>
        <v>67.59</v>
      </c>
      <c r="L301" s="16" t="n">
        <f aca="false">H301*J301</f>
        <v>25.5</v>
      </c>
      <c r="M301" s="16" t="n">
        <f aca="false">K301-L301</f>
        <v>42.09</v>
      </c>
      <c r="N301" s="17" t="n">
        <f aca="false">IFERROR(M301/K301,0)</f>
        <v>0.622725255215269</v>
      </c>
    </row>
    <row r="302" customFormat="false" ht="15" hidden="false" customHeight="false" outlineLevel="0" collapsed="false">
      <c r="A302" s="15" t="n">
        <v>46036</v>
      </c>
      <c r="B302" s="14" t="s">
        <v>69</v>
      </c>
      <c r="C302" s="14" t="s">
        <v>70</v>
      </c>
      <c r="D302" s="14" t="s">
        <v>71</v>
      </c>
      <c r="E302" s="14" t="s">
        <v>76</v>
      </c>
      <c r="F302" s="14" t="s">
        <v>77</v>
      </c>
      <c r="G302" s="14" t="s">
        <v>78</v>
      </c>
      <c r="H302" s="0" t="n">
        <v>3</v>
      </c>
      <c r="I302" s="16" t="n">
        <v>40.66</v>
      </c>
      <c r="J302" s="16" t="n">
        <v>15</v>
      </c>
      <c r="K302" s="16" t="n">
        <f aca="false">H302*I302</f>
        <v>121.98</v>
      </c>
      <c r="L302" s="16" t="n">
        <f aca="false">H302*J302</f>
        <v>45</v>
      </c>
      <c r="M302" s="16" t="n">
        <f aca="false">K302-L302</f>
        <v>76.98</v>
      </c>
      <c r="N302" s="17" t="n">
        <f aca="false">IFERROR(M302/K302,0)</f>
        <v>0.631087063453025</v>
      </c>
    </row>
    <row r="303" customFormat="false" ht="15" hidden="false" customHeight="false" outlineLevel="0" collapsed="false">
      <c r="A303" s="15" t="n">
        <v>46036</v>
      </c>
      <c r="B303" s="14" t="s">
        <v>69</v>
      </c>
      <c r="C303" s="14" t="s">
        <v>70</v>
      </c>
      <c r="D303" s="14" t="s">
        <v>71</v>
      </c>
      <c r="E303" s="14" t="s">
        <v>45</v>
      </c>
      <c r="F303" s="14" t="s">
        <v>62</v>
      </c>
      <c r="G303" s="14" t="s">
        <v>63</v>
      </c>
      <c r="H303" s="0" t="n">
        <v>7</v>
      </c>
      <c r="I303" s="16" t="n">
        <v>17.23</v>
      </c>
      <c r="J303" s="16" t="n">
        <v>6.5</v>
      </c>
      <c r="K303" s="16" t="n">
        <f aca="false">H303*I303</f>
        <v>120.61</v>
      </c>
      <c r="L303" s="16" t="n">
        <f aca="false">H303*J303</f>
        <v>45.5</v>
      </c>
      <c r="M303" s="16" t="n">
        <f aca="false">K303-L303</f>
        <v>75.11</v>
      </c>
      <c r="N303" s="17" t="n">
        <f aca="false">IFERROR(M303/K303,0)</f>
        <v>0.622751015670342</v>
      </c>
    </row>
    <row r="304" customFormat="false" ht="15" hidden="false" customHeight="false" outlineLevel="0" collapsed="false">
      <c r="A304" s="15" t="n">
        <v>46036</v>
      </c>
      <c r="B304" s="14" t="s">
        <v>69</v>
      </c>
      <c r="C304" s="14" t="s">
        <v>70</v>
      </c>
      <c r="D304" s="14" t="s">
        <v>71</v>
      </c>
      <c r="E304" s="14" t="s">
        <v>56</v>
      </c>
      <c r="F304" s="14" t="s">
        <v>57</v>
      </c>
      <c r="G304" s="14" t="s">
        <v>58</v>
      </c>
      <c r="H304" s="0" t="n">
        <v>5</v>
      </c>
      <c r="I304" s="16" t="n">
        <v>26.71</v>
      </c>
      <c r="J304" s="16" t="n">
        <v>10</v>
      </c>
      <c r="K304" s="16" t="n">
        <f aca="false">H304*I304</f>
        <v>133.55</v>
      </c>
      <c r="L304" s="16" t="n">
        <f aca="false">H304*J304</f>
        <v>50</v>
      </c>
      <c r="M304" s="16" t="n">
        <f aca="false">K304-L304</f>
        <v>83.55</v>
      </c>
      <c r="N304" s="17" t="n">
        <f aca="false">IFERROR(M304/K304,0)</f>
        <v>0.625608386372145</v>
      </c>
    </row>
    <row r="305" customFormat="false" ht="15" hidden="false" customHeight="false" outlineLevel="0" collapsed="false">
      <c r="A305" s="15" t="n">
        <v>46036</v>
      </c>
      <c r="B305" s="14" t="s">
        <v>81</v>
      </c>
      <c r="C305" s="14" t="s">
        <v>82</v>
      </c>
      <c r="D305" s="14" t="s">
        <v>83</v>
      </c>
      <c r="E305" s="14" t="s">
        <v>53</v>
      </c>
      <c r="F305" s="14" t="s">
        <v>84</v>
      </c>
      <c r="G305" s="14" t="s">
        <v>85</v>
      </c>
      <c r="H305" s="0" t="n">
        <v>1</v>
      </c>
      <c r="I305" s="16" t="n">
        <v>23.94</v>
      </c>
      <c r="J305" s="16" t="n">
        <v>9</v>
      </c>
      <c r="K305" s="16" t="n">
        <f aca="false">H305*I305</f>
        <v>23.94</v>
      </c>
      <c r="L305" s="16" t="n">
        <f aca="false">H305*J305</f>
        <v>9</v>
      </c>
      <c r="M305" s="16" t="n">
        <f aca="false">K305-L305</f>
        <v>14.94</v>
      </c>
      <c r="N305" s="17" t="n">
        <f aca="false">IFERROR(M305/K305,0)</f>
        <v>0.62406015037594</v>
      </c>
    </row>
    <row r="306" customFormat="false" ht="15" hidden="false" customHeight="false" outlineLevel="0" collapsed="false">
      <c r="A306" s="15" t="n">
        <v>46036</v>
      </c>
      <c r="B306" s="14" t="s">
        <v>81</v>
      </c>
      <c r="C306" s="14" t="s">
        <v>82</v>
      </c>
      <c r="D306" s="14" t="s">
        <v>83</v>
      </c>
      <c r="E306" s="14" t="s">
        <v>76</v>
      </c>
      <c r="F306" s="14" t="s">
        <v>102</v>
      </c>
      <c r="G306" s="14" t="s">
        <v>103</v>
      </c>
      <c r="H306" s="0" t="n">
        <v>1</v>
      </c>
      <c r="I306" s="16" t="n">
        <v>22.76</v>
      </c>
      <c r="J306" s="16" t="n">
        <v>8.5</v>
      </c>
      <c r="K306" s="16" t="n">
        <f aca="false">H306*I306</f>
        <v>22.76</v>
      </c>
      <c r="L306" s="16" t="n">
        <f aca="false">H306*J306</f>
        <v>8.5</v>
      </c>
      <c r="M306" s="16" t="n">
        <f aca="false">K306-L306</f>
        <v>14.26</v>
      </c>
      <c r="N306" s="17" t="n">
        <f aca="false">IFERROR(M306/K306,0)</f>
        <v>0.626537785588752</v>
      </c>
    </row>
    <row r="307" customFormat="false" ht="15" hidden="false" customHeight="false" outlineLevel="0" collapsed="false">
      <c r="A307" s="15" t="n">
        <v>46036</v>
      </c>
      <c r="B307" s="14" t="s">
        <v>81</v>
      </c>
      <c r="C307" s="14" t="s">
        <v>82</v>
      </c>
      <c r="D307" s="14" t="s">
        <v>83</v>
      </c>
      <c r="E307" s="14" t="s">
        <v>45</v>
      </c>
      <c r="F307" s="14" t="s">
        <v>46</v>
      </c>
      <c r="G307" s="14" t="s">
        <v>47</v>
      </c>
      <c r="H307" s="0" t="n">
        <v>6</v>
      </c>
      <c r="I307" s="16" t="n">
        <v>43.03</v>
      </c>
      <c r="J307" s="16" t="n">
        <v>18</v>
      </c>
      <c r="K307" s="16" t="n">
        <f aca="false">H307*I307</f>
        <v>258.18</v>
      </c>
      <c r="L307" s="16" t="n">
        <f aca="false">H307*J307</f>
        <v>108</v>
      </c>
      <c r="M307" s="16" t="n">
        <f aca="false">K307-L307</f>
        <v>150.18</v>
      </c>
      <c r="N307" s="17" t="n">
        <f aca="false">IFERROR(M307/K307,0)</f>
        <v>0.581687194980246</v>
      </c>
    </row>
    <row r="308" customFormat="false" ht="15" hidden="false" customHeight="false" outlineLevel="0" collapsed="false">
      <c r="A308" s="15" t="n">
        <v>46036</v>
      </c>
      <c r="B308" s="14" t="s">
        <v>81</v>
      </c>
      <c r="C308" s="14" t="s">
        <v>82</v>
      </c>
      <c r="D308" s="14" t="s">
        <v>83</v>
      </c>
      <c r="E308" s="14" t="s">
        <v>45</v>
      </c>
      <c r="F308" s="14" t="s">
        <v>46</v>
      </c>
      <c r="G308" s="14" t="s">
        <v>47</v>
      </c>
      <c r="H308" s="0" t="n">
        <v>4</v>
      </c>
      <c r="I308" s="16" t="n">
        <v>41.68</v>
      </c>
      <c r="J308" s="16" t="n">
        <v>18</v>
      </c>
      <c r="K308" s="16" t="n">
        <f aca="false">H308*I308</f>
        <v>166.72</v>
      </c>
      <c r="L308" s="16" t="n">
        <f aca="false">H308*J308</f>
        <v>72</v>
      </c>
      <c r="M308" s="16" t="n">
        <f aca="false">K308-L308</f>
        <v>94.72</v>
      </c>
      <c r="N308" s="17" t="n">
        <f aca="false">IFERROR(M308/K308,0)</f>
        <v>0.568138195777351</v>
      </c>
    </row>
    <row r="309" customFormat="false" ht="15" hidden="false" customHeight="false" outlineLevel="0" collapsed="false">
      <c r="A309" s="15" t="n">
        <v>46036</v>
      </c>
      <c r="B309" s="14" t="s">
        <v>88</v>
      </c>
      <c r="C309" s="14" t="s">
        <v>89</v>
      </c>
      <c r="D309" s="14" t="s">
        <v>44</v>
      </c>
      <c r="E309" s="14" t="s">
        <v>56</v>
      </c>
      <c r="F309" s="14" t="s">
        <v>57</v>
      </c>
      <c r="G309" s="14" t="s">
        <v>58</v>
      </c>
      <c r="H309" s="0" t="n">
        <v>8</v>
      </c>
      <c r="I309" s="16" t="n">
        <v>26.09</v>
      </c>
      <c r="J309" s="16" t="n">
        <v>10</v>
      </c>
      <c r="K309" s="16" t="n">
        <f aca="false">H309*I309</f>
        <v>208.72</v>
      </c>
      <c r="L309" s="16" t="n">
        <f aca="false">H309*J309</f>
        <v>80</v>
      </c>
      <c r="M309" s="16" t="n">
        <f aca="false">K309-L309</f>
        <v>128.72</v>
      </c>
      <c r="N309" s="17" t="n">
        <f aca="false">IFERROR(M309/K309,0)</f>
        <v>0.616711383671905</v>
      </c>
    </row>
    <row r="310" customFormat="false" ht="15" hidden="false" customHeight="false" outlineLevel="0" collapsed="false">
      <c r="A310" s="15" t="n">
        <v>46036</v>
      </c>
      <c r="B310" s="14" t="s">
        <v>88</v>
      </c>
      <c r="C310" s="14" t="s">
        <v>89</v>
      </c>
      <c r="D310" s="14" t="s">
        <v>44</v>
      </c>
      <c r="E310" s="14" t="s">
        <v>45</v>
      </c>
      <c r="F310" s="14" t="s">
        <v>72</v>
      </c>
      <c r="G310" s="14" t="s">
        <v>73</v>
      </c>
      <c r="H310" s="0" t="n">
        <v>4</v>
      </c>
      <c r="I310" s="16" t="n">
        <v>49.18</v>
      </c>
      <c r="J310" s="16" t="n">
        <v>21</v>
      </c>
      <c r="K310" s="16" t="n">
        <f aca="false">H310*I310</f>
        <v>196.72</v>
      </c>
      <c r="L310" s="16" t="n">
        <f aca="false">H310*J310</f>
        <v>84</v>
      </c>
      <c r="M310" s="16" t="n">
        <f aca="false">K310-L310</f>
        <v>112.72</v>
      </c>
      <c r="N310" s="17" t="n">
        <f aca="false">IFERROR(M310/K310,0)</f>
        <v>0.572997153314355</v>
      </c>
    </row>
    <row r="311" customFormat="false" ht="15" hidden="false" customHeight="false" outlineLevel="0" collapsed="false">
      <c r="A311" s="15" t="n">
        <v>46037</v>
      </c>
      <c r="B311" s="14" t="s">
        <v>42</v>
      </c>
      <c r="C311" s="14" t="s">
        <v>43</v>
      </c>
      <c r="D311" s="14" t="s">
        <v>44</v>
      </c>
      <c r="E311" s="14" t="s">
        <v>56</v>
      </c>
      <c r="F311" s="14" t="s">
        <v>86</v>
      </c>
      <c r="G311" s="14" t="s">
        <v>87</v>
      </c>
      <c r="H311" s="0" t="n">
        <v>1</v>
      </c>
      <c r="I311" s="16" t="n">
        <v>14.34</v>
      </c>
      <c r="J311" s="16" t="n">
        <v>5</v>
      </c>
      <c r="K311" s="16" t="n">
        <f aca="false">H311*I311</f>
        <v>14.34</v>
      </c>
      <c r="L311" s="16" t="n">
        <f aca="false">H311*J311</f>
        <v>5</v>
      </c>
      <c r="M311" s="16" t="n">
        <f aca="false">K311-L311</f>
        <v>9.34</v>
      </c>
      <c r="N311" s="17" t="n">
        <f aca="false">IFERROR(M311/K311,0)</f>
        <v>0.651324965132497</v>
      </c>
    </row>
    <row r="312" customFormat="false" ht="15" hidden="false" customHeight="false" outlineLevel="0" collapsed="false">
      <c r="A312" s="15" t="n">
        <v>46037</v>
      </c>
      <c r="B312" s="14" t="s">
        <v>42</v>
      </c>
      <c r="C312" s="14" t="s">
        <v>43</v>
      </c>
      <c r="D312" s="14" t="s">
        <v>44</v>
      </c>
      <c r="E312" s="14" t="s">
        <v>76</v>
      </c>
      <c r="F312" s="14" t="s">
        <v>79</v>
      </c>
      <c r="G312" s="14" t="s">
        <v>80</v>
      </c>
      <c r="H312" s="0" t="n">
        <v>4</v>
      </c>
      <c r="I312" s="16" t="n">
        <v>27.69</v>
      </c>
      <c r="J312" s="16" t="n">
        <v>11</v>
      </c>
      <c r="K312" s="16" t="n">
        <f aca="false">H312*I312</f>
        <v>110.76</v>
      </c>
      <c r="L312" s="16" t="n">
        <f aca="false">H312*J312</f>
        <v>44</v>
      </c>
      <c r="M312" s="16" t="n">
        <f aca="false">K312-L312</f>
        <v>66.76</v>
      </c>
      <c r="N312" s="17" t="n">
        <f aca="false">IFERROR(M312/K312,0)</f>
        <v>0.602744673167208</v>
      </c>
    </row>
    <row r="313" customFormat="false" ht="15" hidden="false" customHeight="false" outlineLevel="0" collapsed="false">
      <c r="A313" s="15" t="n">
        <v>46037</v>
      </c>
      <c r="B313" s="14" t="s">
        <v>42</v>
      </c>
      <c r="C313" s="14" t="s">
        <v>43</v>
      </c>
      <c r="D313" s="14" t="s">
        <v>44</v>
      </c>
      <c r="E313" s="14" t="s">
        <v>64</v>
      </c>
      <c r="F313" s="14" t="s">
        <v>90</v>
      </c>
      <c r="G313" s="14" t="s">
        <v>91</v>
      </c>
      <c r="H313" s="0" t="n">
        <v>5</v>
      </c>
      <c r="I313" s="16" t="n">
        <v>11.39</v>
      </c>
      <c r="J313" s="16" t="n">
        <v>3.5</v>
      </c>
      <c r="K313" s="16" t="n">
        <f aca="false">H313*I313</f>
        <v>56.95</v>
      </c>
      <c r="L313" s="16" t="n">
        <f aca="false">H313*J313</f>
        <v>17.5</v>
      </c>
      <c r="M313" s="16" t="n">
        <f aca="false">K313-L313</f>
        <v>39.45</v>
      </c>
      <c r="N313" s="17" t="n">
        <f aca="false">IFERROR(M313/K313,0)</f>
        <v>0.692712906057946</v>
      </c>
    </row>
    <row r="314" customFormat="false" ht="15" hidden="false" customHeight="false" outlineLevel="0" collapsed="false">
      <c r="A314" s="15" t="n">
        <v>46037</v>
      </c>
      <c r="B314" s="14" t="s">
        <v>42</v>
      </c>
      <c r="C314" s="14" t="s">
        <v>43</v>
      </c>
      <c r="D314" s="14" t="s">
        <v>44</v>
      </c>
      <c r="E314" s="14" t="s">
        <v>76</v>
      </c>
      <c r="F314" s="14" t="s">
        <v>100</v>
      </c>
      <c r="G314" s="14" t="s">
        <v>101</v>
      </c>
      <c r="H314" s="0" t="n">
        <v>10</v>
      </c>
      <c r="I314" s="16" t="n">
        <v>15.71</v>
      </c>
      <c r="J314" s="16" t="n">
        <v>5.5</v>
      </c>
      <c r="K314" s="16" t="n">
        <f aca="false">H314*I314</f>
        <v>157.1</v>
      </c>
      <c r="L314" s="16" t="n">
        <f aca="false">H314*J314</f>
        <v>55</v>
      </c>
      <c r="M314" s="16" t="n">
        <f aca="false">K314-L314</f>
        <v>102.1</v>
      </c>
      <c r="N314" s="17" t="n">
        <f aca="false">IFERROR(M314/K314,0)</f>
        <v>0.649904519414386</v>
      </c>
    </row>
    <row r="315" customFormat="false" ht="15" hidden="false" customHeight="false" outlineLevel="0" collapsed="false">
      <c r="A315" s="15" t="n">
        <v>46037</v>
      </c>
      <c r="B315" s="14" t="s">
        <v>42</v>
      </c>
      <c r="C315" s="14" t="s">
        <v>43</v>
      </c>
      <c r="D315" s="14" t="s">
        <v>44</v>
      </c>
      <c r="E315" s="14" t="s">
        <v>56</v>
      </c>
      <c r="F315" s="14" t="s">
        <v>98</v>
      </c>
      <c r="G315" s="14" t="s">
        <v>99</v>
      </c>
      <c r="H315" s="0" t="n">
        <v>8</v>
      </c>
      <c r="I315" s="16" t="n">
        <v>20.36</v>
      </c>
      <c r="J315" s="16" t="n">
        <v>8</v>
      </c>
      <c r="K315" s="16" t="n">
        <f aca="false">H315*I315</f>
        <v>162.88</v>
      </c>
      <c r="L315" s="16" t="n">
        <f aca="false">H315*J315</f>
        <v>64</v>
      </c>
      <c r="M315" s="16" t="n">
        <f aca="false">K315-L315</f>
        <v>98.88</v>
      </c>
      <c r="N315" s="17" t="n">
        <f aca="false">IFERROR(M315/K315,0)</f>
        <v>0.607072691552063</v>
      </c>
    </row>
    <row r="316" customFormat="false" ht="15" hidden="false" customHeight="false" outlineLevel="0" collapsed="false">
      <c r="A316" s="15" t="n">
        <v>46037</v>
      </c>
      <c r="B316" s="14" t="s">
        <v>50</v>
      </c>
      <c r="C316" s="14" t="s">
        <v>51</v>
      </c>
      <c r="D316" s="14" t="s">
        <v>52</v>
      </c>
      <c r="E316" s="14" t="s">
        <v>56</v>
      </c>
      <c r="F316" s="14" t="s">
        <v>57</v>
      </c>
      <c r="G316" s="14" t="s">
        <v>58</v>
      </c>
      <c r="H316" s="0" t="n">
        <v>6</v>
      </c>
      <c r="I316" s="16" t="n">
        <v>25.38</v>
      </c>
      <c r="J316" s="16" t="n">
        <v>10</v>
      </c>
      <c r="K316" s="16" t="n">
        <f aca="false">H316*I316</f>
        <v>152.28</v>
      </c>
      <c r="L316" s="16" t="n">
        <f aca="false">H316*J316</f>
        <v>60</v>
      </c>
      <c r="M316" s="16" t="n">
        <f aca="false">K316-L316</f>
        <v>92.28</v>
      </c>
      <c r="N316" s="17" t="n">
        <f aca="false">IFERROR(M316/K316,0)</f>
        <v>0.605988967691095</v>
      </c>
    </row>
    <row r="317" customFormat="false" ht="15" hidden="false" customHeight="false" outlineLevel="0" collapsed="false">
      <c r="A317" s="15" t="n">
        <v>46037</v>
      </c>
      <c r="B317" s="14" t="s">
        <v>50</v>
      </c>
      <c r="C317" s="14" t="s">
        <v>51</v>
      </c>
      <c r="D317" s="14" t="s">
        <v>52</v>
      </c>
      <c r="E317" s="14" t="s">
        <v>56</v>
      </c>
      <c r="F317" s="14" t="s">
        <v>86</v>
      </c>
      <c r="G317" s="14" t="s">
        <v>87</v>
      </c>
      <c r="H317" s="0" t="n">
        <v>7</v>
      </c>
      <c r="I317" s="16" t="n">
        <v>13.9</v>
      </c>
      <c r="J317" s="16" t="n">
        <v>5</v>
      </c>
      <c r="K317" s="16" t="n">
        <f aca="false">H317*I317</f>
        <v>97.3</v>
      </c>
      <c r="L317" s="16" t="n">
        <f aca="false">H317*J317</f>
        <v>35</v>
      </c>
      <c r="M317" s="16" t="n">
        <f aca="false">K317-L317</f>
        <v>62.3</v>
      </c>
      <c r="N317" s="17" t="n">
        <f aca="false">IFERROR(M317/K317,0)</f>
        <v>0.640287769784173</v>
      </c>
    </row>
    <row r="318" customFormat="false" ht="15" hidden="false" customHeight="false" outlineLevel="0" collapsed="false">
      <c r="A318" s="15" t="n">
        <v>46037</v>
      </c>
      <c r="B318" s="14" t="s">
        <v>59</v>
      </c>
      <c r="C318" s="14" t="s">
        <v>60</v>
      </c>
      <c r="D318" s="14" t="s">
        <v>61</v>
      </c>
      <c r="E318" s="14" t="s">
        <v>76</v>
      </c>
      <c r="F318" s="14" t="s">
        <v>102</v>
      </c>
      <c r="G318" s="14" t="s">
        <v>103</v>
      </c>
      <c r="H318" s="0" t="n">
        <v>7</v>
      </c>
      <c r="I318" s="16" t="n">
        <v>22.33</v>
      </c>
      <c r="J318" s="16" t="n">
        <v>8.5</v>
      </c>
      <c r="K318" s="16" t="n">
        <f aca="false">H318*I318</f>
        <v>156.31</v>
      </c>
      <c r="L318" s="16" t="n">
        <f aca="false">H318*J318</f>
        <v>59.5</v>
      </c>
      <c r="M318" s="16" t="n">
        <f aca="false">K318-L318</f>
        <v>96.81</v>
      </c>
      <c r="N318" s="17" t="n">
        <f aca="false">IFERROR(M318/K318,0)</f>
        <v>0.619346171070309</v>
      </c>
    </row>
    <row r="319" customFormat="false" ht="15" hidden="false" customHeight="false" outlineLevel="0" collapsed="false">
      <c r="A319" s="15" t="n">
        <v>46037</v>
      </c>
      <c r="B319" s="14" t="s">
        <v>59</v>
      </c>
      <c r="C319" s="14" t="s">
        <v>60</v>
      </c>
      <c r="D319" s="14" t="s">
        <v>61</v>
      </c>
      <c r="E319" s="14" t="s">
        <v>45</v>
      </c>
      <c r="F319" s="14" t="s">
        <v>46</v>
      </c>
      <c r="G319" s="14" t="s">
        <v>47</v>
      </c>
      <c r="H319" s="0" t="n">
        <v>6</v>
      </c>
      <c r="I319" s="16" t="n">
        <v>43.72</v>
      </c>
      <c r="J319" s="16" t="n">
        <v>18</v>
      </c>
      <c r="K319" s="16" t="n">
        <f aca="false">H319*I319</f>
        <v>262.32</v>
      </c>
      <c r="L319" s="16" t="n">
        <f aca="false">H319*J319</f>
        <v>108</v>
      </c>
      <c r="M319" s="16" t="n">
        <f aca="false">K319-L319</f>
        <v>154.32</v>
      </c>
      <c r="N319" s="17" t="n">
        <f aca="false">IFERROR(M319/K319,0)</f>
        <v>0.588289112534309</v>
      </c>
    </row>
    <row r="320" customFormat="false" ht="15" hidden="false" customHeight="false" outlineLevel="0" collapsed="false">
      <c r="A320" s="15" t="n">
        <v>46037</v>
      </c>
      <c r="B320" s="14" t="s">
        <v>59</v>
      </c>
      <c r="C320" s="14" t="s">
        <v>60</v>
      </c>
      <c r="D320" s="14" t="s">
        <v>61</v>
      </c>
      <c r="E320" s="14" t="s">
        <v>76</v>
      </c>
      <c r="F320" s="14" t="s">
        <v>77</v>
      </c>
      <c r="G320" s="14" t="s">
        <v>78</v>
      </c>
      <c r="H320" s="0" t="n">
        <v>2</v>
      </c>
      <c r="I320" s="16" t="n">
        <v>40.81</v>
      </c>
      <c r="J320" s="16" t="n">
        <v>15</v>
      </c>
      <c r="K320" s="16" t="n">
        <f aca="false">H320*I320</f>
        <v>81.62</v>
      </c>
      <c r="L320" s="16" t="n">
        <f aca="false">H320*J320</f>
        <v>30</v>
      </c>
      <c r="M320" s="16" t="n">
        <f aca="false">K320-L320</f>
        <v>51.62</v>
      </c>
      <c r="N320" s="17" t="n">
        <f aca="false">IFERROR(M320/K320,0)</f>
        <v>0.632443028669444</v>
      </c>
    </row>
    <row r="321" customFormat="false" ht="15" hidden="false" customHeight="false" outlineLevel="0" collapsed="false">
      <c r="A321" s="15" t="n">
        <v>46037</v>
      </c>
      <c r="B321" s="14" t="s">
        <v>69</v>
      </c>
      <c r="C321" s="14" t="s">
        <v>70</v>
      </c>
      <c r="D321" s="14" t="s">
        <v>71</v>
      </c>
      <c r="E321" s="14" t="s">
        <v>56</v>
      </c>
      <c r="F321" s="14" t="s">
        <v>67</v>
      </c>
      <c r="G321" s="14" t="s">
        <v>68</v>
      </c>
      <c r="H321" s="0" t="n">
        <v>1</v>
      </c>
      <c r="I321" s="16" t="n">
        <v>36.06</v>
      </c>
      <c r="J321" s="16" t="n">
        <v>15</v>
      </c>
      <c r="K321" s="16" t="n">
        <f aca="false">H321*I321</f>
        <v>36.06</v>
      </c>
      <c r="L321" s="16" t="n">
        <f aca="false">H321*J321</f>
        <v>15</v>
      </c>
      <c r="M321" s="16" t="n">
        <f aca="false">K321-L321</f>
        <v>21.06</v>
      </c>
      <c r="N321" s="17" t="n">
        <f aca="false">IFERROR(M321/K321,0)</f>
        <v>0.584026622296173</v>
      </c>
    </row>
    <row r="322" customFormat="false" ht="15" hidden="false" customHeight="false" outlineLevel="0" collapsed="false">
      <c r="A322" s="15" t="n">
        <v>46037</v>
      </c>
      <c r="B322" s="14" t="s">
        <v>69</v>
      </c>
      <c r="C322" s="14" t="s">
        <v>70</v>
      </c>
      <c r="D322" s="14" t="s">
        <v>71</v>
      </c>
      <c r="E322" s="14" t="s">
        <v>53</v>
      </c>
      <c r="F322" s="14" t="s">
        <v>54</v>
      </c>
      <c r="G322" s="14" t="s">
        <v>55</v>
      </c>
      <c r="H322" s="0" t="n">
        <v>5</v>
      </c>
      <c r="I322" s="16" t="n">
        <v>54.77</v>
      </c>
      <c r="J322" s="16" t="n">
        <v>22</v>
      </c>
      <c r="K322" s="16" t="n">
        <f aca="false">H322*I322</f>
        <v>273.85</v>
      </c>
      <c r="L322" s="16" t="n">
        <f aca="false">H322*J322</f>
        <v>110</v>
      </c>
      <c r="M322" s="16" t="n">
        <f aca="false">K322-L322</f>
        <v>163.85</v>
      </c>
      <c r="N322" s="17" t="n">
        <f aca="false">IFERROR(M322/K322,0)</f>
        <v>0.598320248311119</v>
      </c>
    </row>
    <row r="323" customFormat="false" ht="15" hidden="false" customHeight="false" outlineLevel="0" collapsed="false">
      <c r="A323" s="15" t="n">
        <v>46037</v>
      </c>
      <c r="B323" s="14" t="s">
        <v>69</v>
      </c>
      <c r="C323" s="14" t="s">
        <v>70</v>
      </c>
      <c r="D323" s="14" t="s">
        <v>71</v>
      </c>
      <c r="E323" s="14" t="s">
        <v>64</v>
      </c>
      <c r="F323" s="14" t="s">
        <v>96</v>
      </c>
      <c r="G323" s="14" t="s">
        <v>97</v>
      </c>
      <c r="H323" s="0" t="n">
        <v>4</v>
      </c>
      <c r="I323" s="16" t="n">
        <v>59</v>
      </c>
      <c r="J323" s="16" t="n">
        <v>24</v>
      </c>
      <c r="K323" s="16" t="n">
        <f aca="false">H323*I323</f>
        <v>236</v>
      </c>
      <c r="L323" s="16" t="n">
        <f aca="false">H323*J323</f>
        <v>96</v>
      </c>
      <c r="M323" s="16" t="n">
        <f aca="false">K323-L323</f>
        <v>140</v>
      </c>
      <c r="N323" s="17" t="n">
        <f aca="false">IFERROR(M323/K323,0)</f>
        <v>0.593220338983051</v>
      </c>
    </row>
    <row r="324" customFormat="false" ht="15" hidden="false" customHeight="false" outlineLevel="0" collapsed="false">
      <c r="A324" s="15" t="n">
        <v>46037</v>
      </c>
      <c r="B324" s="14" t="s">
        <v>69</v>
      </c>
      <c r="C324" s="14" t="s">
        <v>70</v>
      </c>
      <c r="D324" s="14" t="s">
        <v>71</v>
      </c>
      <c r="E324" s="14" t="s">
        <v>53</v>
      </c>
      <c r="F324" s="14" t="s">
        <v>74</v>
      </c>
      <c r="G324" s="14" t="s">
        <v>75</v>
      </c>
      <c r="H324" s="0" t="n">
        <v>4</v>
      </c>
      <c r="I324" s="16" t="n">
        <v>87.89</v>
      </c>
      <c r="J324" s="16" t="n">
        <v>38</v>
      </c>
      <c r="K324" s="16" t="n">
        <f aca="false">H324*I324</f>
        <v>351.56</v>
      </c>
      <c r="L324" s="16" t="n">
        <f aca="false">H324*J324</f>
        <v>152</v>
      </c>
      <c r="M324" s="16" t="n">
        <f aca="false">K324-L324</f>
        <v>199.56</v>
      </c>
      <c r="N324" s="17" t="n">
        <f aca="false">IFERROR(M324/K324,0)</f>
        <v>0.567641369894186</v>
      </c>
    </row>
    <row r="325" customFormat="false" ht="15" hidden="false" customHeight="false" outlineLevel="0" collapsed="false">
      <c r="A325" s="15" t="n">
        <v>46037</v>
      </c>
      <c r="B325" s="14" t="s">
        <v>69</v>
      </c>
      <c r="C325" s="14" t="s">
        <v>70</v>
      </c>
      <c r="D325" s="14" t="s">
        <v>71</v>
      </c>
      <c r="E325" s="14" t="s">
        <v>45</v>
      </c>
      <c r="F325" s="14" t="s">
        <v>48</v>
      </c>
      <c r="G325" s="14" t="s">
        <v>49</v>
      </c>
      <c r="H325" s="0" t="n">
        <v>5</v>
      </c>
      <c r="I325" s="16" t="n">
        <v>67.33</v>
      </c>
      <c r="J325" s="16" t="n">
        <v>27.5</v>
      </c>
      <c r="K325" s="16" t="n">
        <f aca="false">H325*I325</f>
        <v>336.65</v>
      </c>
      <c r="L325" s="16" t="n">
        <f aca="false">H325*J325</f>
        <v>137.5</v>
      </c>
      <c r="M325" s="16" t="n">
        <f aca="false">K325-L325</f>
        <v>199.15</v>
      </c>
      <c r="N325" s="17" t="n">
        <f aca="false">IFERROR(M325/K325,0)</f>
        <v>0.591563938808852</v>
      </c>
    </row>
    <row r="326" customFormat="false" ht="15" hidden="false" customHeight="false" outlineLevel="0" collapsed="false">
      <c r="A326" s="15" t="n">
        <v>46037</v>
      </c>
      <c r="B326" s="14" t="s">
        <v>81</v>
      </c>
      <c r="C326" s="14" t="s">
        <v>82</v>
      </c>
      <c r="D326" s="14" t="s">
        <v>83</v>
      </c>
      <c r="E326" s="14" t="s">
        <v>53</v>
      </c>
      <c r="F326" s="14" t="s">
        <v>84</v>
      </c>
      <c r="G326" s="14" t="s">
        <v>85</v>
      </c>
      <c r="H326" s="0" t="n">
        <v>2</v>
      </c>
      <c r="I326" s="16" t="n">
        <v>23.32</v>
      </c>
      <c r="J326" s="16" t="n">
        <v>9</v>
      </c>
      <c r="K326" s="16" t="n">
        <f aca="false">H326*I326</f>
        <v>46.64</v>
      </c>
      <c r="L326" s="16" t="n">
        <f aca="false">H326*J326</f>
        <v>18</v>
      </c>
      <c r="M326" s="16" t="n">
        <f aca="false">K326-L326</f>
        <v>28.64</v>
      </c>
      <c r="N326" s="17" t="n">
        <f aca="false">IFERROR(M326/K326,0)</f>
        <v>0.614065180102916</v>
      </c>
    </row>
    <row r="327" customFormat="false" ht="15" hidden="false" customHeight="false" outlineLevel="0" collapsed="false">
      <c r="A327" s="15" t="n">
        <v>46037</v>
      </c>
      <c r="B327" s="14" t="s">
        <v>81</v>
      </c>
      <c r="C327" s="14" t="s">
        <v>82</v>
      </c>
      <c r="D327" s="14" t="s">
        <v>83</v>
      </c>
      <c r="E327" s="14" t="s">
        <v>56</v>
      </c>
      <c r="F327" s="14" t="s">
        <v>86</v>
      </c>
      <c r="G327" s="14" t="s">
        <v>87</v>
      </c>
      <c r="H327" s="0" t="n">
        <v>6</v>
      </c>
      <c r="I327" s="16" t="n">
        <v>13.85</v>
      </c>
      <c r="J327" s="16" t="n">
        <v>5</v>
      </c>
      <c r="K327" s="16" t="n">
        <f aca="false">H327*I327</f>
        <v>83.1</v>
      </c>
      <c r="L327" s="16" t="n">
        <f aca="false">H327*J327</f>
        <v>30</v>
      </c>
      <c r="M327" s="16" t="n">
        <f aca="false">K327-L327</f>
        <v>53.1</v>
      </c>
      <c r="N327" s="17" t="n">
        <f aca="false">IFERROR(M327/K327,0)</f>
        <v>0.63898916967509</v>
      </c>
    </row>
    <row r="328" customFormat="false" ht="15" hidden="false" customHeight="false" outlineLevel="0" collapsed="false">
      <c r="A328" s="15" t="n">
        <v>46037</v>
      </c>
      <c r="B328" s="14" t="s">
        <v>81</v>
      </c>
      <c r="C328" s="14" t="s">
        <v>82</v>
      </c>
      <c r="D328" s="14" t="s">
        <v>83</v>
      </c>
      <c r="E328" s="14" t="s">
        <v>76</v>
      </c>
      <c r="F328" s="14" t="s">
        <v>77</v>
      </c>
      <c r="G328" s="14" t="s">
        <v>78</v>
      </c>
      <c r="H328" s="0" t="n">
        <v>7</v>
      </c>
      <c r="I328" s="16" t="n">
        <v>40.69</v>
      </c>
      <c r="J328" s="16" t="n">
        <v>15</v>
      </c>
      <c r="K328" s="16" t="n">
        <f aca="false">H328*I328</f>
        <v>284.83</v>
      </c>
      <c r="L328" s="16" t="n">
        <f aca="false">H328*J328</f>
        <v>105</v>
      </c>
      <c r="M328" s="16" t="n">
        <f aca="false">K328-L328</f>
        <v>179.83</v>
      </c>
      <c r="N328" s="17" t="n">
        <f aca="false">IFERROR(M328/K328,0)</f>
        <v>0.631359056279184</v>
      </c>
    </row>
    <row r="329" customFormat="false" ht="15" hidden="false" customHeight="false" outlineLevel="0" collapsed="false">
      <c r="A329" s="15" t="n">
        <v>46037</v>
      </c>
      <c r="B329" s="14" t="s">
        <v>81</v>
      </c>
      <c r="C329" s="14" t="s">
        <v>82</v>
      </c>
      <c r="D329" s="14" t="s">
        <v>83</v>
      </c>
      <c r="E329" s="14" t="s">
        <v>64</v>
      </c>
      <c r="F329" s="14" t="s">
        <v>96</v>
      </c>
      <c r="G329" s="14" t="s">
        <v>97</v>
      </c>
      <c r="H329" s="0" t="n">
        <v>4</v>
      </c>
      <c r="I329" s="16" t="n">
        <v>55.74</v>
      </c>
      <c r="J329" s="16" t="n">
        <v>24</v>
      </c>
      <c r="K329" s="16" t="n">
        <f aca="false">H329*I329</f>
        <v>222.96</v>
      </c>
      <c r="L329" s="16" t="n">
        <f aca="false">H329*J329</f>
        <v>96</v>
      </c>
      <c r="M329" s="16" t="n">
        <f aca="false">K329-L329</f>
        <v>126.96</v>
      </c>
      <c r="N329" s="17" t="n">
        <f aca="false">IFERROR(M329/K329,0)</f>
        <v>0.569429494079656</v>
      </c>
    </row>
    <row r="330" customFormat="false" ht="15" hidden="false" customHeight="false" outlineLevel="0" collapsed="false">
      <c r="A330" s="15" t="n">
        <v>46037</v>
      </c>
      <c r="B330" s="14" t="s">
        <v>81</v>
      </c>
      <c r="C330" s="14" t="s">
        <v>82</v>
      </c>
      <c r="D330" s="14" t="s">
        <v>83</v>
      </c>
      <c r="E330" s="14" t="s">
        <v>64</v>
      </c>
      <c r="F330" s="14" t="s">
        <v>96</v>
      </c>
      <c r="G330" s="14" t="s">
        <v>97</v>
      </c>
      <c r="H330" s="0" t="n">
        <v>6</v>
      </c>
      <c r="I330" s="16" t="n">
        <v>57.48</v>
      </c>
      <c r="J330" s="16" t="n">
        <v>24</v>
      </c>
      <c r="K330" s="16" t="n">
        <f aca="false">H330*I330</f>
        <v>344.88</v>
      </c>
      <c r="L330" s="16" t="n">
        <f aca="false">H330*J330</f>
        <v>144</v>
      </c>
      <c r="M330" s="16" t="n">
        <f aca="false">K330-L330</f>
        <v>200.88</v>
      </c>
      <c r="N330" s="17" t="n">
        <f aca="false">IFERROR(M330/K330,0)</f>
        <v>0.582463465553236</v>
      </c>
    </row>
    <row r="331" customFormat="false" ht="15" hidden="false" customHeight="false" outlineLevel="0" collapsed="false">
      <c r="A331" s="15" t="n">
        <v>46037</v>
      </c>
      <c r="B331" s="14" t="s">
        <v>81</v>
      </c>
      <c r="C331" s="14" t="s">
        <v>82</v>
      </c>
      <c r="D331" s="14" t="s">
        <v>83</v>
      </c>
      <c r="E331" s="14" t="s">
        <v>56</v>
      </c>
      <c r="F331" s="14" t="s">
        <v>57</v>
      </c>
      <c r="G331" s="14" t="s">
        <v>58</v>
      </c>
      <c r="H331" s="0" t="n">
        <v>6</v>
      </c>
      <c r="I331" s="16" t="n">
        <v>26.5</v>
      </c>
      <c r="J331" s="16" t="n">
        <v>10</v>
      </c>
      <c r="K331" s="16" t="n">
        <f aca="false">H331*I331</f>
        <v>159</v>
      </c>
      <c r="L331" s="16" t="n">
        <f aca="false">H331*J331</f>
        <v>60</v>
      </c>
      <c r="M331" s="16" t="n">
        <f aca="false">K331-L331</f>
        <v>99</v>
      </c>
      <c r="N331" s="17" t="n">
        <f aca="false">IFERROR(M331/K331,0)</f>
        <v>0.622641509433962</v>
      </c>
    </row>
    <row r="332" customFormat="false" ht="15" hidden="false" customHeight="false" outlineLevel="0" collapsed="false">
      <c r="A332" s="15" t="n">
        <v>46037</v>
      </c>
      <c r="B332" s="14" t="s">
        <v>88</v>
      </c>
      <c r="C332" s="14" t="s">
        <v>89</v>
      </c>
      <c r="D332" s="14" t="s">
        <v>44</v>
      </c>
      <c r="E332" s="14" t="s">
        <v>56</v>
      </c>
      <c r="F332" s="14" t="s">
        <v>57</v>
      </c>
      <c r="G332" s="14" t="s">
        <v>58</v>
      </c>
      <c r="H332" s="0" t="n">
        <v>3</v>
      </c>
      <c r="I332" s="16" t="n">
        <v>26.6</v>
      </c>
      <c r="J332" s="16" t="n">
        <v>10</v>
      </c>
      <c r="K332" s="16" t="n">
        <f aca="false">H332*I332</f>
        <v>79.8</v>
      </c>
      <c r="L332" s="16" t="n">
        <f aca="false">H332*J332</f>
        <v>30</v>
      </c>
      <c r="M332" s="16" t="n">
        <f aca="false">K332-L332</f>
        <v>49.8</v>
      </c>
      <c r="N332" s="17" t="n">
        <f aca="false">IFERROR(M332/K332,0)</f>
        <v>0.62406015037594</v>
      </c>
    </row>
    <row r="333" customFormat="false" ht="15" hidden="false" customHeight="false" outlineLevel="0" collapsed="false">
      <c r="A333" s="15" t="n">
        <v>46037</v>
      </c>
      <c r="B333" s="14" t="s">
        <v>88</v>
      </c>
      <c r="C333" s="14" t="s">
        <v>89</v>
      </c>
      <c r="D333" s="14" t="s">
        <v>44</v>
      </c>
      <c r="E333" s="14" t="s">
        <v>56</v>
      </c>
      <c r="F333" s="14" t="s">
        <v>86</v>
      </c>
      <c r="G333" s="14" t="s">
        <v>87</v>
      </c>
      <c r="H333" s="0" t="n">
        <v>5</v>
      </c>
      <c r="I333" s="16" t="n">
        <v>13.86</v>
      </c>
      <c r="J333" s="16" t="n">
        <v>5</v>
      </c>
      <c r="K333" s="16" t="n">
        <f aca="false">H333*I333</f>
        <v>69.3</v>
      </c>
      <c r="L333" s="16" t="n">
        <f aca="false">H333*J333</f>
        <v>25</v>
      </c>
      <c r="M333" s="16" t="n">
        <f aca="false">K333-L333</f>
        <v>44.3</v>
      </c>
      <c r="N333" s="17" t="n">
        <f aca="false">IFERROR(M333/K333,0)</f>
        <v>0.639249639249639</v>
      </c>
    </row>
    <row r="334" customFormat="false" ht="15" hidden="false" customHeight="false" outlineLevel="0" collapsed="false">
      <c r="A334" s="15" t="n">
        <v>46037</v>
      </c>
      <c r="B334" s="14" t="s">
        <v>88</v>
      </c>
      <c r="C334" s="14" t="s">
        <v>89</v>
      </c>
      <c r="D334" s="14" t="s">
        <v>44</v>
      </c>
      <c r="E334" s="14" t="s">
        <v>64</v>
      </c>
      <c r="F334" s="14" t="s">
        <v>94</v>
      </c>
      <c r="G334" s="14" t="s">
        <v>95</v>
      </c>
      <c r="H334" s="0" t="n">
        <v>3</v>
      </c>
      <c r="I334" s="16" t="n">
        <v>96.71</v>
      </c>
      <c r="J334" s="16" t="n">
        <v>42</v>
      </c>
      <c r="K334" s="16" t="n">
        <f aca="false">H334*I334</f>
        <v>290.13</v>
      </c>
      <c r="L334" s="16" t="n">
        <f aca="false">H334*J334</f>
        <v>126</v>
      </c>
      <c r="M334" s="16" t="n">
        <f aca="false">K334-L334</f>
        <v>164.13</v>
      </c>
      <c r="N334" s="17" t="n">
        <f aca="false">IFERROR(M334/K334,0)</f>
        <v>0.565711922241754</v>
      </c>
    </row>
    <row r="335" customFormat="false" ht="15" hidden="false" customHeight="false" outlineLevel="0" collapsed="false">
      <c r="A335" s="15" t="n">
        <v>46037</v>
      </c>
      <c r="B335" s="14" t="s">
        <v>88</v>
      </c>
      <c r="C335" s="14" t="s">
        <v>89</v>
      </c>
      <c r="D335" s="14" t="s">
        <v>44</v>
      </c>
      <c r="E335" s="14" t="s">
        <v>56</v>
      </c>
      <c r="F335" s="14" t="s">
        <v>98</v>
      </c>
      <c r="G335" s="14" t="s">
        <v>99</v>
      </c>
      <c r="H335" s="0" t="n">
        <v>5</v>
      </c>
      <c r="I335" s="16" t="n">
        <v>20.39</v>
      </c>
      <c r="J335" s="16" t="n">
        <v>8</v>
      </c>
      <c r="K335" s="16" t="n">
        <f aca="false">H335*I335</f>
        <v>101.95</v>
      </c>
      <c r="L335" s="16" t="n">
        <f aca="false">H335*J335</f>
        <v>40</v>
      </c>
      <c r="M335" s="16" t="n">
        <f aca="false">K335-L335</f>
        <v>61.95</v>
      </c>
      <c r="N335" s="17" t="n">
        <f aca="false">IFERROR(M335/K335,0)</f>
        <v>0.607650809220206</v>
      </c>
    </row>
    <row r="336" customFormat="false" ht="15" hidden="false" customHeight="false" outlineLevel="0" collapsed="false">
      <c r="A336" s="15" t="n">
        <v>46037</v>
      </c>
      <c r="B336" s="14" t="s">
        <v>88</v>
      </c>
      <c r="C336" s="14" t="s">
        <v>89</v>
      </c>
      <c r="D336" s="14" t="s">
        <v>44</v>
      </c>
      <c r="E336" s="14" t="s">
        <v>53</v>
      </c>
      <c r="F336" s="14" t="s">
        <v>92</v>
      </c>
      <c r="G336" s="14" t="s">
        <v>93</v>
      </c>
      <c r="H336" s="0" t="n">
        <v>8</v>
      </c>
      <c r="I336" s="16" t="n">
        <v>119.09</v>
      </c>
      <c r="J336" s="16" t="n">
        <v>52</v>
      </c>
      <c r="K336" s="16" t="n">
        <f aca="false">H336*I336</f>
        <v>952.72</v>
      </c>
      <c r="L336" s="16" t="n">
        <f aca="false">H336*J336</f>
        <v>416</v>
      </c>
      <c r="M336" s="16" t="n">
        <f aca="false">K336-L336</f>
        <v>536.72</v>
      </c>
      <c r="N336" s="17" t="n">
        <f aca="false">IFERROR(M336/K336,0)</f>
        <v>0.563355445461416</v>
      </c>
    </row>
    <row r="337" customFormat="false" ht="15" hidden="false" customHeight="false" outlineLevel="0" collapsed="false">
      <c r="A337" s="15" t="n">
        <v>46038</v>
      </c>
      <c r="B337" s="14" t="s">
        <v>42</v>
      </c>
      <c r="C337" s="14" t="s">
        <v>43</v>
      </c>
      <c r="D337" s="14" t="s">
        <v>44</v>
      </c>
      <c r="E337" s="14" t="s">
        <v>64</v>
      </c>
      <c r="F337" s="14" t="s">
        <v>65</v>
      </c>
      <c r="G337" s="14" t="s">
        <v>66</v>
      </c>
      <c r="H337" s="0" t="n">
        <v>7</v>
      </c>
      <c r="I337" s="16" t="n">
        <v>77.84</v>
      </c>
      <c r="J337" s="16" t="n">
        <v>34</v>
      </c>
      <c r="K337" s="16" t="n">
        <f aca="false">H337*I337</f>
        <v>544.88</v>
      </c>
      <c r="L337" s="16" t="n">
        <f aca="false">H337*J337</f>
        <v>238</v>
      </c>
      <c r="M337" s="16" t="n">
        <f aca="false">K337-L337</f>
        <v>306.88</v>
      </c>
      <c r="N337" s="17" t="n">
        <f aca="false">IFERROR(M337/K337,0)</f>
        <v>0.563206577595067</v>
      </c>
    </row>
    <row r="338" customFormat="false" ht="15" hidden="false" customHeight="false" outlineLevel="0" collapsed="false">
      <c r="A338" s="15" t="n">
        <v>46038</v>
      </c>
      <c r="B338" s="14" t="s">
        <v>42</v>
      </c>
      <c r="C338" s="14" t="s">
        <v>43</v>
      </c>
      <c r="D338" s="14" t="s">
        <v>44</v>
      </c>
      <c r="E338" s="14" t="s">
        <v>76</v>
      </c>
      <c r="F338" s="14" t="s">
        <v>79</v>
      </c>
      <c r="G338" s="14" t="s">
        <v>80</v>
      </c>
      <c r="H338" s="0" t="n">
        <v>10</v>
      </c>
      <c r="I338" s="16" t="n">
        <v>27.73</v>
      </c>
      <c r="J338" s="16" t="n">
        <v>11</v>
      </c>
      <c r="K338" s="16" t="n">
        <f aca="false">H338*I338</f>
        <v>277.3</v>
      </c>
      <c r="L338" s="16" t="n">
        <f aca="false">H338*J338</f>
        <v>110</v>
      </c>
      <c r="M338" s="16" t="n">
        <f aca="false">K338-L338</f>
        <v>167.3</v>
      </c>
      <c r="N338" s="17" t="n">
        <f aca="false">IFERROR(M338/K338,0)</f>
        <v>0.603317706455103</v>
      </c>
    </row>
    <row r="339" customFormat="false" ht="15" hidden="false" customHeight="false" outlineLevel="0" collapsed="false">
      <c r="A339" s="15" t="n">
        <v>46038</v>
      </c>
      <c r="B339" s="14" t="s">
        <v>42</v>
      </c>
      <c r="C339" s="14" t="s">
        <v>43</v>
      </c>
      <c r="D339" s="14" t="s">
        <v>44</v>
      </c>
      <c r="E339" s="14" t="s">
        <v>56</v>
      </c>
      <c r="F339" s="14" t="s">
        <v>67</v>
      </c>
      <c r="G339" s="14" t="s">
        <v>68</v>
      </c>
      <c r="H339" s="0" t="n">
        <v>5</v>
      </c>
      <c r="I339" s="16" t="n">
        <v>36.13</v>
      </c>
      <c r="J339" s="16" t="n">
        <v>15</v>
      </c>
      <c r="K339" s="16" t="n">
        <f aca="false">H339*I339</f>
        <v>180.65</v>
      </c>
      <c r="L339" s="16" t="n">
        <f aca="false">H339*J339</f>
        <v>75</v>
      </c>
      <c r="M339" s="16" t="n">
        <f aca="false">K339-L339</f>
        <v>105.65</v>
      </c>
      <c r="N339" s="17" t="n">
        <f aca="false">IFERROR(M339/K339,0)</f>
        <v>0.584832549128148</v>
      </c>
    </row>
    <row r="340" customFormat="false" ht="15" hidden="false" customHeight="false" outlineLevel="0" collapsed="false">
      <c r="A340" s="15" t="n">
        <v>46038</v>
      </c>
      <c r="B340" s="14" t="s">
        <v>50</v>
      </c>
      <c r="C340" s="14" t="s">
        <v>51</v>
      </c>
      <c r="D340" s="14" t="s">
        <v>52</v>
      </c>
      <c r="E340" s="14" t="s">
        <v>76</v>
      </c>
      <c r="F340" s="14" t="s">
        <v>77</v>
      </c>
      <c r="G340" s="14" t="s">
        <v>78</v>
      </c>
      <c r="H340" s="0" t="n">
        <v>1</v>
      </c>
      <c r="I340" s="16" t="n">
        <v>39.71</v>
      </c>
      <c r="J340" s="16" t="n">
        <v>15</v>
      </c>
      <c r="K340" s="16" t="n">
        <f aca="false">H340*I340</f>
        <v>39.71</v>
      </c>
      <c r="L340" s="16" t="n">
        <f aca="false">H340*J340</f>
        <v>15</v>
      </c>
      <c r="M340" s="16" t="n">
        <f aca="false">K340-L340</f>
        <v>24.71</v>
      </c>
      <c r="N340" s="17" t="n">
        <f aca="false">IFERROR(M340/K340,0)</f>
        <v>0.622261395114581</v>
      </c>
    </row>
    <row r="341" customFormat="false" ht="15" hidden="false" customHeight="false" outlineLevel="0" collapsed="false">
      <c r="A341" s="15" t="n">
        <v>46038</v>
      </c>
      <c r="B341" s="14" t="s">
        <v>50</v>
      </c>
      <c r="C341" s="14" t="s">
        <v>51</v>
      </c>
      <c r="D341" s="14" t="s">
        <v>52</v>
      </c>
      <c r="E341" s="14" t="s">
        <v>45</v>
      </c>
      <c r="F341" s="14" t="s">
        <v>46</v>
      </c>
      <c r="G341" s="14" t="s">
        <v>47</v>
      </c>
      <c r="H341" s="0" t="n">
        <v>3</v>
      </c>
      <c r="I341" s="16" t="n">
        <v>41.9</v>
      </c>
      <c r="J341" s="16" t="n">
        <v>18</v>
      </c>
      <c r="K341" s="16" t="n">
        <f aca="false">H341*I341</f>
        <v>125.7</v>
      </c>
      <c r="L341" s="16" t="n">
        <f aca="false">H341*J341</f>
        <v>54</v>
      </c>
      <c r="M341" s="16" t="n">
        <f aca="false">K341-L341</f>
        <v>71.7</v>
      </c>
      <c r="N341" s="17" t="n">
        <f aca="false">IFERROR(M341/K341,0)</f>
        <v>0.570405727923628</v>
      </c>
    </row>
    <row r="342" customFormat="false" ht="15" hidden="false" customHeight="false" outlineLevel="0" collapsed="false">
      <c r="A342" s="15" t="n">
        <v>46038</v>
      </c>
      <c r="B342" s="14" t="s">
        <v>59</v>
      </c>
      <c r="C342" s="14" t="s">
        <v>60</v>
      </c>
      <c r="D342" s="14" t="s">
        <v>61</v>
      </c>
      <c r="E342" s="14" t="s">
        <v>64</v>
      </c>
      <c r="F342" s="14" t="s">
        <v>96</v>
      </c>
      <c r="G342" s="14" t="s">
        <v>97</v>
      </c>
      <c r="H342" s="0" t="n">
        <v>9</v>
      </c>
      <c r="I342" s="16" t="n">
        <v>56.4</v>
      </c>
      <c r="J342" s="16" t="n">
        <v>24</v>
      </c>
      <c r="K342" s="16" t="n">
        <f aca="false">H342*I342</f>
        <v>507.6</v>
      </c>
      <c r="L342" s="16" t="n">
        <f aca="false">H342*J342</f>
        <v>216</v>
      </c>
      <c r="M342" s="16" t="n">
        <f aca="false">K342-L342</f>
        <v>291.6</v>
      </c>
      <c r="N342" s="17" t="n">
        <f aca="false">IFERROR(M342/K342,0)</f>
        <v>0.574468085106383</v>
      </c>
    </row>
    <row r="343" customFormat="false" ht="15" hidden="false" customHeight="false" outlineLevel="0" collapsed="false">
      <c r="A343" s="15" t="n">
        <v>46038</v>
      </c>
      <c r="B343" s="14" t="s">
        <v>59</v>
      </c>
      <c r="C343" s="14" t="s">
        <v>60</v>
      </c>
      <c r="D343" s="14" t="s">
        <v>61</v>
      </c>
      <c r="E343" s="14" t="s">
        <v>45</v>
      </c>
      <c r="F343" s="14" t="s">
        <v>48</v>
      </c>
      <c r="G343" s="14" t="s">
        <v>49</v>
      </c>
      <c r="H343" s="0" t="n">
        <v>1</v>
      </c>
      <c r="I343" s="16" t="n">
        <v>63.95</v>
      </c>
      <c r="J343" s="16" t="n">
        <v>27.5</v>
      </c>
      <c r="K343" s="16" t="n">
        <f aca="false">H343*I343</f>
        <v>63.95</v>
      </c>
      <c r="L343" s="16" t="n">
        <f aca="false">H343*J343</f>
        <v>27.5</v>
      </c>
      <c r="M343" s="16" t="n">
        <f aca="false">K343-L343</f>
        <v>36.45</v>
      </c>
      <c r="N343" s="17" t="n">
        <f aca="false">IFERROR(M343/K343,0)</f>
        <v>0.569976544175137</v>
      </c>
    </row>
    <row r="344" customFormat="false" ht="15" hidden="false" customHeight="false" outlineLevel="0" collapsed="false">
      <c r="A344" s="15" t="n">
        <v>46038</v>
      </c>
      <c r="B344" s="14" t="s">
        <v>59</v>
      </c>
      <c r="C344" s="14" t="s">
        <v>60</v>
      </c>
      <c r="D344" s="14" t="s">
        <v>61</v>
      </c>
      <c r="E344" s="14" t="s">
        <v>53</v>
      </c>
      <c r="F344" s="14" t="s">
        <v>84</v>
      </c>
      <c r="G344" s="14" t="s">
        <v>85</v>
      </c>
      <c r="H344" s="0" t="n">
        <v>2</v>
      </c>
      <c r="I344" s="16" t="n">
        <v>24.55</v>
      </c>
      <c r="J344" s="16" t="n">
        <v>9</v>
      </c>
      <c r="K344" s="16" t="n">
        <f aca="false">H344*I344</f>
        <v>49.1</v>
      </c>
      <c r="L344" s="16" t="n">
        <f aca="false">H344*J344</f>
        <v>18</v>
      </c>
      <c r="M344" s="16" t="n">
        <f aca="false">K344-L344</f>
        <v>31.1</v>
      </c>
      <c r="N344" s="17" t="n">
        <f aca="false">IFERROR(M344/K344,0)</f>
        <v>0.633401221995927</v>
      </c>
    </row>
    <row r="345" customFormat="false" ht="15" hidden="false" customHeight="false" outlineLevel="0" collapsed="false">
      <c r="A345" s="15" t="n">
        <v>46038</v>
      </c>
      <c r="B345" s="14" t="s">
        <v>59</v>
      </c>
      <c r="C345" s="14" t="s">
        <v>60</v>
      </c>
      <c r="D345" s="14" t="s">
        <v>61</v>
      </c>
      <c r="E345" s="14" t="s">
        <v>53</v>
      </c>
      <c r="F345" s="14" t="s">
        <v>92</v>
      </c>
      <c r="G345" s="14" t="s">
        <v>93</v>
      </c>
      <c r="H345" s="0" t="n">
        <v>2</v>
      </c>
      <c r="I345" s="16" t="n">
        <v>110.86</v>
      </c>
      <c r="J345" s="16" t="n">
        <v>52</v>
      </c>
      <c r="K345" s="16" t="n">
        <f aca="false">H345*I345</f>
        <v>221.72</v>
      </c>
      <c r="L345" s="16" t="n">
        <f aca="false">H345*J345</f>
        <v>104</v>
      </c>
      <c r="M345" s="16" t="n">
        <f aca="false">K345-L345</f>
        <v>117.72</v>
      </c>
      <c r="N345" s="17" t="n">
        <f aca="false">IFERROR(M345/K345,0)</f>
        <v>0.530939924228757</v>
      </c>
    </row>
    <row r="346" customFormat="false" ht="15" hidden="false" customHeight="false" outlineLevel="0" collapsed="false">
      <c r="A346" s="15" t="n">
        <v>46038</v>
      </c>
      <c r="B346" s="14" t="s">
        <v>69</v>
      </c>
      <c r="C346" s="14" t="s">
        <v>70</v>
      </c>
      <c r="D346" s="14" t="s">
        <v>71</v>
      </c>
      <c r="E346" s="14" t="s">
        <v>56</v>
      </c>
      <c r="F346" s="14" t="s">
        <v>57</v>
      </c>
      <c r="G346" s="14" t="s">
        <v>58</v>
      </c>
      <c r="H346" s="0" t="n">
        <v>2</v>
      </c>
      <c r="I346" s="16" t="n">
        <v>25.08</v>
      </c>
      <c r="J346" s="16" t="n">
        <v>10</v>
      </c>
      <c r="K346" s="16" t="n">
        <f aca="false">H346*I346</f>
        <v>50.16</v>
      </c>
      <c r="L346" s="16" t="n">
        <f aca="false">H346*J346</f>
        <v>20</v>
      </c>
      <c r="M346" s="16" t="n">
        <f aca="false">K346-L346</f>
        <v>30.16</v>
      </c>
      <c r="N346" s="17" t="n">
        <f aca="false">IFERROR(M346/K346,0)</f>
        <v>0.601275917065391</v>
      </c>
    </row>
    <row r="347" customFormat="false" ht="15" hidden="false" customHeight="false" outlineLevel="0" collapsed="false">
      <c r="A347" s="15" t="n">
        <v>46038</v>
      </c>
      <c r="B347" s="14" t="s">
        <v>69</v>
      </c>
      <c r="C347" s="14" t="s">
        <v>70</v>
      </c>
      <c r="D347" s="14" t="s">
        <v>71</v>
      </c>
      <c r="E347" s="14" t="s">
        <v>64</v>
      </c>
      <c r="F347" s="14" t="s">
        <v>65</v>
      </c>
      <c r="G347" s="14" t="s">
        <v>66</v>
      </c>
      <c r="H347" s="0" t="n">
        <v>4</v>
      </c>
      <c r="I347" s="16" t="n">
        <v>77.22</v>
      </c>
      <c r="J347" s="16" t="n">
        <v>34</v>
      </c>
      <c r="K347" s="16" t="n">
        <f aca="false">H347*I347</f>
        <v>308.88</v>
      </c>
      <c r="L347" s="16" t="n">
        <f aca="false">H347*J347</f>
        <v>136</v>
      </c>
      <c r="M347" s="16" t="n">
        <f aca="false">K347-L347</f>
        <v>172.88</v>
      </c>
      <c r="N347" s="17" t="n">
        <f aca="false">IFERROR(M347/K347,0)</f>
        <v>0.55969955969956</v>
      </c>
    </row>
    <row r="348" customFormat="false" ht="15" hidden="false" customHeight="false" outlineLevel="0" collapsed="false">
      <c r="A348" s="15" t="n">
        <v>46038</v>
      </c>
      <c r="B348" s="14" t="s">
        <v>69</v>
      </c>
      <c r="C348" s="14" t="s">
        <v>70</v>
      </c>
      <c r="D348" s="14" t="s">
        <v>71</v>
      </c>
      <c r="E348" s="14" t="s">
        <v>76</v>
      </c>
      <c r="F348" s="14" t="s">
        <v>100</v>
      </c>
      <c r="G348" s="14" t="s">
        <v>101</v>
      </c>
      <c r="H348" s="0" t="n">
        <v>1</v>
      </c>
      <c r="I348" s="16" t="n">
        <v>15.51</v>
      </c>
      <c r="J348" s="16" t="n">
        <v>5.5</v>
      </c>
      <c r="K348" s="16" t="n">
        <f aca="false">H348*I348</f>
        <v>15.51</v>
      </c>
      <c r="L348" s="16" t="n">
        <f aca="false">H348*J348</f>
        <v>5.5</v>
      </c>
      <c r="M348" s="16" t="n">
        <f aca="false">K348-L348</f>
        <v>10.01</v>
      </c>
      <c r="N348" s="17" t="n">
        <f aca="false">IFERROR(M348/K348,0)</f>
        <v>0.645390070921986</v>
      </c>
    </row>
    <row r="349" customFormat="false" ht="15" hidden="false" customHeight="false" outlineLevel="0" collapsed="false">
      <c r="A349" s="15" t="n">
        <v>46038</v>
      </c>
      <c r="B349" s="14" t="s">
        <v>69</v>
      </c>
      <c r="C349" s="14" t="s">
        <v>70</v>
      </c>
      <c r="D349" s="14" t="s">
        <v>71</v>
      </c>
      <c r="E349" s="14" t="s">
        <v>53</v>
      </c>
      <c r="F349" s="14" t="s">
        <v>84</v>
      </c>
      <c r="G349" s="14" t="s">
        <v>85</v>
      </c>
      <c r="H349" s="0" t="n">
        <v>2</v>
      </c>
      <c r="I349" s="16" t="n">
        <v>24.33</v>
      </c>
      <c r="J349" s="16" t="n">
        <v>9</v>
      </c>
      <c r="K349" s="16" t="n">
        <f aca="false">H349*I349</f>
        <v>48.66</v>
      </c>
      <c r="L349" s="16" t="n">
        <f aca="false">H349*J349</f>
        <v>18</v>
      </c>
      <c r="M349" s="16" t="n">
        <f aca="false">K349-L349</f>
        <v>30.66</v>
      </c>
      <c r="N349" s="17" t="n">
        <f aca="false">IFERROR(M349/K349,0)</f>
        <v>0.630086313193588</v>
      </c>
    </row>
    <row r="350" customFormat="false" ht="15" hidden="false" customHeight="false" outlineLevel="0" collapsed="false">
      <c r="A350" s="15" t="n">
        <v>46038</v>
      </c>
      <c r="B350" s="14" t="s">
        <v>69</v>
      </c>
      <c r="C350" s="14" t="s">
        <v>70</v>
      </c>
      <c r="D350" s="14" t="s">
        <v>71</v>
      </c>
      <c r="E350" s="14" t="s">
        <v>45</v>
      </c>
      <c r="F350" s="14" t="s">
        <v>46</v>
      </c>
      <c r="G350" s="14" t="s">
        <v>47</v>
      </c>
      <c r="H350" s="0" t="n">
        <v>2</v>
      </c>
      <c r="I350" s="16" t="n">
        <v>44.83</v>
      </c>
      <c r="J350" s="16" t="n">
        <v>18</v>
      </c>
      <c r="K350" s="16" t="n">
        <f aca="false">H350*I350</f>
        <v>89.66</v>
      </c>
      <c r="L350" s="16" t="n">
        <f aca="false">H350*J350</f>
        <v>36</v>
      </c>
      <c r="M350" s="16" t="n">
        <f aca="false">K350-L350</f>
        <v>53.66</v>
      </c>
      <c r="N350" s="17" t="n">
        <f aca="false">IFERROR(M350/K350,0)</f>
        <v>0.598483158599152</v>
      </c>
    </row>
    <row r="351" customFormat="false" ht="15" hidden="false" customHeight="false" outlineLevel="0" collapsed="false">
      <c r="A351" s="15" t="n">
        <v>46038</v>
      </c>
      <c r="B351" s="14" t="s">
        <v>81</v>
      </c>
      <c r="C351" s="14" t="s">
        <v>82</v>
      </c>
      <c r="D351" s="14" t="s">
        <v>83</v>
      </c>
      <c r="E351" s="14" t="s">
        <v>56</v>
      </c>
      <c r="F351" s="14" t="s">
        <v>98</v>
      </c>
      <c r="G351" s="14" t="s">
        <v>99</v>
      </c>
      <c r="H351" s="0" t="n">
        <v>5</v>
      </c>
      <c r="I351" s="16" t="n">
        <v>21.78</v>
      </c>
      <c r="J351" s="16" t="n">
        <v>8</v>
      </c>
      <c r="K351" s="16" t="n">
        <f aca="false">H351*I351</f>
        <v>108.9</v>
      </c>
      <c r="L351" s="16" t="n">
        <f aca="false">H351*J351</f>
        <v>40</v>
      </c>
      <c r="M351" s="16" t="n">
        <f aca="false">K351-L351</f>
        <v>68.9</v>
      </c>
      <c r="N351" s="17" t="n">
        <f aca="false">IFERROR(M351/K351,0)</f>
        <v>0.632690541781451</v>
      </c>
    </row>
    <row r="352" customFormat="false" ht="15" hidden="false" customHeight="false" outlineLevel="0" collapsed="false">
      <c r="A352" s="15" t="n">
        <v>46038</v>
      </c>
      <c r="B352" s="14" t="s">
        <v>81</v>
      </c>
      <c r="C352" s="14" t="s">
        <v>82</v>
      </c>
      <c r="D352" s="14" t="s">
        <v>83</v>
      </c>
      <c r="E352" s="14" t="s">
        <v>45</v>
      </c>
      <c r="F352" s="14" t="s">
        <v>72</v>
      </c>
      <c r="G352" s="14" t="s">
        <v>73</v>
      </c>
      <c r="H352" s="0" t="n">
        <v>4</v>
      </c>
      <c r="I352" s="16" t="n">
        <v>48.9</v>
      </c>
      <c r="J352" s="16" t="n">
        <v>21</v>
      </c>
      <c r="K352" s="16" t="n">
        <f aca="false">H352*I352</f>
        <v>195.6</v>
      </c>
      <c r="L352" s="16" t="n">
        <f aca="false">H352*J352</f>
        <v>84</v>
      </c>
      <c r="M352" s="16" t="n">
        <f aca="false">K352-L352</f>
        <v>111.6</v>
      </c>
      <c r="N352" s="17" t="n">
        <f aca="false">IFERROR(M352/K352,0)</f>
        <v>0.570552147239264</v>
      </c>
    </row>
    <row r="353" customFormat="false" ht="15" hidden="false" customHeight="false" outlineLevel="0" collapsed="false">
      <c r="A353" s="15" t="n">
        <v>46038</v>
      </c>
      <c r="B353" s="14" t="s">
        <v>81</v>
      </c>
      <c r="C353" s="14" t="s">
        <v>82</v>
      </c>
      <c r="D353" s="14" t="s">
        <v>83</v>
      </c>
      <c r="E353" s="14" t="s">
        <v>45</v>
      </c>
      <c r="F353" s="14" t="s">
        <v>46</v>
      </c>
      <c r="G353" s="14" t="s">
        <v>47</v>
      </c>
      <c r="H353" s="0" t="n">
        <v>2</v>
      </c>
      <c r="I353" s="16" t="n">
        <v>42.64</v>
      </c>
      <c r="J353" s="16" t="n">
        <v>18</v>
      </c>
      <c r="K353" s="16" t="n">
        <f aca="false">H353*I353</f>
        <v>85.28</v>
      </c>
      <c r="L353" s="16" t="n">
        <f aca="false">H353*J353</f>
        <v>36</v>
      </c>
      <c r="M353" s="16" t="n">
        <f aca="false">K353-L353</f>
        <v>49.28</v>
      </c>
      <c r="N353" s="17" t="n">
        <f aca="false">IFERROR(M353/K353,0)</f>
        <v>0.577861163227017</v>
      </c>
    </row>
    <row r="354" customFormat="false" ht="15" hidden="false" customHeight="false" outlineLevel="0" collapsed="false">
      <c r="A354" s="15" t="n">
        <v>46038</v>
      </c>
      <c r="B354" s="14" t="s">
        <v>81</v>
      </c>
      <c r="C354" s="14" t="s">
        <v>82</v>
      </c>
      <c r="D354" s="14" t="s">
        <v>83</v>
      </c>
      <c r="E354" s="14" t="s">
        <v>45</v>
      </c>
      <c r="F354" s="14" t="s">
        <v>46</v>
      </c>
      <c r="G354" s="14" t="s">
        <v>47</v>
      </c>
      <c r="H354" s="0" t="n">
        <v>2</v>
      </c>
      <c r="I354" s="16" t="n">
        <v>41.56</v>
      </c>
      <c r="J354" s="16" t="n">
        <v>18</v>
      </c>
      <c r="K354" s="16" t="n">
        <f aca="false">H354*I354</f>
        <v>83.12</v>
      </c>
      <c r="L354" s="16" t="n">
        <f aca="false">H354*J354</f>
        <v>36</v>
      </c>
      <c r="M354" s="16" t="n">
        <f aca="false">K354-L354</f>
        <v>47.12</v>
      </c>
      <c r="N354" s="17" t="n">
        <f aca="false">IFERROR(M354/K354,0)</f>
        <v>0.566891241578441</v>
      </c>
    </row>
    <row r="355" customFormat="false" ht="15" hidden="false" customHeight="false" outlineLevel="0" collapsed="false">
      <c r="A355" s="15" t="n">
        <v>46038</v>
      </c>
      <c r="B355" s="14" t="s">
        <v>81</v>
      </c>
      <c r="C355" s="14" t="s">
        <v>82</v>
      </c>
      <c r="D355" s="14" t="s">
        <v>83</v>
      </c>
      <c r="E355" s="14" t="s">
        <v>56</v>
      </c>
      <c r="F355" s="14" t="s">
        <v>67</v>
      </c>
      <c r="G355" s="14" t="s">
        <v>68</v>
      </c>
      <c r="H355" s="0" t="n">
        <v>2</v>
      </c>
      <c r="I355" s="16" t="n">
        <v>37.48</v>
      </c>
      <c r="J355" s="16" t="n">
        <v>15</v>
      </c>
      <c r="K355" s="16" t="n">
        <f aca="false">H355*I355</f>
        <v>74.96</v>
      </c>
      <c r="L355" s="16" t="n">
        <f aca="false">H355*J355</f>
        <v>30</v>
      </c>
      <c r="M355" s="16" t="n">
        <f aca="false">K355-L355</f>
        <v>44.96</v>
      </c>
      <c r="N355" s="17" t="n">
        <f aca="false">IFERROR(M355/K355,0)</f>
        <v>0.599786552828175</v>
      </c>
    </row>
    <row r="356" customFormat="false" ht="15" hidden="false" customHeight="false" outlineLevel="0" collapsed="false">
      <c r="A356" s="15" t="n">
        <v>46038</v>
      </c>
      <c r="B356" s="14" t="s">
        <v>81</v>
      </c>
      <c r="C356" s="14" t="s">
        <v>82</v>
      </c>
      <c r="D356" s="14" t="s">
        <v>83</v>
      </c>
      <c r="E356" s="14" t="s">
        <v>64</v>
      </c>
      <c r="F356" s="14" t="s">
        <v>90</v>
      </c>
      <c r="G356" s="14" t="s">
        <v>91</v>
      </c>
      <c r="H356" s="0" t="n">
        <v>3</v>
      </c>
      <c r="I356" s="16" t="n">
        <v>11.82</v>
      </c>
      <c r="J356" s="16" t="n">
        <v>3.5</v>
      </c>
      <c r="K356" s="16" t="n">
        <f aca="false">H356*I356</f>
        <v>35.46</v>
      </c>
      <c r="L356" s="16" t="n">
        <f aca="false">H356*J356</f>
        <v>10.5</v>
      </c>
      <c r="M356" s="16" t="n">
        <f aca="false">K356-L356</f>
        <v>24.96</v>
      </c>
      <c r="N356" s="17" t="n">
        <f aca="false">IFERROR(M356/K356,0)</f>
        <v>0.703891708967851</v>
      </c>
    </row>
    <row r="357" customFormat="false" ht="15" hidden="false" customHeight="false" outlineLevel="0" collapsed="false">
      <c r="A357" s="15" t="n">
        <v>46038</v>
      </c>
      <c r="B357" s="14" t="s">
        <v>88</v>
      </c>
      <c r="C357" s="14" t="s">
        <v>89</v>
      </c>
      <c r="D357" s="14" t="s">
        <v>44</v>
      </c>
      <c r="E357" s="14" t="s">
        <v>64</v>
      </c>
      <c r="F357" s="14" t="s">
        <v>65</v>
      </c>
      <c r="G357" s="14" t="s">
        <v>66</v>
      </c>
      <c r="H357" s="0" t="n">
        <v>7</v>
      </c>
      <c r="I357" s="16" t="n">
        <v>73.95</v>
      </c>
      <c r="J357" s="16" t="n">
        <v>34</v>
      </c>
      <c r="K357" s="16" t="n">
        <f aca="false">H357*I357</f>
        <v>517.65</v>
      </c>
      <c r="L357" s="16" t="n">
        <f aca="false">H357*J357</f>
        <v>238</v>
      </c>
      <c r="M357" s="16" t="n">
        <f aca="false">K357-L357</f>
        <v>279.65</v>
      </c>
      <c r="N357" s="17" t="n">
        <f aca="false">IFERROR(M357/K357,0)</f>
        <v>0.540229885057471</v>
      </c>
    </row>
    <row r="358" customFormat="false" ht="15" hidden="false" customHeight="false" outlineLevel="0" collapsed="false">
      <c r="A358" s="15" t="n">
        <v>46038</v>
      </c>
      <c r="B358" s="14" t="s">
        <v>88</v>
      </c>
      <c r="C358" s="14" t="s">
        <v>89</v>
      </c>
      <c r="D358" s="14" t="s">
        <v>44</v>
      </c>
      <c r="E358" s="14" t="s">
        <v>53</v>
      </c>
      <c r="F358" s="14" t="s">
        <v>74</v>
      </c>
      <c r="G358" s="14" t="s">
        <v>75</v>
      </c>
      <c r="H358" s="0" t="n">
        <v>6</v>
      </c>
      <c r="I358" s="16" t="n">
        <v>88.53</v>
      </c>
      <c r="J358" s="16" t="n">
        <v>38</v>
      </c>
      <c r="K358" s="16" t="n">
        <f aca="false">H358*I358</f>
        <v>531.18</v>
      </c>
      <c r="L358" s="16" t="n">
        <f aca="false">H358*J358</f>
        <v>228</v>
      </c>
      <c r="M358" s="16" t="n">
        <f aca="false">K358-L358</f>
        <v>303.18</v>
      </c>
      <c r="N358" s="17" t="n">
        <f aca="false">IFERROR(M358/K358,0)</f>
        <v>0.570766971648029</v>
      </c>
    </row>
    <row r="359" customFormat="false" ht="15" hidden="false" customHeight="false" outlineLevel="0" collapsed="false">
      <c r="A359" s="15" t="n">
        <v>46039</v>
      </c>
      <c r="B359" s="14" t="s">
        <v>42</v>
      </c>
      <c r="C359" s="14" t="s">
        <v>43</v>
      </c>
      <c r="D359" s="14" t="s">
        <v>44</v>
      </c>
      <c r="E359" s="14" t="s">
        <v>64</v>
      </c>
      <c r="F359" s="14" t="s">
        <v>90</v>
      </c>
      <c r="G359" s="14" t="s">
        <v>91</v>
      </c>
      <c r="H359" s="0" t="n">
        <v>11</v>
      </c>
      <c r="I359" s="16" t="n">
        <v>11.08</v>
      </c>
      <c r="J359" s="16" t="n">
        <v>3.5</v>
      </c>
      <c r="K359" s="16" t="n">
        <f aca="false">H359*I359</f>
        <v>121.88</v>
      </c>
      <c r="L359" s="16" t="n">
        <f aca="false">H359*J359</f>
        <v>38.5</v>
      </c>
      <c r="M359" s="16" t="n">
        <f aca="false">K359-L359</f>
        <v>83.38</v>
      </c>
      <c r="N359" s="17" t="n">
        <f aca="false">IFERROR(M359/K359,0)</f>
        <v>0.684115523465704</v>
      </c>
    </row>
    <row r="360" customFormat="false" ht="15" hidden="false" customHeight="false" outlineLevel="0" collapsed="false">
      <c r="A360" s="15" t="n">
        <v>46039</v>
      </c>
      <c r="B360" s="14" t="s">
        <v>42</v>
      </c>
      <c r="C360" s="14" t="s">
        <v>43</v>
      </c>
      <c r="D360" s="14" t="s">
        <v>44</v>
      </c>
      <c r="E360" s="14" t="s">
        <v>53</v>
      </c>
      <c r="F360" s="14" t="s">
        <v>92</v>
      </c>
      <c r="G360" s="14" t="s">
        <v>93</v>
      </c>
      <c r="H360" s="0" t="n">
        <v>9</v>
      </c>
      <c r="I360" s="16" t="n">
        <v>118.68</v>
      </c>
      <c r="J360" s="16" t="n">
        <v>52</v>
      </c>
      <c r="K360" s="16" t="n">
        <f aca="false">H360*I360</f>
        <v>1068.12</v>
      </c>
      <c r="L360" s="16" t="n">
        <f aca="false">H360*J360</f>
        <v>468</v>
      </c>
      <c r="M360" s="16" t="n">
        <f aca="false">K360-L360</f>
        <v>600.12</v>
      </c>
      <c r="N360" s="17" t="n">
        <f aca="false">IFERROR(M360/K360,0)</f>
        <v>0.561846983485002</v>
      </c>
    </row>
    <row r="361" customFormat="false" ht="15" hidden="false" customHeight="false" outlineLevel="0" collapsed="false">
      <c r="A361" s="15" t="n">
        <v>46039</v>
      </c>
      <c r="B361" s="14" t="s">
        <v>42</v>
      </c>
      <c r="C361" s="14" t="s">
        <v>43</v>
      </c>
      <c r="D361" s="14" t="s">
        <v>44</v>
      </c>
      <c r="E361" s="14" t="s">
        <v>45</v>
      </c>
      <c r="F361" s="14" t="s">
        <v>46</v>
      </c>
      <c r="G361" s="14" t="s">
        <v>47</v>
      </c>
      <c r="H361" s="0" t="n">
        <v>8</v>
      </c>
      <c r="I361" s="16" t="n">
        <v>41.85</v>
      </c>
      <c r="J361" s="16" t="n">
        <v>18</v>
      </c>
      <c r="K361" s="16" t="n">
        <f aca="false">H361*I361</f>
        <v>334.8</v>
      </c>
      <c r="L361" s="16" t="n">
        <f aca="false">H361*J361</f>
        <v>144</v>
      </c>
      <c r="M361" s="16" t="n">
        <f aca="false">K361-L361</f>
        <v>190.8</v>
      </c>
      <c r="N361" s="17" t="n">
        <f aca="false">IFERROR(M361/K361,0)</f>
        <v>0.56989247311828</v>
      </c>
    </row>
    <row r="362" customFormat="false" ht="15" hidden="false" customHeight="false" outlineLevel="0" collapsed="false">
      <c r="A362" s="15" t="n">
        <v>46039</v>
      </c>
      <c r="B362" s="14" t="s">
        <v>42</v>
      </c>
      <c r="C362" s="14" t="s">
        <v>43</v>
      </c>
      <c r="D362" s="14" t="s">
        <v>44</v>
      </c>
      <c r="E362" s="14" t="s">
        <v>76</v>
      </c>
      <c r="F362" s="14" t="s">
        <v>100</v>
      </c>
      <c r="G362" s="14" t="s">
        <v>101</v>
      </c>
      <c r="H362" s="0" t="n">
        <v>13</v>
      </c>
      <c r="I362" s="16" t="n">
        <v>15.67</v>
      </c>
      <c r="J362" s="16" t="n">
        <v>5.5</v>
      </c>
      <c r="K362" s="16" t="n">
        <f aca="false">H362*I362</f>
        <v>203.71</v>
      </c>
      <c r="L362" s="16" t="n">
        <f aca="false">H362*J362</f>
        <v>71.5</v>
      </c>
      <c r="M362" s="16" t="n">
        <f aca="false">K362-L362</f>
        <v>132.21</v>
      </c>
      <c r="N362" s="17" t="n">
        <f aca="false">IFERROR(M362/K362,0)</f>
        <v>0.649010848755584</v>
      </c>
    </row>
    <row r="363" customFormat="false" ht="15" hidden="false" customHeight="false" outlineLevel="0" collapsed="false">
      <c r="A363" s="15" t="n">
        <v>46039</v>
      </c>
      <c r="B363" s="14" t="s">
        <v>42</v>
      </c>
      <c r="C363" s="14" t="s">
        <v>43</v>
      </c>
      <c r="D363" s="14" t="s">
        <v>44</v>
      </c>
      <c r="E363" s="14" t="s">
        <v>64</v>
      </c>
      <c r="F363" s="14" t="s">
        <v>94</v>
      </c>
      <c r="G363" s="14" t="s">
        <v>95</v>
      </c>
      <c r="H363" s="0" t="n">
        <v>6</v>
      </c>
      <c r="I363" s="16" t="n">
        <v>95.01</v>
      </c>
      <c r="J363" s="16" t="n">
        <v>42</v>
      </c>
      <c r="K363" s="16" t="n">
        <f aca="false">H363*I363</f>
        <v>570.06</v>
      </c>
      <c r="L363" s="16" t="n">
        <f aca="false">H363*J363</f>
        <v>252</v>
      </c>
      <c r="M363" s="16" t="n">
        <f aca="false">K363-L363</f>
        <v>318.06</v>
      </c>
      <c r="N363" s="17" t="n">
        <f aca="false">IFERROR(M363/K363,0)</f>
        <v>0.55794126934007</v>
      </c>
    </row>
    <row r="364" customFormat="false" ht="15" hidden="false" customHeight="false" outlineLevel="0" collapsed="false">
      <c r="A364" s="15" t="n">
        <v>46039</v>
      </c>
      <c r="B364" s="14" t="s">
        <v>42</v>
      </c>
      <c r="C364" s="14" t="s">
        <v>43</v>
      </c>
      <c r="D364" s="14" t="s">
        <v>44</v>
      </c>
      <c r="E364" s="14" t="s">
        <v>64</v>
      </c>
      <c r="F364" s="14" t="s">
        <v>94</v>
      </c>
      <c r="G364" s="14" t="s">
        <v>95</v>
      </c>
      <c r="H364" s="0" t="n">
        <v>11</v>
      </c>
      <c r="I364" s="16" t="n">
        <v>97.43</v>
      </c>
      <c r="J364" s="16" t="n">
        <v>42</v>
      </c>
      <c r="K364" s="16" t="n">
        <f aca="false">H364*I364</f>
        <v>1071.73</v>
      </c>
      <c r="L364" s="16" t="n">
        <f aca="false">H364*J364</f>
        <v>462</v>
      </c>
      <c r="M364" s="16" t="n">
        <f aca="false">K364-L364</f>
        <v>609.73</v>
      </c>
      <c r="N364" s="17" t="n">
        <f aca="false">IFERROR(M364/K364,0)</f>
        <v>0.568921276814123</v>
      </c>
    </row>
    <row r="365" customFormat="false" ht="15" hidden="false" customHeight="false" outlineLevel="0" collapsed="false">
      <c r="A365" s="15" t="n">
        <v>46039</v>
      </c>
      <c r="B365" s="14" t="s">
        <v>50</v>
      </c>
      <c r="C365" s="14" t="s">
        <v>51</v>
      </c>
      <c r="D365" s="14" t="s">
        <v>52</v>
      </c>
      <c r="E365" s="14" t="s">
        <v>45</v>
      </c>
      <c r="F365" s="14" t="s">
        <v>72</v>
      </c>
      <c r="G365" s="14" t="s">
        <v>73</v>
      </c>
      <c r="H365" s="0" t="n">
        <v>4</v>
      </c>
      <c r="I365" s="16" t="n">
        <v>50.11</v>
      </c>
      <c r="J365" s="16" t="n">
        <v>21</v>
      </c>
      <c r="K365" s="16" t="n">
        <f aca="false">H365*I365</f>
        <v>200.44</v>
      </c>
      <c r="L365" s="16" t="n">
        <f aca="false">H365*J365</f>
        <v>84</v>
      </c>
      <c r="M365" s="16" t="n">
        <f aca="false">K365-L365</f>
        <v>116.44</v>
      </c>
      <c r="N365" s="17" t="n">
        <f aca="false">IFERROR(M365/K365,0)</f>
        <v>0.580921971662343</v>
      </c>
    </row>
    <row r="366" customFormat="false" ht="15" hidden="false" customHeight="false" outlineLevel="0" collapsed="false">
      <c r="A366" s="15" t="n">
        <v>46039</v>
      </c>
      <c r="B366" s="14" t="s">
        <v>50</v>
      </c>
      <c r="C366" s="14" t="s">
        <v>51</v>
      </c>
      <c r="D366" s="14" t="s">
        <v>52</v>
      </c>
      <c r="E366" s="14" t="s">
        <v>76</v>
      </c>
      <c r="F366" s="14" t="s">
        <v>79</v>
      </c>
      <c r="G366" s="14" t="s">
        <v>80</v>
      </c>
      <c r="H366" s="0" t="n">
        <v>3</v>
      </c>
      <c r="I366" s="16" t="n">
        <v>28.39</v>
      </c>
      <c r="J366" s="16" t="n">
        <v>11</v>
      </c>
      <c r="K366" s="16" t="n">
        <f aca="false">H366*I366</f>
        <v>85.17</v>
      </c>
      <c r="L366" s="16" t="n">
        <f aca="false">H366*J366</f>
        <v>33</v>
      </c>
      <c r="M366" s="16" t="n">
        <f aca="false">K366-L366</f>
        <v>52.17</v>
      </c>
      <c r="N366" s="17" t="n">
        <f aca="false">IFERROR(M366/K366,0)</f>
        <v>0.612539626629095</v>
      </c>
    </row>
    <row r="367" customFormat="false" ht="15" hidden="false" customHeight="false" outlineLevel="0" collapsed="false">
      <c r="A367" s="15" t="n">
        <v>46039</v>
      </c>
      <c r="B367" s="14" t="s">
        <v>50</v>
      </c>
      <c r="C367" s="14" t="s">
        <v>51</v>
      </c>
      <c r="D367" s="14" t="s">
        <v>52</v>
      </c>
      <c r="E367" s="14" t="s">
        <v>76</v>
      </c>
      <c r="F367" s="14" t="s">
        <v>102</v>
      </c>
      <c r="G367" s="14" t="s">
        <v>103</v>
      </c>
      <c r="H367" s="0" t="n">
        <v>13</v>
      </c>
      <c r="I367" s="16" t="n">
        <v>23.24</v>
      </c>
      <c r="J367" s="16" t="n">
        <v>8.5</v>
      </c>
      <c r="K367" s="16" t="n">
        <f aca="false">H367*I367</f>
        <v>302.12</v>
      </c>
      <c r="L367" s="16" t="n">
        <f aca="false">H367*J367</f>
        <v>110.5</v>
      </c>
      <c r="M367" s="16" t="n">
        <f aca="false">K367-L367</f>
        <v>191.62</v>
      </c>
      <c r="N367" s="17" t="n">
        <f aca="false">IFERROR(M367/K367,0)</f>
        <v>0.634251290877797</v>
      </c>
    </row>
    <row r="368" customFormat="false" ht="15" hidden="false" customHeight="false" outlineLevel="0" collapsed="false">
      <c r="A368" s="15" t="n">
        <v>46039</v>
      </c>
      <c r="B368" s="14" t="s">
        <v>50</v>
      </c>
      <c r="C368" s="14" t="s">
        <v>51</v>
      </c>
      <c r="D368" s="14" t="s">
        <v>52</v>
      </c>
      <c r="E368" s="14" t="s">
        <v>64</v>
      </c>
      <c r="F368" s="14" t="s">
        <v>96</v>
      </c>
      <c r="G368" s="14" t="s">
        <v>97</v>
      </c>
      <c r="H368" s="0" t="n">
        <v>15</v>
      </c>
      <c r="I368" s="16" t="n">
        <v>55.94</v>
      </c>
      <c r="J368" s="16" t="n">
        <v>24</v>
      </c>
      <c r="K368" s="16" t="n">
        <f aca="false">H368*I368</f>
        <v>839.1</v>
      </c>
      <c r="L368" s="16" t="n">
        <f aca="false">H368*J368</f>
        <v>360</v>
      </c>
      <c r="M368" s="16" t="n">
        <f aca="false">K368-L368</f>
        <v>479.1</v>
      </c>
      <c r="N368" s="17" t="n">
        <f aca="false">IFERROR(M368/K368,0)</f>
        <v>0.570968895244905</v>
      </c>
    </row>
    <row r="369" customFormat="false" ht="15" hidden="false" customHeight="false" outlineLevel="0" collapsed="false">
      <c r="A369" s="15" t="n">
        <v>46039</v>
      </c>
      <c r="B369" s="14" t="s">
        <v>50</v>
      </c>
      <c r="C369" s="14" t="s">
        <v>51</v>
      </c>
      <c r="D369" s="14" t="s">
        <v>52</v>
      </c>
      <c r="E369" s="14" t="s">
        <v>45</v>
      </c>
      <c r="F369" s="14" t="s">
        <v>46</v>
      </c>
      <c r="G369" s="14" t="s">
        <v>47</v>
      </c>
      <c r="H369" s="0" t="n">
        <v>10</v>
      </c>
      <c r="I369" s="16" t="n">
        <v>42.39</v>
      </c>
      <c r="J369" s="16" t="n">
        <v>18</v>
      </c>
      <c r="K369" s="16" t="n">
        <f aca="false">H369*I369</f>
        <v>423.9</v>
      </c>
      <c r="L369" s="16" t="n">
        <f aca="false">H369*J369</f>
        <v>180</v>
      </c>
      <c r="M369" s="16" t="n">
        <f aca="false">K369-L369</f>
        <v>243.9</v>
      </c>
      <c r="N369" s="17" t="n">
        <f aca="false">IFERROR(M369/K369,0)</f>
        <v>0.575371549893843</v>
      </c>
    </row>
    <row r="370" customFormat="false" ht="15" hidden="false" customHeight="false" outlineLevel="0" collapsed="false">
      <c r="A370" s="15" t="n">
        <v>46039</v>
      </c>
      <c r="B370" s="14" t="s">
        <v>59</v>
      </c>
      <c r="C370" s="14" t="s">
        <v>60</v>
      </c>
      <c r="D370" s="14" t="s">
        <v>61</v>
      </c>
      <c r="E370" s="14" t="s">
        <v>45</v>
      </c>
      <c r="F370" s="14" t="s">
        <v>72</v>
      </c>
      <c r="G370" s="14" t="s">
        <v>73</v>
      </c>
      <c r="H370" s="0" t="n">
        <v>7</v>
      </c>
      <c r="I370" s="16" t="n">
        <v>49.97</v>
      </c>
      <c r="J370" s="16" t="n">
        <v>21</v>
      </c>
      <c r="K370" s="16" t="n">
        <f aca="false">H370*I370</f>
        <v>349.79</v>
      </c>
      <c r="L370" s="16" t="n">
        <f aca="false">H370*J370</f>
        <v>147</v>
      </c>
      <c r="M370" s="16" t="n">
        <f aca="false">K370-L370</f>
        <v>202.79</v>
      </c>
      <c r="N370" s="17" t="n">
        <f aca="false">IFERROR(M370/K370,0)</f>
        <v>0.579747848709226</v>
      </c>
    </row>
    <row r="371" customFormat="false" ht="15" hidden="false" customHeight="false" outlineLevel="0" collapsed="false">
      <c r="A371" s="15" t="n">
        <v>46039</v>
      </c>
      <c r="B371" s="14" t="s">
        <v>59</v>
      </c>
      <c r="C371" s="14" t="s">
        <v>60</v>
      </c>
      <c r="D371" s="14" t="s">
        <v>61</v>
      </c>
      <c r="E371" s="14" t="s">
        <v>53</v>
      </c>
      <c r="F371" s="14" t="s">
        <v>74</v>
      </c>
      <c r="G371" s="14" t="s">
        <v>75</v>
      </c>
      <c r="H371" s="0" t="n">
        <v>3</v>
      </c>
      <c r="I371" s="16" t="n">
        <v>87.92</v>
      </c>
      <c r="J371" s="16" t="n">
        <v>38</v>
      </c>
      <c r="K371" s="16" t="n">
        <f aca="false">H371*I371</f>
        <v>263.76</v>
      </c>
      <c r="L371" s="16" t="n">
        <f aca="false">H371*J371</f>
        <v>114</v>
      </c>
      <c r="M371" s="16" t="n">
        <f aca="false">K371-L371</f>
        <v>149.76</v>
      </c>
      <c r="N371" s="17" t="n">
        <f aca="false">IFERROR(M371/K371,0)</f>
        <v>0.56778889899909</v>
      </c>
    </row>
    <row r="372" customFormat="false" ht="15" hidden="false" customHeight="false" outlineLevel="0" collapsed="false">
      <c r="A372" s="15" t="n">
        <v>46039</v>
      </c>
      <c r="B372" s="14" t="s">
        <v>69</v>
      </c>
      <c r="C372" s="14" t="s">
        <v>70</v>
      </c>
      <c r="D372" s="14" t="s">
        <v>71</v>
      </c>
      <c r="E372" s="14" t="s">
        <v>45</v>
      </c>
      <c r="F372" s="14" t="s">
        <v>62</v>
      </c>
      <c r="G372" s="14" t="s">
        <v>63</v>
      </c>
      <c r="H372" s="0" t="n">
        <v>2</v>
      </c>
      <c r="I372" s="16" t="n">
        <v>16.9</v>
      </c>
      <c r="J372" s="16" t="n">
        <v>6.5</v>
      </c>
      <c r="K372" s="16" t="n">
        <f aca="false">H372*I372</f>
        <v>33.8</v>
      </c>
      <c r="L372" s="16" t="n">
        <f aca="false">H372*J372</f>
        <v>13</v>
      </c>
      <c r="M372" s="16" t="n">
        <f aca="false">K372-L372</f>
        <v>20.8</v>
      </c>
      <c r="N372" s="17" t="n">
        <f aca="false">IFERROR(M372/K372,0)</f>
        <v>0.615384615384615</v>
      </c>
    </row>
    <row r="373" customFormat="false" ht="15" hidden="false" customHeight="false" outlineLevel="0" collapsed="false">
      <c r="A373" s="15" t="n">
        <v>46039</v>
      </c>
      <c r="B373" s="14" t="s">
        <v>69</v>
      </c>
      <c r="C373" s="14" t="s">
        <v>70</v>
      </c>
      <c r="D373" s="14" t="s">
        <v>71</v>
      </c>
      <c r="E373" s="14" t="s">
        <v>76</v>
      </c>
      <c r="F373" s="14" t="s">
        <v>102</v>
      </c>
      <c r="G373" s="14" t="s">
        <v>103</v>
      </c>
      <c r="H373" s="0" t="n">
        <v>8</v>
      </c>
      <c r="I373" s="16" t="n">
        <v>23.9</v>
      </c>
      <c r="J373" s="16" t="n">
        <v>8.5</v>
      </c>
      <c r="K373" s="16" t="n">
        <f aca="false">H373*I373</f>
        <v>191.2</v>
      </c>
      <c r="L373" s="16" t="n">
        <f aca="false">H373*J373</f>
        <v>68</v>
      </c>
      <c r="M373" s="16" t="n">
        <f aca="false">K373-L373</f>
        <v>123.2</v>
      </c>
      <c r="N373" s="17" t="n">
        <f aca="false">IFERROR(M373/K373,0)</f>
        <v>0.644351464435147</v>
      </c>
    </row>
    <row r="374" customFormat="false" ht="15" hidden="false" customHeight="false" outlineLevel="0" collapsed="false">
      <c r="A374" s="15" t="n">
        <v>46039</v>
      </c>
      <c r="B374" s="14" t="s">
        <v>69</v>
      </c>
      <c r="C374" s="14" t="s">
        <v>70</v>
      </c>
      <c r="D374" s="14" t="s">
        <v>71</v>
      </c>
      <c r="E374" s="14" t="s">
        <v>45</v>
      </c>
      <c r="F374" s="14" t="s">
        <v>62</v>
      </c>
      <c r="G374" s="14" t="s">
        <v>63</v>
      </c>
      <c r="H374" s="0" t="n">
        <v>8</v>
      </c>
      <c r="I374" s="16" t="n">
        <v>17.93</v>
      </c>
      <c r="J374" s="16" t="n">
        <v>6.5</v>
      </c>
      <c r="K374" s="16" t="n">
        <f aca="false">H374*I374</f>
        <v>143.44</v>
      </c>
      <c r="L374" s="16" t="n">
        <f aca="false">H374*J374</f>
        <v>52</v>
      </c>
      <c r="M374" s="16" t="n">
        <f aca="false">K374-L374</f>
        <v>91.44</v>
      </c>
      <c r="N374" s="17" t="n">
        <f aca="false">IFERROR(M374/K374,0)</f>
        <v>0.637479085331846</v>
      </c>
    </row>
    <row r="375" customFormat="false" ht="15" hidden="false" customHeight="false" outlineLevel="0" collapsed="false">
      <c r="A375" s="15" t="n">
        <v>46039</v>
      </c>
      <c r="B375" s="14" t="s">
        <v>69</v>
      </c>
      <c r="C375" s="14" t="s">
        <v>70</v>
      </c>
      <c r="D375" s="14" t="s">
        <v>71</v>
      </c>
      <c r="E375" s="14" t="s">
        <v>76</v>
      </c>
      <c r="F375" s="14" t="s">
        <v>100</v>
      </c>
      <c r="G375" s="14" t="s">
        <v>101</v>
      </c>
      <c r="H375" s="0" t="n">
        <v>2</v>
      </c>
      <c r="I375" s="16" t="n">
        <v>15.45</v>
      </c>
      <c r="J375" s="16" t="n">
        <v>5.5</v>
      </c>
      <c r="K375" s="16" t="n">
        <f aca="false">H375*I375</f>
        <v>30.9</v>
      </c>
      <c r="L375" s="16" t="n">
        <f aca="false">H375*J375</f>
        <v>11</v>
      </c>
      <c r="M375" s="16" t="n">
        <f aca="false">K375-L375</f>
        <v>19.9</v>
      </c>
      <c r="N375" s="17" t="n">
        <f aca="false">IFERROR(M375/K375,0)</f>
        <v>0.644012944983819</v>
      </c>
    </row>
    <row r="376" customFormat="false" ht="15" hidden="false" customHeight="false" outlineLevel="0" collapsed="false">
      <c r="A376" s="15" t="n">
        <v>46039</v>
      </c>
      <c r="B376" s="14" t="s">
        <v>69</v>
      </c>
      <c r="C376" s="14" t="s">
        <v>70</v>
      </c>
      <c r="D376" s="14" t="s">
        <v>71</v>
      </c>
      <c r="E376" s="14" t="s">
        <v>56</v>
      </c>
      <c r="F376" s="14" t="s">
        <v>67</v>
      </c>
      <c r="G376" s="14" t="s">
        <v>68</v>
      </c>
      <c r="H376" s="0" t="n">
        <v>7</v>
      </c>
      <c r="I376" s="16" t="n">
        <v>35.92</v>
      </c>
      <c r="J376" s="16" t="n">
        <v>15</v>
      </c>
      <c r="K376" s="16" t="n">
        <f aca="false">H376*I376</f>
        <v>251.44</v>
      </c>
      <c r="L376" s="16" t="n">
        <f aca="false">H376*J376</f>
        <v>105</v>
      </c>
      <c r="M376" s="16" t="n">
        <f aca="false">K376-L376</f>
        <v>146.44</v>
      </c>
      <c r="N376" s="17" t="n">
        <f aca="false">IFERROR(M376/K376,0)</f>
        <v>0.582405345211581</v>
      </c>
    </row>
    <row r="377" customFormat="false" ht="15" hidden="false" customHeight="false" outlineLevel="0" collapsed="false">
      <c r="A377" s="15" t="n">
        <v>46039</v>
      </c>
      <c r="B377" s="14" t="s">
        <v>81</v>
      </c>
      <c r="C377" s="14" t="s">
        <v>82</v>
      </c>
      <c r="D377" s="14" t="s">
        <v>83</v>
      </c>
      <c r="E377" s="14" t="s">
        <v>53</v>
      </c>
      <c r="F377" s="14" t="s">
        <v>74</v>
      </c>
      <c r="G377" s="14" t="s">
        <v>75</v>
      </c>
      <c r="H377" s="0" t="n">
        <v>1</v>
      </c>
      <c r="I377" s="16" t="n">
        <v>87.12</v>
      </c>
      <c r="J377" s="16" t="n">
        <v>38</v>
      </c>
      <c r="K377" s="16" t="n">
        <f aca="false">H377*I377</f>
        <v>87.12</v>
      </c>
      <c r="L377" s="16" t="n">
        <f aca="false">H377*J377</f>
        <v>38</v>
      </c>
      <c r="M377" s="16" t="n">
        <f aca="false">K377-L377</f>
        <v>49.12</v>
      </c>
      <c r="N377" s="17" t="n">
        <f aca="false">IFERROR(M377/K377,0)</f>
        <v>0.563820018365473</v>
      </c>
    </row>
    <row r="378" customFormat="false" ht="15" hidden="false" customHeight="false" outlineLevel="0" collapsed="false">
      <c r="A378" s="15" t="n">
        <v>46039</v>
      </c>
      <c r="B378" s="14" t="s">
        <v>81</v>
      </c>
      <c r="C378" s="14" t="s">
        <v>82</v>
      </c>
      <c r="D378" s="14" t="s">
        <v>83</v>
      </c>
      <c r="E378" s="14" t="s">
        <v>64</v>
      </c>
      <c r="F378" s="14" t="s">
        <v>90</v>
      </c>
      <c r="G378" s="14" t="s">
        <v>91</v>
      </c>
      <c r="H378" s="0" t="n">
        <v>2</v>
      </c>
      <c r="I378" s="16" t="n">
        <v>11.29</v>
      </c>
      <c r="J378" s="16" t="n">
        <v>3.5</v>
      </c>
      <c r="K378" s="16" t="n">
        <f aca="false">H378*I378</f>
        <v>22.58</v>
      </c>
      <c r="L378" s="16" t="n">
        <f aca="false">H378*J378</f>
        <v>7</v>
      </c>
      <c r="M378" s="16" t="n">
        <f aca="false">K378-L378</f>
        <v>15.58</v>
      </c>
      <c r="N378" s="17" t="n">
        <f aca="false">IFERROR(M378/K378,0)</f>
        <v>0.689991142604074</v>
      </c>
    </row>
    <row r="379" customFormat="false" ht="15" hidden="false" customHeight="false" outlineLevel="0" collapsed="false">
      <c r="A379" s="15" t="n">
        <v>46039</v>
      </c>
      <c r="B379" s="14" t="s">
        <v>81</v>
      </c>
      <c r="C379" s="14" t="s">
        <v>82</v>
      </c>
      <c r="D379" s="14" t="s">
        <v>83</v>
      </c>
      <c r="E379" s="14" t="s">
        <v>76</v>
      </c>
      <c r="F379" s="14" t="s">
        <v>100</v>
      </c>
      <c r="G379" s="14" t="s">
        <v>101</v>
      </c>
      <c r="H379" s="0" t="n">
        <v>4</v>
      </c>
      <c r="I379" s="16" t="n">
        <v>16</v>
      </c>
      <c r="J379" s="16" t="n">
        <v>5.5</v>
      </c>
      <c r="K379" s="16" t="n">
        <f aca="false">H379*I379</f>
        <v>64</v>
      </c>
      <c r="L379" s="16" t="n">
        <f aca="false">H379*J379</f>
        <v>22</v>
      </c>
      <c r="M379" s="16" t="n">
        <f aca="false">K379-L379</f>
        <v>42</v>
      </c>
      <c r="N379" s="17" t="n">
        <f aca="false">IFERROR(M379/K379,0)</f>
        <v>0.65625</v>
      </c>
    </row>
    <row r="380" customFormat="false" ht="15" hidden="false" customHeight="false" outlineLevel="0" collapsed="false">
      <c r="A380" s="15" t="n">
        <v>46039</v>
      </c>
      <c r="B380" s="14" t="s">
        <v>81</v>
      </c>
      <c r="C380" s="14" t="s">
        <v>82</v>
      </c>
      <c r="D380" s="14" t="s">
        <v>83</v>
      </c>
      <c r="E380" s="14" t="s">
        <v>76</v>
      </c>
      <c r="F380" s="14" t="s">
        <v>100</v>
      </c>
      <c r="G380" s="14" t="s">
        <v>101</v>
      </c>
      <c r="H380" s="0" t="n">
        <v>4</v>
      </c>
      <c r="I380" s="16" t="n">
        <v>14.88</v>
      </c>
      <c r="J380" s="16" t="n">
        <v>5.5</v>
      </c>
      <c r="K380" s="16" t="n">
        <f aca="false">H380*I380</f>
        <v>59.52</v>
      </c>
      <c r="L380" s="16" t="n">
        <f aca="false">H380*J380</f>
        <v>22</v>
      </c>
      <c r="M380" s="16" t="n">
        <f aca="false">K380-L380</f>
        <v>37.52</v>
      </c>
      <c r="N380" s="17" t="n">
        <f aca="false">IFERROR(M380/K380,0)</f>
        <v>0.630376344086022</v>
      </c>
    </row>
    <row r="381" customFormat="false" ht="15" hidden="false" customHeight="false" outlineLevel="0" collapsed="false">
      <c r="A381" s="15" t="n">
        <v>46039</v>
      </c>
      <c r="B381" s="14" t="s">
        <v>88</v>
      </c>
      <c r="C381" s="14" t="s">
        <v>89</v>
      </c>
      <c r="D381" s="14" t="s">
        <v>44</v>
      </c>
      <c r="E381" s="14" t="s">
        <v>64</v>
      </c>
      <c r="F381" s="14" t="s">
        <v>96</v>
      </c>
      <c r="G381" s="14" t="s">
        <v>97</v>
      </c>
      <c r="H381" s="0" t="n">
        <v>14</v>
      </c>
      <c r="I381" s="16" t="n">
        <v>58.99</v>
      </c>
      <c r="J381" s="16" t="n">
        <v>24</v>
      </c>
      <c r="K381" s="16" t="n">
        <f aca="false">H381*I381</f>
        <v>825.86</v>
      </c>
      <c r="L381" s="16" t="n">
        <f aca="false">H381*J381</f>
        <v>336</v>
      </c>
      <c r="M381" s="16" t="n">
        <f aca="false">K381-L381</f>
        <v>489.86</v>
      </c>
      <c r="N381" s="17" t="n">
        <f aca="false">IFERROR(M381/K381,0)</f>
        <v>0.5931513815901</v>
      </c>
    </row>
    <row r="382" customFormat="false" ht="15" hidden="false" customHeight="false" outlineLevel="0" collapsed="false">
      <c r="A382" s="15" t="n">
        <v>46039</v>
      </c>
      <c r="B382" s="14" t="s">
        <v>88</v>
      </c>
      <c r="C382" s="14" t="s">
        <v>89</v>
      </c>
      <c r="D382" s="14" t="s">
        <v>44</v>
      </c>
      <c r="E382" s="14" t="s">
        <v>76</v>
      </c>
      <c r="F382" s="14" t="s">
        <v>102</v>
      </c>
      <c r="G382" s="14" t="s">
        <v>103</v>
      </c>
      <c r="H382" s="0" t="n">
        <v>3</v>
      </c>
      <c r="I382" s="16" t="n">
        <v>23.14</v>
      </c>
      <c r="J382" s="16" t="n">
        <v>8.5</v>
      </c>
      <c r="K382" s="16" t="n">
        <f aca="false">H382*I382</f>
        <v>69.42</v>
      </c>
      <c r="L382" s="16" t="n">
        <f aca="false">H382*J382</f>
        <v>25.5</v>
      </c>
      <c r="M382" s="16" t="n">
        <f aca="false">K382-L382</f>
        <v>43.92</v>
      </c>
      <c r="N382" s="17" t="n">
        <f aca="false">IFERROR(M382/K382,0)</f>
        <v>0.63267070008643</v>
      </c>
    </row>
    <row r="383" customFormat="false" ht="15" hidden="false" customHeight="false" outlineLevel="0" collapsed="false">
      <c r="A383" s="15" t="n">
        <v>46040</v>
      </c>
      <c r="B383" s="14" t="s">
        <v>42</v>
      </c>
      <c r="C383" s="14" t="s">
        <v>43</v>
      </c>
      <c r="D383" s="14" t="s">
        <v>44</v>
      </c>
      <c r="E383" s="14" t="s">
        <v>76</v>
      </c>
      <c r="F383" s="14" t="s">
        <v>77</v>
      </c>
      <c r="G383" s="14" t="s">
        <v>78</v>
      </c>
      <c r="H383" s="0" t="n">
        <v>5</v>
      </c>
      <c r="I383" s="16" t="n">
        <v>41.31</v>
      </c>
      <c r="J383" s="16" t="n">
        <v>15</v>
      </c>
      <c r="K383" s="16" t="n">
        <f aca="false">H383*I383</f>
        <v>206.55</v>
      </c>
      <c r="L383" s="16" t="n">
        <f aca="false">H383*J383</f>
        <v>75</v>
      </c>
      <c r="M383" s="16" t="n">
        <f aca="false">K383-L383</f>
        <v>131.55</v>
      </c>
      <c r="N383" s="17" t="n">
        <f aca="false">IFERROR(M383/K383,0)</f>
        <v>0.636891793754539</v>
      </c>
    </row>
    <row r="384" customFormat="false" ht="15" hidden="false" customHeight="false" outlineLevel="0" collapsed="false">
      <c r="A384" s="15" t="n">
        <v>46040</v>
      </c>
      <c r="B384" s="14" t="s">
        <v>42</v>
      </c>
      <c r="C384" s="14" t="s">
        <v>43</v>
      </c>
      <c r="D384" s="14" t="s">
        <v>44</v>
      </c>
      <c r="E384" s="14" t="s">
        <v>56</v>
      </c>
      <c r="F384" s="14" t="s">
        <v>86</v>
      </c>
      <c r="G384" s="14" t="s">
        <v>87</v>
      </c>
      <c r="H384" s="0" t="n">
        <v>3</v>
      </c>
      <c r="I384" s="16" t="n">
        <v>14.98</v>
      </c>
      <c r="J384" s="16" t="n">
        <v>5</v>
      </c>
      <c r="K384" s="16" t="n">
        <f aca="false">H384*I384</f>
        <v>44.94</v>
      </c>
      <c r="L384" s="16" t="n">
        <f aca="false">H384*J384</f>
        <v>15</v>
      </c>
      <c r="M384" s="16" t="n">
        <f aca="false">K384-L384</f>
        <v>29.94</v>
      </c>
      <c r="N384" s="17" t="n">
        <f aca="false">IFERROR(M384/K384,0)</f>
        <v>0.666221628838451</v>
      </c>
    </row>
    <row r="385" customFormat="false" ht="15" hidden="false" customHeight="false" outlineLevel="0" collapsed="false">
      <c r="A385" s="15" t="n">
        <v>46040</v>
      </c>
      <c r="B385" s="14" t="s">
        <v>42</v>
      </c>
      <c r="C385" s="14" t="s">
        <v>43</v>
      </c>
      <c r="D385" s="14" t="s">
        <v>44</v>
      </c>
      <c r="E385" s="14" t="s">
        <v>53</v>
      </c>
      <c r="F385" s="14" t="s">
        <v>54</v>
      </c>
      <c r="G385" s="14" t="s">
        <v>55</v>
      </c>
      <c r="H385" s="0" t="n">
        <v>12</v>
      </c>
      <c r="I385" s="16" t="n">
        <v>50.72</v>
      </c>
      <c r="J385" s="16" t="n">
        <v>22</v>
      </c>
      <c r="K385" s="16" t="n">
        <f aca="false">H385*I385</f>
        <v>608.64</v>
      </c>
      <c r="L385" s="16" t="n">
        <f aca="false">H385*J385</f>
        <v>264</v>
      </c>
      <c r="M385" s="16" t="n">
        <f aca="false">K385-L385</f>
        <v>344.64</v>
      </c>
      <c r="N385" s="17" t="n">
        <f aca="false">IFERROR(M385/K385,0)</f>
        <v>0.566246056782334</v>
      </c>
    </row>
    <row r="386" customFormat="false" ht="15" hidden="false" customHeight="false" outlineLevel="0" collapsed="false">
      <c r="A386" s="15" t="n">
        <v>46040</v>
      </c>
      <c r="B386" s="14" t="s">
        <v>42</v>
      </c>
      <c r="C386" s="14" t="s">
        <v>43</v>
      </c>
      <c r="D386" s="14" t="s">
        <v>44</v>
      </c>
      <c r="E386" s="14" t="s">
        <v>56</v>
      </c>
      <c r="F386" s="14" t="s">
        <v>67</v>
      </c>
      <c r="G386" s="14" t="s">
        <v>68</v>
      </c>
      <c r="H386" s="0" t="n">
        <v>13</v>
      </c>
      <c r="I386" s="16" t="n">
        <v>37.4</v>
      </c>
      <c r="J386" s="16" t="n">
        <v>15</v>
      </c>
      <c r="K386" s="16" t="n">
        <f aca="false">H386*I386</f>
        <v>486.2</v>
      </c>
      <c r="L386" s="16" t="n">
        <f aca="false">H386*J386</f>
        <v>195</v>
      </c>
      <c r="M386" s="16" t="n">
        <f aca="false">K386-L386</f>
        <v>291.2</v>
      </c>
      <c r="N386" s="17" t="n">
        <f aca="false">IFERROR(M386/K386,0)</f>
        <v>0.598930481283422</v>
      </c>
    </row>
    <row r="387" customFormat="false" ht="15" hidden="false" customHeight="false" outlineLevel="0" collapsed="false">
      <c r="A387" s="15" t="n">
        <v>46040</v>
      </c>
      <c r="B387" s="14" t="s">
        <v>50</v>
      </c>
      <c r="C387" s="14" t="s">
        <v>51</v>
      </c>
      <c r="D387" s="14" t="s">
        <v>52</v>
      </c>
      <c r="E387" s="14" t="s">
        <v>53</v>
      </c>
      <c r="F387" s="14" t="s">
        <v>74</v>
      </c>
      <c r="G387" s="14" t="s">
        <v>75</v>
      </c>
      <c r="H387" s="0" t="n">
        <v>3</v>
      </c>
      <c r="I387" s="16" t="n">
        <v>84.08</v>
      </c>
      <c r="J387" s="16" t="n">
        <v>38</v>
      </c>
      <c r="K387" s="16" t="n">
        <f aca="false">H387*I387</f>
        <v>252.24</v>
      </c>
      <c r="L387" s="16" t="n">
        <f aca="false">H387*J387</f>
        <v>114</v>
      </c>
      <c r="M387" s="16" t="n">
        <f aca="false">K387-L387</f>
        <v>138.24</v>
      </c>
      <c r="N387" s="17" t="n">
        <f aca="false">IFERROR(M387/K387,0)</f>
        <v>0.548049476688868</v>
      </c>
    </row>
    <row r="388" customFormat="false" ht="15" hidden="false" customHeight="false" outlineLevel="0" collapsed="false">
      <c r="A388" s="15" t="n">
        <v>46040</v>
      </c>
      <c r="B388" s="14" t="s">
        <v>50</v>
      </c>
      <c r="C388" s="14" t="s">
        <v>51</v>
      </c>
      <c r="D388" s="14" t="s">
        <v>52</v>
      </c>
      <c r="E388" s="14" t="s">
        <v>64</v>
      </c>
      <c r="F388" s="14" t="s">
        <v>90</v>
      </c>
      <c r="G388" s="14" t="s">
        <v>91</v>
      </c>
      <c r="H388" s="0" t="n">
        <v>13</v>
      </c>
      <c r="I388" s="16" t="n">
        <v>11.83</v>
      </c>
      <c r="J388" s="16" t="n">
        <v>3.5</v>
      </c>
      <c r="K388" s="16" t="n">
        <f aca="false">H388*I388</f>
        <v>153.79</v>
      </c>
      <c r="L388" s="16" t="n">
        <f aca="false">H388*J388</f>
        <v>45.5</v>
      </c>
      <c r="M388" s="16" t="n">
        <f aca="false">K388-L388</f>
        <v>108.29</v>
      </c>
      <c r="N388" s="17" t="n">
        <f aca="false">IFERROR(M388/K388,0)</f>
        <v>0.70414201183432</v>
      </c>
    </row>
    <row r="389" customFormat="false" ht="15" hidden="false" customHeight="false" outlineLevel="0" collapsed="false">
      <c r="A389" s="15" t="n">
        <v>46040</v>
      </c>
      <c r="B389" s="14" t="s">
        <v>50</v>
      </c>
      <c r="C389" s="14" t="s">
        <v>51</v>
      </c>
      <c r="D389" s="14" t="s">
        <v>52</v>
      </c>
      <c r="E389" s="14" t="s">
        <v>45</v>
      </c>
      <c r="F389" s="14" t="s">
        <v>62</v>
      </c>
      <c r="G389" s="14" t="s">
        <v>63</v>
      </c>
      <c r="H389" s="0" t="n">
        <v>9</v>
      </c>
      <c r="I389" s="16" t="n">
        <v>17.48</v>
      </c>
      <c r="J389" s="16" t="n">
        <v>6.5</v>
      </c>
      <c r="K389" s="16" t="n">
        <f aca="false">H389*I389</f>
        <v>157.32</v>
      </c>
      <c r="L389" s="16" t="n">
        <f aca="false">H389*J389</f>
        <v>58.5</v>
      </c>
      <c r="M389" s="16" t="n">
        <f aca="false">K389-L389</f>
        <v>98.82</v>
      </c>
      <c r="N389" s="17" t="n">
        <f aca="false">IFERROR(M389/K389,0)</f>
        <v>0.628146453089245</v>
      </c>
    </row>
    <row r="390" customFormat="false" ht="15" hidden="false" customHeight="false" outlineLevel="0" collapsed="false">
      <c r="A390" s="15" t="n">
        <v>46040</v>
      </c>
      <c r="B390" s="14" t="s">
        <v>50</v>
      </c>
      <c r="C390" s="14" t="s">
        <v>51</v>
      </c>
      <c r="D390" s="14" t="s">
        <v>52</v>
      </c>
      <c r="E390" s="14" t="s">
        <v>64</v>
      </c>
      <c r="F390" s="14" t="s">
        <v>90</v>
      </c>
      <c r="G390" s="14" t="s">
        <v>91</v>
      </c>
      <c r="H390" s="0" t="n">
        <v>11</v>
      </c>
      <c r="I390" s="16" t="n">
        <v>11.16</v>
      </c>
      <c r="J390" s="16" t="n">
        <v>3.5</v>
      </c>
      <c r="K390" s="16" t="n">
        <f aca="false">H390*I390</f>
        <v>122.76</v>
      </c>
      <c r="L390" s="16" t="n">
        <f aca="false">H390*J390</f>
        <v>38.5</v>
      </c>
      <c r="M390" s="16" t="n">
        <f aca="false">K390-L390</f>
        <v>84.26</v>
      </c>
      <c r="N390" s="17" t="n">
        <f aca="false">IFERROR(M390/K390,0)</f>
        <v>0.686379928315412</v>
      </c>
    </row>
    <row r="391" customFormat="false" ht="15" hidden="false" customHeight="false" outlineLevel="0" collapsed="false">
      <c r="A391" s="15" t="n">
        <v>46040</v>
      </c>
      <c r="B391" s="14" t="s">
        <v>50</v>
      </c>
      <c r="C391" s="14" t="s">
        <v>51</v>
      </c>
      <c r="D391" s="14" t="s">
        <v>52</v>
      </c>
      <c r="E391" s="14" t="s">
        <v>56</v>
      </c>
      <c r="F391" s="14" t="s">
        <v>86</v>
      </c>
      <c r="G391" s="14" t="s">
        <v>87</v>
      </c>
      <c r="H391" s="0" t="n">
        <v>4</v>
      </c>
      <c r="I391" s="16" t="n">
        <v>14.32</v>
      </c>
      <c r="J391" s="16" t="n">
        <v>5</v>
      </c>
      <c r="K391" s="16" t="n">
        <f aca="false">H391*I391</f>
        <v>57.28</v>
      </c>
      <c r="L391" s="16" t="n">
        <f aca="false">H391*J391</f>
        <v>20</v>
      </c>
      <c r="M391" s="16" t="n">
        <f aca="false">K391-L391</f>
        <v>37.28</v>
      </c>
      <c r="N391" s="17" t="n">
        <f aca="false">IFERROR(M391/K391,0)</f>
        <v>0.650837988826816</v>
      </c>
    </row>
    <row r="392" customFormat="false" ht="15" hidden="false" customHeight="false" outlineLevel="0" collapsed="false">
      <c r="A392" s="15" t="n">
        <v>46040</v>
      </c>
      <c r="B392" s="14" t="s">
        <v>50</v>
      </c>
      <c r="C392" s="14" t="s">
        <v>51</v>
      </c>
      <c r="D392" s="14" t="s">
        <v>52</v>
      </c>
      <c r="E392" s="14" t="s">
        <v>45</v>
      </c>
      <c r="F392" s="14" t="s">
        <v>48</v>
      </c>
      <c r="G392" s="14" t="s">
        <v>49</v>
      </c>
      <c r="H392" s="0" t="n">
        <v>4</v>
      </c>
      <c r="I392" s="16" t="n">
        <v>64.21</v>
      </c>
      <c r="J392" s="16" t="n">
        <v>27.5</v>
      </c>
      <c r="K392" s="16" t="n">
        <f aca="false">H392*I392</f>
        <v>256.84</v>
      </c>
      <c r="L392" s="16" t="n">
        <f aca="false">H392*J392</f>
        <v>110</v>
      </c>
      <c r="M392" s="16" t="n">
        <f aca="false">K392-L392</f>
        <v>146.84</v>
      </c>
      <c r="N392" s="17" t="n">
        <f aca="false">IFERROR(M392/K392,0)</f>
        <v>0.571717800965582</v>
      </c>
    </row>
    <row r="393" customFormat="false" ht="15" hidden="false" customHeight="false" outlineLevel="0" collapsed="false">
      <c r="A393" s="15" t="n">
        <v>46040</v>
      </c>
      <c r="B393" s="14" t="s">
        <v>59</v>
      </c>
      <c r="C393" s="14" t="s">
        <v>60</v>
      </c>
      <c r="D393" s="14" t="s">
        <v>61</v>
      </c>
      <c r="E393" s="14" t="s">
        <v>76</v>
      </c>
      <c r="F393" s="14" t="s">
        <v>77</v>
      </c>
      <c r="G393" s="14" t="s">
        <v>78</v>
      </c>
      <c r="H393" s="0" t="n">
        <v>7</v>
      </c>
      <c r="I393" s="16" t="n">
        <v>41.82</v>
      </c>
      <c r="J393" s="16" t="n">
        <v>15</v>
      </c>
      <c r="K393" s="16" t="n">
        <f aca="false">H393*I393</f>
        <v>292.74</v>
      </c>
      <c r="L393" s="16" t="n">
        <f aca="false">H393*J393</f>
        <v>105</v>
      </c>
      <c r="M393" s="16" t="n">
        <f aca="false">K393-L393</f>
        <v>187.74</v>
      </c>
      <c r="N393" s="17" t="n">
        <f aca="false">IFERROR(M393/K393,0)</f>
        <v>0.641319942611191</v>
      </c>
    </row>
    <row r="394" customFormat="false" ht="15" hidden="false" customHeight="false" outlineLevel="0" collapsed="false">
      <c r="A394" s="15" t="n">
        <v>46040</v>
      </c>
      <c r="B394" s="14" t="s">
        <v>59</v>
      </c>
      <c r="C394" s="14" t="s">
        <v>60</v>
      </c>
      <c r="D394" s="14" t="s">
        <v>61</v>
      </c>
      <c r="E394" s="14" t="s">
        <v>56</v>
      </c>
      <c r="F394" s="14" t="s">
        <v>67</v>
      </c>
      <c r="G394" s="14" t="s">
        <v>68</v>
      </c>
      <c r="H394" s="0" t="n">
        <v>2</v>
      </c>
      <c r="I394" s="16" t="n">
        <v>35.72</v>
      </c>
      <c r="J394" s="16" t="n">
        <v>15</v>
      </c>
      <c r="K394" s="16" t="n">
        <f aca="false">H394*I394</f>
        <v>71.44</v>
      </c>
      <c r="L394" s="16" t="n">
        <f aca="false">H394*J394</f>
        <v>30</v>
      </c>
      <c r="M394" s="16" t="n">
        <f aca="false">K394-L394</f>
        <v>41.44</v>
      </c>
      <c r="N394" s="17" t="n">
        <f aca="false">IFERROR(M394/K394,0)</f>
        <v>0.58006718924972</v>
      </c>
    </row>
    <row r="395" customFormat="false" ht="15" hidden="false" customHeight="false" outlineLevel="0" collapsed="false">
      <c r="A395" s="15" t="n">
        <v>46040</v>
      </c>
      <c r="B395" s="14" t="s">
        <v>59</v>
      </c>
      <c r="C395" s="14" t="s">
        <v>60</v>
      </c>
      <c r="D395" s="14" t="s">
        <v>61</v>
      </c>
      <c r="E395" s="14" t="s">
        <v>56</v>
      </c>
      <c r="F395" s="14" t="s">
        <v>67</v>
      </c>
      <c r="G395" s="14" t="s">
        <v>68</v>
      </c>
      <c r="H395" s="0" t="n">
        <v>3</v>
      </c>
      <c r="I395" s="16" t="n">
        <v>36.86</v>
      </c>
      <c r="J395" s="16" t="n">
        <v>15</v>
      </c>
      <c r="K395" s="16" t="n">
        <f aca="false">H395*I395</f>
        <v>110.58</v>
      </c>
      <c r="L395" s="16" t="n">
        <f aca="false">H395*J395</f>
        <v>45</v>
      </c>
      <c r="M395" s="16" t="n">
        <f aca="false">K395-L395</f>
        <v>65.58</v>
      </c>
      <c r="N395" s="17" t="n">
        <f aca="false">IFERROR(M395/K395,0)</f>
        <v>0.593054801953337</v>
      </c>
    </row>
    <row r="396" customFormat="false" ht="15" hidden="false" customHeight="false" outlineLevel="0" collapsed="false">
      <c r="A396" s="15" t="n">
        <v>46040</v>
      </c>
      <c r="B396" s="14" t="s">
        <v>69</v>
      </c>
      <c r="C396" s="14" t="s">
        <v>70</v>
      </c>
      <c r="D396" s="14" t="s">
        <v>71</v>
      </c>
      <c r="E396" s="14" t="s">
        <v>56</v>
      </c>
      <c r="F396" s="14" t="s">
        <v>98</v>
      </c>
      <c r="G396" s="14" t="s">
        <v>99</v>
      </c>
      <c r="H396" s="0" t="n">
        <v>3</v>
      </c>
      <c r="I396" s="16" t="n">
        <v>21.28</v>
      </c>
      <c r="J396" s="16" t="n">
        <v>8</v>
      </c>
      <c r="K396" s="16" t="n">
        <f aca="false">H396*I396</f>
        <v>63.84</v>
      </c>
      <c r="L396" s="16" t="n">
        <f aca="false">H396*J396</f>
        <v>24</v>
      </c>
      <c r="M396" s="16" t="n">
        <f aca="false">K396-L396</f>
        <v>39.84</v>
      </c>
      <c r="N396" s="17" t="n">
        <f aca="false">IFERROR(M396/K396,0)</f>
        <v>0.62406015037594</v>
      </c>
    </row>
    <row r="397" customFormat="false" ht="15" hidden="false" customHeight="false" outlineLevel="0" collapsed="false">
      <c r="A397" s="15" t="n">
        <v>46040</v>
      </c>
      <c r="B397" s="14" t="s">
        <v>69</v>
      </c>
      <c r="C397" s="14" t="s">
        <v>70</v>
      </c>
      <c r="D397" s="14" t="s">
        <v>71</v>
      </c>
      <c r="E397" s="14" t="s">
        <v>56</v>
      </c>
      <c r="F397" s="14" t="s">
        <v>86</v>
      </c>
      <c r="G397" s="14" t="s">
        <v>87</v>
      </c>
      <c r="H397" s="0" t="n">
        <v>3</v>
      </c>
      <c r="I397" s="16" t="n">
        <v>14.59</v>
      </c>
      <c r="J397" s="16" t="n">
        <v>5</v>
      </c>
      <c r="K397" s="16" t="n">
        <f aca="false">H397*I397</f>
        <v>43.77</v>
      </c>
      <c r="L397" s="16" t="n">
        <f aca="false">H397*J397</f>
        <v>15</v>
      </c>
      <c r="M397" s="16" t="n">
        <f aca="false">K397-L397</f>
        <v>28.77</v>
      </c>
      <c r="N397" s="17" t="n">
        <f aca="false">IFERROR(M397/K397,0)</f>
        <v>0.657299520219328</v>
      </c>
    </row>
    <row r="398" customFormat="false" ht="15" hidden="false" customHeight="false" outlineLevel="0" collapsed="false">
      <c r="A398" s="15" t="n">
        <v>46040</v>
      </c>
      <c r="B398" s="14" t="s">
        <v>69</v>
      </c>
      <c r="C398" s="14" t="s">
        <v>70</v>
      </c>
      <c r="D398" s="14" t="s">
        <v>71</v>
      </c>
      <c r="E398" s="14" t="s">
        <v>56</v>
      </c>
      <c r="F398" s="14" t="s">
        <v>67</v>
      </c>
      <c r="G398" s="14" t="s">
        <v>68</v>
      </c>
      <c r="H398" s="0" t="n">
        <v>1</v>
      </c>
      <c r="I398" s="16" t="n">
        <v>37.47</v>
      </c>
      <c r="J398" s="16" t="n">
        <v>15</v>
      </c>
      <c r="K398" s="16" t="n">
        <f aca="false">H398*I398</f>
        <v>37.47</v>
      </c>
      <c r="L398" s="16" t="n">
        <f aca="false">H398*J398</f>
        <v>15</v>
      </c>
      <c r="M398" s="16" t="n">
        <f aca="false">K398-L398</f>
        <v>22.47</v>
      </c>
      <c r="N398" s="17" t="n">
        <f aca="false">IFERROR(M398/K398,0)</f>
        <v>0.599679743795036</v>
      </c>
    </row>
    <row r="399" customFormat="false" ht="15" hidden="false" customHeight="false" outlineLevel="0" collapsed="false">
      <c r="A399" s="15" t="n">
        <v>46040</v>
      </c>
      <c r="B399" s="14" t="s">
        <v>69</v>
      </c>
      <c r="C399" s="14" t="s">
        <v>70</v>
      </c>
      <c r="D399" s="14" t="s">
        <v>71</v>
      </c>
      <c r="E399" s="14" t="s">
        <v>45</v>
      </c>
      <c r="F399" s="14" t="s">
        <v>48</v>
      </c>
      <c r="G399" s="14" t="s">
        <v>49</v>
      </c>
      <c r="H399" s="0" t="n">
        <v>1</v>
      </c>
      <c r="I399" s="16" t="n">
        <v>67.72</v>
      </c>
      <c r="J399" s="16" t="n">
        <v>27.5</v>
      </c>
      <c r="K399" s="16" t="n">
        <f aca="false">H399*I399</f>
        <v>67.72</v>
      </c>
      <c r="L399" s="16" t="n">
        <f aca="false">H399*J399</f>
        <v>27.5</v>
      </c>
      <c r="M399" s="16" t="n">
        <f aca="false">K399-L399</f>
        <v>40.22</v>
      </c>
      <c r="N399" s="17" t="n">
        <f aca="false">IFERROR(M399/K399,0)</f>
        <v>0.5939161252215</v>
      </c>
    </row>
    <row r="400" customFormat="false" ht="15" hidden="false" customHeight="false" outlineLevel="0" collapsed="false">
      <c r="A400" s="15" t="n">
        <v>46040</v>
      </c>
      <c r="B400" s="14" t="s">
        <v>69</v>
      </c>
      <c r="C400" s="14" t="s">
        <v>70</v>
      </c>
      <c r="D400" s="14" t="s">
        <v>71</v>
      </c>
      <c r="E400" s="14" t="s">
        <v>56</v>
      </c>
      <c r="F400" s="14" t="s">
        <v>67</v>
      </c>
      <c r="G400" s="14" t="s">
        <v>68</v>
      </c>
      <c r="H400" s="0" t="n">
        <v>4</v>
      </c>
      <c r="I400" s="16" t="n">
        <v>37.29</v>
      </c>
      <c r="J400" s="16" t="n">
        <v>15</v>
      </c>
      <c r="K400" s="16" t="n">
        <f aca="false">H400*I400</f>
        <v>149.16</v>
      </c>
      <c r="L400" s="16" t="n">
        <f aca="false">H400*J400</f>
        <v>60</v>
      </c>
      <c r="M400" s="16" t="n">
        <f aca="false">K400-L400</f>
        <v>89.16</v>
      </c>
      <c r="N400" s="17" t="n">
        <f aca="false">IFERROR(M400/K400,0)</f>
        <v>0.597747385358005</v>
      </c>
    </row>
    <row r="401" customFormat="false" ht="15" hidden="false" customHeight="false" outlineLevel="0" collapsed="false">
      <c r="A401" s="15" t="n">
        <v>46040</v>
      </c>
      <c r="B401" s="14" t="s">
        <v>69</v>
      </c>
      <c r="C401" s="14" t="s">
        <v>70</v>
      </c>
      <c r="D401" s="14" t="s">
        <v>71</v>
      </c>
      <c r="E401" s="14" t="s">
        <v>64</v>
      </c>
      <c r="F401" s="14" t="s">
        <v>65</v>
      </c>
      <c r="G401" s="14" t="s">
        <v>66</v>
      </c>
      <c r="H401" s="0" t="n">
        <v>11</v>
      </c>
      <c r="I401" s="16" t="n">
        <v>78.3</v>
      </c>
      <c r="J401" s="16" t="n">
        <v>34</v>
      </c>
      <c r="K401" s="16" t="n">
        <f aca="false">H401*I401</f>
        <v>861.3</v>
      </c>
      <c r="L401" s="16" t="n">
        <f aca="false">H401*J401</f>
        <v>374</v>
      </c>
      <c r="M401" s="16" t="n">
        <f aca="false">K401-L401</f>
        <v>487.3</v>
      </c>
      <c r="N401" s="17" t="n">
        <f aca="false">IFERROR(M401/K401,0)</f>
        <v>0.565772669220945</v>
      </c>
    </row>
    <row r="402" customFormat="false" ht="15" hidden="false" customHeight="false" outlineLevel="0" collapsed="false">
      <c r="A402" s="15" t="n">
        <v>46040</v>
      </c>
      <c r="B402" s="14" t="s">
        <v>81</v>
      </c>
      <c r="C402" s="14" t="s">
        <v>82</v>
      </c>
      <c r="D402" s="14" t="s">
        <v>83</v>
      </c>
      <c r="E402" s="14" t="s">
        <v>76</v>
      </c>
      <c r="F402" s="14" t="s">
        <v>102</v>
      </c>
      <c r="G402" s="14" t="s">
        <v>103</v>
      </c>
      <c r="H402" s="0" t="n">
        <v>8</v>
      </c>
      <c r="I402" s="16" t="n">
        <v>22.55</v>
      </c>
      <c r="J402" s="16" t="n">
        <v>8.5</v>
      </c>
      <c r="K402" s="16" t="n">
        <f aca="false">H402*I402</f>
        <v>180.4</v>
      </c>
      <c r="L402" s="16" t="n">
        <f aca="false">H402*J402</f>
        <v>68</v>
      </c>
      <c r="M402" s="16" t="n">
        <f aca="false">K402-L402</f>
        <v>112.4</v>
      </c>
      <c r="N402" s="17" t="n">
        <f aca="false">IFERROR(M402/K402,0)</f>
        <v>0.623059866962306</v>
      </c>
    </row>
    <row r="403" customFormat="false" ht="15" hidden="false" customHeight="false" outlineLevel="0" collapsed="false">
      <c r="A403" s="15" t="n">
        <v>46040</v>
      </c>
      <c r="B403" s="14" t="s">
        <v>81</v>
      </c>
      <c r="C403" s="14" t="s">
        <v>82</v>
      </c>
      <c r="D403" s="14" t="s">
        <v>83</v>
      </c>
      <c r="E403" s="14" t="s">
        <v>64</v>
      </c>
      <c r="F403" s="14" t="s">
        <v>94</v>
      </c>
      <c r="G403" s="14" t="s">
        <v>95</v>
      </c>
      <c r="H403" s="0" t="n">
        <v>10</v>
      </c>
      <c r="I403" s="16" t="n">
        <v>91.66</v>
      </c>
      <c r="J403" s="16" t="n">
        <v>42</v>
      </c>
      <c r="K403" s="16" t="n">
        <f aca="false">H403*I403</f>
        <v>916.6</v>
      </c>
      <c r="L403" s="16" t="n">
        <f aca="false">H403*J403</f>
        <v>420</v>
      </c>
      <c r="M403" s="16" t="n">
        <f aca="false">K403-L403</f>
        <v>496.6</v>
      </c>
      <c r="N403" s="17" t="n">
        <f aca="false">IFERROR(M403/K403,0)</f>
        <v>0.541784857080515</v>
      </c>
    </row>
    <row r="404" customFormat="false" ht="15" hidden="false" customHeight="false" outlineLevel="0" collapsed="false">
      <c r="A404" s="15" t="n">
        <v>46040</v>
      </c>
      <c r="B404" s="14" t="s">
        <v>81</v>
      </c>
      <c r="C404" s="14" t="s">
        <v>82</v>
      </c>
      <c r="D404" s="14" t="s">
        <v>83</v>
      </c>
      <c r="E404" s="14" t="s">
        <v>45</v>
      </c>
      <c r="F404" s="14" t="s">
        <v>62</v>
      </c>
      <c r="G404" s="14" t="s">
        <v>63</v>
      </c>
      <c r="H404" s="0" t="n">
        <v>8</v>
      </c>
      <c r="I404" s="16" t="n">
        <v>17.16</v>
      </c>
      <c r="J404" s="16" t="n">
        <v>6.5</v>
      </c>
      <c r="K404" s="16" t="n">
        <f aca="false">H404*I404</f>
        <v>137.28</v>
      </c>
      <c r="L404" s="16" t="n">
        <f aca="false">H404*J404</f>
        <v>52</v>
      </c>
      <c r="M404" s="16" t="n">
        <f aca="false">K404-L404</f>
        <v>85.28</v>
      </c>
      <c r="N404" s="17" t="n">
        <f aca="false">IFERROR(M404/K404,0)</f>
        <v>0.621212121212121</v>
      </c>
    </row>
    <row r="405" customFormat="false" ht="15" hidden="false" customHeight="false" outlineLevel="0" collapsed="false">
      <c r="A405" s="15" t="n">
        <v>46040</v>
      </c>
      <c r="B405" s="14" t="s">
        <v>81</v>
      </c>
      <c r="C405" s="14" t="s">
        <v>82</v>
      </c>
      <c r="D405" s="14" t="s">
        <v>83</v>
      </c>
      <c r="E405" s="14" t="s">
        <v>64</v>
      </c>
      <c r="F405" s="14" t="s">
        <v>96</v>
      </c>
      <c r="G405" s="14" t="s">
        <v>97</v>
      </c>
      <c r="H405" s="0" t="n">
        <v>7</v>
      </c>
      <c r="I405" s="16" t="n">
        <v>57.14</v>
      </c>
      <c r="J405" s="16" t="n">
        <v>24</v>
      </c>
      <c r="K405" s="16" t="n">
        <f aca="false">H405*I405</f>
        <v>399.98</v>
      </c>
      <c r="L405" s="16" t="n">
        <f aca="false">H405*J405</f>
        <v>168</v>
      </c>
      <c r="M405" s="16" t="n">
        <f aca="false">K405-L405</f>
        <v>231.98</v>
      </c>
      <c r="N405" s="17" t="n">
        <f aca="false">IFERROR(M405/K405,0)</f>
        <v>0.579978998949948</v>
      </c>
    </row>
    <row r="406" customFormat="false" ht="15" hidden="false" customHeight="false" outlineLevel="0" collapsed="false">
      <c r="A406" s="15" t="n">
        <v>46040</v>
      </c>
      <c r="B406" s="14" t="s">
        <v>81</v>
      </c>
      <c r="C406" s="14" t="s">
        <v>82</v>
      </c>
      <c r="D406" s="14" t="s">
        <v>83</v>
      </c>
      <c r="E406" s="14" t="s">
        <v>76</v>
      </c>
      <c r="F406" s="14" t="s">
        <v>102</v>
      </c>
      <c r="G406" s="14" t="s">
        <v>103</v>
      </c>
      <c r="H406" s="0" t="n">
        <v>6</v>
      </c>
      <c r="I406" s="16" t="n">
        <v>23.95</v>
      </c>
      <c r="J406" s="16" t="n">
        <v>8.5</v>
      </c>
      <c r="K406" s="16" t="n">
        <f aca="false">H406*I406</f>
        <v>143.7</v>
      </c>
      <c r="L406" s="16" t="n">
        <f aca="false">H406*J406</f>
        <v>51</v>
      </c>
      <c r="M406" s="16" t="n">
        <f aca="false">K406-L406</f>
        <v>92.7</v>
      </c>
      <c r="N406" s="17" t="n">
        <f aca="false">IFERROR(M406/K406,0)</f>
        <v>0.645093945720251</v>
      </c>
    </row>
    <row r="407" customFormat="false" ht="15" hidden="false" customHeight="false" outlineLevel="0" collapsed="false">
      <c r="A407" s="15" t="n">
        <v>46040</v>
      </c>
      <c r="B407" s="14" t="s">
        <v>81</v>
      </c>
      <c r="C407" s="14" t="s">
        <v>82</v>
      </c>
      <c r="D407" s="14" t="s">
        <v>83</v>
      </c>
      <c r="E407" s="14" t="s">
        <v>53</v>
      </c>
      <c r="F407" s="14" t="s">
        <v>92</v>
      </c>
      <c r="G407" s="14" t="s">
        <v>93</v>
      </c>
      <c r="H407" s="0" t="n">
        <v>2</v>
      </c>
      <c r="I407" s="16" t="n">
        <v>113.46</v>
      </c>
      <c r="J407" s="16" t="n">
        <v>52</v>
      </c>
      <c r="K407" s="16" t="n">
        <f aca="false">H407*I407</f>
        <v>226.92</v>
      </c>
      <c r="L407" s="16" t="n">
        <f aca="false">H407*J407</f>
        <v>104</v>
      </c>
      <c r="M407" s="16" t="n">
        <f aca="false">K407-L407</f>
        <v>122.92</v>
      </c>
      <c r="N407" s="17" t="n">
        <f aca="false">IFERROR(M407/K407,0)</f>
        <v>0.541688700863741</v>
      </c>
    </row>
    <row r="408" customFormat="false" ht="15" hidden="false" customHeight="false" outlineLevel="0" collapsed="false">
      <c r="A408" s="15" t="n">
        <v>46040</v>
      </c>
      <c r="B408" s="14" t="s">
        <v>88</v>
      </c>
      <c r="C408" s="14" t="s">
        <v>89</v>
      </c>
      <c r="D408" s="14" t="s">
        <v>44</v>
      </c>
      <c r="E408" s="14" t="s">
        <v>45</v>
      </c>
      <c r="F408" s="14" t="s">
        <v>46</v>
      </c>
      <c r="G408" s="14" t="s">
        <v>47</v>
      </c>
      <c r="H408" s="0" t="n">
        <v>10</v>
      </c>
      <c r="I408" s="16" t="n">
        <v>42.29</v>
      </c>
      <c r="J408" s="16" t="n">
        <v>18</v>
      </c>
      <c r="K408" s="16" t="n">
        <f aca="false">H408*I408</f>
        <v>422.9</v>
      </c>
      <c r="L408" s="16" t="n">
        <f aca="false">H408*J408</f>
        <v>180</v>
      </c>
      <c r="M408" s="16" t="n">
        <f aca="false">K408-L408</f>
        <v>242.9</v>
      </c>
      <c r="N408" s="17" t="n">
        <f aca="false">IFERROR(M408/K408,0)</f>
        <v>0.574367462757153</v>
      </c>
    </row>
    <row r="409" customFormat="false" ht="15" hidden="false" customHeight="false" outlineLevel="0" collapsed="false">
      <c r="A409" s="15" t="n">
        <v>46040</v>
      </c>
      <c r="B409" s="14" t="s">
        <v>88</v>
      </c>
      <c r="C409" s="14" t="s">
        <v>89</v>
      </c>
      <c r="D409" s="14" t="s">
        <v>44</v>
      </c>
      <c r="E409" s="14" t="s">
        <v>45</v>
      </c>
      <c r="F409" s="14" t="s">
        <v>48</v>
      </c>
      <c r="G409" s="14" t="s">
        <v>49</v>
      </c>
      <c r="H409" s="0" t="n">
        <v>7</v>
      </c>
      <c r="I409" s="16" t="n">
        <v>67.7</v>
      </c>
      <c r="J409" s="16" t="n">
        <v>27.5</v>
      </c>
      <c r="K409" s="16" t="n">
        <f aca="false">H409*I409</f>
        <v>473.9</v>
      </c>
      <c r="L409" s="16" t="n">
        <f aca="false">H409*J409</f>
        <v>192.5</v>
      </c>
      <c r="M409" s="16" t="n">
        <f aca="false">K409-L409</f>
        <v>281.4</v>
      </c>
      <c r="N409" s="17" t="n">
        <f aca="false">IFERROR(M409/K409,0)</f>
        <v>0.593796159527327</v>
      </c>
    </row>
    <row r="410" customFormat="false" ht="15" hidden="false" customHeight="false" outlineLevel="0" collapsed="false">
      <c r="A410" s="15" t="n">
        <v>46040</v>
      </c>
      <c r="B410" s="14" t="s">
        <v>88</v>
      </c>
      <c r="C410" s="14" t="s">
        <v>89</v>
      </c>
      <c r="D410" s="14" t="s">
        <v>44</v>
      </c>
      <c r="E410" s="14" t="s">
        <v>56</v>
      </c>
      <c r="F410" s="14" t="s">
        <v>57</v>
      </c>
      <c r="G410" s="14" t="s">
        <v>58</v>
      </c>
      <c r="H410" s="0" t="n">
        <v>5</v>
      </c>
      <c r="I410" s="16" t="n">
        <v>26.92</v>
      </c>
      <c r="J410" s="16" t="n">
        <v>10</v>
      </c>
      <c r="K410" s="16" t="n">
        <f aca="false">H410*I410</f>
        <v>134.6</v>
      </c>
      <c r="L410" s="16" t="n">
        <f aca="false">H410*J410</f>
        <v>50</v>
      </c>
      <c r="M410" s="16" t="n">
        <f aca="false">K410-L410</f>
        <v>84.6</v>
      </c>
      <c r="N410" s="17" t="n">
        <f aca="false">IFERROR(M410/K410,0)</f>
        <v>0.62852897473997</v>
      </c>
    </row>
    <row r="411" customFormat="false" ht="15" hidden="false" customHeight="false" outlineLevel="0" collapsed="false">
      <c r="A411" s="15" t="n">
        <v>46040</v>
      </c>
      <c r="B411" s="14" t="s">
        <v>88</v>
      </c>
      <c r="C411" s="14" t="s">
        <v>89</v>
      </c>
      <c r="D411" s="14" t="s">
        <v>44</v>
      </c>
      <c r="E411" s="14" t="s">
        <v>53</v>
      </c>
      <c r="F411" s="14" t="s">
        <v>92</v>
      </c>
      <c r="G411" s="14" t="s">
        <v>93</v>
      </c>
      <c r="H411" s="0" t="n">
        <v>7</v>
      </c>
      <c r="I411" s="16" t="n">
        <v>112.22</v>
      </c>
      <c r="J411" s="16" t="n">
        <v>52</v>
      </c>
      <c r="K411" s="16" t="n">
        <f aca="false">H411*I411</f>
        <v>785.54</v>
      </c>
      <c r="L411" s="16" t="n">
        <f aca="false">H411*J411</f>
        <v>364</v>
      </c>
      <c r="M411" s="16" t="n">
        <f aca="false">K411-L411</f>
        <v>421.54</v>
      </c>
      <c r="N411" s="17" t="n">
        <f aca="false">IFERROR(M411/K411,0)</f>
        <v>0.536624487613616</v>
      </c>
    </row>
    <row r="412" customFormat="false" ht="15" hidden="false" customHeight="false" outlineLevel="0" collapsed="false">
      <c r="A412" s="15" t="n">
        <v>46040</v>
      </c>
      <c r="B412" s="14" t="s">
        <v>88</v>
      </c>
      <c r="C412" s="14" t="s">
        <v>89</v>
      </c>
      <c r="D412" s="14" t="s">
        <v>44</v>
      </c>
      <c r="E412" s="14" t="s">
        <v>53</v>
      </c>
      <c r="F412" s="14" t="s">
        <v>84</v>
      </c>
      <c r="G412" s="14" t="s">
        <v>85</v>
      </c>
      <c r="H412" s="0" t="n">
        <v>9</v>
      </c>
      <c r="I412" s="16" t="n">
        <v>24</v>
      </c>
      <c r="J412" s="16" t="n">
        <v>9</v>
      </c>
      <c r="K412" s="16" t="n">
        <f aca="false">H412*I412</f>
        <v>216</v>
      </c>
      <c r="L412" s="16" t="n">
        <f aca="false">H412*J412</f>
        <v>81</v>
      </c>
      <c r="M412" s="16" t="n">
        <f aca="false">K412-L412</f>
        <v>135</v>
      </c>
      <c r="N412" s="17" t="n">
        <f aca="false">IFERROR(M412/K412,0)</f>
        <v>0.625</v>
      </c>
    </row>
    <row r="413" customFormat="false" ht="15" hidden="false" customHeight="false" outlineLevel="0" collapsed="false">
      <c r="A413" s="15" t="n">
        <v>46041</v>
      </c>
      <c r="B413" s="14" t="s">
        <v>42</v>
      </c>
      <c r="C413" s="14" t="s">
        <v>43</v>
      </c>
      <c r="D413" s="14" t="s">
        <v>44</v>
      </c>
      <c r="E413" s="14" t="s">
        <v>64</v>
      </c>
      <c r="F413" s="14" t="s">
        <v>65</v>
      </c>
      <c r="G413" s="14" t="s">
        <v>66</v>
      </c>
      <c r="H413" s="0" t="n">
        <v>3</v>
      </c>
      <c r="I413" s="16" t="n">
        <v>78.65</v>
      </c>
      <c r="J413" s="16" t="n">
        <v>34</v>
      </c>
      <c r="K413" s="16" t="n">
        <f aca="false">H413*I413</f>
        <v>235.95</v>
      </c>
      <c r="L413" s="16" t="n">
        <f aca="false">H413*J413</f>
        <v>102</v>
      </c>
      <c r="M413" s="16" t="n">
        <f aca="false">K413-L413</f>
        <v>133.95</v>
      </c>
      <c r="N413" s="17" t="n">
        <f aca="false">IFERROR(M413/K413,0)</f>
        <v>0.567705022250477</v>
      </c>
    </row>
    <row r="414" customFormat="false" ht="15" hidden="false" customHeight="false" outlineLevel="0" collapsed="false">
      <c r="A414" s="15" t="n">
        <v>46041</v>
      </c>
      <c r="B414" s="14" t="s">
        <v>42</v>
      </c>
      <c r="C414" s="14" t="s">
        <v>43</v>
      </c>
      <c r="D414" s="14" t="s">
        <v>44</v>
      </c>
      <c r="E414" s="14" t="s">
        <v>56</v>
      </c>
      <c r="F414" s="14" t="s">
        <v>57</v>
      </c>
      <c r="G414" s="14" t="s">
        <v>58</v>
      </c>
      <c r="H414" s="0" t="n">
        <v>5</v>
      </c>
      <c r="I414" s="16" t="n">
        <v>25.3</v>
      </c>
      <c r="J414" s="16" t="n">
        <v>10</v>
      </c>
      <c r="K414" s="16" t="n">
        <f aca="false">H414*I414</f>
        <v>126.5</v>
      </c>
      <c r="L414" s="16" t="n">
        <f aca="false">H414*J414</f>
        <v>50</v>
      </c>
      <c r="M414" s="16" t="n">
        <f aca="false">K414-L414</f>
        <v>76.5</v>
      </c>
      <c r="N414" s="17" t="n">
        <f aca="false">IFERROR(M414/K414,0)</f>
        <v>0.604743083003953</v>
      </c>
    </row>
    <row r="415" customFormat="false" ht="15" hidden="false" customHeight="false" outlineLevel="0" collapsed="false">
      <c r="A415" s="15" t="n">
        <v>46041</v>
      </c>
      <c r="B415" s="14" t="s">
        <v>42</v>
      </c>
      <c r="C415" s="14" t="s">
        <v>43</v>
      </c>
      <c r="D415" s="14" t="s">
        <v>44</v>
      </c>
      <c r="E415" s="14" t="s">
        <v>76</v>
      </c>
      <c r="F415" s="14" t="s">
        <v>79</v>
      </c>
      <c r="G415" s="14" t="s">
        <v>80</v>
      </c>
      <c r="H415" s="0" t="n">
        <v>1</v>
      </c>
      <c r="I415" s="16" t="n">
        <v>28.28</v>
      </c>
      <c r="J415" s="16" t="n">
        <v>11</v>
      </c>
      <c r="K415" s="16" t="n">
        <f aca="false">H415*I415</f>
        <v>28.28</v>
      </c>
      <c r="L415" s="16" t="n">
        <f aca="false">H415*J415</f>
        <v>11</v>
      </c>
      <c r="M415" s="16" t="n">
        <f aca="false">K415-L415</f>
        <v>17.28</v>
      </c>
      <c r="N415" s="17" t="n">
        <f aca="false">IFERROR(M415/K415,0)</f>
        <v>0.611032531824611</v>
      </c>
    </row>
    <row r="416" customFormat="false" ht="15" hidden="false" customHeight="false" outlineLevel="0" collapsed="false">
      <c r="A416" s="15" t="n">
        <v>46041</v>
      </c>
      <c r="B416" s="14" t="s">
        <v>42</v>
      </c>
      <c r="C416" s="14" t="s">
        <v>43</v>
      </c>
      <c r="D416" s="14" t="s">
        <v>44</v>
      </c>
      <c r="E416" s="14" t="s">
        <v>56</v>
      </c>
      <c r="F416" s="14" t="s">
        <v>57</v>
      </c>
      <c r="G416" s="14" t="s">
        <v>58</v>
      </c>
      <c r="H416" s="0" t="n">
        <v>6</v>
      </c>
      <c r="I416" s="16" t="n">
        <v>26</v>
      </c>
      <c r="J416" s="16" t="n">
        <v>10</v>
      </c>
      <c r="K416" s="16" t="n">
        <f aca="false">H416*I416</f>
        <v>156</v>
      </c>
      <c r="L416" s="16" t="n">
        <f aca="false">H416*J416</f>
        <v>60</v>
      </c>
      <c r="M416" s="16" t="n">
        <f aca="false">K416-L416</f>
        <v>96</v>
      </c>
      <c r="N416" s="17" t="n">
        <f aca="false">IFERROR(M416/K416,0)</f>
        <v>0.615384615384615</v>
      </c>
    </row>
    <row r="417" customFormat="false" ht="15" hidden="false" customHeight="false" outlineLevel="0" collapsed="false">
      <c r="A417" s="15" t="n">
        <v>46041</v>
      </c>
      <c r="B417" s="14" t="s">
        <v>50</v>
      </c>
      <c r="C417" s="14" t="s">
        <v>51</v>
      </c>
      <c r="D417" s="14" t="s">
        <v>52</v>
      </c>
      <c r="E417" s="14" t="s">
        <v>64</v>
      </c>
      <c r="F417" s="14" t="s">
        <v>96</v>
      </c>
      <c r="G417" s="14" t="s">
        <v>97</v>
      </c>
      <c r="H417" s="0" t="n">
        <v>7</v>
      </c>
      <c r="I417" s="16" t="n">
        <v>57.71</v>
      </c>
      <c r="J417" s="16" t="n">
        <v>24</v>
      </c>
      <c r="K417" s="16" t="n">
        <f aca="false">H417*I417</f>
        <v>403.97</v>
      </c>
      <c r="L417" s="16" t="n">
        <f aca="false">H417*J417</f>
        <v>168</v>
      </c>
      <c r="M417" s="16" t="n">
        <f aca="false">K417-L417</f>
        <v>235.97</v>
      </c>
      <c r="N417" s="17" t="n">
        <f aca="false">IFERROR(M417/K417,0)</f>
        <v>0.584127534222838</v>
      </c>
    </row>
    <row r="418" customFormat="false" ht="15" hidden="false" customHeight="false" outlineLevel="0" collapsed="false">
      <c r="A418" s="15" t="n">
        <v>46041</v>
      </c>
      <c r="B418" s="14" t="s">
        <v>50</v>
      </c>
      <c r="C418" s="14" t="s">
        <v>51</v>
      </c>
      <c r="D418" s="14" t="s">
        <v>52</v>
      </c>
      <c r="E418" s="14" t="s">
        <v>64</v>
      </c>
      <c r="F418" s="14" t="s">
        <v>94</v>
      </c>
      <c r="G418" s="14" t="s">
        <v>95</v>
      </c>
      <c r="H418" s="0" t="n">
        <v>1</v>
      </c>
      <c r="I418" s="16" t="n">
        <v>94.25</v>
      </c>
      <c r="J418" s="16" t="n">
        <v>42</v>
      </c>
      <c r="K418" s="16" t="n">
        <f aca="false">H418*I418</f>
        <v>94.25</v>
      </c>
      <c r="L418" s="16" t="n">
        <f aca="false">H418*J418</f>
        <v>42</v>
      </c>
      <c r="M418" s="16" t="n">
        <f aca="false">K418-L418</f>
        <v>52.25</v>
      </c>
      <c r="N418" s="17" t="n">
        <f aca="false">IFERROR(M418/K418,0)</f>
        <v>0.554376657824934</v>
      </c>
    </row>
    <row r="419" customFormat="false" ht="15" hidden="false" customHeight="false" outlineLevel="0" collapsed="false">
      <c r="A419" s="15" t="n">
        <v>46041</v>
      </c>
      <c r="B419" s="14" t="s">
        <v>59</v>
      </c>
      <c r="C419" s="14" t="s">
        <v>60</v>
      </c>
      <c r="D419" s="14" t="s">
        <v>61</v>
      </c>
      <c r="E419" s="14" t="s">
        <v>56</v>
      </c>
      <c r="F419" s="14" t="s">
        <v>86</v>
      </c>
      <c r="G419" s="14" t="s">
        <v>87</v>
      </c>
      <c r="H419" s="0" t="n">
        <v>5</v>
      </c>
      <c r="I419" s="16" t="n">
        <v>14.46</v>
      </c>
      <c r="J419" s="16" t="n">
        <v>5</v>
      </c>
      <c r="K419" s="16" t="n">
        <f aca="false">H419*I419</f>
        <v>72.3</v>
      </c>
      <c r="L419" s="16" t="n">
        <f aca="false">H419*J419</f>
        <v>25</v>
      </c>
      <c r="M419" s="16" t="n">
        <f aca="false">K419-L419</f>
        <v>47.3</v>
      </c>
      <c r="N419" s="17" t="n">
        <f aca="false">IFERROR(M419/K419,0)</f>
        <v>0.654218533886584</v>
      </c>
    </row>
    <row r="420" customFormat="false" ht="15" hidden="false" customHeight="false" outlineLevel="0" collapsed="false">
      <c r="A420" s="15" t="n">
        <v>46041</v>
      </c>
      <c r="B420" s="14" t="s">
        <v>59</v>
      </c>
      <c r="C420" s="14" t="s">
        <v>60</v>
      </c>
      <c r="D420" s="14" t="s">
        <v>61</v>
      </c>
      <c r="E420" s="14" t="s">
        <v>45</v>
      </c>
      <c r="F420" s="14" t="s">
        <v>72</v>
      </c>
      <c r="G420" s="14" t="s">
        <v>73</v>
      </c>
      <c r="H420" s="0" t="n">
        <v>7</v>
      </c>
      <c r="I420" s="16" t="n">
        <v>51.02</v>
      </c>
      <c r="J420" s="16" t="n">
        <v>21</v>
      </c>
      <c r="K420" s="16" t="n">
        <f aca="false">H420*I420</f>
        <v>357.14</v>
      </c>
      <c r="L420" s="16" t="n">
        <f aca="false">H420*J420</f>
        <v>147</v>
      </c>
      <c r="M420" s="16" t="n">
        <f aca="false">K420-L420</f>
        <v>210.14</v>
      </c>
      <c r="N420" s="17" t="n">
        <f aca="false">IFERROR(M420/K420,0)</f>
        <v>0.588396707173657</v>
      </c>
    </row>
    <row r="421" customFormat="false" ht="15" hidden="false" customHeight="false" outlineLevel="0" collapsed="false">
      <c r="A421" s="15" t="n">
        <v>46041</v>
      </c>
      <c r="B421" s="14" t="s">
        <v>59</v>
      </c>
      <c r="C421" s="14" t="s">
        <v>60</v>
      </c>
      <c r="D421" s="14" t="s">
        <v>61</v>
      </c>
      <c r="E421" s="14" t="s">
        <v>76</v>
      </c>
      <c r="F421" s="14" t="s">
        <v>79</v>
      </c>
      <c r="G421" s="14" t="s">
        <v>80</v>
      </c>
      <c r="H421" s="0" t="n">
        <v>3</v>
      </c>
      <c r="I421" s="16" t="n">
        <v>29.94</v>
      </c>
      <c r="J421" s="16" t="n">
        <v>11</v>
      </c>
      <c r="K421" s="16" t="n">
        <f aca="false">H421*I421</f>
        <v>89.82</v>
      </c>
      <c r="L421" s="16" t="n">
        <f aca="false">H421*J421</f>
        <v>33</v>
      </c>
      <c r="M421" s="16" t="n">
        <f aca="false">K421-L421</f>
        <v>56.82</v>
      </c>
      <c r="N421" s="17" t="n">
        <f aca="false">IFERROR(M421/K421,0)</f>
        <v>0.632598530394122</v>
      </c>
    </row>
    <row r="422" customFormat="false" ht="15" hidden="false" customHeight="false" outlineLevel="0" collapsed="false">
      <c r="A422" s="15" t="n">
        <v>46041</v>
      </c>
      <c r="B422" s="14" t="s">
        <v>59</v>
      </c>
      <c r="C422" s="14" t="s">
        <v>60</v>
      </c>
      <c r="D422" s="14" t="s">
        <v>61</v>
      </c>
      <c r="E422" s="14" t="s">
        <v>64</v>
      </c>
      <c r="F422" s="14" t="s">
        <v>94</v>
      </c>
      <c r="G422" s="14" t="s">
        <v>95</v>
      </c>
      <c r="H422" s="0" t="n">
        <v>7</v>
      </c>
      <c r="I422" s="16" t="n">
        <v>95.5</v>
      </c>
      <c r="J422" s="16" t="n">
        <v>42</v>
      </c>
      <c r="K422" s="16" t="n">
        <f aca="false">H422*I422</f>
        <v>668.5</v>
      </c>
      <c r="L422" s="16" t="n">
        <f aca="false">H422*J422</f>
        <v>294</v>
      </c>
      <c r="M422" s="16" t="n">
        <f aca="false">K422-L422</f>
        <v>374.5</v>
      </c>
      <c r="N422" s="17" t="n">
        <f aca="false">IFERROR(M422/K422,0)</f>
        <v>0.56020942408377</v>
      </c>
    </row>
    <row r="423" customFormat="false" ht="15" hidden="false" customHeight="false" outlineLevel="0" collapsed="false">
      <c r="A423" s="15" t="n">
        <v>46041</v>
      </c>
      <c r="B423" s="14" t="s">
        <v>59</v>
      </c>
      <c r="C423" s="14" t="s">
        <v>60</v>
      </c>
      <c r="D423" s="14" t="s">
        <v>61</v>
      </c>
      <c r="E423" s="14" t="s">
        <v>76</v>
      </c>
      <c r="F423" s="14" t="s">
        <v>77</v>
      </c>
      <c r="G423" s="14" t="s">
        <v>78</v>
      </c>
      <c r="H423" s="0" t="n">
        <v>4</v>
      </c>
      <c r="I423" s="16" t="n">
        <v>40.66</v>
      </c>
      <c r="J423" s="16" t="n">
        <v>15</v>
      </c>
      <c r="K423" s="16" t="n">
        <f aca="false">H423*I423</f>
        <v>162.64</v>
      </c>
      <c r="L423" s="16" t="n">
        <f aca="false">H423*J423</f>
        <v>60</v>
      </c>
      <c r="M423" s="16" t="n">
        <f aca="false">K423-L423</f>
        <v>102.64</v>
      </c>
      <c r="N423" s="17" t="n">
        <f aca="false">IFERROR(M423/K423,0)</f>
        <v>0.631087063453025</v>
      </c>
    </row>
    <row r="424" customFormat="false" ht="15" hidden="false" customHeight="false" outlineLevel="0" collapsed="false">
      <c r="A424" s="15" t="n">
        <v>46041</v>
      </c>
      <c r="B424" s="14" t="s">
        <v>59</v>
      </c>
      <c r="C424" s="14" t="s">
        <v>60</v>
      </c>
      <c r="D424" s="14" t="s">
        <v>61</v>
      </c>
      <c r="E424" s="14" t="s">
        <v>64</v>
      </c>
      <c r="F424" s="14" t="s">
        <v>65</v>
      </c>
      <c r="G424" s="14" t="s">
        <v>66</v>
      </c>
      <c r="H424" s="0" t="n">
        <v>1</v>
      </c>
      <c r="I424" s="16" t="n">
        <v>72.93</v>
      </c>
      <c r="J424" s="16" t="n">
        <v>34</v>
      </c>
      <c r="K424" s="16" t="n">
        <f aca="false">H424*I424</f>
        <v>72.93</v>
      </c>
      <c r="L424" s="16" t="n">
        <f aca="false">H424*J424</f>
        <v>34</v>
      </c>
      <c r="M424" s="16" t="n">
        <f aca="false">K424-L424</f>
        <v>38.93</v>
      </c>
      <c r="N424" s="17" t="n">
        <f aca="false">IFERROR(M424/K424,0)</f>
        <v>0.533799533799534</v>
      </c>
    </row>
    <row r="425" customFormat="false" ht="15" hidden="false" customHeight="false" outlineLevel="0" collapsed="false">
      <c r="A425" s="15" t="n">
        <v>46041</v>
      </c>
      <c r="B425" s="14" t="s">
        <v>69</v>
      </c>
      <c r="C425" s="14" t="s">
        <v>70</v>
      </c>
      <c r="D425" s="14" t="s">
        <v>71</v>
      </c>
      <c r="E425" s="14" t="s">
        <v>64</v>
      </c>
      <c r="F425" s="14" t="s">
        <v>90</v>
      </c>
      <c r="G425" s="14" t="s">
        <v>91</v>
      </c>
      <c r="H425" s="0" t="n">
        <v>3</v>
      </c>
      <c r="I425" s="16" t="n">
        <v>11.62</v>
      </c>
      <c r="J425" s="16" t="n">
        <v>3.5</v>
      </c>
      <c r="K425" s="16" t="n">
        <f aca="false">H425*I425</f>
        <v>34.86</v>
      </c>
      <c r="L425" s="16" t="n">
        <f aca="false">H425*J425</f>
        <v>10.5</v>
      </c>
      <c r="M425" s="16" t="n">
        <f aca="false">K425-L425</f>
        <v>24.36</v>
      </c>
      <c r="N425" s="17" t="n">
        <f aca="false">IFERROR(M425/K425,0)</f>
        <v>0.698795180722892</v>
      </c>
    </row>
    <row r="426" customFormat="false" ht="15" hidden="false" customHeight="false" outlineLevel="0" collapsed="false">
      <c r="A426" s="15" t="n">
        <v>46041</v>
      </c>
      <c r="B426" s="14" t="s">
        <v>69</v>
      </c>
      <c r="C426" s="14" t="s">
        <v>70</v>
      </c>
      <c r="D426" s="14" t="s">
        <v>71</v>
      </c>
      <c r="E426" s="14" t="s">
        <v>56</v>
      </c>
      <c r="F426" s="14" t="s">
        <v>86</v>
      </c>
      <c r="G426" s="14" t="s">
        <v>87</v>
      </c>
      <c r="H426" s="0" t="n">
        <v>5</v>
      </c>
      <c r="I426" s="16" t="n">
        <v>14.92</v>
      </c>
      <c r="J426" s="16" t="n">
        <v>5</v>
      </c>
      <c r="K426" s="16" t="n">
        <f aca="false">H426*I426</f>
        <v>74.6</v>
      </c>
      <c r="L426" s="16" t="n">
        <f aca="false">H426*J426</f>
        <v>25</v>
      </c>
      <c r="M426" s="16" t="n">
        <f aca="false">K426-L426</f>
        <v>49.6</v>
      </c>
      <c r="N426" s="17" t="n">
        <f aca="false">IFERROR(M426/K426,0)</f>
        <v>0.664879356568365</v>
      </c>
    </row>
    <row r="427" customFormat="false" ht="15" hidden="false" customHeight="false" outlineLevel="0" collapsed="false">
      <c r="A427" s="15" t="n">
        <v>46041</v>
      </c>
      <c r="B427" s="14" t="s">
        <v>69</v>
      </c>
      <c r="C427" s="14" t="s">
        <v>70</v>
      </c>
      <c r="D427" s="14" t="s">
        <v>71</v>
      </c>
      <c r="E427" s="14" t="s">
        <v>76</v>
      </c>
      <c r="F427" s="14" t="s">
        <v>77</v>
      </c>
      <c r="G427" s="14" t="s">
        <v>78</v>
      </c>
      <c r="H427" s="0" t="n">
        <v>7</v>
      </c>
      <c r="I427" s="16" t="n">
        <v>41.97</v>
      </c>
      <c r="J427" s="16" t="n">
        <v>15</v>
      </c>
      <c r="K427" s="16" t="n">
        <f aca="false">H427*I427</f>
        <v>293.79</v>
      </c>
      <c r="L427" s="16" t="n">
        <f aca="false">H427*J427</f>
        <v>105</v>
      </c>
      <c r="M427" s="16" t="n">
        <f aca="false">K427-L427</f>
        <v>188.79</v>
      </c>
      <c r="N427" s="17" t="n">
        <f aca="false">IFERROR(M427/K427,0)</f>
        <v>0.642601858470336</v>
      </c>
    </row>
    <row r="428" customFormat="false" ht="15" hidden="false" customHeight="false" outlineLevel="0" collapsed="false">
      <c r="A428" s="15" t="n">
        <v>46041</v>
      </c>
      <c r="B428" s="14" t="s">
        <v>69</v>
      </c>
      <c r="C428" s="14" t="s">
        <v>70</v>
      </c>
      <c r="D428" s="14" t="s">
        <v>71</v>
      </c>
      <c r="E428" s="14" t="s">
        <v>76</v>
      </c>
      <c r="F428" s="14" t="s">
        <v>102</v>
      </c>
      <c r="G428" s="14" t="s">
        <v>103</v>
      </c>
      <c r="H428" s="0" t="n">
        <v>7</v>
      </c>
      <c r="I428" s="16" t="n">
        <v>23.44</v>
      </c>
      <c r="J428" s="16" t="n">
        <v>8.5</v>
      </c>
      <c r="K428" s="16" t="n">
        <f aca="false">H428*I428</f>
        <v>164.08</v>
      </c>
      <c r="L428" s="16" t="n">
        <f aca="false">H428*J428</f>
        <v>59.5</v>
      </c>
      <c r="M428" s="16" t="n">
        <f aca="false">K428-L428</f>
        <v>104.58</v>
      </c>
      <c r="N428" s="17" t="n">
        <f aca="false">IFERROR(M428/K428,0)</f>
        <v>0.637372013651877</v>
      </c>
    </row>
    <row r="429" customFormat="false" ht="15" hidden="false" customHeight="false" outlineLevel="0" collapsed="false">
      <c r="A429" s="15" t="n">
        <v>46041</v>
      </c>
      <c r="B429" s="14" t="s">
        <v>81</v>
      </c>
      <c r="C429" s="14" t="s">
        <v>82</v>
      </c>
      <c r="D429" s="14" t="s">
        <v>83</v>
      </c>
      <c r="E429" s="14" t="s">
        <v>64</v>
      </c>
      <c r="F429" s="14" t="s">
        <v>65</v>
      </c>
      <c r="G429" s="14" t="s">
        <v>66</v>
      </c>
      <c r="H429" s="0" t="n">
        <v>6</v>
      </c>
      <c r="I429" s="16" t="n">
        <v>74.77</v>
      </c>
      <c r="J429" s="16" t="n">
        <v>34</v>
      </c>
      <c r="K429" s="16" t="n">
        <f aca="false">H429*I429</f>
        <v>448.62</v>
      </c>
      <c r="L429" s="16" t="n">
        <f aca="false">H429*J429</f>
        <v>204</v>
      </c>
      <c r="M429" s="16" t="n">
        <f aca="false">K429-L429</f>
        <v>244.62</v>
      </c>
      <c r="N429" s="17" t="n">
        <f aca="false">IFERROR(M429/K429,0)</f>
        <v>0.545272167981811</v>
      </c>
    </row>
    <row r="430" customFormat="false" ht="15" hidden="false" customHeight="false" outlineLevel="0" collapsed="false">
      <c r="A430" s="15" t="n">
        <v>46041</v>
      </c>
      <c r="B430" s="14" t="s">
        <v>81</v>
      </c>
      <c r="C430" s="14" t="s">
        <v>82</v>
      </c>
      <c r="D430" s="14" t="s">
        <v>83</v>
      </c>
      <c r="E430" s="14" t="s">
        <v>45</v>
      </c>
      <c r="F430" s="14" t="s">
        <v>72</v>
      </c>
      <c r="G430" s="14" t="s">
        <v>73</v>
      </c>
      <c r="H430" s="0" t="n">
        <v>4</v>
      </c>
      <c r="I430" s="16" t="n">
        <v>51.15</v>
      </c>
      <c r="J430" s="16" t="n">
        <v>21</v>
      </c>
      <c r="K430" s="16" t="n">
        <f aca="false">H430*I430</f>
        <v>204.6</v>
      </c>
      <c r="L430" s="16" t="n">
        <f aca="false">H430*J430</f>
        <v>84</v>
      </c>
      <c r="M430" s="16" t="n">
        <f aca="false">K430-L430</f>
        <v>120.6</v>
      </c>
      <c r="N430" s="17" t="n">
        <f aca="false">IFERROR(M430/K430,0)</f>
        <v>0.589442815249267</v>
      </c>
    </row>
    <row r="431" customFormat="false" ht="15" hidden="false" customHeight="false" outlineLevel="0" collapsed="false">
      <c r="A431" s="15" t="n">
        <v>46041</v>
      </c>
      <c r="B431" s="14" t="s">
        <v>81</v>
      </c>
      <c r="C431" s="14" t="s">
        <v>82</v>
      </c>
      <c r="D431" s="14" t="s">
        <v>83</v>
      </c>
      <c r="E431" s="14" t="s">
        <v>45</v>
      </c>
      <c r="F431" s="14" t="s">
        <v>72</v>
      </c>
      <c r="G431" s="14" t="s">
        <v>73</v>
      </c>
      <c r="H431" s="0" t="n">
        <v>4</v>
      </c>
      <c r="I431" s="16" t="n">
        <v>51.86</v>
      </c>
      <c r="J431" s="16" t="n">
        <v>21</v>
      </c>
      <c r="K431" s="16" t="n">
        <f aca="false">H431*I431</f>
        <v>207.44</v>
      </c>
      <c r="L431" s="16" t="n">
        <f aca="false">H431*J431</f>
        <v>84</v>
      </c>
      <c r="M431" s="16" t="n">
        <f aca="false">K431-L431</f>
        <v>123.44</v>
      </c>
      <c r="N431" s="17" t="n">
        <f aca="false">IFERROR(M431/K431,0)</f>
        <v>0.595063632857694</v>
      </c>
    </row>
    <row r="432" customFormat="false" ht="15" hidden="false" customHeight="false" outlineLevel="0" collapsed="false">
      <c r="A432" s="15" t="n">
        <v>46041</v>
      </c>
      <c r="B432" s="14" t="s">
        <v>81</v>
      </c>
      <c r="C432" s="14" t="s">
        <v>82</v>
      </c>
      <c r="D432" s="14" t="s">
        <v>83</v>
      </c>
      <c r="E432" s="14" t="s">
        <v>56</v>
      </c>
      <c r="F432" s="14" t="s">
        <v>86</v>
      </c>
      <c r="G432" s="14" t="s">
        <v>87</v>
      </c>
      <c r="H432" s="0" t="n">
        <v>1</v>
      </c>
      <c r="I432" s="16" t="n">
        <v>14.5</v>
      </c>
      <c r="J432" s="16" t="n">
        <v>5</v>
      </c>
      <c r="K432" s="16" t="n">
        <f aca="false">H432*I432</f>
        <v>14.5</v>
      </c>
      <c r="L432" s="16" t="n">
        <f aca="false">H432*J432</f>
        <v>5</v>
      </c>
      <c r="M432" s="16" t="n">
        <f aca="false">K432-L432</f>
        <v>9.5</v>
      </c>
      <c r="N432" s="17" t="n">
        <f aca="false">IFERROR(M432/K432,0)</f>
        <v>0.655172413793103</v>
      </c>
    </row>
    <row r="433" customFormat="false" ht="15" hidden="false" customHeight="false" outlineLevel="0" collapsed="false">
      <c r="A433" s="15" t="n">
        <v>46041</v>
      </c>
      <c r="B433" s="14" t="s">
        <v>88</v>
      </c>
      <c r="C433" s="14" t="s">
        <v>89</v>
      </c>
      <c r="D433" s="14" t="s">
        <v>44</v>
      </c>
      <c r="E433" s="14" t="s">
        <v>56</v>
      </c>
      <c r="F433" s="14" t="s">
        <v>57</v>
      </c>
      <c r="G433" s="14" t="s">
        <v>58</v>
      </c>
      <c r="H433" s="0" t="n">
        <v>3</v>
      </c>
      <c r="I433" s="16" t="n">
        <v>26.61</v>
      </c>
      <c r="J433" s="16" t="n">
        <v>10</v>
      </c>
      <c r="K433" s="16" t="n">
        <f aca="false">H433*I433</f>
        <v>79.83</v>
      </c>
      <c r="L433" s="16" t="n">
        <f aca="false">H433*J433</f>
        <v>30</v>
      </c>
      <c r="M433" s="16" t="n">
        <f aca="false">K433-L433</f>
        <v>49.83</v>
      </c>
      <c r="N433" s="17" t="n">
        <f aca="false">IFERROR(M433/K433,0)</f>
        <v>0.624201428034574</v>
      </c>
    </row>
    <row r="434" customFormat="false" ht="15" hidden="false" customHeight="false" outlineLevel="0" collapsed="false">
      <c r="A434" s="15" t="n">
        <v>46041</v>
      </c>
      <c r="B434" s="14" t="s">
        <v>88</v>
      </c>
      <c r="C434" s="14" t="s">
        <v>89</v>
      </c>
      <c r="D434" s="14" t="s">
        <v>44</v>
      </c>
      <c r="E434" s="14" t="s">
        <v>53</v>
      </c>
      <c r="F434" s="14" t="s">
        <v>74</v>
      </c>
      <c r="G434" s="14" t="s">
        <v>75</v>
      </c>
      <c r="H434" s="0" t="n">
        <v>2</v>
      </c>
      <c r="I434" s="16" t="n">
        <v>83.24</v>
      </c>
      <c r="J434" s="16" t="n">
        <v>38</v>
      </c>
      <c r="K434" s="16" t="n">
        <f aca="false">H434*I434</f>
        <v>166.48</v>
      </c>
      <c r="L434" s="16" t="n">
        <f aca="false">H434*J434</f>
        <v>76</v>
      </c>
      <c r="M434" s="16" t="n">
        <f aca="false">K434-L434</f>
        <v>90.48</v>
      </c>
      <c r="N434" s="17" t="n">
        <f aca="false">IFERROR(M434/K434,0)</f>
        <v>0.543488707352234</v>
      </c>
    </row>
    <row r="435" customFormat="false" ht="15" hidden="false" customHeight="false" outlineLevel="0" collapsed="false">
      <c r="A435" s="15" t="n">
        <v>46041</v>
      </c>
      <c r="B435" s="14" t="s">
        <v>88</v>
      </c>
      <c r="C435" s="14" t="s">
        <v>89</v>
      </c>
      <c r="D435" s="14" t="s">
        <v>44</v>
      </c>
      <c r="E435" s="14" t="s">
        <v>64</v>
      </c>
      <c r="F435" s="14" t="s">
        <v>94</v>
      </c>
      <c r="G435" s="14" t="s">
        <v>95</v>
      </c>
      <c r="H435" s="0" t="n">
        <v>10</v>
      </c>
      <c r="I435" s="16" t="n">
        <v>92.28</v>
      </c>
      <c r="J435" s="16" t="n">
        <v>42</v>
      </c>
      <c r="K435" s="16" t="n">
        <f aca="false">H435*I435</f>
        <v>922.8</v>
      </c>
      <c r="L435" s="16" t="n">
        <f aca="false">H435*J435</f>
        <v>420</v>
      </c>
      <c r="M435" s="16" t="n">
        <f aca="false">K435-L435</f>
        <v>502.8</v>
      </c>
      <c r="N435" s="17" t="n">
        <f aca="false">IFERROR(M435/K435,0)</f>
        <v>0.544863459037711</v>
      </c>
    </row>
    <row r="436" customFormat="false" ht="15" hidden="false" customHeight="false" outlineLevel="0" collapsed="false">
      <c r="A436" s="15" t="n">
        <v>46042</v>
      </c>
      <c r="B436" s="14" t="s">
        <v>42</v>
      </c>
      <c r="C436" s="14" t="s">
        <v>43</v>
      </c>
      <c r="D436" s="14" t="s">
        <v>44</v>
      </c>
      <c r="E436" s="14" t="s">
        <v>64</v>
      </c>
      <c r="F436" s="14" t="s">
        <v>90</v>
      </c>
      <c r="G436" s="14" t="s">
        <v>91</v>
      </c>
      <c r="H436" s="0" t="n">
        <v>2</v>
      </c>
      <c r="I436" s="16" t="n">
        <v>11.72</v>
      </c>
      <c r="J436" s="16" t="n">
        <v>3.5</v>
      </c>
      <c r="K436" s="16" t="n">
        <f aca="false">H436*I436</f>
        <v>23.44</v>
      </c>
      <c r="L436" s="16" t="n">
        <f aca="false">H436*J436</f>
        <v>7</v>
      </c>
      <c r="M436" s="16" t="n">
        <f aca="false">K436-L436</f>
        <v>16.44</v>
      </c>
      <c r="N436" s="17" t="n">
        <f aca="false">IFERROR(M436/K436,0)</f>
        <v>0.701365187713311</v>
      </c>
    </row>
    <row r="437" customFormat="false" ht="15" hidden="false" customHeight="false" outlineLevel="0" collapsed="false">
      <c r="A437" s="15" t="n">
        <v>46042</v>
      </c>
      <c r="B437" s="14" t="s">
        <v>42</v>
      </c>
      <c r="C437" s="14" t="s">
        <v>43</v>
      </c>
      <c r="D437" s="14" t="s">
        <v>44</v>
      </c>
      <c r="E437" s="14" t="s">
        <v>56</v>
      </c>
      <c r="F437" s="14" t="s">
        <v>86</v>
      </c>
      <c r="G437" s="14" t="s">
        <v>87</v>
      </c>
      <c r="H437" s="0" t="n">
        <v>8</v>
      </c>
      <c r="I437" s="16" t="n">
        <v>15</v>
      </c>
      <c r="J437" s="16" t="n">
        <v>5</v>
      </c>
      <c r="K437" s="16" t="n">
        <f aca="false">H437*I437</f>
        <v>120</v>
      </c>
      <c r="L437" s="16" t="n">
        <f aca="false">H437*J437</f>
        <v>40</v>
      </c>
      <c r="M437" s="16" t="n">
        <f aca="false">K437-L437</f>
        <v>80</v>
      </c>
      <c r="N437" s="17" t="n">
        <f aca="false">IFERROR(M437/K437,0)</f>
        <v>0.666666666666667</v>
      </c>
    </row>
    <row r="438" customFormat="false" ht="15" hidden="false" customHeight="false" outlineLevel="0" collapsed="false">
      <c r="A438" s="15" t="n">
        <v>46042</v>
      </c>
      <c r="B438" s="14" t="s">
        <v>42</v>
      </c>
      <c r="C438" s="14" t="s">
        <v>43</v>
      </c>
      <c r="D438" s="14" t="s">
        <v>44</v>
      </c>
      <c r="E438" s="14" t="s">
        <v>64</v>
      </c>
      <c r="F438" s="14" t="s">
        <v>90</v>
      </c>
      <c r="G438" s="14" t="s">
        <v>91</v>
      </c>
      <c r="H438" s="0" t="n">
        <v>10</v>
      </c>
      <c r="I438" s="16" t="n">
        <v>11.96</v>
      </c>
      <c r="J438" s="16" t="n">
        <v>3.5</v>
      </c>
      <c r="K438" s="16" t="n">
        <f aca="false">H438*I438</f>
        <v>119.6</v>
      </c>
      <c r="L438" s="16" t="n">
        <f aca="false">H438*J438</f>
        <v>35</v>
      </c>
      <c r="M438" s="16" t="n">
        <f aca="false">K438-L438</f>
        <v>84.6</v>
      </c>
      <c r="N438" s="17" t="n">
        <f aca="false">IFERROR(M438/K438,0)</f>
        <v>0.707357859531773</v>
      </c>
    </row>
    <row r="439" customFormat="false" ht="15" hidden="false" customHeight="false" outlineLevel="0" collapsed="false">
      <c r="A439" s="15" t="n">
        <v>46042</v>
      </c>
      <c r="B439" s="14" t="s">
        <v>50</v>
      </c>
      <c r="C439" s="14" t="s">
        <v>51</v>
      </c>
      <c r="D439" s="14" t="s">
        <v>52</v>
      </c>
      <c r="E439" s="14" t="s">
        <v>56</v>
      </c>
      <c r="F439" s="14" t="s">
        <v>67</v>
      </c>
      <c r="G439" s="14" t="s">
        <v>68</v>
      </c>
      <c r="H439" s="0" t="n">
        <v>7</v>
      </c>
      <c r="I439" s="16" t="n">
        <v>37.01</v>
      </c>
      <c r="J439" s="16" t="n">
        <v>15</v>
      </c>
      <c r="K439" s="16" t="n">
        <f aca="false">H439*I439</f>
        <v>259.07</v>
      </c>
      <c r="L439" s="16" t="n">
        <f aca="false">H439*J439</f>
        <v>105</v>
      </c>
      <c r="M439" s="16" t="n">
        <f aca="false">K439-L439</f>
        <v>154.07</v>
      </c>
      <c r="N439" s="17" t="n">
        <f aca="false">IFERROR(M439/K439,0)</f>
        <v>0.594704134017833</v>
      </c>
    </row>
    <row r="440" customFormat="false" ht="15" hidden="false" customHeight="false" outlineLevel="0" collapsed="false">
      <c r="A440" s="15" t="n">
        <v>46042</v>
      </c>
      <c r="B440" s="14" t="s">
        <v>50</v>
      </c>
      <c r="C440" s="14" t="s">
        <v>51</v>
      </c>
      <c r="D440" s="14" t="s">
        <v>52</v>
      </c>
      <c r="E440" s="14" t="s">
        <v>76</v>
      </c>
      <c r="F440" s="14" t="s">
        <v>100</v>
      </c>
      <c r="G440" s="14" t="s">
        <v>101</v>
      </c>
      <c r="H440" s="0" t="n">
        <v>5</v>
      </c>
      <c r="I440" s="16" t="n">
        <v>15.95</v>
      </c>
      <c r="J440" s="16" t="n">
        <v>5.5</v>
      </c>
      <c r="K440" s="16" t="n">
        <f aca="false">H440*I440</f>
        <v>79.75</v>
      </c>
      <c r="L440" s="16" t="n">
        <f aca="false">H440*J440</f>
        <v>27.5</v>
      </c>
      <c r="M440" s="16" t="n">
        <f aca="false">K440-L440</f>
        <v>52.25</v>
      </c>
      <c r="N440" s="17" t="n">
        <f aca="false">IFERROR(M440/K440,0)</f>
        <v>0.655172413793103</v>
      </c>
    </row>
    <row r="441" customFormat="false" ht="15" hidden="false" customHeight="false" outlineLevel="0" collapsed="false">
      <c r="A441" s="15" t="n">
        <v>46042</v>
      </c>
      <c r="B441" s="14" t="s">
        <v>50</v>
      </c>
      <c r="C441" s="14" t="s">
        <v>51</v>
      </c>
      <c r="D441" s="14" t="s">
        <v>52</v>
      </c>
      <c r="E441" s="14" t="s">
        <v>76</v>
      </c>
      <c r="F441" s="14" t="s">
        <v>102</v>
      </c>
      <c r="G441" s="14" t="s">
        <v>103</v>
      </c>
      <c r="H441" s="0" t="n">
        <v>5</v>
      </c>
      <c r="I441" s="16" t="n">
        <v>23.89</v>
      </c>
      <c r="J441" s="16" t="n">
        <v>8.5</v>
      </c>
      <c r="K441" s="16" t="n">
        <f aca="false">H441*I441</f>
        <v>119.45</v>
      </c>
      <c r="L441" s="16" t="n">
        <f aca="false">H441*J441</f>
        <v>42.5</v>
      </c>
      <c r="M441" s="16" t="n">
        <f aca="false">K441-L441</f>
        <v>76.95</v>
      </c>
      <c r="N441" s="17" t="n">
        <f aca="false">IFERROR(M441/K441,0)</f>
        <v>0.644202595228129</v>
      </c>
    </row>
    <row r="442" customFormat="false" ht="15" hidden="false" customHeight="false" outlineLevel="0" collapsed="false">
      <c r="A442" s="15" t="n">
        <v>46042</v>
      </c>
      <c r="B442" s="14" t="s">
        <v>50</v>
      </c>
      <c r="C442" s="14" t="s">
        <v>51</v>
      </c>
      <c r="D442" s="14" t="s">
        <v>52</v>
      </c>
      <c r="E442" s="14" t="s">
        <v>76</v>
      </c>
      <c r="F442" s="14" t="s">
        <v>102</v>
      </c>
      <c r="G442" s="14" t="s">
        <v>103</v>
      </c>
      <c r="H442" s="0" t="n">
        <v>5</v>
      </c>
      <c r="I442" s="16" t="n">
        <v>23.41</v>
      </c>
      <c r="J442" s="16" t="n">
        <v>8.5</v>
      </c>
      <c r="K442" s="16" t="n">
        <f aca="false">H442*I442</f>
        <v>117.05</v>
      </c>
      <c r="L442" s="16" t="n">
        <f aca="false">H442*J442</f>
        <v>42.5</v>
      </c>
      <c r="M442" s="16" t="n">
        <f aca="false">K442-L442</f>
        <v>74.55</v>
      </c>
      <c r="N442" s="17" t="n">
        <f aca="false">IFERROR(M442/K442,0)</f>
        <v>0.636907304570696</v>
      </c>
    </row>
    <row r="443" customFormat="false" ht="15" hidden="false" customHeight="false" outlineLevel="0" collapsed="false">
      <c r="A443" s="15" t="n">
        <v>46042</v>
      </c>
      <c r="B443" s="14" t="s">
        <v>50</v>
      </c>
      <c r="C443" s="14" t="s">
        <v>51</v>
      </c>
      <c r="D443" s="14" t="s">
        <v>52</v>
      </c>
      <c r="E443" s="14" t="s">
        <v>64</v>
      </c>
      <c r="F443" s="14" t="s">
        <v>94</v>
      </c>
      <c r="G443" s="14" t="s">
        <v>95</v>
      </c>
      <c r="H443" s="0" t="n">
        <v>12</v>
      </c>
      <c r="I443" s="16" t="n">
        <v>93.84</v>
      </c>
      <c r="J443" s="16" t="n">
        <v>42</v>
      </c>
      <c r="K443" s="16" t="n">
        <f aca="false">H443*I443</f>
        <v>1126.08</v>
      </c>
      <c r="L443" s="16" t="n">
        <f aca="false">H443*J443</f>
        <v>504</v>
      </c>
      <c r="M443" s="16" t="n">
        <f aca="false">K443-L443</f>
        <v>622.08</v>
      </c>
      <c r="N443" s="17" t="n">
        <f aca="false">IFERROR(M443/K443,0)</f>
        <v>0.552429667519182</v>
      </c>
    </row>
    <row r="444" customFormat="false" ht="15" hidden="false" customHeight="false" outlineLevel="0" collapsed="false">
      <c r="A444" s="15" t="n">
        <v>46042</v>
      </c>
      <c r="B444" s="14" t="s">
        <v>59</v>
      </c>
      <c r="C444" s="14" t="s">
        <v>60</v>
      </c>
      <c r="D444" s="14" t="s">
        <v>61</v>
      </c>
      <c r="E444" s="14" t="s">
        <v>76</v>
      </c>
      <c r="F444" s="14" t="s">
        <v>79</v>
      </c>
      <c r="G444" s="14" t="s">
        <v>80</v>
      </c>
      <c r="H444" s="0" t="n">
        <v>7</v>
      </c>
      <c r="I444" s="16" t="n">
        <v>29.75</v>
      </c>
      <c r="J444" s="16" t="n">
        <v>11</v>
      </c>
      <c r="K444" s="16" t="n">
        <f aca="false">H444*I444</f>
        <v>208.25</v>
      </c>
      <c r="L444" s="16" t="n">
        <f aca="false">H444*J444</f>
        <v>77</v>
      </c>
      <c r="M444" s="16" t="n">
        <f aca="false">K444-L444</f>
        <v>131.25</v>
      </c>
      <c r="N444" s="17" t="n">
        <f aca="false">IFERROR(M444/K444,0)</f>
        <v>0.630252100840336</v>
      </c>
    </row>
    <row r="445" customFormat="false" ht="15" hidden="false" customHeight="false" outlineLevel="0" collapsed="false">
      <c r="A445" s="15" t="n">
        <v>46042</v>
      </c>
      <c r="B445" s="14" t="s">
        <v>59</v>
      </c>
      <c r="C445" s="14" t="s">
        <v>60</v>
      </c>
      <c r="D445" s="14" t="s">
        <v>61</v>
      </c>
      <c r="E445" s="14" t="s">
        <v>64</v>
      </c>
      <c r="F445" s="14" t="s">
        <v>94</v>
      </c>
      <c r="G445" s="14" t="s">
        <v>95</v>
      </c>
      <c r="H445" s="0" t="n">
        <v>4</v>
      </c>
      <c r="I445" s="16" t="n">
        <v>93.38</v>
      </c>
      <c r="J445" s="16" t="n">
        <v>42</v>
      </c>
      <c r="K445" s="16" t="n">
        <f aca="false">H445*I445</f>
        <v>373.52</v>
      </c>
      <c r="L445" s="16" t="n">
        <f aca="false">H445*J445</f>
        <v>168</v>
      </c>
      <c r="M445" s="16" t="n">
        <f aca="false">K445-L445</f>
        <v>205.52</v>
      </c>
      <c r="N445" s="17" t="n">
        <f aca="false">IFERROR(M445/K445,0)</f>
        <v>0.550224887556222</v>
      </c>
    </row>
    <row r="446" customFormat="false" ht="15" hidden="false" customHeight="false" outlineLevel="0" collapsed="false">
      <c r="A446" s="15" t="n">
        <v>46042</v>
      </c>
      <c r="B446" s="14" t="s">
        <v>59</v>
      </c>
      <c r="C446" s="14" t="s">
        <v>60</v>
      </c>
      <c r="D446" s="14" t="s">
        <v>61</v>
      </c>
      <c r="E446" s="14" t="s">
        <v>76</v>
      </c>
      <c r="F446" s="14" t="s">
        <v>79</v>
      </c>
      <c r="G446" s="14" t="s">
        <v>80</v>
      </c>
      <c r="H446" s="0" t="n">
        <v>6</v>
      </c>
      <c r="I446" s="16" t="n">
        <v>29.82</v>
      </c>
      <c r="J446" s="16" t="n">
        <v>11</v>
      </c>
      <c r="K446" s="16" t="n">
        <f aca="false">H446*I446</f>
        <v>178.92</v>
      </c>
      <c r="L446" s="16" t="n">
        <f aca="false">H446*J446</f>
        <v>66</v>
      </c>
      <c r="M446" s="16" t="n">
        <f aca="false">K446-L446</f>
        <v>112.92</v>
      </c>
      <c r="N446" s="17" t="n">
        <f aca="false">IFERROR(M446/K446,0)</f>
        <v>0.631120053655265</v>
      </c>
    </row>
    <row r="447" customFormat="false" ht="15" hidden="false" customHeight="false" outlineLevel="0" collapsed="false">
      <c r="A447" s="15" t="n">
        <v>46042</v>
      </c>
      <c r="B447" s="14" t="s">
        <v>59</v>
      </c>
      <c r="C447" s="14" t="s">
        <v>60</v>
      </c>
      <c r="D447" s="14" t="s">
        <v>61</v>
      </c>
      <c r="E447" s="14" t="s">
        <v>76</v>
      </c>
      <c r="F447" s="14" t="s">
        <v>100</v>
      </c>
      <c r="G447" s="14" t="s">
        <v>101</v>
      </c>
      <c r="H447" s="0" t="n">
        <v>4</v>
      </c>
      <c r="I447" s="16" t="n">
        <v>14.98</v>
      </c>
      <c r="J447" s="16" t="n">
        <v>5.5</v>
      </c>
      <c r="K447" s="16" t="n">
        <f aca="false">H447*I447</f>
        <v>59.92</v>
      </c>
      <c r="L447" s="16" t="n">
        <f aca="false">H447*J447</f>
        <v>22</v>
      </c>
      <c r="M447" s="16" t="n">
        <f aca="false">K447-L447</f>
        <v>37.92</v>
      </c>
      <c r="N447" s="17" t="n">
        <f aca="false">IFERROR(M447/K447,0)</f>
        <v>0.632843791722296</v>
      </c>
    </row>
    <row r="448" customFormat="false" ht="15" hidden="false" customHeight="false" outlineLevel="0" collapsed="false">
      <c r="A448" s="15" t="n">
        <v>46042</v>
      </c>
      <c r="B448" s="14" t="s">
        <v>69</v>
      </c>
      <c r="C448" s="14" t="s">
        <v>70</v>
      </c>
      <c r="D448" s="14" t="s">
        <v>71</v>
      </c>
      <c r="E448" s="14" t="s">
        <v>76</v>
      </c>
      <c r="F448" s="14" t="s">
        <v>102</v>
      </c>
      <c r="G448" s="14" t="s">
        <v>103</v>
      </c>
      <c r="H448" s="0" t="n">
        <v>3</v>
      </c>
      <c r="I448" s="16" t="n">
        <v>22.29</v>
      </c>
      <c r="J448" s="16" t="n">
        <v>8.5</v>
      </c>
      <c r="K448" s="16" t="n">
        <f aca="false">H448*I448</f>
        <v>66.87</v>
      </c>
      <c r="L448" s="16" t="n">
        <f aca="false">H448*J448</f>
        <v>25.5</v>
      </c>
      <c r="M448" s="16" t="n">
        <f aca="false">K448-L448</f>
        <v>41.37</v>
      </c>
      <c r="N448" s="17" t="n">
        <f aca="false">IFERROR(M448/K448,0)</f>
        <v>0.61866307761328</v>
      </c>
    </row>
    <row r="449" customFormat="false" ht="15" hidden="false" customHeight="false" outlineLevel="0" collapsed="false">
      <c r="A449" s="15" t="n">
        <v>46042</v>
      </c>
      <c r="B449" s="14" t="s">
        <v>69</v>
      </c>
      <c r="C449" s="14" t="s">
        <v>70</v>
      </c>
      <c r="D449" s="14" t="s">
        <v>71</v>
      </c>
      <c r="E449" s="14" t="s">
        <v>56</v>
      </c>
      <c r="F449" s="14" t="s">
        <v>86</v>
      </c>
      <c r="G449" s="14" t="s">
        <v>87</v>
      </c>
      <c r="H449" s="0" t="n">
        <v>3</v>
      </c>
      <c r="I449" s="16" t="n">
        <v>13.86</v>
      </c>
      <c r="J449" s="16" t="n">
        <v>5</v>
      </c>
      <c r="K449" s="16" t="n">
        <f aca="false">H449*I449</f>
        <v>41.58</v>
      </c>
      <c r="L449" s="16" t="n">
        <f aca="false">H449*J449</f>
        <v>15</v>
      </c>
      <c r="M449" s="16" t="n">
        <f aca="false">K449-L449</f>
        <v>26.58</v>
      </c>
      <c r="N449" s="17" t="n">
        <f aca="false">IFERROR(M449/K449,0)</f>
        <v>0.639249639249639</v>
      </c>
    </row>
    <row r="450" customFormat="false" ht="15" hidden="false" customHeight="false" outlineLevel="0" collapsed="false">
      <c r="A450" s="15" t="n">
        <v>46042</v>
      </c>
      <c r="B450" s="14" t="s">
        <v>69</v>
      </c>
      <c r="C450" s="14" t="s">
        <v>70</v>
      </c>
      <c r="D450" s="14" t="s">
        <v>71</v>
      </c>
      <c r="E450" s="14" t="s">
        <v>56</v>
      </c>
      <c r="F450" s="14" t="s">
        <v>86</v>
      </c>
      <c r="G450" s="14" t="s">
        <v>87</v>
      </c>
      <c r="H450" s="0" t="n">
        <v>3</v>
      </c>
      <c r="I450" s="16" t="n">
        <v>13.86</v>
      </c>
      <c r="J450" s="16" t="n">
        <v>5</v>
      </c>
      <c r="K450" s="16" t="n">
        <f aca="false">H450*I450</f>
        <v>41.58</v>
      </c>
      <c r="L450" s="16" t="n">
        <f aca="false">H450*J450</f>
        <v>15</v>
      </c>
      <c r="M450" s="16" t="n">
        <f aca="false">K450-L450</f>
        <v>26.58</v>
      </c>
      <c r="N450" s="17" t="n">
        <f aca="false">IFERROR(M450/K450,0)</f>
        <v>0.639249639249639</v>
      </c>
    </row>
    <row r="451" customFormat="false" ht="15" hidden="false" customHeight="false" outlineLevel="0" collapsed="false">
      <c r="A451" s="15" t="n">
        <v>46042</v>
      </c>
      <c r="B451" s="14" t="s">
        <v>69</v>
      </c>
      <c r="C451" s="14" t="s">
        <v>70</v>
      </c>
      <c r="D451" s="14" t="s">
        <v>71</v>
      </c>
      <c r="E451" s="14" t="s">
        <v>64</v>
      </c>
      <c r="F451" s="14" t="s">
        <v>94</v>
      </c>
      <c r="G451" s="14" t="s">
        <v>95</v>
      </c>
      <c r="H451" s="0" t="n">
        <v>9</v>
      </c>
      <c r="I451" s="16" t="n">
        <v>91.88</v>
      </c>
      <c r="J451" s="16" t="n">
        <v>42</v>
      </c>
      <c r="K451" s="16" t="n">
        <f aca="false">H451*I451</f>
        <v>826.92</v>
      </c>
      <c r="L451" s="16" t="n">
        <f aca="false">H451*J451</f>
        <v>378</v>
      </c>
      <c r="M451" s="16" t="n">
        <f aca="false">K451-L451</f>
        <v>448.92</v>
      </c>
      <c r="N451" s="17" t="n">
        <f aca="false">IFERROR(M451/K451,0)</f>
        <v>0.542882020026121</v>
      </c>
    </row>
    <row r="452" customFormat="false" ht="15" hidden="false" customHeight="false" outlineLevel="0" collapsed="false">
      <c r="A452" s="15" t="n">
        <v>46042</v>
      </c>
      <c r="B452" s="14" t="s">
        <v>69</v>
      </c>
      <c r="C452" s="14" t="s">
        <v>70</v>
      </c>
      <c r="D452" s="14" t="s">
        <v>71</v>
      </c>
      <c r="E452" s="14" t="s">
        <v>53</v>
      </c>
      <c r="F452" s="14" t="s">
        <v>74</v>
      </c>
      <c r="G452" s="14" t="s">
        <v>75</v>
      </c>
      <c r="H452" s="0" t="n">
        <v>2</v>
      </c>
      <c r="I452" s="16" t="n">
        <v>84.78</v>
      </c>
      <c r="J452" s="16" t="n">
        <v>38</v>
      </c>
      <c r="K452" s="16" t="n">
        <f aca="false">H452*I452</f>
        <v>169.56</v>
      </c>
      <c r="L452" s="16" t="n">
        <f aca="false">H452*J452</f>
        <v>76</v>
      </c>
      <c r="M452" s="16" t="n">
        <f aca="false">K452-L452</f>
        <v>93.56</v>
      </c>
      <c r="N452" s="17" t="n">
        <f aca="false">IFERROR(M452/K452,0)</f>
        <v>0.551781080443501</v>
      </c>
    </row>
    <row r="453" customFormat="false" ht="15" hidden="false" customHeight="false" outlineLevel="0" collapsed="false">
      <c r="A453" s="15" t="n">
        <v>46042</v>
      </c>
      <c r="B453" s="14" t="s">
        <v>69</v>
      </c>
      <c r="C453" s="14" t="s">
        <v>70</v>
      </c>
      <c r="D453" s="14" t="s">
        <v>71</v>
      </c>
      <c r="E453" s="14" t="s">
        <v>64</v>
      </c>
      <c r="F453" s="14" t="s">
        <v>90</v>
      </c>
      <c r="G453" s="14" t="s">
        <v>91</v>
      </c>
      <c r="H453" s="0" t="n">
        <v>4</v>
      </c>
      <c r="I453" s="16" t="n">
        <v>11.77</v>
      </c>
      <c r="J453" s="16" t="n">
        <v>3.5</v>
      </c>
      <c r="K453" s="16" t="n">
        <f aca="false">H453*I453</f>
        <v>47.08</v>
      </c>
      <c r="L453" s="16" t="n">
        <f aca="false">H453*J453</f>
        <v>14</v>
      </c>
      <c r="M453" s="16" t="n">
        <f aca="false">K453-L453</f>
        <v>33.08</v>
      </c>
      <c r="N453" s="17" t="n">
        <f aca="false">IFERROR(M453/K453,0)</f>
        <v>0.702633814783348</v>
      </c>
    </row>
    <row r="454" customFormat="false" ht="15" hidden="false" customHeight="false" outlineLevel="0" collapsed="false">
      <c r="A454" s="15" t="n">
        <v>46042</v>
      </c>
      <c r="B454" s="14" t="s">
        <v>81</v>
      </c>
      <c r="C454" s="14" t="s">
        <v>82</v>
      </c>
      <c r="D454" s="14" t="s">
        <v>83</v>
      </c>
      <c r="E454" s="14" t="s">
        <v>76</v>
      </c>
      <c r="F454" s="14" t="s">
        <v>102</v>
      </c>
      <c r="G454" s="14" t="s">
        <v>103</v>
      </c>
      <c r="H454" s="0" t="n">
        <v>1</v>
      </c>
      <c r="I454" s="16" t="n">
        <v>23.82</v>
      </c>
      <c r="J454" s="16" t="n">
        <v>8.5</v>
      </c>
      <c r="K454" s="16" t="n">
        <f aca="false">H454*I454</f>
        <v>23.82</v>
      </c>
      <c r="L454" s="16" t="n">
        <f aca="false">H454*J454</f>
        <v>8.5</v>
      </c>
      <c r="M454" s="16" t="n">
        <f aca="false">K454-L454</f>
        <v>15.32</v>
      </c>
      <c r="N454" s="17" t="n">
        <f aca="false">IFERROR(M454/K454,0)</f>
        <v>0.643157010915197</v>
      </c>
    </row>
    <row r="455" customFormat="false" ht="15" hidden="false" customHeight="false" outlineLevel="0" collapsed="false">
      <c r="A455" s="15" t="n">
        <v>46042</v>
      </c>
      <c r="B455" s="14" t="s">
        <v>81</v>
      </c>
      <c r="C455" s="14" t="s">
        <v>82</v>
      </c>
      <c r="D455" s="14" t="s">
        <v>83</v>
      </c>
      <c r="E455" s="14" t="s">
        <v>45</v>
      </c>
      <c r="F455" s="14" t="s">
        <v>62</v>
      </c>
      <c r="G455" s="14" t="s">
        <v>63</v>
      </c>
      <c r="H455" s="0" t="n">
        <v>1</v>
      </c>
      <c r="I455" s="16" t="n">
        <v>17.88</v>
      </c>
      <c r="J455" s="16" t="n">
        <v>6.5</v>
      </c>
      <c r="K455" s="16" t="n">
        <f aca="false">H455*I455</f>
        <v>17.88</v>
      </c>
      <c r="L455" s="16" t="n">
        <f aca="false">H455*J455</f>
        <v>6.5</v>
      </c>
      <c r="M455" s="16" t="n">
        <f aca="false">K455-L455</f>
        <v>11.38</v>
      </c>
      <c r="N455" s="17" t="n">
        <f aca="false">IFERROR(M455/K455,0)</f>
        <v>0.636465324384787</v>
      </c>
    </row>
    <row r="456" customFormat="false" ht="15" hidden="false" customHeight="false" outlineLevel="0" collapsed="false">
      <c r="A456" s="15" t="n">
        <v>46042</v>
      </c>
      <c r="B456" s="14" t="s">
        <v>81</v>
      </c>
      <c r="C456" s="14" t="s">
        <v>82</v>
      </c>
      <c r="D456" s="14" t="s">
        <v>83</v>
      </c>
      <c r="E456" s="14" t="s">
        <v>53</v>
      </c>
      <c r="F456" s="14" t="s">
        <v>84</v>
      </c>
      <c r="G456" s="14" t="s">
        <v>85</v>
      </c>
      <c r="H456" s="0" t="n">
        <v>2</v>
      </c>
      <c r="I456" s="16" t="n">
        <v>24.87</v>
      </c>
      <c r="J456" s="16" t="n">
        <v>9</v>
      </c>
      <c r="K456" s="16" t="n">
        <f aca="false">H456*I456</f>
        <v>49.74</v>
      </c>
      <c r="L456" s="16" t="n">
        <f aca="false">H456*J456</f>
        <v>18</v>
      </c>
      <c r="M456" s="16" t="n">
        <f aca="false">K456-L456</f>
        <v>31.74</v>
      </c>
      <c r="N456" s="17" t="n">
        <f aca="false">IFERROR(M456/K456,0)</f>
        <v>0.638118214716526</v>
      </c>
    </row>
    <row r="457" customFormat="false" ht="15" hidden="false" customHeight="false" outlineLevel="0" collapsed="false">
      <c r="A457" s="15" t="n">
        <v>46042</v>
      </c>
      <c r="B457" s="14" t="s">
        <v>81</v>
      </c>
      <c r="C457" s="14" t="s">
        <v>82</v>
      </c>
      <c r="D457" s="14" t="s">
        <v>83</v>
      </c>
      <c r="E457" s="14" t="s">
        <v>45</v>
      </c>
      <c r="F457" s="14" t="s">
        <v>72</v>
      </c>
      <c r="G457" s="14" t="s">
        <v>73</v>
      </c>
      <c r="H457" s="0" t="n">
        <v>6</v>
      </c>
      <c r="I457" s="16" t="n">
        <v>48.62</v>
      </c>
      <c r="J457" s="16" t="n">
        <v>21</v>
      </c>
      <c r="K457" s="16" t="n">
        <f aca="false">H457*I457</f>
        <v>291.72</v>
      </c>
      <c r="L457" s="16" t="n">
        <f aca="false">H457*J457</f>
        <v>126</v>
      </c>
      <c r="M457" s="16" t="n">
        <f aca="false">K457-L457</f>
        <v>165.72</v>
      </c>
      <c r="N457" s="17" t="n">
        <f aca="false">IFERROR(M457/K457,0)</f>
        <v>0.568078979843686</v>
      </c>
    </row>
    <row r="458" customFormat="false" ht="15" hidden="false" customHeight="false" outlineLevel="0" collapsed="false">
      <c r="A458" s="15" t="n">
        <v>46042</v>
      </c>
      <c r="B458" s="14" t="s">
        <v>88</v>
      </c>
      <c r="C458" s="14" t="s">
        <v>89</v>
      </c>
      <c r="D458" s="14" t="s">
        <v>44</v>
      </c>
      <c r="E458" s="14" t="s">
        <v>45</v>
      </c>
      <c r="F458" s="14" t="s">
        <v>48</v>
      </c>
      <c r="G458" s="14" t="s">
        <v>49</v>
      </c>
      <c r="H458" s="0" t="n">
        <v>5</v>
      </c>
      <c r="I458" s="16" t="n">
        <v>65.65</v>
      </c>
      <c r="J458" s="16" t="n">
        <v>27.5</v>
      </c>
      <c r="K458" s="16" t="n">
        <f aca="false">H458*I458</f>
        <v>328.25</v>
      </c>
      <c r="L458" s="16" t="n">
        <f aca="false">H458*J458</f>
        <v>137.5</v>
      </c>
      <c r="M458" s="16" t="n">
        <f aca="false">K458-L458</f>
        <v>190.75</v>
      </c>
      <c r="N458" s="17" t="n">
        <f aca="false">IFERROR(M458/K458,0)</f>
        <v>0.581111957349581</v>
      </c>
    </row>
    <row r="459" customFormat="false" ht="15" hidden="false" customHeight="false" outlineLevel="0" collapsed="false">
      <c r="A459" s="15" t="n">
        <v>46042</v>
      </c>
      <c r="B459" s="14" t="s">
        <v>88</v>
      </c>
      <c r="C459" s="14" t="s">
        <v>89</v>
      </c>
      <c r="D459" s="14" t="s">
        <v>44</v>
      </c>
      <c r="E459" s="14" t="s">
        <v>45</v>
      </c>
      <c r="F459" s="14" t="s">
        <v>46</v>
      </c>
      <c r="G459" s="14" t="s">
        <v>47</v>
      </c>
      <c r="H459" s="0" t="n">
        <v>5</v>
      </c>
      <c r="I459" s="16" t="n">
        <v>43.04</v>
      </c>
      <c r="J459" s="16" t="n">
        <v>18</v>
      </c>
      <c r="K459" s="16" t="n">
        <f aca="false">H459*I459</f>
        <v>215.2</v>
      </c>
      <c r="L459" s="16" t="n">
        <f aca="false">H459*J459</f>
        <v>90</v>
      </c>
      <c r="M459" s="16" t="n">
        <f aca="false">K459-L459</f>
        <v>125.2</v>
      </c>
      <c r="N459" s="17" t="n">
        <f aca="false">IFERROR(M459/K459,0)</f>
        <v>0.5817843866171</v>
      </c>
    </row>
    <row r="460" customFormat="false" ht="15" hidden="false" customHeight="false" outlineLevel="0" collapsed="false">
      <c r="A460" s="15" t="n">
        <v>46042</v>
      </c>
      <c r="B460" s="14" t="s">
        <v>88</v>
      </c>
      <c r="C460" s="14" t="s">
        <v>89</v>
      </c>
      <c r="D460" s="14" t="s">
        <v>44</v>
      </c>
      <c r="E460" s="14" t="s">
        <v>56</v>
      </c>
      <c r="F460" s="14" t="s">
        <v>57</v>
      </c>
      <c r="G460" s="14" t="s">
        <v>58</v>
      </c>
      <c r="H460" s="0" t="n">
        <v>3</v>
      </c>
      <c r="I460" s="16" t="n">
        <v>26.68</v>
      </c>
      <c r="J460" s="16" t="n">
        <v>10</v>
      </c>
      <c r="K460" s="16" t="n">
        <f aca="false">H460*I460</f>
        <v>80.04</v>
      </c>
      <c r="L460" s="16" t="n">
        <f aca="false">H460*J460</f>
        <v>30</v>
      </c>
      <c r="M460" s="16" t="n">
        <f aca="false">K460-L460</f>
        <v>50.04</v>
      </c>
      <c r="N460" s="17" t="n">
        <f aca="false">IFERROR(M460/K460,0)</f>
        <v>0.625187406296852</v>
      </c>
    </row>
    <row r="461" customFormat="false" ht="15" hidden="false" customHeight="false" outlineLevel="0" collapsed="false">
      <c r="A461" s="15" t="n">
        <v>46042</v>
      </c>
      <c r="B461" s="14" t="s">
        <v>88</v>
      </c>
      <c r="C461" s="14" t="s">
        <v>89</v>
      </c>
      <c r="D461" s="14" t="s">
        <v>44</v>
      </c>
      <c r="E461" s="14" t="s">
        <v>64</v>
      </c>
      <c r="F461" s="14" t="s">
        <v>94</v>
      </c>
      <c r="G461" s="14" t="s">
        <v>95</v>
      </c>
      <c r="H461" s="0" t="n">
        <v>5</v>
      </c>
      <c r="I461" s="16" t="n">
        <v>97.49</v>
      </c>
      <c r="J461" s="16" t="n">
        <v>42</v>
      </c>
      <c r="K461" s="16" t="n">
        <f aca="false">H461*I461</f>
        <v>487.45</v>
      </c>
      <c r="L461" s="16" t="n">
        <f aca="false">H461*J461</f>
        <v>210</v>
      </c>
      <c r="M461" s="16" t="n">
        <f aca="false">K461-L461</f>
        <v>277.45</v>
      </c>
      <c r="N461" s="17" t="n">
        <f aca="false">IFERROR(M461/K461,0)</f>
        <v>0.569186583239307</v>
      </c>
    </row>
    <row r="462" customFormat="false" ht="15" hidden="false" customHeight="false" outlineLevel="0" collapsed="false">
      <c r="A462" s="15" t="n">
        <v>46043</v>
      </c>
      <c r="B462" s="14" t="s">
        <v>42</v>
      </c>
      <c r="C462" s="14" t="s">
        <v>43</v>
      </c>
      <c r="D462" s="14" t="s">
        <v>44</v>
      </c>
      <c r="E462" s="14" t="s">
        <v>53</v>
      </c>
      <c r="F462" s="14" t="s">
        <v>84</v>
      </c>
      <c r="G462" s="14" t="s">
        <v>85</v>
      </c>
      <c r="H462" s="0" t="n">
        <v>6</v>
      </c>
      <c r="I462" s="16" t="n">
        <v>24.44</v>
      </c>
      <c r="J462" s="16" t="n">
        <v>9</v>
      </c>
      <c r="K462" s="16" t="n">
        <f aca="false">H462*I462</f>
        <v>146.64</v>
      </c>
      <c r="L462" s="16" t="n">
        <f aca="false">H462*J462</f>
        <v>54</v>
      </c>
      <c r="M462" s="16" t="n">
        <f aca="false">K462-L462</f>
        <v>92.64</v>
      </c>
      <c r="N462" s="17" t="n">
        <f aca="false">IFERROR(M462/K462,0)</f>
        <v>0.631751227495908</v>
      </c>
    </row>
    <row r="463" customFormat="false" ht="15" hidden="false" customHeight="false" outlineLevel="0" collapsed="false">
      <c r="A463" s="15" t="n">
        <v>46043</v>
      </c>
      <c r="B463" s="14" t="s">
        <v>42</v>
      </c>
      <c r="C463" s="14" t="s">
        <v>43</v>
      </c>
      <c r="D463" s="14" t="s">
        <v>44</v>
      </c>
      <c r="E463" s="14" t="s">
        <v>45</v>
      </c>
      <c r="F463" s="14" t="s">
        <v>46</v>
      </c>
      <c r="G463" s="14" t="s">
        <v>47</v>
      </c>
      <c r="H463" s="0" t="n">
        <v>6</v>
      </c>
      <c r="I463" s="16" t="n">
        <v>43.44</v>
      </c>
      <c r="J463" s="16" t="n">
        <v>18</v>
      </c>
      <c r="K463" s="16" t="n">
        <f aca="false">H463*I463</f>
        <v>260.64</v>
      </c>
      <c r="L463" s="16" t="n">
        <f aca="false">H463*J463</f>
        <v>108</v>
      </c>
      <c r="M463" s="16" t="n">
        <f aca="false">K463-L463</f>
        <v>152.64</v>
      </c>
      <c r="N463" s="17" t="n">
        <f aca="false">IFERROR(M463/K463,0)</f>
        <v>0.585635359116022</v>
      </c>
    </row>
    <row r="464" customFormat="false" ht="15" hidden="false" customHeight="false" outlineLevel="0" collapsed="false">
      <c r="A464" s="15" t="n">
        <v>46043</v>
      </c>
      <c r="B464" s="14" t="s">
        <v>42</v>
      </c>
      <c r="C464" s="14" t="s">
        <v>43</v>
      </c>
      <c r="D464" s="14" t="s">
        <v>44</v>
      </c>
      <c r="E464" s="14" t="s">
        <v>53</v>
      </c>
      <c r="F464" s="14" t="s">
        <v>54</v>
      </c>
      <c r="G464" s="14" t="s">
        <v>55</v>
      </c>
      <c r="H464" s="0" t="n">
        <v>8</v>
      </c>
      <c r="I464" s="16" t="n">
        <v>54.24</v>
      </c>
      <c r="J464" s="16" t="n">
        <v>22</v>
      </c>
      <c r="K464" s="16" t="n">
        <f aca="false">H464*I464</f>
        <v>433.92</v>
      </c>
      <c r="L464" s="16" t="n">
        <f aca="false">H464*J464</f>
        <v>176</v>
      </c>
      <c r="M464" s="16" t="n">
        <f aca="false">K464-L464</f>
        <v>257.92</v>
      </c>
      <c r="N464" s="17" t="n">
        <f aca="false">IFERROR(M464/K464,0)</f>
        <v>0.594395280235988</v>
      </c>
    </row>
    <row r="465" customFormat="false" ht="15" hidden="false" customHeight="false" outlineLevel="0" collapsed="false">
      <c r="A465" s="15" t="n">
        <v>46043</v>
      </c>
      <c r="B465" s="14" t="s">
        <v>42</v>
      </c>
      <c r="C465" s="14" t="s">
        <v>43</v>
      </c>
      <c r="D465" s="14" t="s">
        <v>44</v>
      </c>
      <c r="E465" s="14" t="s">
        <v>56</v>
      </c>
      <c r="F465" s="14" t="s">
        <v>67</v>
      </c>
      <c r="G465" s="14" t="s">
        <v>68</v>
      </c>
      <c r="H465" s="0" t="n">
        <v>3</v>
      </c>
      <c r="I465" s="16" t="n">
        <v>36.18</v>
      </c>
      <c r="J465" s="16" t="n">
        <v>15</v>
      </c>
      <c r="K465" s="16" t="n">
        <f aca="false">H465*I465</f>
        <v>108.54</v>
      </c>
      <c r="L465" s="16" t="n">
        <f aca="false">H465*J465</f>
        <v>45</v>
      </c>
      <c r="M465" s="16" t="n">
        <f aca="false">K465-L465</f>
        <v>63.54</v>
      </c>
      <c r="N465" s="17" t="n">
        <f aca="false">IFERROR(M465/K465,0)</f>
        <v>0.585406301824212</v>
      </c>
    </row>
    <row r="466" customFormat="false" ht="15" hidden="false" customHeight="false" outlineLevel="0" collapsed="false">
      <c r="A466" s="15" t="n">
        <v>46043</v>
      </c>
      <c r="B466" s="14" t="s">
        <v>50</v>
      </c>
      <c r="C466" s="14" t="s">
        <v>51</v>
      </c>
      <c r="D466" s="14" t="s">
        <v>52</v>
      </c>
      <c r="E466" s="14" t="s">
        <v>53</v>
      </c>
      <c r="F466" s="14" t="s">
        <v>54</v>
      </c>
      <c r="G466" s="14" t="s">
        <v>55</v>
      </c>
      <c r="H466" s="0" t="n">
        <v>8</v>
      </c>
      <c r="I466" s="16" t="n">
        <v>52.02</v>
      </c>
      <c r="J466" s="16" t="n">
        <v>22</v>
      </c>
      <c r="K466" s="16" t="n">
        <f aca="false">H466*I466</f>
        <v>416.16</v>
      </c>
      <c r="L466" s="16" t="n">
        <f aca="false">H466*J466</f>
        <v>176</v>
      </c>
      <c r="M466" s="16" t="n">
        <f aca="false">K466-L466</f>
        <v>240.16</v>
      </c>
      <c r="N466" s="17" t="n">
        <f aca="false">IFERROR(M466/K466,0)</f>
        <v>0.577085736255287</v>
      </c>
    </row>
    <row r="467" customFormat="false" ht="15" hidden="false" customHeight="false" outlineLevel="0" collapsed="false">
      <c r="A467" s="15" t="n">
        <v>46043</v>
      </c>
      <c r="B467" s="14" t="s">
        <v>50</v>
      </c>
      <c r="C467" s="14" t="s">
        <v>51</v>
      </c>
      <c r="D467" s="14" t="s">
        <v>52</v>
      </c>
      <c r="E467" s="14" t="s">
        <v>53</v>
      </c>
      <c r="F467" s="14" t="s">
        <v>74</v>
      </c>
      <c r="G467" s="14" t="s">
        <v>75</v>
      </c>
      <c r="H467" s="0" t="n">
        <v>5</v>
      </c>
      <c r="I467" s="16" t="n">
        <v>84.61</v>
      </c>
      <c r="J467" s="16" t="n">
        <v>38</v>
      </c>
      <c r="K467" s="16" t="n">
        <f aca="false">H467*I467</f>
        <v>423.05</v>
      </c>
      <c r="L467" s="16" t="n">
        <f aca="false">H467*J467</f>
        <v>190</v>
      </c>
      <c r="M467" s="16" t="n">
        <f aca="false">K467-L467</f>
        <v>233.05</v>
      </c>
      <c r="N467" s="17" t="n">
        <f aca="false">IFERROR(M467/K467,0)</f>
        <v>0.550880510577946</v>
      </c>
    </row>
    <row r="468" customFormat="false" ht="15" hidden="false" customHeight="false" outlineLevel="0" collapsed="false">
      <c r="A468" s="15" t="n">
        <v>46043</v>
      </c>
      <c r="B468" s="14" t="s">
        <v>59</v>
      </c>
      <c r="C468" s="14" t="s">
        <v>60</v>
      </c>
      <c r="D468" s="14" t="s">
        <v>61</v>
      </c>
      <c r="E468" s="14" t="s">
        <v>76</v>
      </c>
      <c r="F468" s="14" t="s">
        <v>102</v>
      </c>
      <c r="G468" s="14" t="s">
        <v>103</v>
      </c>
      <c r="H468" s="0" t="n">
        <v>5</v>
      </c>
      <c r="I468" s="16" t="n">
        <v>23.2</v>
      </c>
      <c r="J468" s="16" t="n">
        <v>8.5</v>
      </c>
      <c r="K468" s="16" t="n">
        <f aca="false">H468*I468</f>
        <v>116</v>
      </c>
      <c r="L468" s="16" t="n">
        <f aca="false">H468*J468</f>
        <v>42.5</v>
      </c>
      <c r="M468" s="16" t="n">
        <f aca="false">K468-L468</f>
        <v>73.5</v>
      </c>
      <c r="N468" s="17" t="n">
        <f aca="false">IFERROR(M468/K468,0)</f>
        <v>0.633620689655172</v>
      </c>
    </row>
    <row r="469" customFormat="false" ht="15" hidden="false" customHeight="false" outlineLevel="0" collapsed="false">
      <c r="A469" s="15" t="n">
        <v>46043</v>
      </c>
      <c r="B469" s="14" t="s">
        <v>59</v>
      </c>
      <c r="C469" s="14" t="s">
        <v>60</v>
      </c>
      <c r="D469" s="14" t="s">
        <v>61</v>
      </c>
      <c r="E469" s="14" t="s">
        <v>56</v>
      </c>
      <c r="F469" s="14" t="s">
        <v>98</v>
      </c>
      <c r="G469" s="14" t="s">
        <v>99</v>
      </c>
      <c r="H469" s="0" t="n">
        <v>4</v>
      </c>
      <c r="I469" s="16" t="n">
        <v>21.39</v>
      </c>
      <c r="J469" s="16" t="n">
        <v>8</v>
      </c>
      <c r="K469" s="16" t="n">
        <f aca="false">H469*I469</f>
        <v>85.56</v>
      </c>
      <c r="L469" s="16" t="n">
        <f aca="false">H469*J469</f>
        <v>32</v>
      </c>
      <c r="M469" s="16" t="n">
        <f aca="false">K469-L469</f>
        <v>53.56</v>
      </c>
      <c r="N469" s="17" t="n">
        <f aca="false">IFERROR(M469/K469,0)</f>
        <v>0.625993454885461</v>
      </c>
    </row>
    <row r="470" customFormat="false" ht="15" hidden="false" customHeight="false" outlineLevel="0" collapsed="false">
      <c r="A470" s="15" t="n">
        <v>46043</v>
      </c>
      <c r="B470" s="14" t="s">
        <v>59</v>
      </c>
      <c r="C470" s="14" t="s">
        <v>60</v>
      </c>
      <c r="D470" s="14" t="s">
        <v>61</v>
      </c>
      <c r="E470" s="14" t="s">
        <v>53</v>
      </c>
      <c r="F470" s="14" t="s">
        <v>74</v>
      </c>
      <c r="G470" s="14" t="s">
        <v>75</v>
      </c>
      <c r="H470" s="0" t="n">
        <v>2</v>
      </c>
      <c r="I470" s="16" t="n">
        <v>85.19</v>
      </c>
      <c r="J470" s="16" t="n">
        <v>38</v>
      </c>
      <c r="K470" s="16" t="n">
        <f aca="false">H470*I470</f>
        <v>170.38</v>
      </c>
      <c r="L470" s="16" t="n">
        <f aca="false">H470*J470</f>
        <v>76</v>
      </c>
      <c r="M470" s="16" t="n">
        <f aca="false">K470-L470</f>
        <v>94.38</v>
      </c>
      <c r="N470" s="17" t="n">
        <f aca="false">IFERROR(M470/K470,0)</f>
        <v>0.55393825566381</v>
      </c>
    </row>
    <row r="471" customFormat="false" ht="15" hidden="false" customHeight="false" outlineLevel="0" collapsed="false">
      <c r="A471" s="15" t="n">
        <v>46043</v>
      </c>
      <c r="B471" s="14" t="s">
        <v>59</v>
      </c>
      <c r="C471" s="14" t="s">
        <v>60</v>
      </c>
      <c r="D471" s="14" t="s">
        <v>61</v>
      </c>
      <c r="E471" s="14" t="s">
        <v>53</v>
      </c>
      <c r="F471" s="14" t="s">
        <v>84</v>
      </c>
      <c r="G471" s="14" t="s">
        <v>85</v>
      </c>
      <c r="H471" s="0" t="n">
        <v>4</v>
      </c>
      <c r="I471" s="16" t="n">
        <v>24.38</v>
      </c>
      <c r="J471" s="16" t="n">
        <v>9</v>
      </c>
      <c r="K471" s="16" t="n">
        <f aca="false">H471*I471</f>
        <v>97.52</v>
      </c>
      <c r="L471" s="16" t="n">
        <f aca="false">H471*J471</f>
        <v>36</v>
      </c>
      <c r="M471" s="16" t="n">
        <f aca="false">K471-L471</f>
        <v>61.52</v>
      </c>
      <c r="N471" s="17" t="n">
        <f aca="false">IFERROR(M471/K471,0)</f>
        <v>0.63084495488105</v>
      </c>
    </row>
    <row r="472" customFormat="false" ht="15" hidden="false" customHeight="false" outlineLevel="0" collapsed="false">
      <c r="A472" s="15" t="n">
        <v>46043</v>
      </c>
      <c r="B472" s="14" t="s">
        <v>59</v>
      </c>
      <c r="C472" s="14" t="s">
        <v>60</v>
      </c>
      <c r="D472" s="14" t="s">
        <v>61</v>
      </c>
      <c r="E472" s="14" t="s">
        <v>76</v>
      </c>
      <c r="F472" s="14" t="s">
        <v>102</v>
      </c>
      <c r="G472" s="14" t="s">
        <v>103</v>
      </c>
      <c r="H472" s="0" t="n">
        <v>4</v>
      </c>
      <c r="I472" s="16" t="n">
        <v>22.5</v>
      </c>
      <c r="J472" s="16" t="n">
        <v>8.5</v>
      </c>
      <c r="K472" s="16" t="n">
        <f aca="false">H472*I472</f>
        <v>90</v>
      </c>
      <c r="L472" s="16" t="n">
        <f aca="false">H472*J472</f>
        <v>34</v>
      </c>
      <c r="M472" s="16" t="n">
        <f aca="false">K472-L472</f>
        <v>56</v>
      </c>
      <c r="N472" s="17" t="n">
        <f aca="false">IFERROR(M472/K472,0)</f>
        <v>0.622222222222222</v>
      </c>
    </row>
    <row r="473" customFormat="false" ht="15" hidden="false" customHeight="false" outlineLevel="0" collapsed="false">
      <c r="A473" s="15" t="n">
        <v>46043</v>
      </c>
      <c r="B473" s="14" t="s">
        <v>69</v>
      </c>
      <c r="C473" s="14" t="s">
        <v>70</v>
      </c>
      <c r="D473" s="14" t="s">
        <v>71</v>
      </c>
      <c r="E473" s="14" t="s">
        <v>64</v>
      </c>
      <c r="F473" s="14" t="s">
        <v>96</v>
      </c>
      <c r="G473" s="14" t="s">
        <v>97</v>
      </c>
      <c r="H473" s="0" t="n">
        <v>9</v>
      </c>
      <c r="I473" s="16" t="n">
        <v>57.81</v>
      </c>
      <c r="J473" s="16" t="n">
        <v>24</v>
      </c>
      <c r="K473" s="16" t="n">
        <f aca="false">H473*I473</f>
        <v>520.29</v>
      </c>
      <c r="L473" s="16" t="n">
        <f aca="false">H473*J473</f>
        <v>216</v>
      </c>
      <c r="M473" s="16" t="n">
        <f aca="false">K473-L473</f>
        <v>304.29</v>
      </c>
      <c r="N473" s="17" t="n">
        <f aca="false">IFERROR(M473/K473,0)</f>
        <v>0.58484691229891</v>
      </c>
    </row>
    <row r="474" customFormat="false" ht="15" hidden="false" customHeight="false" outlineLevel="0" collapsed="false">
      <c r="A474" s="15" t="n">
        <v>46043</v>
      </c>
      <c r="B474" s="14" t="s">
        <v>69</v>
      </c>
      <c r="C474" s="14" t="s">
        <v>70</v>
      </c>
      <c r="D474" s="14" t="s">
        <v>71</v>
      </c>
      <c r="E474" s="14" t="s">
        <v>56</v>
      </c>
      <c r="F474" s="14" t="s">
        <v>67</v>
      </c>
      <c r="G474" s="14" t="s">
        <v>68</v>
      </c>
      <c r="H474" s="0" t="n">
        <v>6</v>
      </c>
      <c r="I474" s="16" t="n">
        <v>37.09</v>
      </c>
      <c r="J474" s="16" t="n">
        <v>15</v>
      </c>
      <c r="K474" s="16" t="n">
        <f aca="false">H474*I474</f>
        <v>222.54</v>
      </c>
      <c r="L474" s="16" t="n">
        <f aca="false">H474*J474</f>
        <v>90</v>
      </c>
      <c r="M474" s="16" t="n">
        <f aca="false">K474-L474</f>
        <v>132.54</v>
      </c>
      <c r="N474" s="17" t="n">
        <f aca="false">IFERROR(M474/K474,0)</f>
        <v>0.595578322998113</v>
      </c>
    </row>
    <row r="475" customFormat="false" ht="15" hidden="false" customHeight="false" outlineLevel="0" collapsed="false">
      <c r="A475" s="15" t="n">
        <v>46043</v>
      </c>
      <c r="B475" s="14" t="s">
        <v>69</v>
      </c>
      <c r="C475" s="14" t="s">
        <v>70</v>
      </c>
      <c r="D475" s="14" t="s">
        <v>71</v>
      </c>
      <c r="E475" s="14" t="s">
        <v>64</v>
      </c>
      <c r="F475" s="14" t="s">
        <v>96</v>
      </c>
      <c r="G475" s="14" t="s">
        <v>97</v>
      </c>
      <c r="H475" s="0" t="n">
        <v>4</v>
      </c>
      <c r="I475" s="16" t="n">
        <v>57.49</v>
      </c>
      <c r="J475" s="16" t="n">
        <v>24</v>
      </c>
      <c r="K475" s="16" t="n">
        <f aca="false">H475*I475</f>
        <v>229.96</v>
      </c>
      <c r="L475" s="16" t="n">
        <f aca="false">H475*J475</f>
        <v>96</v>
      </c>
      <c r="M475" s="16" t="n">
        <f aca="false">K475-L475</f>
        <v>133.96</v>
      </c>
      <c r="N475" s="17" t="n">
        <f aca="false">IFERROR(M475/K475,0)</f>
        <v>0.582536093233606</v>
      </c>
    </row>
    <row r="476" customFormat="false" ht="15" hidden="false" customHeight="false" outlineLevel="0" collapsed="false">
      <c r="A476" s="15" t="n">
        <v>46043</v>
      </c>
      <c r="B476" s="14" t="s">
        <v>81</v>
      </c>
      <c r="C476" s="14" t="s">
        <v>82</v>
      </c>
      <c r="D476" s="14" t="s">
        <v>83</v>
      </c>
      <c r="E476" s="14" t="s">
        <v>45</v>
      </c>
      <c r="F476" s="14" t="s">
        <v>72</v>
      </c>
      <c r="G476" s="14" t="s">
        <v>73</v>
      </c>
      <c r="H476" s="0" t="n">
        <v>4</v>
      </c>
      <c r="I476" s="16" t="n">
        <v>48.16</v>
      </c>
      <c r="J476" s="16" t="n">
        <v>21</v>
      </c>
      <c r="K476" s="16" t="n">
        <f aca="false">H476*I476</f>
        <v>192.64</v>
      </c>
      <c r="L476" s="16" t="n">
        <f aca="false">H476*J476</f>
        <v>84</v>
      </c>
      <c r="M476" s="16" t="n">
        <f aca="false">K476-L476</f>
        <v>108.64</v>
      </c>
      <c r="N476" s="17" t="n">
        <f aca="false">IFERROR(M476/K476,0)</f>
        <v>0.563953488372093</v>
      </c>
    </row>
    <row r="477" customFormat="false" ht="15" hidden="false" customHeight="false" outlineLevel="0" collapsed="false">
      <c r="A477" s="15" t="n">
        <v>46043</v>
      </c>
      <c r="B477" s="14" t="s">
        <v>81</v>
      </c>
      <c r="C477" s="14" t="s">
        <v>82</v>
      </c>
      <c r="D477" s="14" t="s">
        <v>83</v>
      </c>
      <c r="E477" s="14" t="s">
        <v>56</v>
      </c>
      <c r="F477" s="14" t="s">
        <v>98</v>
      </c>
      <c r="G477" s="14" t="s">
        <v>99</v>
      </c>
      <c r="H477" s="0" t="n">
        <v>1</v>
      </c>
      <c r="I477" s="16" t="n">
        <v>21.7</v>
      </c>
      <c r="J477" s="16" t="n">
        <v>8</v>
      </c>
      <c r="K477" s="16" t="n">
        <f aca="false">H477*I477</f>
        <v>21.7</v>
      </c>
      <c r="L477" s="16" t="n">
        <f aca="false">H477*J477</f>
        <v>8</v>
      </c>
      <c r="M477" s="16" t="n">
        <f aca="false">K477-L477</f>
        <v>13.7</v>
      </c>
      <c r="N477" s="17" t="n">
        <f aca="false">IFERROR(M477/K477,0)</f>
        <v>0.631336405529954</v>
      </c>
    </row>
    <row r="478" customFormat="false" ht="15" hidden="false" customHeight="false" outlineLevel="0" collapsed="false">
      <c r="A478" s="15" t="n">
        <v>46043</v>
      </c>
      <c r="B478" s="14" t="s">
        <v>81</v>
      </c>
      <c r="C478" s="14" t="s">
        <v>82</v>
      </c>
      <c r="D478" s="14" t="s">
        <v>83</v>
      </c>
      <c r="E478" s="14" t="s">
        <v>56</v>
      </c>
      <c r="F478" s="14" t="s">
        <v>86</v>
      </c>
      <c r="G478" s="14" t="s">
        <v>87</v>
      </c>
      <c r="H478" s="0" t="n">
        <v>2</v>
      </c>
      <c r="I478" s="16" t="n">
        <v>14</v>
      </c>
      <c r="J478" s="16" t="n">
        <v>5</v>
      </c>
      <c r="K478" s="16" t="n">
        <f aca="false">H478*I478</f>
        <v>28</v>
      </c>
      <c r="L478" s="16" t="n">
        <f aca="false">H478*J478</f>
        <v>10</v>
      </c>
      <c r="M478" s="16" t="n">
        <f aca="false">K478-L478</f>
        <v>18</v>
      </c>
      <c r="N478" s="17" t="n">
        <f aca="false">IFERROR(M478/K478,0)</f>
        <v>0.642857142857143</v>
      </c>
    </row>
    <row r="479" customFormat="false" ht="15" hidden="false" customHeight="false" outlineLevel="0" collapsed="false">
      <c r="A479" s="15" t="n">
        <v>46043</v>
      </c>
      <c r="B479" s="14" t="s">
        <v>81</v>
      </c>
      <c r="C479" s="14" t="s">
        <v>82</v>
      </c>
      <c r="D479" s="14" t="s">
        <v>83</v>
      </c>
      <c r="E479" s="14" t="s">
        <v>56</v>
      </c>
      <c r="F479" s="14" t="s">
        <v>57</v>
      </c>
      <c r="G479" s="14" t="s">
        <v>58</v>
      </c>
      <c r="H479" s="0" t="n">
        <v>2</v>
      </c>
      <c r="I479" s="16" t="n">
        <v>26.31</v>
      </c>
      <c r="J479" s="16" t="n">
        <v>10</v>
      </c>
      <c r="K479" s="16" t="n">
        <f aca="false">H479*I479</f>
        <v>52.62</v>
      </c>
      <c r="L479" s="16" t="n">
        <f aca="false">H479*J479</f>
        <v>20</v>
      </c>
      <c r="M479" s="16" t="n">
        <f aca="false">K479-L479</f>
        <v>32.62</v>
      </c>
      <c r="N479" s="17" t="n">
        <f aca="false">IFERROR(M479/K479,0)</f>
        <v>0.619916381603953</v>
      </c>
    </row>
    <row r="480" customFormat="false" ht="15" hidden="false" customHeight="false" outlineLevel="0" collapsed="false">
      <c r="A480" s="15" t="n">
        <v>46043</v>
      </c>
      <c r="B480" s="14" t="s">
        <v>81</v>
      </c>
      <c r="C480" s="14" t="s">
        <v>82</v>
      </c>
      <c r="D480" s="14" t="s">
        <v>83</v>
      </c>
      <c r="E480" s="14" t="s">
        <v>56</v>
      </c>
      <c r="F480" s="14" t="s">
        <v>57</v>
      </c>
      <c r="G480" s="14" t="s">
        <v>58</v>
      </c>
      <c r="H480" s="0" t="n">
        <v>2</v>
      </c>
      <c r="I480" s="16" t="n">
        <v>26.78</v>
      </c>
      <c r="J480" s="16" t="n">
        <v>10</v>
      </c>
      <c r="K480" s="16" t="n">
        <f aca="false">H480*I480</f>
        <v>53.56</v>
      </c>
      <c r="L480" s="16" t="n">
        <f aca="false">H480*J480</f>
        <v>20</v>
      </c>
      <c r="M480" s="16" t="n">
        <f aca="false">K480-L480</f>
        <v>33.56</v>
      </c>
      <c r="N480" s="17" t="n">
        <f aca="false">IFERROR(M480/K480,0)</f>
        <v>0.626587005227782</v>
      </c>
    </row>
    <row r="481" customFormat="false" ht="15" hidden="false" customHeight="false" outlineLevel="0" collapsed="false">
      <c r="A481" s="15" t="n">
        <v>46043</v>
      </c>
      <c r="B481" s="14" t="s">
        <v>81</v>
      </c>
      <c r="C481" s="14" t="s">
        <v>82</v>
      </c>
      <c r="D481" s="14" t="s">
        <v>83</v>
      </c>
      <c r="E481" s="14" t="s">
        <v>64</v>
      </c>
      <c r="F481" s="14" t="s">
        <v>65</v>
      </c>
      <c r="G481" s="14" t="s">
        <v>66</v>
      </c>
      <c r="H481" s="0" t="n">
        <v>8</v>
      </c>
      <c r="I481" s="16" t="n">
        <v>73.51</v>
      </c>
      <c r="J481" s="16" t="n">
        <v>34</v>
      </c>
      <c r="K481" s="16" t="n">
        <f aca="false">H481*I481</f>
        <v>588.08</v>
      </c>
      <c r="L481" s="16" t="n">
        <f aca="false">H481*J481</f>
        <v>272</v>
      </c>
      <c r="M481" s="16" t="n">
        <f aca="false">K481-L481</f>
        <v>316.08</v>
      </c>
      <c r="N481" s="17" t="n">
        <f aca="false">IFERROR(M481/K481,0)</f>
        <v>0.537477894164059</v>
      </c>
    </row>
    <row r="482" customFormat="false" ht="15" hidden="false" customHeight="false" outlineLevel="0" collapsed="false">
      <c r="A482" s="15" t="n">
        <v>46043</v>
      </c>
      <c r="B482" s="14" t="s">
        <v>88</v>
      </c>
      <c r="C482" s="14" t="s">
        <v>89</v>
      </c>
      <c r="D482" s="14" t="s">
        <v>44</v>
      </c>
      <c r="E482" s="14" t="s">
        <v>64</v>
      </c>
      <c r="F482" s="14" t="s">
        <v>65</v>
      </c>
      <c r="G482" s="14" t="s">
        <v>66</v>
      </c>
      <c r="H482" s="0" t="n">
        <v>11</v>
      </c>
      <c r="I482" s="16" t="n">
        <v>76.93</v>
      </c>
      <c r="J482" s="16" t="n">
        <v>34</v>
      </c>
      <c r="K482" s="16" t="n">
        <f aca="false">H482*I482</f>
        <v>846.23</v>
      </c>
      <c r="L482" s="16" t="n">
        <f aca="false">H482*J482</f>
        <v>374</v>
      </c>
      <c r="M482" s="16" t="n">
        <f aca="false">K482-L482</f>
        <v>472.23</v>
      </c>
      <c r="N482" s="17" t="n">
        <f aca="false">IFERROR(M482/K482,0)</f>
        <v>0.558039776420122</v>
      </c>
    </row>
    <row r="483" customFormat="false" ht="15" hidden="false" customHeight="false" outlineLevel="0" collapsed="false">
      <c r="A483" s="15" t="n">
        <v>46043</v>
      </c>
      <c r="B483" s="14" t="s">
        <v>88</v>
      </c>
      <c r="C483" s="14" t="s">
        <v>89</v>
      </c>
      <c r="D483" s="14" t="s">
        <v>44</v>
      </c>
      <c r="E483" s="14" t="s">
        <v>76</v>
      </c>
      <c r="F483" s="14" t="s">
        <v>79</v>
      </c>
      <c r="G483" s="14" t="s">
        <v>80</v>
      </c>
      <c r="H483" s="0" t="n">
        <v>8</v>
      </c>
      <c r="I483" s="16" t="n">
        <v>28.21</v>
      </c>
      <c r="J483" s="16" t="n">
        <v>11</v>
      </c>
      <c r="K483" s="16" t="n">
        <f aca="false">H483*I483</f>
        <v>225.68</v>
      </c>
      <c r="L483" s="16" t="n">
        <f aca="false">H483*J483</f>
        <v>88</v>
      </c>
      <c r="M483" s="16" t="n">
        <f aca="false">K483-L483</f>
        <v>137.68</v>
      </c>
      <c r="N483" s="17" t="n">
        <f aca="false">IFERROR(M483/K483,0)</f>
        <v>0.610067352002836</v>
      </c>
    </row>
    <row r="484" customFormat="false" ht="15" hidden="false" customHeight="false" outlineLevel="0" collapsed="false">
      <c r="A484" s="15" t="n">
        <v>46043</v>
      </c>
      <c r="B484" s="14" t="s">
        <v>88</v>
      </c>
      <c r="C484" s="14" t="s">
        <v>89</v>
      </c>
      <c r="D484" s="14" t="s">
        <v>44</v>
      </c>
      <c r="E484" s="14" t="s">
        <v>45</v>
      </c>
      <c r="F484" s="14" t="s">
        <v>62</v>
      </c>
      <c r="G484" s="14" t="s">
        <v>63</v>
      </c>
      <c r="H484" s="0" t="n">
        <v>2</v>
      </c>
      <c r="I484" s="16" t="n">
        <v>16.63</v>
      </c>
      <c r="J484" s="16" t="n">
        <v>6.5</v>
      </c>
      <c r="K484" s="16" t="n">
        <f aca="false">H484*I484</f>
        <v>33.26</v>
      </c>
      <c r="L484" s="16" t="n">
        <f aca="false">H484*J484</f>
        <v>13</v>
      </c>
      <c r="M484" s="16" t="n">
        <f aca="false">K484-L484</f>
        <v>20.26</v>
      </c>
      <c r="N484" s="17" t="n">
        <f aca="false">IFERROR(M484/K484,0)</f>
        <v>0.609140108238124</v>
      </c>
    </row>
    <row r="485" customFormat="false" ht="15" hidden="false" customHeight="false" outlineLevel="0" collapsed="false">
      <c r="A485" s="15" t="n">
        <v>46043</v>
      </c>
      <c r="B485" s="14" t="s">
        <v>88</v>
      </c>
      <c r="C485" s="14" t="s">
        <v>89</v>
      </c>
      <c r="D485" s="14" t="s">
        <v>44</v>
      </c>
      <c r="E485" s="14" t="s">
        <v>76</v>
      </c>
      <c r="F485" s="14" t="s">
        <v>79</v>
      </c>
      <c r="G485" s="14" t="s">
        <v>80</v>
      </c>
      <c r="H485" s="0" t="n">
        <v>1</v>
      </c>
      <c r="I485" s="16" t="n">
        <v>29.84</v>
      </c>
      <c r="J485" s="16" t="n">
        <v>11</v>
      </c>
      <c r="K485" s="16" t="n">
        <f aca="false">H485*I485</f>
        <v>29.84</v>
      </c>
      <c r="L485" s="16" t="n">
        <f aca="false">H485*J485</f>
        <v>11</v>
      </c>
      <c r="M485" s="16" t="n">
        <f aca="false">K485-L485</f>
        <v>18.84</v>
      </c>
      <c r="N485" s="17" t="n">
        <f aca="false">IFERROR(M485/K485,0)</f>
        <v>0.631367292225201</v>
      </c>
    </row>
    <row r="486" customFormat="false" ht="15" hidden="false" customHeight="false" outlineLevel="0" collapsed="false">
      <c r="A486" s="15" t="n">
        <v>46043</v>
      </c>
      <c r="B486" s="14" t="s">
        <v>88</v>
      </c>
      <c r="C486" s="14" t="s">
        <v>89</v>
      </c>
      <c r="D486" s="14" t="s">
        <v>44</v>
      </c>
      <c r="E486" s="14" t="s">
        <v>45</v>
      </c>
      <c r="F486" s="14" t="s">
        <v>72</v>
      </c>
      <c r="G486" s="14" t="s">
        <v>73</v>
      </c>
      <c r="H486" s="0" t="n">
        <v>1</v>
      </c>
      <c r="I486" s="16" t="n">
        <v>49.03</v>
      </c>
      <c r="J486" s="16" t="n">
        <v>21</v>
      </c>
      <c r="K486" s="16" t="n">
        <f aca="false">H486*I486</f>
        <v>49.03</v>
      </c>
      <c r="L486" s="16" t="n">
        <f aca="false">H486*J486</f>
        <v>21</v>
      </c>
      <c r="M486" s="16" t="n">
        <f aca="false">K486-L486</f>
        <v>28.03</v>
      </c>
      <c r="N486" s="17" t="n">
        <f aca="false">IFERROR(M486/K486,0)</f>
        <v>0.571690801550071</v>
      </c>
    </row>
    <row r="487" customFormat="false" ht="15" hidden="false" customHeight="false" outlineLevel="0" collapsed="false">
      <c r="A487" s="15" t="n">
        <v>46044</v>
      </c>
      <c r="B487" s="14" t="s">
        <v>42</v>
      </c>
      <c r="C487" s="14" t="s">
        <v>43</v>
      </c>
      <c r="D487" s="14" t="s">
        <v>44</v>
      </c>
      <c r="E487" s="14" t="s">
        <v>53</v>
      </c>
      <c r="F487" s="14" t="s">
        <v>84</v>
      </c>
      <c r="G487" s="14" t="s">
        <v>85</v>
      </c>
      <c r="H487" s="0" t="n">
        <v>7</v>
      </c>
      <c r="I487" s="16" t="n">
        <v>24.99</v>
      </c>
      <c r="J487" s="16" t="n">
        <v>9</v>
      </c>
      <c r="K487" s="16" t="n">
        <f aca="false">H487*I487</f>
        <v>174.93</v>
      </c>
      <c r="L487" s="16" t="n">
        <f aca="false">H487*J487</f>
        <v>63</v>
      </c>
      <c r="M487" s="16" t="n">
        <f aca="false">K487-L487</f>
        <v>111.93</v>
      </c>
      <c r="N487" s="17" t="n">
        <f aca="false">IFERROR(M487/K487,0)</f>
        <v>0.639855942376951</v>
      </c>
    </row>
    <row r="488" customFormat="false" ht="15" hidden="false" customHeight="false" outlineLevel="0" collapsed="false">
      <c r="A488" s="15" t="n">
        <v>46044</v>
      </c>
      <c r="B488" s="14" t="s">
        <v>42</v>
      </c>
      <c r="C488" s="14" t="s">
        <v>43</v>
      </c>
      <c r="D488" s="14" t="s">
        <v>44</v>
      </c>
      <c r="E488" s="14" t="s">
        <v>64</v>
      </c>
      <c r="F488" s="14" t="s">
        <v>90</v>
      </c>
      <c r="G488" s="14" t="s">
        <v>91</v>
      </c>
      <c r="H488" s="0" t="n">
        <v>12</v>
      </c>
      <c r="I488" s="16" t="n">
        <v>11.4</v>
      </c>
      <c r="J488" s="16" t="n">
        <v>3.5</v>
      </c>
      <c r="K488" s="16" t="n">
        <f aca="false">H488*I488</f>
        <v>136.8</v>
      </c>
      <c r="L488" s="16" t="n">
        <f aca="false">H488*J488</f>
        <v>42</v>
      </c>
      <c r="M488" s="16" t="n">
        <f aca="false">K488-L488</f>
        <v>94.8</v>
      </c>
      <c r="N488" s="17" t="n">
        <f aca="false">IFERROR(M488/K488,0)</f>
        <v>0.692982456140351</v>
      </c>
    </row>
    <row r="489" customFormat="false" ht="15" hidden="false" customHeight="false" outlineLevel="0" collapsed="false">
      <c r="A489" s="15" t="n">
        <v>46044</v>
      </c>
      <c r="B489" s="14" t="s">
        <v>42</v>
      </c>
      <c r="C489" s="14" t="s">
        <v>43</v>
      </c>
      <c r="D489" s="14" t="s">
        <v>44</v>
      </c>
      <c r="E489" s="14" t="s">
        <v>56</v>
      </c>
      <c r="F489" s="14" t="s">
        <v>86</v>
      </c>
      <c r="G489" s="14" t="s">
        <v>87</v>
      </c>
      <c r="H489" s="0" t="n">
        <v>8</v>
      </c>
      <c r="I489" s="16" t="n">
        <v>13.94</v>
      </c>
      <c r="J489" s="16" t="n">
        <v>5</v>
      </c>
      <c r="K489" s="16" t="n">
        <f aca="false">H489*I489</f>
        <v>111.52</v>
      </c>
      <c r="L489" s="16" t="n">
        <f aca="false">H489*J489</f>
        <v>40</v>
      </c>
      <c r="M489" s="16" t="n">
        <f aca="false">K489-L489</f>
        <v>71.52</v>
      </c>
      <c r="N489" s="17" t="n">
        <f aca="false">IFERROR(M489/K489,0)</f>
        <v>0.641319942611191</v>
      </c>
    </row>
    <row r="490" customFormat="false" ht="15" hidden="false" customHeight="false" outlineLevel="0" collapsed="false">
      <c r="A490" s="15" t="n">
        <v>46044</v>
      </c>
      <c r="B490" s="14" t="s">
        <v>50</v>
      </c>
      <c r="C490" s="14" t="s">
        <v>51</v>
      </c>
      <c r="D490" s="14" t="s">
        <v>52</v>
      </c>
      <c r="E490" s="14" t="s">
        <v>64</v>
      </c>
      <c r="F490" s="14" t="s">
        <v>96</v>
      </c>
      <c r="G490" s="14" t="s">
        <v>97</v>
      </c>
      <c r="H490" s="0" t="n">
        <v>6</v>
      </c>
      <c r="I490" s="16" t="n">
        <v>58.22</v>
      </c>
      <c r="J490" s="16" t="n">
        <v>24</v>
      </c>
      <c r="K490" s="16" t="n">
        <f aca="false">H490*I490</f>
        <v>349.32</v>
      </c>
      <c r="L490" s="16" t="n">
        <f aca="false">H490*J490</f>
        <v>144</v>
      </c>
      <c r="M490" s="16" t="n">
        <f aca="false">K490-L490</f>
        <v>205.32</v>
      </c>
      <c r="N490" s="17" t="n">
        <f aca="false">IFERROR(M490/K490,0)</f>
        <v>0.58777052559258</v>
      </c>
    </row>
    <row r="491" customFormat="false" ht="15" hidden="false" customHeight="false" outlineLevel="0" collapsed="false">
      <c r="A491" s="15" t="n">
        <v>46044</v>
      </c>
      <c r="B491" s="14" t="s">
        <v>50</v>
      </c>
      <c r="C491" s="14" t="s">
        <v>51</v>
      </c>
      <c r="D491" s="14" t="s">
        <v>52</v>
      </c>
      <c r="E491" s="14" t="s">
        <v>45</v>
      </c>
      <c r="F491" s="14" t="s">
        <v>46</v>
      </c>
      <c r="G491" s="14" t="s">
        <v>47</v>
      </c>
      <c r="H491" s="0" t="n">
        <v>9</v>
      </c>
      <c r="I491" s="16" t="n">
        <v>43.82</v>
      </c>
      <c r="J491" s="16" t="n">
        <v>18</v>
      </c>
      <c r="K491" s="16" t="n">
        <f aca="false">H491*I491</f>
        <v>394.38</v>
      </c>
      <c r="L491" s="16" t="n">
        <f aca="false">H491*J491</f>
        <v>162</v>
      </c>
      <c r="M491" s="16" t="n">
        <f aca="false">K491-L491</f>
        <v>232.38</v>
      </c>
      <c r="N491" s="17" t="n">
        <f aca="false">IFERROR(M491/K491,0)</f>
        <v>0.589228662711091</v>
      </c>
    </row>
    <row r="492" customFormat="false" ht="15" hidden="false" customHeight="false" outlineLevel="0" collapsed="false">
      <c r="A492" s="15" t="n">
        <v>46044</v>
      </c>
      <c r="B492" s="14" t="s">
        <v>50</v>
      </c>
      <c r="C492" s="14" t="s">
        <v>51</v>
      </c>
      <c r="D492" s="14" t="s">
        <v>52</v>
      </c>
      <c r="E492" s="14" t="s">
        <v>56</v>
      </c>
      <c r="F492" s="14" t="s">
        <v>57</v>
      </c>
      <c r="G492" s="14" t="s">
        <v>58</v>
      </c>
      <c r="H492" s="0" t="n">
        <v>8</v>
      </c>
      <c r="I492" s="16" t="n">
        <v>26.62</v>
      </c>
      <c r="J492" s="16" t="n">
        <v>10</v>
      </c>
      <c r="K492" s="16" t="n">
        <f aca="false">H492*I492</f>
        <v>212.96</v>
      </c>
      <c r="L492" s="16" t="n">
        <f aca="false">H492*J492</f>
        <v>80</v>
      </c>
      <c r="M492" s="16" t="n">
        <f aca="false">K492-L492</f>
        <v>132.96</v>
      </c>
      <c r="N492" s="17" t="n">
        <f aca="false">IFERROR(M492/K492,0)</f>
        <v>0.624342599549211</v>
      </c>
    </row>
    <row r="493" customFormat="false" ht="15" hidden="false" customHeight="false" outlineLevel="0" collapsed="false">
      <c r="A493" s="15" t="n">
        <v>46044</v>
      </c>
      <c r="B493" s="14" t="s">
        <v>50</v>
      </c>
      <c r="C493" s="14" t="s">
        <v>51</v>
      </c>
      <c r="D493" s="14" t="s">
        <v>52</v>
      </c>
      <c r="E493" s="14" t="s">
        <v>53</v>
      </c>
      <c r="F493" s="14" t="s">
        <v>84</v>
      </c>
      <c r="G493" s="14" t="s">
        <v>85</v>
      </c>
      <c r="H493" s="0" t="n">
        <v>6</v>
      </c>
      <c r="I493" s="16" t="n">
        <v>23.31</v>
      </c>
      <c r="J493" s="16" t="n">
        <v>9</v>
      </c>
      <c r="K493" s="16" t="n">
        <f aca="false">H493*I493</f>
        <v>139.86</v>
      </c>
      <c r="L493" s="16" t="n">
        <f aca="false">H493*J493</f>
        <v>54</v>
      </c>
      <c r="M493" s="16" t="n">
        <f aca="false">K493-L493</f>
        <v>85.86</v>
      </c>
      <c r="N493" s="17" t="n">
        <f aca="false">IFERROR(M493/K493,0)</f>
        <v>0.613899613899614</v>
      </c>
    </row>
    <row r="494" customFormat="false" ht="15" hidden="false" customHeight="false" outlineLevel="0" collapsed="false">
      <c r="A494" s="15" t="n">
        <v>46044</v>
      </c>
      <c r="B494" s="14" t="s">
        <v>50</v>
      </c>
      <c r="C494" s="14" t="s">
        <v>51</v>
      </c>
      <c r="D494" s="14" t="s">
        <v>52</v>
      </c>
      <c r="E494" s="14" t="s">
        <v>53</v>
      </c>
      <c r="F494" s="14" t="s">
        <v>74</v>
      </c>
      <c r="G494" s="14" t="s">
        <v>75</v>
      </c>
      <c r="H494" s="0" t="n">
        <v>1</v>
      </c>
      <c r="I494" s="16" t="n">
        <v>87.64</v>
      </c>
      <c r="J494" s="16" t="n">
        <v>38</v>
      </c>
      <c r="K494" s="16" t="n">
        <f aca="false">H494*I494</f>
        <v>87.64</v>
      </c>
      <c r="L494" s="16" t="n">
        <f aca="false">H494*J494</f>
        <v>38</v>
      </c>
      <c r="M494" s="16" t="n">
        <f aca="false">K494-L494</f>
        <v>49.64</v>
      </c>
      <c r="N494" s="17" t="n">
        <f aca="false">IFERROR(M494/K494,0)</f>
        <v>0.566408032861707</v>
      </c>
    </row>
    <row r="495" customFormat="false" ht="15" hidden="false" customHeight="false" outlineLevel="0" collapsed="false">
      <c r="A495" s="15" t="n">
        <v>46044</v>
      </c>
      <c r="B495" s="14" t="s">
        <v>50</v>
      </c>
      <c r="C495" s="14" t="s">
        <v>51</v>
      </c>
      <c r="D495" s="14" t="s">
        <v>52</v>
      </c>
      <c r="E495" s="14" t="s">
        <v>64</v>
      </c>
      <c r="F495" s="14" t="s">
        <v>65</v>
      </c>
      <c r="G495" s="14" t="s">
        <v>66</v>
      </c>
      <c r="H495" s="0" t="n">
        <v>6</v>
      </c>
      <c r="I495" s="16" t="n">
        <v>73.98</v>
      </c>
      <c r="J495" s="16" t="n">
        <v>34</v>
      </c>
      <c r="K495" s="16" t="n">
        <f aca="false">H495*I495</f>
        <v>443.88</v>
      </c>
      <c r="L495" s="16" t="n">
        <f aca="false">H495*J495</f>
        <v>204</v>
      </c>
      <c r="M495" s="16" t="n">
        <f aca="false">K495-L495</f>
        <v>239.88</v>
      </c>
      <c r="N495" s="17" t="n">
        <f aca="false">IFERROR(M495/K495,0)</f>
        <v>0.540416328737497</v>
      </c>
    </row>
    <row r="496" customFormat="false" ht="15" hidden="false" customHeight="false" outlineLevel="0" collapsed="false">
      <c r="A496" s="15" t="n">
        <v>46044</v>
      </c>
      <c r="B496" s="14" t="s">
        <v>59</v>
      </c>
      <c r="C496" s="14" t="s">
        <v>60</v>
      </c>
      <c r="D496" s="14" t="s">
        <v>61</v>
      </c>
      <c r="E496" s="14" t="s">
        <v>56</v>
      </c>
      <c r="F496" s="14" t="s">
        <v>98</v>
      </c>
      <c r="G496" s="14" t="s">
        <v>99</v>
      </c>
      <c r="H496" s="0" t="n">
        <v>7</v>
      </c>
      <c r="I496" s="16" t="n">
        <v>21.29</v>
      </c>
      <c r="J496" s="16" t="n">
        <v>8</v>
      </c>
      <c r="K496" s="16" t="n">
        <f aca="false">H496*I496</f>
        <v>149.03</v>
      </c>
      <c r="L496" s="16" t="n">
        <f aca="false">H496*J496</f>
        <v>56</v>
      </c>
      <c r="M496" s="16" t="n">
        <f aca="false">K496-L496</f>
        <v>93.03</v>
      </c>
      <c r="N496" s="17" t="n">
        <f aca="false">IFERROR(M496/K496,0)</f>
        <v>0.624236730859558</v>
      </c>
    </row>
    <row r="497" customFormat="false" ht="15" hidden="false" customHeight="false" outlineLevel="0" collapsed="false">
      <c r="A497" s="15" t="n">
        <v>46044</v>
      </c>
      <c r="B497" s="14" t="s">
        <v>59</v>
      </c>
      <c r="C497" s="14" t="s">
        <v>60</v>
      </c>
      <c r="D497" s="14" t="s">
        <v>61</v>
      </c>
      <c r="E497" s="14" t="s">
        <v>45</v>
      </c>
      <c r="F497" s="14" t="s">
        <v>62</v>
      </c>
      <c r="G497" s="14" t="s">
        <v>63</v>
      </c>
      <c r="H497" s="0" t="n">
        <v>1</v>
      </c>
      <c r="I497" s="16" t="n">
        <v>17.14</v>
      </c>
      <c r="J497" s="16" t="n">
        <v>6.5</v>
      </c>
      <c r="K497" s="16" t="n">
        <f aca="false">H497*I497</f>
        <v>17.14</v>
      </c>
      <c r="L497" s="16" t="n">
        <f aca="false">H497*J497</f>
        <v>6.5</v>
      </c>
      <c r="M497" s="16" t="n">
        <f aca="false">K497-L497</f>
        <v>10.64</v>
      </c>
      <c r="N497" s="17" t="n">
        <f aca="false">IFERROR(M497/K497,0)</f>
        <v>0.620770128354726</v>
      </c>
    </row>
    <row r="498" customFormat="false" ht="15" hidden="false" customHeight="false" outlineLevel="0" collapsed="false">
      <c r="A498" s="15" t="n">
        <v>46044</v>
      </c>
      <c r="B498" s="14" t="s">
        <v>69</v>
      </c>
      <c r="C498" s="14" t="s">
        <v>70</v>
      </c>
      <c r="D498" s="14" t="s">
        <v>71</v>
      </c>
      <c r="E498" s="14" t="s">
        <v>56</v>
      </c>
      <c r="F498" s="14" t="s">
        <v>86</v>
      </c>
      <c r="G498" s="14" t="s">
        <v>87</v>
      </c>
      <c r="H498" s="0" t="n">
        <v>1</v>
      </c>
      <c r="I498" s="16" t="n">
        <v>13.97</v>
      </c>
      <c r="J498" s="16" t="n">
        <v>5</v>
      </c>
      <c r="K498" s="16" t="n">
        <f aca="false">H498*I498</f>
        <v>13.97</v>
      </c>
      <c r="L498" s="16" t="n">
        <f aca="false">H498*J498</f>
        <v>5</v>
      </c>
      <c r="M498" s="16" t="n">
        <f aca="false">K498-L498</f>
        <v>8.97</v>
      </c>
      <c r="N498" s="17" t="n">
        <f aca="false">IFERROR(M498/K498,0)</f>
        <v>0.642090193271296</v>
      </c>
    </row>
    <row r="499" customFormat="false" ht="15" hidden="false" customHeight="false" outlineLevel="0" collapsed="false">
      <c r="A499" s="15" t="n">
        <v>46044</v>
      </c>
      <c r="B499" s="14" t="s">
        <v>69</v>
      </c>
      <c r="C499" s="14" t="s">
        <v>70</v>
      </c>
      <c r="D499" s="14" t="s">
        <v>71</v>
      </c>
      <c r="E499" s="14" t="s">
        <v>76</v>
      </c>
      <c r="F499" s="14" t="s">
        <v>77</v>
      </c>
      <c r="G499" s="14" t="s">
        <v>78</v>
      </c>
      <c r="H499" s="0" t="n">
        <v>6</v>
      </c>
      <c r="I499" s="16" t="n">
        <v>40.58</v>
      </c>
      <c r="J499" s="16" t="n">
        <v>15</v>
      </c>
      <c r="K499" s="16" t="n">
        <f aca="false">H499*I499</f>
        <v>243.48</v>
      </c>
      <c r="L499" s="16" t="n">
        <f aca="false">H499*J499</f>
        <v>90</v>
      </c>
      <c r="M499" s="16" t="n">
        <f aca="false">K499-L499</f>
        <v>153.48</v>
      </c>
      <c r="N499" s="17" t="n">
        <f aca="false">IFERROR(M499/K499,0)</f>
        <v>0.630359783144406</v>
      </c>
    </row>
    <row r="500" customFormat="false" ht="15" hidden="false" customHeight="false" outlineLevel="0" collapsed="false">
      <c r="A500" s="15" t="n">
        <v>46044</v>
      </c>
      <c r="B500" s="14" t="s">
        <v>69</v>
      </c>
      <c r="C500" s="14" t="s">
        <v>70</v>
      </c>
      <c r="D500" s="14" t="s">
        <v>71</v>
      </c>
      <c r="E500" s="14" t="s">
        <v>76</v>
      </c>
      <c r="F500" s="14" t="s">
        <v>77</v>
      </c>
      <c r="G500" s="14" t="s">
        <v>78</v>
      </c>
      <c r="H500" s="0" t="n">
        <v>5</v>
      </c>
      <c r="I500" s="16" t="n">
        <v>41.58</v>
      </c>
      <c r="J500" s="16" t="n">
        <v>15</v>
      </c>
      <c r="K500" s="16" t="n">
        <f aca="false">H500*I500</f>
        <v>207.9</v>
      </c>
      <c r="L500" s="16" t="n">
        <f aca="false">H500*J500</f>
        <v>75</v>
      </c>
      <c r="M500" s="16" t="n">
        <f aca="false">K500-L500</f>
        <v>132.9</v>
      </c>
      <c r="N500" s="17" t="n">
        <f aca="false">IFERROR(M500/K500,0)</f>
        <v>0.639249639249639</v>
      </c>
    </row>
    <row r="501" customFormat="false" ht="15" hidden="false" customHeight="false" outlineLevel="0" collapsed="false">
      <c r="A501" s="15" t="n">
        <v>46044</v>
      </c>
      <c r="B501" s="14" t="s">
        <v>81</v>
      </c>
      <c r="C501" s="14" t="s">
        <v>82</v>
      </c>
      <c r="D501" s="14" t="s">
        <v>83</v>
      </c>
      <c r="E501" s="14" t="s">
        <v>53</v>
      </c>
      <c r="F501" s="14" t="s">
        <v>84</v>
      </c>
      <c r="G501" s="14" t="s">
        <v>85</v>
      </c>
      <c r="H501" s="0" t="n">
        <v>3</v>
      </c>
      <c r="I501" s="16" t="n">
        <v>23.55</v>
      </c>
      <c r="J501" s="16" t="n">
        <v>9</v>
      </c>
      <c r="K501" s="16" t="n">
        <f aca="false">H501*I501</f>
        <v>70.65</v>
      </c>
      <c r="L501" s="16" t="n">
        <f aca="false">H501*J501</f>
        <v>27</v>
      </c>
      <c r="M501" s="16" t="n">
        <f aca="false">K501-L501</f>
        <v>43.65</v>
      </c>
      <c r="N501" s="17" t="n">
        <f aca="false">IFERROR(M501/K501,0)</f>
        <v>0.617834394904459</v>
      </c>
    </row>
    <row r="502" customFormat="false" ht="15" hidden="false" customHeight="false" outlineLevel="0" collapsed="false">
      <c r="A502" s="15" t="n">
        <v>46044</v>
      </c>
      <c r="B502" s="14" t="s">
        <v>81</v>
      </c>
      <c r="C502" s="14" t="s">
        <v>82</v>
      </c>
      <c r="D502" s="14" t="s">
        <v>83</v>
      </c>
      <c r="E502" s="14" t="s">
        <v>56</v>
      </c>
      <c r="F502" s="14" t="s">
        <v>86</v>
      </c>
      <c r="G502" s="14" t="s">
        <v>87</v>
      </c>
      <c r="H502" s="0" t="n">
        <v>5</v>
      </c>
      <c r="I502" s="16" t="n">
        <v>14.47</v>
      </c>
      <c r="J502" s="16" t="n">
        <v>5</v>
      </c>
      <c r="K502" s="16" t="n">
        <f aca="false">H502*I502</f>
        <v>72.35</v>
      </c>
      <c r="L502" s="16" t="n">
        <f aca="false">H502*J502</f>
        <v>25</v>
      </c>
      <c r="M502" s="16" t="n">
        <f aca="false">K502-L502</f>
        <v>47.35</v>
      </c>
      <c r="N502" s="17" t="n">
        <f aca="false">IFERROR(M502/K502,0)</f>
        <v>0.654457498272288</v>
      </c>
    </row>
    <row r="503" customFormat="false" ht="15" hidden="false" customHeight="false" outlineLevel="0" collapsed="false">
      <c r="A503" s="15" t="n">
        <v>46044</v>
      </c>
      <c r="B503" s="14" t="s">
        <v>81</v>
      </c>
      <c r="C503" s="14" t="s">
        <v>82</v>
      </c>
      <c r="D503" s="14" t="s">
        <v>83</v>
      </c>
      <c r="E503" s="14" t="s">
        <v>45</v>
      </c>
      <c r="F503" s="14" t="s">
        <v>46</v>
      </c>
      <c r="G503" s="14" t="s">
        <v>47</v>
      </c>
      <c r="H503" s="0" t="n">
        <v>5</v>
      </c>
      <c r="I503" s="16" t="n">
        <v>44.23</v>
      </c>
      <c r="J503" s="16" t="n">
        <v>18</v>
      </c>
      <c r="K503" s="16" t="n">
        <f aca="false">H503*I503</f>
        <v>221.15</v>
      </c>
      <c r="L503" s="16" t="n">
        <f aca="false">H503*J503</f>
        <v>90</v>
      </c>
      <c r="M503" s="16" t="n">
        <f aca="false">K503-L503</f>
        <v>131.15</v>
      </c>
      <c r="N503" s="17" t="n">
        <f aca="false">IFERROR(M503/K503,0)</f>
        <v>0.593036400633054</v>
      </c>
    </row>
    <row r="504" customFormat="false" ht="15" hidden="false" customHeight="false" outlineLevel="0" collapsed="false">
      <c r="A504" s="15" t="n">
        <v>46044</v>
      </c>
      <c r="B504" s="14" t="s">
        <v>81</v>
      </c>
      <c r="C504" s="14" t="s">
        <v>82</v>
      </c>
      <c r="D504" s="14" t="s">
        <v>83</v>
      </c>
      <c r="E504" s="14" t="s">
        <v>76</v>
      </c>
      <c r="F504" s="14" t="s">
        <v>100</v>
      </c>
      <c r="G504" s="14" t="s">
        <v>101</v>
      </c>
      <c r="H504" s="0" t="n">
        <v>6</v>
      </c>
      <c r="I504" s="16" t="n">
        <v>14.91</v>
      </c>
      <c r="J504" s="16" t="n">
        <v>5.5</v>
      </c>
      <c r="K504" s="16" t="n">
        <f aca="false">H504*I504</f>
        <v>89.46</v>
      </c>
      <c r="L504" s="16" t="n">
        <f aca="false">H504*J504</f>
        <v>33</v>
      </c>
      <c r="M504" s="16" t="n">
        <f aca="false">K504-L504</f>
        <v>56.46</v>
      </c>
      <c r="N504" s="17" t="n">
        <f aca="false">IFERROR(M504/K504,0)</f>
        <v>0.631120053655265</v>
      </c>
    </row>
    <row r="505" customFormat="false" ht="15" hidden="false" customHeight="false" outlineLevel="0" collapsed="false">
      <c r="A505" s="15" t="n">
        <v>46044</v>
      </c>
      <c r="B505" s="14" t="s">
        <v>81</v>
      </c>
      <c r="C505" s="14" t="s">
        <v>82</v>
      </c>
      <c r="D505" s="14" t="s">
        <v>83</v>
      </c>
      <c r="E505" s="14" t="s">
        <v>64</v>
      </c>
      <c r="F505" s="14" t="s">
        <v>96</v>
      </c>
      <c r="G505" s="14" t="s">
        <v>97</v>
      </c>
      <c r="H505" s="0" t="n">
        <v>8</v>
      </c>
      <c r="I505" s="16" t="n">
        <v>55.42</v>
      </c>
      <c r="J505" s="16" t="n">
        <v>24</v>
      </c>
      <c r="K505" s="16" t="n">
        <f aca="false">H505*I505</f>
        <v>443.36</v>
      </c>
      <c r="L505" s="16" t="n">
        <f aca="false">H505*J505</f>
        <v>192</v>
      </c>
      <c r="M505" s="16" t="n">
        <f aca="false">K505-L505</f>
        <v>251.36</v>
      </c>
      <c r="N505" s="17" t="n">
        <f aca="false">IFERROR(M505/K505,0)</f>
        <v>0.56694334175388</v>
      </c>
    </row>
    <row r="506" customFormat="false" ht="15" hidden="false" customHeight="false" outlineLevel="0" collapsed="false">
      <c r="A506" s="15" t="n">
        <v>46044</v>
      </c>
      <c r="B506" s="14" t="s">
        <v>81</v>
      </c>
      <c r="C506" s="14" t="s">
        <v>82</v>
      </c>
      <c r="D506" s="14" t="s">
        <v>83</v>
      </c>
      <c r="E506" s="14" t="s">
        <v>53</v>
      </c>
      <c r="F506" s="14" t="s">
        <v>92</v>
      </c>
      <c r="G506" s="14" t="s">
        <v>93</v>
      </c>
      <c r="H506" s="0" t="n">
        <v>2</v>
      </c>
      <c r="I506" s="16" t="n">
        <v>118.14</v>
      </c>
      <c r="J506" s="16" t="n">
        <v>52</v>
      </c>
      <c r="K506" s="16" t="n">
        <f aca="false">H506*I506</f>
        <v>236.28</v>
      </c>
      <c r="L506" s="16" t="n">
        <f aca="false">H506*J506</f>
        <v>104</v>
      </c>
      <c r="M506" s="16" t="n">
        <f aca="false">K506-L506</f>
        <v>132.28</v>
      </c>
      <c r="N506" s="17" t="n">
        <f aca="false">IFERROR(M506/K506,0)</f>
        <v>0.559844252581683</v>
      </c>
    </row>
    <row r="507" customFormat="false" ht="15" hidden="false" customHeight="false" outlineLevel="0" collapsed="false">
      <c r="A507" s="15" t="n">
        <v>46044</v>
      </c>
      <c r="B507" s="14" t="s">
        <v>88</v>
      </c>
      <c r="C507" s="14" t="s">
        <v>89</v>
      </c>
      <c r="D507" s="14" t="s">
        <v>44</v>
      </c>
      <c r="E507" s="14" t="s">
        <v>56</v>
      </c>
      <c r="F507" s="14" t="s">
        <v>57</v>
      </c>
      <c r="G507" s="14" t="s">
        <v>58</v>
      </c>
      <c r="H507" s="0" t="n">
        <v>7</v>
      </c>
      <c r="I507" s="16" t="n">
        <v>26.04</v>
      </c>
      <c r="J507" s="16" t="n">
        <v>10</v>
      </c>
      <c r="K507" s="16" t="n">
        <f aca="false">H507*I507</f>
        <v>182.28</v>
      </c>
      <c r="L507" s="16" t="n">
        <f aca="false">H507*J507</f>
        <v>70</v>
      </c>
      <c r="M507" s="16" t="n">
        <f aca="false">K507-L507</f>
        <v>112.28</v>
      </c>
      <c r="N507" s="17" t="n">
        <f aca="false">IFERROR(M507/K507,0)</f>
        <v>0.615975422427035</v>
      </c>
    </row>
    <row r="508" customFormat="false" ht="15" hidden="false" customHeight="false" outlineLevel="0" collapsed="false">
      <c r="A508" s="15" t="n">
        <v>46044</v>
      </c>
      <c r="B508" s="14" t="s">
        <v>88</v>
      </c>
      <c r="C508" s="14" t="s">
        <v>89</v>
      </c>
      <c r="D508" s="14" t="s">
        <v>44</v>
      </c>
      <c r="E508" s="14" t="s">
        <v>53</v>
      </c>
      <c r="F508" s="14" t="s">
        <v>84</v>
      </c>
      <c r="G508" s="14" t="s">
        <v>85</v>
      </c>
      <c r="H508" s="0" t="n">
        <v>4</v>
      </c>
      <c r="I508" s="16" t="n">
        <v>23.51</v>
      </c>
      <c r="J508" s="16" t="n">
        <v>9</v>
      </c>
      <c r="K508" s="16" t="n">
        <f aca="false">H508*I508</f>
        <v>94.04</v>
      </c>
      <c r="L508" s="16" t="n">
        <f aca="false">H508*J508</f>
        <v>36</v>
      </c>
      <c r="M508" s="16" t="n">
        <f aca="false">K508-L508</f>
        <v>58.04</v>
      </c>
      <c r="N508" s="17" t="n">
        <f aca="false">IFERROR(M508/K508,0)</f>
        <v>0.617184176945981</v>
      </c>
    </row>
    <row r="509" customFormat="false" ht="15" hidden="false" customHeight="false" outlineLevel="0" collapsed="false">
      <c r="A509" s="15" t="n">
        <v>46045</v>
      </c>
      <c r="B509" s="14" t="s">
        <v>42</v>
      </c>
      <c r="C509" s="14" t="s">
        <v>43</v>
      </c>
      <c r="D509" s="14" t="s">
        <v>44</v>
      </c>
      <c r="E509" s="14" t="s">
        <v>45</v>
      </c>
      <c r="F509" s="14" t="s">
        <v>72</v>
      </c>
      <c r="G509" s="14" t="s">
        <v>73</v>
      </c>
      <c r="H509" s="0" t="n">
        <v>8</v>
      </c>
      <c r="I509" s="16" t="n">
        <v>48.22</v>
      </c>
      <c r="J509" s="16" t="n">
        <v>21</v>
      </c>
      <c r="K509" s="16" t="n">
        <f aca="false">H509*I509</f>
        <v>385.76</v>
      </c>
      <c r="L509" s="16" t="n">
        <f aca="false">H509*J509</f>
        <v>168</v>
      </c>
      <c r="M509" s="16" t="n">
        <f aca="false">K509-L509</f>
        <v>217.76</v>
      </c>
      <c r="N509" s="17" t="n">
        <f aca="false">IFERROR(M509/K509,0)</f>
        <v>0.564496059726255</v>
      </c>
    </row>
    <row r="510" customFormat="false" ht="15" hidden="false" customHeight="false" outlineLevel="0" collapsed="false">
      <c r="A510" s="15" t="n">
        <v>46045</v>
      </c>
      <c r="B510" s="14" t="s">
        <v>42</v>
      </c>
      <c r="C510" s="14" t="s">
        <v>43</v>
      </c>
      <c r="D510" s="14" t="s">
        <v>44</v>
      </c>
      <c r="E510" s="14" t="s">
        <v>53</v>
      </c>
      <c r="F510" s="14" t="s">
        <v>74</v>
      </c>
      <c r="G510" s="14" t="s">
        <v>75</v>
      </c>
      <c r="H510" s="0" t="n">
        <v>6</v>
      </c>
      <c r="I510" s="16" t="n">
        <v>84.57</v>
      </c>
      <c r="J510" s="16" t="n">
        <v>38</v>
      </c>
      <c r="K510" s="16" t="n">
        <f aca="false">H510*I510</f>
        <v>507.42</v>
      </c>
      <c r="L510" s="16" t="n">
        <f aca="false">H510*J510</f>
        <v>228</v>
      </c>
      <c r="M510" s="16" t="n">
        <f aca="false">K510-L510</f>
        <v>279.42</v>
      </c>
      <c r="N510" s="17" t="n">
        <f aca="false">IFERROR(M510/K510,0)</f>
        <v>0.550668085609554</v>
      </c>
    </row>
    <row r="511" customFormat="false" ht="15" hidden="false" customHeight="false" outlineLevel="0" collapsed="false">
      <c r="A511" s="15" t="n">
        <v>46045</v>
      </c>
      <c r="B511" s="14" t="s">
        <v>42</v>
      </c>
      <c r="C511" s="14" t="s">
        <v>43</v>
      </c>
      <c r="D511" s="14" t="s">
        <v>44</v>
      </c>
      <c r="E511" s="14" t="s">
        <v>56</v>
      </c>
      <c r="F511" s="14" t="s">
        <v>98</v>
      </c>
      <c r="G511" s="14" t="s">
        <v>99</v>
      </c>
      <c r="H511" s="0" t="n">
        <v>3</v>
      </c>
      <c r="I511" s="16" t="n">
        <v>20.57</v>
      </c>
      <c r="J511" s="16" t="n">
        <v>8</v>
      </c>
      <c r="K511" s="16" t="n">
        <f aca="false">H511*I511</f>
        <v>61.71</v>
      </c>
      <c r="L511" s="16" t="n">
        <f aca="false">H511*J511</f>
        <v>24</v>
      </c>
      <c r="M511" s="16" t="n">
        <f aca="false">K511-L511</f>
        <v>37.71</v>
      </c>
      <c r="N511" s="17" t="n">
        <f aca="false">IFERROR(M511/K511,0)</f>
        <v>0.611084103062713</v>
      </c>
    </row>
    <row r="512" customFormat="false" ht="15" hidden="false" customHeight="false" outlineLevel="0" collapsed="false">
      <c r="A512" s="15" t="n">
        <v>46045</v>
      </c>
      <c r="B512" s="14" t="s">
        <v>42</v>
      </c>
      <c r="C512" s="14" t="s">
        <v>43</v>
      </c>
      <c r="D512" s="14" t="s">
        <v>44</v>
      </c>
      <c r="E512" s="14" t="s">
        <v>56</v>
      </c>
      <c r="F512" s="14" t="s">
        <v>86</v>
      </c>
      <c r="G512" s="14" t="s">
        <v>87</v>
      </c>
      <c r="H512" s="0" t="n">
        <v>10</v>
      </c>
      <c r="I512" s="16" t="n">
        <v>14.05</v>
      </c>
      <c r="J512" s="16" t="n">
        <v>5</v>
      </c>
      <c r="K512" s="16" t="n">
        <f aca="false">H512*I512</f>
        <v>140.5</v>
      </c>
      <c r="L512" s="16" t="n">
        <f aca="false">H512*J512</f>
        <v>50</v>
      </c>
      <c r="M512" s="16" t="n">
        <f aca="false">K512-L512</f>
        <v>90.5</v>
      </c>
      <c r="N512" s="17" t="n">
        <f aca="false">IFERROR(M512/K512,0)</f>
        <v>0.644128113879004</v>
      </c>
    </row>
    <row r="513" customFormat="false" ht="15" hidden="false" customHeight="false" outlineLevel="0" collapsed="false">
      <c r="A513" s="15" t="n">
        <v>46045</v>
      </c>
      <c r="B513" s="14" t="s">
        <v>50</v>
      </c>
      <c r="C513" s="14" t="s">
        <v>51</v>
      </c>
      <c r="D513" s="14" t="s">
        <v>52</v>
      </c>
      <c r="E513" s="14" t="s">
        <v>76</v>
      </c>
      <c r="F513" s="14" t="s">
        <v>79</v>
      </c>
      <c r="G513" s="14" t="s">
        <v>80</v>
      </c>
      <c r="H513" s="0" t="n">
        <v>5</v>
      </c>
      <c r="I513" s="16" t="n">
        <v>29.85</v>
      </c>
      <c r="J513" s="16" t="n">
        <v>11</v>
      </c>
      <c r="K513" s="16" t="n">
        <f aca="false">H513*I513</f>
        <v>149.25</v>
      </c>
      <c r="L513" s="16" t="n">
        <f aca="false">H513*J513</f>
        <v>55</v>
      </c>
      <c r="M513" s="16" t="n">
        <f aca="false">K513-L513</f>
        <v>94.25</v>
      </c>
      <c r="N513" s="17" t="n">
        <f aca="false">IFERROR(M513/K513,0)</f>
        <v>0.631490787269682</v>
      </c>
    </row>
    <row r="514" customFormat="false" ht="15" hidden="false" customHeight="false" outlineLevel="0" collapsed="false">
      <c r="A514" s="15" t="n">
        <v>46045</v>
      </c>
      <c r="B514" s="14" t="s">
        <v>50</v>
      </c>
      <c r="C514" s="14" t="s">
        <v>51</v>
      </c>
      <c r="D514" s="14" t="s">
        <v>52</v>
      </c>
      <c r="E514" s="14" t="s">
        <v>45</v>
      </c>
      <c r="F514" s="14" t="s">
        <v>72</v>
      </c>
      <c r="G514" s="14" t="s">
        <v>73</v>
      </c>
      <c r="H514" s="0" t="n">
        <v>5</v>
      </c>
      <c r="I514" s="16" t="n">
        <v>50.73</v>
      </c>
      <c r="J514" s="16" t="n">
        <v>21</v>
      </c>
      <c r="K514" s="16" t="n">
        <f aca="false">H514*I514</f>
        <v>253.65</v>
      </c>
      <c r="L514" s="16" t="n">
        <f aca="false">H514*J514</f>
        <v>105</v>
      </c>
      <c r="M514" s="16" t="n">
        <f aca="false">K514-L514</f>
        <v>148.65</v>
      </c>
      <c r="N514" s="17" t="n">
        <f aca="false">IFERROR(M514/K514,0)</f>
        <v>0.586043761088114</v>
      </c>
    </row>
    <row r="515" customFormat="false" ht="15" hidden="false" customHeight="false" outlineLevel="0" collapsed="false">
      <c r="A515" s="15" t="n">
        <v>46045</v>
      </c>
      <c r="B515" s="14" t="s">
        <v>50</v>
      </c>
      <c r="C515" s="14" t="s">
        <v>51</v>
      </c>
      <c r="D515" s="14" t="s">
        <v>52</v>
      </c>
      <c r="E515" s="14" t="s">
        <v>53</v>
      </c>
      <c r="F515" s="14" t="s">
        <v>84</v>
      </c>
      <c r="G515" s="14" t="s">
        <v>85</v>
      </c>
      <c r="H515" s="0" t="n">
        <v>4</v>
      </c>
      <c r="I515" s="16" t="n">
        <v>24.1</v>
      </c>
      <c r="J515" s="16" t="n">
        <v>9</v>
      </c>
      <c r="K515" s="16" t="n">
        <f aca="false">H515*I515</f>
        <v>96.4</v>
      </c>
      <c r="L515" s="16" t="n">
        <f aca="false">H515*J515</f>
        <v>36</v>
      </c>
      <c r="M515" s="16" t="n">
        <f aca="false">K515-L515</f>
        <v>60.4</v>
      </c>
      <c r="N515" s="17" t="n">
        <f aca="false">IFERROR(M515/K515,0)</f>
        <v>0.62655601659751</v>
      </c>
    </row>
    <row r="516" customFormat="false" ht="15" hidden="false" customHeight="false" outlineLevel="0" collapsed="false">
      <c r="A516" s="15" t="n">
        <v>46045</v>
      </c>
      <c r="B516" s="14" t="s">
        <v>50</v>
      </c>
      <c r="C516" s="14" t="s">
        <v>51</v>
      </c>
      <c r="D516" s="14" t="s">
        <v>52</v>
      </c>
      <c r="E516" s="14" t="s">
        <v>76</v>
      </c>
      <c r="F516" s="14" t="s">
        <v>100</v>
      </c>
      <c r="G516" s="14" t="s">
        <v>101</v>
      </c>
      <c r="H516" s="0" t="n">
        <v>10</v>
      </c>
      <c r="I516" s="16" t="n">
        <v>15.4</v>
      </c>
      <c r="J516" s="16" t="n">
        <v>5.5</v>
      </c>
      <c r="K516" s="16" t="n">
        <f aca="false">H516*I516</f>
        <v>154</v>
      </c>
      <c r="L516" s="16" t="n">
        <f aca="false">H516*J516</f>
        <v>55</v>
      </c>
      <c r="M516" s="16" t="n">
        <f aca="false">K516-L516</f>
        <v>99</v>
      </c>
      <c r="N516" s="17" t="n">
        <f aca="false">IFERROR(M516/K516,0)</f>
        <v>0.642857142857143</v>
      </c>
    </row>
    <row r="517" customFormat="false" ht="15" hidden="false" customHeight="false" outlineLevel="0" collapsed="false">
      <c r="A517" s="15" t="n">
        <v>46045</v>
      </c>
      <c r="B517" s="14" t="s">
        <v>59</v>
      </c>
      <c r="C517" s="14" t="s">
        <v>60</v>
      </c>
      <c r="D517" s="14" t="s">
        <v>61</v>
      </c>
      <c r="E517" s="14" t="s">
        <v>76</v>
      </c>
      <c r="F517" s="14" t="s">
        <v>102</v>
      </c>
      <c r="G517" s="14" t="s">
        <v>103</v>
      </c>
      <c r="H517" s="0" t="n">
        <v>6</v>
      </c>
      <c r="I517" s="16" t="n">
        <v>23.06</v>
      </c>
      <c r="J517" s="16" t="n">
        <v>8.5</v>
      </c>
      <c r="K517" s="16" t="n">
        <f aca="false">H517*I517</f>
        <v>138.36</v>
      </c>
      <c r="L517" s="16" t="n">
        <f aca="false">H517*J517</f>
        <v>51</v>
      </c>
      <c r="M517" s="16" t="n">
        <f aca="false">K517-L517</f>
        <v>87.36</v>
      </c>
      <c r="N517" s="17" t="n">
        <f aca="false">IFERROR(M517/K517,0)</f>
        <v>0.631396357328708</v>
      </c>
    </row>
    <row r="518" customFormat="false" ht="15" hidden="false" customHeight="false" outlineLevel="0" collapsed="false">
      <c r="A518" s="15" t="n">
        <v>46045</v>
      </c>
      <c r="B518" s="14" t="s">
        <v>59</v>
      </c>
      <c r="C518" s="14" t="s">
        <v>60</v>
      </c>
      <c r="D518" s="14" t="s">
        <v>61</v>
      </c>
      <c r="E518" s="14" t="s">
        <v>64</v>
      </c>
      <c r="F518" s="14" t="s">
        <v>90</v>
      </c>
      <c r="G518" s="14" t="s">
        <v>91</v>
      </c>
      <c r="H518" s="0" t="n">
        <v>2</v>
      </c>
      <c r="I518" s="16" t="n">
        <v>11.81</v>
      </c>
      <c r="J518" s="16" t="n">
        <v>3.5</v>
      </c>
      <c r="K518" s="16" t="n">
        <f aca="false">H518*I518</f>
        <v>23.62</v>
      </c>
      <c r="L518" s="16" t="n">
        <f aca="false">H518*J518</f>
        <v>7</v>
      </c>
      <c r="M518" s="16" t="n">
        <f aca="false">K518-L518</f>
        <v>16.62</v>
      </c>
      <c r="N518" s="17" t="n">
        <f aca="false">IFERROR(M518/K518,0)</f>
        <v>0.703640982218459</v>
      </c>
    </row>
    <row r="519" customFormat="false" ht="15" hidden="false" customHeight="false" outlineLevel="0" collapsed="false">
      <c r="A519" s="15" t="n">
        <v>46045</v>
      </c>
      <c r="B519" s="14" t="s">
        <v>59</v>
      </c>
      <c r="C519" s="14" t="s">
        <v>60</v>
      </c>
      <c r="D519" s="14" t="s">
        <v>61</v>
      </c>
      <c r="E519" s="14" t="s">
        <v>64</v>
      </c>
      <c r="F519" s="14" t="s">
        <v>94</v>
      </c>
      <c r="G519" s="14" t="s">
        <v>95</v>
      </c>
      <c r="H519" s="0" t="n">
        <v>5</v>
      </c>
      <c r="I519" s="16" t="n">
        <v>94.02</v>
      </c>
      <c r="J519" s="16" t="n">
        <v>42</v>
      </c>
      <c r="K519" s="16" t="n">
        <f aca="false">H519*I519</f>
        <v>470.1</v>
      </c>
      <c r="L519" s="16" t="n">
        <f aca="false">H519*J519</f>
        <v>210</v>
      </c>
      <c r="M519" s="16" t="n">
        <f aca="false">K519-L519</f>
        <v>260.1</v>
      </c>
      <c r="N519" s="17" t="n">
        <f aca="false">IFERROR(M519/K519,0)</f>
        <v>0.553286534779834</v>
      </c>
    </row>
    <row r="520" customFormat="false" ht="15" hidden="false" customHeight="false" outlineLevel="0" collapsed="false">
      <c r="A520" s="15" t="n">
        <v>46045</v>
      </c>
      <c r="B520" s="14" t="s">
        <v>59</v>
      </c>
      <c r="C520" s="14" t="s">
        <v>60</v>
      </c>
      <c r="D520" s="14" t="s">
        <v>61</v>
      </c>
      <c r="E520" s="14" t="s">
        <v>64</v>
      </c>
      <c r="F520" s="14" t="s">
        <v>65</v>
      </c>
      <c r="G520" s="14" t="s">
        <v>66</v>
      </c>
      <c r="H520" s="0" t="n">
        <v>5</v>
      </c>
      <c r="I520" s="16" t="n">
        <v>77.36</v>
      </c>
      <c r="J520" s="16" t="n">
        <v>34</v>
      </c>
      <c r="K520" s="16" t="n">
        <f aca="false">H520*I520</f>
        <v>386.8</v>
      </c>
      <c r="L520" s="16" t="n">
        <f aca="false">H520*J520</f>
        <v>170</v>
      </c>
      <c r="M520" s="16" t="n">
        <f aca="false">K520-L520</f>
        <v>216.8</v>
      </c>
      <c r="N520" s="17" t="n">
        <f aca="false">IFERROR(M520/K520,0)</f>
        <v>0.560496380558428</v>
      </c>
    </row>
    <row r="521" customFormat="false" ht="15" hidden="false" customHeight="false" outlineLevel="0" collapsed="false">
      <c r="A521" s="15" t="n">
        <v>46045</v>
      </c>
      <c r="B521" s="14" t="s">
        <v>69</v>
      </c>
      <c r="C521" s="14" t="s">
        <v>70</v>
      </c>
      <c r="D521" s="14" t="s">
        <v>71</v>
      </c>
      <c r="E521" s="14" t="s">
        <v>76</v>
      </c>
      <c r="F521" s="14" t="s">
        <v>100</v>
      </c>
      <c r="G521" s="14" t="s">
        <v>101</v>
      </c>
      <c r="H521" s="0" t="n">
        <v>5</v>
      </c>
      <c r="I521" s="16" t="n">
        <v>14.92</v>
      </c>
      <c r="J521" s="16" t="n">
        <v>5.5</v>
      </c>
      <c r="K521" s="16" t="n">
        <f aca="false">H521*I521</f>
        <v>74.6</v>
      </c>
      <c r="L521" s="16" t="n">
        <f aca="false">H521*J521</f>
        <v>27.5</v>
      </c>
      <c r="M521" s="16" t="n">
        <f aca="false">K521-L521</f>
        <v>47.1</v>
      </c>
      <c r="N521" s="17" t="n">
        <f aca="false">IFERROR(M521/K521,0)</f>
        <v>0.631367292225201</v>
      </c>
    </row>
    <row r="522" customFormat="false" ht="15" hidden="false" customHeight="false" outlineLevel="0" collapsed="false">
      <c r="A522" s="15" t="n">
        <v>46045</v>
      </c>
      <c r="B522" s="14" t="s">
        <v>69</v>
      </c>
      <c r="C522" s="14" t="s">
        <v>70</v>
      </c>
      <c r="D522" s="14" t="s">
        <v>71</v>
      </c>
      <c r="E522" s="14" t="s">
        <v>76</v>
      </c>
      <c r="F522" s="14" t="s">
        <v>77</v>
      </c>
      <c r="G522" s="14" t="s">
        <v>78</v>
      </c>
      <c r="H522" s="0" t="n">
        <v>7</v>
      </c>
      <c r="I522" s="16" t="n">
        <v>40.55</v>
      </c>
      <c r="J522" s="16" t="n">
        <v>15</v>
      </c>
      <c r="K522" s="16" t="n">
        <f aca="false">H522*I522</f>
        <v>283.85</v>
      </c>
      <c r="L522" s="16" t="n">
        <f aca="false">H522*J522</f>
        <v>105</v>
      </c>
      <c r="M522" s="16" t="n">
        <f aca="false">K522-L522</f>
        <v>178.85</v>
      </c>
      <c r="N522" s="17" t="n">
        <f aca="false">IFERROR(M522/K522,0)</f>
        <v>0.630086313193588</v>
      </c>
    </row>
    <row r="523" customFormat="false" ht="15" hidden="false" customHeight="false" outlineLevel="0" collapsed="false">
      <c r="A523" s="15" t="n">
        <v>46045</v>
      </c>
      <c r="B523" s="14" t="s">
        <v>81</v>
      </c>
      <c r="C523" s="14" t="s">
        <v>82</v>
      </c>
      <c r="D523" s="14" t="s">
        <v>83</v>
      </c>
      <c r="E523" s="14" t="s">
        <v>64</v>
      </c>
      <c r="F523" s="14" t="s">
        <v>94</v>
      </c>
      <c r="G523" s="14" t="s">
        <v>95</v>
      </c>
      <c r="H523" s="0" t="n">
        <v>5</v>
      </c>
      <c r="I523" s="16" t="n">
        <v>97.13</v>
      </c>
      <c r="J523" s="16" t="n">
        <v>42</v>
      </c>
      <c r="K523" s="16" t="n">
        <f aca="false">H523*I523</f>
        <v>485.65</v>
      </c>
      <c r="L523" s="16" t="n">
        <f aca="false">H523*J523</f>
        <v>210</v>
      </c>
      <c r="M523" s="16" t="n">
        <f aca="false">K523-L523</f>
        <v>275.65</v>
      </c>
      <c r="N523" s="17" t="n">
        <f aca="false">IFERROR(M523/K523,0)</f>
        <v>0.567589828065479</v>
      </c>
    </row>
    <row r="524" customFormat="false" ht="15" hidden="false" customHeight="false" outlineLevel="0" collapsed="false">
      <c r="A524" s="15" t="n">
        <v>46045</v>
      </c>
      <c r="B524" s="14" t="s">
        <v>81</v>
      </c>
      <c r="C524" s="14" t="s">
        <v>82</v>
      </c>
      <c r="D524" s="14" t="s">
        <v>83</v>
      </c>
      <c r="E524" s="14" t="s">
        <v>64</v>
      </c>
      <c r="F524" s="14" t="s">
        <v>90</v>
      </c>
      <c r="G524" s="14" t="s">
        <v>91</v>
      </c>
      <c r="H524" s="0" t="n">
        <v>8</v>
      </c>
      <c r="I524" s="16" t="n">
        <v>11.2</v>
      </c>
      <c r="J524" s="16" t="n">
        <v>3.5</v>
      </c>
      <c r="K524" s="16" t="n">
        <f aca="false">H524*I524</f>
        <v>89.6</v>
      </c>
      <c r="L524" s="16" t="n">
        <f aca="false">H524*J524</f>
        <v>28</v>
      </c>
      <c r="M524" s="16" t="n">
        <f aca="false">K524-L524</f>
        <v>61.6</v>
      </c>
      <c r="N524" s="17" t="n">
        <f aca="false">IFERROR(M524/K524,0)</f>
        <v>0.6875</v>
      </c>
    </row>
    <row r="525" customFormat="false" ht="15" hidden="false" customHeight="false" outlineLevel="0" collapsed="false">
      <c r="A525" s="15" t="n">
        <v>46045</v>
      </c>
      <c r="B525" s="14" t="s">
        <v>81</v>
      </c>
      <c r="C525" s="14" t="s">
        <v>82</v>
      </c>
      <c r="D525" s="14" t="s">
        <v>83</v>
      </c>
      <c r="E525" s="14" t="s">
        <v>76</v>
      </c>
      <c r="F525" s="14" t="s">
        <v>77</v>
      </c>
      <c r="G525" s="14" t="s">
        <v>78</v>
      </c>
      <c r="H525" s="0" t="n">
        <v>2</v>
      </c>
      <c r="I525" s="16" t="n">
        <v>41.06</v>
      </c>
      <c r="J525" s="16" t="n">
        <v>15</v>
      </c>
      <c r="K525" s="16" t="n">
        <f aca="false">H525*I525</f>
        <v>82.12</v>
      </c>
      <c r="L525" s="16" t="n">
        <f aca="false">H525*J525</f>
        <v>30</v>
      </c>
      <c r="M525" s="16" t="n">
        <f aca="false">K525-L525</f>
        <v>52.12</v>
      </c>
      <c r="N525" s="17" t="n">
        <f aca="false">IFERROR(M525/K525,0)</f>
        <v>0.634680954700438</v>
      </c>
    </row>
    <row r="526" customFormat="false" ht="15" hidden="false" customHeight="false" outlineLevel="0" collapsed="false">
      <c r="A526" s="15" t="n">
        <v>46045</v>
      </c>
      <c r="B526" s="14" t="s">
        <v>88</v>
      </c>
      <c r="C526" s="14" t="s">
        <v>89</v>
      </c>
      <c r="D526" s="14" t="s">
        <v>44</v>
      </c>
      <c r="E526" s="14" t="s">
        <v>53</v>
      </c>
      <c r="F526" s="14" t="s">
        <v>74</v>
      </c>
      <c r="G526" s="14" t="s">
        <v>75</v>
      </c>
      <c r="H526" s="0" t="n">
        <v>1</v>
      </c>
      <c r="I526" s="16" t="n">
        <v>87.85</v>
      </c>
      <c r="J526" s="16" t="n">
        <v>38</v>
      </c>
      <c r="K526" s="16" t="n">
        <f aca="false">H526*I526</f>
        <v>87.85</v>
      </c>
      <c r="L526" s="16" t="n">
        <f aca="false">H526*J526</f>
        <v>38</v>
      </c>
      <c r="M526" s="16" t="n">
        <f aca="false">K526-L526</f>
        <v>49.85</v>
      </c>
      <c r="N526" s="17" t="n">
        <f aca="false">IFERROR(M526/K526,0)</f>
        <v>0.567444507683552</v>
      </c>
    </row>
    <row r="527" customFormat="false" ht="15" hidden="false" customHeight="false" outlineLevel="0" collapsed="false">
      <c r="A527" s="15" t="n">
        <v>46045</v>
      </c>
      <c r="B527" s="14" t="s">
        <v>88</v>
      </c>
      <c r="C527" s="14" t="s">
        <v>89</v>
      </c>
      <c r="D527" s="14" t="s">
        <v>44</v>
      </c>
      <c r="E527" s="14" t="s">
        <v>45</v>
      </c>
      <c r="F527" s="14" t="s">
        <v>48</v>
      </c>
      <c r="G527" s="14" t="s">
        <v>49</v>
      </c>
      <c r="H527" s="0" t="n">
        <v>1</v>
      </c>
      <c r="I527" s="16" t="n">
        <v>64.8</v>
      </c>
      <c r="J527" s="16" t="n">
        <v>27.5</v>
      </c>
      <c r="K527" s="16" t="n">
        <f aca="false">H527*I527</f>
        <v>64.8</v>
      </c>
      <c r="L527" s="16" t="n">
        <f aca="false">H527*J527</f>
        <v>27.5</v>
      </c>
      <c r="M527" s="16" t="n">
        <f aca="false">K527-L527</f>
        <v>37.3</v>
      </c>
      <c r="N527" s="17" t="n">
        <f aca="false">IFERROR(M527/K527,0)</f>
        <v>0.575617283950617</v>
      </c>
    </row>
    <row r="528" customFormat="false" ht="15" hidden="false" customHeight="false" outlineLevel="0" collapsed="false">
      <c r="A528" s="15" t="n">
        <v>46045</v>
      </c>
      <c r="B528" s="14" t="s">
        <v>88</v>
      </c>
      <c r="C528" s="14" t="s">
        <v>89</v>
      </c>
      <c r="D528" s="14" t="s">
        <v>44</v>
      </c>
      <c r="E528" s="14" t="s">
        <v>53</v>
      </c>
      <c r="F528" s="14" t="s">
        <v>74</v>
      </c>
      <c r="G528" s="14" t="s">
        <v>75</v>
      </c>
      <c r="H528" s="0" t="n">
        <v>3</v>
      </c>
      <c r="I528" s="16" t="n">
        <v>81.95</v>
      </c>
      <c r="J528" s="16" t="n">
        <v>38</v>
      </c>
      <c r="K528" s="16" t="n">
        <f aca="false">H528*I528</f>
        <v>245.85</v>
      </c>
      <c r="L528" s="16" t="n">
        <f aca="false">H528*J528</f>
        <v>114</v>
      </c>
      <c r="M528" s="16" t="n">
        <f aca="false">K528-L528</f>
        <v>131.85</v>
      </c>
      <c r="N528" s="17" t="n">
        <f aca="false">IFERROR(M528/K528,0)</f>
        <v>0.536302623550946</v>
      </c>
    </row>
    <row r="529" customFormat="false" ht="15" hidden="false" customHeight="false" outlineLevel="0" collapsed="false">
      <c r="A529" s="15" t="n">
        <v>46045</v>
      </c>
      <c r="B529" s="14" t="s">
        <v>88</v>
      </c>
      <c r="C529" s="14" t="s">
        <v>89</v>
      </c>
      <c r="D529" s="14" t="s">
        <v>44</v>
      </c>
      <c r="E529" s="14" t="s">
        <v>56</v>
      </c>
      <c r="F529" s="14" t="s">
        <v>57</v>
      </c>
      <c r="G529" s="14" t="s">
        <v>58</v>
      </c>
      <c r="H529" s="0" t="n">
        <v>6</v>
      </c>
      <c r="I529" s="16" t="n">
        <v>24.97</v>
      </c>
      <c r="J529" s="16" t="n">
        <v>10</v>
      </c>
      <c r="K529" s="16" t="n">
        <f aca="false">H529*I529</f>
        <v>149.82</v>
      </c>
      <c r="L529" s="16" t="n">
        <f aca="false">H529*J529</f>
        <v>60</v>
      </c>
      <c r="M529" s="16" t="n">
        <f aca="false">K529-L529</f>
        <v>89.82</v>
      </c>
      <c r="N529" s="17" t="n">
        <f aca="false">IFERROR(M529/K529,0)</f>
        <v>0.59951942330797</v>
      </c>
    </row>
    <row r="530" customFormat="false" ht="15" hidden="false" customHeight="false" outlineLevel="0" collapsed="false">
      <c r="A530" s="15" t="n">
        <v>46045</v>
      </c>
      <c r="B530" s="14" t="s">
        <v>88</v>
      </c>
      <c r="C530" s="14" t="s">
        <v>89</v>
      </c>
      <c r="D530" s="14" t="s">
        <v>44</v>
      </c>
      <c r="E530" s="14" t="s">
        <v>56</v>
      </c>
      <c r="F530" s="14" t="s">
        <v>57</v>
      </c>
      <c r="G530" s="14" t="s">
        <v>58</v>
      </c>
      <c r="H530" s="0" t="n">
        <v>8</v>
      </c>
      <c r="I530" s="16" t="n">
        <v>24.87</v>
      </c>
      <c r="J530" s="16" t="n">
        <v>10</v>
      </c>
      <c r="K530" s="16" t="n">
        <f aca="false">H530*I530</f>
        <v>198.96</v>
      </c>
      <c r="L530" s="16" t="n">
        <f aca="false">H530*J530</f>
        <v>80</v>
      </c>
      <c r="M530" s="16" t="n">
        <f aca="false">K530-L530</f>
        <v>118.96</v>
      </c>
      <c r="N530" s="17" t="n">
        <f aca="false">IFERROR(M530/K530,0)</f>
        <v>0.597909127462807</v>
      </c>
    </row>
    <row r="531" customFormat="false" ht="15" hidden="false" customHeight="false" outlineLevel="0" collapsed="false">
      <c r="A531" s="15" t="n">
        <v>46046</v>
      </c>
      <c r="B531" s="14" t="s">
        <v>42</v>
      </c>
      <c r="C531" s="14" t="s">
        <v>43</v>
      </c>
      <c r="D531" s="14" t="s">
        <v>44</v>
      </c>
      <c r="E531" s="14" t="s">
        <v>56</v>
      </c>
      <c r="F531" s="14" t="s">
        <v>57</v>
      </c>
      <c r="G531" s="14" t="s">
        <v>58</v>
      </c>
      <c r="H531" s="0" t="n">
        <v>2</v>
      </c>
      <c r="I531" s="16" t="n">
        <v>24.88</v>
      </c>
      <c r="J531" s="16" t="n">
        <v>10</v>
      </c>
      <c r="K531" s="16" t="n">
        <f aca="false">H531*I531</f>
        <v>49.76</v>
      </c>
      <c r="L531" s="16" t="n">
        <f aca="false">H531*J531</f>
        <v>20</v>
      </c>
      <c r="M531" s="16" t="n">
        <f aca="false">K531-L531</f>
        <v>29.76</v>
      </c>
      <c r="N531" s="17" t="n">
        <f aca="false">IFERROR(M531/K531,0)</f>
        <v>0.598070739549839</v>
      </c>
    </row>
    <row r="532" customFormat="false" ht="15" hidden="false" customHeight="false" outlineLevel="0" collapsed="false">
      <c r="A532" s="15" t="n">
        <v>46046</v>
      </c>
      <c r="B532" s="14" t="s">
        <v>42</v>
      </c>
      <c r="C532" s="14" t="s">
        <v>43</v>
      </c>
      <c r="D532" s="14" t="s">
        <v>44</v>
      </c>
      <c r="E532" s="14" t="s">
        <v>76</v>
      </c>
      <c r="F532" s="14" t="s">
        <v>102</v>
      </c>
      <c r="G532" s="14" t="s">
        <v>103</v>
      </c>
      <c r="H532" s="0" t="n">
        <v>2</v>
      </c>
      <c r="I532" s="16" t="n">
        <v>23.04</v>
      </c>
      <c r="J532" s="16" t="n">
        <v>8.5</v>
      </c>
      <c r="K532" s="16" t="n">
        <f aca="false">H532*I532</f>
        <v>46.08</v>
      </c>
      <c r="L532" s="16" t="n">
        <f aca="false">H532*J532</f>
        <v>17</v>
      </c>
      <c r="M532" s="16" t="n">
        <f aca="false">K532-L532</f>
        <v>29.08</v>
      </c>
      <c r="N532" s="17" t="n">
        <f aca="false">IFERROR(M532/K532,0)</f>
        <v>0.631076388888889</v>
      </c>
    </row>
    <row r="533" customFormat="false" ht="15" hidden="false" customHeight="false" outlineLevel="0" collapsed="false">
      <c r="A533" s="15" t="n">
        <v>46046</v>
      </c>
      <c r="B533" s="14" t="s">
        <v>42</v>
      </c>
      <c r="C533" s="14" t="s">
        <v>43</v>
      </c>
      <c r="D533" s="14" t="s">
        <v>44</v>
      </c>
      <c r="E533" s="14" t="s">
        <v>64</v>
      </c>
      <c r="F533" s="14" t="s">
        <v>96</v>
      </c>
      <c r="G533" s="14" t="s">
        <v>97</v>
      </c>
      <c r="H533" s="0" t="n">
        <v>4</v>
      </c>
      <c r="I533" s="16" t="n">
        <v>58.61</v>
      </c>
      <c r="J533" s="16" t="n">
        <v>24</v>
      </c>
      <c r="K533" s="16" t="n">
        <f aca="false">H533*I533</f>
        <v>234.44</v>
      </c>
      <c r="L533" s="16" t="n">
        <f aca="false">H533*J533</f>
        <v>96</v>
      </c>
      <c r="M533" s="16" t="n">
        <f aca="false">K533-L533</f>
        <v>138.44</v>
      </c>
      <c r="N533" s="17" t="n">
        <f aca="false">IFERROR(M533/K533,0)</f>
        <v>0.590513564238185</v>
      </c>
    </row>
    <row r="534" customFormat="false" ht="15" hidden="false" customHeight="false" outlineLevel="0" collapsed="false">
      <c r="A534" s="15" t="n">
        <v>46046</v>
      </c>
      <c r="B534" s="14" t="s">
        <v>42</v>
      </c>
      <c r="C534" s="14" t="s">
        <v>43</v>
      </c>
      <c r="D534" s="14" t="s">
        <v>44</v>
      </c>
      <c r="E534" s="14" t="s">
        <v>56</v>
      </c>
      <c r="F534" s="14" t="s">
        <v>86</v>
      </c>
      <c r="G534" s="14" t="s">
        <v>87</v>
      </c>
      <c r="H534" s="0" t="n">
        <v>6</v>
      </c>
      <c r="I534" s="16" t="n">
        <v>14.03</v>
      </c>
      <c r="J534" s="16" t="n">
        <v>5</v>
      </c>
      <c r="K534" s="16" t="n">
        <f aca="false">H534*I534</f>
        <v>84.18</v>
      </c>
      <c r="L534" s="16" t="n">
        <f aca="false">H534*J534</f>
        <v>30</v>
      </c>
      <c r="M534" s="16" t="n">
        <f aca="false">K534-L534</f>
        <v>54.18</v>
      </c>
      <c r="N534" s="17" t="n">
        <f aca="false">IFERROR(M534/K534,0)</f>
        <v>0.643620812544547</v>
      </c>
    </row>
    <row r="535" customFormat="false" ht="15" hidden="false" customHeight="false" outlineLevel="0" collapsed="false">
      <c r="A535" s="15" t="n">
        <v>46046</v>
      </c>
      <c r="B535" s="14" t="s">
        <v>42</v>
      </c>
      <c r="C535" s="14" t="s">
        <v>43</v>
      </c>
      <c r="D535" s="14" t="s">
        <v>44</v>
      </c>
      <c r="E535" s="14" t="s">
        <v>56</v>
      </c>
      <c r="F535" s="14" t="s">
        <v>67</v>
      </c>
      <c r="G535" s="14" t="s">
        <v>68</v>
      </c>
      <c r="H535" s="0" t="n">
        <v>10</v>
      </c>
      <c r="I535" s="16" t="n">
        <v>35.77</v>
      </c>
      <c r="J535" s="16" t="n">
        <v>15</v>
      </c>
      <c r="K535" s="16" t="n">
        <f aca="false">H535*I535</f>
        <v>357.7</v>
      </c>
      <c r="L535" s="16" t="n">
        <f aca="false">H535*J535</f>
        <v>150</v>
      </c>
      <c r="M535" s="16" t="n">
        <f aca="false">K535-L535</f>
        <v>207.7</v>
      </c>
      <c r="N535" s="17" t="n">
        <f aca="false">IFERROR(M535/K535,0)</f>
        <v>0.580654179480011</v>
      </c>
    </row>
    <row r="536" customFormat="false" ht="15" hidden="false" customHeight="false" outlineLevel="0" collapsed="false">
      <c r="A536" s="15" t="n">
        <v>46046</v>
      </c>
      <c r="B536" s="14" t="s">
        <v>42</v>
      </c>
      <c r="C536" s="14" t="s">
        <v>43</v>
      </c>
      <c r="D536" s="14" t="s">
        <v>44</v>
      </c>
      <c r="E536" s="14" t="s">
        <v>64</v>
      </c>
      <c r="F536" s="14" t="s">
        <v>65</v>
      </c>
      <c r="G536" s="14" t="s">
        <v>66</v>
      </c>
      <c r="H536" s="0" t="n">
        <v>13</v>
      </c>
      <c r="I536" s="16" t="n">
        <v>78.74</v>
      </c>
      <c r="J536" s="16" t="n">
        <v>34</v>
      </c>
      <c r="K536" s="16" t="n">
        <f aca="false">H536*I536</f>
        <v>1023.62</v>
      </c>
      <c r="L536" s="16" t="n">
        <f aca="false">H536*J536</f>
        <v>442</v>
      </c>
      <c r="M536" s="16" t="n">
        <f aca="false">K536-L536</f>
        <v>581.62</v>
      </c>
      <c r="N536" s="17" t="n">
        <f aca="false">IFERROR(M536/K536,0)</f>
        <v>0.568199136398273</v>
      </c>
    </row>
    <row r="537" customFormat="false" ht="15" hidden="false" customHeight="false" outlineLevel="0" collapsed="false">
      <c r="A537" s="15" t="n">
        <v>46046</v>
      </c>
      <c r="B537" s="14" t="s">
        <v>50</v>
      </c>
      <c r="C537" s="14" t="s">
        <v>51</v>
      </c>
      <c r="D537" s="14" t="s">
        <v>52</v>
      </c>
      <c r="E537" s="14" t="s">
        <v>56</v>
      </c>
      <c r="F537" s="14" t="s">
        <v>86</v>
      </c>
      <c r="G537" s="14" t="s">
        <v>87</v>
      </c>
      <c r="H537" s="0" t="n">
        <v>6</v>
      </c>
      <c r="I537" s="16" t="n">
        <v>14.16</v>
      </c>
      <c r="J537" s="16" t="n">
        <v>5</v>
      </c>
      <c r="K537" s="16" t="n">
        <f aca="false">H537*I537</f>
        <v>84.96</v>
      </c>
      <c r="L537" s="16" t="n">
        <f aca="false">H537*J537</f>
        <v>30</v>
      </c>
      <c r="M537" s="16" t="n">
        <f aca="false">K537-L537</f>
        <v>54.96</v>
      </c>
      <c r="N537" s="17" t="n">
        <f aca="false">IFERROR(M537/K537,0)</f>
        <v>0.646892655367232</v>
      </c>
    </row>
    <row r="538" customFormat="false" ht="15" hidden="false" customHeight="false" outlineLevel="0" collapsed="false">
      <c r="A538" s="15" t="n">
        <v>46046</v>
      </c>
      <c r="B538" s="14" t="s">
        <v>50</v>
      </c>
      <c r="C538" s="14" t="s">
        <v>51</v>
      </c>
      <c r="D538" s="14" t="s">
        <v>52</v>
      </c>
      <c r="E538" s="14" t="s">
        <v>45</v>
      </c>
      <c r="F538" s="14" t="s">
        <v>48</v>
      </c>
      <c r="G538" s="14" t="s">
        <v>49</v>
      </c>
      <c r="H538" s="0" t="n">
        <v>3</v>
      </c>
      <c r="I538" s="16" t="n">
        <v>64.76</v>
      </c>
      <c r="J538" s="16" t="n">
        <v>27.5</v>
      </c>
      <c r="K538" s="16" t="n">
        <f aca="false">H538*I538</f>
        <v>194.28</v>
      </c>
      <c r="L538" s="16" t="n">
        <f aca="false">H538*J538</f>
        <v>82.5</v>
      </c>
      <c r="M538" s="16" t="n">
        <f aca="false">K538-L538</f>
        <v>111.78</v>
      </c>
      <c r="N538" s="17" t="n">
        <f aca="false">IFERROR(M538/K538,0)</f>
        <v>0.575355157504633</v>
      </c>
    </row>
    <row r="539" customFormat="false" ht="15" hidden="false" customHeight="false" outlineLevel="0" collapsed="false">
      <c r="A539" s="15" t="n">
        <v>46046</v>
      </c>
      <c r="B539" s="14" t="s">
        <v>50</v>
      </c>
      <c r="C539" s="14" t="s">
        <v>51</v>
      </c>
      <c r="D539" s="14" t="s">
        <v>52</v>
      </c>
      <c r="E539" s="14" t="s">
        <v>64</v>
      </c>
      <c r="F539" s="14" t="s">
        <v>90</v>
      </c>
      <c r="G539" s="14" t="s">
        <v>91</v>
      </c>
      <c r="H539" s="0" t="n">
        <v>2</v>
      </c>
      <c r="I539" s="16" t="n">
        <v>11.65</v>
      </c>
      <c r="J539" s="16" t="n">
        <v>3.5</v>
      </c>
      <c r="K539" s="16" t="n">
        <f aca="false">H539*I539</f>
        <v>23.3</v>
      </c>
      <c r="L539" s="16" t="n">
        <f aca="false">H539*J539</f>
        <v>7</v>
      </c>
      <c r="M539" s="16" t="n">
        <f aca="false">K539-L539</f>
        <v>16.3</v>
      </c>
      <c r="N539" s="17" t="n">
        <f aca="false">IFERROR(M539/K539,0)</f>
        <v>0.699570815450644</v>
      </c>
    </row>
    <row r="540" customFormat="false" ht="15" hidden="false" customHeight="false" outlineLevel="0" collapsed="false">
      <c r="A540" s="15" t="n">
        <v>46046</v>
      </c>
      <c r="B540" s="14" t="s">
        <v>50</v>
      </c>
      <c r="C540" s="14" t="s">
        <v>51</v>
      </c>
      <c r="D540" s="14" t="s">
        <v>52</v>
      </c>
      <c r="E540" s="14" t="s">
        <v>53</v>
      </c>
      <c r="F540" s="14" t="s">
        <v>74</v>
      </c>
      <c r="G540" s="14" t="s">
        <v>75</v>
      </c>
      <c r="H540" s="0" t="n">
        <v>10</v>
      </c>
      <c r="I540" s="16" t="n">
        <v>87.9</v>
      </c>
      <c r="J540" s="16" t="n">
        <v>38</v>
      </c>
      <c r="K540" s="16" t="n">
        <f aca="false">H540*I540</f>
        <v>879</v>
      </c>
      <c r="L540" s="16" t="n">
        <f aca="false">H540*J540</f>
        <v>380</v>
      </c>
      <c r="M540" s="16" t="n">
        <f aca="false">K540-L540</f>
        <v>499</v>
      </c>
      <c r="N540" s="17" t="n">
        <f aca="false">IFERROR(M540/K540,0)</f>
        <v>0.56769055745165</v>
      </c>
    </row>
    <row r="541" customFormat="false" ht="15" hidden="false" customHeight="false" outlineLevel="0" collapsed="false">
      <c r="A541" s="15" t="n">
        <v>46046</v>
      </c>
      <c r="B541" s="14" t="s">
        <v>50</v>
      </c>
      <c r="C541" s="14" t="s">
        <v>51</v>
      </c>
      <c r="D541" s="14" t="s">
        <v>52</v>
      </c>
      <c r="E541" s="14" t="s">
        <v>76</v>
      </c>
      <c r="F541" s="14" t="s">
        <v>79</v>
      </c>
      <c r="G541" s="14" t="s">
        <v>80</v>
      </c>
      <c r="H541" s="0" t="n">
        <v>2</v>
      </c>
      <c r="I541" s="16" t="n">
        <v>28.15</v>
      </c>
      <c r="J541" s="16" t="n">
        <v>11</v>
      </c>
      <c r="K541" s="16" t="n">
        <f aca="false">H541*I541</f>
        <v>56.3</v>
      </c>
      <c r="L541" s="16" t="n">
        <f aca="false">H541*J541</f>
        <v>22</v>
      </c>
      <c r="M541" s="16" t="n">
        <f aca="false">K541-L541</f>
        <v>34.3</v>
      </c>
      <c r="N541" s="17" t="n">
        <f aca="false">IFERROR(M541/K541,0)</f>
        <v>0.609236234458259</v>
      </c>
    </row>
    <row r="542" customFormat="false" ht="15" hidden="false" customHeight="false" outlineLevel="0" collapsed="false">
      <c r="A542" s="15" t="n">
        <v>46046</v>
      </c>
      <c r="B542" s="14" t="s">
        <v>59</v>
      </c>
      <c r="C542" s="14" t="s">
        <v>60</v>
      </c>
      <c r="D542" s="14" t="s">
        <v>61</v>
      </c>
      <c r="E542" s="14" t="s">
        <v>64</v>
      </c>
      <c r="F542" s="14" t="s">
        <v>94</v>
      </c>
      <c r="G542" s="14" t="s">
        <v>95</v>
      </c>
      <c r="H542" s="0" t="n">
        <v>1</v>
      </c>
      <c r="I542" s="16" t="n">
        <v>98.4</v>
      </c>
      <c r="J542" s="16" t="n">
        <v>42</v>
      </c>
      <c r="K542" s="16" t="n">
        <f aca="false">H542*I542</f>
        <v>98.4</v>
      </c>
      <c r="L542" s="16" t="n">
        <f aca="false">H542*J542</f>
        <v>42</v>
      </c>
      <c r="M542" s="16" t="n">
        <f aca="false">K542-L542</f>
        <v>56.4</v>
      </c>
      <c r="N542" s="17" t="n">
        <f aca="false">IFERROR(M542/K542,0)</f>
        <v>0.573170731707317</v>
      </c>
    </row>
    <row r="543" customFormat="false" ht="15" hidden="false" customHeight="false" outlineLevel="0" collapsed="false">
      <c r="A543" s="15" t="n">
        <v>46046</v>
      </c>
      <c r="B543" s="14" t="s">
        <v>59</v>
      </c>
      <c r="C543" s="14" t="s">
        <v>60</v>
      </c>
      <c r="D543" s="14" t="s">
        <v>61</v>
      </c>
      <c r="E543" s="14" t="s">
        <v>76</v>
      </c>
      <c r="F543" s="14" t="s">
        <v>79</v>
      </c>
      <c r="G543" s="14" t="s">
        <v>80</v>
      </c>
      <c r="H543" s="0" t="n">
        <v>4</v>
      </c>
      <c r="I543" s="16" t="n">
        <v>29.83</v>
      </c>
      <c r="J543" s="16" t="n">
        <v>11</v>
      </c>
      <c r="K543" s="16" t="n">
        <f aca="false">H543*I543</f>
        <v>119.32</v>
      </c>
      <c r="L543" s="16" t="n">
        <f aca="false">H543*J543</f>
        <v>44</v>
      </c>
      <c r="M543" s="16" t="n">
        <f aca="false">K543-L543</f>
        <v>75.32</v>
      </c>
      <c r="N543" s="17" t="n">
        <f aca="false">IFERROR(M543/K543,0)</f>
        <v>0.631243714381495</v>
      </c>
    </row>
    <row r="544" customFormat="false" ht="15" hidden="false" customHeight="false" outlineLevel="0" collapsed="false">
      <c r="A544" s="15" t="n">
        <v>46046</v>
      </c>
      <c r="B544" s="14" t="s">
        <v>59</v>
      </c>
      <c r="C544" s="14" t="s">
        <v>60</v>
      </c>
      <c r="D544" s="14" t="s">
        <v>61</v>
      </c>
      <c r="E544" s="14" t="s">
        <v>76</v>
      </c>
      <c r="F544" s="14" t="s">
        <v>79</v>
      </c>
      <c r="G544" s="14" t="s">
        <v>80</v>
      </c>
      <c r="H544" s="0" t="n">
        <v>5</v>
      </c>
      <c r="I544" s="16" t="n">
        <v>29.01</v>
      </c>
      <c r="J544" s="16" t="n">
        <v>11</v>
      </c>
      <c r="K544" s="16" t="n">
        <f aca="false">H544*I544</f>
        <v>145.05</v>
      </c>
      <c r="L544" s="16" t="n">
        <f aca="false">H544*J544</f>
        <v>55</v>
      </c>
      <c r="M544" s="16" t="n">
        <f aca="false">K544-L544</f>
        <v>90.05</v>
      </c>
      <c r="N544" s="17" t="n">
        <f aca="false">IFERROR(M544/K544,0)</f>
        <v>0.620820406756291</v>
      </c>
    </row>
    <row r="545" customFormat="false" ht="15" hidden="false" customHeight="false" outlineLevel="0" collapsed="false">
      <c r="A545" s="15" t="n">
        <v>46046</v>
      </c>
      <c r="B545" s="14" t="s">
        <v>59</v>
      </c>
      <c r="C545" s="14" t="s">
        <v>60</v>
      </c>
      <c r="D545" s="14" t="s">
        <v>61</v>
      </c>
      <c r="E545" s="14" t="s">
        <v>64</v>
      </c>
      <c r="F545" s="14" t="s">
        <v>65</v>
      </c>
      <c r="G545" s="14" t="s">
        <v>66</v>
      </c>
      <c r="H545" s="0" t="n">
        <v>7</v>
      </c>
      <c r="I545" s="16" t="n">
        <v>73.71</v>
      </c>
      <c r="J545" s="16" t="n">
        <v>34</v>
      </c>
      <c r="K545" s="16" t="n">
        <f aca="false">H545*I545</f>
        <v>515.97</v>
      </c>
      <c r="L545" s="16" t="n">
        <f aca="false">H545*J545</f>
        <v>238</v>
      </c>
      <c r="M545" s="16" t="n">
        <f aca="false">K545-L545</f>
        <v>277.97</v>
      </c>
      <c r="N545" s="17" t="n">
        <f aca="false">IFERROR(M545/K545,0)</f>
        <v>0.538732872066205</v>
      </c>
    </row>
    <row r="546" customFormat="false" ht="15" hidden="false" customHeight="false" outlineLevel="0" collapsed="false">
      <c r="A546" s="15" t="n">
        <v>46046</v>
      </c>
      <c r="B546" s="14" t="s">
        <v>59</v>
      </c>
      <c r="C546" s="14" t="s">
        <v>60</v>
      </c>
      <c r="D546" s="14" t="s">
        <v>61</v>
      </c>
      <c r="E546" s="14" t="s">
        <v>53</v>
      </c>
      <c r="F546" s="14" t="s">
        <v>84</v>
      </c>
      <c r="G546" s="14" t="s">
        <v>85</v>
      </c>
      <c r="H546" s="0" t="n">
        <v>6</v>
      </c>
      <c r="I546" s="16" t="n">
        <v>23.77</v>
      </c>
      <c r="J546" s="16" t="n">
        <v>9</v>
      </c>
      <c r="K546" s="16" t="n">
        <f aca="false">H546*I546</f>
        <v>142.62</v>
      </c>
      <c r="L546" s="16" t="n">
        <f aca="false">H546*J546</f>
        <v>54</v>
      </c>
      <c r="M546" s="16" t="n">
        <f aca="false">K546-L546</f>
        <v>88.62</v>
      </c>
      <c r="N546" s="17" t="n">
        <f aca="false">IFERROR(M546/K546,0)</f>
        <v>0.621371476651241</v>
      </c>
    </row>
    <row r="547" customFormat="false" ht="15" hidden="false" customHeight="false" outlineLevel="0" collapsed="false">
      <c r="A547" s="15" t="n">
        <v>46046</v>
      </c>
      <c r="B547" s="14" t="s">
        <v>59</v>
      </c>
      <c r="C547" s="14" t="s">
        <v>60</v>
      </c>
      <c r="D547" s="14" t="s">
        <v>61</v>
      </c>
      <c r="E547" s="14" t="s">
        <v>53</v>
      </c>
      <c r="F547" s="14" t="s">
        <v>74</v>
      </c>
      <c r="G547" s="14" t="s">
        <v>75</v>
      </c>
      <c r="H547" s="0" t="n">
        <v>6</v>
      </c>
      <c r="I547" s="16" t="n">
        <v>82.26</v>
      </c>
      <c r="J547" s="16" t="n">
        <v>38</v>
      </c>
      <c r="K547" s="16" t="n">
        <f aca="false">H547*I547</f>
        <v>493.56</v>
      </c>
      <c r="L547" s="16" t="n">
        <f aca="false">H547*J547</f>
        <v>228</v>
      </c>
      <c r="M547" s="16" t="n">
        <f aca="false">K547-L547</f>
        <v>265.56</v>
      </c>
      <c r="N547" s="17" t="n">
        <f aca="false">IFERROR(M547/K547,0)</f>
        <v>0.538050085096037</v>
      </c>
    </row>
    <row r="548" customFormat="false" ht="15" hidden="false" customHeight="false" outlineLevel="0" collapsed="false">
      <c r="A548" s="15" t="n">
        <v>46046</v>
      </c>
      <c r="B548" s="14" t="s">
        <v>69</v>
      </c>
      <c r="C548" s="14" t="s">
        <v>70</v>
      </c>
      <c r="D548" s="14" t="s">
        <v>71</v>
      </c>
      <c r="E548" s="14" t="s">
        <v>53</v>
      </c>
      <c r="F548" s="14" t="s">
        <v>74</v>
      </c>
      <c r="G548" s="14" t="s">
        <v>75</v>
      </c>
      <c r="H548" s="0" t="n">
        <v>6</v>
      </c>
      <c r="I548" s="16" t="n">
        <v>86.19</v>
      </c>
      <c r="J548" s="16" t="n">
        <v>38</v>
      </c>
      <c r="K548" s="16" t="n">
        <f aca="false">H548*I548</f>
        <v>517.14</v>
      </c>
      <c r="L548" s="16" t="n">
        <f aca="false">H548*J548</f>
        <v>228</v>
      </c>
      <c r="M548" s="16" t="n">
        <f aca="false">K548-L548</f>
        <v>289.14</v>
      </c>
      <c r="N548" s="17" t="n">
        <f aca="false">IFERROR(M548/K548,0)</f>
        <v>0.559113586262908</v>
      </c>
    </row>
    <row r="549" customFormat="false" ht="15" hidden="false" customHeight="false" outlineLevel="0" collapsed="false">
      <c r="A549" s="15" t="n">
        <v>46046</v>
      </c>
      <c r="B549" s="14" t="s">
        <v>69</v>
      </c>
      <c r="C549" s="14" t="s">
        <v>70</v>
      </c>
      <c r="D549" s="14" t="s">
        <v>71</v>
      </c>
      <c r="E549" s="14" t="s">
        <v>56</v>
      </c>
      <c r="F549" s="14" t="s">
        <v>57</v>
      </c>
      <c r="G549" s="14" t="s">
        <v>58</v>
      </c>
      <c r="H549" s="0" t="n">
        <v>6</v>
      </c>
      <c r="I549" s="16" t="n">
        <v>24.9</v>
      </c>
      <c r="J549" s="16" t="n">
        <v>10</v>
      </c>
      <c r="K549" s="16" t="n">
        <f aca="false">H549*I549</f>
        <v>149.4</v>
      </c>
      <c r="L549" s="16" t="n">
        <f aca="false">H549*J549</f>
        <v>60</v>
      </c>
      <c r="M549" s="16" t="n">
        <f aca="false">K549-L549</f>
        <v>89.4</v>
      </c>
      <c r="N549" s="17" t="n">
        <f aca="false">IFERROR(M549/K549,0)</f>
        <v>0.598393574297189</v>
      </c>
    </row>
    <row r="550" customFormat="false" ht="15" hidden="false" customHeight="false" outlineLevel="0" collapsed="false">
      <c r="A550" s="15" t="n">
        <v>46046</v>
      </c>
      <c r="B550" s="14" t="s">
        <v>69</v>
      </c>
      <c r="C550" s="14" t="s">
        <v>70</v>
      </c>
      <c r="D550" s="14" t="s">
        <v>71</v>
      </c>
      <c r="E550" s="14" t="s">
        <v>76</v>
      </c>
      <c r="F550" s="14" t="s">
        <v>100</v>
      </c>
      <c r="G550" s="14" t="s">
        <v>101</v>
      </c>
      <c r="H550" s="0" t="n">
        <v>9</v>
      </c>
      <c r="I550" s="16" t="n">
        <v>15.01</v>
      </c>
      <c r="J550" s="16" t="n">
        <v>5.5</v>
      </c>
      <c r="K550" s="16" t="n">
        <f aca="false">H550*I550</f>
        <v>135.09</v>
      </c>
      <c r="L550" s="16" t="n">
        <f aca="false">H550*J550</f>
        <v>49.5</v>
      </c>
      <c r="M550" s="16" t="n">
        <f aca="false">K550-L550</f>
        <v>85.59</v>
      </c>
      <c r="N550" s="17" t="n">
        <f aca="false">IFERROR(M550/K550,0)</f>
        <v>0.633577614923384</v>
      </c>
    </row>
    <row r="551" customFormat="false" ht="15" hidden="false" customHeight="false" outlineLevel="0" collapsed="false">
      <c r="A551" s="15" t="n">
        <v>46046</v>
      </c>
      <c r="B551" s="14" t="s">
        <v>69</v>
      </c>
      <c r="C551" s="14" t="s">
        <v>70</v>
      </c>
      <c r="D551" s="14" t="s">
        <v>71</v>
      </c>
      <c r="E551" s="14" t="s">
        <v>56</v>
      </c>
      <c r="F551" s="14" t="s">
        <v>57</v>
      </c>
      <c r="G551" s="14" t="s">
        <v>58</v>
      </c>
      <c r="H551" s="0" t="n">
        <v>7</v>
      </c>
      <c r="I551" s="16" t="n">
        <v>25.24</v>
      </c>
      <c r="J551" s="16" t="n">
        <v>10</v>
      </c>
      <c r="K551" s="16" t="n">
        <f aca="false">H551*I551</f>
        <v>176.68</v>
      </c>
      <c r="L551" s="16" t="n">
        <f aca="false">H551*J551</f>
        <v>70</v>
      </c>
      <c r="M551" s="16" t="n">
        <f aca="false">K551-L551</f>
        <v>106.68</v>
      </c>
      <c r="N551" s="17" t="n">
        <f aca="false">IFERROR(M551/K551,0)</f>
        <v>0.603803486529319</v>
      </c>
    </row>
    <row r="552" customFormat="false" ht="15" hidden="false" customHeight="false" outlineLevel="0" collapsed="false">
      <c r="A552" s="15" t="n">
        <v>46046</v>
      </c>
      <c r="B552" s="14" t="s">
        <v>69</v>
      </c>
      <c r="C552" s="14" t="s">
        <v>70</v>
      </c>
      <c r="D552" s="14" t="s">
        <v>71</v>
      </c>
      <c r="E552" s="14" t="s">
        <v>56</v>
      </c>
      <c r="F552" s="14" t="s">
        <v>57</v>
      </c>
      <c r="G552" s="14" t="s">
        <v>58</v>
      </c>
      <c r="H552" s="0" t="n">
        <v>2</v>
      </c>
      <c r="I552" s="16" t="n">
        <v>26.51</v>
      </c>
      <c r="J552" s="16" t="n">
        <v>10</v>
      </c>
      <c r="K552" s="16" t="n">
        <f aca="false">H552*I552</f>
        <v>53.02</v>
      </c>
      <c r="L552" s="16" t="n">
        <f aca="false">H552*J552</f>
        <v>20</v>
      </c>
      <c r="M552" s="16" t="n">
        <f aca="false">K552-L552</f>
        <v>33.02</v>
      </c>
      <c r="N552" s="17" t="n">
        <f aca="false">IFERROR(M552/K552,0)</f>
        <v>0.622783855149</v>
      </c>
    </row>
    <row r="553" customFormat="false" ht="15" hidden="false" customHeight="false" outlineLevel="0" collapsed="false">
      <c r="A553" s="15" t="n">
        <v>46046</v>
      </c>
      <c r="B553" s="14" t="s">
        <v>81</v>
      </c>
      <c r="C553" s="14" t="s">
        <v>82</v>
      </c>
      <c r="D553" s="14" t="s">
        <v>83</v>
      </c>
      <c r="E553" s="14" t="s">
        <v>53</v>
      </c>
      <c r="F553" s="14" t="s">
        <v>74</v>
      </c>
      <c r="G553" s="14" t="s">
        <v>75</v>
      </c>
      <c r="H553" s="0" t="n">
        <v>2</v>
      </c>
      <c r="I553" s="16" t="n">
        <v>83.79</v>
      </c>
      <c r="J553" s="16" t="n">
        <v>38</v>
      </c>
      <c r="K553" s="16" t="n">
        <f aca="false">H553*I553</f>
        <v>167.58</v>
      </c>
      <c r="L553" s="16" t="n">
        <f aca="false">H553*J553</f>
        <v>76</v>
      </c>
      <c r="M553" s="16" t="n">
        <f aca="false">K553-L553</f>
        <v>91.58</v>
      </c>
      <c r="N553" s="17" t="n">
        <f aca="false">IFERROR(M553/K553,0)</f>
        <v>0.546485260770975</v>
      </c>
    </row>
    <row r="554" customFormat="false" ht="15" hidden="false" customHeight="false" outlineLevel="0" collapsed="false">
      <c r="A554" s="15" t="n">
        <v>46046</v>
      </c>
      <c r="B554" s="14" t="s">
        <v>81</v>
      </c>
      <c r="C554" s="14" t="s">
        <v>82</v>
      </c>
      <c r="D554" s="14" t="s">
        <v>83</v>
      </c>
      <c r="E554" s="14" t="s">
        <v>64</v>
      </c>
      <c r="F554" s="14" t="s">
        <v>96</v>
      </c>
      <c r="G554" s="14" t="s">
        <v>97</v>
      </c>
      <c r="H554" s="0" t="n">
        <v>9</v>
      </c>
      <c r="I554" s="16" t="n">
        <v>55.77</v>
      </c>
      <c r="J554" s="16" t="n">
        <v>24</v>
      </c>
      <c r="K554" s="16" t="n">
        <f aca="false">H554*I554</f>
        <v>501.93</v>
      </c>
      <c r="L554" s="16" t="n">
        <f aca="false">H554*J554</f>
        <v>216</v>
      </c>
      <c r="M554" s="16" t="n">
        <f aca="false">K554-L554</f>
        <v>285.93</v>
      </c>
      <c r="N554" s="17" t="n">
        <f aca="false">IFERROR(M554/K554,0)</f>
        <v>0.569661108122647</v>
      </c>
    </row>
    <row r="555" customFormat="false" ht="15" hidden="false" customHeight="false" outlineLevel="0" collapsed="false">
      <c r="A555" s="15" t="n">
        <v>46046</v>
      </c>
      <c r="B555" s="14" t="s">
        <v>81</v>
      </c>
      <c r="C555" s="14" t="s">
        <v>82</v>
      </c>
      <c r="D555" s="14" t="s">
        <v>83</v>
      </c>
      <c r="E555" s="14" t="s">
        <v>45</v>
      </c>
      <c r="F555" s="14" t="s">
        <v>48</v>
      </c>
      <c r="G555" s="14" t="s">
        <v>49</v>
      </c>
      <c r="H555" s="0" t="n">
        <v>1</v>
      </c>
      <c r="I555" s="16" t="n">
        <v>67.69</v>
      </c>
      <c r="J555" s="16" t="n">
        <v>27.5</v>
      </c>
      <c r="K555" s="16" t="n">
        <f aca="false">H555*I555</f>
        <v>67.69</v>
      </c>
      <c r="L555" s="16" t="n">
        <f aca="false">H555*J555</f>
        <v>27.5</v>
      </c>
      <c r="M555" s="16" t="n">
        <f aca="false">K555-L555</f>
        <v>40.19</v>
      </c>
      <c r="N555" s="17" t="n">
        <f aca="false">IFERROR(M555/K555,0)</f>
        <v>0.593736150096026</v>
      </c>
    </row>
    <row r="556" customFormat="false" ht="15" hidden="false" customHeight="false" outlineLevel="0" collapsed="false">
      <c r="A556" s="15" t="n">
        <v>46046</v>
      </c>
      <c r="B556" s="14" t="s">
        <v>81</v>
      </c>
      <c r="C556" s="14" t="s">
        <v>82</v>
      </c>
      <c r="D556" s="14" t="s">
        <v>83</v>
      </c>
      <c r="E556" s="14" t="s">
        <v>64</v>
      </c>
      <c r="F556" s="14" t="s">
        <v>94</v>
      </c>
      <c r="G556" s="14" t="s">
        <v>95</v>
      </c>
      <c r="H556" s="0" t="n">
        <v>6</v>
      </c>
      <c r="I556" s="16" t="n">
        <v>91.89</v>
      </c>
      <c r="J556" s="16" t="n">
        <v>42</v>
      </c>
      <c r="K556" s="16" t="n">
        <f aca="false">H556*I556</f>
        <v>551.34</v>
      </c>
      <c r="L556" s="16" t="n">
        <f aca="false">H556*J556</f>
        <v>252</v>
      </c>
      <c r="M556" s="16" t="n">
        <f aca="false">K556-L556</f>
        <v>299.34</v>
      </c>
      <c r="N556" s="17" t="n">
        <f aca="false">IFERROR(M556/K556,0)</f>
        <v>0.542931766242246</v>
      </c>
    </row>
    <row r="557" customFormat="false" ht="15" hidden="false" customHeight="false" outlineLevel="0" collapsed="false">
      <c r="A557" s="15" t="n">
        <v>46046</v>
      </c>
      <c r="B557" s="14" t="s">
        <v>88</v>
      </c>
      <c r="C557" s="14" t="s">
        <v>89</v>
      </c>
      <c r="D557" s="14" t="s">
        <v>44</v>
      </c>
      <c r="E557" s="14" t="s">
        <v>53</v>
      </c>
      <c r="F557" s="14" t="s">
        <v>84</v>
      </c>
      <c r="G557" s="14" t="s">
        <v>85</v>
      </c>
      <c r="H557" s="0" t="n">
        <v>9</v>
      </c>
      <c r="I557" s="16" t="n">
        <v>24.11</v>
      </c>
      <c r="J557" s="16" t="n">
        <v>9</v>
      </c>
      <c r="K557" s="16" t="n">
        <f aca="false">H557*I557</f>
        <v>216.99</v>
      </c>
      <c r="L557" s="16" t="n">
        <f aca="false">H557*J557</f>
        <v>81</v>
      </c>
      <c r="M557" s="16" t="n">
        <f aca="false">K557-L557</f>
        <v>135.99</v>
      </c>
      <c r="N557" s="17" t="n">
        <f aca="false">IFERROR(M557/K557,0)</f>
        <v>0.62671090833679</v>
      </c>
    </row>
    <row r="558" customFormat="false" ht="15" hidden="false" customHeight="false" outlineLevel="0" collapsed="false">
      <c r="A558" s="15" t="n">
        <v>46046</v>
      </c>
      <c r="B558" s="14" t="s">
        <v>88</v>
      </c>
      <c r="C558" s="14" t="s">
        <v>89</v>
      </c>
      <c r="D558" s="14" t="s">
        <v>44</v>
      </c>
      <c r="E558" s="14" t="s">
        <v>56</v>
      </c>
      <c r="F558" s="14" t="s">
        <v>57</v>
      </c>
      <c r="G558" s="14" t="s">
        <v>58</v>
      </c>
      <c r="H558" s="0" t="n">
        <v>3</v>
      </c>
      <c r="I558" s="16" t="n">
        <v>24.9</v>
      </c>
      <c r="J558" s="16" t="n">
        <v>10</v>
      </c>
      <c r="K558" s="16" t="n">
        <f aca="false">H558*I558</f>
        <v>74.7</v>
      </c>
      <c r="L558" s="16" t="n">
        <f aca="false">H558*J558</f>
        <v>30</v>
      </c>
      <c r="M558" s="16" t="n">
        <f aca="false">K558-L558</f>
        <v>44.7</v>
      </c>
      <c r="N558" s="17" t="n">
        <f aca="false">IFERROR(M558/K558,0)</f>
        <v>0.598393574297189</v>
      </c>
    </row>
    <row r="559" customFormat="false" ht="15" hidden="false" customHeight="false" outlineLevel="0" collapsed="false">
      <c r="A559" s="15" t="n">
        <v>46047</v>
      </c>
      <c r="B559" s="14" t="s">
        <v>42</v>
      </c>
      <c r="C559" s="14" t="s">
        <v>43</v>
      </c>
      <c r="D559" s="14" t="s">
        <v>44</v>
      </c>
      <c r="E559" s="14" t="s">
        <v>56</v>
      </c>
      <c r="F559" s="14" t="s">
        <v>98</v>
      </c>
      <c r="G559" s="14" t="s">
        <v>99</v>
      </c>
      <c r="H559" s="0" t="n">
        <v>10</v>
      </c>
      <c r="I559" s="16" t="n">
        <v>21.76</v>
      </c>
      <c r="J559" s="16" t="n">
        <v>8</v>
      </c>
      <c r="K559" s="16" t="n">
        <f aca="false">H559*I559</f>
        <v>217.6</v>
      </c>
      <c r="L559" s="16" t="n">
        <f aca="false">H559*J559</f>
        <v>80</v>
      </c>
      <c r="M559" s="16" t="n">
        <f aca="false">K559-L559</f>
        <v>137.6</v>
      </c>
      <c r="N559" s="17" t="n">
        <f aca="false">IFERROR(M559/K559,0)</f>
        <v>0.632352941176471</v>
      </c>
    </row>
    <row r="560" customFormat="false" ht="15" hidden="false" customHeight="false" outlineLevel="0" collapsed="false">
      <c r="A560" s="15" t="n">
        <v>46047</v>
      </c>
      <c r="B560" s="14" t="s">
        <v>42</v>
      </c>
      <c r="C560" s="14" t="s">
        <v>43</v>
      </c>
      <c r="D560" s="14" t="s">
        <v>44</v>
      </c>
      <c r="E560" s="14" t="s">
        <v>45</v>
      </c>
      <c r="F560" s="14" t="s">
        <v>46</v>
      </c>
      <c r="G560" s="14" t="s">
        <v>47</v>
      </c>
      <c r="H560" s="0" t="n">
        <v>11</v>
      </c>
      <c r="I560" s="16" t="n">
        <v>42.8</v>
      </c>
      <c r="J560" s="16" t="n">
        <v>18</v>
      </c>
      <c r="K560" s="16" t="n">
        <f aca="false">H560*I560</f>
        <v>470.8</v>
      </c>
      <c r="L560" s="16" t="n">
        <f aca="false">H560*J560</f>
        <v>198</v>
      </c>
      <c r="M560" s="16" t="n">
        <f aca="false">K560-L560</f>
        <v>272.8</v>
      </c>
      <c r="N560" s="17" t="n">
        <f aca="false">IFERROR(M560/K560,0)</f>
        <v>0.579439252336449</v>
      </c>
    </row>
    <row r="561" customFormat="false" ht="15" hidden="false" customHeight="false" outlineLevel="0" collapsed="false">
      <c r="A561" s="15" t="n">
        <v>46047</v>
      </c>
      <c r="B561" s="14" t="s">
        <v>42</v>
      </c>
      <c r="C561" s="14" t="s">
        <v>43</v>
      </c>
      <c r="D561" s="14" t="s">
        <v>44</v>
      </c>
      <c r="E561" s="14" t="s">
        <v>45</v>
      </c>
      <c r="F561" s="14" t="s">
        <v>62</v>
      </c>
      <c r="G561" s="14" t="s">
        <v>63</v>
      </c>
      <c r="H561" s="0" t="n">
        <v>5</v>
      </c>
      <c r="I561" s="16" t="n">
        <v>17.55</v>
      </c>
      <c r="J561" s="16" t="n">
        <v>6.5</v>
      </c>
      <c r="K561" s="16" t="n">
        <f aca="false">H561*I561</f>
        <v>87.75</v>
      </c>
      <c r="L561" s="16" t="n">
        <f aca="false">H561*J561</f>
        <v>32.5</v>
      </c>
      <c r="M561" s="16" t="n">
        <f aca="false">K561-L561</f>
        <v>55.25</v>
      </c>
      <c r="N561" s="17" t="n">
        <f aca="false">IFERROR(M561/K561,0)</f>
        <v>0.62962962962963</v>
      </c>
    </row>
    <row r="562" customFormat="false" ht="15" hidden="false" customHeight="false" outlineLevel="0" collapsed="false">
      <c r="A562" s="15" t="n">
        <v>46047</v>
      </c>
      <c r="B562" s="14" t="s">
        <v>42</v>
      </c>
      <c r="C562" s="14" t="s">
        <v>43</v>
      </c>
      <c r="D562" s="14" t="s">
        <v>44</v>
      </c>
      <c r="E562" s="14" t="s">
        <v>53</v>
      </c>
      <c r="F562" s="14" t="s">
        <v>54</v>
      </c>
      <c r="G562" s="14" t="s">
        <v>55</v>
      </c>
      <c r="H562" s="0" t="n">
        <v>7</v>
      </c>
      <c r="I562" s="16" t="n">
        <v>51.92</v>
      </c>
      <c r="J562" s="16" t="n">
        <v>22</v>
      </c>
      <c r="K562" s="16" t="n">
        <f aca="false">H562*I562</f>
        <v>363.44</v>
      </c>
      <c r="L562" s="16" t="n">
        <f aca="false">H562*J562</f>
        <v>154</v>
      </c>
      <c r="M562" s="16" t="n">
        <f aca="false">K562-L562</f>
        <v>209.44</v>
      </c>
      <c r="N562" s="17" t="n">
        <f aca="false">IFERROR(M562/K562,0)</f>
        <v>0.576271186440678</v>
      </c>
    </row>
    <row r="563" customFormat="false" ht="15" hidden="false" customHeight="false" outlineLevel="0" collapsed="false">
      <c r="A563" s="15" t="n">
        <v>46047</v>
      </c>
      <c r="B563" s="14" t="s">
        <v>50</v>
      </c>
      <c r="C563" s="14" t="s">
        <v>51</v>
      </c>
      <c r="D563" s="14" t="s">
        <v>52</v>
      </c>
      <c r="E563" s="14" t="s">
        <v>53</v>
      </c>
      <c r="F563" s="14" t="s">
        <v>74</v>
      </c>
      <c r="G563" s="14" t="s">
        <v>75</v>
      </c>
      <c r="H563" s="0" t="n">
        <v>4</v>
      </c>
      <c r="I563" s="16" t="n">
        <v>84.97</v>
      </c>
      <c r="J563" s="16" t="n">
        <v>38</v>
      </c>
      <c r="K563" s="16" t="n">
        <f aca="false">H563*I563</f>
        <v>339.88</v>
      </c>
      <c r="L563" s="16" t="n">
        <f aca="false">H563*J563</f>
        <v>152</v>
      </c>
      <c r="M563" s="16" t="n">
        <f aca="false">K563-L563</f>
        <v>187.88</v>
      </c>
      <c r="N563" s="17" t="n">
        <f aca="false">IFERROR(M563/K563,0)</f>
        <v>0.55278333529481</v>
      </c>
    </row>
    <row r="564" customFormat="false" ht="15" hidden="false" customHeight="false" outlineLevel="0" collapsed="false">
      <c r="A564" s="15" t="n">
        <v>46047</v>
      </c>
      <c r="B564" s="14" t="s">
        <v>50</v>
      </c>
      <c r="C564" s="14" t="s">
        <v>51</v>
      </c>
      <c r="D564" s="14" t="s">
        <v>52</v>
      </c>
      <c r="E564" s="14" t="s">
        <v>64</v>
      </c>
      <c r="F564" s="14" t="s">
        <v>94</v>
      </c>
      <c r="G564" s="14" t="s">
        <v>95</v>
      </c>
      <c r="H564" s="0" t="n">
        <v>15</v>
      </c>
      <c r="I564" s="16" t="n">
        <v>97.28</v>
      </c>
      <c r="J564" s="16" t="n">
        <v>42</v>
      </c>
      <c r="K564" s="16" t="n">
        <f aca="false">H564*I564</f>
        <v>1459.2</v>
      </c>
      <c r="L564" s="16" t="n">
        <f aca="false">H564*J564</f>
        <v>630</v>
      </c>
      <c r="M564" s="16" t="n">
        <f aca="false">K564-L564</f>
        <v>829.2</v>
      </c>
      <c r="N564" s="17" t="n">
        <f aca="false">IFERROR(M564/K564,0)</f>
        <v>0.568256578947369</v>
      </c>
    </row>
    <row r="565" customFormat="false" ht="15" hidden="false" customHeight="false" outlineLevel="0" collapsed="false">
      <c r="A565" s="15" t="n">
        <v>46047</v>
      </c>
      <c r="B565" s="14" t="s">
        <v>50</v>
      </c>
      <c r="C565" s="14" t="s">
        <v>51</v>
      </c>
      <c r="D565" s="14" t="s">
        <v>52</v>
      </c>
      <c r="E565" s="14" t="s">
        <v>76</v>
      </c>
      <c r="F565" s="14" t="s">
        <v>102</v>
      </c>
      <c r="G565" s="14" t="s">
        <v>103</v>
      </c>
      <c r="H565" s="0" t="n">
        <v>6</v>
      </c>
      <c r="I565" s="16" t="n">
        <v>23.46</v>
      </c>
      <c r="J565" s="16" t="n">
        <v>8.5</v>
      </c>
      <c r="K565" s="16" t="n">
        <f aca="false">H565*I565</f>
        <v>140.76</v>
      </c>
      <c r="L565" s="16" t="n">
        <f aca="false">H565*J565</f>
        <v>51</v>
      </c>
      <c r="M565" s="16" t="n">
        <f aca="false">K565-L565</f>
        <v>89.76</v>
      </c>
      <c r="N565" s="17" t="n">
        <f aca="false">IFERROR(M565/K565,0)</f>
        <v>0.63768115942029</v>
      </c>
    </row>
    <row r="566" customFormat="false" ht="15" hidden="false" customHeight="false" outlineLevel="0" collapsed="false">
      <c r="A566" s="15" t="n">
        <v>46047</v>
      </c>
      <c r="B566" s="14" t="s">
        <v>50</v>
      </c>
      <c r="C566" s="14" t="s">
        <v>51</v>
      </c>
      <c r="D566" s="14" t="s">
        <v>52</v>
      </c>
      <c r="E566" s="14" t="s">
        <v>64</v>
      </c>
      <c r="F566" s="14" t="s">
        <v>96</v>
      </c>
      <c r="G566" s="14" t="s">
        <v>97</v>
      </c>
      <c r="H566" s="0" t="n">
        <v>15</v>
      </c>
      <c r="I566" s="16" t="n">
        <v>54.78</v>
      </c>
      <c r="J566" s="16" t="n">
        <v>24</v>
      </c>
      <c r="K566" s="16" t="n">
        <f aca="false">H566*I566</f>
        <v>821.7</v>
      </c>
      <c r="L566" s="16" t="n">
        <f aca="false">H566*J566</f>
        <v>360</v>
      </c>
      <c r="M566" s="16" t="n">
        <f aca="false">K566-L566</f>
        <v>461.7</v>
      </c>
      <c r="N566" s="17" t="n">
        <f aca="false">IFERROR(M566/K566,0)</f>
        <v>0.561883899233297</v>
      </c>
    </row>
    <row r="567" customFormat="false" ht="15" hidden="false" customHeight="false" outlineLevel="0" collapsed="false">
      <c r="A567" s="15" t="n">
        <v>46047</v>
      </c>
      <c r="B567" s="14" t="s">
        <v>50</v>
      </c>
      <c r="C567" s="14" t="s">
        <v>51</v>
      </c>
      <c r="D567" s="14" t="s">
        <v>52</v>
      </c>
      <c r="E567" s="14" t="s">
        <v>76</v>
      </c>
      <c r="F567" s="14" t="s">
        <v>79</v>
      </c>
      <c r="G567" s="14" t="s">
        <v>80</v>
      </c>
      <c r="H567" s="0" t="n">
        <v>11</v>
      </c>
      <c r="I567" s="16" t="n">
        <v>28.4</v>
      </c>
      <c r="J567" s="16" t="n">
        <v>11</v>
      </c>
      <c r="K567" s="16" t="n">
        <f aca="false">H567*I567</f>
        <v>312.4</v>
      </c>
      <c r="L567" s="16" t="n">
        <f aca="false">H567*J567</f>
        <v>121</v>
      </c>
      <c r="M567" s="16" t="n">
        <f aca="false">K567-L567</f>
        <v>191.4</v>
      </c>
      <c r="N567" s="17" t="n">
        <f aca="false">IFERROR(M567/K567,0)</f>
        <v>0.612676056338028</v>
      </c>
    </row>
    <row r="568" customFormat="false" ht="15" hidden="false" customHeight="false" outlineLevel="0" collapsed="false">
      <c r="A568" s="15" t="n">
        <v>46047</v>
      </c>
      <c r="B568" s="14" t="s">
        <v>59</v>
      </c>
      <c r="C568" s="14" t="s">
        <v>60</v>
      </c>
      <c r="D568" s="14" t="s">
        <v>61</v>
      </c>
      <c r="E568" s="14" t="s">
        <v>64</v>
      </c>
      <c r="F568" s="14" t="s">
        <v>94</v>
      </c>
      <c r="G568" s="14" t="s">
        <v>95</v>
      </c>
      <c r="H568" s="0" t="n">
        <v>12</v>
      </c>
      <c r="I568" s="16" t="n">
        <v>93.73</v>
      </c>
      <c r="J568" s="16" t="n">
        <v>42</v>
      </c>
      <c r="K568" s="16" t="n">
        <f aca="false">H568*I568</f>
        <v>1124.76</v>
      </c>
      <c r="L568" s="16" t="n">
        <f aca="false">H568*J568</f>
        <v>504</v>
      </c>
      <c r="M568" s="16" t="n">
        <f aca="false">K568-L568</f>
        <v>620.76</v>
      </c>
      <c r="N568" s="17" t="n">
        <f aca="false">IFERROR(M568/K568,0)</f>
        <v>0.551904406273338</v>
      </c>
    </row>
    <row r="569" customFormat="false" ht="15" hidden="false" customHeight="false" outlineLevel="0" collapsed="false">
      <c r="A569" s="15" t="n">
        <v>46047</v>
      </c>
      <c r="B569" s="14" t="s">
        <v>59</v>
      </c>
      <c r="C569" s="14" t="s">
        <v>60</v>
      </c>
      <c r="D569" s="14" t="s">
        <v>61</v>
      </c>
      <c r="E569" s="14" t="s">
        <v>56</v>
      </c>
      <c r="F569" s="14" t="s">
        <v>86</v>
      </c>
      <c r="G569" s="14" t="s">
        <v>87</v>
      </c>
      <c r="H569" s="0" t="n">
        <v>6</v>
      </c>
      <c r="I569" s="16" t="n">
        <v>14.18</v>
      </c>
      <c r="J569" s="16" t="n">
        <v>5</v>
      </c>
      <c r="K569" s="16" t="n">
        <f aca="false">H569*I569</f>
        <v>85.08</v>
      </c>
      <c r="L569" s="16" t="n">
        <f aca="false">H569*J569</f>
        <v>30</v>
      </c>
      <c r="M569" s="16" t="n">
        <f aca="false">K569-L569</f>
        <v>55.08</v>
      </c>
      <c r="N569" s="17" t="n">
        <f aca="false">IFERROR(M569/K569,0)</f>
        <v>0.647390691114245</v>
      </c>
    </row>
    <row r="570" customFormat="false" ht="15" hidden="false" customHeight="false" outlineLevel="0" collapsed="false">
      <c r="A570" s="15" t="n">
        <v>46047</v>
      </c>
      <c r="B570" s="14" t="s">
        <v>59</v>
      </c>
      <c r="C570" s="14" t="s">
        <v>60</v>
      </c>
      <c r="D570" s="14" t="s">
        <v>61</v>
      </c>
      <c r="E570" s="14" t="s">
        <v>53</v>
      </c>
      <c r="F570" s="14" t="s">
        <v>84</v>
      </c>
      <c r="G570" s="14" t="s">
        <v>85</v>
      </c>
      <c r="H570" s="0" t="n">
        <v>6</v>
      </c>
      <c r="I570" s="16" t="n">
        <v>23.36</v>
      </c>
      <c r="J570" s="16" t="n">
        <v>9</v>
      </c>
      <c r="K570" s="16" t="n">
        <f aca="false">H570*I570</f>
        <v>140.16</v>
      </c>
      <c r="L570" s="16" t="n">
        <f aca="false">H570*J570</f>
        <v>54</v>
      </c>
      <c r="M570" s="16" t="n">
        <f aca="false">K570-L570</f>
        <v>86.16</v>
      </c>
      <c r="N570" s="17" t="n">
        <f aca="false">IFERROR(M570/K570,0)</f>
        <v>0.61472602739726</v>
      </c>
    </row>
    <row r="571" customFormat="false" ht="15" hidden="false" customHeight="false" outlineLevel="0" collapsed="false">
      <c r="A571" s="15" t="n">
        <v>46047</v>
      </c>
      <c r="B571" s="14" t="s">
        <v>59</v>
      </c>
      <c r="C571" s="14" t="s">
        <v>60</v>
      </c>
      <c r="D571" s="14" t="s">
        <v>61</v>
      </c>
      <c r="E571" s="14" t="s">
        <v>64</v>
      </c>
      <c r="F571" s="14" t="s">
        <v>94</v>
      </c>
      <c r="G571" s="14" t="s">
        <v>95</v>
      </c>
      <c r="H571" s="0" t="n">
        <v>7</v>
      </c>
      <c r="I571" s="16" t="n">
        <v>96.9</v>
      </c>
      <c r="J571" s="16" t="n">
        <v>42</v>
      </c>
      <c r="K571" s="16" t="n">
        <f aca="false">H571*I571</f>
        <v>678.3</v>
      </c>
      <c r="L571" s="16" t="n">
        <f aca="false">H571*J571</f>
        <v>294</v>
      </c>
      <c r="M571" s="16" t="n">
        <f aca="false">K571-L571</f>
        <v>384.3</v>
      </c>
      <c r="N571" s="17" t="n">
        <f aca="false">IFERROR(M571/K571,0)</f>
        <v>0.56656346749226</v>
      </c>
    </row>
    <row r="572" customFormat="false" ht="15" hidden="false" customHeight="false" outlineLevel="0" collapsed="false">
      <c r="A572" s="15" t="n">
        <v>46047</v>
      </c>
      <c r="B572" s="14" t="s">
        <v>59</v>
      </c>
      <c r="C572" s="14" t="s">
        <v>60</v>
      </c>
      <c r="D572" s="14" t="s">
        <v>61</v>
      </c>
      <c r="E572" s="14" t="s">
        <v>64</v>
      </c>
      <c r="F572" s="14" t="s">
        <v>96</v>
      </c>
      <c r="G572" s="14" t="s">
        <v>97</v>
      </c>
      <c r="H572" s="0" t="n">
        <v>9</v>
      </c>
      <c r="I572" s="16" t="n">
        <v>56.05</v>
      </c>
      <c r="J572" s="16" t="n">
        <v>24</v>
      </c>
      <c r="K572" s="16" t="n">
        <f aca="false">H572*I572</f>
        <v>504.45</v>
      </c>
      <c r="L572" s="16" t="n">
        <f aca="false">H572*J572</f>
        <v>216</v>
      </c>
      <c r="M572" s="16" t="n">
        <f aca="false">K572-L572</f>
        <v>288.45</v>
      </c>
      <c r="N572" s="17" t="n">
        <f aca="false">IFERROR(M572/K572,0)</f>
        <v>0.571810883140054</v>
      </c>
    </row>
    <row r="573" customFormat="false" ht="15" hidden="false" customHeight="false" outlineLevel="0" collapsed="false">
      <c r="A573" s="15" t="n">
        <v>46047</v>
      </c>
      <c r="B573" s="14" t="s">
        <v>59</v>
      </c>
      <c r="C573" s="14" t="s">
        <v>60</v>
      </c>
      <c r="D573" s="14" t="s">
        <v>61</v>
      </c>
      <c r="E573" s="14" t="s">
        <v>64</v>
      </c>
      <c r="F573" s="14" t="s">
        <v>94</v>
      </c>
      <c r="G573" s="14" t="s">
        <v>95</v>
      </c>
      <c r="H573" s="0" t="n">
        <v>3</v>
      </c>
      <c r="I573" s="16" t="n">
        <v>98.46</v>
      </c>
      <c r="J573" s="16" t="n">
        <v>42</v>
      </c>
      <c r="K573" s="16" t="n">
        <f aca="false">H573*I573</f>
        <v>295.38</v>
      </c>
      <c r="L573" s="16" t="n">
        <f aca="false">H573*J573</f>
        <v>126</v>
      </c>
      <c r="M573" s="16" t="n">
        <f aca="false">K573-L573</f>
        <v>169.38</v>
      </c>
      <c r="N573" s="17" t="n">
        <f aca="false">IFERROR(M573/K573,0)</f>
        <v>0.573430834856795</v>
      </c>
    </row>
    <row r="574" customFormat="false" ht="15" hidden="false" customHeight="false" outlineLevel="0" collapsed="false">
      <c r="A574" s="15" t="n">
        <v>46047</v>
      </c>
      <c r="B574" s="14" t="s">
        <v>69</v>
      </c>
      <c r="C574" s="14" t="s">
        <v>70</v>
      </c>
      <c r="D574" s="14" t="s">
        <v>71</v>
      </c>
      <c r="E574" s="14" t="s">
        <v>56</v>
      </c>
      <c r="F574" s="14" t="s">
        <v>86</v>
      </c>
      <c r="G574" s="14" t="s">
        <v>87</v>
      </c>
      <c r="H574" s="0" t="n">
        <v>1</v>
      </c>
      <c r="I574" s="16" t="n">
        <v>14.94</v>
      </c>
      <c r="J574" s="16" t="n">
        <v>5</v>
      </c>
      <c r="K574" s="16" t="n">
        <f aca="false">H574*I574</f>
        <v>14.94</v>
      </c>
      <c r="L574" s="16" t="n">
        <f aca="false">H574*J574</f>
        <v>5</v>
      </c>
      <c r="M574" s="16" t="n">
        <f aca="false">K574-L574</f>
        <v>9.94</v>
      </c>
      <c r="N574" s="17" t="n">
        <f aca="false">IFERROR(M574/K574,0)</f>
        <v>0.665327978580991</v>
      </c>
    </row>
    <row r="575" customFormat="false" ht="15" hidden="false" customHeight="false" outlineLevel="0" collapsed="false">
      <c r="A575" s="15" t="n">
        <v>46047</v>
      </c>
      <c r="B575" s="14" t="s">
        <v>69</v>
      </c>
      <c r="C575" s="14" t="s">
        <v>70</v>
      </c>
      <c r="D575" s="14" t="s">
        <v>71</v>
      </c>
      <c r="E575" s="14" t="s">
        <v>64</v>
      </c>
      <c r="F575" s="14" t="s">
        <v>96</v>
      </c>
      <c r="G575" s="14" t="s">
        <v>97</v>
      </c>
      <c r="H575" s="0" t="n">
        <v>11</v>
      </c>
      <c r="I575" s="16" t="n">
        <v>58.05</v>
      </c>
      <c r="J575" s="16" t="n">
        <v>24</v>
      </c>
      <c r="K575" s="16" t="n">
        <f aca="false">H575*I575</f>
        <v>638.55</v>
      </c>
      <c r="L575" s="16" t="n">
        <f aca="false">H575*J575</f>
        <v>264</v>
      </c>
      <c r="M575" s="16" t="n">
        <f aca="false">K575-L575</f>
        <v>374.55</v>
      </c>
      <c r="N575" s="17" t="n">
        <f aca="false">IFERROR(M575/K575,0)</f>
        <v>0.58656330749354</v>
      </c>
    </row>
    <row r="576" customFormat="false" ht="15" hidden="false" customHeight="false" outlineLevel="0" collapsed="false">
      <c r="A576" s="15" t="n">
        <v>46047</v>
      </c>
      <c r="B576" s="14" t="s">
        <v>69</v>
      </c>
      <c r="C576" s="14" t="s">
        <v>70</v>
      </c>
      <c r="D576" s="14" t="s">
        <v>71</v>
      </c>
      <c r="E576" s="14" t="s">
        <v>45</v>
      </c>
      <c r="F576" s="14" t="s">
        <v>72</v>
      </c>
      <c r="G576" s="14" t="s">
        <v>73</v>
      </c>
      <c r="H576" s="0" t="n">
        <v>8</v>
      </c>
      <c r="I576" s="16" t="n">
        <v>48.42</v>
      </c>
      <c r="J576" s="16" t="n">
        <v>21</v>
      </c>
      <c r="K576" s="16" t="n">
        <f aca="false">H576*I576</f>
        <v>387.36</v>
      </c>
      <c r="L576" s="16" t="n">
        <f aca="false">H576*J576</f>
        <v>168</v>
      </c>
      <c r="M576" s="16" t="n">
        <f aca="false">K576-L576</f>
        <v>219.36</v>
      </c>
      <c r="N576" s="17" t="n">
        <f aca="false">IFERROR(M576/K576,0)</f>
        <v>0.566294919454771</v>
      </c>
    </row>
    <row r="577" customFormat="false" ht="15" hidden="false" customHeight="false" outlineLevel="0" collapsed="false">
      <c r="A577" s="15" t="n">
        <v>46047</v>
      </c>
      <c r="B577" s="14" t="s">
        <v>81</v>
      </c>
      <c r="C577" s="14" t="s">
        <v>82</v>
      </c>
      <c r="D577" s="14" t="s">
        <v>83</v>
      </c>
      <c r="E577" s="14" t="s">
        <v>53</v>
      </c>
      <c r="F577" s="14" t="s">
        <v>92</v>
      </c>
      <c r="G577" s="14" t="s">
        <v>93</v>
      </c>
      <c r="H577" s="0" t="n">
        <v>3</v>
      </c>
      <c r="I577" s="16" t="n">
        <v>117.27</v>
      </c>
      <c r="J577" s="16" t="n">
        <v>52</v>
      </c>
      <c r="K577" s="16" t="n">
        <f aca="false">H577*I577</f>
        <v>351.81</v>
      </c>
      <c r="L577" s="16" t="n">
        <f aca="false">H577*J577</f>
        <v>156</v>
      </c>
      <c r="M577" s="16" t="n">
        <f aca="false">K577-L577</f>
        <v>195.81</v>
      </c>
      <c r="N577" s="17" t="n">
        <f aca="false">IFERROR(M577/K577,0)</f>
        <v>0.556578835166709</v>
      </c>
    </row>
    <row r="578" customFormat="false" ht="15" hidden="false" customHeight="false" outlineLevel="0" collapsed="false">
      <c r="A578" s="15" t="n">
        <v>46047</v>
      </c>
      <c r="B578" s="14" t="s">
        <v>81</v>
      </c>
      <c r="C578" s="14" t="s">
        <v>82</v>
      </c>
      <c r="D578" s="14" t="s">
        <v>83</v>
      </c>
      <c r="E578" s="14" t="s">
        <v>64</v>
      </c>
      <c r="F578" s="14" t="s">
        <v>65</v>
      </c>
      <c r="G578" s="14" t="s">
        <v>66</v>
      </c>
      <c r="H578" s="0" t="n">
        <v>10</v>
      </c>
      <c r="I578" s="16" t="n">
        <v>78.94</v>
      </c>
      <c r="J578" s="16" t="n">
        <v>34</v>
      </c>
      <c r="K578" s="16" t="n">
        <f aca="false">H578*I578</f>
        <v>789.4</v>
      </c>
      <c r="L578" s="16" t="n">
        <f aca="false">H578*J578</f>
        <v>340</v>
      </c>
      <c r="M578" s="16" t="n">
        <f aca="false">K578-L578</f>
        <v>449.4</v>
      </c>
      <c r="N578" s="17" t="n">
        <f aca="false">IFERROR(M578/K578,0)</f>
        <v>0.569293134025842</v>
      </c>
    </row>
    <row r="579" customFormat="false" ht="15" hidden="false" customHeight="false" outlineLevel="0" collapsed="false">
      <c r="A579" s="15" t="n">
        <v>46047</v>
      </c>
      <c r="B579" s="14" t="s">
        <v>81</v>
      </c>
      <c r="C579" s="14" t="s">
        <v>82</v>
      </c>
      <c r="D579" s="14" t="s">
        <v>83</v>
      </c>
      <c r="E579" s="14" t="s">
        <v>64</v>
      </c>
      <c r="F579" s="14" t="s">
        <v>90</v>
      </c>
      <c r="G579" s="14" t="s">
        <v>91</v>
      </c>
      <c r="H579" s="0" t="n">
        <v>9</v>
      </c>
      <c r="I579" s="16" t="n">
        <v>11.56</v>
      </c>
      <c r="J579" s="16" t="n">
        <v>3.5</v>
      </c>
      <c r="K579" s="16" t="n">
        <f aca="false">H579*I579</f>
        <v>104.04</v>
      </c>
      <c r="L579" s="16" t="n">
        <f aca="false">H579*J579</f>
        <v>31.5</v>
      </c>
      <c r="M579" s="16" t="n">
        <f aca="false">K579-L579</f>
        <v>72.54</v>
      </c>
      <c r="N579" s="17" t="n">
        <f aca="false">IFERROR(M579/K579,0)</f>
        <v>0.697231833910035</v>
      </c>
    </row>
    <row r="580" customFormat="false" ht="15" hidden="false" customHeight="false" outlineLevel="0" collapsed="false">
      <c r="A580" s="15" t="n">
        <v>46047</v>
      </c>
      <c r="B580" s="14" t="s">
        <v>81</v>
      </c>
      <c r="C580" s="14" t="s">
        <v>82</v>
      </c>
      <c r="D580" s="14" t="s">
        <v>83</v>
      </c>
      <c r="E580" s="14" t="s">
        <v>76</v>
      </c>
      <c r="F580" s="14" t="s">
        <v>79</v>
      </c>
      <c r="G580" s="14" t="s">
        <v>80</v>
      </c>
      <c r="H580" s="0" t="n">
        <v>2</v>
      </c>
      <c r="I580" s="16" t="n">
        <v>29.45</v>
      </c>
      <c r="J580" s="16" t="n">
        <v>11</v>
      </c>
      <c r="K580" s="16" t="n">
        <f aca="false">H580*I580</f>
        <v>58.9</v>
      </c>
      <c r="L580" s="16" t="n">
        <f aca="false">H580*J580</f>
        <v>22</v>
      </c>
      <c r="M580" s="16" t="n">
        <f aca="false">K580-L580</f>
        <v>36.9</v>
      </c>
      <c r="N580" s="17" t="n">
        <f aca="false">IFERROR(M580/K580,0)</f>
        <v>0.626485568760611</v>
      </c>
    </row>
    <row r="581" customFormat="false" ht="15" hidden="false" customHeight="false" outlineLevel="0" collapsed="false">
      <c r="A581" s="15" t="n">
        <v>46047</v>
      </c>
      <c r="B581" s="14" t="s">
        <v>88</v>
      </c>
      <c r="C581" s="14" t="s">
        <v>89</v>
      </c>
      <c r="D581" s="14" t="s">
        <v>44</v>
      </c>
      <c r="E581" s="14" t="s">
        <v>53</v>
      </c>
      <c r="F581" s="14" t="s">
        <v>74</v>
      </c>
      <c r="G581" s="14" t="s">
        <v>75</v>
      </c>
      <c r="H581" s="0" t="n">
        <v>8</v>
      </c>
      <c r="I581" s="16" t="n">
        <v>88.76</v>
      </c>
      <c r="J581" s="16" t="n">
        <v>38</v>
      </c>
      <c r="K581" s="16" t="n">
        <f aca="false">H581*I581</f>
        <v>710.08</v>
      </c>
      <c r="L581" s="16" t="n">
        <f aca="false">H581*J581</f>
        <v>304</v>
      </c>
      <c r="M581" s="16" t="n">
        <f aca="false">K581-L581</f>
        <v>406.08</v>
      </c>
      <c r="N581" s="17" t="n">
        <f aca="false">IFERROR(M581/K581,0)</f>
        <v>0.57187922487607</v>
      </c>
    </row>
    <row r="582" customFormat="false" ht="15" hidden="false" customHeight="false" outlineLevel="0" collapsed="false">
      <c r="A582" s="15" t="n">
        <v>46047</v>
      </c>
      <c r="B582" s="14" t="s">
        <v>88</v>
      </c>
      <c r="C582" s="14" t="s">
        <v>89</v>
      </c>
      <c r="D582" s="14" t="s">
        <v>44</v>
      </c>
      <c r="E582" s="14" t="s">
        <v>76</v>
      </c>
      <c r="F582" s="14" t="s">
        <v>100</v>
      </c>
      <c r="G582" s="14" t="s">
        <v>101</v>
      </c>
      <c r="H582" s="0" t="n">
        <v>3</v>
      </c>
      <c r="I582" s="16" t="n">
        <v>14.73</v>
      </c>
      <c r="J582" s="16" t="n">
        <v>5.5</v>
      </c>
      <c r="K582" s="16" t="n">
        <f aca="false">H582*I582</f>
        <v>44.19</v>
      </c>
      <c r="L582" s="16" t="n">
        <f aca="false">H582*J582</f>
        <v>16.5</v>
      </c>
      <c r="M582" s="16" t="n">
        <f aca="false">K582-L582</f>
        <v>27.69</v>
      </c>
      <c r="N582" s="17" t="n">
        <f aca="false">IFERROR(M582/K582,0)</f>
        <v>0.626612355736592</v>
      </c>
    </row>
    <row r="583" customFormat="false" ht="15" hidden="false" customHeight="false" outlineLevel="0" collapsed="false">
      <c r="A583" s="15" t="n">
        <v>46047</v>
      </c>
      <c r="B583" s="14" t="s">
        <v>88</v>
      </c>
      <c r="C583" s="14" t="s">
        <v>89</v>
      </c>
      <c r="D583" s="14" t="s">
        <v>44</v>
      </c>
      <c r="E583" s="14" t="s">
        <v>76</v>
      </c>
      <c r="F583" s="14" t="s">
        <v>77</v>
      </c>
      <c r="G583" s="14" t="s">
        <v>78</v>
      </c>
      <c r="H583" s="0" t="n">
        <v>6</v>
      </c>
      <c r="I583" s="16" t="n">
        <v>40.14</v>
      </c>
      <c r="J583" s="16" t="n">
        <v>15</v>
      </c>
      <c r="K583" s="16" t="n">
        <f aca="false">H583*I583</f>
        <v>240.84</v>
      </c>
      <c r="L583" s="16" t="n">
        <f aca="false">H583*J583</f>
        <v>90</v>
      </c>
      <c r="M583" s="16" t="n">
        <f aca="false">K583-L583</f>
        <v>150.84</v>
      </c>
      <c r="N583" s="17" t="n">
        <f aca="false">IFERROR(M583/K583,0)</f>
        <v>0.626307922272048</v>
      </c>
    </row>
    <row r="584" customFormat="false" ht="15" hidden="false" customHeight="false" outlineLevel="0" collapsed="false">
      <c r="A584" s="15" t="n">
        <v>46047</v>
      </c>
      <c r="B584" s="14" t="s">
        <v>88</v>
      </c>
      <c r="C584" s="14" t="s">
        <v>89</v>
      </c>
      <c r="D584" s="14" t="s">
        <v>44</v>
      </c>
      <c r="E584" s="14" t="s">
        <v>64</v>
      </c>
      <c r="F584" s="14" t="s">
        <v>90</v>
      </c>
      <c r="G584" s="14" t="s">
        <v>91</v>
      </c>
      <c r="H584" s="0" t="n">
        <v>5</v>
      </c>
      <c r="I584" s="16" t="n">
        <v>11.37</v>
      </c>
      <c r="J584" s="16" t="n">
        <v>3.5</v>
      </c>
      <c r="K584" s="16" t="n">
        <f aca="false">H584*I584</f>
        <v>56.85</v>
      </c>
      <c r="L584" s="16" t="n">
        <f aca="false">H584*J584</f>
        <v>17.5</v>
      </c>
      <c r="M584" s="16" t="n">
        <f aca="false">K584-L584</f>
        <v>39.35</v>
      </c>
      <c r="N584" s="17" t="n">
        <f aca="false">IFERROR(M584/K584,0)</f>
        <v>0.692172383465259</v>
      </c>
    </row>
    <row r="585" customFormat="false" ht="15" hidden="false" customHeight="false" outlineLevel="0" collapsed="false">
      <c r="A585" s="15" t="n">
        <v>46048</v>
      </c>
      <c r="B585" s="14" t="s">
        <v>42</v>
      </c>
      <c r="C585" s="14" t="s">
        <v>43</v>
      </c>
      <c r="D585" s="14" t="s">
        <v>44</v>
      </c>
      <c r="E585" s="14" t="s">
        <v>64</v>
      </c>
      <c r="F585" s="14" t="s">
        <v>65</v>
      </c>
      <c r="G585" s="14" t="s">
        <v>66</v>
      </c>
      <c r="H585" s="0" t="n">
        <v>8</v>
      </c>
      <c r="I585" s="16" t="n">
        <v>75.31</v>
      </c>
      <c r="J585" s="16" t="n">
        <v>34</v>
      </c>
      <c r="K585" s="16" t="n">
        <f aca="false">H585*I585</f>
        <v>602.48</v>
      </c>
      <c r="L585" s="16" t="n">
        <f aca="false">H585*J585</f>
        <v>272</v>
      </c>
      <c r="M585" s="16" t="n">
        <f aca="false">K585-L585</f>
        <v>330.48</v>
      </c>
      <c r="N585" s="17" t="n">
        <f aca="false">IFERROR(M585/K585,0)</f>
        <v>0.548532731376975</v>
      </c>
    </row>
    <row r="586" customFormat="false" ht="15" hidden="false" customHeight="false" outlineLevel="0" collapsed="false">
      <c r="A586" s="15" t="n">
        <v>46048</v>
      </c>
      <c r="B586" s="14" t="s">
        <v>42</v>
      </c>
      <c r="C586" s="14" t="s">
        <v>43</v>
      </c>
      <c r="D586" s="14" t="s">
        <v>44</v>
      </c>
      <c r="E586" s="14" t="s">
        <v>45</v>
      </c>
      <c r="F586" s="14" t="s">
        <v>48</v>
      </c>
      <c r="G586" s="14" t="s">
        <v>49</v>
      </c>
      <c r="H586" s="0" t="n">
        <v>4</v>
      </c>
      <c r="I586" s="16" t="n">
        <v>64.45</v>
      </c>
      <c r="J586" s="16" t="n">
        <v>27.5</v>
      </c>
      <c r="K586" s="16" t="n">
        <f aca="false">H586*I586</f>
        <v>257.8</v>
      </c>
      <c r="L586" s="16" t="n">
        <f aca="false">H586*J586</f>
        <v>110</v>
      </c>
      <c r="M586" s="16" t="n">
        <f aca="false">K586-L586</f>
        <v>147.8</v>
      </c>
      <c r="N586" s="17" t="n">
        <f aca="false">IFERROR(M586/K586,0)</f>
        <v>0.573312645461598</v>
      </c>
    </row>
    <row r="587" customFormat="false" ht="15" hidden="false" customHeight="false" outlineLevel="0" collapsed="false">
      <c r="A587" s="15" t="n">
        <v>46048</v>
      </c>
      <c r="B587" s="14" t="s">
        <v>50</v>
      </c>
      <c r="C587" s="14" t="s">
        <v>51</v>
      </c>
      <c r="D587" s="14" t="s">
        <v>52</v>
      </c>
      <c r="E587" s="14" t="s">
        <v>64</v>
      </c>
      <c r="F587" s="14" t="s">
        <v>96</v>
      </c>
      <c r="G587" s="14" t="s">
        <v>97</v>
      </c>
      <c r="H587" s="0" t="n">
        <v>12</v>
      </c>
      <c r="I587" s="16" t="n">
        <v>55.92</v>
      </c>
      <c r="J587" s="16" t="n">
        <v>24</v>
      </c>
      <c r="K587" s="16" t="n">
        <f aca="false">H587*I587</f>
        <v>671.04</v>
      </c>
      <c r="L587" s="16" t="n">
        <f aca="false">H587*J587</f>
        <v>288</v>
      </c>
      <c r="M587" s="16" t="n">
        <f aca="false">K587-L587</f>
        <v>383.04</v>
      </c>
      <c r="N587" s="17" t="n">
        <f aca="false">IFERROR(M587/K587,0)</f>
        <v>0.570815450643777</v>
      </c>
    </row>
    <row r="588" customFormat="false" ht="15" hidden="false" customHeight="false" outlineLevel="0" collapsed="false">
      <c r="A588" s="15" t="n">
        <v>46048</v>
      </c>
      <c r="B588" s="14" t="s">
        <v>50</v>
      </c>
      <c r="C588" s="14" t="s">
        <v>51</v>
      </c>
      <c r="D588" s="14" t="s">
        <v>52</v>
      </c>
      <c r="E588" s="14" t="s">
        <v>45</v>
      </c>
      <c r="F588" s="14" t="s">
        <v>72</v>
      </c>
      <c r="G588" s="14" t="s">
        <v>73</v>
      </c>
      <c r="H588" s="0" t="n">
        <v>9</v>
      </c>
      <c r="I588" s="16" t="n">
        <v>49.17</v>
      </c>
      <c r="J588" s="16" t="n">
        <v>21</v>
      </c>
      <c r="K588" s="16" t="n">
        <f aca="false">H588*I588</f>
        <v>442.53</v>
      </c>
      <c r="L588" s="16" t="n">
        <f aca="false">H588*J588</f>
        <v>189</v>
      </c>
      <c r="M588" s="16" t="n">
        <f aca="false">K588-L588</f>
        <v>253.53</v>
      </c>
      <c r="N588" s="17" t="n">
        <f aca="false">IFERROR(M588/K588,0)</f>
        <v>0.572910311165345</v>
      </c>
    </row>
    <row r="589" customFormat="false" ht="15" hidden="false" customHeight="false" outlineLevel="0" collapsed="false">
      <c r="A589" s="15" t="n">
        <v>46048</v>
      </c>
      <c r="B589" s="14" t="s">
        <v>50</v>
      </c>
      <c r="C589" s="14" t="s">
        <v>51</v>
      </c>
      <c r="D589" s="14" t="s">
        <v>52</v>
      </c>
      <c r="E589" s="14" t="s">
        <v>76</v>
      </c>
      <c r="F589" s="14" t="s">
        <v>79</v>
      </c>
      <c r="G589" s="14" t="s">
        <v>80</v>
      </c>
      <c r="H589" s="0" t="n">
        <v>3</v>
      </c>
      <c r="I589" s="16" t="n">
        <v>27.65</v>
      </c>
      <c r="J589" s="16" t="n">
        <v>11</v>
      </c>
      <c r="K589" s="16" t="n">
        <f aca="false">H589*I589</f>
        <v>82.95</v>
      </c>
      <c r="L589" s="16" t="n">
        <f aca="false">H589*J589</f>
        <v>33</v>
      </c>
      <c r="M589" s="16" t="n">
        <f aca="false">K589-L589</f>
        <v>49.95</v>
      </c>
      <c r="N589" s="17" t="n">
        <f aca="false">IFERROR(M589/K589,0)</f>
        <v>0.602169981916817</v>
      </c>
    </row>
    <row r="590" customFormat="false" ht="15" hidden="false" customHeight="false" outlineLevel="0" collapsed="false">
      <c r="A590" s="15" t="n">
        <v>46048</v>
      </c>
      <c r="B590" s="14" t="s">
        <v>50</v>
      </c>
      <c r="C590" s="14" t="s">
        <v>51</v>
      </c>
      <c r="D590" s="14" t="s">
        <v>52</v>
      </c>
      <c r="E590" s="14" t="s">
        <v>76</v>
      </c>
      <c r="F590" s="14" t="s">
        <v>79</v>
      </c>
      <c r="G590" s="14" t="s">
        <v>80</v>
      </c>
      <c r="H590" s="0" t="n">
        <v>4</v>
      </c>
      <c r="I590" s="16" t="n">
        <v>29.83</v>
      </c>
      <c r="J590" s="16" t="n">
        <v>11</v>
      </c>
      <c r="K590" s="16" t="n">
        <f aca="false">H590*I590</f>
        <v>119.32</v>
      </c>
      <c r="L590" s="16" t="n">
        <f aca="false">H590*J590</f>
        <v>44</v>
      </c>
      <c r="M590" s="16" t="n">
        <f aca="false">K590-L590</f>
        <v>75.32</v>
      </c>
      <c r="N590" s="17" t="n">
        <f aca="false">IFERROR(M590/K590,0)</f>
        <v>0.631243714381495</v>
      </c>
    </row>
    <row r="591" customFormat="false" ht="15" hidden="false" customHeight="false" outlineLevel="0" collapsed="false">
      <c r="A591" s="15" t="n">
        <v>46048</v>
      </c>
      <c r="B591" s="14" t="s">
        <v>59</v>
      </c>
      <c r="C591" s="14" t="s">
        <v>60</v>
      </c>
      <c r="D591" s="14" t="s">
        <v>61</v>
      </c>
      <c r="E591" s="14" t="s">
        <v>56</v>
      </c>
      <c r="F591" s="14" t="s">
        <v>86</v>
      </c>
      <c r="G591" s="14" t="s">
        <v>87</v>
      </c>
      <c r="H591" s="0" t="n">
        <v>3</v>
      </c>
      <c r="I591" s="16" t="n">
        <v>14.2</v>
      </c>
      <c r="J591" s="16" t="n">
        <v>5</v>
      </c>
      <c r="K591" s="16" t="n">
        <f aca="false">H591*I591</f>
        <v>42.6</v>
      </c>
      <c r="L591" s="16" t="n">
        <f aca="false">H591*J591</f>
        <v>15</v>
      </c>
      <c r="M591" s="16" t="n">
        <f aca="false">K591-L591</f>
        <v>27.6</v>
      </c>
      <c r="N591" s="17" t="n">
        <f aca="false">IFERROR(M591/K591,0)</f>
        <v>0.647887323943662</v>
      </c>
    </row>
    <row r="592" customFormat="false" ht="15" hidden="false" customHeight="false" outlineLevel="0" collapsed="false">
      <c r="A592" s="15" t="n">
        <v>46048</v>
      </c>
      <c r="B592" s="14" t="s">
        <v>59</v>
      </c>
      <c r="C592" s="14" t="s">
        <v>60</v>
      </c>
      <c r="D592" s="14" t="s">
        <v>61</v>
      </c>
      <c r="E592" s="14" t="s">
        <v>64</v>
      </c>
      <c r="F592" s="14" t="s">
        <v>90</v>
      </c>
      <c r="G592" s="14" t="s">
        <v>91</v>
      </c>
      <c r="H592" s="0" t="n">
        <v>5</v>
      </c>
      <c r="I592" s="16" t="n">
        <v>11.81</v>
      </c>
      <c r="J592" s="16" t="n">
        <v>3.5</v>
      </c>
      <c r="K592" s="16" t="n">
        <f aca="false">H592*I592</f>
        <v>59.05</v>
      </c>
      <c r="L592" s="16" t="n">
        <f aca="false">H592*J592</f>
        <v>17.5</v>
      </c>
      <c r="M592" s="16" t="n">
        <f aca="false">K592-L592</f>
        <v>41.55</v>
      </c>
      <c r="N592" s="17" t="n">
        <f aca="false">IFERROR(M592/K592,0)</f>
        <v>0.703640982218459</v>
      </c>
    </row>
    <row r="593" customFormat="false" ht="15" hidden="false" customHeight="false" outlineLevel="0" collapsed="false">
      <c r="A593" s="15" t="n">
        <v>46048</v>
      </c>
      <c r="B593" s="14" t="s">
        <v>59</v>
      </c>
      <c r="C593" s="14" t="s">
        <v>60</v>
      </c>
      <c r="D593" s="14" t="s">
        <v>61</v>
      </c>
      <c r="E593" s="14" t="s">
        <v>53</v>
      </c>
      <c r="F593" s="14" t="s">
        <v>54</v>
      </c>
      <c r="G593" s="14" t="s">
        <v>55</v>
      </c>
      <c r="H593" s="0" t="n">
        <v>6</v>
      </c>
      <c r="I593" s="16" t="n">
        <v>52.34</v>
      </c>
      <c r="J593" s="16" t="n">
        <v>22</v>
      </c>
      <c r="K593" s="16" t="n">
        <f aca="false">H593*I593</f>
        <v>314.04</v>
      </c>
      <c r="L593" s="16" t="n">
        <f aca="false">H593*J593</f>
        <v>132</v>
      </c>
      <c r="M593" s="16" t="n">
        <f aca="false">K593-L593</f>
        <v>182.04</v>
      </c>
      <c r="N593" s="17" t="n">
        <f aca="false">IFERROR(M593/K593,0)</f>
        <v>0.579671379442109</v>
      </c>
    </row>
    <row r="594" customFormat="false" ht="15" hidden="false" customHeight="false" outlineLevel="0" collapsed="false">
      <c r="A594" s="15" t="n">
        <v>46048</v>
      </c>
      <c r="B594" s="14" t="s">
        <v>69</v>
      </c>
      <c r="C594" s="14" t="s">
        <v>70</v>
      </c>
      <c r="D594" s="14" t="s">
        <v>71</v>
      </c>
      <c r="E594" s="14" t="s">
        <v>53</v>
      </c>
      <c r="F594" s="14" t="s">
        <v>84</v>
      </c>
      <c r="G594" s="14" t="s">
        <v>85</v>
      </c>
      <c r="H594" s="0" t="n">
        <v>5</v>
      </c>
      <c r="I594" s="16" t="n">
        <v>23.78</v>
      </c>
      <c r="J594" s="16" t="n">
        <v>9</v>
      </c>
      <c r="K594" s="16" t="n">
        <f aca="false">H594*I594</f>
        <v>118.9</v>
      </c>
      <c r="L594" s="16" t="n">
        <f aca="false">H594*J594</f>
        <v>45</v>
      </c>
      <c r="M594" s="16" t="n">
        <f aca="false">K594-L594</f>
        <v>73.9</v>
      </c>
      <c r="N594" s="17" t="n">
        <f aca="false">IFERROR(M594/K594,0)</f>
        <v>0.621530698065601</v>
      </c>
    </row>
    <row r="595" customFormat="false" ht="15" hidden="false" customHeight="false" outlineLevel="0" collapsed="false">
      <c r="A595" s="15" t="n">
        <v>46048</v>
      </c>
      <c r="B595" s="14" t="s">
        <v>69</v>
      </c>
      <c r="C595" s="14" t="s">
        <v>70</v>
      </c>
      <c r="D595" s="14" t="s">
        <v>71</v>
      </c>
      <c r="E595" s="14" t="s">
        <v>53</v>
      </c>
      <c r="F595" s="14" t="s">
        <v>54</v>
      </c>
      <c r="G595" s="14" t="s">
        <v>55</v>
      </c>
      <c r="H595" s="0" t="n">
        <v>4</v>
      </c>
      <c r="I595" s="16" t="n">
        <v>53.91</v>
      </c>
      <c r="J595" s="16" t="n">
        <v>22</v>
      </c>
      <c r="K595" s="16" t="n">
        <f aca="false">H595*I595</f>
        <v>215.64</v>
      </c>
      <c r="L595" s="16" t="n">
        <f aca="false">H595*J595</f>
        <v>88</v>
      </c>
      <c r="M595" s="16" t="n">
        <f aca="false">K595-L595</f>
        <v>127.64</v>
      </c>
      <c r="N595" s="17" t="n">
        <f aca="false">IFERROR(M595/K595,0)</f>
        <v>0.591912446670377</v>
      </c>
    </row>
    <row r="596" customFormat="false" ht="15" hidden="false" customHeight="false" outlineLevel="0" collapsed="false">
      <c r="A596" s="15" t="n">
        <v>46048</v>
      </c>
      <c r="B596" s="14" t="s">
        <v>69</v>
      </c>
      <c r="C596" s="14" t="s">
        <v>70</v>
      </c>
      <c r="D596" s="14" t="s">
        <v>71</v>
      </c>
      <c r="E596" s="14" t="s">
        <v>45</v>
      </c>
      <c r="F596" s="14" t="s">
        <v>48</v>
      </c>
      <c r="G596" s="14" t="s">
        <v>49</v>
      </c>
      <c r="H596" s="0" t="n">
        <v>3</v>
      </c>
      <c r="I596" s="16" t="n">
        <v>64.55</v>
      </c>
      <c r="J596" s="16" t="n">
        <v>27.5</v>
      </c>
      <c r="K596" s="16" t="n">
        <f aca="false">H596*I596</f>
        <v>193.65</v>
      </c>
      <c r="L596" s="16" t="n">
        <f aca="false">H596*J596</f>
        <v>82.5</v>
      </c>
      <c r="M596" s="16" t="n">
        <f aca="false">K596-L596</f>
        <v>111.15</v>
      </c>
      <c r="N596" s="17" t="n">
        <f aca="false">IFERROR(M596/K596,0)</f>
        <v>0.573973663826491</v>
      </c>
    </row>
    <row r="597" customFormat="false" ht="15" hidden="false" customHeight="false" outlineLevel="0" collapsed="false">
      <c r="A597" s="15" t="n">
        <v>46048</v>
      </c>
      <c r="B597" s="14" t="s">
        <v>69</v>
      </c>
      <c r="C597" s="14" t="s">
        <v>70</v>
      </c>
      <c r="D597" s="14" t="s">
        <v>71</v>
      </c>
      <c r="E597" s="14" t="s">
        <v>53</v>
      </c>
      <c r="F597" s="14" t="s">
        <v>84</v>
      </c>
      <c r="G597" s="14" t="s">
        <v>85</v>
      </c>
      <c r="H597" s="0" t="n">
        <v>2</v>
      </c>
      <c r="I597" s="16" t="n">
        <v>23.52</v>
      </c>
      <c r="J597" s="16" t="n">
        <v>9</v>
      </c>
      <c r="K597" s="16" t="n">
        <f aca="false">H597*I597</f>
        <v>47.04</v>
      </c>
      <c r="L597" s="16" t="n">
        <f aca="false">H597*J597</f>
        <v>18</v>
      </c>
      <c r="M597" s="16" t="n">
        <f aca="false">K597-L597</f>
        <v>29.04</v>
      </c>
      <c r="N597" s="17" t="n">
        <f aca="false">IFERROR(M597/K597,0)</f>
        <v>0.61734693877551</v>
      </c>
    </row>
    <row r="598" customFormat="false" ht="15" hidden="false" customHeight="false" outlineLevel="0" collapsed="false">
      <c r="A598" s="15" t="n">
        <v>46048</v>
      </c>
      <c r="B598" s="14" t="s">
        <v>69</v>
      </c>
      <c r="C598" s="14" t="s">
        <v>70</v>
      </c>
      <c r="D598" s="14" t="s">
        <v>71</v>
      </c>
      <c r="E598" s="14" t="s">
        <v>64</v>
      </c>
      <c r="F598" s="14" t="s">
        <v>94</v>
      </c>
      <c r="G598" s="14" t="s">
        <v>95</v>
      </c>
      <c r="H598" s="0" t="n">
        <v>8</v>
      </c>
      <c r="I598" s="16" t="n">
        <v>95.92</v>
      </c>
      <c r="J598" s="16" t="n">
        <v>42</v>
      </c>
      <c r="K598" s="16" t="n">
        <f aca="false">H598*I598</f>
        <v>767.36</v>
      </c>
      <c r="L598" s="16" t="n">
        <f aca="false">H598*J598</f>
        <v>336</v>
      </c>
      <c r="M598" s="16" t="n">
        <f aca="false">K598-L598</f>
        <v>431.36</v>
      </c>
      <c r="N598" s="17" t="n">
        <f aca="false">IFERROR(M598/K598,0)</f>
        <v>0.562135112593828</v>
      </c>
    </row>
    <row r="599" customFormat="false" ht="15" hidden="false" customHeight="false" outlineLevel="0" collapsed="false">
      <c r="A599" s="15" t="n">
        <v>46048</v>
      </c>
      <c r="B599" s="14" t="s">
        <v>69</v>
      </c>
      <c r="C599" s="14" t="s">
        <v>70</v>
      </c>
      <c r="D599" s="14" t="s">
        <v>71</v>
      </c>
      <c r="E599" s="14" t="s">
        <v>56</v>
      </c>
      <c r="F599" s="14" t="s">
        <v>98</v>
      </c>
      <c r="G599" s="14" t="s">
        <v>99</v>
      </c>
      <c r="H599" s="0" t="n">
        <v>5</v>
      </c>
      <c r="I599" s="16" t="n">
        <v>20.86</v>
      </c>
      <c r="J599" s="16" t="n">
        <v>8</v>
      </c>
      <c r="K599" s="16" t="n">
        <f aca="false">H599*I599</f>
        <v>104.3</v>
      </c>
      <c r="L599" s="16" t="n">
        <f aca="false">H599*J599</f>
        <v>40</v>
      </c>
      <c r="M599" s="16" t="n">
        <f aca="false">K599-L599</f>
        <v>64.3</v>
      </c>
      <c r="N599" s="17" t="n">
        <f aca="false">IFERROR(M599/K599,0)</f>
        <v>0.616490891658677</v>
      </c>
    </row>
    <row r="600" customFormat="false" ht="15" hidden="false" customHeight="false" outlineLevel="0" collapsed="false">
      <c r="A600" s="15" t="n">
        <v>46048</v>
      </c>
      <c r="B600" s="14" t="s">
        <v>81</v>
      </c>
      <c r="C600" s="14" t="s">
        <v>82</v>
      </c>
      <c r="D600" s="14" t="s">
        <v>83</v>
      </c>
      <c r="E600" s="14" t="s">
        <v>56</v>
      </c>
      <c r="F600" s="14" t="s">
        <v>86</v>
      </c>
      <c r="G600" s="14" t="s">
        <v>87</v>
      </c>
      <c r="H600" s="0" t="n">
        <v>4</v>
      </c>
      <c r="I600" s="16" t="n">
        <v>14.9</v>
      </c>
      <c r="J600" s="16" t="n">
        <v>5</v>
      </c>
      <c r="K600" s="16" t="n">
        <f aca="false">H600*I600</f>
        <v>59.6</v>
      </c>
      <c r="L600" s="16" t="n">
        <f aca="false">H600*J600</f>
        <v>20</v>
      </c>
      <c r="M600" s="16" t="n">
        <f aca="false">K600-L600</f>
        <v>39.6</v>
      </c>
      <c r="N600" s="17" t="n">
        <f aca="false">IFERROR(M600/K600,0)</f>
        <v>0.664429530201342</v>
      </c>
    </row>
    <row r="601" customFormat="false" ht="15" hidden="false" customHeight="false" outlineLevel="0" collapsed="false">
      <c r="A601" s="15" t="n">
        <v>46048</v>
      </c>
      <c r="B601" s="14" t="s">
        <v>81</v>
      </c>
      <c r="C601" s="14" t="s">
        <v>82</v>
      </c>
      <c r="D601" s="14" t="s">
        <v>83</v>
      </c>
      <c r="E601" s="14" t="s">
        <v>56</v>
      </c>
      <c r="F601" s="14" t="s">
        <v>98</v>
      </c>
      <c r="G601" s="14" t="s">
        <v>99</v>
      </c>
      <c r="H601" s="0" t="n">
        <v>2</v>
      </c>
      <c r="I601" s="16" t="n">
        <v>20.79</v>
      </c>
      <c r="J601" s="16" t="n">
        <v>8</v>
      </c>
      <c r="K601" s="16" t="n">
        <f aca="false">H601*I601</f>
        <v>41.58</v>
      </c>
      <c r="L601" s="16" t="n">
        <f aca="false">H601*J601</f>
        <v>16</v>
      </c>
      <c r="M601" s="16" t="n">
        <f aca="false">K601-L601</f>
        <v>25.58</v>
      </c>
      <c r="N601" s="17" t="n">
        <f aca="false">IFERROR(M601/K601,0)</f>
        <v>0.615199615199615</v>
      </c>
    </row>
    <row r="602" customFormat="false" ht="15" hidden="false" customHeight="false" outlineLevel="0" collapsed="false">
      <c r="A602" s="15" t="n">
        <v>46048</v>
      </c>
      <c r="B602" s="14" t="s">
        <v>81</v>
      </c>
      <c r="C602" s="14" t="s">
        <v>82</v>
      </c>
      <c r="D602" s="14" t="s">
        <v>83</v>
      </c>
      <c r="E602" s="14" t="s">
        <v>53</v>
      </c>
      <c r="F602" s="14" t="s">
        <v>92</v>
      </c>
      <c r="G602" s="14" t="s">
        <v>93</v>
      </c>
      <c r="H602" s="0" t="n">
        <v>1</v>
      </c>
      <c r="I602" s="16" t="n">
        <v>112.16</v>
      </c>
      <c r="J602" s="16" t="n">
        <v>52</v>
      </c>
      <c r="K602" s="16" t="n">
        <f aca="false">H602*I602</f>
        <v>112.16</v>
      </c>
      <c r="L602" s="16" t="n">
        <f aca="false">H602*J602</f>
        <v>52</v>
      </c>
      <c r="M602" s="16" t="n">
        <f aca="false">K602-L602</f>
        <v>60.16</v>
      </c>
      <c r="N602" s="17" t="n">
        <f aca="false">IFERROR(M602/K602,0)</f>
        <v>0.536376604850214</v>
      </c>
    </row>
    <row r="603" customFormat="false" ht="15" hidden="false" customHeight="false" outlineLevel="0" collapsed="false">
      <c r="A603" s="15" t="n">
        <v>46048</v>
      </c>
      <c r="B603" s="14" t="s">
        <v>81</v>
      </c>
      <c r="C603" s="14" t="s">
        <v>82</v>
      </c>
      <c r="D603" s="14" t="s">
        <v>83</v>
      </c>
      <c r="E603" s="14" t="s">
        <v>53</v>
      </c>
      <c r="F603" s="14" t="s">
        <v>84</v>
      </c>
      <c r="G603" s="14" t="s">
        <v>85</v>
      </c>
      <c r="H603" s="0" t="n">
        <v>5</v>
      </c>
      <c r="I603" s="16" t="n">
        <v>24.19</v>
      </c>
      <c r="J603" s="16" t="n">
        <v>9</v>
      </c>
      <c r="K603" s="16" t="n">
        <f aca="false">H603*I603</f>
        <v>120.95</v>
      </c>
      <c r="L603" s="16" t="n">
        <f aca="false">H603*J603</f>
        <v>45</v>
      </c>
      <c r="M603" s="16" t="n">
        <f aca="false">K603-L603</f>
        <v>75.95</v>
      </c>
      <c r="N603" s="17" t="n">
        <f aca="false">IFERROR(M603/K603,0)</f>
        <v>0.627945431996693</v>
      </c>
    </row>
    <row r="604" customFormat="false" ht="15" hidden="false" customHeight="false" outlineLevel="0" collapsed="false">
      <c r="A604" s="15" t="n">
        <v>46048</v>
      </c>
      <c r="B604" s="14" t="s">
        <v>81</v>
      </c>
      <c r="C604" s="14" t="s">
        <v>82</v>
      </c>
      <c r="D604" s="14" t="s">
        <v>83</v>
      </c>
      <c r="E604" s="14" t="s">
        <v>56</v>
      </c>
      <c r="F604" s="14" t="s">
        <v>57</v>
      </c>
      <c r="G604" s="14" t="s">
        <v>58</v>
      </c>
      <c r="H604" s="0" t="n">
        <v>5</v>
      </c>
      <c r="I604" s="16" t="n">
        <v>25.24</v>
      </c>
      <c r="J604" s="16" t="n">
        <v>10</v>
      </c>
      <c r="K604" s="16" t="n">
        <f aca="false">H604*I604</f>
        <v>126.2</v>
      </c>
      <c r="L604" s="16" t="n">
        <f aca="false">H604*J604</f>
        <v>50</v>
      </c>
      <c r="M604" s="16" t="n">
        <f aca="false">K604-L604</f>
        <v>76.2</v>
      </c>
      <c r="N604" s="17" t="n">
        <f aca="false">IFERROR(M604/K604,0)</f>
        <v>0.603803486529319</v>
      </c>
    </row>
    <row r="605" customFormat="false" ht="15" hidden="false" customHeight="false" outlineLevel="0" collapsed="false">
      <c r="A605" s="15" t="n">
        <v>46048</v>
      </c>
      <c r="B605" s="14" t="s">
        <v>88</v>
      </c>
      <c r="C605" s="14" t="s">
        <v>89</v>
      </c>
      <c r="D605" s="14" t="s">
        <v>44</v>
      </c>
      <c r="E605" s="14" t="s">
        <v>53</v>
      </c>
      <c r="F605" s="14" t="s">
        <v>54</v>
      </c>
      <c r="G605" s="14" t="s">
        <v>55</v>
      </c>
      <c r="H605" s="0" t="n">
        <v>8</v>
      </c>
      <c r="I605" s="16" t="n">
        <v>51.87</v>
      </c>
      <c r="J605" s="16" t="n">
        <v>22</v>
      </c>
      <c r="K605" s="16" t="n">
        <f aca="false">H605*I605</f>
        <v>414.96</v>
      </c>
      <c r="L605" s="16" t="n">
        <f aca="false">H605*J605</f>
        <v>176</v>
      </c>
      <c r="M605" s="16" t="n">
        <f aca="false">K605-L605</f>
        <v>238.96</v>
      </c>
      <c r="N605" s="17" t="n">
        <f aca="false">IFERROR(M605/K605,0)</f>
        <v>0.575862733757471</v>
      </c>
    </row>
    <row r="606" customFormat="false" ht="15" hidden="false" customHeight="false" outlineLevel="0" collapsed="false">
      <c r="A606" s="15" t="n">
        <v>46048</v>
      </c>
      <c r="B606" s="14" t="s">
        <v>88</v>
      </c>
      <c r="C606" s="14" t="s">
        <v>89</v>
      </c>
      <c r="D606" s="14" t="s">
        <v>44</v>
      </c>
      <c r="E606" s="14" t="s">
        <v>53</v>
      </c>
      <c r="F606" s="14" t="s">
        <v>92</v>
      </c>
      <c r="G606" s="14" t="s">
        <v>93</v>
      </c>
      <c r="H606" s="0" t="n">
        <v>8</v>
      </c>
      <c r="I606" s="16" t="n">
        <v>116.35</v>
      </c>
      <c r="J606" s="16" t="n">
        <v>52</v>
      </c>
      <c r="K606" s="16" t="n">
        <f aca="false">H606*I606</f>
        <v>930.8</v>
      </c>
      <c r="L606" s="16" t="n">
        <f aca="false">H606*J606</f>
        <v>416</v>
      </c>
      <c r="M606" s="16" t="n">
        <f aca="false">K606-L606</f>
        <v>514.8</v>
      </c>
      <c r="N606" s="17" t="n">
        <f aca="false">IFERROR(M606/K606,0)</f>
        <v>0.553072625698324</v>
      </c>
    </row>
    <row r="607" customFormat="false" ht="15" hidden="false" customHeight="false" outlineLevel="0" collapsed="false">
      <c r="A607" s="15" t="n">
        <v>46048</v>
      </c>
      <c r="B607" s="14" t="s">
        <v>88</v>
      </c>
      <c r="C607" s="14" t="s">
        <v>89</v>
      </c>
      <c r="D607" s="14" t="s">
        <v>44</v>
      </c>
      <c r="E607" s="14" t="s">
        <v>76</v>
      </c>
      <c r="F607" s="14" t="s">
        <v>79</v>
      </c>
      <c r="G607" s="14" t="s">
        <v>80</v>
      </c>
      <c r="H607" s="0" t="n">
        <v>9</v>
      </c>
      <c r="I607" s="16" t="n">
        <v>27.93</v>
      </c>
      <c r="J607" s="16" t="n">
        <v>11</v>
      </c>
      <c r="K607" s="16" t="n">
        <f aca="false">H607*I607</f>
        <v>251.37</v>
      </c>
      <c r="L607" s="16" t="n">
        <f aca="false">H607*J607</f>
        <v>99</v>
      </c>
      <c r="M607" s="16" t="n">
        <f aca="false">K607-L607</f>
        <v>152.37</v>
      </c>
      <c r="N607" s="17" t="n">
        <f aca="false">IFERROR(M607/K607,0)</f>
        <v>0.606158252774794</v>
      </c>
    </row>
    <row r="608" customFormat="false" ht="15" hidden="false" customHeight="false" outlineLevel="0" collapsed="false">
      <c r="A608" s="15" t="n">
        <v>46048</v>
      </c>
      <c r="B608" s="14" t="s">
        <v>88</v>
      </c>
      <c r="C608" s="14" t="s">
        <v>89</v>
      </c>
      <c r="D608" s="14" t="s">
        <v>44</v>
      </c>
      <c r="E608" s="14" t="s">
        <v>64</v>
      </c>
      <c r="F608" s="14" t="s">
        <v>90</v>
      </c>
      <c r="G608" s="14" t="s">
        <v>91</v>
      </c>
      <c r="H608" s="0" t="n">
        <v>10</v>
      </c>
      <c r="I608" s="16" t="n">
        <v>11.7</v>
      </c>
      <c r="J608" s="16" t="n">
        <v>3.5</v>
      </c>
      <c r="K608" s="16" t="n">
        <f aca="false">H608*I608</f>
        <v>117</v>
      </c>
      <c r="L608" s="16" t="n">
        <f aca="false">H608*J608</f>
        <v>35</v>
      </c>
      <c r="M608" s="16" t="n">
        <f aca="false">K608-L608</f>
        <v>82</v>
      </c>
      <c r="N608" s="17" t="n">
        <f aca="false">IFERROR(M608/K608,0)</f>
        <v>0.700854700854701</v>
      </c>
    </row>
    <row r="609" customFormat="false" ht="15" hidden="false" customHeight="false" outlineLevel="0" collapsed="false">
      <c r="A609" s="15" t="n">
        <v>46048</v>
      </c>
      <c r="B609" s="14" t="s">
        <v>88</v>
      </c>
      <c r="C609" s="14" t="s">
        <v>89</v>
      </c>
      <c r="D609" s="14" t="s">
        <v>44</v>
      </c>
      <c r="E609" s="14" t="s">
        <v>64</v>
      </c>
      <c r="F609" s="14" t="s">
        <v>90</v>
      </c>
      <c r="G609" s="14" t="s">
        <v>91</v>
      </c>
      <c r="H609" s="0" t="n">
        <v>11</v>
      </c>
      <c r="I609" s="16" t="n">
        <v>11.2</v>
      </c>
      <c r="J609" s="16" t="n">
        <v>3.5</v>
      </c>
      <c r="K609" s="16" t="n">
        <f aca="false">H609*I609</f>
        <v>123.2</v>
      </c>
      <c r="L609" s="16" t="n">
        <f aca="false">H609*J609</f>
        <v>38.5</v>
      </c>
      <c r="M609" s="16" t="n">
        <f aca="false">K609-L609</f>
        <v>84.7</v>
      </c>
      <c r="N609" s="17" t="n">
        <f aca="false">IFERROR(M609/K609,0)</f>
        <v>0.6875</v>
      </c>
    </row>
    <row r="610" customFormat="false" ht="15" hidden="false" customHeight="false" outlineLevel="0" collapsed="false">
      <c r="A610" s="15" t="n">
        <v>46048</v>
      </c>
      <c r="B610" s="14" t="s">
        <v>88</v>
      </c>
      <c r="C610" s="14" t="s">
        <v>89</v>
      </c>
      <c r="D610" s="14" t="s">
        <v>44</v>
      </c>
      <c r="E610" s="14" t="s">
        <v>56</v>
      </c>
      <c r="F610" s="14" t="s">
        <v>98</v>
      </c>
      <c r="G610" s="14" t="s">
        <v>99</v>
      </c>
      <c r="H610" s="0" t="n">
        <v>4</v>
      </c>
      <c r="I610" s="16" t="n">
        <v>20.75</v>
      </c>
      <c r="J610" s="16" t="n">
        <v>8</v>
      </c>
      <c r="K610" s="16" t="n">
        <f aca="false">H610*I610</f>
        <v>83</v>
      </c>
      <c r="L610" s="16" t="n">
        <f aca="false">H610*J610</f>
        <v>32</v>
      </c>
      <c r="M610" s="16" t="n">
        <f aca="false">K610-L610</f>
        <v>51</v>
      </c>
      <c r="N610" s="17" t="n">
        <f aca="false">IFERROR(M610/K610,0)</f>
        <v>0.614457831325301</v>
      </c>
    </row>
    <row r="611" customFormat="false" ht="15" hidden="false" customHeight="false" outlineLevel="0" collapsed="false">
      <c r="A611" s="15" t="n">
        <v>46049</v>
      </c>
      <c r="B611" s="14" t="s">
        <v>42</v>
      </c>
      <c r="C611" s="14" t="s">
        <v>43</v>
      </c>
      <c r="D611" s="14" t="s">
        <v>44</v>
      </c>
      <c r="E611" s="14" t="s">
        <v>53</v>
      </c>
      <c r="F611" s="14" t="s">
        <v>92</v>
      </c>
      <c r="G611" s="14" t="s">
        <v>93</v>
      </c>
      <c r="H611" s="0" t="n">
        <v>4</v>
      </c>
      <c r="I611" s="16" t="n">
        <v>117.9</v>
      </c>
      <c r="J611" s="16" t="n">
        <v>52</v>
      </c>
      <c r="K611" s="16" t="n">
        <f aca="false">H611*I611</f>
        <v>471.6</v>
      </c>
      <c r="L611" s="16" t="n">
        <f aca="false">H611*J611</f>
        <v>208</v>
      </c>
      <c r="M611" s="16" t="n">
        <f aca="false">K611-L611</f>
        <v>263.6</v>
      </c>
      <c r="N611" s="17" t="n">
        <f aca="false">IFERROR(M611/K611,0)</f>
        <v>0.558948261238338</v>
      </c>
    </row>
    <row r="612" customFormat="false" ht="15" hidden="false" customHeight="false" outlineLevel="0" collapsed="false">
      <c r="A612" s="15" t="n">
        <v>46049</v>
      </c>
      <c r="B612" s="14" t="s">
        <v>42</v>
      </c>
      <c r="C612" s="14" t="s">
        <v>43</v>
      </c>
      <c r="D612" s="14" t="s">
        <v>44</v>
      </c>
      <c r="E612" s="14" t="s">
        <v>56</v>
      </c>
      <c r="F612" s="14" t="s">
        <v>57</v>
      </c>
      <c r="G612" s="14" t="s">
        <v>58</v>
      </c>
      <c r="H612" s="0" t="n">
        <v>3</v>
      </c>
      <c r="I612" s="16" t="n">
        <v>26.08</v>
      </c>
      <c r="J612" s="16" t="n">
        <v>10</v>
      </c>
      <c r="K612" s="16" t="n">
        <f aca="false">H612*I612</f>
        <v>78.24</v>
      </c>
      <c r="L612" s="16" t="n">
        <f aca="false">H612*J612</f>
        <v>30</v>
      </c>
      <c r="M612" s="16" t="n">
        <f aca="false">K612-L612</f>
        <v>48.24</v>
      </c>
      <c r="N612" s="17" t="n">
        <f aca="false">IFERROR(M612/K612,0)</f>
        <v>0.616564417177914</v>
      </c>
    </row>
    <row r="613" customFormat="false" ht="15" hidden="false" customHeight="false" outlineLevel="0" collapsed="false">
      <c r="A613" s="15" t="n">
        <v>46049</v>
      </c>
      <c r="B613" s="14" t="s">
        <v>42</v>
      </c>
      <c r="C613" s="14" t="s">
        <v>43</v>
      </c>
      <c r="D613" s="14" t="s">
        <v>44</v>
      </c>
      <c r="E613" s="14" t="s">
        <v>76</v>
      </c>
      <c r="F613" s="14" t="s">
        <v>102</v>
      </c>
      <c r="G613" s="14" t="s">
        <v>103</v>
      </c>
      <c r="H613" s="0" t="n">
        <v>1</v>
      </c>
      <c r="I613" s="16" t="n">
        <v>23.54</v>
      </c>
      <c r="J613" s="16" t="n">
        <v>8.5</v>
      </c>
      <c r="K613" s="16" t="n">
        <f aca="false">H613*I613</f>
        <v>23.54</v>
      </c>
      <c r="L613" s="16" t="n">
        <f aca="false">H613*J613</f>
        <v>8.5</v>
      </c>
      <c r="M613" s="16" t="n">
        <f aca="false">K613-L613</f>
        <v>15.04</v>
      </c>
      <c r="N613" s="17" t="n">
        <f aca="false">IFERROR(M613/K613,0)</f>
        <v>0.638912489379779</v>
      </c>
    </row>
    <row r="614" customFormat="false" ht="15" hidden="false" customHeight="false" outlineLevel="0" collapsed="false">
      <c r="A614" s="15" t="n">
        <v>46049</v>
      </c>
      <c r="B614" s="14" t="s">
        <v>42</v>
      </c>
      <c r="C614" s="14" t="s">
        <v>43</v>
      </c>
      <c r="D614" s="14" t="s">
        <v>44</v>
      </c>
      <c r="E614" s="14" t="s">
        <v>64</v>
      </c>
      <c r="F614" s="14" t="s">
        <v>96</v>
      </c>
      <c r="G614" s="14" t="s">
        <v>97</v>
      </c>
      <c r="H614" s="0" t="n">
        <v>12</v>
      </c>
      <c r="I614" s="16" t="n">
        <v>54.76</v>
      </c>
      <c r="J614" s="16" t="n">
        <v>24</v>
      </c>
      <c r="K614" s="16" t="n">
        <f aca="false">H614*I614</f>
        <v>657.12</v>
      </c>
      <c r="L614" s="16" t="n">
        <f aca="false">H614*J614</f>
        <v>288</v>
      </c>
      <c r="M614" s="16" t="n">
        <f aca="false">K614-L614</f>
        <v>369.12</v>
      </c>
      <c r="N614" s="17" t="n">
        <f aca="false">IFERROR(M614/K614,0)</f>
        <v>0.56172388604821</v>
      </c>
    </row>
    <row r="615" customFormat="false" ht="15" hidden="false" customHeight="false" outlineLevel="0" collapsed="false">
      <c r="A615" s="15" t="n">
        <v>46049</v>
      </c>
      <c r="B615" s="14" t="s">
        <v>50</v>
      </c>
      <c r="C615" s="14" t="s">
        <v>51</v>
      </c>
      <c r="D615" s="14" t="s">
        <v>52</v>
      </c>
      <c r="E615" s="14" t="s">
        <v>76</v>
      </c>
      <c r="F615" s="14" t="s">
        <v>79</v>
      </c>
      <c r="G615" s="14" t="s">
        <v>80</v>
      </c>
      <c r="H615" s="0" t="n">
        <v>10</v>
      </c>
      <c r="I615" s="16" t="n">
        <v>28.23</v>
      </c>
      <c r="J615" s="16" t="n">
        <v>11</v>
      </c>
      <c r="K615" s="16" t="n">
        <f aca="false">H615*I615</f>
        <v>282.3</v>
      </c>
      <c r="L615" s="16" t="n">
        <f aca="false">H615*J615</f>
        <v>110</v>
      </c>
      <c r="M615" s="16" t="n">
        <f aca="false">K615-L615</f>
        <v>172.3</v>
      </c>
      <c r="N615" s="17" t="n">
        <f aca="false">IFERROR(M615/K615,0)</f>
        <v>0.610343606092809</v>
      </c>
    </row>
    <row r="616" customFormat="false" ht="15" hidden="false" customHeight="false" outlineLevel="0" collapsed="false">
      <c r="A616" s="15" t="n">
        <v>46049</v>
      </c>
      <c r="B616" s="14" t="s">
        <v>50</v>
      </c>
      <c r="C616" s="14" t="s">
        <v>51</v>
      </c>
      <c r="D616" s="14" t="s">
        <v>52</v>
      </c>
      <c r="E616" s="14" t="s">
        <v>45</v>
      </c>
      <c r="F616" s="14" t="s">
        <v>72</v>
      </c>
      <c r="G616" s="14" t="s">
        <v>73</v>
      </c>
      <c r="H616" s="0" t="n">
        <v>2</v>
      </c>
      <c r="I616" s="16" t="n">
        <v>51.07</v>
      </c>
      <c r="J616" s="16" t="n">
        <v>21</v>
      </c>
      <c r="K616" s="16" t="n">
        <f aca="false">H616*I616</f>
        <v>102.14</v>
      </c>
      <c r="L616" s="16" t="n">
        <f aca="false">H616*J616</f>
        <v>42</v>
      </c>
      <c r="M616" s="16" t="n">
        <f aca="false">K616-L616</f>
        <v>60.14</v>
      </c>
      <c r="N616" s="17" t="n">
        <f aca="false">IFERROR(M616/K616,0)</f>
        <v>0.588799686704523</v>
      </c>
    </row>
    <row r="617" customFormat="false" ht="15" hidden="false" customHeight="false" outlineLevel="0" collapsed="false">
      <c r="A617" s="15" t="n">
        <v>46049</v>
      </c>
      <c r="B617" s="14" t="s">
        <v>50</v>
      </c>
      <c r="C617" s="14" t="s">
        <v>51</v>
      </c>
      <c r="D617" s="14" t="s">
        <v>52</v>
      </c>
      <c r="E617" s="14" t="s">
        <v>53</v>
      </c>
      <c r="F617" s="14" t="s">
        <v>54</v>
      </c>
      <c r="G617" s="14" t="s">
        <v>55</v>
      </c>
      <c r="H617" s="0" t="n">
        <v>6</v>
      </c>
      <c r="I617" s="16" t="n">
        <v>54.39</v>
      </c>
      <c r="J617" s="16" t="n">
        <v>22</v>
      </c>
      <c r="K617" s="16" t="n">
        <f aca="false">H617*I617</f>
        <v>326.34</v>
      </c>
      <c r="L617" s="16" t="n">
        <f aca="false">H617*J617</f>
        <v>132</v>
      </c>
      <c r="M617" s="16" t="n">
        <f aca="false">K617-L617</f>
        <v>194.34</v>
      </c>
      <c r="N617" s="17" t="n">
        <f aca="false">IFERROR(M617/K617,0)</f>
        <v>0.595513881228167</v>
      </c>
    </row>
    <row r="618" customFormat="false" ht="15" hidden="false" customHeight="false" outlineLevel="0" collapsed="false">
      <c r="A618" s="15" t="n">
        <v>46049</v>
      </c>
      <c r="B618" s="14" t="s">
        <v>59</v>
      </c>
      <c r="C618" s="14" t="s">
        <v>60</v>
      </c>
      <c r="D618" s="14" t="s">
        <v>61</v>
      </c>
      <c r="E618" s="14" t="s">
        <v>64</v>
      </c>
      <c r="F618" s="14" t="s">
        <v>96</v>
      </c>
      <c r="G618" s="14" t="s">
        <v>97</v>
      </c>
      <c r="H618" s="0" t="n">
        <v>4</v>
      </c>
      <c r="I618" s="16" t="n">
        <v>57.98</v>
      </c>
      <c r="J618" s="16" t="n">
        <v>24</v>
      </c>
      <c r="K618" s="16" t="n">
        <f aca="false">H618*I618</f>
        <v>231.92</v>
      </c>
      <c r="L618" s="16" t="n">
        <f aca="false">H618*J618</f>
        <v>96</v>
      </c>
      <c r="M618" s="16" t="n">
        <f aca="false">K618-L618</f>
        <v>135.92</v>
      </c>
      <c r="N618" s="17" t="n">
        <f aca="false">IFERROR(M618/K618,0)</f>
        <v>0.586064160055192</v>
      </c>
    </row>
    <row r="619" customFormat="false" ht="15" hidden="false" customHeight="false" outlineLevel="0" collapsed="false">
      <c r="A619" s="15" t="n">
        <v>46049</v>
      </c>
      <c r="B619" s="14" t="s">
        <v>59</v>
      </c>
      <c r="C619" s="14" t="s">
        <v>60</v>
      </c>
      <c r="D619" s="14" t="s">
        <v>61</v>
      </c>
      <c r="E619" s="14" t="s">
        <v>53</v>
      </c>
      <c r="F619" s="14" t="s">
        <v>74</v>
      </c>
      <c r="G619" s="14" t="s">
        <v>75</v>
      </c>
      <c r="H619" s="0" t="n">
        <v>5</v>
      </c>
      <c r="I619" s="16" t="n">
        <v>85.67</v>
      </c>
      <c r="J619" s="16" t="n">
        <v>38</v>
      </c>
      <c r="K619" s="16" t="n">
        <f aca="false">H619*I619</f>
        <v>428.35</v>
      </c>
      <c r="L619" s="16" t="n">
        <f aca="false">H619*J619</f>
        <v>190</v>
      </c>
      <c r="M619" s="16" t="n">
        <f aca="false">K619-L619</f>
        <v>238.35</v>
      </c>
      <c r="N619" s="17" t="n">
        <f aca="false">IFERROR(M619/K619,0)</f>
        <v>0.556437492704564</v>
      </c>
    </row>
    <row r="620" customFormat="false" ht="15" hidden="false" customHeight="false" outlineLevel="0" collapsed="false">
      <c r="A620" s="15" t="n">
        <v>46049</v>
      </c>
      <c r="B620" s="14" t="s">
        <v>59</v>
      </c>
      <c r="C620" s="14" t="s">
        <v>60</v>
      </c>
      <c r="D620" s="14" t="s">
        <v>61</v>
      </c>
      <c r="E620" s="14" t="s">
        <v>56</v>
      </c>
      <c r="F620" s="14" t="s">
        <v>86</v>
      </c>
      <c r="G620" s="14" t="s">
        <v>87</v>
      </c>
      <c r="H620" s="0" t="n">
        <v>5</v>
      </c>
      <c r="I620" s="16" t="n">
        <v>14.97</v>
      </c>
      <c r="J620" s="16" t="n">
        <v>5</v>
      </c>
      <c r="K620" s="16" t="n">
        <f aca="false">H620*I620</f>
        <v>74.85</v>
      </c>
      <c r="L620" s="16" t="n">
        <f aca="false">H620*J620</f>
        <v>25</v>
      </c>
      <c r="M620" s="16" t="n">
        <f aca="false">K620-L620</f>
        <v>49.85</v>
      </c>
      <c r="N620" s="17" t="n">
        <f aca="false">IFERROR(M620/K620,0)</f>
        <v>0.665998663994656</v>
      </c>
    </row>
    <row r="621" customFormat="false" ht="15" hidden="false" customHeight="false" outlineLevel="0" collapsed="false">
      <c r="A621" s="15" t="n">
        <v>46049</v>
      </c>
      <c r="B621" s="14" t="s">
        <v>59</v>
      </c>
      <c r="C621" s="14" t="s">
        <v>60</v>
      </c>
      <c r="D621" s="14" t="s">
        <v>61</v>
      </c>
      <c r="E621" s="14" t="s">
        <v>76</v>
      </c>
      <c r="F621" s="14" t="s">
        <v>102</v>
      </c>
      <c r="G621" s="14" t="s">
        <v>103</v>
      </c>
      <c r="H621" s="0" t="n">
        <v>5</v>
      </c>
      <c r="I621" s="16" t="n">
        <v>23.91</v>
      </c>
      <c r="J621" s="16" t="n">
        <v>8.5</v>
      </c>
      <c r="K621" s="16" t="n">
        <f aca="false">H621*I621</f>
        <v>119.55</v>
      </c>
      <c r="L621" s="16" t="n">
        <f aca="false">H621*J621</f>
        <v>42.5</v>
      </c>
      <c r="M621" s="16" t="n">
        <f aca="false">K621-L621</f>
        <v>77.05</v>
      </c>
      <c r="N621" s="17" t="n">
        <f aca="false">IFERROR(M621/K621,0)</f>
        <v>0.644500209117524</v>
      </c>
    </row>
    <row r="622" customFormat="false" ht="15" hidden="false" customHeight="false" outlineLevel="0" collapsed="false">
      <c r="A622" s="15" t="n">
        <v>46049</v>
      </c>
      <c r="B622" s="14" t="s">
        <v>59</v>
      </c>
      <c r="C622" s="14" t="s">
        <v>60</v>
      </c>
      <c r="D622" s="14" t="s">
        <v>61</v>
      </c>
      <c r="E622" s="14" t="s">
        <v>56</v>
      </c>
      <c r="F622" s="14" t="s">
        <v>98</v>
      </c>
      <c r="G622" s="14" t="s">
        <v>99</v>
      </c>
      <c r="H622" s="0" t="n">
        <v>3</v>
      </c>
      <c r="I622" s="16" t="n">
        <v>21.93</v>
      </c>
      <c r="J622" s="16" t="n">
        <v>8</v>
      </c>
      <c r="K622" s="16" t="n">
        <f aca="false">H622*I622</f>
        <v>65.79</v>
      </c>
      <c r="L622" s="16" t="n">
        <f aca="false">H622*J622</f>
        <v>24</v>
      </c>
      <c r="M622" s="16" t="n">
        <f aca="false">K622-L622</f>
        <v>41.79</v>
      </c>
      <c r="N622" s="17" t="n">
        <f aca="false">IFERROR(M622/K622,0)</f>
        <v>0.635202918376653</v>
      </c>
    </row>
    <row r="623" customFormat="false" ht="15" hidden="false" customHeight="false" outlineLevel="0" collapsed="false">
      <c r="A623" s="15" t="n">
        <v>46049</v>
      </c>
      <c r="B623" s="14" t="s">
        <v>59</v>
      </c>
      <c r="C623" s="14" t="s">
        <v>60</v>
      </c>
      <c r="D623" s="14" t="s">
        <v>61</v>
      </c>
      <c r="E623" s="14" t="s">
        <v>64</v>
      </c>
      <c r="F623" s="14" t="s">
        <v>65</v>
      </c>
      <c r="G623" s="14" t="s">
        <v>66</v>
      </c>
      <c r="H623" s="0" t="n">
        <v>6</v>
      </c>
      <c r="I623" s="16" t="n">
        <v>78.16</v>
      </c>
      <c r="J623" s="16" t="n">
        <v>34</v>
      </c>
      <c r="K623" s="16" t="n">
        <f aca="false">H623*I623</f>
        <v>468.96</v>
      </c>
      <c r="L623" s="16" t="n">
        <f aca="false">H623*J623</f>
        <v>204</v>
      </c>
      <c r="M623" s="16" t="n">
        <f aca="false">K623-L623</f>
        <v>264.96</v>
      </c>
      <c r="N623" s="17" t="n">
        <f aca="false">IFERROR(M623/K623,0)</f>
        <v>0.564994882292733</v>
      </c>
    </row>
    <row r="624" customFormat="false" ht="15" hidden="false" customHeight="false" outlineLevel="0" collapsed="false">
      <c r="A624" s="15" t="n">
        <v>46049</v>
      </c>
      <c r="B624" s="14" t="s">
        <v>69</v>
      </c>
      <c r="C624" s="14" t="s">
        <v>70</v>
      </c>
      <c r="D624" s="14" t="s">
        <v>71</v>
      </c>
      <c r="E624" s="14" t="s">
        <v>53</v>
      </c>
      <c r="F624" s="14" t="s">
        <v>54</v>
      </c>
      <c r="G624" s="14" t="s">
        <v>55</v>
      </c>
      <c r="H624" s="0" t="n">
        <v>2</v>
      </c>
      <c r="I624" s="16" t="n">
        <v>53.73</v>
      </c>
      <c r="J624" s="16" t="n">
        <v>22</v>
      </c>
      <c r="K624" s="16" t="n">
        <f aca="false">H624*I624</f>
        <v>107.46</v>
      </c>
      <c r="L624" s="16" t="n">
        <f aca="false">H624*J624</f>
        <v>44</v>
      </c>
      <c r="M624" s="16" t="n">
        <f aca="false">K624-L624</f>
        <v>63.46</v>
      </c>
      <c r="N624" s="17" t="n">
        <f aca="false">IFERROR(M624/K624,0)</f>
        <v>0.590545319188535</v>
      </c>
    </row>
    <row r="625" customFormat="false" ht="15" hidden="false" customHeight="false" outlineLevel="0" collapsed="false">
      <c r="A625" s="15" t="n">
        <v>46049</v>
      </c>
      <c r="B625" s="14" t="s">
        <v>69</v>
      </c>
      <c r="C625" s="14" t="s">
        <v>70</v>
      </c>
      <c r="D625" s="14" t="s">
        <v>71</v>
      </c>
      <c r="E625" s="14" t="s">
        <v>53</v>
      </c>
      <c r="F625" s="14" t="s">
        <v>84</v>
      </c>
      <c r="G625" s="14" t="s">
        <v>85</v>
      </c>
      <c r="H625" s="0" t="n">
        <v>6</v>
      </c>
      <c r="I625" s="16" t="n">
        <v>23.28</v>
      </c>
      <c r="J625" s="16" t="n">
        <v>9</v>
      </c>
      <c r="K625" s="16" t="n">
        <f aca="false">H625*I625</f>
        <v>139.68</v>
      </c>
      <c r="L625" s="16" t="n">
        <f aca="false">H625*J625</f>
        <v>54</v>
      </c>
      <c r="M625" s="16" t="n">
        <f aca="false">K625-L625</f>
        <v>85.68</v>
      </c>
      <c r="N625" s="17" t="n">
        <f aca="false">IFERROR(M625/K625,0)</f>
        <v>0.61340206185567</v>
      </c>
    </row>
    <row r="626" customFormat="false" ht="15" hidden="false" customHeight="false" outlineLevel="0" collapsed="false">
      <c r="A626" s="15" t="n">
        <v>46049</v>
      </c>
      <c r="B626" s="14" t="s">
        <v>69</v>
      </c>
      <c r="C626" s="14" t="s">
        <v>70</v>
      </c>
      <c r="D626" s="14" t="s">
        <v>71</v>
      </c>
      <c r="E626" s="14" t="s">
        <v>76</v>
      </c>
      <c r="F626" s="14" t="s">
        <v>100</v>
      </c>
      <c r="G626" s="14" t="s">
        <v>101</v>
      </c>
      <c r="H626" s="0" t="n">
        <v>7</v>
      </c>
      <c r="I626" s="16" t="n">
        <v>15.3</v>
      </c>
      <c r="J626" s="16" t="n">
        <v>5.5</v>
      </c>
      <c r="K626" s="16" t="n">
        <f aca="false">H626*I626</f>
        <v>107.1</v>
      </c>
      <c r="L626" s="16" t="n">
        <f aca="false">H626*J626</f>
        <v>38.5</v>
      </c>
      <c r="M626" s="16" t="n">
        <f aca="false">K626-L626</f>
        <v>68.6</v>
      </c>
      <c r="N626" s="17" t="n">
        <f aca="false">IFERROR(M626/K626,0)</f>
        <v>0.640522875816994</v>
      </c>
    </row>
    <row r="627" customFormat="false" ht="15" hidden="false" customHeight="false" outlineLevel="0" collapsed="false">
      <c r="A627" s="15" t="n">
        <v>46049</v>
      </c>
      <c r="B627" s="14" t="s">
        <v>81</v>
      </c>
      <c r="C627" s="14" t="s">
        <v>82</v>
      </c>
      <c r="D627" s="14" t="s">
        <v>83</v>
      </c>
      <c r="E627" s="14" t="s">
        <v>64</v>
      </c>
      <c r="F627" s="14" t="s">
        <v>94</v>
      </c>
      <c r="G627" s="14" t="s">
        <v>95</v>
      </c>
      <c r="H627" s="0" t="n">
        <v>6</v>
      </c>
      <c r="I627" s="16" t="n">
        <v>94.68</v>
      </c>
      <c r="J627" s="16" t="n">
        <v>42</v>
      </c>
      <c r="K627" s="16" t="n">
        <f aca="false">H627*I627</f>
        <v>568.08</v>
      </c>
      <c r="L627" s="16" t="n">
        <f aca="false">H627*J627</f>
        <v>252</v>
      </c>
      <c r="M627" s="16" t="n">
        <f aca="false">K627-L627</f>
        <v>316.08</v>
      </c>
      <c r="N627" s="17" t="n">
        <f aca="false">IFERROR(M627/K627,0)</f>
        <v>0.556400506970849</v>
      </c>
    </row>
    <row r="628" customFormat="false" ht="15" hidden="false" customHeight="false" outlineLevel="0" collapsed="false">
      <c r="A628" s="15" t="n">
        <v>46049</v>
      </c>
      <c r="B628" s="14" t="s">
        <v>81</v>
      </c>
      <c r="C628" s="14" t="s">
        <v>82</v>
      </c>
      <c r="D628" s="14" t="s">
        <v>83</v>
      </c>
      <c r="E628" s="14" t="s">
        <v>64</v>
      </c>
      <c r="F628" s="14" t="s">
        <v>94</v>
      </c>
      <c r="G628" s="14" t="s">
        <v>95</v>
      </c>
      <c r="H628" s="0" t="n">
        <v>1</v>
      </c>
      <c r="I628" s="16" t="n">
        <v>97.96</v>
      </c>
      <c r="J628" s="16" t="n">
        <v>42</v>
      </c>
      <c r="K628" s="16" t="n">
        <f aca="false">H628*I628</f>
        <v>97.96</v>
      </c>
      <c r="L628" s="16" t="n">
        <f aca="false">H628*J628</f>
        <v>42</v>
      </c>
      <c r="M628" s="16" t="n">
        <f aca="false">K628-L628</f>
        <v>55.96</v>
      </c>
      <c r="N628" s="17" t="n">
        <f aca="false">IFERROR(M628/K628,0)</f>
        <v>0.571253572886893</v>
      </c>
    </row>
    <row r="629" customFormat="false" ht="15" hidden="false" customHeight="false" outlineLevel="0" collapsed="false">
      <c r="A629" s="15" t="n">
        <v>46049</v>
      </c>
      <c r="B629" s="14" t="s">
        <v>88</v>
      </c>
      <c r="C629" s="14" t="s">
        <v>89</v>
      </c>
      <c r="D629" s="14" t="s">
        <v>44</v>
      </c>
      <c r="E629" s="14" t="s">
        <v>64</v>
      </c>
      <c r="F629" s="14" t="s">
        <v>94</v>
      </c>
      <c r="G629" s="14" t="s">
        <v>95</v>
      </c>
      <c r="H629" s="0" t="n">
        <v>3</v>
      </c>
      <c r="I629" s="16" t="n">
        <v>97.38</v>
      </c>
      <c r="J629" s="16" t="n">
        <v>42</v>
      </c>
      <c r="K629" s="16" t="n">
        <f aca="false">H629*I629</f>
        <v>292.14</v>
      </c>
      <c r="L629" s="16" t="n">
        <f aca="false">H629*J629</f>
        <v>126</v>
      </c>
      <c r="M629" s="16" t="n">
        <f aca="false">K629-L629</f>
        <v>166.14</v>
      </c>
      <c r="N629" s="17" t="n">
        <f aca="false">IFERROR(M629/K629,0)</f>
        <v>0.568699938385705</v>
      </c>
    </row>
    <row r="630" customFormat="false" ht="15" hidden="false" customHeight="false" outlineLevel="0" collapsed="false">
      <c r="A630" s="15" t="n">
        <v>46049</v>
      </c>
      <c r="B630" s="14" t="s">
        <v>88</v>
      </c>
      <c r="C630" s="14" t="s">
        <v>89</v>
      </c>
      <c r="D630" s="14" t="s">
        <v>44</v>
      </c>
      <c r="E630" s="14" t="s">
        <v>64</v>
      </c>
      <c r="F630" s="14" t="s">
        <v>96</v>
      </c>
      <c r="G630" s="14" t="s">
        <v>97</v>
      </c>
      <c r="H630" s="0" t="n">
        <v>10</v>
      </c>
      <c r="I630" s="16" t="n">
        <v>58.17</v>
      </c>
      <c r="J630" s="16" t="n">
        <v>24</v>
      </c>
      <c r="K630" s="16" t="n">
        <f aca="false">H630*I630</f>
        <v>581.7</v>
      </c>
      <c r="L630" s="16" t="n">
        <f aca="false">H630*J630</f>
        <v>240</v>
      </c>
      <c r="M630" s="16" t="n">
        <f aca="false">K630-L630</f>
        <v>341.7</v>
      </c>
      <c r="N630" s="17" t="n">
        <f aca="false">IFERROR(M630/K630,0)</f>
        <v>0.587416193914389</v>
      </c>
    </row>
    <row r="631" customFormat="false" ht="15" hidden="false" customHeight="false" outlineLevel="0" collapsed="false">
      <c r="A631" s="15" t="n">
        <v>46050</v>
      </c>
      <c r="B631" s="14" t="s">
        <v>42</v>
      </c>
      <c r="C631" s="14" t="s">
        <v>43</v>
      </c>
      <c r="D631" s="14" t="s">
        <v>44</v>
      </c>
      <c r="E631" s="14" t="s">
        <v>76</v>
      </c>
      <c r="F631" s="14" t="s">
        <v>102</v>
      </c>
      <c r="G631" s="14" t="s">
        <v>103</v>
      </c>
      <c r="H631" s="0" t="n">
        <v>7</v>
      </c>
      <c r="I631" s="16" t="n">
        <v>22.73</v>
      </c>
      <c r="J631" s="16" t="n">
        <v>8.5</v>
      </c>
      <c r="K631" s="16" t="n">
        <f aca="false">H631*I631</f>
        <v>159.11</v>
      </c>
      <c r="L631" s="16" t="n">
        <f aca="false">H631*J631</f>
        <v>59.5</v>
      </c>
      <c r="M631" s="16" t="n">
        <f aca="false">K631-L631</f>
        <v>99.61</v>
      </c>
      <c r="N631" s="17" t="n">
        <f aca="false">IFERROR(M631/K631,0)</f>
        <v>0.626044874615046</v>
      </c>
    </row>
    <row r="632" customFormat="false" ht="15" hidden="false" customHeight="false" outlineLevel="0" collapsed="false">
      <c r="A632" s="15" t="n">
        <v>46050</v>
      </c>
      <c r="B632" s="14" t="s">
        <v>42</v>
      </c>
      <c r="C632" s="14" t="s">
        <v>43</v>
      </c>
      <c r="D632" s="14" t="s">
        <v>44</v>
      </c>
      <c r="E632" s="14" t="s">
        <v>56</v>
      </c>
      <c r="F632" s="14" t="s">
        <v>86</v>
      </c>
      <c r="G632" s="14" t="s">
        <v>87</v>
      </c>
      <c r="H632" s="0" t="n">
        <v>10</v>
      </c>
      <c r="I632" s="16" t="n">
        <v>14.75</v>
      </c>
      <c r="J632" s="16" t="n">
        <v>5</v>
      </c>
      <c r="K632" s="16" t="n">
        <f aca="false">H632*I632</f>
        <v>147.5</v>
      </c>
      <c r="L632" s="16" t="n">
        <f aca="false">H632*J632</f>
        <v>50</v>
      </c>
      <c r="M632" s="16" t="n">
        <f aca="false">K632-L632</f>
        <v>97.5</v>
      </c>
      <c r="N632" s="17" t="n">
        <f aca="false">IFERROR(M632/K632,0)</f>
        <v>0.661016949152542</v>
      </c>
    </row>
    <row r="633" customFormat="false" ht="15" hidden="false" customHeight="false" outlineLevel="0" collapsed="false">
      <c r="A633" s="15" t="n">
        <v>46050</v>
      </c>
      <c r="B633" s="14" t="s">
        <v>42</v>
      </c>
      <c r="C633" s="14" t="s">
        <v>43</v>
      </c>
      <c r="D633" s="14" t="s">
        <v>44</v>
      </c>
      <c r="E633" s="14" t="s">
        <v>45</v>
      </c>
      <c r="F633" s="14" t="s">
        <v>48</v>
      </c>
      <c r="G633" s="14" t="s">
        <v>49</v>
      </c>
      <c r="H633" s="0" t="n">
        <v>3</v>
      </c>
      <c r="I633" s="16" t="n">
        <v>65.97</v>
      </c>
      <c r="J633" s="16" t="n">
        <v>27.5</v>
      </c>
      <c r="K633" s="16" t="n">
        <f aca="false">H633*I633</f>
        <v>197.91</v>
      </c>
      <c r="L633" s="16" t="n">
        <f aca="false">H633*J633</f>
        <v>82.5</v>
      </c>
      <c r="M633" s="16" t="n">
        <f aca="false">K633-L633</f>
        <v>115.41</v>
      </c>
      <c r="N633" s="17" t="n">
        <f aca="false">IFERROR(M633/K633,0)</f>
        <v>0.583143853266636</v>
      </c>
    </row>
    <row r="634" customFormat="false" ht="15" hidden="false" customHeight="false" outlineLevel="0" collapsed="false">
      <c r="A634" s="15" t="n">
        <v>46050</v>
      </c>
      <c r="B634" s="14" t="s">
        <v>42</v>
      </c>
      <c r="C634" s="14" t="s">
        <v>43</v>
      </c>
      <c r="D634" s="14" t="s">
        <v>44</v>
      </c>
      <c r="E634" s="14" t="s">
        <v>64</v>
      </c>
      <c r="F634" s="14" t="s">
        <v>65</v>
      </c>
      <c r="G634" s="14" t="s">
        <v>66</v>
      </c>
      <c r="H634" s="0" t="n">
        <v>3</v>
      </c>
      <c r="I634" s="16" t="n">
        <v>78.55</v>
      </c>
      <c r="J634" s="16" t="n">
        <v>34</v>
      </c>
      <c r="K634" s="16" t="n">
        <f aca="false">H634*I634</f>
        <v>235.65</v>
      </c>
      <c r="L634" s="16" t="n">
        <f aca="false">H634*J634</f>
        <v>102</v>
      </c>
      <c r="M634" s="16" t="n">
        <f aca="false">K634-L634</f>
        <v>133.65</v>
      </c>
      <c r="N634" s="17" t="n">
        <f aca="false">IFERROR(M634/K634,0)</f>
        <v>0.567154678548695</v>
      </c>
    </row>
    <row r="635" customFormat="false" ht="15" hidden="false" customHeight="false" outlineLevel="0" collapsed="false">
      <c r="A635" s="15" t="n">
        <v>46050</v>
      </c>
      <c r="B635" s="14" t="s">
        <v>42</v>
      </c>
      <c r="C635" s="14" t="s">
        <v>43</v>
      </c>
      <c r="D635" s="14" t="s">
        <v>44</v>
      </c>
      <c r="E635" s="14" t="s">
        <v>53</v>
      </c>
      <c r="F635" s="14" t="s">
        <v>84</v>
      </c>
      <c r="G635" s="14" t="s">
        <v>85</v>
      </c>
      <c r="H635" s="0" t="n">
        <v>9</v>
      </c>
      <c r="I635" s="16" t="n">
        <v>23</v>
      </c>
      <c r="J635" s="16" t="n">
        <v>9</v>
      </c>
      <c r="K635" s="16" t="n">
        <f aca="false">H635*I635</f>
        <v>207</v>
      </c>
      <c r="L635" s="16" t="n">
        <f aca="false">H635*J635</f>
        <v>81</v>
      </c>
      <c r="M635" s="16" t="n">
        <f aca="false">K635-L635</f>
        <v>126</v>
      </c>
      <c r="N635" s="17" t="n">
        <f aca="false">IFERROR(M635/K635,0)</f>
        <v>0.608695652173913</v>
      </c>
    </row>
    <row r="636" customFormat="false" ht="15" hidden="false" customHeight="false" outlineLevel="0" collapsed="false">
      <c r="A636" s="15" t="n">
        <v>46050</v>
      </c>
      <c r="B636" s="14" t="s">
        <v>50</v>
      </c>
      <c r="C636" s="14" t="s">
        <v>51</v>
      </c>
      <c r="D636" s="14" t="s">
        <v>52</v>
      </c>
      <c r="E636" s="14" t="s">
        <v>53</v>
      </c>
      <c r="F636" s="14" t="s">
        <v>54</v>
      </c>
      <c r="G636" s="14" t="s">
        <v>55</v>
      </c>
      <c r="H636" s="0" t="n">
        <v>5</v>
      </c>
      <c r="I636" s="16" t="n">
        <v>51.3</v>
      </c>
      <c r="J636" s="16" t="n">
        <v>22</v>
      </c>
      <c r="K636" s="16" t="n">
        <f aca="false">H636*I636</f>
        <v>256.5</v>
      </c>
      <c r="L636" s="16" t="n">
        <f aca="false">H636*J636</f>
        <v>110</v>
      </c>
      <c r="M636" s="16" t="n">
        <f aca="false">K636-L636</f>
        <v>146.5</v>
      </c>
      <c r="N636" s="17" t="n">
        <f aca="false">IFERROR(M636/K636,0)</f>
        <v>0.571150097465887</v>
      </c>
    </row>
    <row r="637" customFormat="false" ht="15" hidden="false" customHeight="false" outlineLevel="0" collapsed="false">
      <c r="A637" s="15" t="n">
        <v>46050</v>
      </c>
      <c r="B637" s="14" t="s">
        <v>50</v>
      </c>
      <c r="C637" s="14" t="s">
        <v>51</v>
      </c>
      <c r="D637" s="14" t="s">
        <v>52</v>
      </c>
      <c r="E637" s="14" t="s">
        <v>76</v>
      </c>
      <c r="F637" s="14" t="s">
        <v>79</v>
      </c>
      <c r="G637" s="14" t="s">
        <v>80</v>
      </c>
      <c r="H637" s="0" t="n">
        <v>8</v>
      </c>
      <c r="I637" s="16" t="n">
        <v>28.2</v>
      </c>
      <c r="J637" s="16" t="n">
        <v>11</v>
      </c>
      <c r="K637" s="16" t="n">
        <f aca="false">H637*I637</f>
        <v>225.6</v>
      </c>
      <c r="L637" s="16" t="n">
        <f aca="false">H637*J637</f>
        <v>88</v>
      </c>
      <c r="M637" s="16" t="n">
        <f aca="false">K637-L637</f>
        <v>137.6</v>
      </c>
      <c r="N637" s="17" t="n">
        <f aca="false">IFERROR(M637/K637,0)</f>
        <v>0.609929078014184</v>
      </c>
    </row>
    <row r="638" customFormat="false" ht="15" hidden="false" customHeight="false" outlineLevel="0" collapsed="false">
      <c r="A638" s="15" t="n">
        <v>46050</v>
      </c>
      <c r="B638" s="14" t="s">
        <v>50</v>
      </c>
      <c r="C638" s="14" t="s">
        <v>51</v>
      </c>
      <c r="D638" s="14" t="s">
        <v>52</v>
      </c>
      <c r="E638" s="14" t="s">
        <v>76</v>
      </c>
      <c r="F638" s="14" t="s">
        <v>77</v>
      </c>
      <c r="G638" s="14" t="s">
        <v>78</v>
      </c>
      <c r="H638" s="0" t="n">
        <v>1</v>
      </c>
      <c r="I638" s="16" t="n">
        <v>39.97</v>
      </c>
      <c r="J638" s="16" t="n">
        <v>15</v>
      </c>
      <c r="K638" s="16" t="n">
        <f aca="false">H638*I638</f>
        <v>39.97</v>
      </c>
      <c r="L638" s="16" t="n">
        <f aca="false">H638*J638</f>
        <v>15</v>
      </c>
      <c r="M638" s="16" t="n">
        <f aca="false">K638-L638</f>
        <v>24.97</v>
      </c>
      <c r="N638" s="17" t="n">
        <f aca="false">IFERROR(M638/K638,0)</f>
        <v>0.624718538904178</v>
      </c>
    </row>
    <row r="639" customFormat="false" ht="15" hidden="false" customHeight="false" outlineLevel="0" collapsed="false">
      <c r="A639" s="15" t="n">
        <v>46050</v>
      </c>
      <c r="B639" s="14" t="s">
        <v>50</v>
      </c>
      <c r="C639" s="14" t="s">
        <v>51</v>
      </c>
      <c r="D639" s="14" t="s">
        <v>52</v>
      </c>
      <c r="E639" s="14" t="s">
        <v>76</v>
      </c>
      <c r="F639" s="14" t="s">
        <v>77</v>
      </c>
      <c r="G639" s="14" t="s">
        <v>78</v>
      </c>
      <c r="H639" s="0" t="n">
        <v>9</v>
      </c>
      <c r="I639" s="16" t="n">
        <v>40.84</v>
      </c>
      <c r="J639" s="16" t="n">
        <v>15</v>
      </c>
      <c r="K639" s="16" t="n">
        <f aca="false">H639*I639</f>
        <v>367.56</v>
      </c>
      <c r="L639" s="16" t="n">
        <f aca="false">H639*J639</f>
        <v>135</v>
      </c>
      <c r="M639" s="16" t="n">
        <f aca="false">K639-L639</f>
        <v>232.56</v>
      </c>
      <c r="N639" s="17" t="n">
        <f aca="false">IFERROR(M639/K639,0)</f>
        <v>0.632713026444662</v>
      </c>
    </row>
    <row r="640" customFormat="false" ht="15" hidden="false" customHeight="false" outlineLevel="0" collapsed="false">
      <c r="A640" s="15" t="n">
        <v>46050</v>
      </c>
      <c r="B640" s="14" t="s">
        <v>50</v>
      </c>
      <c r="C640" s="14" t="s">
        <v>51</v>
      </c>
      <c r="D640" s="14" t="s">
        <v>52</v>
      </c>
      <c r="E640" s="14" t="s">
        <v>45</v>
      </c>
      <c r="F640" s="14" t="s">
        <v>48</v>
      </c>
      <c r="G640" s="14" t="s">
        <v>49</v>
      </c>
      <c r="H640" s="0" t="n">
        <v>5</v>
      </c>
      <c r="I640" s="16" t="n">
        <v>65.15</v>
      </c>
      <c r="J640" s="16" t="n">
        <v>27.5</v>
      </c>
      <c r="K640" s="16" t="n">
        <f aca="false">H640*I640</f>
        <v>325.75</v>
      </c>
      <c r="L640" s="16" t="n">
        <f aca="false">H640*J640</f>
        <v>137.5</v>
      </c>
      <c r="M640" s="16" t="n">
        <f aca="false">K640-L640</f>
        <v>188.25</v>
      </c>
      <c r="N640" s="17" t="n">
        <f aca="false">IFERROR(M640/K640,0)</f>
        <v>0.577897160399079</v>
      </c>
    </row>
    <row r="641" customFormat="false" ht="15" hidden="false" customHeight="false" outlineLevel="0" collapsed="false">
      <c r="A641" s="15" t="n">
        <v>46050</v>
      </c>
      <c r="B641" s="14" t="s">
        <v>59</v>
      </c>
      <c r="C641" s="14" t="s">
        <v>60</v>
      </c>
      <c r="D641" s="14" t="s">
        <v>61</v>
      </c>
      <c r="E641" s="14" t="s">
        <v>56</v>
      </c>
      <c r="F641" s="14" t="s">
        <v>86</v>
      </c>
      <c r="G641" s="14" t="s">
        <v>87</v>
      </c>
      <c r="H641" s="0" t="n">
        <v>7</v>
      </c>
      <c r="I641" s="16" t="n">
        <v>13.81</v>
      </c>
      <c r="J641" s="16" t="n">
        <v>5</v>
      </c>
      <c r="K641" s="16" t="n">
        <f aca="false">H641*I641</f>
        <v>96.67</v>
      </c>
      <c r="L641" s="16" t="n">
        <f aca="false">H641*J641</f>
        <v>35</v>
      </c>
      <c r="M641" s="16" t="n">
        <f aca="false">K641-L641</f>
        <v>61.67</v>
      </c>
      <c r="N641" s="17" t="n">
        <f aca="false">IFERROR(M641/K641,0)</f>
        <v>0.637943519188994</v>
      </c>
    </row>
    <row r="642" customFormat="false" ht="15" hidden="false" customHeight="false" outlineLevel="0" collapsed="false">
      <c r="A642" s="15" t="n">
        <v>46050</v>
      </c>
      <c r="B642" s="14" t="s">
        <v>59</v>
      </c>
      <c r="C642" s="14" t="s">
        <v>60</v>
      </c>
      <c r="D642" s="14" t="s">
        <v>61</v>
      </c>
      <c r="E642" s="14" t="s">
        <v>76</v>
      </c>
      <c r="F642" s="14" t="s">
        <v>79</v>
      </c>
      <c r="G642" s="14" t="s">
        <v>80</v>
      </c>
      <c r="H642" s="0" t="n">
        <v>7</v>
      </c>
      <c r="I642" s="16" t="n">
        <v>29.27</v>
      </c>
      <c r="J642" s="16" t="n">
        <v>11</v>
      </c>
      <c r="K642" s="16" t="n">
        <f aca="false">H642*I642</f>
        <v>204.89</v>
      </c>
      <c r="L642" s="16" t="n">
        <f aca="false">H642*J642</f>
        <v>77</v>
      </c>
      <c r="M642" s="16" t="n">
        <f aca="false">K642-L642</f>
        <v>127.89</v>
      </c>
      <c r="N642" s="17" t="n">
        <f aca="false">IFERROR(M642/K642,0)</f>
        <v>0.624188588998975</v>
      </c>
    </row>
    <row r="643" customFormat="false" ht="15" hidden="false" customHeight="false" outlineLevel="0" collapsed="false">
      <c r="A643" s="15" t="n">
        <v>46050</v>
      </c>
      <c r="B643" s="14" t="s">
        <v>59</v>
      </c>
      <c r="C643" s="14" t="s">
        <v>60</v>
      </c>
      <c r="D643" s="14" t="s">
        <v>61</v>
      </c>
      <c r="E643" s="14" t="s">
        <v>64</v>
      </c>
      <c r="F643" s="14" t="s">
        <v>65</v>
      </c>
      <c r="G643" s="14" t="s">
        <v>66</v>
      </c>
      <c r="H643" s="0" t="n">
        <v>5</v>
      </c>
      <c r="I643" s="16" t="n">
        <v>75.1</v>
      </c>
      <c r="J643" s="16" t="n">
        <v>34</v>
      </c>
      <c r="K643" s="16" t="n">
        <f aca="false">H643*I643</f>
        <v>375.5</v>
      </c>
      <c r="L643" s="16" t="n">
        <f aca="false">H643*J643</f>
        <v>170</v>
      </c>
      <c r="M643" s="16" t="n">
        <f aca="false">K643-L643</f>
        <v>205.5</v>
      </c>
      <c r="N643" s="17" t="n">
        <f aca="false">IFERROR(M643/K643,0)</f>
        <v>0.547270306258322</v>
      </c>
    </row>
    <row r="644" customFormat="false" ht="15" hidden="false" customHeight="false" outlineLevel="0" collapsed="false">
      <c r="A644" s="15" t="n">
        <v>46050</v>
      </c>
      <c r="B644" s="14" t="s">
        <v>69</v>
      </c>
      <c r="C644" s="14" t="s">
        <v>70</v>
      </c>
      <c r="D644" s="14" t="s">
        <v>71</v>
      </c>
      <c r="E644" s="14" t="s">
        <v>45</v>
      </c>
      <c r="F644" s="14" t="s">
        <v>46</v>
      </c>
      <c r="G644" s="14" t="s">
        <v>47</v>
      </c>
      <c r="H644" s="0" t="n">
        <v>5</v>
      </c>
      <c r="I644" s="16" t="n">
        <v>44.57</v>
      </c>
      <c r="J644" s="16" t="n">
        <v>18</v>
      </c>
      <c r="K644" s="16" t="n">
        <f aca="false">H644*I644</f>
        <v>222.85</v>
      </c>
      <c r="L644" s="16" t="n">
        <f aca="false">H644*J644</f>
        <v>90</v>
      </c>
      <c r="M644" s="16" t="n">
        <f aca="false">K644-L644</f>
        <v>132.85</v>
      </c>
      <c r="N644" s="17" t="n">
        <f aca="false">IFERROR(M644/K644,0)</f>
        <v>0.596140901951986</v>
      </c>
    </row>
    <row r="645" customFormat="false" ht="15" hidden="false" customHeight="false" outlineLevel="0" collapsed="false">
      <c r="A645" s="15" t="n">
        <v>46050</v>
      </c>
      <c r="B645" s="14" t="s">
        <v>69</v>
      </c>
      <c r="C645" s="14" t="s">
        <v>70</v>
      </c>
      <c r="D645" s="14" t="s">
        <v>71</v>
      </c>
      <c r="E645" s="14" t="s">
        <v>53</v>
      </c>
      <c r="F645" s="14" t="s">
        <v>84</v>
      </c>
      <c r="G645" s="14" t="s">
        <v>85</v>
      </c>
      <c r="H645" s="0" t="n">
        <v>2</v>
      </c>
      <c r="I645" s="16" t="n">
        <v>24.28</v>
      </c>
      <c r="J645" s="16" t="n">
        <v>9</v>
      </c>
      <c r="K645" s="16" t="n">
        <f aca="false">H645*I645</f>
        <v>48.56</v>
      </c>
      <c r="L645" s="16" t="n">
        <f aca="false">H645*J645</f>
        <v>18</v>
      </c>
      <c r="M645" s="16" t="n">
        <f aca="false">K645-L645</f>
        <v>30.56</v>
      </c>
      <c r="N645" s="17" t="n">
        <f aca="false">IFERROR(M645/K645,0)</f>
        <v>0.629324546952224</v>
      </c>
    </row>
    <row r="646" customFormat="false" ht="15" hidden="false" customHeight="false" outlineLevel="0" collapsed="false">
      <c r="A646" s="15" t="n">
        <v>46050</v>
      </c>
      <c r="B646" s="14" t="s">
        <v>81</v>
      </c>
      <c r="C646" s="14" t="s">
        <v>82</v>
      </c>
      <c r="D646" s="14" t="s">
        <v>83</v>
      </c>
      <c r="E646" s="14" t="s">
        <v>45</v>
      </c>
      <c r="F646" s="14" t="s">
        <v>48</v>
      </c>
      <c r="G646" s="14" t="s">
        <v>49</v>
      </c>
      <c r="H646" s="0" t="n">
        <v>2</v>
      </c>
      <c r="I646" s="16" t="n">
        <v>64.95</v>
      </c>
      <c r="J646" s="16" t="n">
        <v>27.5</v>
      </c>
      <c r="K646" s="16" t="n">
        <f aca="false">H646*I646</f>
        <v>129.9</v>
      </c>
      <c r="L646" s="16" t="n">
        <f aca="false">H646*J646</f>
        <v>55</v>
      </c>
      <c r="M646" s="16" t="n">
        <f aca="false">K646-L646</f>
        <v>74.9</v>
      </c>
      <c r="N646" s="17" t="n">
        <f aca="false">IFERROR(M646/K646,0)</f>
        <v>0.576597382602002</v>
      </c>
    </row>
    <row r="647" customFormat="false" ht="15" hidden="false" customHeight="false" outlineLevel="0" collapsed="false">
      <c r="A647" s="15" t="n">
        <v>46050</v>
      </c>
      <c r="B647" s="14" t="s">
        <v>81</v>
      </c>
      <c r="C647" s="14" t="s">
        <v>82</v>
      </c>
      <c r="D647" s="14" t="s">
        <v>83</v>
      </c>
      <c r="E647" s="14" t="s">
        <v>53</v>
      </c>
      <c r="F647" s="14" t="s">
        <v>54</v>
      </c>
      <c r="G647" s="14" t="s">
        <v>55</v>
      </c>
      <c r="H647" s="0" t="n">
        <v>5</v>
      </c>
      <c r="I647" s="16" t="n">
        <v>53.31</v>
      </c>
      <c r="J647" s="16" t="n">
        <v>22</v>
      </c>
      <c r="K647" s="16" t="n">
        <f aca="false">H647*I647</f>
        <v>266.55</v>
      </c>
      <c r="L647" s="16" t="n">
        <f aca="false">H647*J647</f>
        <v>110</v>
      </c>
      <c r="M647" s="16" t="n">
        <f aca="false">K647-L647</f>
        <v>156.55</v>
      </c>
      <c r="N647" s="17" t="n">
        <f aca="false">IFERROR(M647/K647,0)</f>
        <v>0.587319452260364</v>
      </c>
    </row>
    <row r="648" customFormat="false" ht="15" hidden="false" customHeight="false" outlineLevel="0" collapsed="false">
      <c r="A648" s="15" t="n">
        <v>46050</v>
      </c>
      <c r="B648" s="14" t="s">
        <v>81</v>
      </c>
      <c r="C648" s="14" t="s">
        <v>82</v>
      </c>
      <c r="D648" s="14" t="s">
        <v>83</v>
      </c>
      <c r="E648" s="14" t="s">
        <v>64</v>
      </c>
      <c r="F648" s="14" t="s">
        <v>96</v>
      </c>
      <c r="G648" s="14" t="s">
        <v>97</v>
      </c>
      <c r="H648" s="0" t="n">
        <v>2</v>
      </c>
      <c r="I648" s="16" t="n">
        <v>58.51</v>
      </c>
      <c r="J648" s="16" t="n">
        <v>24</v>
      </c>
      <c r="K648" s="16" t="n">
        <f aca="false">H648*I648</f>
        <v>117.02</v>
      </c>
      <c r="L648" s="16" t="n">
        <f aca="false">H648*J648</f>
        <v>48</v>
      </c>
      <c r="M648" s="16" t="n">
        <f aca="false">K648-L648</f>
        <v>69.02</v>
      </c>
      <c r="N648" s="17" t="n">
        <f aca="false">IFERROR(M648/K648,0)</f>
        <v>0.589813707058623</v>
      </c>
    </row>
    <row r="649" customFormat="false" ht="15" hidden="false" customHeight="false" outlineLevel="0" collapsed="false">
      <c r="A649" s="15" t="n">
        <v>46050</v>
      </c>
      <c r="B649" s="14" t="s">
        <v>88</v>
      </c>
      <c r="C649" s="14" t="s">
        <v>89</v>
      </c>
      <c r="D649" s="14" t="s">
        <v>44</v>
      </c>
      <c r="E649" s="14" t="s">
        <v>45</v>
      </c>
      <c r="F649" s="14" t="s">
        <v>72</v>
      </c>
      <c r="G649" s="14" t="s">
        <v>73</v>
      </c>
      <c r="H649" s="0" t="n">
        <v>6</v>
      </c>
      <c r="I649" s="16" t="n">
        <v>51.85</v>
      </c>
      <c r="J649" s="16" t="n">
        <v>21</v>
      </c>
      <c r="K649" s="16" t="n">
        <f aca="false">H649*I649</f>
        <v>311.1</v>
      </c>
      <c r="L649" s="16" t="n">
        <f aca="false">H649*J649</f>
        <v>126</v>
      </c>
      <c r="M649" s="16" t="n">
        <f aca="false">K649-L649</f>
        <v>185.1</v>
      </c>
      <c r="N649" s="17" t="n">
        <f aca="false">IFERROR(M649/K649,0)</f>
        <v>0.594985535197686</v>
      </c>
    </row>
    <row r="650" customFormat="false" ht="15" hidden="false" customHeight="false" outlineLevel="0" collapsed="false">
      <c r="A650" s="15" t="n">
        <v>46050</v>
      </c>
      <c r="B650" s="14" t="s">
        <v>88</v>
      </c>
      <c r="C650" s="14" t="s">
        <v>89</v>
      </c>
      <c r="D650" s="14" t="s">
        <v>44</v>
      </c>
      <c r="E650" s="14" t="s">
        <v>76</v>
      </c>
      <c r="F650" s="14" t="s">
        <v>77</v>
      </c>
      <c r="G650" s="14" t="s">
        <v>78</v>
      </c>
      <c r="H650" s="0" t="n">
        <v>5</v>
      </c>
      <c r="I650" s="16" t="n">
        <v>39.57</v>
      </c>
      <c r="J650" s="16" t="n">
        <v>15</v>
      </c>
      <c r="K650" s="16" t="n">
        <f aca="false">H650*I650</f>
        <v>197.85</v>
      </c>
      <c r="L650" s="16" t="n">
        <f aca="false">H650*J650</f>
        <v>75</v>
      </c>
      <c r="M650" s="16" t="n">
        <f aca="false">K650-L650</f>
        <v>122.85</v>
      </c>
      <c r="N650" s="17" t="n">
        <f aca="false">IFERROR(M650/K650,0)</f>
        <v>0.620924943138742</v>
      </c>
    </row>
    <row r="651" customFormat="false" ht="15" hidden="false" customHeight="false" outlineLevel="0" collapsed="false">
      <c r="A651" s="15" t="n">
        <v>46050</v>
      </c>
      <c r="B651" s="14" t="s">
        <v>88</v>
      </c>
      <c r="C651" s="14" t="s">
        <v>89</v>
      </c>
      <c r="D651" s="14" t="s">
        <v>44</v>
      </c>
      <c r="E651" s="14" t="s">
        <v>45</v>
      </c>
      <c r="F651" s="14" t="s">
        <v>62</v>
      </c>
      <c r="G651" s="14" t="s">
        <v>63</v>
      </c>
      <c r="H651" s="0" t="n">
        <v>5</v>
      </c>
      <c r="I651" s="16" t="n">
        <v>17.68</v>
      </c>
      <c r="J651" s="16" t="n">
        <v>6.5</v>
      </c>
      <c r="K651" s="16" t="n">
        <f aca="false">H651*I651</f>
        <v>88.4</v>
      </c>
      <c r="L651" s="16" t="n">
        <f aca="false">H651*J651</f>
        <v>32.5</v>
      </c>
      <c r="M651" s="16" t="n">
        <f aca="false">K651-L651</f>
        <v>55.9</v>
      </c>
      <c r="N651" s="17" t="n">
        <f aca="false">IFERROR(M651/K651,0)</f>
        <v>0.632352941176471</v>
      </c>
    </row>
    <row r="652" customFormat="false" ht="15" hidden="false" customHeight="false" outlineLevel="0" collapsed="false">
      <c r="A652" s="15" t="n">
        <v>46051</v>
      </c>
      <c r="B652" s="14" t="s">
        <v>42</v>
      </c>
      <c r="C652" s="14" t="s">
        <v>43</v>
      </c>
      <c r="D652" s="14" t="s">
        <v>44</v>
      </c>
      <c r="E652" s="14" t="s">
        <v>76</v>
      </c>
      <c r="F652" s="14" t="s">
        <v>77</v>
      </c>
      <c r="G652" s="14" t="s">
        <v>78</v>
      </c>
      <c r="H652" s="0" t="n">
        <v>6</v>
      </c>
      <c r="I652" s="16" t="n">
        <v>41.15</v>
      </c>
      <c r="J652" s="16" t="n">
        <v>15</v>
      </c>
      <c r="K652" s="16" t="n">
        <f aca="false">H652*I652</f>
        <v>246.9</v>
      </c>
      <c r="L652" s="16" t="n">
        <f aca="false">H652*J652</f>
        <v>90</v>
      </c>
      <c r="M652" s="16" t="n">
        <f aca="false">K652-L652</f>
        <v>156.9</v>
      </c>
      <c r="N652" s="17" t="n">
        <f aca="false">IFERROR(M652/K652,0)</f>
        <v>0.635479951397327</v>
      </c>
    </row>
    <row r="653" customFormat="false" ht="15" hidden="false" customHeight="false" outlineLevel="0" collapsed="false">
      <c r="A653" s="15" t="n">
        <v>46051</v>
      </c>
      <c r="B653" s="14" t="s">
        <v>42</v>
      </c>
      <c r="C653" s="14" t="s">
        <v>43</v>
      </c>
      <c r="D653" s="14" t="s">
        <v>44</v>
      </c>
      <c r="E653" s="14" t="s">
        <v>76</v>
      </c>
      <c r="F653" s="14" t="s">
        <v>79</v>
      </c>
      <c r="G653" s="14" t="s">
        <v>80</v>
      </c>
      <c r="H653" s="0" t="n">
        <v>6</v>
      </c>
      <c r="I653" s="16" t="n">
        <v>28.79</v>
      </c>
      <c r="J653" s="16" t="n">
        <v>11</v>
      </c>
      <c r="K653" s="16" t="n">
        <f aca="false">H653*I653</f>
        <v>172.74</v>
      </c>
      <c r="L653" s="16" t="n">
        <f aca="false">H653*J653</f>
        <v>66</v>
      </c>
      <c r="M653" s="16" t="n">
        <f aca="false">K653-L653</f>
        <v>106.74</v>
      </c>
      <c r="N653" s="17" t="n">
        <f aca="false">IFERROR(M653/K653,0)</f>
        <v>0.617922889892324</v>
      </c>
    </row>
    <row r="654" customFormat="false" ht="15" hidden="false" customHeight="false" outlineLevel="0" collapsed="false">
      <c r="A654" s="15" t="n">
        <v>46051</v>
      </c>
      <c r="B654" s="14" t="s">
        <v>50</v>
      </c>
      <c r="C654" s="14" t="s">
        <v>51</v>
      </c>
      <c r="D654" s="14" t="s">
        <v>52</v>
      </c>
      <c r="E654" s="14" t="s">
        <v>53</v>
      </c>
      <c r="F654" s="14" t="s">
        <v>84</v>
      </c>
      <c r="G654" s="14" t="s">
        <v>85</v>
      </c>
      <c r="H654" s="0" t="n">
        <v>2</v>
      </c>
      <c r="I654" s="16" t="n">
        <v>24.06</v>
      </c>
      <c r="J654" s="16" t="n">
        <v>9</v>
      </c>
      <c r="K654" s="16" t="n">
        <f aca="false">H654*I654</f>
        <v>48.12</v>
      </c>
      <c r="L654" s="16" t="n">
        <f aca="false">H654*J654</f>
        <v>18</v>
      </c>
      <c r="M654" s="16" t="n">
        <f aca="false">K654-L654</f>
        <v>30.12</v>
      </c>
      <c r="N654" s="17" t="n">
        <f aca="false">IFERROR(M654/K654,0)</f>
        <v>0.625935162094763</v>
      </c>
    </row>
    <row r="655" customFormat="false" ht="15" hidden="false" customHeight="false" outlineLevel="0" collapsed="false">
      <c r="A655" s="15" t="n">
        <v>46051</v>
      </c>
      <c r="B655" s="14" t="s">
        <v>50</v>
      </c>
      <c r="C655" s="14" t="s">
        <v>51</v>
      </c>
      <c r="D655" s="14" t="s">
        <v>52</v>
      </c>
      <c r="E655" s="14" t="s">
        <v>45</v>
      </c>
      <c r="F655" s="14" t="s">
        <v>46</v>
      </c>
      <c r="G655" s="14" t="s">
        <v>47</v>
      </c>
      <c r="H655" s="0" t="n">
        <v>7</v>
      </c>
      <c r="I655" s="16" t="n">
        <v>41.88</v>
      </c>
      <c r="J655" s="16" t="n">
        <v>18</v>
      </c>
      <c r="K655" s="16" t="n">
        <f aca="false">H655*I655</f>
        <v>293.16</v>
      </c>
      <c r="L655" s="16" t="n">
        <f aca="false">H655*J655</f>
        <v>126</v>
      </c>
      <c r="M655" s="16" t="n">
        <f aca="false">K655-L655</f>
        <v>167.16</v>
      </c>
      <c r="N655" s="17" t="n">
        <f aca="false">IFERROR(M655/K655,0)</f>
        <v>0.570200573065903</v>
      </c>
    </row>
    <row r="656" customFormat="false" ht="15" hidden="false" customHeight="false" outlineLevel="0" collapsed="false">
      <c r="A656" s="15" t="n">
        <v>46051</v>
      </c>
      <c r="B656" s="14" t="s">
        <v>59</v>
      </c>
      <c r="C656" s="14" t="s">
        <v>60</v>
      </c>
      <c r="D656" s="14" t="s">
        <v>61</v>
      </c>
      <c r="E656" s="14" t="s">
        <v>64</v>
      </c>
      <c r="F656" s="14" t="s">
        <v>94</v>
      </c>
      <c r="G656" s="14" t="s">
        <v>95</v>
      </c>
      <c r="H656" s="0" t="n">
        <v>4</v>
      </c>
      <c r="I656" s="16" t="n">
        <v>97.12</v>
      </c>
      <c r="J656" s="16" t="n">
        <v>42</v>
      </c>
      <c r="K656" s="16" t="n">
        <f aca="false">H656*I656</f>
        <v>388.48</v>
      </c>
      <c r="L656" s="16" t="n">
        <f aca="false">H656*J656</f>
        <v>168</v>
      </c>
      <c r="M656" s="16" t="n">
        <f aca="false">K656-L656</f>
        <v>220.48</v>
      </c>
      <c r="N656" s="17" t="n">
        <f aca="false">IFERROR(M656/K656,0)</f>
        <v>0.567545304777595</v>
      </c>
    </row>
    <row r="657" customFormat="false" ht="15" hidden="false" customHeight="false" outlineLevel="0" collapsed="false">
      <c r="A657" s="15" t="n">
        <v>46051</v>
      </c>
      <c r="B657" s="14" t="s">
        <v>59</v>
      </c>
      <c r="C657" s="14" t="s">
        <v>60</v>
      </c>
      <c r="D657" s="14" t="s">
        <v>61</v>
      </c>
      <c r="E657" s="14" t="s">
        <v>45</v>
      </c>
      <c r="F657" s="14" t="s">
        <v>48</v>
      </c>
      <c r="G657" s="14" t="s">
        <v>49</v>
      </c>
      <c r="H657" s="0" t="n">
        <v>2</v>
      </c>
      <c r="I657" s="16" t="n">
        <v>62.64</v>
      </c>
      <c r="J657" s="16" t="n">
        <v>27.5</v>
      </c>
      <c r="K657" s="16" t="n">
        <f aca="false">H657*I657</f>
        <v>125.28</v>
      </c>
      <c r="L657" s="16" t="n">
        <f aca="false">H657*J657</f>
        <v>55</v>
      </c>
      <c r="M657" s="16" t="n">
        <f aca="false">K657-L657</f>
        <v>70.28</v>
      </c>
      <c r="N657" s="17" t="n">
        <f aca="false">IFERROR(M657/K657,0)</f>
        <v>0.560983397190294</v>
      </c>
    </row>
    <row r="658" customFormat="false" ht="15" hidden="false" customHeight="false" outlineLevel="0" collapsed="false">
      <c r="A658" s="15" t="n">
        <v>46051</v>
      </c>
      <c r="B658" s="14" t="s">
        <v>59</v>
      </c>
      <c r="C658" s="14" t="s">
        <v>60</v>
      </c>
      <c r="D658" s="14" t="s">
        <v>61</v>
      </c>
      <c r="E658" s="14" t="s">
        <v>53</v>
      </c>
      <c r="F658" s="14" t="s">
        <v>74</v>
      </c>
      <c r="G658" s="14" t="s">
        <v>75</v>
      </c>
      <c r="H658" s="0" t="n">
        <v>1</v>
      </c>
      <c r="I658" s="16" t="n">
        <v>88.63</v>
      </c>
      <c r="J658" s="16" t="n">
        <v>38</v>
      </c>
      <c r="K658" s="16" t="n">
        <f aca="false">H658*I658</f>
        <v>88.63</v>
      </c>
      <c r="L658" s="16" t="n">
        <f aca="false">H658*J658</f>
        <v>38</v>
      </c>
      <c r="M658" s="16" t="n">
        <f aca="false">K658-L658</f>
        <v>50.63</v>
      </c>
      <c r="N658" s="17" t="n">
        <f aca="false">IFERROR(M658/K658,0)</f>
        <v>0.5712512693219</v>
      </c>
    </row>
    <row r="659" customFormat="false" ht="15" hidden="false" customHeight="false" outlineLevel="0" collapsed="false">
      <c r="A659" s="15" t="n">
        <v>46051</v>
      </c>
      <c r="B659" s="14" t="s">
        <v>59</v>
      </c>
      <c r="C659" s="14" t="s">
        <v>60</v>
      </c>
      <c r="D659" s="14" t="s">
        <v>61</v>
      </c>
      <c r="E659" s="14" t="s">
        <v>64</v>
      </c>
      <c r="F659" s="14" t="s">
        <v>94</v>
      </c>
      <c r="G659" s="14" t="s">
        <v>95</v>
      </c>
      <c r="H659" s="0" t="n">
        <v>8</v>
      </c>
      <c r="I659" s="16" t="n">
        <v>94.43</v>
      </c>
      <c r="J659" s="16" t="n">
        <v>42</v>
      </c>
      <c r="K659" s="16" t="n">
        <f aca="false">H659*I659</f>
        <v>755.44</v>
      </c>
      <c r="L659" s="16" t="n">
        <f aca="false">H659*J659</f>
        <v>336</v>
      </c>
      <c r="M659" s="16" t="n">
        <f aca="false">K659-L659</f>
        <v>419.44</v>
      </c>
      <c r="N659" s="17" t="n">
        <f aca="false">IFERROR(M659/K659,0)</f>
        <v>0.55522609340252</v>
      </c>
    </row>
    <row r="660" customFormat="false" ht="15" hidden="false" customHeight="false" outlineLevel="0" collapsed="false">
      <c r="A660" s="15" t="n">
        <v>46051</v>
      </c>
      <c r="B660" s="14" t="s">
        <v>59</v>
      </c>
      <c r="C660" s="14" t="s">
        <v>60</v>
      </c>
      <c r="D660" s="14" t="s">
        <v>61</v>
      </c>
      <c r="E660" s="14" t="s">
        <v>64</v>
      </c>
      <c r="F660" s="14" t="s">
        <v>65</v>
      </c>
      <c r="G660" s="14" t="s">
        <v>66</v>
      </c>
      <c r="H660" s="0" t="n">
        <v>4</v>
      </c>
      <c r="I660" s="16" t="n">
        <v>74.43</v>
      </c>
      <c r="J660" s="16" t="n">
        <v>34</v>
      </c>
      <c r="K660" s="16" t="n">
        <f aca="false">H660*I660</f>
        <v>297.72</v>
      </c>
      <c r="L660" s="16" t="n">
        <f aca="false">H660*J660</f>
        <v>136</v>
      </c>
      <c r="M660" s="16" t="n">
        <f aca="false">K660-L660</f>
        <v>161.72</v>
      </c>
      <c r="N660" s="17" t="n">
        <f aca="false">IFERROR(M660/K660,0)</f>
        <v>0.543194948273546</v>
      </c>
    </row>
    <row r="661" customFormat="false" ht="15" hidden="false" customHeight="false" outlineLevel="0" collapsed="false">
      <c r="A661" s="15" t="n">
        <v>46051</v>
      </c>
      <c r="B661" s="14" t="s">
        <v>59</v>
      </c>
      <c r="C661" s="14" t="s">
        <v>60</v>
      </c>
      <c r="D661" s="14" t="s">
        <v>61</v>
      </c>
      <c r="E661" s="14" t="s">
        <v>76</v>
      </c>
      <c r="F661" s="14" t="s">
        <v>79</v>
      </c>
      <c r="G661" s="14" t="s">
        <v>80</v>
      </c>
      <c r="H661" s="0" t="n">
        <v>4</v>
      </c>
      <c r="I661" s="16" t="n">
        <v>29.94</v>
      </c>
      <c r="J661" s="16" t="n">
        <v>11</v>
      </c>
      <c r="K661" s="16" t="n">
        <f aca="false">H661*I661</f>
        <v>119.76</v>
      </c>
      <c r="L661" s="16" t="n">
        <f aca="false">H661*J661</f>
        <v>44</v>
      </c>
      <c r="M661" s="16" t="n">
        <f aca="false">K661-L661</f>
        <v>75.76</v>
      </c>
      <c r="N661" s="17" t="n">
        <f aca="false">IFERROR(M661/K661,0)</f>
        <v>0.632598530394122</v>
      </c>
    </row>
    <row r="662" customFormat="false" ht="15" hidden="false" customHeight="false" outlineLevel="0" collapsed="false">
      <c r="A662" s="15" t="n">
        <v>46051</v>
      </c>
      <c r="B662" s="14" t="s">
        <v>69</v>
      </c>
      <c r="C662" s="14" t="s">
        <v>70</v>
      </c>
      <c r="D662" s="14" t="s">
        <v>71</v>
      </c>
      <c r="E662" s="14" t="s">
        <v>56</v>
      </c>
      <c r="F662" s="14" t="s">
        <v>67</v>
      </c>
      <c r="G662" s="14" t="s">
        <v>68</v>
      </c>
      <c r="H662" s="0" t="n">
        <v>6</v>
      </c>
      <c r="I662" s="16" t="n">
        <v>36.74</v>
      </c>
      <c r="J662" s="16" t="n">
        <v>15</v>
      </c>
      <c r="K662" s="16" t="n">
        <f aca="false">H662*I662</f>
        <v>220.44</v>
      </c>
      <c r="L662" s="16" t="n">
        <f aca="false">H662*J662</f>
        <v>90</v>
      </c>
      <c r="M662" s="16" t="n">
        <f aca="false">K662-L662</f>
        <v>130.44</v>
      </c>
      <c r="N662" s="17" t="n">
        <f aca="false">IFERROR(M662/K662,0)</f>
        <v>0.591725639629831</v>
      </c>
    </row>
    <row r="663" customFormat="false" ht="15" hidden="false" customHeight="false" outlineLevel="0" collapsed="false">
      <c r="A663" s="15" t="n">
        <v>46051</v>
      </c>
      <c r="B663" s="14" t="s">
        <v>69</v>
      </c>
      <c r="C663" s="14" t="s">
        <v>70</v>
      </c>
      <c r="D663" s="14" t="s">
        <v>71</v>
      </c>
      <c r="E663" s="14" t="s">
        <v>45</v>
      </c>
      <c r="F663" s="14" t="s">
        <v>46</v>
      </c>
      <c r="G663" s="14" t="s">
        <v>47</v>
      </c>
      <c r="H663" s="0" t="n">
        <v>6</v>
      </c>
      <c r="I663" s="16" t="n">
        <v>44.03</v>
      </c>
      <c r="J663" s="16" t="n">
        <v>18</v>
      </c>
      <c r="K663" s="16" t="n">
        <f aca="false">H663*I663</f>
        <v>264.18</v>
      </c>
      <c r="L663" s="16" t="n">
        <f aca="false">H663*J663</f>
        <v>108</v>
      </c>
      <c r="M663" s="16" t="n">
        <f aca="false">K663-L663</f>
        <v>156.18</v>
      </c>
      <c r="N663" s="17" t="n">
        <f aca="false">IFERROR(M663/K663,0)</f>
        <v>0.591187826481944</v>
      </c>
    </row>
    <row r="664" customFormat="false" ht="15" hidden="false" customHeight="false" outlineLevel="0" collapsed="false">
      <c r="A664" s="15" t="n">
        <v>46051</v>
      </c>
      <c r="B664" s="14" t="s">
        <v>69</v>
      </c>
      <c r="C664" s="14" t="s">
        <v>70</v>
      </c>
      <c r="D664" s="14" t="s">
        <v>71</v>
      </c>
      <c r="E664" s="14" t="s">
        <v>53</v>
      </c>
      <c r="F664" s="14" t="s">
        <v>74</v>
      </c>
      <c r="G664" s="14" t="s">
        <v>75</v>
      </c>
      <c r="H664" s="0" t="n">
        <v>3</v>
      </c>
      <c r="I664" s="16" t="n">
        <v>82.49</v>
      </c>
      <c r="J664" s="16" t="n">
        <v>38</v>
      </c>
      <c r="K664" s="16" t="n">
        <f aca="false">H664*I664</f>
        <v>247.47</v>
      </c>
      <c r="L664" s="16" t="n">
        <f aca="false">H664*J664</f>
        <v>114</v>
      </c>
      <c r="M664" s="16" t="n">
        <f aca="false">K664-L664</f>
        <v>133.47</v>
      </c>
      <c r="N664" s="17" t="n">
        <f aca="false">IFERROR(M664/K664,0)</f>
        <v>0.539338101588071</v>
      </c>
    </row>
    <row r="665" customFormat="false" ht="15" hidden="false" customHeight="false" outlineLevel="0" collapsed="false">
      <c r="A665" s="15" t="n">
        <v>46051</v>
      </c>
      <c r="B665" s="14" t="s">
        <v>81</v>
      </c>
      <c r="C665" s="14" t="s">
        <v>82</v>
      </c>
      <c r="D665" s="14" t="s">
        <v>83</v>
      </c>
      <c r="E665" s="14" t="s">
        <v>45</v>
      </c>
      <c r="F665" s="14" t="s">
        <v>72</v>
      </c>
      <c r="G665" s="14" t="s">
        <v>73</v>
      </c>
      <c r="H665" s="0" t="n">
        <v>1</v>
      </c>
      <c r="I665" s="16" t="n">
        <v>49.13</v>
      </c>
      <c r="J665" s="16" t="n">
        <v>21</v>
      </c>
      <c r="K665" s="16" t="n">
        <f aca="false">H665*I665</f>
        <v>49.13</v>
      </c>
      <c r="L665" s="16" t="n">
        <f aca="false">H665*J665</f>
        <v>21</v>
      </c>
      <c r="M665" s="16" t="n">
        <f aca="false">K665-L665</f>
        <v>28.13</v>
      </c>
      <c r="N665" s="17" t="n">
        <f aca="false">IFERROR(M665/K665,0)</f>
        <v>0.572562589049461</v>
      </c>
    </row>
    <row r="666" customFormat="false" ht="15" hidden="false" customHeight="false" outlineLevel="0" collapsed="false">
      <c r="A666" s="15" t="n">
        <v>46051</v>
      </c>
      <c r="B666" s="14" t="s">
        <v>81</v>
      </c>
      <c r="C666" s="14" t="s">
        <v>82</v>
      </c>
      <c r="D666" s="14" t="s">
        <v>83</v>
      </c>
      <c r="E666" s="14" t="s">
        <v>53</v>
      </c>
      <c r="F666" s="14" t="s">
        <v>74</v>
      </c>
      <c r="G666" s="14" t="s">
        <v>75</v>
      </c>
      <c r="H666" s="0" t="n">
        <v>1</v>
      </c>
      <c r="I666" s="16" t="n">
        <v>86.92</v>
      </c>
      <c r="J666" s="16" t="n">
        <v>38</v>
      </c>
      <c r="K666" s="16" t="n">
        <f aca="false">H666*I666</f>
        <v>86.92</v>
      </c>
      <c r="L666" s="16" t="n">
        <f aca="false">H666*J666</f>
        <v>38</v>
      </c>
      <c r="M666" s="16" t="n">
        <f aca="false">K666-L666</f>
        <v>48.92</v>
      </c>
      <c r="N666" s="17" t="n">
        <f aca="false">IFERROR(M666/K666,0)</f>
        <v>0.56281638288081</v>
      </c>
    </row>
    <row r="667" customFormat="false" ht="15" hidden="false" customHeight="false" outlineLevel="0" collapsed="false">
      <c r="A667" s="15" t="n">
        <v>46051</v>
      </c>
      <c r="B667" s="14" t="s">
        <v>81</v>
      </c>
      <c r="C667" s="14" t="s">
        <v>82</v>
      </c>
      <c r="D667" s="14" t="s">
        <v>83</v>
      </c>
      <c r="E667" s="14" t="s">
        <v>45</v>
      </c>
      <c r="F667" s="14" t="s">
        <v>62</v>
      </c>
      <c r="G667" s="14" t="s">
        <v>63</v>
      </c>
      <c r="H667" s="0" t="n">
        <v>6</v>
      </c>
      <c r="I667" s="16" t="n">
        <v>17.93</v>
      </c>
      <c r="J667" s="16" t="n">
        <v>6.5</v>
      </c>
      <c r="K667" s="16" t="n">
        <f aca="false">H667*I667</f>
        <v>107.58</v>
      </c>
      <c r="L667" s="16" t="n">
        <f aca="false">H667*J667</f>
        <v>39</v>
      </c>
      <c r="M667" s="16" t="n">
        <f aca="false">K667-L667</f>
        <v>68.58</v>
      </c>
      <c r="N667" s="17" t="n">
        <f aca="false">IFERROR(M667/K667,0)</f>
        <v>0.637479085331846</v>
      </c>
    </row>
    <row r="668" customFormat="false" ht="15" hidden="false" customHeight="false" outlineLevel="0" collapsed="false">
      <c r="A668" s="15" t="n">
        <v>46051</v>
      </c>
      <c r="B668" s="14" t="s">
        <v>81</v>
      </c>
      <c r="C668" s="14" t="s">
        <v>82</v>
      </c>
      <c r="D668" s="14" t="s">
        <v>83</v>
      </c>
      <c r="E668" s="14" t="s">
        <v>56</v>
      </c>
      <c r="F668" s="14" t="s">
        <v>67</v>
      </c>
      <c r="G668" s="14" t="s">
        <v>68</v>
      </c>
      <c r="H668" s="0" t="n">
        <v>2</v>
      </c>
      <c r="I668" s="16" t="n">
        <v>36.09</v>
      </c>
      <c r="J668" s="16" t="n">
        <v>15</v>
      </c>
      <c r="K668" s="16" t="n">
        <f aca="false">H668*I668</f>
        <v>72.18</v>
      </c>
      <c r="L668" s="16" t="n">
        <f aca="false">H668*J668</f>
        <v>30</v>
      </c>
      <c r="M668" s="16" t="n">
        <f aca="false">K668-L668</f>
        <v>42.18</v>
      </c>
      <c r="N668" s="17" t="n">
        <f aca="false">IFERROR(M668/K668,0)</f>
        <v>0.584372402327515</v>
      </c>
    </row>
    <row r="669" customFormat="false" ht="15" hidden="false" customHeight="false" outlineLevel="0" collapsed="false">
      <c r="A669" s="15" t="n">
        <v>46051</v>
      </c>
      <c r="B669" s="14" t="s">
        <v>81</v>
      </c>
      <c r="C669" s="14" t="s">
        <v>82</v>
      </c>
      <c r="D669" s="14" t="s">
        <v>83</v>
      </c>
      <c r="E669" s="14" t="s">
        <v>76</v>
      </c>
      <c r="F669" s="14" t="s">
        <v>79</v>
      </c>
      <c r="G669" s="14" t="s">
        <v>80</v>
      </c>
      <c r="H669" s="0" t="n">
        <v>1</v>
      </c>
      <c r="I669" s="16" t="n">
        <v>28.4</v>
      </c>
      <c r="J669" s="16" t="n">
        <v>11</v>
      </c>
      <c r="K669" s="16" t="n">
        <f aca="false">H669*I669</f>
        <v>28.4</v>
      </c>
      <c r="L669" s="16" t="n">
        <f aca="false">H669*J669</f>
        <v>11</v>
      </c>
      <c r="M669" s="16" t="n">
        <f aca="false">K669-L669</f>
        <v>17.4</v>
      </c>
      <c r="N669" s="17" t="n">
        <f aca="false">IFERROR(M669/K669,0)</f>
        <v>0.612676056338028</v>
      </c>
    </row>
    <row r="670" customFormat="false" ht="15" hidden="false" customHeight="false" outlineLevel="0" collapsed="false">
      <c r="A670" s="15" t="n">
        <v>46051</v>
      </c>
      <c r="B670" s="14" t="s">
        <v>88</v>
      </c>
      <c r="C670" s="14" t="s">
        <v>89</v>
      </c>
      <c r="D670" s="14" t="s">
        <v>44</v>
      </c>
      <c r="E670" s="14" t="s">
        <v>76</v>
      </c>
      <c r="F670" s="14" t="s">
        <v>79</v>
      </c>
      <c r="G670" s="14" t="s">
        <v>80</v>
      </c>
      <c r="H670" s="0" t="n">
        <v>6</v>
      </c>
      <c r="I670" s="16" t="n">
        <v>29.31</v>
      </c>
      <c r="J670" s="16" t="n">
        <v>11</v>
      </c>
      <c r="K670" s="16" t="n">
        <f aca="false">H670*I670</f>
        <v>175.86</v>
      </c>
      <c r="L670" s="16" t="n">
        <f aca="false">H670*J670</f>
        <v>66</v>
      </c>
      <c r="M670" s="16" t="n">
        <f aca="false">K670-L670</f>
        <v>109.86</v>
      </c>
      <c r="N670" s="17" t="n">
        <f aca="false">IFERROR(M670/K670,0)</f>
        <v>0.624701467076083</v>
      </c>
    </row>
    <row r="671" customFormat="false" ht="15" hidden="false" customHeight="false" outlineLevel="0" collapsed="false">
      <c r="A671" s="15" t="n">
        <v>46051</v>
      </c>
      <c r="B671" s="14" t="s">
        <v>88</v>
      </c>
      <c r="C671" s="14" t="s">
        <v>89</v>
      </c>
      <c r="D671" s="14" t="s">
        <v>44</v>
      </c>
      <c r="E671" s="14" t="s">
        <v>56</v>
      </c>
      <c r="F671" s="14" t="s">
        <v>98</v>
      </c>
      <c r="G671" s="14" t="s">
        <v>99</v>
      </c>
      <c r="H671" s="0" t="n">
        <v>8</v>
      </c>
      <c r="I671" s="16" t="n">
        <v>21.04</v>
      </c>
      <c r="J671" s="16" t="n">
        <v>8</v>
      </c>
      <c r="K671" s="16" t="n">
        <f aca="false">H671*I671</f>
        <v>168.32</v>
      </c>
      <c r="L671" s="16" t="n">
        <f aca="false">H671*J671</f>
        <v>64</v>
      </c>
      <c r="M671" s="16" t="n">
        <f aca="false">K671-L671</f>
        <v>104.32</v>
      </c>
      <c r="N671" s="17" t="n">
        <f aca="false">IFERROR(M671/K671,0)</f>
        <v>0.619771863117871</v>
      </c>
    </row>
    <row r="672" customFormat="false" ht="15" hidden="false" customHeight="false" outlineLevel="0" collapsed="false">
      <c r="A672" s="15" t="n">
        <v>46051</v>
      </c>
      <c r="B672" s="14" t="s">
        <v>88</v>
      </c>
      <c r="C672" s="14" t="s">
        <v>89</v>
      </c>
      <c r="D672" s="14" t="s">
        <v>44</v>
      </c>
      <c r="E672" s="14" t="s">
        <v>76</v>
      </c>
      <c r="F672" s="14" t="s">
        <v>79</v>
      </c>
      <c r="G672" s="14" t="s">
        <v>80</v>
      </c>
      <c r="H672" s="0" t="n">
        <v>9</v>
      </c>
      <c r="I672" s="16" t="n">
        <v>29.66</v>
      </c>
      <c r="J672" s="16" t="n">
        <v>11</v>
      </c>
      <c r="K672" s="16" t="n">
        <f aca="false">H672*I672</f>
        <v>266.94</v>
      </c>
      <c r="L672" s="16" t="n">
        <f aca="false">H672*J672</f>
        <v>99</v>
      </c>
      <c r="M672" s="16" t="n">
        <f aca="false">K672-L672</f>
        <v>167.94</v>
      </c>
      <c r="N672" s="17" t="n">
        <f aca="false">IFERROR(M672/K672,0)</f>
        <v>0.629130141604855</v>
      </c>
    </row>
    <row r="673" customFormat="false" ht="15" hidden="false" customHeight="false" outlineLevel="0" collapsed="false">
      <c r="A673" s="15" t="n">
        <v>46051</v>
      </c>
      <c r="B673" s="14" t="s">
        <v>88</v>
      </c>
      <c r="C673" s="14" t="s">
        <v>89</v>
      </c>
      <c r="D673" s="14" t="s">
        <v>44</v>
      </c>
      <c r="E673" s="14" t="s">
        <v>53</v>
      </c>
      <c r="F673" s="14" t="s">
        <v>92</v>
      </c>
      <c r="G673" s="14" t="s">
        <v>93</v>
      </c>
      <c r="H673" s="0" t="n">
        <v>3</v>
      </c>
      <c r="I673" s="16" t="n">
        <v>112.85</v>
      </c>
      <c r="J673" s="16" t="n">
        <v>52</v>
      </c>
      <c r="K673" s="16" t="n">
        <f aca="false">H673*I673</f>
        <v>338.55</v>
      </c>
      <c r="L673" s="16" t="n">
        <f aca="false">H673*J673</f>
        <v>156</v>
      </c>
      <c r="M673" s="16" t="n">
        <f aca="false">K673-L673</f>
        <v>182.55</v>
      </c>
      <c r="N673" s="17" t="n">
        <f aca="false">IFERROR(M673/K673,0)</f>
        <v>0.539211342490031</v>
      </c>
    </row>
    <row r="674" customFormat="false" ht="15" hidden="false" customHeight="false" outlineLevel="0" collapsed="false">
      <c r="A674" s="15" t="n">
        <v>46051</v>
      </c>
      <c r="B674" s="14" t="s">
        <v>88</v>
      </c>
      <c r="C674" s="14" t="s">
        <v>89</v>
      </c>
      <c r="D674" s="14" t="s">
        <v>44</v>
      </c>
      <c r="E674" s="14" t="s">
        <v>45</v>
      </c>
      <c r="F674" s="14" t="s">
        <v>48</v>
      </c>
      <c r="G674" s="14" t="s">
        <v>49</v>
      </c>
      <c r="H674" s="0" t="n">
        <v>4</v>
      </c>
      <c r="I674" s="16" t="n">
        <v>66.59</v>
      </c>
      <c r="J674" s="16" t="n">
        <v>27.5</v>
      </c>
      <c r="K674" s="16" t="n">
        <f aca="false">H674*I674</f>
        <v>266.36</v>
      </c>
      <c r="L674" s="16" t="n">
        <f aca="false">H674*J674</f>
        <v>110</v>
      </c>
      <c r="M674" s="16" t="n">
        <f aca="false">K674-L674</f>
        <v>156.36</v>
      </c>
      <c r="N674" s="17" t="n">
        <f aca="false">IFERROR(M674/K674,0)</f>
        <v>0.587025078840667</v>
      </c>
    </row>
    <row r="675" customFormat="false" ht="15" hidden="false" customHeight="false" outlineLevel="0" collapsed="false">
      <c r="A675" s="15" t="n">
        <v>46052</v>
      </c>
      <c r="B675" s="14" t="s">
        <v>42</v>
      </c>
      <c r="C675" s="14" t="s">
        <v>43</v>
      </c>
      <c r="D675" s="14" t="s">
        <v>44</v>
      </c>
      <c r="E675" s="14" t="s">
        <v>45</v>
      </c>
      <c r="F675" s="14" t="s">
        <v>48</v>
      </c>
      <c r="G675" s="14" t="s">
        <v>49</v>
      </c>
      <c r="H675" s="0" t="n">
        <v>5</v>
      </c>
      <c r="I675" s="16" t="n">
        <v>62.81</v>
      </c>
      <c r="J675" s="16" t="n">
        <v>27.5</v>
      </c>
      <c r="K675" s="16" t="n">
        <f aca="false">H675*I675</f>
        <v>314.05</v>
      </c>
      <c r="L675" s="16" t="n">
        <f aca="false">H675*J675</f>
        <v>137.5</v>
      </c>
      <c r="M675" s="16" t="n">
        <f aca="false">K675-L675</f>
        <v>176.55</v>
      </c>
      <c r="N675" s="17" t="n">
        <f aca="false">IFERROR(M675/K675,0)</f>
        <v>0.562171628721541</v>
      </c>
    </row>
    <row r="676" customFormat="false" ht="15" hidden="false" customHeight="false" outlineLevel="0" collapsed="false">
      <c r="A676" s="15" t="n">
        <v>46052</v>
      </c>
      <c r="B676" s="14" t="s">
        <v>42</v>
      </c>
      <c r="C676" s="14" t="s">
        <v>43</v>
      </c>
      <c r="D676" s="14" t="s">
        <v>44</v>
      </c>
      <c r="E676" s="14" t="s">
        <v>76</v>
      </c>
      <c r="F676" s="14" t="s">
        <v>100</v>
      </c>
      <c r="G676" s="14" t="s">
        <v>101</v>
      </c>
      <c r="H676" s="0" t="n">
        <v>4</v>
      </c>
      <c r="I676" s="16" t="n">
        <v>14.95</v>
      </c>
      <c r="J676" s="16" t="n">
        <v>5.5</v>
      </c>
      <c r="K676" s="16" t="n">
        <f aca="false">H676*I676</f>
        <v>59.8</v>
      </c>
      <c r="L676" s="16" t="n">
        <f aca="false">H676*J676</f>
        <v>22</v>
      </c>
      <c r="M676" s="16" t="n">
        <f aca="false">K676-L676</f>
        <v>37.8</v>
      </c>
      <c r="N676" s="17" t="n">
        <f aca="false">IFERROR(M676/K676,0)</f>
        <v>0.632107023411371</v>
      </c>
    </row>
    <row r="677" customFormat="false" ht="15" hidden="false" customHeight="false" outlineLevel="0" collapsed="false">
      <c r="A677" s="15" t="n">
        <v>46052</v>
      </c>
      <c r="B677" s="14" t="s">
        <v>50</v>
      </c>
      <c r="C677" s="14" t="s">
        <v>51</v>
      </c>
      <c r="D677" s="14" t="s">
        <v>52</v>
      </c>
      <c r="E677" s="14" t="s">
        <v>56</v>
      </c>
      <c r="F677" s="14" t="s">
        <v>57</v>
      </c>
      <c r="G677" s="14" t="s">
        <v>58</v>
      </c>
      <c r="H677" s="0" t="n">
        <v>5</v>
      </c>
      <c r="I677" s="16" t="n">
        <v>25.54</v>
      </c>
      <c r="J677" s="16" t="n">
        <v>10</v>
      </c>
      <c r="K677" s="16" t="n">
        <f aca="false">H677*I677</f>
        <v>127.7</v>
      </c>
      <c r="L677" s="16" t="n">
        <f aca="false">H677*J677</f>
        <v>50</v>
      </c>
      <c r="M677" s="16" t="n">
        <f aca="false">K677-L677</f>
        <v>77.7</v>
      </c>
      <c r="N677" s="17" t="n">
        <f aca="false">IFERROR(M677/K677,0)</f>
        <v>0.608457321848081</v>
      </c>
    </row>
    <row r="678" customFormat="false" ht="15" hidden="false" customHeight="false" outlineLevel="0" collapsed="false">
      <c r="A678" s="15" t="n">
        <v>46052</v>
      </c>
      <c r="B678" s="14" t="s">
        <v>50</v>
      </c>
      <c r="C678" s="14" t="s">
        <v>51</v>
      </c>
      <c r="D678" s="14" t="s">
        <v>52</v>
      </c>
      <c r="E678" s="14" t="s">
        <v>64</v>
      </c>
      <c r="F678" s="14" t="s">
        <v>94</v>
      </c>
      <c r="G678" s="14" t="s">
        <v>95</v>
      </c>
      <c r="H678" s="0" t="n">
        <v>7</v>
      </c>
      <c r="I678" s="16" t="n">
        <v>97.62</v>
      </c>
      <c r="J678" s="16" t="n">
        <v>42</v>
      </c>
      <c r="K678" s="16" t="n">
        <f aca="false">H678*I678</f>
        <v>683.34</v>
      </c>
      <c r="L678" s="16" t="n">
        <f aca="false">H678*J678</f>
        <v>294</v>
      </c>
      <c r="M678" s="16" t="n">
        <f aca="false">K678-L678</f>
        <v>389.34</v>
      </c>
      <c r="N678" s="17" t="n">
        <f aca="false">IFERROR(M678/K678,0)</f>
        <v>0.569760295021512</v>
      </c>
    </row>
    <row r="679" customFormat="false" ht="15" hidden="false" customHeight="false" outlineLevel="0" collapsed="false">
      <c r="A679" s="15" t="n">
        <v>46052</v>
      </c>
      <c r="B679" s="14" t="s">
        <v>59</v>
      </c>
      <c r="C679" s="14" t="s">
        <v>60</v>
      </c>
      <c r="D679" s="14" t="s">
        <v>61</v>
      </c>
      <c r="E679" s="14" t="s">
        <v>76</v>
      </c>
      <c r="F679" s="14" t="s">
        <v>79</v>
      </c>
      <c r="G679" s="14" t="s">
        <v>80</v>
      </c>
      <c r="H679" s="0" t="n">
        <v>1</v>
      </c>
      <c r="I679" s="16" t="n">
        <v>28.03</v>
      </c>
      <c r="J679" s="16" t="n">
        <v>11</v>
      </c>
      <c r="K679" s="16" t="n">
        <f aca="false">H679*I679</f>
        <v>28.03</v>
      </c>
      <c r="L679" s="16" t="n">
        <f aca="false">H679*J679</f>
        <v>11</v>
      </c>
      <c r="M679" s="16" t="n">
        <f aca="false">K679-L679</f>
        <v>17.03</v>
      </c>
      <c r="N679" s="17" t="n">
        <f aca="false">IFERROR(M679/K679,0)</f>
        <v>0.607563325008919</v>
      </c>
    </row>
    <row r="680" customFormat="false" ht="15" hidden="false" customHeight="false" outlineLevel="0" collapsed="false">
      <c r="A680" s="15" t="n">
        <v>46052</v>
      </c>
      <c r="B680" s="14" t="s">
        <v>59</v>
      </c>
      <c r="C680" s="14" t="s">
        <v>60</v>
      </c>
      <c r="D680" s="14" t="s">
        <v>61</v>
      </c>
      <c r="E680" s="14" t="s">
        <v>56</v>
      </c>
      <c r="F680" s="14" t="s">
        <v>98</v>
      </c>
      <c r="G680" s="14" t="s">
        <v>99</v>
      </c>
      <c r="H680" s="0" t="n">
        <v>6</v>
      </c>
      <c r="I680" s="16" t="n">
        <v>20.36</v>
      </c>
      <c r="J680" s="16" t="n">
        <v>8</v>
      </c>
      <c r="K680" s="16" t="n">
        <f aca="false">H680*I680</f>
        <v>122.16</v>
      </c>
      <c r="L680" s="16" t="n">
        <f aca="false">H680*J680</f>
        <v>48</v>
      </c>
      <c r="M680" s="16" t="n">
        <f aca="false">K680-L680</f>
        <v>74.16</v>
      </c>
      <c r="N680" s="17" t="n">
        <f aca="false">IFERROR(M680/K680,0)</f>
        <v>0.607072691552063</v>
      </c>
    </row>
    <row r="681" customFormat="false" ht="15" hidden="false" customHeight="false" outlineLevel="0" collapsed="false">
      <c r="A681" s="15" t="n">
        <v>46052</v>
      </c>
      <c r="B681" s="14" t="s">
        <v>59</v>
      </c>
      <c r="C681" s="14" t="s">
        <v>60</v>
      </c>
      <c r="D681" s="14" t="s">
        <v>61</v>
      </c>
      <c r="E681" s="14" t="s">
        <v>64</v>
      </c>
      <c r="F681" s="14" t="s">
        <v>94</v>
      </c>
      <c r="G681" s="14" t="s">
        <v>95</v>
      </c>
      <c r="H681" s="0" t="n">
        <v>6</v>
      </c>
      <c r="I681" s="16" t="n">
        <v>93.67</v>
      </c>
      <c r="J681" s="16" t="n">
        <v>42</v>
      </c>
      <c r="K681" s="16" t="n">
        <f aca="false">H681*I681</f>
        <v>562.02</v>
      </c>
      <c r="L681" s="16" t="n">
        <f aca="false">H681*J681</f>
        <v>252</v>
      </c>
      <c r="M681" s="16" t="n">
        <f aca="false">K681-L681</f>
        <v>310.02</v>
      </c>
      <c r="N681" s="17" t="n">
        <f aca="false">IFERROR(M681/K681,0)</f>
        <v>0.551617380164407</v>
      </c>
    </row>
    <row r="682" customFormat="false" ht="15" hidden="false" customHeight="false" outlineLevel="0" collapsed="false">
      <c r="A682" s="15" t="n">
        <v>46052</v>
      </c>
      <c r="B682" s="14" t="s">
        <v>59</v>
      </c>
      <c r="C682" s="14" t="s">
        <v>60</v>
      </c>
      <c r="D682" s="14" t="s">
        <v>61</v>
      </c>
      <c r="E682" s="14" t="s">
        <v>56</v>
      </c>
      <c r="F682" s="14" t="s">
        <v>57</v>
      </c>
      <c r="G682" s="14" t="s">
        <v>58</v>
      </c>
      <c r="H682" s="0" t="n">
        <v>1</v>
      </c>
      <c r="I682" s="16" t="n">
        <v>25.64</v>
      </c>
      <c r="J682" s="16" t="n">
        <v>10</v>
      </c>
      <c r="K682" s="16" t="n">
        <f aca="false">H682*I682</f>
        <v>25.64</v>
      </c>
      <c r="L682" s="16" t="n">
        <f aca="false">H682*J682</f>
        <v>10</v>
      </c>
      <c r="M682" s="16" t="n">
        <f aca="false">K682-L682</f>
        <v>15.64</v>
      </c>
      <c r="N682" s="17" t="n">
        <f aca="false">IFERROR(M682/K682,0)</f>
        <v>0.609984399375975</v>
      </c>
    </row>
    <row r="683" customFormat="false" ht="15" hidden="false" customHeight="false" outlineLevel="0" collapsed="false">
      <c r="A683" s="15" t="n">
        <v>46052</v>
      </c>
      <c r="B683" s="14" t="s">
        <v>59</v>
      </c>
      <c r="C683" s="14" t="s">
        <v>60</v>
      </c>
      <c r="D683" s="14" t="s">
        <v>61</v>
      </c>
      <c r="E683" s="14" t="s">
        <v>76</v>
      </c>
      <c r="F683" s="14" t="s">
        <v>102</v>
      </c>
      <c r="G683" s="14" t="s">
        <v>103</v>
      </c>
      <c r="H683" s="0" t="n">
        <v>4</v>
      </c>
      <c r="I683" s="16" t="n">
        <v>22.97</v>
      </c>
      <c r="J683" s="16" t="n">
        <v>8.5</v>
      </c>
      <c r="K683" s="16" t="n">
        <f aca="false">H683*I683</f>
        <v>91.88</v>
      </c>
      <c r="L683" s="16" t="n">
        <f aca="false">H683*J683</f>
        <v>34</v>
      </c>
      <c r="M683" s="16" t="n">
        <f aca="false">K683-L683</f>
        <v>57.88</v>
      </c>
      <c r="N683" s="17" t="n">
        <f aca="false">IFERROR(M683/K683,0)</f>
        <v>0.629952111449717</v>
      </c>
    </row>
    <row r="684" customFormat="false" ht="15" hidden="false" customHeight="false" outlineLevel="0" collapsed="false">
      <c r="A684" s="15" t="n">
        <v>46052</v>
      </c>
      <c r="B684" s="14" t="s">
        <v>59</v>
      </c>
      <c r="C684" s="14" t="s">
        <v>60</v>
      </c>
      <c r="D684" s="14" t="s">
        <v>61</v>
      </c>
      <c r="E684" s="14" t="s">
        <v>56</v>
      </c>
      <c r="F684" s="14" t="s">
        <v>57</v>
      </c>
      <c r="G684" s="14" t="s">
        <v>58</v>
      </c>
      <c r="H684" s="0" t="n">
        <v>4</v>
      </c>
      <c r="I684" s="16" t="n">
        <v>26.42</v>
      </c>
      <c r="J684" s="16" t="n">
        <v>10</v>
      </c>
      <c r="K684" s="16" t="n">
        <f aca="false">H684*I684</f>
        <v>105.68</v>
      </c>
      <c r="L684" s="16" t="n">
        <f aca="false">H684*J684</f>
        <v>40</v>
      </c>
      <c r="M684" s="16" t="n">
        <f aca="false">K684-L684</f>
        <v>65.68</v>
      </c>
      <c r="N684" s="17" t="n">
        <f aca="false">IFERROR(M684/K684,0)</f>
        <v>0.621498864496594</v>
      </c>
    </row>
    <row r="685" customFormat="false" ht="15" hidden="false" customHeight="false" outlineLevel="0" collapsed="false">
      <c r="A685" s="15" t="n">
        <v>46052</v>
      </c>
      <c r="B685" s="14" t="s">
        <v>69</v>
      </c>
      <c r="C685" s="14" t="s">
        <v>70</v>
      </c>
      <c r="D685" s="14" t="s">
        <v>71</v>
      </c>
      <c r="E685" s="14" t="s">
        <v>53</v>
      </c>
      <c r="F685" s="14" t="s">
        <v>54</v>
      </c>
      <c r="G685" s="14" t="s">
        <v>55</v>
      </c>
      <c r="H685" s="0" t="n">
        <v>1</v>
      </c>
      <c r="I685" s="16" t="n">
        <v>54.7</v>
      </c>
      <c r="J685" s="16" t="n">
        <v>22</v>
      </c>
      <c r="K685" s="16" t="n">
        <f aca="false">H685*I685</f>
        <v>54.7</v>
      </c>
      <c r="L685" s="16" t="n">
        <f aca="false">H685*J685</f>
        <v>22</v>
      </c>
      <c r="M685" s="16" t="n">
        <f aca="false">K685-L685</f>
        <v>32.7</v>
      </c>
      <c r="N685" s="17" t="n">
        <f aca="false">IFERROR(M685/K685,0)</f>
        <v>0.597806215722121</v>
      </c>
    </row>
    <row r="686" customFormat="false" ht="15" hidden="false" customHeight="false" outlineLevel="0" collapsed="false">
      <c r="A686" s="15" t="n">
        <v>46052</v>
      </c>
      <c r="B686" s="14" t="s">
        <v>69</v>
      </c>
      <c r="C686" s="14" t="s">
        <v>70</v>
      </c>
      <c r="D686" s="14" t="s">
        <v>71</v>
      </c>
      <c r="E686" s="14" t="s">
        <v>45</v>
      </c>
      <c r="F686" s="14" t="s">
        <v>62</v>
      </c>
      <c r="G686" s="14" t="s">
        <v>63</v>
      </c>
      <c r="H686" s="0" t="n">
        <v>5</v>
      </c>
      <c r="I686" s="16" t="n">
        <v>17.48</v>
      </c>
      <c r="J686" s="16" t="n">
        <v>6.5</v>
      </c>
      <c r="K686" s="16" t="n">
        <f aca="false">H686*I686</f>
        <v>87.4</v>
      </c>
      <c r="L686" s="16" t="n">
        <f aca="false">H686*J686</f>
        <v>32.5</v>
      </c>
      <c r="M686" s="16" t="n">
        <f aca="false">K686-L686</f>
        <v>54.9</v>
      </c>
      <c r="N686" s="17" t="n">
        <f aca="false">IFERROR(M686/K686,0)</f>
        <v>0.628146453089245</v>
      </c>
    </row>
    <row r="687" customFormat="false" ht="15" hidden="false" customHeight="false" outlineLevel="0" collapsed="false">
      <c r="A687" s="15" t="n">
        <v>46052</v>
      </c>
      <c r="B687" s="14" t="s">
        <v>69</v>
      </c>
      <c r="C687" s="14" t="s">
        <v>70</v>
      </c>
      <c r="D687" s="14" t="s">
        <v>71</v>
      </c>
      <c r="E687" s="14" t="s">
        <v>45</v>
      </c>
      <c r="F687" s="14" t="s">
        <v>46</v>
      </c>
      <c r="G687" s="14" t="s">
        <v>47</v>
      </c>
      <c r="H687" s="0" t="n">
        <v>1</v>
      </c>
      <c r="I687" s="16" t="n">
        <v>44.13</v>
      </c>
      <c r="J687" s="16" t="n">
        <v>18</v>
      </c>
      <c r="K687" s="16" t="n">
        <f aca="false">H687*I687</f>
        <v>44.13</v>
      </c>
      <c r="L687" s="16" t="n">
        <f aca="false">H687*J687</f>
        <v>18</v>
      </c>
      <c r="M687" s="16" t="n">
        <f aca="false">K687-L687</f>
        <v>26.13</v>
      </c>
      <c r="N687" s="17" t="n">
        <f aca="false">IFERROR(M687/K687,0)</f>
        <v>0.592114208021754</v>
      </c>
    </row>
    <row r="688" customFormat="false" ht="15" hidden="false" customHeight="false" outlineLevel="0" collapsed="false">
      <c r="A688" s="15" t="n">
        <v>46052</v>
      </c>
      <c r="B688" s="14" t="s">
        <v>69</v>
      </c>
      <c r="C688" s="14" t="s">
        <v>70</v>
      </c>
      <c r="D688" s="14" t="s">
        <v>71</v>
      </c>
      <c r="E688" s="14" t="s">
        <v>64</v>
      </c>
      <c r="F688" s="14" t="s">
        <v>94</v>
      </c>
      <c r="G688" s="14" t="s">
        <v>95</v>
      </c>
      <c r="H688" s="0" t="n">
        <v>2</v>
      </c>
      <c r="I688" s="16" t="n">
        <v>92.71</v>
      </c>
      <c r="J688" s="16" t="n">
        <v>42</v>
      </c>
      <c r="K688" s="16" t="n">
        <f aca="false">H688*I688</f>
        <v>185.42</v>
      </c>
      <c r="L688" s="16" t="n">
        <f aca="false">H688*J688</f>
        <v>84</v>
      </c>
      <c r="M688" s="16" t="n">
        <f aca="false">K688-L688</f>
        <v>101.42</v>
      </c>
      <c r="N688" s="17" t="n">
        <f aca="false">IFERROR(M688/K688,0)</f>
        <v>0.546974436414626</v>
      </c>
    </row>
    <row r="689" customFormat="false" ht="15" hidden="false" customHeight="false" outlineLevel="0" collapsed="false">
      <c r="A689" s="15" t="n">
        <v>46052</v>
      </c>
      <c r="B689" s="14" t="s">
        <v>69</v>
      </c>
      <c r="C689" s="14" t="s">
        <v>70</v>
      </c>
      <c r="D689" s="14" t="s">
        <v>71</v>
      </c>
      <c r="E689" s="14" t="s">
        <v>53</v>
      </c>
      <c r="F689" s="14" t="s">
        <v>84</v>
      </c>
      <c r="G689" s="14" t="s">
        <v>85</v>
      </c>
      <c r="H689" s="0" t="n">
        <v>6</v>
      </c>
      <c r="I689" s="16" t="n">
        <v>24.92</v>
      </c>
      <c r="J689" s="16" t="n">
        <v>9</v>
      </c>
      <c r="K689" s="16" t="n">
        <f aca="false">H689*I689</f>
        <v>149.52</v>
      </c>
      <c r="L689" s="16" t="n">
        <f aca="false">H689*J689</f>
        <v>54</v>
      </c>
      <c r="M689" s="16" t="n">
        <f aca="false">K689-L689</f>
        <v>95.52</v>
      </c>
      <c r="N689" s="17" t="n">
        <f aca="false">IFERROR(M689/K689,0)</f>
        <v>0.63884430176565</v>
      </c>
    </row>
    <row r="690" customFormat="false" ht="15" hidden="false" customHeight="false" outlineLevel="0" collapsed="false">
      <c r="A690" s="15" t="n">
        <v>46052</v>
      </c>
      <c r="B690" s="14" t="s">
        <v>69</v>
      </c>
      <c r="C690" s="14" t="s">
        <v>70</v>
      </c>
      <c r="D690" s="14" t="s">
        <v>71</v>
      </c>
      <c r="E690" s="14" t="s">
        <v>53</v>
      </c>
      <c r="F690" s="14" t="s">
        <v>92</v>
      </c>
      <c r="G690" s="14" t="s">
        <v>93</v>
      </c>
      <c r="H690" s="0" t="n">
        <v>2</v>
      </c>
      <c r="I690" s="16" t="n">
        <v>110.82</v>
      </c>
      <c r="J690" s="16" t="n">
        <v>52</v>
      </c>
      <c r="K690" s="16" t="n">
        <f aca="false">H690*I690</f>
        <v>221.64</v>
      </c>
      <c r="L690" s="16" t="n">
        <f aca="false">H690*J690</f>
        <v>104</v>
      </c>
      <c r="M690" s="16" t="n">
        <f aca="false">K690-L690</f>
        <v>117.64</v>
      </c>
      <c r="N690" s="17" t="n">
        <f aca="false">IFERROR(M690/K690,0)</f>
        <v>0.530770619021837</v>
      </c>
    </row>
    <row r="691" customFormat="false" ht="15" hidden="false" customHeight="false" outlineLevel="0" collapsed="false">
      <c r="A691" s="15" t="n">
        <v>46052</v>
      </c>
      <c r="B691" s="14" t="s">
        <v>81</v>
      </c>
      <c r="C691" s="14" t="s">
        <v>82</v>
      </c>
      <c r="D691" s="14" t="s">
        <v>83</v>
      </c>
      <c r="E691" s="14" t="s">
        <v>56</v>
      </c>
      <c r="F691" s="14" t="s">
        <v>57</v>
      </c>
      <c r="G691" s="14" t="s">
        <v>58</v>
      </c>
      <c r="H691" s="0" t="n">
        <v>4</v>
      </c>
      <c r="I691" s="16" t="n">
        <v>25.83</v>
      </c>
      <c r="J691" s="16" t="n">
        <v>10</v>
      </c>
      <c r="K691" s="16" t="n">
        <f aca="false">H691*I691</f>
        <v>103.32</v>
      </c>
      <c r="L691" s="16" t="n">
        <f aca="false">H691*J691</f>
        <v>40</v>
      </c>
      <c r="M691" s="16" t="n">
        <f aca="false">K691-L691</f>
        <v>63.32</v>
      </c>
      <c r="N691" s="17" t="n">
        <f aca="false">IFERROR(M691/K691,0)</f>
        <v>0.612853271389857</v>
      </c>
    </row>
    <row r="692" customFormat="false" ht="15" hidden="false" customHeight="false" outlineLevel="0" collapsed="false">
      <c r="A692" s="15" t="n">
        <v>46052</v>
      </c>
      <c r="B692" s="14" t="s">
        <v>81</v>
      </c>
      <c r="C692" s="14" t="s">
        <v>82</v>
      </c>
      <c r="D692" s="14" t="s">
        <v>83</v>
      </c>
      <c r="E692" s="14" t="s">
        <v>45</v>
      </c>
      <c r="F692" s="14" t="s">
        <v>48</v>
      </c>
      <c r="G692" s="14" t="s">
        <v>49</v>
      </c>
      <c r="H692" s="0" t="n">
        <v>2</v>
      </c>
      <c r="I692" s="16" t="n">
        <v>66.03</v>
      </c>
      <c r="J692" s="16" t="n">
        <v>27.5</v>
      </c>
      <c r="K692" s="16" t="n">
        <f aca="false">H692*I692</f>
        <v>132.06</v>
      </c>
      <c r="L692" s="16" t="n">
        <f aca="false">H692*J692</f>
        <v>55</v>
      </c>
      <c r="M692" s="16" t="n">
        <f aca="false">K692-L692</f>
        <v>77.06</v>
      </c>
      <c r="N692" s="17" t="n">
        <f aca="false">IFERROR(M692/K692,0)</f>
        <v>0.583522641223686</v>
      </c>
    </row>
    <row r="693" customFormat="false" ht="15" hidden="false" customHeight="false" outlineLevel="0" collapsed="false">
      <c r="A693" s="15" t="n">
        <v>46052</v>
      </c>
      <c r="B693" s="14" t="s">
        <v>81</v>
      </c>
      <c r="C693" s="14" t="s">
        <v>82</v>
      </c>
      <c r="D693" s="14" t="s">
        <v>83</v>
      </c>
      <c r="E693" s="14" t="s">
        <v>64</v>
      </c>
      <c r="F693" s="14" t="s">
        <v>65</v>
      </c>
      <c r="G693" s="14" t="s">
        <v>66</v>
      </c>
      <c r="H693" s="0" t="n">
        <v>1</v>
      </c>
      <c r="I693" s="16" t="n">
        <v>75.43</v>
      </c>
      <c r="J693" s="16" t="n">
        <v>34</v>
      </c>
      <c r="K693" s="16" t="n">
        <f aca="false">H693*I693</f>
        <v>75.43</v>
      </c>
      <c r="L693" s="16" t="n">
        <f aca="false">H693*J693</f>
        <v>34</v>
      </c>
      <c r="M693" s="16" t="n">
        <f aca="false">K693-L693</f>
        <v>41.43</v>
      </c>
      <c r="N693" s="17" t="n">
        <f aca="false">IFERROR(M693/K693,0)</f>
        <v>0.549250961156039</v>
      </c>
    </row>
    <row r="694" customFormat="false" ht="15" hidden="false" customHeight="false" outlineLevel="0" collapsed="false">
      <c r="A694" s="15" t="n">
        <v>46052</v>
      </c>
      <c r="B694" s="14" t="s">
        <v>88</v>
      </c>
      <c r="C694" s="14" t="s">
        <v>89</v>
      </c>
      <c r="D694" s="14" t="s">
        <v>44</v>
      </c>
      <c r="E694" s="14" t="s">
        <v>53</v>
      </c>
      <c r="F694" s="14" t="s">
        <v>92</v>
      </c>
      <c r="G694" s="14" t="s">
        <v>93</v>
      </c>
      <c r="H694" s="0" t="n">
        <v>5</v>
      </c>
      <c r="I694" s="16" t="n">
        <v>118.57</v>
      </c>
      <c r="J694" s="16" t="n">
        <v>52</v>
      </c>
      <c r="K694" s="16" t="n">
        <f aca="false">H694*I694</f>
        <v>592.85</v>
      </c>
      <c r="L694" s="16" t="n">
        <f aca="false">H694*J694</f>
        <v>260</v>
      </c>
      <c r="M694" s="16" t="n">
        <f aca="false">K694-L694</f>
        <v>332.85</v>
      </c>
      <c r="N694" s="17" t="n">
        <f aca="false">IFERROR(M694/K694,0)</f>
        <v>0.561440499283124</v>
      </c>
    </row>
    <row r="695" customFormat="false" ht="15" hidden="false" customHeight="false" outlineLevel="0" collapsed="false">
      <c r="A695" s="15" t="n">
        <v>46052</v>
      </c>
      <c r="B695" s="14" t="s">
        <v>88</v>
      </c>
      <c r="C695" s="14" t="s">
        <v>89</v>
      </c>
      <c r="D695" s="14" t="s">
        <v>44</v>
      </c>
      <c r="E695" s="14" t="s">
        <v>64</v>
      </c>
      <c r="F695" s="14" t="s">
        <v>94</v>
      </c>
      <c r="G695" s="14" t="s">
        <v>95</v>
      </c>
      <c r="H695" s="0" t="n">
        <v>8</v>
      </c>
      <c r="I695" s="16" t="n">
        <v>94.67</v>
      </c>
      <c r="J695" s="16" t="n">
        <v>42</v>
      </c>
      <c r="K695" s="16" t="n">
        <f aca="false">H695*I695</f>
        <v>757.36</v>
      </c>
      <c r="L695" s="16" t="n">
        <f aca="false">H695*J695</f>
        <v>336</v>
      </c>
      <c r="M695" s="16" t="n">
        <f aca="false">K695-L695</f>
        <v>421.36</v>
      </c>
      <c r="N695" s="17" t="n">
        <f aca="false">IFERROR(M695/K695,0)</f>
        <v>0.556353649519383</v>
      </c>
    </row>
    <row r="696" customFormat="false" ht="15" hidden="false" customHeight="false" outlineLevel="0" collapsed="false">
      <c r="A696" s="15" t="n">
        <v>46052</v>
      </c>
      <c r="B696" s="14" t="s">
        <v>88</v>
      </c>
      <c r="C696" s="14" t="s">
        <v>89</v>
      </c>
      <c r="D696" s="14" t="s">
        <v>44</v>
      </c>
      <c r="E696" s="14" t="s">
        <v>53</v>
      </c>
      <c r="F696" s="14" t="s">
        <v>74</v>
      </c>
      <c r="G696" s="14" t="s">
        <v>75</v>
      </c>
      <c r="H696" s="0" t="n">
        <v>4</v>
      </c>
      <c r="I696" s="16" t="n">
        <v>82.85</v>
      </c>
      <c r="J696" s="16" t="n">
        <v>38</v>
      </c>
      <c r="K696" s="16" t="n">
        <f aca="false">H696*I696</f>
        <v>331.4</v>
      </c>
      <c r="L696" s="16" t="n">
        <f aca="false">H696*J696</f>
        <v>152</v>
      </c>
      <c r="M696" s="16" t="n">
        <f aca="false">K696-L696</f>
        <v>179.4</v>
      </c>
      <c r="N696" s="17" t="n">
        <f aca="false">IFERROR(M696/K696,0)</f>
        <v>0.541339770669885</v>
      </c>
    </row>
    <row r="697" customFormat="false" ht="15" hidden="false" customHeight="false" outlineLevel="0" collapsed="false">
      <c r="A697" s="15" t="n">
        <v>46053</v>
      </c>
      <c r="B697" s="14" t="s">
        <v>42</v>
      </c>
      <c r="C697" s="14" t="s">
        <v>43</v>
      </c>
      <c r="D697" s="14" t="s">
        <v>44</v>
      </c>
      <c r="E697" s="14" t="s">
        <v>45</v>
      </c>
      <c r="F697" s="14" t="s">
        <v>62</v>
      </c>
      <c r="G697" s="14" t="s">
        <v>63</v>
      </c>
      <c r="H697" s="0" t="n">
        <v>3</v>
      </c>
      <c r="I697" s="16" t="n">
        <v>16.8</v>
      </c>
      <c r="J697" s="16" t="n">
        <v>6.5</v>
      </c>
      <c r="K697" s="16" t="n">
        <f aca="false">H697*I697</f>
        <v>50.4</v>
      </c>
      <c r="L697" s="16" t="n">
        <f aca="false">H697*J697</f>
        <v>19.5</v>
      </c>
      <c r="M697" s="16" t="n">
        <f aca="false">K697-L697</f>
        <v>30.9</v>
      </c>
      <c r="N697" s="17" t="n">
        <f aca="false">IFERROR(M697/K697,0)</f>
        <v>0.613095238095238</v>
      </c>
    </row>
    <row r="698" customFormat="false" ht="15" hidden="false" customHeight="false" outlineLevel="0" collapsed="false">
      <c r="A698" s="15" t="n">
        <v>46053</v>
      </c>
      <c r="B698" s="14" t="s">
        <v>42</v>
      </c>
      <c r="C698" s="14" t="s">
        <v>43</v>
      </c>
      <c r="D698" s="14" t="s">
        <v>44</v>
      </c>
      <c r="E698" s="14" t="s">
        <v>64</v>
      </c>
      <c r="F698" s="14" t="s">
        <v>94</v>
      </c>
      <c r="G698" s="14" t="s">
        <v>95</v>
      </c>
      <c r="H698" s="0" t="n">
        <v>15</v>
      </c>
      <c r="I698" s="16" t="n">
        <v>92.04</v>
      </c>
      <c r="J698" s="16" t="n">
        <v>42</v>
      </c>
      <c r="K698" s="16" t="n">
        <f aca="false">H698*I698</f>
        <v>1380.6</v>
      </c>
      <c r="L698" s="16" t="n">
        <f aca="false">H698*J698</f>
        <v>630</v>
      </c>
      <c r="M698" s="16" t="n">
        <f aca="false">K698-L698</f>
        <v>750.6</v>
      </c>
      <c r="N698" s="17" t="n">
        <f aca="false">IFERROR(M698/K698,0)</f>
        <v>0.54367666232073</v>
      </c>
    </row>
    <row r="699" customFormat="false" ht="15" hidden="false" customHeight="false" outlineLevel="0" collapsed="false">
      <c r="A699" s="15" t="n">
        <v>46053</v>
      </c>
      <c r="B699" s="14" t="s">
        <v>42</v>
      </c>
      <c r="C699" s="14" t="s">
        <v>43</v>
      </c>
      <c r="D699" s="14" t="s">
        <v>44</v>
      </c>
      <c r="E699" s="14" t="s">
        <v>76</v>
      </c>
      <c r="F699" s="14" t="s">
        <v>77</v>
      </c>
      <c r="G699" s="14" t="s">
        <v>78</v>
      </c>
      <c r="H699" s="0" t="n">
        <v>14</v>
      </c>
      <c r="I699" s="16" t="n">
        <v>39.68</v>
      </c>
      <c r="J699" s="16" t="n">
        <v>15</v>
      </c>
      <c r="K699" s="16" t="n">
        <f aca="false">H699*I699</f>
        <v>555.52</v>
      </c>
      <c r="L699" s="16" t="n">
        <f aca="false">H699*J699</f>
        <v>210</v>
      </c>
      <c r="M699" s="16" t="n">
        <f aca="false">K699-L699</f>
        <v>345.52</v>
      </c>
      <c r="N699" s="17" t="n">
        <f aca="false">IFERROR(M699/K699,0)</f>
        <v>0.621975806451613</v>
      </c>
    </row>
    <row r="700" customFormat="false" ht="15" hidden="false" customHeight="false" outlineLevel="0" collapsed="false">
      <c r="A700" s="15" t="n">
        <v>46053</v>
      </c>
      <c r="B700" s="14" t="s">
        <v>42</v>
      </c>
      <c r="C700" s="14" t="s">
        <v>43</v>
      </c>
      <c r="D700" s="14" t="s">
        <v>44</v>
      </c>
      <c r="E700" s="14" t="s">
        <v>76</v>
      </c>
      <c r="F700" s="14" t="s">
        <v>79</v>
      </c>
      <c r="G700" s="14" t="s">
        <v>80</v>
      </c>
      <c r="H700" s="0" t="n">
        <v>4</v>
      </c>
      <c r="I700" s="16" t="n">
        <v>27.98</v>
      </c>
      <c r="J700" s="16" t="n">
        <v>11</v>
      </c>
      <c r="K700" s="16" t="n">
        <f aca="false">H700*I700</f>
        <v>111.92</v>
      </c>
      <c r="L700" s="16" t="n">
        <f aca="false">H700*J700</f>
        <v>44</v>
      </c>
      <c r="M700" s="16" t="n">
        <f aca="false">K700-L700</f>
        <v>67.92</v>
      </c>
      <c r="N700" s="17" t="n">
        <f aca="false">IFERROR(M700/K700,0)</f>
        <v>0.60686204431737</v>
      </c>
    </row>
    <row r="701" customFormat="false" ht="15" hidden="false" customHeight="false" outlineLevel="0" collapsed="false">
      <c r="A701" s="15" t="n">
        <v>46053</v>
      </c>
      <c r="B701" s="14" t="s">
        <v>42</v>
      </c>
      <c r="C701" s="14" t="s">
        <v>43</v>
      </c>
      <c r="D701" s="14" t="s">
        <v>44</v>
      </c>
      <c r="E701" s="14" t="s">
        <v>76</v>
      </c>
      <c r="F701" s="14" t="s">
        <v>79</v>
      </c>
      <c r="G701" s="14" t="s">
        <v>80</v>
      </c>
      <c r="H701" s="0" t="n">
        <v>7</v>
      </c>
      <c r="I701" s="16" t="n">
        <v>29.61</v>
      </c>
      <c r="J701" s="16" t="n">
        <v>11</v>
      </c>
      <c r="K701" s="16" t="n">
        <f aca="false">H701*I701</f>
        <v>207.27</v>
      </c>
      <c r="L701" s="16" t="n">
        <f aca="false">H701*J701</f>
        <v>77</v>
      </c>
      <c r="M701" s="16" t="n">
        <f aca="false">K701-L701</f>
        <v>130.27</v>
      </c>
      <c r="N701" s="17" t="n">
        <f aca="false">IFERROR(M701/K701,0)</f>
        <v>0.628503883823033</v>
      </c>
    </row>
    <row r="702" customFormat="false" ht="15" hidden="false" customHeight="false" outlineLevel="0" collapsed="false">
      <c r="A702" s="15" t="n">
        <v>46053</v>
      </c>
      <c r="B702" s="14" t="s">
        <v>42</v>
      </c>
      <c r="C702" s="14" t="s">
        <v>43</v>
      </c>
      <c r="D702" s="14" t="s">
        <v>44</v>
      </c>
      <c r="E702" s="14" t="s">
        <v>76</v>
      </c>
      <c r="F702" s="14" t="s">
        <v>77</v>
      </c>
      <c r="G702" s="14" t="s">
        <v>78</v>
      </c>
      <c r="H702" s="0" t="n">
        <v>4</v>
      </c>
      <c r="I702" s="16" t="n">
        <v>41.03</v>
      </c>
      <c r="J702" s="16" t="n">
        <v>15</v>
      </c>
      <c r="K702" s="16" t="n">
        <f aca="false">H702*I702</f>
        <v>164.12</v>
      </c>
      <c r="L702" s="16" t="n">
        <f aca="false">H702*J702</f>
        <v>60</v>
      </c>
      <c r="M702" s="16" t="n">
        <f aca="false">K702-L702</f>
        <v>104.12</v>
      </c>
      <c r="N702" s="17" t="n">
        <f aca="false">IFERROR(M702/K702,0)</f>
        <v>0.634413843529125</v>
      </c>
    </row>
    <row r="703" customFormat="false" ht="15" hidden="false" customHeight="false" outlineLevel="0" collapsed="false">
      <c r="A703" s="15" t="n">
        <v>46053</v>
      </c>
      <c r="B703" s="14" t="s">
        <v>50</v>
      </c>
      <c r="C703" s="14" t="s">
        <v>51</v>
      </c>
      <c r="D703" s="14" t="s">
        <v>52</v>
      </c>
      <c r="E703" s="14" t="s">
        <v>64</v>
      </c>
      <c r="F703" s="14" t="s">
        <v>65</v>
      </c>
      <c r="G703" s="14" t="s">
        <v>66</v>
      </c>
      <c r="H703" s="0" t="n">
        <v>9</v>
      </c>
      <c r="I703" s="16" t="n">
        <v>74.32</v>
      </c>
      <c r="J703" s="16" t="n">
        <v>34</v>
      </c>
      <c r="K703" s="16" t="n">
        <f aca="false">H703*I703</f>
        <v>668.88</v>
      </c>
      <c r="L703" s="16" t="n">
        <f aca="false">H703*J703</f>
        <v>306</v>
      </c>
      <c r="M703" s="16" t="n">
        <f aca="false">K703-L703</f>
        <v>362.88</v>
      </c>
      <c r="N703" s="17" t="n">
        <f aca="false">IFERROR(M703/K703,0)</f>
        <v>0.542518837459634</v>
      </c>
    </row>
    <row r="704" customFormat="false" ht="15" hidden="false" customHeight="false" outlineLevel="0" collapsed="false">
      <c r="A704" s="15" t="n">
        <v>46053</v>
      </c>
      <c r="B704" s="14" t="s">
        <v>50</v>
      </c>
      <c r="C704" s="14" t="s">
        <v>51</v>
      </c>
      <c r="D704" s="14" t="s">
        <v>52</v>
      </c>
      <c r="E704" s="14" t="s">
        <v>53</v>
      </c>
      <c r="F704" s="14" t="s">
        <v>74</v>
      </c>
      <c r="G704" s="14" t="s">
        <v>75</v>
      </c>
      <c r="H704" s="0" t="n">
        <v>9</v>
      </c>
      <c r="I704" s="16" t="n">
        <v>87.96</v>
      </c>
      <c r="J704" s="16" t="n">
        <v>38</v>
      </c>
      <c r="K704" s="16" t="n">
        <f aca="false">H704*I704</f>
        <v>791.64</v>
      </c>
      <c r="L704" s="16" t="n">
        <f aca="false">H704*J704</f>
        <v>342</v>
      </c>
      <c r="M704" s="16" t="n">
        <f aca="false">K704-L704</f>
        <v>449.64</v>
      </c>
      <c r="N704" s="17" t="n">
        <f aca="false">IFERROR(M704/K704,0)</f>
        <v>0.567985447930878</v>
      </c>
    </row>
    <row r="705" customFormat="false" ht="15" hidden="false" customHeight="false" outlineLevel="0" collapsed="false">
      <c r="A705" s="15" t="n">
        <v>46053</v>
      </c>
      <c r="B705" s="14" t="s">
        <v>50</v>
      </c>
      <c r="C705" s="14" t="s">
        <v>51</v>
      </c>
      <c r="D705" s="14" t="s">
        <v>52</v>
      </c>
      <c r="E705" s="14" t="s">
        <v>56</v>
      </c>
      <c r="F705" s="14" t="s">
        <v>86</v>
      </c>
      <c r="G705" s="14" t="s">
        <v>87</v>
      </c>
      <c r="H705" s="0" t="n">
        <v>3</v>
      </c>
      <c r="I705" s="16" t="n">
        <v>14.35</v>
      </c>
      <c r="J705" s="16" t="n">
        <v>5</v>
      </c>
      <c r="K705" s="16" t="n">
        <f aca="false">H705*I705</f>
        <v>43.05</v>
      </c>
      <c r="L705" s="16" t="n">
        <f aca="false">H705*J705</f>
        <v>15</v>
      </c>
      <c r="M705" s="16" t="n">
        <f aca="false">K705-L705</f>
        <v>28.05</v>
      </c>
      <c r="N705" s="17" t="n">
        <f aca="false">IFERROR(M705/K705,0)</f>
        <v>0.651567944250871</v>
      </c>
    </row>
    <row r="706" customFormat="false" ht="15" hidden="false" customHeight="false" outlineLevel="0" collapsed="false">
      <c r="A706" s="15" t="n">
        <v>46053</v>
      </c>
      <c r="B706" s="14" t="s">
        <v>50</v>
      </c>
      <c r="C706" s="14" t="s">
        <v>51</v>
      </c>
      <c r="D706" s="14" t="s">
        <v>52</v>
      </c>
      <c r="E706" s="14" t="s">
        <v>53</v>
      </c>
      <c r="F706" s="14" t="s">
        <v>74</v>
      </c>
      <c r="G706" s="14" t="s">
        <v>75</v>
      </c>
      <c r="H706" s="0" t="n">
        <v>1</v>
      </c>
      <c r="I706" s="16" t="n">
        <v>82.32</v>
      </c>
      <c r="J706" s="16" t="n">
        <v>38</v>
      </c>
      <c r="K706" s="16" t="n">
        <f aca="false">H706*I706</f>
        <v>82.32</v>
      </c>
      <c r="L706" s="16" t="n">
        <f aca="false">H706*J706</f>
        <v>38</v>
      </c>
      <c r="M706" s="16" t="n">
        <f aca="false">K706-L706</f>
        <v>44.32</v>
      </c>
      <c r="N706" s="17" t="n">
        <f aca="false">IFERROR(M706/K706,0)</f>
        <v>0.538386783284742</v>
      </c>
    </row>
    <row r="707" customFormat="false" ht="15" hidden="false" customHeight="false" outlineLevel="0" collapsed="false">
      <c r="A707" s="15" t="n">
        <v>46053</v>
      </c>
      <c r="B707" s="14" t="s">
        <v>59</v>
      </c>
      <c r="C707" s="14" t="s">
        <v>60</v>
      </c>
      <c r="D707" s="14" t="s">
        <v>61</v>
      </c>
      <c r="E707" s="14" t="s">
        <v>53</v>
      </c>
      <c r="F707" s="14" t="s">
        <v>54</v>
      </c>
      <c r="G707" s="14" t="s">
        <v>55</v>
      </c>
      <c r="H707" s="0" t="n">
        <v>7</v>
      </c>
      <c r="I707" s="16" t="n">
        <v>52.24</v>
      </c>
      <c r="J707" s="16" t="n">
        <v>22</v>
      </c>
      <c r="K707" s="16" t="n">
        <f aca="false">H707*I707</f>
        <v>365.68</v>
      </c>
      <c r="L707" s="16" t="n">
        <f aca="false">H707*J707</f>
        <v>154</v>
      </c>
      <c r="M707" s="16" t="n">
        <f aca="false">K707-L707</f>
        <v>211.68</v>
      </c>
      <c r="N707" s="17" t="n">
        <f aca="false">IFERROR(M707/K707,0)</f>
        <v>0.578866768759571</v>
      </c>
    </row>
    <row r="708" customFormat="false" ht="15" hidden="false" customHeight="false" outlineLevel="0" collapsed="false">
      <c r="A708" s="15" t="n">
        <v>46053</v>
      </c>
      <c r="B708" s="14" t="s">
        <v>59</v>
      </c>
      <c r="C708" s="14" t="s">
        <v>60</v>
      </c>
      <c r="D708" s="14" t="s">
        <v>61</v>
      </c>
      <c r="E708" s="14" t="s">
        <v>45</v>
      </c>
      <c r="F708" s="14" t="s">
        <v>46</v>
      </c>
      <c r="G708" s="14" t="s">
        <v>47</v>
      </c>
      <c r="H708" s="0" t="n">
        <v>2</v>
      </c>
      <c r="I708" s="16" t="n">
        <v>41.48</v>
      </c>
      <c r="J708" s="16" t="n">
        <v>18</v>
      </c>
      <c r="K708" s="16" t="n">
        <f aca="false">H708*I708</f>
        <v>82.96</v>
      </c>
      <c r="L708" s="16" t="n">
        <f aca="false">H708*J708</f>
        <v>36</v>
      </c>
      <c r="M708" s="16" t="n">
        <f aca="false">K708-L708</f>
        <v>46.96</v>
      </c>
      <c r="N708" s="17" t="n">
        <f aca="false">IFERROR(M708/K708,0)</f>
        <v>0.566055930568949</v>
      </c>
    </row>
    <row r="709" customFormat="false" ht="15" hidden="false" customHeight="false" outlineLevel="0" collapsed="false">
      <c r="A709" s="15" t="n">
        <v>46053</v>
      </c>
      <c r="B709" s="14" t="s">
        <v>59</v>
      </c>
      <c r="C709" s="14" t="s">
        <v>60</v>
      </c>
      <c r="D709" s="14" t="s">
        <v>61</v>
      </c>
      <c r="E709" s="14" t="s">
        <v>45</v>
      </c>
      <c r="F709" s="14" t="s">
        <v>62</v>
      </c>
      <c r="G709" s="14" t="s">
        <v>63</v>
      </c>
      <c r="H709" s="0" t="n">
        <v>9</v>
      </c>
      <c r="I709" s="16" t="n">
        <v>17.73</v>
      </c>
      <c r="J709" s="16" t="n">
        <v>6.5</v>
      </c>
      <c r="K709" s="16" t="n">
        <f aca="false">H709*I709</f>
        <v>159.57</v>
      </c>
      <c r="L709" s="16" t="n">
        <f aca="false">H709*J709</f>
        <v>58.5</v>
      </c>
      <c r="M709" s="16" t="n">
        <f aca="false">K709-L709</f>
        <v>101.07</v>
      </c>
      <c r="N709" s="17" t="n">
        <f aca="false">IFERROR(M709/K709,0)</f>
        <v>0.633389734912578</v>
      </c>
    </row>
    <row r="710" customFormat="false" ht="15" hidden="false" customHeight="false" outlineLevel="0" collapsed="false">
      <c r="A710" s="15" t="n">
        <v>46053</v>
      </c>
      <c r="B710" s="14" t="s">
        <v>69</v>
      </c>
      <c r="C710" s="14" t="s">
        <v>70</v>
      </c>
      <c r="D710" s="14" t="s">
        <v>71</v>
      </c>
      <c r="E710" s="14" t="s">
        <v>76</v>
      </c>
      <c r="F710" s="14" t="s">
        <v>79</v>
      </c>
      <c r="G710" s="14" t="s">
        <v>80</v>
      </c>
      <c r="H710" s="0" t="n">
        <v>1</v>
      </c>
      <c r="I710" s="16" t="n">
        <v>29.86</v>
      </c>
      <c r="J710" s="16" t="n">
        <v>11</v>
      </c>
      <c r="K710" s="16" t="n">
        <f aca="false">H710*I710</f>
        <v>29.86</v>
      </c>
      <c r="L710" s="16" t="n">
        <f aca="false">H710*J710</f>
        <v>11</v>
      </c>
      <c r="M710" s="16" t="n">
        <f aca="false">K710-L710</f>
        <v>18.86</v>
      </c>
      <c r="N710" s="17" t="n">
        <f aca="false">IFERROR(M710/K710,0)</f>
        <v>0.631614199598125</v>
      </c>
    </row>
    <row r="711" customFormat="false" ht="15" hidden="false" customHeight="false" outlineLevel="0" collapsed="false">
      <c r="A711" s="15" t="n">
        <v>46053</v>
      </c>
      <c r="B711" s="14" t="s">
        <v>69</v>
      </c>
      <c r="C711" s="14" t="s">
        <v>70</v>
      </c>
      <c r="D711" s="14" t="s">
        <v>71</v>
      </c>
      <c r="E711" s="14" t="s">
        <v>45</v>
      </c>
      <c r="F711" s="14" t="s">
        <v>62</v>
      </c>
      <c r="G711" s="14" t="s">
        <v>63</v>
      </c>
      <c r="H711" s="0" t="n">
        <v>7</v>
      </c>
      <c r="I711" s="16" t="n">
        <v>17.74</v>
      </c>
      <c r="J711" s="16" t="n">
        <v>6.5</v>
      </c>
      <c r="K711" s="16" t="n">
        <f aca="false">H711*I711</f>
        <v>124.18</v>
      </c>
      <c r="L711" s="16" t="n">
        <f aca="false">H711*J711</f>
        <v>45.5</v>
      </c>
      <c r="M711" s="16" t="n">
        <f aca="false">K711-L711</f>
        <v>78.68</v>
      </c>
      <c r="N711" s="17" t="n">
        <f aca="false">IFERROR(M711/K711,0)</f>
        <v>0.633596392333709</v>
      </c>
    </row>
    <row r="712" customFormat="false" ht="15" hidden="false" customHeight="false" outlineLevel="0" collapsed="false">
      <c r="A712" s="15" t="n">
        <v>46053</v>
      </c>
      <c r="B712" s="14" t="s">
        <v>81</v>
      </c>
      <c r="C712" s="14" t="s">
        <v>82</v>
      </c>
      <c r="D712" s="14" t="s">
        <v>83</v>
      </c>
      <c r="E712" s="14" t="s">
        <v>64</v>
      </c>
      <c r="F712" s="14" t="s">
        <v>65</v>
      </c>
      <c r="G712" s="14" t="s">
        <v>66</v>
      </c>
      <c r="H712" s="0" t="n">
        <v>9</v>
      </c>
      <c r="I712" s="16" t="n">
        <v>77</v>
      </c>
      <c r="J712" s="16" t="n">
        <v>34</v>
      </c>
      <c r="K712" s="16" t="n">
        <f aca="false">H712*I712</f>
        <v>693</v>
      </c>
      <c r="L712" s="16" t="n">
        <f aca="false">H712*J712</f>
        <v>306</v>
      </c>
      <c r="M712" s="16" t="n">
        <f aca="false">K712-L712</f>
        <v>387</v>
      </c>
      <c r="N712" s="17" t="n">
        <f aca="false">IFERROR(M712/K712,0)</f>
        <v>0.558441558441558</v>
      </c>
    </row>
    <row r="713" customFormat="false" ht="15" hidden="false" customHeight="false" outlineLevel="0" collapsed="false">
      <c r="A713" s="15" t="n">
        <v>46053</v>
      </c>
      <c r="B713" s="14" t="s">
        <v>81</v>
      </c>
      <c r="C713" s="14" t="s">
        <v>82</v>
      </c>
      <c r="D713" s="14" t="s">
        <v>83</v>
      </c>
      <c r="E713" s="14" t="s">
        <v>53</v>
      </c>
      <c r="F713" s="14" t="s">
        <v>92</v>
      </c>
      <c r="G713" s="14" t="s">
        <v>93</v>
      </c>
      <c r="H713" s="0" t="n">
        <v>3</v>
      </c>
      <c r="I713" s="16" t="n">
        <v>119.12</v>
      </c>
      <c r="J713" s="16" t="n">
        <v>52</v>
      </c>
      <c r="K713" s="16" t="n">
        <f aca="false">H713*I713</f>
        <v>357.36</v>
      </c>
      <c r="L713" s="16" t="n">
        <f aca="false">H713*J713</f>
        <v>156</v>
      </c>
      <c r="M713" s="16" t="n">
        <f aca="false">K713-L713</f>
        <v>201.36</v>
      </c>
      <c r="N713" s="17" t="n">
        <f aca="false">IFERROR(M713/K713,0)</f>
        <v>0.563465413028878</v>
      </c>
    </row>
    <row r="714" customFormat="false" ht="15" hidden="false" customHeight="false" outlineLevel="0" collapsed="false">
      <c r="A714" s="15" t="n">
        <v>46053</v>
      </c>
      <c r="B714" s="14" t="s">
        <v>81</v>
      </c>
      <c r="C714" s="14" t="s">
        <v>82</v>
      </c>
      <c r="D714" s="14" t="s">
        <v>83</v>
      </c>
      <c r="E714" s="14" t="s">
        <v>76</v>
      </c>
      <c r="F714" s="14" t="s">
        <v>102</v>
      </c>
      <c r="G714" s="14" t="s">
        <v>103</v>
      </c>
      <c r="H714" s="0" t="n">
        <v>8</v>
      </c>
      <c r="I714" s="16" t="n">
        <v>23.78</v>
      </c>
      <c r="J714" s="16" t="n">
        <v>8.5</v>
      </c>
      <c r="K714" s="16" t="n">
        <f aca="false">H714*I714</f>
        <v>190.24</v>
      </c>
      <c r="L714" s="16" t="n">
        <f aca="false">H714*J714</f>
        <v>68</v>
      </c>
      <c r="M714" s="16" t="n">
        <f aca="false">K714-L714</f>
        <v>122.24</v>
      </c>
      <c r="N714" s="17" t="n">
        <f aca="false">IFERROR(M714/K714,0)</f>
        <v>0.64255677039529</v>
      </c>
    </row>
    <row r="715" customFormat="false" ht="15" hidden="false" customHeight="false" outlineLevel="0" collapsed="false">
      <c r="A715" s="15" t="n">
        <v>46053</v>
      </c>
      <c r="B715" s="14" t="s">
        <v>81</v>
      </c>
      <c r="C715" s="14" t="s">
        <v>82</v>
      </c>
      <c r="D715" s="14" t="s">
        <v>83</v>
      </c>
      <c r="E715" s="14" t="s">
        <v>45</v>
      </c>
      <c r="F715" s="14" t="s">
        <v>62</v>
      </c>
      <c r="G715" s="14" t="s">
        <v>63</v>
      </c>
      <c r="H715" s="0" t="n">
        <v>5</v>
      </c>
      <c r="I715" s="16" t="n">
        <v>17.28</v>
      </c>
      <c r="J715" s="16" t="n">
        <v>6.5</v>
      </c>
      <c r="K715" s="16" t="n">
        <f aca="false">H715*I715</f>
        <v>86.4</v>
      </c>
      <c r="L715" s="16" t="n">
        <f aca="false">H715*J715</f>
        <v>32.5</v>
      </c>
      <c r="M715" s="16" t="n">
        <f aca="false">K715-L715</f>
        <v>53.9</v>
      </c>
      <c r="N715" s="17" t="n">
        <f aca="false">IFERROR(M715/K715,0)</f>
        <v>0.623842592592593</v>
      </c>
    </row>
    <row r="716" customFormat="false" ht="15" hidden="false" customHeight="false" outlineLevel="0" collapsed="false">
      <c r="A716" s="15" t="n">
        <v>46053</v>
      </c>
      <c r="B716" s="14" t="s">
        <v>81</v>
      </c>
      <c r="C716" s="14" t="s">
        <v>82</v>
      </c>
      <c r="D716" s="14" t="s">
        <v>83</v>
      </c>
      <c r="E716" s="14" t="s">
        <v>56</v>
      </c>
      <c r="F716" s="14" t="s">
        <v>57</v>
      </c>
      <c r="G716" s="14" t="s">
        <v>58</v>
      </c>
      <c r="H716" s="0" t="n">
        <v>1</v>
      </c>
      <c r="I716" s="16" t="n">
        <v>25.03</v>
      </c>
      <c r="J716" s="16" t="n">
        <v>10</v>
      </c>
      <c r="K716" s="16" t="n">
        <f aca="false">H716*I716</f>
        <v>25.03</v>
      </c>
      <c r="L716" s="16" t="n">
        <f aca="false">H716*J716</f>
        <v>10</v>
      </c>
      <c r="M716" s="16" t="n">
        <f aca="false">K716-L716</f>
        <v>15.03</v>
      </c>
      <c r="N716" s="17" t="n">
        <f aca="false">IFERROR(M716/K716,0)</f>
        <v>0.600479424690372</v>
      </c>
    </row>
    <row r="717" customFormat="false" ht="15" hidden="false" customHeight="false" outlineLevel="0" collapsed="false">
      <c r="A717" s="15" t="n">
        <v>46053</v>
      </c>
      <c r="B717" s="14" t="s">
        <v>88</v>
      </c>
      <c r="C717" s="14" t="s">
        <v>89</v>
      </c>
      <c r="D717" s="14" t="s">
        <v>44</v>
      </c>
      <c r="E717" s="14" t="s">
        <v>53</v>
      </c>
      <c r="F717" s="14" t="s">
        <v>84</v>
      </c>
      <c r="G717" s="14" t="s">
        <v>85</v>
      </c>
      <c r="H717" s="0" t="n">
        <v>5</v>
      </c>
      <c r="I717" s="16" t="n">
        <v>24.29</v>
      </c>
      <c r="J717" s="16" t="n">
        <v>9</v>
      </c>
      <c r="K717" s="16" t="n">
        <f aca="false">H717*I717</f>
        <v>121.45</v>
      </c>
      <c r="L717" s="16" t="n">
        <f aca="false">H717*J717</f>
        <v>45</v>
      </c>
      <c r="M717" s="16" t="n">
        <f aca="false">K717-L717</f>
        <v>76.45</v>
      </c>
      <c r="N717" s="17" t="n">
        <f aca="false">IFERROR(M717/K717,0)</f>
        <v>0.629477151090984</v>
      </c>
    </row>
    <row r="718" customFormat="false" ht="15" hidden="false" customHeight="false" outlineLevel="0" collapsed="false">
      <c r="A718" s="15" t="n">
        <v>46053</v>
      </c>
      <c r="B718" s="14" t="s">
        <v>88</v>
      </c>
      <c r="C718" s="14" t="s">
        <v>89</v>
      </c>
      <c r="D718" s="14" t="s">
        <v>44</v>
      </c>
      <c r="E718" s="14" t="s">
        <v>56</v>
      </c>
      <c r="F718" s="14" t="s">
        <v>86</v>
      </c>
      <c r="G718" s="14" t="s">
        <v>87</v>
      </c>
      <c r="H718" s="0" t="n">
        <v>1</v>
      </c>
      <c r="I718" s="16" t="n">
        <v>14.99</v>
      </c>
      <c r="J718" s="16" t="n">
        <v>5</v>
      </c>
      <c r="K718" s="16" t="n">
        <f aca="false">H718*I718</f>
        <v>14.99</v>
      </c>
      <c r="L718" s="16" t="n">
        <f aca="false">H718*J718</f>
        <v>5</v>
      </c>
      <c r="M718" s="16" t="n">
        <f aca="false">K718-L718</f>
        <v>9.99</v>
      </c>
      <c r="N718" s="17" t="n">
        <f aca="false">IFERROR(M718/K718,0)</f>
        <v>0.666444296197465</v>
      </c>
    </row>
    <row r="719" customFormat="false" ht="15" hidden="false" customHeight="false" outlineLevel="0" collapsed="false">
      <c r="A719" s="15" t="n">
        <v>46053</v>
      </c>
      <c r="B719" s="14" t="s">
        <v>88</v>
      </c>
      <c r="C719" s="14" t="s">
        <v>89</v>
      </c>
      <c r="D719" s="14" t="s">
        <v>44</v>
      </c>
      <c r="E719" s="14" t="s">
        <v>76</v>
      </c>
      <c r="F719" s="14" t="s">
        <v>100</v>
      </c>
      <c r="G719" s="14" t="s">
        <v>101</v>
      </c>
      <c r="H719" s="0" t="n">
        <v>12</v>
      </c>
      <c r="I719" s="16" t="n">
        <v>15.16</v>
      </c>
      <c r="J719" s="16" t="n">
        <v>5.5</v>
      </c>
      <c r="K719" s="16" t="n">
        <f aca="false">H719*I719</f>
        <v>181.92</v>
      </c>
      <c r="L719" s="16" t="n">
        <f aca="false">H719*J719</f>
        <v>66</v>
      </c>
      <c r="M719" s="16" t="n">
        <f aca="false">K719-L719</f>
        <v>115.92</v>
      </c>
      <c r="N719" s="17" t="n">
        <f aca="false">IFERROR(M719/K719,0)</f>
        <v>0.637203166226913</v>
      </c>
    </row>
    <row r="720" customFormat="false" ht="15" hidden="false" customHeight="false" outlineLevel="0" collapsed="false">
      <c r="A720" s="15" t="n">
        <v>46053</v>
      </c>
      <c r="B720" s="14" t="s">
        <v>88</v>
      </c>
      <c r="C720" s="14" t="s">
        <v>89</v>
      </c>
      <c r="D720" s="14" t="s">
        <v>44</v>
      </c>
      <c r="E720" s="14" t="s">
        <v>56</v>
      </c>
      <c r="F720" s="14" t="s">
        <v>67</v>
      </c>
      <c r="G720" s="14" t="s">
        <v>68</v>
      </c>
      <c r="H720" s="0" t="n">
        <v>9</v>
      </c>
      <c r="I720" s="16" t="n">
        <v>35.78</v>
      </c>
      <c r="J720" s="16" t="n">
        <v>15</v>
      </c>
      <c r="K720" s="16" t="n">
        <f aca="false">H720*I720</f>
        <v>322.02</v>
      </c>
      <c r="L720" s="16" t="n">
        <f aca="false">H720*J720</f>
        <v>135</v>
      </c>
      <c r="M720" s="16" t="n">
        <f aca="false">K720-L720</f>
        <v>187.02</v>
      </c>
      <c r="N720" s="17" t="n">
        <f aca="false">IFERROR(M720/K720,0)</f>
        <v>0.580771380659586</v>
      </c>
    </row>
    <row r="721" customFormat="false" ht="15" hidden="false" customHeight="false" outlineLevel="0" collapsed="false">
      <c r="A721" s="15" t="n">
        <v>46053</v>
      </c>
      <c r="B721" s="14" t="s">
        <v>88</v>
      </c>
      <c r="C721" s="14" t="s">
        <v>89</v>
      </c>
      <c r="D721" s="14" t="s">
        <v>44</v>
      </c>
      <c r="E721" s="14" t="s">
        <v>45</v>
      </c>
      <c r="F721" s="14" t="s">
        <v>46</v>
      </c>
      <c r="G721" s="14" t="s">
        <v>47</v>
      </c>
      <c r="H721" s="0" t="n">
        <v>5</v>
      </c>
      <c r="I721" s="16" t="n">
        <v>41.51</v>
      </c>
      <c r="J721" s="16" t="n">
        <v>18</v>
      </c>
      <c r="K721" s="16" t="n">
        <f aca="false">H721*I721</f>
        <v>207.55</v>
      </c>
      <c r="L721" s="16" t="n">
        <f aca="false">H721*J721</f>
        <v>90</v>
      </c>
      <c r="M721" s="16" t="n">
        <f aca="false">K721-L721</f>
        <v>117.55</v>
      </c>
      <c r="N721" s="17" t="n">
        <f aca="false">IFERROR(M721/K721,0)</f>
        <v>0.566369549506143</v>
      </c>
    </row>
    <row r="722" customFormat="false" ht="15" hidden="false" customHeight="false" outlineLevel="0" collapsed="false">
      <c r="A722" s="15" t="n">
        <v>46054</v>
      </c>
      <c r="B722" s="14" t="s">
        <v>42</v>
      </c>
      <c r="C722" s="14" t="s">
        <v>43</v>
      </c>
      <c r="D722" s="14" t="s">
        <v>44</v>
      </c>
      <c r="E722" s="14" t="s">
        <v>45</v>
      </c>
      <c r="F722" s="14" t="s">
        <v>72</v>
      </c>
      <c r="G722" s="14" t="s">
        <v>73</v>
      </c>
      <c r="H722" s="0" t="n">
        <v>9</v>
      </c>
      <c r="I722" s="16" t="n">
        <v>51.03</v>
      </c>
      <c r="J722" s="16" t="n">
        <v>21</v>
      </c>
      <c r="K722" s="16" t="n">
        <f aca="false">H722*I722</f>
        <v>459.27</v>
      </c>
      <c r="L722" s="16" t="n">
        <f aca="false">H722*J722</f>
        <v>189</v>
      </c>
      <c r="M722" s="16" t="n">
        <f aca="false">K722-L722</f>
        <v>270.27</v>
      </c>
      <c r="N722" s="17" t="n">
        <f aca="false">IFERROR(M722/K722,0)</f>
        <v>0.588477366255144</v>
      </c>
    </row>
    <row r="723" customFormat="false" ht="15" hidden="false" customHeight="false" outlineLevel="0" collapsed="false">
      <c r="A723" s="15" t="n">
        <v>46054</v>
      </c>
      <c r="B723" s="14" t="s">
        <v>42</v>
      </c>
      <c r="C723" s="14" t="s">
        <v>43</v>
      </c>
      <c r="D723" s="14" t="s">
        <v>44</v>
      </c>
      <c r="E723" s="14" t="s">
        <v>53</v>
      </c>
      <c r="F723" s="14" t="s">
        <v>54</v>
      </c>
      <c r="G723" s="14" t="s">
        <v>55</v>
      </c>
      <c r="H723" s="0" t="n">
        <v>3</v>
      </c>
      <c r="I723" s="16" t="n">
        <v>51.69</v>
      </c>
      <c r="J723" s="16" t="n">
        <v>22</v>
      </c>
      <c r="K723" s="16" t="n">
        <f aca="false">H723*I723</f>
        <v>155.07</v>
      </c>
      <c r="L723" s="16" t="n">
        <f aca="false">H723*J723</f>
        <v>66</v>
      </c>
      <c r="M723" s="16" t="n">
        <f aca="false">K723-L723</f>
        <v>89.07</v>
      </c>
      <c r="N723" s="17" t="n">
        <f aca="false">IFERROR(M723/K723,0)</f>
        <v>0.574385761269104</v>
      </c>
    </row>
    <row r="724" customFormat="false" ht="15" hidden="false" customHeight="false" outlineLevel="0" collapsed="false">
      <c r="A724" s="15" t="n">
        <v>46054</v>
      </c>
      <c r="B724" s="14" t="s">
        <v>42</v>
      </c>
      <c r="C724" s="14" t="s">
        <v>43</v>
      </c>
      <c r="D724" s="14" t="s">
        <v>44</v>
      </c>
      <c r="E724" s="14" t="s">
        <v>53</v>
      </c>
      <c r="F724" s="14" t="s">
        <v>92</v>
      </c>
      <c r="G724" s="14" t="s">
        <v>93</v>
      </c>
      <c r="H724" s="0" t="n">
        <v>1</v>
      </c>
      <c r="I724" s="16" t="n">
        <v>117.73</v>
      </c>
      <c r="J724" s="16" t="n">
        <v>52</v>
      </c>
      <c r="K724" s="16" t="n">
        <f aca="false">H724*I724</f>
        <v>117.73</v>
      </c>
      <c r="L724" s="16" t="n">
        <f aca="false">H724*J724</f>
        <v>52</v>
      </c>
      <c r="M724" s="16" t="n">
        <f aca="false">K724-L724</f>
        <v>65.73</v>
      </c>
      <c r="N724" s="17" t="n">
        <f aca="false">IFERROR(M724/K724,0)</f>
        <v>0.558311390469719</v>
      </c>
    </row>
    <row r="725" customFormat="false" ht="15" hidden="false" customHeight="false" outlineLevel="0" collapsed="false">
      <c r="A725" s="15" t="n">
        <v>46054</v>
      </c>
      <c r="B725" s="14" t="s">
        <v>42</v>
      </c>
      <c r="C725" s="14" t="s">
        <v>43</v>
      </c>
      <c r="D725" s="14" t="s">
        <v>44</v>
      </c>
      <c r="E725" s="14" t="s">
        <v>53</v>
      </c>
      <c r="F725" s="14" t="s">
        <v>84</v>
      </c>
      <c r="G725" s="14" t="s">
        <v>85</v>
      </c>
      <c r="H725" s="0" t="n">
        <v>8</v>
      </c>
      <c r="I725" s="16" t="n">
        <v>24.87</v>
      </c>
      <c r="J725" s="16" t="n">
        <v>9</v>
      </c>
      <c r="K725" s="16" t="n">
        <f aca="false">H725*I725</f>
        <v>198.96</v>
      </c>
      <c r="L725" s="16" t="n">
        <f aca="false">H725*J725</f>
        <v>72</v>
      </c>
      <c r="M725" s="16" t="n">
        <f aca="false">K725-L725</f>
        <v>126.96</v>
      </c>
      <c r="N725" s="17" t="n">
        <f aca="false">IFERROR(M725/K725,0)</f>
        <v>0.638118214716526</v>
      </c>
    </row>
    <row r="726" customFormat="false" ht="15" hidden="false" customHeight="false" outlineLevel="0" collapsed="false">
      <c r="A726" s="15" t="n">
        <v>46054</v>
      </c>
      <c r="B726" s="14" t="s">
        <v>50</v>
      </c>
      <c r="C726" s="14" t="s">
        <v>51</v>
      </c>
      <c r="D726" s="14" t="s">
        <v>52</v>
      </c>
      <c r="E726" s="14" t="s">
        <v>53</v>
      </c>
      <c r="F726" s="14" t="s">
        <v>54</v>
      </c>
      <c r="G726" s="14" t="s">
        <v>55</v>
      </c>
      <c r="H726" s="0" t="n">
        <v>7</v>
      </c>
      <c r="I726" s="16" t="n">
        <v>54.15</v>
      </c>
      <c r="J726" s="16" t="n">
        <v>22</v>
      </c>
      <c r="K726" s="16" t="n">
        <f aca="false">H726*I726</f>
        <v>379.05</v>
      </c>
      <c r="L726" s="16" t="n">
        <f aca="false">H726*J726</f>
        <v>154</v>
      </c>
      <c r="M726" s="16" t="n">
        <f aca="false">K726-L726</f>
        <v>225.05</v>
      </c>
      <c r="N726" s="17" t="n">
        <f aca="false">IFERROR(M726/K726,0)</f>
        <v>0.593721144967682</v>
      </c>
    </row>
    <row r="727" customFormat="false" ht="15" hidden="false" customHeight="false" outlineLevel="0" collapsed="false">
      <c r="A727" s="15" t="n">
        <v>46054</v>
      </c>
      <c r="B727" s="14" t="s">
        <v>50</v>
      </c>
      <c r="C727" s="14" t="s">
        <v>51</v>
      </c>
      <c r="D727" s="14" t="s">
        <v>52</v>
      </c>
      <c r="E727" s="14" t="s">
        <v>76</v>
      </c>
      <c r="F727" s="14" t="s">
        <v>79</v>
      </c>
      <c r="G727" s="14" t="s">
        <v>80</v>
      </c>
      <c r="H727" s="0" t="n">
        <v>8</v>
      </c>
      <c r="I727" s="16" t="n">
        <v>29.87</v>
      </c>
      <c r="J727" s="16" t="n">
        <v>11</v>
      </c>
      <c r="K727" s="16" t="n">
        <f aca="false">H727*I727</f>
        <v>238.96</v>
      </c>
      <c r="L727" s="16" t="n">
        <f aca="false">H727*J727</f>
        <v>88</v>
      </c>
      <c r="M727" s="16" t="n">
        <f aca="false">K727-L727</f>
        <v>150.96</v>
      </c>
      <c r="N727" s="17" t="n">
        <f aca="false">IFERROR(M727/K727,0)</f>
        <v>0.631737529293606</v>
      </c>
    </row>
    <row r="728" customFormat="false" ht="15" hidden="false" customHeight="false" outlineLevel="0" collapsed="false">
      <c r="A728" s="15" t="n">
        <v>46054</v>
      </c>
      <c r="B728" s="14" t="s">
        <v>50</v>
      </c>
      <c r="C728" s="14" t="s">
        <v>51</v>
      </c>
      <c r="D728" s="14" t="s">
        <v>52</v>
      </c>
      <c r="E728" s="14" t="s">
        <v>56</v>
      </c>
      <c r="F728" s="14" t="s">
        <v>86</v>
      </c>
      <c r="G728" s="14" t="s">
        <v>87</v>
      </c>
      <c r="H728" s="0" t="n">
        <v>6</v>
      </c>
      <c r="I728" s="16" t="n">
        <v>14.8</v>
      </c>
      <c r="J728" s="16" t="n">
        <v>5</v>
      </c>
      <c r="K728" s="16" t="n">
        <f aca="false">H728*I728</f>
        <v>88.8</v>
      </c>
      <c r="L728" s="16" t="n">
        <f aca="false">H728*J728</f>
        <v>30</v>
      </c>
      <c r="M728" s="16" t="n">
        <f aca="false">K728-L728</f>
        <v>58.8</v>
      </c>
      <c r="N728" s="17" t="n">
        <f aca="false">IFERROR(M728/K728,0)</f>
        <v>0.662162162162162</v>
      </c>
    </row>
    <row r="729" customFormat="false" ht="15" hidden="false" customHeight="false" outlineLevel="0" collapsed="false">
      <c r="A729" s="15" t="n">
        <v>46054</v>
      </c>
      <c r="B729" s="14" t="s">
        <v>59</v>
      </c>
      <c r="C729" s="14" t="s">
        <v>60</v>
      </c>
      <c r="D729" s="14" t="s">
        <v>61</v>
      </c>
      <c r="E729" s="14" t="s">
        <v>56</v>
      </c>
      <c r="F729" s="14" t="s">
        <v>67</v>
      </c>
      <c r="G729" s="14" t="s">
        <v>68</v>
      </c>
      <c r="H729" s="0" t="n">
        <v>3</v>
      </c>
      <c r="I729" s="16" t="n">
        <v>36.45</v>
      </c>
      <c r="J729" s="16" t="n">
        <v>15</v>
      </c>
      <c r="K729" s="16" t="n">
        <f aca="false">H729*I729</f>
        <v>109.35</v>
      </c>
      <c r="L729" s="16" t="n">
        <f aca="false">H729*J729</f>
        <v>45</v>
      </c>
      <c r="M729" s="16" t="n">
        <f aca="false">K729-L729</f>
        <v>64.35</v>
      </c>
      <c r="N729" s="17" t="n">
        <f aca="false">IFERROR(M729/K729,0)</f>
        <v>0.588477366255144</v>
      </c>
    </row>
    <row r="730" customFormat="false" ht="15" hidden="false" customHeight="false" outlineLevel="0" collapsed="false">
      <c r="A730" s="15" t="n">
        <v>46054</v>
      </c>
      <c r="B730" s="14" t="s">
        <v>59</v>
      </c>
      <c r="C730" s="14" t="s">
        <v>60</v>
      </c>
      <c r="D730" s="14" t="s">
        <v>61</v>
      </c>
      <c r="E730" s="14" t="s">
        <v>45</v>
      </c>
      <c r="F730" s="14" t="s">
        <v>48</v>
      </c>
      <c r="G730" s="14" t="s">
        <v>49</v>
      </c>
      <c r="H730" s="0" t="n">
        <v>4</v>
      </c>
      <c r="I730" s="16" t="n">
        <v>65.83</v>
      </c>
      <c r="J730" s="16" t="n">
        <v>27.5</v>
      </c>
      <c r="K730" s="16" t="n">
        <f aca="false">H730*I730</f>
        <v>263.32</v>
      </c>
      <c r="L730" s="16" t="n">
        <f aca="false">H730*J730</f>
        <v>110</v>
      </c>
      <c r="M730" s="16" t="n">
        <f aca="false">K730-L730</f>
        <v>153.32</v>
      </c>
      <c r="N730" s="17" t="n">
        <f aca="false">IFERROR(M730/K730,0)</f>
        <v>0.582257329485037</v>
      </c>
    </row>
    <row r="731" customFormat="false" ht="15" hidden="false" customHeight="false" outlineLevel="0" collapsed="false">
      <c r="A731" s="15" t="n">
        <v>46054</v>
      </c>
      <c r="B731" s="14" t="s">
        <v>59</v>
      </c>
      <c r="C731" s="14" t="s">
        <v>60</v>
      </c>
      <c r="D731" s="14" t="s">
        <v>61</v>
      </c>
      <c r="E731" s="14" t="s">
        <v>45</v>
      </c>
      <c r="F731" s="14" t="s">
        <v>72</v>
      </c>
      <c r="G731" s="14" t="s">
        <v>73</v>
      </c>
      <c r="H731" s="0" t="n">
        <v>1</v>
      </c>
      <c r="I731" s="16" t="n">
        <v>49.22</v>
      </c>
      <c r="J731" s="16" t="n">
        <v>21</v>
      </c>
      <c r="K731" s="16" t="n">
        <f aca="false">H731*I731</f>
        <v>49.22</v>
      </c>
      <c r="L731" s="16" t="n">
        <f aca="false">H731*J731</f>
        <v>21</v>
      </c>
      <c r="M731" s="16" t="n">
        <f aca="false">K731-L731</f>
        <v>28.22</v>
      </c>
      <c r="N731" s="17" t="n">
        <f aca="false">IFERROR(M731/K731,0)</f>
        <v>0.573344169036977</v>
      </c>
    </row>
    <row r="732" customFormat="false" ht="15" hidden="false" customHeight="false" outlineLevel="0" collapsed="false">
      <c r="A732" s="15" t="n">
        <v>46054</v>
      </c>
      <c r="B732" s="14" t="s">
        <v>59</v>
      </c>
      <c r="C732" s="14" t="s">
        <v>60</v>
      </c>
      <c r="D732" s="14" t="s">
        <v>61</v>
      </c>
      <c r="E732" s="14" t="s">
        <v>56</v>
      </c>
      <c r="F732" s="14" t="s">
        <v>86</v>
      </c>
      <c r="G732" s="14" t="s">
        <v>87</v>
      </c>
      <c r="H732" s="0" t="n">
        <v>3</v>
      </c>
      <c r="I732" s="16" t="n">
        <v>14.21</v>
      </c>
      <c r="J732" s="16" t="n">
        <v>5</v>
      </c>
      <c r="K732" s="16" t="n">
        <f aca="false">H732*I732</f>
        <v>42.63</v>
      </c>
      <c r="L732" s="16" t="n">
        <f aca="false">H732*J732</f>
        <v>15</v>
      </c>
      <c r="M732" s="16" t="n">
        <f aca="false">K732-L732</f>
        <v>27.63</v>
      </c>
      <c r="N732" s="17" t="n">
        <f aca="false">IFERROR(M732/K732,0)</f>
        <v>0.648135116115412</v>
      </c>
    </row>
    <row r="733" customFormat="false" ht="15" hidden="false" customHeight="false" outlineLevel="0" collapsed="false">
      <c r="A733" s="15" t="n">
        <v>46054</v>
      </c>
      <c r="B733" s="14" t="s">
        <v>59</v>
      </c>
      <c r="C733" s="14" t="s">
        <v>60</v>
      </c>
      <c r="D733" s="14" t="s">
        <v>61</v>
      </c>
      <c r="E733" s="14" t="s">
        <v>53</v>
      </c>
      <c r="F733" s="14" t="s">
        <v>92</v>
      </c>
      <c r="G733" s="14" t="s">
        <v>93</v>
      </c>
      <c r="H733" s="0" t="n">
        <v>1</v>
      </c>
      <c r="I733" s="16" t="n">
        <v>110.61</v>
      </c>
      <c r="J733" s="16" t="n">
        <v>52</v>
      </c>
      <c r="K733" s="16" t="n">
        <f aca="false">H733*I733</f>
        <v>110.61</v>
      </c>
      <c r="L733" s="16" t="n">
        <f aca="false">H733*J733</f>
        <v>52</v>
      </c>
      <c r="M733" s="16" t="n">
        <f aca="false">K733-L733</f>
        <v>58.61</v>
      </c>
      <c r="N733" s="17" t="n">
        <f aca="false">IFERROR(M733/K733,0)</f>
        <v>0.52987975770726</v>
      </c>
    </row>
    <row r="734" customFormat="false" ht="15" hidden="false" customHeight="false" outlineLevel="0" collapsed="false">
      <c r="A734" s="15" t="n">
        <v>46054</v>
      </c>
      <c r="B734" s="14" t="s">
        <v>69</v>
      </c>
      <c r="C734" s="14" t="s">
        <v>70</v>
      </c>
      <c r="D734" s="14" t="s">
        <v>71</v>
      </c>
      <c r="E734" s="14" t="s">
        <v>53</v>
      </c>
      <c r="F734" s="14" t="s">
        <v>74</v>
      </c>
      <c r="G734" s="14" t="s">
        <v>75</v>
      </c>
      <c r="H734" s="0" t="n">
        <v>5</v>
      </c>
      <c r="I734" s="16" t="n">
        <v>88.72</v>
      </c>
      <c r="J734" s="16" t="n">
        <v>38</v>
      </c>
      <c r="K734" s="16" t="n">
        <f aca="false">H734*I734</f>
        <v>443.6</v>
      </c>
      <c r="L734" s="16" t="n">
        <f aca="false">H734*J734</f>
        <v>190</v>
      </c>
      <c r="M734" s="16" t="n">
        <f aca="false">K734-L734</f>
        <v>253.6</v>
      </c>
      <c r="N734" s="17" t="n">
        <f aca="false">IFERROR(M734/K734,0)</f>
        <v>0.571686203787196</v>
      </c>
    </row>
    <row r="735" customFormat="false" ht="15" hidden="false" customHeight="false" outlineLevel="0" collapsed="false">
      <c r="A735" s="15" t="n">
        <v>46054</v>
      </c>
      <c r="B735" s="14" t="s">
        <v>69</v>
      </c>
      <c r="C735" s="14" t="s">
        <v>70</v>
      </c>
      <c r="D735" s="14" t="s">
        <v>71</v>
      </c>
      <c r="E735" s="14" t="s">
        <v>76</v>
      </c>
      <c r="F735" s="14" t="s">
        <v>100</v>
      </c>
      <c r="G735" s="14" t="s">
        <v>101</v>
      </c>
      <c r="H735" s="0" t="n">
        <v>2</v>
      </c>
      <c r="I735" s="16" t="n">
        <v>15.15</v>
      </c>
      <c r="J735" s="16" t="n">
        <v>5.5</v>
      </c>
      <c r="K735" s="16" t="n">
        <f aca="false">H735*I735</f>
        <v>30.3</v>
      </c>
      <c r="L735" s="16" t="n">
        <f aca="false">H735*J735</f>
        <v>11</v>
      </c>
      <c r="M735" s="16" t="n">
        <f aca="false">K735-L735</f>
        <v>19.3</v>
      </c>
      <c r="N735" s="17" t="n">
        <f aca="false">IFERROR(M735/K735,0)</f>
        <v>0.636963696369637</v>
      </c>
    </row>
    <row r="736" customFormat="false" ht="15" hidden="false" customHeight="false" outlineLevel="0" collapsed="false">
      <c r="A736" s="15" t="n">
        <v>46054</v>
      </c>
      <c r="B736" s="14" t="s">
        <v>69</v>
      </c>
      <c r="C736" s="14" t="s">
        <v>70</v>
      </c>
      <c r="D736" s="14" t="s">
        <v>71</v>
      </c>
      <c r="E736" s="14" t="s">
        <v>76</v>
      </c>
      <c r="F736" s="14" t="s">
        <v>77</v>
      </c>
      <c r="G736" s="14" t="s">
        <v>78</v>
      </c>
      <c r="H736" s="0" t="n">
        <v>3</v>
      </c>
      <c r="I736" s="16" t="n">
        <v>41.1</v>
      </c>
      <c r="J736" s="16" t="n">
        <v>15</v>
      </c>
      <c r="K736" s="16" t="n">
        <f aca="false">H736*I736</f>
        <v>123.3</v>
      </c>
      <c r="L736" s="16" t="n">
        <f aca="false">H736*J736</f>
        <v>45</v>
      </c>
      <c r="M736" s="16" t="n">
        <f aca="false">K736-L736</f>
        <v>78.3</v>
      </c>
      <c r="N736" s="17" t="n">
        <f aca="false">IFERROR(M736/K736,0)</f>
        <v>0.635036496350365</v>
      </c>
    </row>
    <row r="737" customFormat="false" ht="15" hidden="false" customHeight="false" outlineLevel="0" collapsed="false">
      <c r="A737" s="15" t="n">
        <v>46054</v>
      </c>
      <c r="B737" s="14" t="s">
        <v>69</v>
      </c>
      <c r="C737" s="14" t="s">
        <v>70</v>
      </c>
      <c r="D737" s="14" t="s">
        <v>71</v>
      </c>
      <c r="E737" s="14" t="s">
        <v>64</v>
      </c>
      <c r="F737" s="14" t="s">
        <v>90</v>
      </c>
      <c r="G737" s="14" t="s">
        <v>91</v>
      </c>
      <c r="H737" s="0" t="n">
        <v>5</v>
      </c>
      <c r="I737" s="16" t="n">
        <v>11.21</v>
      </c>
      <c r="J737" s="16" t="n">
        <v>3.5</v>
      </c>
      <c r="K737" s="16" t="n">
        <f aca="false">H737*I737</f>
        <v>56.05</v>
      </c>
      <c r="L737" s="16" t="n">
        <f aca="false">H737*J737</f>
        <v>17.5</v>
      </c>
      <c r="M737" s="16" t="n">
        <f aca="false">K737-L737</f>
        <v>38.55</v>
      </c>
      <c r="N737" s="17" t="n">
        <f aca="false">IFERROR(M737/K737,0)</f>
        <v>0.687778768956289</v>
      </c>
    </row>
    <row r="738" customFormat="false" ht="15" hidden="false" customHeight="false" outlineLevel="0" collapsed="false">
      <c r="A738" s="15" t="n">
        <v>46054</v>
      </c>
      <c r="B738" s="14" t="s">
        <v>69</v>
      </c>
      <c r="C738" s="14" t="s">
        <v>70</v>
      </c>
      <c r="D738" s="14" t="s">
        <v>71</v>
      </c>
      <c r="E738" s="14" t="s">
        <v>56</v>
      </c>
      <c r="F738" s="14" t="s">
        <v>67</v>
      </c>
      <c r="G738" s="14" t="s">
        <v>68</v>
      </c>
      <c r="H738" s="0" t="n">
        <v>4</v>
      </c>
      <c r="I738" s="16" t="n">
        <v>36.98</v>
      </c>
      <c r="J738" s="16" t="n">
        <v>15</v>
      </c>
      <c r="K738" s="16" t="n">
        <f aca="false">H738*I738</f>
        <v>147.92</v>
      </c>
      <c r="L738" s="16" t="n">
        <f aca="false">H738*J738</f>
        <v>60</v>
      </c>
      <c r="M738" s="16" t="n">
        <f aca="false">K738-L738</f>
        <v>87.92</v>
      </c>
      <c r="N738" s="17" t="n">
        <f aca="false">IFERROR(M738/K738,0)</f>
        <v>0.594375338020552</v>
      </c>
    </row>
    <row r="739" customFormat="false" ht="15" hidden="false" customHeight="false" outlineLevel="0" collapsed="false">
      <c r="A739" s="15" t="n">
        <v>46054</v>
      </c>
      <c r="B739" s="14" t="s">
        <v>69</v>
      </c>
      <c r="C739" s="14" t="s">
        <v>70</v>
      </c>
      <c r="D739" s="14" t="s">
        <v>71</v>
      </c>
      <c r="E739" s="14" t="s">
        <v>53</v>
      </c>
      <c r="F739" s="14" t="s">
        <v>84</v>
      </c>
      <c r="G739" s="14" t="s">
        <v>85</v>
      </c>
      <c r="H739" s="0" t="n">
        <v>5</v>
      </c>
      <c r="I739" s="16" t="n">
        <v>24.47</v>
      </c>
      <c r="J739" s="16" t="n">
        <v>9</v>
      </c>
      <c r="K739" s="16" t="n">
        <f aca="false">H739*I739</f>
        <v>122.35</v>
      </c>
      <c r="L739" s="16" t="n">
        <f aca="false">H739*J739</f>
        <v>45</v>
      </c>
      <c r="M739" s="16" t="n">
        <f aca="false">K739-L739</f>
        <v>77.35</v>
      </c>
      <c r="N739" s="17" t="n">
        <f aca="false">IFERROR(M739/K739,0)</f>
        <v>0.632202697180221</v>
      </c>
    </row>
    <row r="740" customFormat="false" ht="15" hidden="false" customHeight="false" outlineLevel="0" collapsed="false">
      <c r="A740" s="15" t="n">
        <v>46054</v>
      </c>
      <c r="B740" s="14" t="s">
        <v>81</v>
      </c>
      <c r="C740" s="14" t="s">
        <v>82</v>
      </c>
      <c r="D740" s="14" t="s">
        <v>83</v>
      </c>
      <c r="E740" s="14" t="s">
        <v>53</v>
      </c>
      <c r="F740" s="14" t="s">
        <v>54</v>
      </c>
      <c r="G740" s="14" t="s">
        <v>55</v>
      </c>
      <c r="H740" s="0" t="n">
        <v>1</v>
      </c>
      <c r="I740" s="16" t="n">
        <v>54.77</v>
      </c>
      <c r="J740" s="16" t="n">
        <v>22</v>
      </c>
      <c r="K740" s="16" t="n">
        <f aca="false">H740*I740</f>
        <v>54.77</v>
      </c>
      <c r="L740" s="16" t="n">
        <f aca="false">H740*J740</f>
        <v>22</v>
      </c>
      <c r="M740" s="16" t="n">
        <f aca="false">K740-L740</f>
        <v>32.77</v>
      </c>
      <c r="N740" s="17" t="n">
        <f aca="false">IFERROR(M740/K740,0)</f>
        <v>0.598320248311119</v>
      </c>
    </row>
    <row r="741" customFormat="false" ht="15" hidden="false" customHeight="false" outlineLevel="0" collapsed="false">
      <c r="A741" s="15" t="n">
        <v>46054</v>
      </c>
      <c r="B741" s="14" t="s">
        <v>81</v>
      </c>
      <c r="C741" s="14" t="s">
        <v>82</v>
      </c>
      <c r="D741" s="14" t="s">
        <v>83</v>
      </c>
      <c r="E741" s="14" t="s">
        <v>56</v>
      </c>
      <c r="F741" s="14" t="s">
        <v>57</v>
      </c>
      <c r="G741" s="14" t="s">
        <v>58</v>
      </c>
      <c r="H741" s="0" t="n">
        <v>1</v>
      </c>
      <c r="I741" s="16" t="n">
        <v>25.23</v>
      </c>
      <c r="J741" s="16" t="n">
        <v>10</v>
      </c>
      <c r="K741" s="16" t="n">
        <f aca="false">H741*I741</f>
        <v>25.23</v>
      </c>
      <c r="L741" s="16" t="n">
        <f aca="false">H741*J741</f>
        <v>10</v>
      </c>
      <c r="M741" s="16" t="n">
        <f aca="false">K741-L741</f>
        <v>15.23</v>
      </c>
      <c r="N741" s="17" t="n">
        <f aca="false">IFERROR(M741/K741,0)</f>
        <v>0.603646452635751</v>
      </c>
    </row>
    <row r="742" customFormat="false" ht="15" hidden="false" customHeight="false" outlineLevel="0" collapsed="false">
      <c r="A742" s="15" t="n">
        <v>46054</v>
      </c>
      <c r="B742" s="14" t="s">
        <v>81</v>
      </c>
      <c r="C742" s="14" t="s">
        <v>82</v>
      </c>
      <c r="D742" s="14" t="s">
        <v>83</v>
      </c>
      <c r="E742" s="14" t="s">
        <v>76</v>
      </c>
      <c r="F742" s="14" t="s">
        <v>77</v>
      </c>
      <c r="G742" s="14" t="s">
        <v>78</v>
      </c>
      <c r="H742" s="0" t="n">
        <v>2</v>
      </c>
      <c r="I742" s="16" t="n">
        <v>41.79</v>
      </c>
      <c r="J742" s="16" t="n">
        <v>15</v>
      </c>
      <c r="K742" s="16" t="n">
        <f aca="false">H742*I742</f>
        <v>83.58</v>
      </c>
      <c r="L742" s="16" t="n">
        <f aca="false">H742*J742</f>
        <v>30</v>
      </c>
      <c r="M742" s="16" t="n">
        <f aca="false">K742-L742</f>
        <v>53.58</v>
      </c>
      <c r="N742" s="17" t="n">
        <f aca="false">IFERROR(M742/K742,0)</f>
        <v>0.641062455132807</v>
      </c>
    </row>
    <row r="743" customFormat="false" ht="15" hidden="false" customHeight="false" outlineLevel="0" collapsed="false">
      <c r="A743" s="15" t="n">
        <v>46054</v>
      </c>
      <c r="B743" s="14" t="s">
        <v>81</v>
      </c>
      <c r="C743" s="14" t="s">
        <v>82</v>
      </c>
      <c r="D743" s="14" t="s">
        <v>83</v>
      </c>
      <c r="E743" s="14" t="s">
        <v>53</v>
      </c>
      <c r="F743" s="14" t="s">
        <v>92</v>
      </c>
      <c r="G743" s="14" t="s">
        <v>93</v>
      </c>
      <c r="H743" s="0" t="n">
        <v>2</v>
      </c>
      <c r="I743" s="16" t="n">
        <v>112.68</v>
      </c>
      <c r="J743" s="16" t="n">
        <v>52</v>
      </c>
      <c r="K743" s="16" t="n">
        <f aca="false">H743*I743</f>
        <v>225.36</v>
      </c>
      <c r="L743" s="16" t="n">
        <f aca="false">H743*J743</f>
        <v>104</v>
      </c>
      <c r="M743" s="16" t="n">
        <f aca="false">K743-L743</f>
        <v>121.36</v>
      </c>
      <c r="N743" s="17" t="n">
        <f aca="false">IFERROR(M743/K743,0)</f>
        <v>0.538516151934682</v>
      </c>
    </row>
    <row r="744" customFormat="false" ht="15" hidden="false" customHeight="false" outlineLevel="0" collapsed="false">
      <c r="A744" s="15" t="n">
        <v>46054</v>
      </c>
      <c r="B744" s="14" t="s">
        <v>88</v>
      </c>
      <c r="C744" s="14" t="s">
        <v>89</v>
      </c>
      <c r="D744" s="14" t="s">
        <v>44</v>
      </c>
      <c r="E744" s="14" t="s">
        <v>53</v>
      </c>
      <c r="F744" s="14" t="s">
        <v>74</v>
      </c>
      <c r="G744" s="14" t="s">
        <v>75</v>
      </c>
      <c r="H744" s="0" t="n">
        <v>7</v>
      </c>
      <c r="I744" s="16" t="n">
        <v>85.06</v>
      </c>
      <c r="J744" s="16" t="n">
        <v>38</v>
      </c>
      <c r="K744" s="16" t="n">
        <f aca="false">H744*I744</f>
        <v>595.42</v>
      </c>
      <c r="L744" s="16" t="n">
        <f aca="false">H744*J744</f>
        <v>266</v>
      </c>
      <c r="M744" s="16" t="n">
        <f aca="false">K744-L744</f>
        <v>329.42</v>
      </c>
      <c r="N744" s="17" t="n">
        <f aca="false">IFERROR(M744/K744,0)</f>
        <v>0.553256524806019</v>
      </c>
    </row>
    <row r="745" customFormat="false" ht="15" hidden="false" customHeight="false" outlineLevel="0" collapsed="false">
      <c r="A745" s="15" t="n">
        <v>46054</v>
      </c>
      <c r="B745" s="14" t="s">
        <v>88</v>
      </c>
      <c r="C745" s="14" t="s">
        <v>89</v>
      </c>
      <c r="D745" s="14" t="s">
        <v>44</v>
      </c>
      <c r="E745" s="14" t="s">
        <v>76</v>
      </c>
      <c r="F745" s="14" t="s">
        <v>77</v>
      </c>
      <c r="G745" s="14" t="s">
        <v>78</v>
      </c>
      <c r="H745" s="0" t="n">
        <v>5</v>
      </c>
      <c r="I745" s="16" t="n">
        <v>40.97</v>
      </c>
      <c r="J745" s="16" t="n">
        <v>15</v>
      </c>
      <c r="K745" s="16" t="n">
        <f aca="false">H745*I745</f>
        <v>204.85</v>
      </c>
      <c r="L745" s="16" t="n">
        <f aca="false">H745*J745</f>
        <v>75</v>
      </c>
      <c r="M745" s="16" t="n">
        <f aca="false">K745-L745</f>
        <v>129.85</v>
      </c>
      <c r="N745" s="17" t="n">
        <f aca="false">IFERROR(M745/K745,0)</f>
        <v>0.633878447644618</v>
      </c>
    </row>
    <row r="746" customFormat="false" ht="15" hidden="false" customHeight="false" outlineLevel="0" collapsed="false">
      <c r="A746" s="15" t="n">
        <v>46054</v>
      </c>
      <c r="B746" s="14" t="s">
        <v>88</v>
      </c>
      <c r="C746" s="14" t="s">
        <v>89</v>
      </c>
      <c r="D746" s="14" t="s">
        <v>44</v>
      </c>
      <c r="E746" s="14" t="s">
        <v>76</v>
      </c>
      <c r="F746" s="14" t="s">
        <v>102</v>
      </c>
      <c r="G746" s="14" t="s">
        <v>103</v>
      </c>
      <c r="H746" s="0" t="n">
        <v>2</v>
      </c>
      <c r="I746" s="16" t="n">
        <v>23.46</v>
      </c>
      <c r="J746" s="16" t="n">
        <v>8.5</v>
      </c>
      <c r="K746" s="16" t="n">
        <f aca="false">H746*I746</f>
        <v>46.92</v>
      </c>
      <c r="L746" s="16" t="n">
        <f aca="false">H746*J746</f>
        <v>17</v>
      </c>
      <c r="M746" s="16" t="n">
        <f aca="false">K746-L746</f>
        <v>29.92</v>
      </c>
      <c r="N746" s="17" t="n">
        <f aca="false">IFERROR(M746/K746,0)</f>
        <v>0.63768115942029</v>
      </c>
    </row>
    <row r="747" customFormat="false" ht="15" hidden="false" customHeight="false" outlineLevel="0" collapsed="false">
      <c r="A747" s="15" t="n">
        <v>46054</v>
      </c>
      <c r="B747" s="14" t="s">
        <v>88</v>
      </c>
      <c r="C747" s="14" t="s">
        <v>89</v>
      </c>
      <c r="D747" s="14" t="s">
        <v>44</v>
      </c>
      <c r="E747" s="14" t="s">
        <v>45</v>
      </c>
      <c r="F747" s="14" t="s">
        <v>72</v>
      </c>
      <c r="G747" s="14" t="s">
        <v>73</v>
      </c>
      <c r="H747" s="0" t="n">
        <v>9</v>
      </c>
      <c r="I747" s="16" t="n">
        <v>50.89</v>
      </c>
      <c r="J747" s="16" t="n">
        <v>21</v>
      </c>
      <c r="K747" s="16" t="n">
        <f aca="false">H747*I747</f>
        <v>458.01</v>
      </c>
      <c r="L747" s="16" t="n">
        <f aca="false">H747*J747</f>
        <v>189</v>
      </c>
      <c r="M747" s="16" t="n">
        <f aca="false">K747-L747</f>
        <v>269.01</v>
      </c>
      <c r="N747" s="17" t="n">
        <f aca="false">IFERROR(M747/K747,0)</f>
        <v>0.587345254470426</v>
      </c>
    </row>
    <row r="748" customFormat="false" ht="15" hidden="false" customHeight="false" outlineLevel="0" collapsed="false">
      <c r="A748" s="15" t="n">
        <v>46055</v>
      </c>
      <c r="B748" s="14" t="s">
        <v>42</v>
      </c>
      <c r="C748" s="14" t="s">
        <v>43</v>
      </c>
      <c r="D748" s="14" t="s">
        <v>44</v>
      </c>
      <c r="E748" s="14" t="s">
        <v>64</v>
      </c>
      <c r="F748" s="14" t="s">
        <v>90</v>
      </c>
      <c r="G748" s="14" t="s">
        <v>91</v>
      </c>
      <c r="H748" s="0" t="n">
        <v>7</v>
      </c>
      <c r="I748" s="16" t="n">
        <v>11.38</v>
      </c>
      <c r="J748" s="16" t="n">
        <v>3.5</v>
      </c>
      <c r="K748" s="16" t="n">
        <f aca="false">H748*I748</f>
        <v>79.66</v>
      </c>
      <c r="L748" s="16" t="n">
        <f aca="false">H748*J748</f>
        <v>24.5</v>
      </c>
      <c r="M748" s="16" t="n">
        <f aca="false">K748-L748</f>
        <v>55.16</v>
      </c>
      <c r="N748" s="17" t="n">
        <f aca="false">IFERROR(M748/K748,0)</f>
        <v>0.692442882249561</v>
      </c>
    </row>
    <row r="749" customFormat="false" ht="15" hidden="false" customHeight="false" outlineLevel="0" collapsed="false">
      <c r="A749" s="15" t="n">
        <v>46055</v>
      </c>
      <c r="B749" s="14" t="s">
        <v>42</v>
      </c>
      <c r="C749" s="14" t="s">
        <v>43</v>
      </c>
      <c r="D749" s="14" t="s">
        <v>44</v>
      </c>
      <c r="E749" s="14" t="s">
        <v>64</v>
      </c>
      <c r="F749" s="14" t="s">
        <v>65</v>
      </c>
      <c r="G749" s="14" t="s">
        <v>66</v>
      </c>
      <c r="H749" s="0" t="n">
        <v>8</v>
      </c>
      <c r="I749" s="16" t="n">
        <v>77.66</v>
      </c>
      <c r="J749" s="16" t="n">
        <v>34</v>
      </c>
      <c r="K749" s="16" t="n">
        <f aca="false">H749*I749</f>
        <v>621.28</v>
      </c>
      <c r="L749" s="16" t="n">
        <f aca="false">H749*J749</f>
        <v>272</v>
      </c>
      <c r="M749" s="16" t="n">
        <f aca="false">K749-L749</f>
        <v>349.28</v>
      </c>
      <c r="N749" s="17" t="n">
        <f aca="false">IFERROR(M749/K749,0)</f>
        <v>0.562194179757919</v>
      </c>
    </row>
    <row r="750" customFormat="false" ht="15" hidden="false" customHeight="false" outlineLevel="0" collapsed="false">
      <c r="A750" s="15" t="n">
        <v>46055</v>
      </c>
      <c r="B750" s="14" t="s">
        <v>42</v>
      </c>
      <c r="C750" s="14" t="s">
        <v>43</v>
      </c>
      <c r="D750" s="14" t="s">
        <v>44</v>
      </c>
      <c r="E750" s="14" t="s">
        <v>56</v>
      </c>
      <c r="F750" s="14" t="s">
        <v>86</v>
      </c>
      <c r="G750" s="14" t="s">
        <v>87</v>
      </c>
      <c r="H750" s="0" t="n">
        <v>4</v>
      </c>
      <c r="I750" s="16" t="n">
        <v>14.34</v>
      </c>
      <c r="J750" s="16" t="n">
        <v>5</v>
      </c>
      <c r="K750" s="16" t="n">
        <f aca="false">H750*I750</f>
        <v>57.36</v>
      </c>
      <c r="L750" s="16" t="n">
        <f aca="false">H750*J750</f>
        <v>20</v>
      </c>
      <c r="M750" s="16" t="n">
        <f aca="false">K750-L750</f>
        <v>37.36</v>
      </c>
      <c r="N750" s="17" t="n">
        <f aca="false">IFERROR(M750/K750,0)</f>
        <v>0.651324965132497</v>
      </c>
    </row>
    <row r="751" customFormat="false" ht="15" hidden="false" customHeight="false" outlineLevel="0" collapsed="false">
      <c r="A751" s="15" t="n">
        <v>46055</v>
      </c>
      <c r="B751" s="14" t="s">
        <v>50</v>
      </c>
      <c r="C751" s="14" t="s">
        <v>51</v>
      </c>
      <c r="D751" s="14" t="s">
        <v>52</v>
      </c>
      <c r="E751" s="14" t="s">
        <v>76</v>
      </c>
      <c r="F751" s="14" t="s">
        <v>79</v>
      </c>
      <c r="G751" s="14" t="s">
        <v>80</v>
      </c>
      <c r="H751" s="0" t="n">
        <v>6</v>
      </c>
      <c r="I751" s="16" t="n">
        <v>28.23</v>
      </c>
      <c r="J751" s="16" t="n">
        <v>11</v>
      </c>
      <c r="K751" s="16" t="n">
        <f aca="false">H751*I751</f>
        <v>169.38</v>
      </c>
      <c r="L751" s="16" t="n">
        <f aca="false">H751*J751</f>
        <v>66</v>
      </c>
      <c r="M751" s="16" t="n">
        <f aca="false">K751-L751</f>
        <v>103.38</v>
      </c>
      <c r="N751" s="17" t="n">
        <f aca="false">IFERROR(M751/K751,0)</f>
        <v>0.610343606092809</v>
      </c>
    </row>
    <row r="752" customFormat="false" ht="15" hidden="false" customHeight="false" outlineLevel="0" collapsed="false">
      <c r="A752" s="15" t="n">
        <v>46055</v>
      </c>
      <c r="B752" s="14" t="s">
        <v>50</v>
      </c>
      <c r="C752" s="14" t="s">
        <v>51</v>
      </c>
      <c r="D752" s="14" t="s">
        <v>52</v>
      </c>
      <c r="E752" s="14" t="s">
        <v>45</v>
      </c>
      <c r="F752" s="14" t="s">
        <v>48</v>
      </c>
      <c r="G752" s="14" t="s">
        <v>49</v>
      </c>
      <c r="H752" s="0" t="n">
        <v>6</v>
      </c>
      <c r="I752" s="16" t="n">
        <v>63.49</v>
      </c>
      <c r="J752" s="16" t="n">
        <v>27.5</v>
      </c>
      <c r="K752" s="16" t="n">
        <f aca="false">H752*I752</f>
        <v>380.94</v>
      </c>
      <c r="L752" s="16" t="n">
        <f aca="false">H752*J752</f>
        <v>165</v>
      </c>
      <c r="M752" s="16" t="n">
        <f aca="false">K752-L752</f>
        <v>215.94</v>
      </c>
      <c r="N752" s="17" t="n">
        <f aca="false">IFERROR(M752/K752,0)</f>
        <v>0.566860922979997</v>
      </c>
    </row>
    <row r="753" customFormat="false" ht="15" hidden="false" customHeight="false" outlineLevel="0" collapsed="false">
      <c r="A753" s="15" t="n">
        <v>46055</v>
      </c>
      <c r="B753" s="14" t="s">
        <v>59</v>
      </c>
      <c r="C753" s="14" t="s">
        <v>60</v>
      </c>
      <c r="D753" s="14" t="s">
        <v>61</v>
      </c>
      <c r="E753" s="14" t="s">
        <v>53</v>
      </c>
      <c r="F753" s="14" t="s">
        <v>74</v>
      </c>
      <c r="G753" s="14" t="s">
        <v>75</v>
      </c>
      <c r="H753" s="0" t="n">
        <v>2</v>
      </c>
      <c r="I753" s="16" t="n">
        <v>84.29</v>
      </c>
      <c r="J753" s="16" t="n">
        <v>38</v>
      </c>
      <c r="K753" s="16" t="n">
        <f aca="false">H753*I753</f>
        <v>168.58</v>
      </c>
      <c r="L753" s="16" t="n">
        <f aca="false">H753*J753</f>
        <v>76</v>
      </c>
      <c r="M753" s="16" t="n">
        <f aca="false">K753-L753</f>
        <v>92.58</v>
      </c>
      <c r="N753" s="17" t="n">
        <f aca="false">IFERROR(M753/K753,0)</f>
        <v>0.549175465654289</v>
      </c>
    </row>
    <row r="754" customFormat="false" ht="15" hidden="false" customHeight="false" outlineLevel="0" collapsed="false">
      <c r="A754" s="15" t="n">
        <v>46055</v>
      </c>
      <c r="B754" s="14" t="s">
        <v>59</v>
      </c>
      <c r="C754" s="14" t="s">
        <v>60</v>
      </c>
      <c r="D754" s="14" t="s">
        <v>61</v>
      </c>
      <c r="E754" s="14" t="s">
        <v>56</v>
      </c>
      <c r="F754" s="14" t="s">
        <v>57</v>
      </c>
      <c r="G754" s="14" t="s">
        <v>58</v>
      </c>
      <c r="H754" s="0" t="n">
        <v>1</v>
      </c>
      <c r="I754" s="16" t="n">
        <v>25.77</v>
      </c>
      <c r="J754" s="16" t="n">
        <v>10</v>
      </c>
      <c r="K754" s="16" t="n">
        <f aca="false">H754*I754</f>
        <v>25.77</v>
      </c>
      <c r="L754" s="16" t="n">
        <f aca="false">H754*J754</f>
        <v>10</v>
      </c>
      <c r="M754" s="16" t="n">
        <f aca="false">K754-L754</f>
        <v>15.77</v>
      </c>
      <c r="N754" s="17" t="n">
        <f aca="false">IFERROR(M754/K754,0)</f>
        <v>0.611951882033372</v>
      </c>
    </row>
    <row r="755" customFormat="false" ht="15" hidden="false" customHeight="false" outlineLevel="0" collapsed="false">
      <c r="A755" s="15" t="n">
        <v>46055</v>
      </c>
      <c r="B755" s="14" t="s">
        <v>59</v>
      </c>
      <c r="C755" s="14" t="s">
        <v>60</v>
      </c>
      <c r="D755" s="14" t="s">
        <v>61</v>
      </c>
      <c r="E755" s="14" t="s">
        <v>53</v>
      </c>
      <c r="F755" s="14" t="s">
        <v>84</v>
      </c>
      <c r="G755" s="14" t="s">
        <v>85</v>
      </c>
      <c r="H755" s="0" t="n">
        <v>2</v>
      </c>
      <c r="I755" s="16" t="n">
        <v>23.11</v>
      </c>
      <c r="J755" s="16" t="n">
        <v>9</v>
      </c>
      <c r="K755" s="16" t="n">
        <f aca="false">H755*I755</f>
        <v>46.22</v>
      </c>
      <c r="L755" s="16" t="n">
        <f aca="false">H755*J755</f>
        <v>18</v>
      </c>
      <c r="M755" s="16" t="n">
        <f aca="false">K755-L755</f>
        <v>28.22</v>
      </c>
      <c r="N755" s="17" t="n">
        <f aca="false">IFERROR(M755/K755,0)</f>
        <v>0.610558199913457</v>
      </c>
    </row>
    <row r="756" customFormat="false" ht="15" hidden="false" customHeight="false" outlineLevel="0" collapsed="false">
      <c r="A756" s="15" t="n">
        <v>46055</v>
      </c>
      <c r="B756" s="14" t="s">
        <v>59</v>
      </c>
      <c r="C756" s="14" t="s">
        <v>60</v>
      </c>
      <c r="D756" s="14" t="s">
        <v>61</v>
      </c>
      <c r="E756" s="14" t="s">
        <v>76</v>
      </c>
      <c r="F756" s="14" t="s">
        <v>77</v>
      </c>
      <c r="G756" s="14" t="s">
        <v>78</v>
      </c>
      <c r="H756" s="0" t="n">
        <v>3</v>
      </c>
      <c r="I756" s="16" t="n">
        <v>40.02</v>
      </c>
      <c r="J756" s="16" t="n">
        <v>15</v>
      </c>
      <c r="K756" s="16" t="n">
        <f aca="false">H756*I756</f>
        <v>120.06</v>
      </c>
      <c r="L756" s="16" t="n">
        <f aca="false">H756*J756</f>
        <v>45</v>
      </c>
      <c r="M756" s="16" t="n">
        <f aca="false">K756-L756</f>
        <v>75.06</v>
      </c>
      <c r="N756" s="17" t="n">
        <f aca="false">IFERROR(M756/K756,0)</f>
        <v>0.625187406296852</v>
      </c>
    </row>
    <row r="757" customFormat="false" ht="15" hidden="false" customHeight="false" outlineLevel="0" collapsed="false">
      <c r="A757" s="15" t="n">
        <v>46055</v>
      </c>
      <c r="B757" s="14" t="s">
        <v>59</v>
      </c>
      <c r="C757" s="14" t="s">
        <v>60</v>
      </c>
      <c r="D757" s="14" t="s">
        <v>61</v>
      </c>
      <c r="E757" s="14" t="s">
        <v>56</v>
      </c>
      <c r="F757" s="14" t="s">
        <v>67</v>
      </c>
      <c r="G757" s="14" t="s">
        <v>68</v>
      </c>
      <c r="H757" s="0" t="n">
        <v>4</v>
      </c>
      <c r="I757" s="16" t="n">
        <v>35.86</v>
      </c>
      <c r="J757" s="16" t="n">
        <v>15</v>
      </c>
      <c r="K757" s="16" t="n">
        <f aca="false">H757*I757</f>
        <v>143.44</v>
      </c>
      <c r="L757" s="16" t="n">
        <f aca="false">H757*J757</f>
        <v>60</v>
      </c>
      <c r="M757" s="16" t="n">
        <f aca="false">K757-L757</f>
        <v>83.44</v>
      </c>
      <c r="N757" s="17" t="n">
        <f aca="false">IFERROR(M757/K757,0)</f>
        <v>0.581706636921361</v>
      </c>
    </row>
    <row r="758" customFormat="false" ht="15" hidden="false" customHeight="false" outlineLevel="0" collapsed="false">
      <c r="A758" s="15" t="n">
        <v>46055</v>
      </c>
      <c r="B758" s="14" t="s">
        <v>69</v>
      </c>
      <c r="C758" s="14" t="s">
        <v>70</v>
      </c>
      <c r="D758" s="14" t="s">
        <v>71</v>
      </c>
      <c r="E758" s="14" t="s">
        <v>45</v>
      </c>
      <c r="F758" s="14" t="s">
        <v>72</v>
      </c>
      <c r="G758" s="14" t="s">
        <v>73</v>
      </c>
      <c r="H758" s="0" t="n">
        <v>6</v>
      </c>
      <c r="I758" s="16" t="n">
        <v>48.48</v>
      </c>
      <c r="J758" s="16" t="n">
        <v>21</v>
      </c>
      <c r="K758" s="16" t="n">
        <f aca="false">H758*I758</f>
        <v>290.88</v>
      </c>
      <c r="L758" s="16" t="n">
        <f aca="false">H758*J758</f>
        <v>126</v>
      </c>
      <c r="M758" s="16" t="n">
        <f aca="false">K758-L758</f>
        <v>164.88</v>
      </c>
      <c r="N758" s="17" t="n">
        <f aca="false">IFERROR(M758/K758,0)</f>
        <v>0.566831683168317</v>
      </c>
    </row>
    <row r="759" customFormat="false" ht="15" hidden="false" customHeight="false" outlineLevel="0" collapsed="false">
      <c r="A759" s="15" t="n">
        <v>46055</v>
      </c>
      <c r="B759" s="14" t="s">
        <v>69</v>
      </c>
      <c r="C759" s="14" t="s">
        <v>70</v>
      </c>
      <c r="D759" s="14" t="s">
        <v>71</v>
      </c>
      <c r="E759" s="14" t="s">
        <v>76</v>
      </c>
      <c r="F759" s="14" t="s">
        <v>79</v>
      </c>
      <c r="G759" s="14" t="s">
        <v>80</v>
      </c>
      <c r="H759" s="0" t="n">
        <v>5</v>
      </c>
      <c r="I759" s="16" t="n">
        <v>27.81</v>
      </c>
      <c r="J759" s="16" t="n">
        <v>11</v>
      </c>
      <c r="K759" s="16" t="n">
        <f aca="false">H759*I759</f>
        <v>139.05</v>
      </c>
      <c r="L759" s="16" t="n">
        <f aca="false">H759*J759</f>
        <v>55</v>
      </c>
      <c r="M759" s="16" t="n">
        <f aca="false">K759-L759</f>
        <v>84.05</v>
      </c>
      <c r="N759" s="17" t="n">
        <f aca="false">IFERROR(M759/K759,0)</f>
        <v>0.604458827759799</v>
      </c>
    </row>
    <row r="760" customFormat="false" ht="15" hidden="false" customHeight="false" outlineLevel="0" collapsed="false">
      <c r="A760" s="15" t="n">
        <v>46055</v>
      </c>
      <c r="B760" s="14" t="s">
        <v>81</v>
      </c>
      <c r="C760" s="14" t="s">
        <v>82</v>
      </c>
      <c r="D760" s="14" t="s">
        <v>83</v>
      </c>
      <c r="E760" s="14" t="s">
        <v>64</v>
      </c>
      <c r="F760" s="14" t="s">
        <v>96</v>
      </c>
      <c r="G760" s="14" t="s">
        <v>97</v>
      </c>
      <c r="H760" s="0" t="n">
        <v>1</v>
      </c>
      <c r="I760" s="16" t="n">
        <v>54.4</v>
      </c>
      <c r="J760" s="16" t="n">
        <v>24</v>
      </c>
      <c r="K760" s="16" t="n">
        <f aca="false">H760*I760</f>
        <v>54.4</v>
      </c>
      <c r="L760" s="16" t="n">
        <f aca="false">H760*J760</f>
        <v>24</v>
      </c>
      <c r="M760" s="16" t="n">
        <f aca="false">K760-L760</f>
        <v>30.4</v>
      </c>
      <c r="N760" s="17" t="n">
        <f aca="false">IFERROR(M760/K760,0)</f>
        <v>0.558823529411765</v>
      </c>
    </row>
    <row r="761" customFormat="false" ht="15" hidden="false" customHeight="false" outlineLevel="0" collapsed="false">
      <c r="A761" s="15" t="n">
        <v>46055</v>
      </c>
      <c r="B761" s="14" t="s">
        <v>81</v>
      </c>
      <c r="C761" s="14" t="s">
        <v>82</v>
      </c>
      <c r="D761" s="14" t="s">
        <v>83</v>
      </c>
      <c r="E761" s="14" t="s">
        <v>53</v>
      </c>
      <c r="F761" s="14" t="s">
        <v>92</v>
      </c>
      <c r="G761" s="14" t="s">
        <v>93</v>
      </c>
      <c r="H761" s="0" t="n">
        <v>1</v>
      </c>
      <c r="I761" s="16" t="n">
        <v>114.95</v>
      </c>
      <c r="J761" s="16" t="n">
        <v>52</v>
      </c>
      <c r="K761" s="16" t="n">
        <f aca="false">H761*I761</f>
        <v>114.95</v>
      </c>
      <c r="L761" s="16" t="n">
        <f aca="false">H761*J761</f>
        <v>52</v>
      </c>
      <c r="M761" s="16" t="n">
        <f aca="false">K761-L761</f>
        <v>62.95</v>
      </c>
      <c r="N761" s="17" t="n">
        <f aca="false">IFERROR(M761/K761,0)</f>
        <v>0.547629404088734</v>
      </c>
    </row>
    <row r="762" customFormat="false" ht="15" hidden="false" customHeight="false" outlineLevel="0" collapsed="false">
      <c r="A762" s="15" t="n">
        <v>46055</v>
      </c>
      <c r="B762" s="14" t="s">
        <v>81</v>
      </c>
      <c r="C762" s="14" t="s">
        <v>82</v>
      </c>
      <c r="D762" s="14" t="s">
        <v>83</v>
      </c>
      <c r="E762" s="14" t="s">
        <v>45</v>
      </c>
      <c r="F762" s="14" t="s">
        <v>46</v>
      </c>
      <c r="G762" s="14" t="s">
        <v>47</v>
      </c>
      <c r="H762" s="0" t="n">
        <v>5</v>
      </c>
      <c r="I762" s="16" t="n">
        <v>43.1</v>
      </c>
      <c r="J762" s="16" t="n">
        <v>18</v>
      </c>
      <c r="K762" s="16" t="n">
        <f aca="false">H762*I762</f>
        <v>215.5</v>
      </c>
      <c r="L762" s="16" t="n">
        <f aca="false">H762*J762</f>
        <v>90</v>
      </c>
      <c r="M762" s="16" t="n">
        <f aca="false">K762-L762</f>
        <v>125.5</v>
      </c>
      <c r="N762" s="17" t="n">
        <f aca="false">IFERROR(M762/K762,0)</f>
        <v>0.582366589327146</v>
      </c>
    </row>
    <row r="763" customFormat="false" ht="15" hidden="false" customHeight="false" outlineLevel="0" collapsed="false">
      <c r="A763" s="15" t="n">
        <v>46055</v>
      </c>
      <c r="B763" s="14" t="s">
        <v>81</v>
      </c>
      <c r="C763" s="14" t="s">
        <v>82</v>
      </c>
      <c r="D763" s="14" t="s">
        <v>83</v>
      </c>
      <c r="E763" s="14" t="s">
        <v>76</v>
      </c>
      <c r="F763" s="14" t="s">
        <v>79</v>
      </c>
      <c r="G763" s="14" t="s">
        <v>80</v>
      </c>
      <c r="H763" s="0" t="n">
        <v>5</v>
      </c>
      <c r="I763" s="16" t="n">
        <v>28.04</v>
      </c>
      <c r="J763" s="16" t="n">
        <v>11</v>
      </c>
      <c r="K763" s="16" t="n">
        <f aca="false">H763*I763</f>
        <v>140.2</v>
      </c>
      <c r="L763" s="16" t="n">
        <f aca="false">H763*J763</f>
        <v>55</v>
      </c>
      <c r="M763" s="16" t="n">
        <f aca="false">K763-L763</f>
        <v>85.2</v>
      </c>
      <c r="N763" s="17" t="n">
        <f aca="false">IFERROR(M763/K763,0)</f>
        <v>0.607703281027104</v>
      </c>
    </row>
    <row r="764" customFormat="false" ht="15" hidden="false" customHeight="false" outlineLevel="0" collapsed="false">
      <c r="A764" s="15" t="n">
        <v>46055</v>
      </c>
      <c r="B764" s="14" t="s">
        <v>81</v>
      </c>
      <c r="C764" s="14" t="s">
        <v>82</v>
      </c>
      <c r="D764" s="14" t="s">
        <v>83</v>
      </c>
      <c r="E764" s="14" t="s">
        <v>64</v>
      </c>
      <c r="F764" s="14" t="s">
        <v>94</v>
      </c>
      <c r="G764" s="14" t="s">
        <v>95</v>
      </c>
      <c r="H764" s="0" t="n">
        <v>2</v>
      </c>
      <c r="I764" s="16" t="n">
        <v>94.61</v>
      </c>
      <c r="J764" s="16" t="n">
        <v>42</v>
      </c>
      <c r="K764" s="16" t="n">
        <f aca="false">H764*I764</f>
        <v>189.22</v>
      </c>
      <c r="L764" s="16" t="n">
        <f aca="false">H764*J764</f>
        <v>84</v>
      </c>
      <c r="M764" s="16" t="n">
        <f aca="false">K764-L764</f>
        <v>105.22</v>
      </c>
      <c r="N764" s="17" t="n">
        <f aca="false">IFERROR(M764/K764,0)</f>
        <v>0.556072296797379</v>
      </c>
    </row>
    <row r="765" customFormat="false" ht="15" hidden="false" customHeight="false" outlineLevel="0" collapsed="false">
      <c r="A765" s="15" t="n">
        <v>46055</v>
      </c>
      <c r="B765" s="14" t="s">
        <v>81</v>
      </c>
      <c r="C765" s="14" t="s">
        <v>82</v>
      </c>
      <c r="D765" s="14" t="s">
        <v>83</v>
      </c>
      <c r="E765" s="14" t="s">
        <v>76</v>
      </c>
      <c r="F765" s="14" t="s">
        <v>100</v>
      </c>
      <c r="G765" s="14" t="s">
        <v>101</v>
      </c>
      <c r="H765" s="0" t="n">
        <v>5</v>
      </c>
      <c r="I765" s="16" t="n">
        <v>15.06</v>
      </c>
      <c r="J765" s="16" t="n">
        <v>5.5</v>
      </c>
      <c r="K765" s="16" t="n">
        <f aca="false">H765*I765</f>
        <v>75.3</v>
      </c>
      <c r="L765" s="16" t="n">
        <f aca="false">H765*J765</f>
        <v>27.5</v>
      </c>
      <c r="M765" s="16" t="n">
        <f aca="false">K765-L765</f>
        <v>47.8</v>
      </c>
      <c r="N765" s="17" t="n">
        <f aca="false">IFERROR(M765/K765,0)</f>
        <v>0.634794156706507</v>
      </c>
    </row>
    <row r="766" customFormat="false" ht="15" hidden="false" customHeight="false" outlineLevel="0" collapsed="false">
      <c r="A766" s="15" t="n">
        <v>46055</v>
      </c>
      <c r="B766" s="14" t="s">
        <v>88</v>
      </c>
      <c r="C766" s="14" t="s">
        <v>89</v>
      </c>
      <c r="D766" s="14" t="s">
        <v>44</v>
      </c>
      <c r="E766" s="14" t="s">
        <v>56</v>
      </c>
      <c r="F766" s="14" t="s">
        <v>98</v>
      </c>
      <c r="G766" s="14" t="s">
        <v>99</v>
      </c>
      <c r="H766" s="0" t="n">
        <v>3</v>
      </c>
      <c r="I766" s="16" t="n">
        <v>21.56</v>
      </c>
      <c r="J766" s="16" t="n">
        <v>8</v>
      </c>
      <c r="K766" s="16" t="n">
        <f aca="false">H766*I766</f>
        <v>64.68</v>
      </c>
      <c r="L766" s="16" t="n">
        <f aca="false">H766*J766</f>
        <v>24</v>
      </c>
      <c r="M766" s="16" t="n">
        <f aca="false">K766-L766</f>
        <v>40.68</v>
      </c>
      <c r="N766" s="17" t="n">
        <f aca="false">IFERROR(M766/K766,0)</f>
        <v>0.628942486085343</v>
      </c>
    </row>
    <row r="767" customFormat="false" ht="15" hidden="false" customHeight="false" outlineLevel="0" collapsed="false">
      <c r="A767" s="15" t="n">
        <v>46055</v>
      </c>
      <c r="B767" s="14" t="s">
        <v>88</v>
      </c>
      <c r="C767" s="14" t="s">
        <v>89</v>
      </c>
      <c r="D767" s="14" t="s">
        <v>44</v>
      </c>
      <c r="E767" s="14" t="s">
        <v>45</v>
      </c>
      <c r="F767" s="14" t="s">
        <v>48</v>
      </c>
      <c r="G767" s="14" t="s">
        <v>49</v>
      </c>
      <c r="H767" s="0" t="n">
        <v>6</v>
      </c>
      <c r="I767" s="16" t="n">
        <v>66.96</v>
      </c>
      <c r="J767" s="16" t="n">
        <v>27.5</v>
      </c>
      <c r="K767" s="16" t="n">
        <f aca="false">H767*I767</f>
        <v>401.76</v>
      </c>
      <c r="L767" s="16" t="n">
        <f aca="false">H767*J767</f>
        <v>165</v>
      </c>
      <c r="M767" s="16" t="n">
        <f aca="false">K767-L767</f>
        <v>236.76</v>
      </c>
      <c r="N767" s="17" t="n">
        <f aca="false">IFERROR(M767/K767,0)</f>
        <v>0.589307048984468</v>
      </c>
    </row>
    <row r="768" customFormat="false" ht="15" hidden="false" customHeight="false" outlineLevel="0" collapsed="false">
      <c r="A768" s="15" t="n">
        <v>46055</v>
      </c>
      <c r="B768" s="14" t="s">
        <v>88</v>
      </c>
      <c r="C768" s="14" t="s">
        <v>89</v>
      </c>
      <c r="D768" s="14" t="s">
        <v>44</v>
      </c>
      <c r="E768" s="14" t="s">
        <v>64</v>
      </c>
      <c r="F768" s="14" t="s">
        <v>96</v>
      </c>
      <c r="G768" s="14" t="s">
        <v>97</v>
      </c>
      <c r="H768" s="0" t="n">
        <v>1</v>
      </c>
      <c r="I768" s="16" t="n">
        <v>58.25</v>
      </c>
      <c r="J768" s="16" t="n">
        <v>24</v>
      </c>
      <c r="K768" s="16" t="n">
        <f aca="false">H768*I768</f>
        <v>58.25</v>
      </c>
      <c r="L768" s="16" t="n">
        <f aca="false">H768*J768</f>
        <v>24</v>
      </c>
      <c r="M768" s="16" t="n">
        <f aca="false">K768-L768</f>
        <v>34.25</v>
      </c>
      <c r="N768" s="17" t="n">
        <f aca="false">IFERROR(M768/K768,0)</f>
        <v>0.587982832618026</v>
      </c>
    </row>
    <row r="769" customFormat="false" ht="15" hidden="false" customHeight="false" outlineLevel="0" collapsed="false">
      <c r="A769" s="15" t="n">
        <v>46055</v>
      </c>
      <c r="B769" s="14" t="s">
        <v>88</v>
      </c>
      <c r="C769" s="14" t="s">
        <v>89</v>
      </c>
      <c r="D769" s="14" t="s">
        <v>44</v>
      </c>
      <c r="E769" s="14" t="s">
        <v>56</v>
      </c>
      <c r="F769" s="14" t="s">
        <v>57</v>
      </c>
      <c r="G769" s="14" t="s">
        <v>58</v>
      </c>
      <c r="H769" s="0" t="n">
        <v>8</v>
      </c>
      <c r="I769" s="16" t="n">
        <v>26.08</v>
      </c>
      <c r="J769" s="16" t="n">
        <v>10</v>
      </c>
      <c r="K769" s="16" t="n">
        <f aca="false">H769*I769</f>
        <v>208.64</v>
      </c>
      <c r="L769" s="16" t="n">
        <f aca="false">H769*J769</f>
        <v>80</v>
      </c>
      <c r="M769" s="16" t="n">
        <f aca="false">K769-L769</f>
        <v>128.64</v>
      </c>
      <c r="N769" s="17" t="n">
        <f aca="false">IFERROR(M769/K769,0)</f>
        <v>0.616564417177914</v>
      </c>
    </row>
    <row r="770" customFormat="false" ht="15" hidden="false" customHeight="false" outlineLevel="0" collapsed="false">
      <c r="A770" s="15" t="n">
        <v>46056</v>
      </c>
      <c r="B770" s="14" t="s">
        <v>42</v>
      </c>
      <c r="C770" s="14" t="s">
        <v>43</v>
      </c>
      <c r="D770" s="14" t="s">
        <v>44</v>
      </c>
      <c r="E770" s="14" t="s">
        <v>64</v>
      </c>
      <c r="F770" s="14" t="s">
        <v>94</v>
      </c>
      <c r="G770" s="14" t="s">
        <v>95</v>
      </c>
      <c r="H770" s="0" t="n">
        <v>2</v>
      </c>
      <c r="I770" s="16" t="n">
        <v>94.21</v>
      </c>
      <c r="J770" s="16" t="n">
        <v>42</v>
      </c>
      <c r="K770" s="16" t="n">
        <f aca="false">H770*I770</f>
        <v>188.42</v>
      </c>
      <c r="L770" s="16" t="n">
        <f aca="false">H770*J770</f>
        <v>84</v>
      </c>
      <c r="M770" s="16" t="n">
        <f aca="false">K770-L770</f>
        <v>104.42</v>
      </c>
      <c r="N770" s="17" t="n">
        <f aca="false">IFERROR(M770/K770,0)</f>
        <v>0.554187453561193</v>
      </c>
    </row>
    <row r="771" customFormat="false" ht="15" hidden="false" customHeight="false" outlineLevel="0" collapsed="false">
      <c r="A771" s="15" t="n">
        <v>46056</v>
      </c>
      <c r="B771" s="14" t="s">
        <v>42</v>
      </c>
      <c r="C771" s="14" t="s">
        <v>43</v>
      </c>
      <c r="D771" s="14" t="s">
        <v>44</v>
      </c>
      <c r="E771" s="14" t="s">
        <v>45</v>
      </c>
      <c r="F771" s="14" t="s">
        <v>62</v>
      </c>
      <c r="G771" s="14" t="s">
        <v>63</v>
      </c>
      <c r="H771" s="0" t="n">
        <v>2</v>
      </c>
      <c r="I771" s="16" t="n">
        <v>17.93</v>
      </c>
      <c r="J771" s="16" t="n">
        <v>6.5</v>
      </c>
      <c r="K771" s="16" t="n">
        <f aca="false">H771*I771</f>
        <v>35.86</v>
      </c>
      <c r="L771" s="16" t="n">
        <f aca="false">H771*J771</f>
        <v>13</v>
      </c>
      <c r="M771" s="16" t="n">
        <f aca="false">K771-L771</f>
        <v>22.86</v>
      </c>
      <c r="N771" s="17" t="n">
        <f aca="false">IFERROR(M771/K771,0)</f>
        <v>0.637479085331846</v>
      </c>
    </row>
    <row r="772" customFormat="false" ht="15" hidden="false" customHeight="false" outlineLevel="0" collapsed="false">
      <c r="A772" s="15" t="n">
        <v>46056</v>
      </c>
      <c r="B772" s="14" t="s">
        <v>42</v>
      </c>
      <c r="C772" s="14" t="s">
        <v>43</v>
      </c>
      <c r="D772" s="14" t="s">
        <v>44</v>
      </c>
      <c r="E772" s="14" t="s">
        <v>64</v>
      </c>
      <c r="F772" s="14" t="s">
        <v>96</v>
      </c>
      <c r="G772" s="14" t="s">
        <v>97</v>
      </c>
      <c r="H772" s="0" t="n">
        <v>3</v>
      </c>
      <c r="I772" s="16" t="n">
        <v>58.87</v>
      </c>
      <c r="J772" s="16" t="n">
        <v>24</v>
      </c>
      <c r="K772" s="16" t="n">
        <f aca="false">H772*I772</f>
        <v>176.61</v>
      </c>
      <c r="L772" s="16" t="n">
        <f aca="false">H772*J772</f>
        <v>72</v>
      </c>
      <c r="M772" s="16" t="n">
        <f aca="false">K772-L772</f>
        <v>104.61</v>
      </c>
      <c r="N772" s="17" t="n">
        <f aca="false">IFERROR(M772/K772,0)</f>
        <v>0.592322065568201</v>
      </c>
    </row>
    <row r="773" customFormat="false" ht="15" hidden="false" customHeight="false" outlineLevel="0" collapsed="false">
      <c r="A773" s="15" t="n">
        <v>46056</v>
      </c>
      <c r="B773" s="14" t="s">
        <v>50</v>
      </c>
      <c r="C773" s="14" t="s">
        <v>51</v>
      </c>
      <c r="D773" s="14" t="s">
        <v>52</v>
      </c>
      <c r="E773" s="14" t="s">
        <v>53</v>
      </c>
      <c r="F773" s="14" t="s">
        <v>74</v>
      </c>
      <c r="G773" s="14" t="s">
        <v>75</v>
      </c>
      <c r="H773" s="0" t="n">
        <v>7</v>
      </c>
      <c r="I773" s="16" t="n">
        <v>82.44</v>
      </c>
      <c r="J773" s="16" t="n">
        <v>38</v>
      </c>
      <c r="K773" s="16" t="n">
        <f aca="false">H773*I773</f>
        <v>577.08</v>
      </c>
      <c r="L773" s="16" t="n">
        <f aca="false">H773*J773</f>
        <v>266</v>
      </c>
      <c r="M773" s="16" t="n">
        <f aca="false">K773-L773</f>
        <v>311.08</v>
      </c>
      <c r="N773" s="17" t="n">
        <f aca="false">IFERROR(M773/K773,0)</f>
        <v>0.539058709364386</v>
      </c>
    </row>
    <row r="774" customFormat="false" ht="15" hidden="false" customHeight="false" outlineLevel="0" collapsed="false">
      <c r="A774" s="15" t="n">
        <v>46056</v>
      </c>
      <c r="B774" s="14" t="s">
        <v>50</v>
      </c>
      <c r="C774" s="14" t="s">
        <v>51</v>
      </c>
      <c r="D774" s="14" t="s">
        <v>52</v>
      </c>
      <c r="E774" s="14" t="s">
        <v>64</v>
      </c>
      <c r="F774" s="14" t="s">
        <v>96</v>
      </c>
      <c r="G774" s="14" t="s">
        <v>97</v>
      </c>
      <c r="H774" s="0" t="n">
        <v>3</v>
      </c>
      <c r="I774" s="16" t="n">
        <v>58.22</v>
      </c>
      <c r="J774" s="16" t="n">
        <v>24</v>
      </c>
      <c r="K774" s="16" t="n">
        <f aca="false">H774*I774</f>
        <v>174.66</v>
      </c>
      <c r="L774" s="16" t="n">
        <f aca="false">H774*J774</f>
        <v>72</v>
      </c>
      <c r="M774" s="16" t="n">
        <f aca="false">K774-L774</f>
        <v>102.66</v>
      </c>
      <c r="N774" s="17" t="n">
        <f aca="false">IFERROR(M774/K774,0)</f>
        <v>0.58777052559258</v>
      </c>
    </row>
    <row r="775" customFormat="false" ht="15" hidden="false" customHeight="false" outlineLevel="0" collapsed="false">
      <c r="A775" s="15" t="n">
        <v>46056</v>
      </c>
      <c r="B775" s="14" t="s">
        <v>50</v>
      </c>
      <c r="C775" s="14" t="s">
        <v>51</v>
      </c>
      <c r="D775" s="14" t="s">
        <v>52</v>
      </c>
      <c r="E775" s="14" t="s">
        <v>76</v>
      </c>
      <c r="F775" s="14" t="s">
        <v>102</v>
      </c>
      <c r="G775" s="14" t="s">
        <v>103</v>
      </c>
      <c r="H775" s="0" t="n">
        <v>2</v>
      </c>
      <c r="I775" s="16" t="n">
        <v>22.25</v>
      </c>
      <c r="J775" s="16" t="n">
        <v>8.5</v>
      </c>
      <c r="K775" s="16" t="n">
        <f aca="false">H775*I775</f>
        <v>44.5</v>
      </c>
      <c r="L775" s="16" t="n">
        <f aca="false">H775*J775</f>
        <v>17</v>
      </c>
      <c r="M775" s="16" t="n">
        <f aca="false">K775-L775</f>
        <v>27.5</v>
      </c>
      <c r="N775" s="17" t="n">
        <f aca="false">IFERROR(M775/K775,0)</f>
        <v>0.617977528089888</v>
      </c>
    </row>
    <row r="776" customFormat="false" ht="15" hidden="false" customHeight="false" outlineLevel="0" collapsed="false">
      <c r="A776" s="15" t="n">
        <v>46056</v>
      </c>
      <c r="B776" s="14" t="s">
        <v>59</v>
      </c>
      <c r="C776" s="14" t="s">
        <v>60</v>
      </c>
      <c r="D776" s="14" t="s">
        <v>61</v>
      </c>
      <c r="E776" s="14" t="s">
        <v>64</v>
      </c>
      <c r="F776" s="14" t="s">
        <v>94</v>
      </c>
      <c r="G776" s="14" t="s">
        <v>95</v>
      </c>
      <c r="H776" s="0" t="n">
        <v>4</v>
      </c>
      <c r="I776" s="16" t="n">
        <v>95.2</v>
      </c>
      <c r="J776" s="16" t="n">
        <v>42</v>
      </c>
      <c r="K776" s="16" t="n">
        <f aca="false">H776*I776</f>
        <v>380.8</v>
      </c>
      <c r="L776" s="16" t="n">
        <f aca="false">H776*J776</f>
        <v>168</v>
      </c>
      <c r="M776" s="16" t="n">
        <f aca="false">K776-L776</f>
        <v>212.8</v>
      </c>
      <c r="N776" s="17" t="n">
        <f aca="false">IFERROR(M776/K776,0)</f>
        <v>0.558823529411765</v>
      </c>
    </row>
    <row r="777" customFormat="false" ht="15" hidden="false" customHeight="false" outlineLevel="0" collapsed="false">
      <c r="A777" s="15" t="n">
        <v>46056</v>
      </c>
      <c r="B777" s="14" t="s">
        <v>59</v>
      </c>
      <c r="C777" s="14" t="s">
        <v>60</v>
      </c>
      <c r="D777" s="14" t="s">
        <v>61</v>
      </c>
      <c r="E777" s="14" t="s">
        <v>45</v>
      </c>
      <c r="F777" s="14" t="s">
        <v>72</v>
      </c>
      <c r="G777" s="14" t="s">
        <v>73</v>
      </c>
      <c r="H777" s="0" t="n">
        <v>2</v>
      </c>
      <c r="I777" s="16" t="n">
        <v>49.56</v>
      </c>
      <c r="J777" s="16" t="n">
        <v>21</v>
      </c>
      <c r="K777" s="16" t="n">
        <f aca="false">H777*I777</f>
        <v>99.12</v>
      </c>
      <c r="L777" s="16" t="n">
        <f aca="false">H777*J777</f>
        <v>42</v>
      </c>
      <c r="M777" s="16" t="n">
        <f aca="false">K777-L777</f>
        <v>57.12</v>
      </c>
      <c r="N777" s="17" t="n">
        <f aca="false">IFERROR(M777/K777,0)</f>
        <v>0.576271186440678</v>
      </c>
    </row>
    <row r="778" customFormat="false" ht="15" hidden="false" customHeight="false" outlineLevel="0" collapsed="false">
      <c r="A778" s="15" t="n">
        <v>46056</v>
      </c>
      <c r="B778" s="14" t="s">
        <v>59</v>
      </c>
      <c r="C778" s="14" t="s">
        <v>60</v>
      </c>
      <c r="D778" s="14" t="s">
        <v>61</v>
      </c>
      <c r="E778" s="14" t="s">
        <v>53</v>
      </c>
      <c r="F778" s="14" t="s">
        <v>74</v>
      </c>
      <c r="G778" s="14" t="s">
        <v>75</v>
      </c>
      <c r="H778" s="0" t="n">
        <v>2</v>
      </c>
      <c r="I778" s="16" t="n">
        <v>85.89</v>
      </c>
      <c r="J778" s="16" t="n">
        <v>38</v>
      </c>
      <c r="K778" s="16" t="n">
        <f aca="false">H778*I778</f>
        <v>171.78</v>
      </c>
      <c r="L778" s="16" t="n">
        <f aca="false">H778*J778</f>
        <v>76</v>
      </c>
      <c r="M778" s="16" t="n">
        <f aca="false">K778-L778</f>
        <v>95.78</v>
      </c>
      <c r="N778" s="17" t="n">
        <f aca="false">IFERROR(M778/K778,0)</f>
        <v>0.557573640703225</v>
      </c>
    </row>
    <row r="779" customFormat="false" ht="15" hidden="false" customHeight="false" outlineLevel="0" collapsed="false">
      <c r="A779" s="15" t="n">
        <v>46056</v>
      </c>
      <c r="B779" s="14" t="s">
        <v>59</v>
      </c>
      <c r="C779" s="14" t="s">
        <v>60</v>
      </c>
      <c r="D779" s="14" t="s">
        <v>61</v>
      </c>
      <c r="E779" s="14" t="s">
        <v>45</v>
      </c>
      <c r="F779" s="14" t="s">
        <v>46</v>
      </c>
      <c r="G779" s="14" t="s">
        <v>47</v>
      </c>
      <c r="H779" s="0" t="n">
        <v>5</v>
      </c>
      <c r="I779" s="16" t="n">
        <v>44.56</v>
      </c>
      <c r="J779" s="16" t="n">
        <v>18</v>
      </c>
      <c r="K779" s="16" t="n">
        <f aca="false">H779*I779</f>
        <v>222.8</v>
      </c>
      <c r="L779" s="16" t="n">
        <f aca="false">H779*J779</f>
        <v>90</v>
      </c>
      <c r="M779" s="16" t="n">
        <f aca="false">K779-L779</f>
        <v>132.8</v>
      </c>
      <c r="N779" s="17" t="n">
        <f aca="false">IFERROR(M779/K779,0)</f>
        <v>0.596050269299821</v>
      </c>
    </row>
    <row r="780" customFormat="false" ht="15" hidden="false" customHeight="false" outlineLevel="0" collapsed="false">
      <c r="A780" s="15" t="n">
        <v>46056</v>
      </c>
      <c r="B780" s="14" t="s">
        <v>59</v>
      </c>
      <c r="C780" s="14" t="s">
        <v>60</v>
      </c>
      <c r="D780" s="14" t="s">
        <v>61</v>
      </c>
      <c r="E780" s="14" t="s">
        <v>76</v>
      </c>
      <c r="F780" s="14" t="s">
        <v>100</v>
      </c>
      <c r="G780" s="14" t="s">
        <v>101</v>
      </c>
      <c r="H780" s="0" t="n">
        <v>6</v>
      </c>
      <c r="I780" s="16" t="n">
        <v>15.45</v>
      </c>
      <c r="J780" s="16" t="n">
        <v>5.5</v>
      </c>
      <c r="K780" s="16" t="n">
        <f aca="false">H780*I780</f>
        <v>92.7</v>
      </c>
      <c r="L780" s="16" t="n">
        <f aca="false">H780*J780</f>
        <v>33</v>
      </c>
      <c r="M780" s="16" t="n">
        <f aca="false">K780-L780</f>
        <v>59.7</v>
      </c>
      <c r="N780" s="17" t="n">
        <f aca="false">IFERROR(M780/K780,0)</f>
        <v>0.644012944983819</v>
      </c>
    </row>
    <row r="781" customFormat="false" ht="15" hidden="false" customHeight="false" outlineLevel="0" collapsed="false">
      <c r="A781" s="15" t="n">
        <v>46056</v>
      </c>
      <c r="B781" s="14" t="s">
        <v>59</v>
      </c>
      <c r="C781" s="14" t="s">
        <v>60</v>
      </c>
      <c r="D781" s="14" t="s">
        <v>61</v>
      </c>
      <c r="E781" s="14" t="s">
        <v>64</v>
      </c>
      <c r="F781" s="14" t="s">
        <v>65</v>
      </c>
      <c r="G781" s="14" t="s">
        <v>66</v>
      </c>
      <c r="H781" s="0" t="n">
        <v>2</v>
      </c>
      <c r="I781" s="16" t="n">
        <v>74.42</v>
      </c>
      <c r="J781" s="16" t="n">
        <v>34</v>
      </c>
      <c r="K781" s="16" t="n">
        <f aca="false">H781*I781</f>
        <v>148.84</v>
      </c>
      <c r="L781" s="16" t="n">
        <f aca="false">H781*J781</f>
        <v>68</v>
      </c>
      <c r="M781" s="16" t="n">
        <f aca="false">K781-L781</f>
        <v>80.84</v>
      </c>
      <c r="N781" s="17" t="n">
        <f aca="false">IFERROR(M781/K781,0)</f>
        <v>0.543133566245633</v>
      </c>
    </row>
    <row r="782" customFormat="false" ht="15" hidden="false" customHeight="false" outlineLevel="0" collapsed="false">
      <c r="A782" s="15" t="n">
        <v>46056</v>
      </c>
      <c r="B782" s="14" t="s">
        <v>69</v>
      </c>
      <c r="C782" s="14" t="s">
        <v>70</v>
      </c>
      <c r="D782" s="14" t="s">
        <v>71</v>
      </c>
      <c r="E782" s="14" t="s">
        <v>56</v>
      </c>
      <c r="F782" s="14" t="s">
        <v>57</v>
      </c>
      <c r="G782" s="14" t="s">
        <v>58</v>
      </c>
      <c r="H782" s="0" t="n">
        <v>1</v>
      </c>
      <c r="I782" s="16" t="n">
        <v>25.69</v>
      </c>
      <c r="J782" s="16" t="n">
        <v>10</v>
      </c>
      <c r="K782" s="16" t="n">
        <f aca="false">H782*I782</f>
        <v>25.69</v>
      </c>
      <c r="L782" s="16" t="n">
        <f aca="false">H782*J782</f>
        <v>10</v>
      </c>
      <c r="M782" s="16" t="n">
        <f aca="false">K782-L782</f>
        <v>15.69</v>
      </c>
      <c r="N782" s="17" t="n">
        <f aca="false">IFERROR(M782/K782,0)</f>
        <v>0.610743479953289</v>
      </c>
    </row>
    <row r="783" customFormat="false" ht="15" hidden="false" customHeight="false" outlineLevel="0" collapsed="false">
      <c r="A783" s="15" t="n">
        <v>46056</v>
      </c>
      <c r="B783" s="14" t="s">
        <v>69</v>
      </c>
      <c r="C783" s="14" t="s">
        <v>70</v>
      </c>
      <c r="D783" s="14" t="s">
        <v>71</v>
      </c>
      <c r="E783" s="14" t="s">
        <v>76</v>
      </c>
      <c r="F783" s="14" t="s">
        <v>77</v>
      </c>
      <c r="G783" s="14" t="s">
        <v>78</v>
      </c>
      <c r="H783" s="0" t="n">
        <v>1</v>
      </c>
      <c r="I783" s="16" t="n">
        <v>41.15</v>
      </c>
      <c r="J783" s="16" t="n">
        <v>15</v>
      </c>
      <c r="K783" s="16" t="n">
        <f aca="false">H783*I783</f>
        <v>41.15</v>
      </c>
      <c r="L783" s="16" t="n">
        <f aca="false">H783*J783</f>
        <v>15</v>
      </c>
      <c r="M783" s="16" t="n">
        <f aca="false">K783-L783</f>
        <v>26.15</v>
      </c>
      <c r="N783" s="17" t="n">
        <f aca="false">IFERROR(M783/K783,0)</f>
        <v>0.635479951397327</v>
      </c>
    </row>
    <row r="784" customFormat="false" ht="15" hidden="false" customHeight="false" outlineLevel="0" collapsed="false">
      <c r="A784" s="15" t="n">
        <v>46056</v>
      </c>
      <c r="B784" s="14" t="s">
        <v>69</v>
      </c>
      <c r="C784" s="14" t="s">
        <v>70</v>
      </c>
      <c r="D784" s="14" t="s">
        <v>71</v>
      </c>
      <c r="E784" s="14" t="s">
        <v>76</v>
      </c>
      <c r="F784" s="14" t="s">
        <v>102</v>
      </c>
      <c r="G784" s="14" t="s">
        <v>103</v>
      </c>
      <c r="H784" s="0" t="n">
        <v>1</v>
      </c>
      <c r="I784" s="16" t="n">
        <v>22.73</v>
      </c>
      <c r="J784" s="16" t="n">
        <v>8.5</v>
      </c>
      <c r="K784" s="16" t="n">
        <f aca="false">H784*I784</f>
        <v>22.73</v>
      </c>
      <c r="L784" s="16" t="n">
        <f aca="false">H784*J784</f>
        <v>8.5</v>
      </c>
      <c r="M784" s="16" t="n">
        <f aca="false">K784-L784</f>
        <v>14.23</v>
      </c>
      <c r="N784" s="17" t="n">
        <f aca="false">IFERROR(M784/K784,0)</f>
        <v>0.626044874615046</v>
      </c>
    </row>
    <row r="785" customFormat="false" ht="15" hidden="false" customHeight="false" outlineLevel="0" collapsed="false">
      <c r="A785" s="15" t="n">
        <v>46056</v>
      </c>
      <c r="B785" s="14" t="s">
        <v>81</v>
      </c>
      <c r="C785" s="14" t="s">
        <v>82</v>
      </c>
      <c r="D785" s="14" t="s">
        <v>83</v>
      </c>
      <c r="E785" s="14" t="s">
        <v>76</v>
      </c>
      <c r="F785" s="14" t="s">
        <v>102</v>
      </c>
      <c r="G785" s="14" t="s">
        <v>103</v>
      </c>
      <c r="H785" s="0" t="n">
        <v>5</v>
      </c>
      <c r="I785" s="16" t="n">
        <v>23.73</v>
      </c>
      <c r="J785" s="16" t="n">
        <v>8.5</v>
      </c>
      <c r="K785" s="16" t="n">
        <f aca="false">H785*I785</f>
        <v>118.65</v>
      </c>
      <c r="L785" s="16" t="n">
        <f aca="false">H785*J785</f>
        <v>42.5</v>
      </c>
      <c r="M785" s="16" t="n">
        <f aca="false">K785-L785</f>
        <v>76.15</v>
      </c>
      <c r="N785" s="17" t="n">
        <f aca="false">IFERROR(M785/K785,0)</f>
        <v>0.641803624104509</v>
      </c>
    </row>
    <row r="786" customFormat="false" ht="15" hidden="false" customHeight="false" outlineLevel="0" collapsed="false">
      <c r="A786" s="15" t="n">
        <v>46056</v>
      </c>
      <c r="B786" s="14" t="s">
        <v>81</v>
      </c>
      <c r="C786" s="14" t="s">
        <v>82</v>
      </c>
      <c r="D786" s="14" t="s">
        <v>83</v>
      </c>
      <c r="E786" s="14" t="s">
        <v>45</v>
      </c>
      <c r="F786" s="14" t="s">
        <v>62</v>
      </c>
      <c r="G786" s="14" t="s">
        <v>63</v>
      </c>
      <c r="H786" s="0" t="n">
        <v>2</v>
      </c>
      <c r="I786" s="16" t="n">
        <v>16.99</v>
      </c>
      <c r="J786" s="16" t="n">
        <v>6.5</v>
      </c>
      <c r="K786" s="16" t="n">
        <f aca="false">H786*I786</f>
        <v>33.98</v>
      </c>
      <c r="L786" s="16" t="n">
        <f aca="false">H786*J786</f>
        <v>13</v>
      </c>
      <c r="M786" s="16" t="n">
        <f aca="false">K786-L786</f>
        <v>20.98</v>
      </c>
      <c r="N786" s="17" t="n">
        <f aca="false">IFERROR(M786/K786,0)</f>
        <v>0.617422012948793</v>
      </c>
    </row>
    <row r="787" customFormat="false" ht="15" hidden="false" customHeight="false" outlineLevel="0" collapsed="false">
      <c r="A787" s="15" t="n">
        <v>46056</v>
      </c>
      <c r="B787" s="14" t="s">
        <v>81</v>
      </c>
      <c r="C787" s="14" t="s">
        <v>82</v>
      </c>
      <c r="D787" s="14" t="s">
        <v>83</v>
      </c>
      <c r="E787" s="14" t="s">
        <v>64</v>
      </c>
      <c r="F787" s="14" t="s">
        <v>94</v>
      </c>
      <c r="G787" s="14" t="s">
        <v>95</v>
      </c>
      <c r="H787" s="0" t="n">
        <v>3</v>
      </c>
      <c r="I787" s="16" t="n">
        <v>96.85</v>
      </c>
      <c r="J787" s="16" t="n">
        <v>42</v>
      </c>
      <c r="K787" s="16" t="n">
        <f aca="false">H787*I787</f>
        <v>290.55</v>
      </c>
      <c r="L787" s="16" t="n">
        <f aca="false">H787*J787</f>
        <v>126</v>
      </c>
      <c r="M787" s="16" t="n">
        <f aca="false">K787-L787</f>
        <v>164.55</v>
      </c>
      <c r="N787" s="17" t="n">
        <f aca="false">IFERROR(M787/K787,0)</f>
        <v>0.566339700567888</v>
      </c>
    </row>
    <row r="788" customFormat="false" ht="15" hidden="false" customHeight="false" outlineLevel="0" collapsed="false">
      <c r="A788" s="15" t="n">
        <v>46056</v>
      </c>
      <c r="B788" s="14" t="s">
        <v>81</v>
      </c>
      <c r="C788" s="14" t="s">
        <v>82</v>
      </c>
      <c r="D788" s="14" t="s">
        <v>83</v>
      </c>
      <c r="E788" s="14" t="s">
        <v>56</v>
      </c>
      <c r="F788" s="14" t="s">
        <v>98</v>
      </c>
      <c r="G788" s="14" t="s">
        <v>99</v>
      </c>
      <c r="H788" s="0" t="n">
        <v>3</v>
      </c>
      <c r="I788" s="16" t="n">
        <v>21.02</v>
      </c>
      <c r="J788" s="16" t="n">
        <v>8</v>
      </c>
      <c r="K788" s="16" t="n">
        <f aca="false">H788*I788</f>
        <v>63.06</v>
      </c>
      <c r="L788" s="16" t="n">
        <f aca="false">H788*J788</f>
        <v>24</v>
      </c>
      <c r="M788" s="16" t="n">
        <f aca="false">K788-L788</f>
        <v>39.06</v>
      </c>
      <c r="N788" s="17" t="n">
        <f aca="false">IFERROR(M788/K788,0)</f>
        <v>0.619410085632731</v>
      </c>
    </row>
    <row r="789" customFormat="false" ht="15" hidden="false" customHeight="false" outlineLevel="0" collapsed="false">
      <c r="A789" s="15" t="n">
        <v>46056</v>
      </c>
      <c r="B789" s="14" t="s">
        <v>88</v>
      </c>
      <c r="C789" s="14" t="s">
        <v>89</v>
      </c>
      <c r="D789" s="14" t="s">
        <v>44</v>
      </c>
      <c r="E789" s="14" t="s">
        <v>64</v>
      </c>
      <c r="F789" s="14" t="s">
        <v>94</v>
      </c>
      <c r="G789" s="14" t="s">
        <v>95</v>
      </c>
      <c r="H789" s="0" t="n">
        <v>1</v>
      </c>
      <c r="I789" s="16" t="n">
        <v>95.16</v>
      </c>
      <c r="J789" s="16" t="n">
        <v>42</v>
      </c>
      <c r="K789" s="16" t="n">
        <f aca="false">H789*I789</f>
        <v>95.16</v>
      </c>
      <c r="L789" s="16" t="n">
        <f aca="false">H789*J789</f>
        <v>42</v>
      </c>
      <c r="M789" s="16" t="n">
        <f aca="false">K789-L789</f>
        <v>53.16</v>
      </c>
      <c r="N789" s="17" t="n">
        <f aca="false">IFERROR(M789/K789,0)</f>
        <v>0.558638083228247</v>
      </c>
    </row>
    <row r="790" customFormat="false" ht="15" hidden="false" customHeight="false" outlineLevel="0" collapsed="false">
      <c r="A790" s="15" t="n">
        <v>46056</v>
      </c>
      <c r="B790" s="14" t="s">
        <v>88</v>
      </c>
      <c r="C790" s="14" t="s">
        <v>89</v>
      </c>
      <c r="D790" s="14" t="s">
        <v>44</v>
      </c>
      <c r="E790" s="14" t="s">
        <v>53</v>
      </c>
      <c r="F790" s="14" t="s">
        <v>74</v>
      </c>
      <c r="G790" s="14" t="s">
        <v>75</v>
      </c>
      <c r="H790" s="0" t="n">
        <v>4</v>
      </c>
      <c r="I790" s="16" t="n">
        <v>86.93</v>
      </c>
      <c r="J790" s="16" t="n">
        <v>38</v>
      </c>
      <c r="K790" s="16" t="n">
        <f aca="false">H790*I790</f>
        <v>347.72</v>
      </c>
      <c r="L790" s="16" t="n">
        <f aca="false">H790*J790</f>
        <v>152</v>
      </c>
      <c r="M790" s="16" t="n">
        <f aca="false">K790-L790</f>
        <v>195.72</v>
      </c>
      <c r="N790" s="17" t="n">
        <f aca="false">IFERROR(M790/K790,0)</f>
        <v>0.562866674335672</v>
      </c>
    </row>
    <row r="791" customFormat="false" ht="15" hidden="false" customHeight="false" outlineLevel="0" collapsed="false">
      <c r="A791" s="15" t="n">
        <v>46056</v>
      </c>
      <c r="B791" s="14" t="s">
        <v>88</v>
      </c>
      <c r="C791" s="14" t="s">
        <v>89</v>
      </c>
      <c r="D791" s="14" t="s">
        <v>44</v>
      </c>
      <c r="E791" s="14" t="s">
        <v>64</v>
      </c>
      <c r="F791" s="14" t="s">
        <v>96</v>
      </c>
      <c r="G791" s="14" t="s">
        <v>97</v>
      </c>
      <c r="H791" s="0" t="n">
        <v>1</v>
      </c>
      <c r="I791" s="16" t="n">
        <v>55.1</v>
      </c>
      <c r="J791" s="16" t="n">
        <v>24</v>
      </c>
      <c r="K791" s="16" t="n">
        <f aca="false">H791*I791</f>
        <v>55.1</v>
      </c>
      <c r="L791" s="16" t="n">
        <f aca="false">H791*J791</f>
        <v>24</v>
      </c>
      <c r="M791" s="16" t="n">
        <f aca="false">K791-L791</f>
        <v>31.1</v>
      </c>
      <c r="N791" s="17" t="n">
        <f aca="false">IFERROR(M791/K791,0)</f>
        <v>0.56442831215971</v>
      </c>
    </row>
    <row r="792" customFormat="false" ht="15" hidden="false" customHeight="false" outlineLevel="0" collapsed="false">
      <c r="A792" s="15" t="n">
        <v>46056</v>
      </c>
      <c r="B792" s="14" t="s">
        <v>88</v>
      </c>
      <c r="C792" s="14" t="s">
        <v>89</v>
      </c>
      <c r="D792" s="14" t="s">
        <v>44</v>
      </c>
      <c r="E792" s="14" t="s">
        <v>53</v>
      </c>
      <c r="F792" s="14" t="s">
        <v>74</v>
      </c>
      <c r="G792" s="14" t="s">
        <v>75</v>
      </c>
      <c r="H792" s="0" t="n">
        <v>4</v>
      </c>
      <c r="I792" s="16" t="n">
        <v>82.12</v>
      </c>
      <c r="J792" s="16" t="n">
        <v>38</v>
      </c>
      <c r="K792" s="16" t="n">
        <f aca="false">H792*I792</f>
        <v>328.48</v>
      </c>
      <c r="L792" s="16" t="n">
        <f aca="false">H792*J792</f>
        <v>152</v>
      </c>
      <c r="M792" s="16" t="n">
        <f aca="false">K792-L792</f>
        <v>176.48</v>
      </c>
      <c r="N792" s="17" t="n">
        <f aca="false">IFERROR(M792/K792,0)</f>
        <v>0.537262542620555</v>
      </c>
    </row>
    <row r="793" customFormat="false" ht="15" hidden="false" customHeight="false" outlineLevel="0" collapsed="false">
      <c r="A793" s="15" t="n">
        <v>46056</v>
      </c>
      <c r="B793" s="14" t="s">
        <v>88</v>
      </c>
      <c r="C793" s="14" t="s">
        <v>89</v>
      </c>
      <c r="D793" s="14" t="s">
        <v>44</v>
      </c>
      <c r="E793" s="14" t="s">
        <v>45</v>
      </c>
      <c r="F793" s="14" t="s">
        <v>46</v>
      </c>
      <c r="G793" s="14" t="s">
        <v>47</v>
      </c>
      <c r="H793" s="0" t="n">
        <v>4</v>
      </c>
      <c r="I793" s="16" t="n">
        <v>42.39</v>
      </c>
      <c r="J793" s="16" t="n">
        <v>18</v>
      </c>
      <c r="K793" s="16" t="n">
        <f aca="false">H793*I793</f>
        <v>169.56</v>
      </c>
      <c r="L793" s="16" t="n">
        <f aca="false">H793*J793</f>
        <v>72</v>
      </c>
      <c r="M793" s="16" t="n">
        <f aca="false">K793-L793</f>
        <v>97.56</v>
      </c>
      <c r="N793" s="17" t="n">
        <f aca="false">IFERROR(M793/K793,0)</f>
        <v>0.575371549893843</v>
      </c>
    </row>
    <row r="794" customFormat="false" ht="15" hidden="false" customHeight="false" outlineLevel="0" collapsed="false">
      <c r="A794" s="15" t="n">
        <v>46057</v>
      </c>
      <c r="B794" s="14" t="s">
        <v>42</v>
      </c>
      <c r="C794" s="14" t="s">
        <v>43</v>
      </c>
      <c r="D794" s="14" t="s">
        <v>44</v>
      </c>
      <c r="E794" s="14" t="s">
        <v>56</v>
      </c>
      <c r="F794" s="14" t="s">
        <v>57</v>
      </c>
      <c r="G794" s="14" t="s">
        <v>58</v>
      </c>
      <c r="H794" s="0" t="n">
        <v>3</v>
      </c>
      <c r="I794" s="16" t="n">
        <v>26.31</v>
      </c>
      <c r="J794" s="16" t="n">
        <v>10</v>
      </c>
      <c r="K794" s="16" t="n">
        <f aca="false">H794*I794</f>
        <v>78.93</v>
      </c>
      <c r="L794" s="16" t="n">
        <f aca="false">H794*J794</f>
        <v>30</v>
      </c>
      <c r="M794" s="16" t="n">
        <f aca="false">K794-L794</f>
        <v>48.93</v>
      </c>
      <c r="N794" s="17" t="n">
        <f aca="false">IFERROR(M794/K794,0)</f>
        <v>0.619916381603953</v>
      </c>
    </row>
    <row r="795" customFormat="false" ht="15" hidden="false" customHeight="false" outlineLevel="0" collapsed="false">
      <c r="A795" s="15" t="n">
        <v>46057</v>
      </c>
      <c r="B795" s="14" t="s">
        <v>42</v>
      </c>
      <c r="C795" s="14" t="s">
        <v>43</v>
      </c>
      <c r="D795" s="14" t="s">
        <v>44</v>
      </c>
      <c r="E795" s="14" t="s">
        <v>53</v>
      </c>
      <c r="F795" s="14" t="s">
        <v>92</v>
      </c>
      <c r="G795" s="14" t="s">
        <v>93</v>
      </c>
      <c r="H795" s="0" t="n">
        <v>9</v>
      </c>
      <c r="I795" s="16" t="n">
        <v>116.1</v>
      </c>
      <c r="J795" s="16" t="n">
        <v>52</v>
      </c>
      <c r="K795" s="16" t="n">
        <f aca="false">H795*I795</f>
        <v>1044.9</v>
      </c>
      <c r="L795" s="16" t="n">
        <f aca="false">H795*J795</f>
        <v>468</v>
      </c>
      <c r="M795" s="16" t="n">
        <f aca="false">K795-L795</f>
        <v>576.9</v>
      </c>
      <c r="N795" s="17" t="n">
        <f aca="false">IFERROR(M795/K795,0)</f>
        <v>0.552110249784668</v>
      </c>
    </row>
    <row r="796" customFormat="false" ht="15" hidden="false" customHeight="false" outlineLevel="0" collapsed="false">
      <c r="A796" s="15" t="n">
        <v>46057</v>
      </c>
      <c r="B796" s="14" t="s">
        <v>42</v>
      </c>
      <c r="C796" s="14" t="s">
        <v>43</v>
      </c>
      <c r="D796" s="14" t="s">
        <v>44</v>
      </c>
      <c r="E796" s="14" t="s">
        <v>53</v>
      </c>
      <c r="F796" s="14" t="s">
        <v>84</v>
      </c>
      <c r="G796" s="14" t="s">
        <v>85</v>
      </c>
      <c r="H796" s="0" t="n">
        <v>7</v>
      </c>
      <c r="I796" s="16" t="n">
        <v>23.69</v>
      </c>
      <c r="J796" s="16" t="n">
        <v>9</v>
      </c>
      <c r="K796" s="16" t="n">
        <f aca="false">H796*I796</f>
        <v>165.83</v>
      </c>
      <c r="L796" s="16" t="n">
        <f aca="false">H796*J796</f>
        <v>63</v>
      </c>
      <c r="M796" s="16" t="n">
        <f aca="false">K796-L796</f>
        <v>102.83</v>
      </c>
      <c r="N796" s="17" t="n">
        <f aca="false">IFERROR(M796/K796,0)</f>
        <v>0.620092866188265</v>
      </c>
    </row>
    <row r="797" customFormat="false" ht="15" hidden="false" customHeight="false" outlineLevel="0" collapsed="false">
      <c r="A797" s="15" t="n">
        <v>46057</v>
      </c>
      <c r="B797" s="14" t="s">
        <v>42</v>
      </c>
      <c r="C797" s="14" t="s">
        <v>43</v>
      </c>
      <c r="D797" s="14" t="s">
        <v>44</v>
      </c>
      <c r="E797" s="14" t="s">
        <v>76</v>
      </c>
      <c r="F797" s="14" t="s">
        <v>79</v>
      </c>
      <c r="G797" s="14" t="s">
        <v>80</v>
      </c>
      <c r="H797" s="0" t="n">
        <v>6</v>
      </c>
      <c r="I797" s="16" t="n">
        <v>27.67</v>
      </c>
      <c r="J797" s="16" t="n">
        <v>11</v>
      </c>
      <c r="K797" s="16" t="n">
        <f aca="false">H797*I797</f>
        <v>166.02</v>
      </c>
      <c r="L797" s="16" t="n">
        <f aca="false">H797*J797</f>
        <v>66</v>
      </c>
      <c r="M797" s="16" t="n">
        <f aca="false">K797-L797</f>
        <v>100.02</v>
      </c>
      <c r="N797" s="17" t="n">
        <f aca="false">IFERROR(M797/K797,0)</f>
        <v>0.602457535236719</v>
      </c>
    </row>
    <row r="798" customFormat="false" ht="15" hidden="false" customHeight="false" outlineLevel="0" collapsed="false">
      <c r="A798" s="15" t="n">
        <v>46057</v>
      </c>
      <c r="B798" s="14" t="s">
        <v>42</v>
      </c>
      <c r="C798" s="14" t="s">
        <v>43</v>
      </c>
      <c r="D798" s="14" t="s">
        <v>44</v>
      </c>
      <c r="E798" s="14" t="s">
        <v>45</v>
      </c>
      <c r="F798" s="14" t="s">
        <v>62</v>
      </c>
      <c r="G798" s="14" t="s">
        <v>63</v>
      </c>
      <c r="H798" s="0" t="n">
        <v>5</v>
      </c>
      <c r="I798" s="16" t="n">
        <v>17.79</v>
      </c>
      <c r="J798" s="16" t="n">
        <v>6.5</v>
      </c>
      <c r="K798" s="16" t="n">
        <f aca="false">H798*I798</f>
        <v>88.95</v>
      </c>
      <c r="L798" s="16" t="n">
        <f aca="false">H798*J798</f>
        <v>32.5</v>
      </c>
      <c r="M798" s="16" t="n">
        <f aca="false">K798-L798</f>
        <v>56.45</v>
      </c>
      <c r="N798" s="17" t="n">
        <f aca="false">IFERROR(M798/K798,0)</f>
        <v>0.634626194491287</v>
      </c>
    </row>
    <row r="799" customFormat="false" ht="15" hidden="false" customHeight="false" outlineLevel="0" collapsed="false">
      <c r="A799" s="15" t="n">
        <v>46057</v>
      </c>
      <c r="B799" s="14" t="s">
        <v>50</v>
      </c>
      <c r="C799" s="14" t="s">
        <v>51</v>
      </c>
      <c r="D799" s="14" t="s">
        <v>52</v>
      </c>
      <c r="E799" s="14" t="s">
        <v>53</v>
      </c>
      <c r="F799" s="14" t="s">
        <v>92</v>
      </c>
      <c r="G799" s="14" t="s">
        <v>93</v>
      </c>
      <c r="H799" s="0" t="n">
        <v>7</v>
      </c>
      <c r="I799" s="16" t="n">
        <v>115.33</v>
      </c>
      <c r="J799" s="16" t="n">
        <v>52</v>
      </c>
      <c r="K799" s="16" t="n">
        <f aca="false">H799*I799</f>
        <v>807.31</v>
      </c>
      <c r="L799" s="16" t="n">
        <f aca="false">H799*J799</f>
        <v>364</v>
      </c>
      <c r="M799" s="16" t="n">
        <f aca="false">K799-L799</f>
        <v>443.31</v>
      </c>
      <c r="N799" s="17" t="n">
        <f aca="false">IFERROR(M799/K799,0)</f>
        <v>0.5491199167606</v>
      </c>
    </row>
    <row r="800" customFormat="false" ht="15" hidden="false" customHeight="false" outlineLevel="0" collapsed="false">
      <c r="A800" s="15" t="n">
        <v>46057</v>
      </c>
      <c r="B800" s="14" t="s">
        <v>50</v>
      </c>
      <c r="C800" s="14" t="s">
        <v>51</v>
      </c>
      <c r="D800" s="14" t="s">
        <v>52</v>
      </c>
      <c r="E800" s="14" t="s">
        <v>45</v>
      </c>
      <c r="F800" s="14" t="s">
        <v>72</v>
      </c>
      <c r="G800" s="14" t="s">
        <v>73</v>
      </c>
      <c r="H800" s="0" t="n">
        <v>3</v>
      </c>
      <c r="I800" s="16" t="n">
        <v>50.53</v>
      </c>
      <c r="J800" s="16" t="n">
        <v>21</v>
      </c>
      <c r="K800" s="16" t="n">
        <f aca="false">H800*I800</f>
        <v>151.59</v>
      </c>
      <c r="L800" s="16" t="n">
        <f aca="false">H800*J800</f>
        <v>63</v>
      </c>
      <c r="M800" s="16" t="n">
        <f aca="false">K800-L800</f>
        <v>88.59</v>
      </c>
      <c r="N800" s="17" t="n">
        <f aca="false">IFERROR(M800/K800,0)</f>
        <v>0.584405303779933</v>
      </c>
    </row>
    <row r="801" customFormat="false" ht="15" hidden="false" customHeight="false" outlineLevel="0" collapsed="false">
      <c r="A801" s="15" t="n">
        <v>46057</v>
      </c>
      <c r="B801" s="14" t="s">
        <v>50</v>
      </c>
      <c r="C801" s="14" t="s">
        <v>51</v>
      </c>
      <c r="D801" s="14" t="s">
        <v>52</v>
      </c>
      <c r="E801" s="14" t="s">
        <v>56</v>
      </c>
      <c r="F801" s="14" t="s">
        <v>98</v>
      </c>
      <c r="G801" s="14" t="s">
        <v>99</v>
      </c>
      <c r="H801" s="0" t="n">
        <v>5</v>
      </c>
      <c r="I801" s="16" t="n">
        <v>20.68</v>
      </c>
      <c r="J801" s="16" t="n">
        <v>8</v>
      </c>
      <c r="K801" s="16" t="n">
        <f aca="false">H801*I801</f>
        <v>103.4</v>
      </c>
      <c r="L801" s="16" t="n">
        <f aca="false">H801*J801</f>
        <v>40</v>
      </c>
      <c r="M801" s="16" t="n">
        <f aca="false">K801-L801</f>
        <v>63.4</v>
      </c>
      <c r="N801" s="17" t="n">
        <f aca="false">IFERROR(M801/K801,0)</f>
        <v>0.613152804642166</v>
      </c>
    </row>
    <row r="802" customFormat="false" ht="15" hidden="false" customHeight="false" outlineLevel="0" collapsed="false">
      <c r="A802" s="15" t="n">
        <v>46057</v>
      </c>
      <c r="B802" s="14" t="s">
        <v>59</v>
      </c>
      <c r="C802" s="14" t="s">
        <v>60</v>
      </c>
      <c r="D802" s="14" t="s">
        <v>61</v>
      </c>
      <c r="E802" s="14" t="s">
        <v>76</v>
      </c>
      <c r="F802" s="14" t="s">
        <v>100</v>
      </c>
      <c r="G802" s="14" t="s">
        <v>101</v>
      </c>
      <c r="H802" s="0" t="n">
        <v>6</v>
      </c>
      <c r="I802" s="16" t="n">
        <v>15.81</v>
      </c>
      <c r="J802" s="16" t="n">
        <v>5.5</v>
      </c>
      <c r="K802" s="16" t="n">
        <f aca="false">H802*I802</f>
        <v>94.86</v>
      </c>
      <c r="L802" s="16" t="n">
        <f aca="false">H802*J802</f>
        <v>33</v>
      </c>
      <c r="M802" s="16" t="n">
        <f aca="false">K802-L802</f>
        <v>61.86</v>
      </c>
      <c r="N802" s="17" t="n">
        <f aca="false">IFERROR(M802/K802,0)</f>
        <v>0.652118912080961</v>
      </c>
    </row>
    <row r="803" customFormat="false" ht="15" hidden="false" customHeight="false" outlineLevel="0" collapsed="false">
      <c r="A803" s="15" t="n">
        <v>46057</v>
      </c>
      <c r="B803" s="14" t="s">
        <v>59</v>
      </c>
      <c r="C803" s="14" t="s">
        <v>60</v>
      </c>
      <c r="D803" s="14" t="s">
        <v>61</v>
      </c>
      <c r="E803" s="14" t="s">
        <v>64</v>
      </c>
      <c r="F803" s="14" t="s">
        <v>94</v>
      </c>
      <c r="G803" s="14" t="s">
        <v>95</v>
      </c>
      <c r="H803" s="0" t="n">
        <v>3</v>
      </c>
      <c r="I803" s="16" t="n">
        <v>94.78</v>
      </c>
      <c r="J803" s="16" t="n">
        <v>42</v>
      </c>
      <c r="K803" s="16" t="n">
        <f aca="false">H803*I803</f>
        <v>284.34</v>
      </c>
      <c r="L803" s="16" t="n">
        <f aca="false">H803*J803</f>
        <v>126</v>
      </c>
      <c r="M803" s="16" t="n">
        <f aca="false">K803-L803</f>
        <v>158.34</v>
      </c>
      <c r="N803" s="17" t="n">
        <f aca="false">IFERROR(M803/K803,0)</f>
        <v>0.556868537666174</v>
      </c>
    </row>
    <row r="804" customFormat="false" ht="15" hidden="false" customHeight="false" outlineLevel="0" collapsed="false">
      <c r="A804" s="15" t="n">
        <v>46057</v>
      </c>
      <c r="B804" s="14" t="s">
        <v>59</v>
      </c>
      <c r="C804" s="14" t="s">
        <v>60</v>
      </c>
      <c r="D804" s="14" t="s">
        <v>61</v>
      </c>
      <c r="E804" s="14" t="s">
        <v>56</v>
      </c>
      <c r="F804" s="14" t="s">
        <v>57</v>
      </c>
      <c r="G804" s="14" t="s">
        <v>58</v>
      </c>
      <c r="H804" s="0" t="n">
        <v>2</v>
      </c>
      <c r="I804" s="16" t="n">
        <v>24.86</v>
      </c>
      <c r="J804" s="16" t="n">
        <v>10</v>
      </c>
      <c r="K804" s="16" t="n">
        <f aca="false">H804*I804</f>
        <v>49.72</v>
      </c>
      <c r="L804" s="16" t="n">
        <f aca="false">H804*J804</f>
        <v>20</v>
      </c>
      <c r="M804" s="16" t="n">
        <f aca="false">K804-L804</f>
        <v>29.72</v>
      </c>
      <c r="N804" s="17" t="n">
        <f aca="false">IFERROR(M804/K804,0)</f>
        <v>0.597747385358005</v>
      </c>
    </row>
    <row r="805" customFormat="false" ht="15" hidden="false" customHeight="false" outlineLevel="0" collapsed="false">
      <c r="A805" s="15" t="n">
        <v>46057</v>
      </c>
      <c r="B805" s="14" t="s">
        <v>59</v>
      </c>
      <c r="C805" s="14" t="s">
        <v>60</v>
      </c>
      <c r="D805" s="14" t="s">
        <v>61</v>
      </c>
      <c r="E805" s="14" t="s">
        <v>76</v>
      </c>
      <c r="F805" s="14" t="s">
        <v>102</v>
      </c>
      <c r="G805" s="14" t="s">
        <v>103</v>
      </c>
      <c r="H805" s="0" t="n">
        <v>4</v>
      </c>
      <c r="I805" s="16" t="n">
        <v>23.39</v>
      </c>
      <c r="J805" s="16" t="n">
        <v>8.5</v>
      </c>
      <c r="K805" s="16" t="n">
        <f aca="false">H805*I805</f>
        <v>93.56</v>
      </c>
      <c r="L805" s="16" t="n">
        <f aca="false">H805*J805</f>
        <v>34</v>
      </c>
      <c r="M805" s="16" t="n">
        <f aca="false">K805-L805</f>
        <v>59.56</v>
      </c>
      <c r="N805" s="17" t="n">
        <f aca="false">IFERROR(M805/K805,0)</f>
        <v>0.63659683625481</v>
      </c>
    </row>
    <row r="806" customFormat="false" ht="15" hidden="false" customHeight="false" outlineLevel="0" collapsed="false">
      <c r="A806" s="15" t="n">
        <v>46057</v>
      </c>
      <c r="B806" s="14" t="s">
        <v>69</v>
      </c>
      <c r="C806" s="14" t="s">
        <v>70</v>
      </c>
      <c r="D806" s="14" t="s">
        <v>71</v>
      </c>
      <c r="E806" s="14" t="s">
        <v>45</v>
      </c>
      <c r="F806" s="14" t="s">
        <v>46</v>
      </c>
      <c r="G806" s="14" t="s">
        <v>47</v>
      </c>
      <c r="H806" s="0" t="n">
        <v>4</v>
      </c>
      <c r="I806" s="16" t="n">
        <v>43.71</v>
      </c>
      <c r="J806" s="16" t="n">
        <v>18</v>
      </c>
      <c r="K806" s="16" t="n">
        <f aca="false">H806*I806</f>
        <v>174.84</v>
      </c>
      <c r="L806" s="16" t="n">
        <f aca="false">H806*J806</f>
        <v>72</v>
      </c>
      <c r="M806" s="16" t="n">
        <f aca="false">K806-L806</f>
        <v>102.84</v>
      </c>
      <c r="N806" s="17" t="n">
        <f aca="false">IFERROR(M806/K806,0)</f>
        <v>0.588194921070693</v>
      </c>
    </row>
    <row r="807" customFormat="false" ht="15" hidden="false" customHeight="false" outlineLevel="0" collapsed="false">
      <c r="A807" s="15" t="n">
        <v>46057</v>
      </c>
      <c r="B807" s="14" t="s">
        <v>69</v>
      </c>
      <c r="C807" s="14" t="s">
        <v>70</v>
      </c>
      <c r="D807" s="14" t="s">
        <v>71</v>
      </c>
      <c r="E807" s="14" t="s">
        <v>76</v>
      </c>
      <c r="F807" s="14" t="s">
        <v>102</v>
      </c>
      <c r="G807" s="14" t="s">
        <v>103</v>
      </c>
      <c r="H807" s="0" t="n">
        <v>4</v>
      </c>
      <c r="I807" s="16" t="n">
        <v>22.44</v>
      </c>
      <c r="J807" s="16" t="n">
        <v>8.5</v>
      </c>
      <c r="K807" s="16" t="n">
        <f aca="false">H807*I807</f>
        <v>89.76</v>
      </c>
      <c r="L807" s="16" t="n">
        <f aca="false">H807*J807</f>
        <v>34</v>
      </c>
      <c r="M807" s="16" t="n">
        <f aca="false">K807-L807</f>
        <v>55.76</v>
      </c>
      <c r="N807" s="17" t="n">
        <f aca="false">IFERROR(M807/K807,0)</f>
        <v>0.621212121212121</v>
      </c>
    </row>
    <row r="808" customFormat="false" ht="15" hidden="false" customHeight="false" outlineLevel="0" collapsed="false">
      <c r="A808" s="15" t="n">
        <v>46057</v>
      </c>
      <c r="B808" s="14" t="s">
        <v>69</v>
      </c>
      <c r="C808" s="14" t="s">
        <v>70</v>
      </c>
      <c r="D808" s="14" t="s">
        <v>71</v>
      </c>
      <c r="E808" s="14" t="s">
        <v>56</v>
      </c>
      <c r="F808" s="14" t="s">
        <v>86</v>
      </c>
      <c r="G808" s="14" t="s">
        <v>87</v>
      </c>
      <c r="H808" s="0" t="n">
        <v>1</v>
      </c>
      <c r="I808" s="16" t="n">
        <v>14.77</v>
      </c>
      <c r="J808" s="16" t="n">
        <v>5</v>
      </c>
      <c r="K808" s="16" t="n">
        <f aca="false">H808*I808</f>
        <v>14.77</v>
      </c>
      <c r="L808" s="16" t="n">
        <f aca="false">H808*J808</f>
        <v>5</v>
      </c>
      <c r="M808" s="16" t="n">
        <f aca="false">K808-L808</f>
        <v>9.77</v>
      </c>
      <c r="N808" s="17" t="n">
        <f aca="false">IFERROR(M808/K808,0)</f>
        <v>0.6614759647935</v>
      </c>
    </row>
    <row r="809" customFormat="false" ht="15" hidden="false" customHeight="false" outlineLevel="0" collapsed="false">
      <c r="A809" s="15" t="n">
        <v>46057</v>
      </c>
      <c r="B809" s="14" t="s">
        <v>69</v>
      </c>
      <c r="C809" s="14" t="s">
        <v>70</v>
      </c>
      <c r="D809" s="14" t="s">
        <v>71</v>
      </c>
      <c r="E809" s="14" t="s">
        <v>56</v>
      </c>
      <c r="F809" s="14" t="s">
        <v>57</v>
      </c>
      <c r="G809" s="14" t="s">
        <v>58</v>
      </c>
      <c r="H809" s="0" t="n">
        <v>5</v>
      </c>
      <c r="I809" s="16" t="n">
        <v>26.31</v>
      </c>
      <c r="J809" s="16" t="n">
        <v>10</v>
      </c>
      <c r="K809" s="16" t="n">
        <f aca="false">H809*I809</f>
        <v>131.55</v>
      </c>
      <c r="L809" s="16" t="n">
        <f aca="false">H809*J809</f>
        <v>50</v>
      </c>
      <c r="M809" s="16" t="n">
        <f aca="false">K809-L809</f>
        <v>81.55</v>
      </c>
      <c r="N809" s="17" t="n">
        <f aca="false">IFERROR(M809/K809,0)</f>
        <v>0.619916381603953</v>
      </c>
    </row>
    <row r="810" customFormat="false" ht="15" hidden="false" customHeight="false" outlineLevel="0" collapsed="false">
      <c r="A810" s="15" t="n">
        <v>46057</v>
      </c>
      <c r="B810" s="14" t="s">
        <v>69</v>
      </c>
      <c r="C810" s="14" t="s">
        <v>70</v>
      </c>
      <c r="D810" s="14" t="s">
        <v>71</v>
      </c>
      <c r="E810" s="14" t="s">
        <v>45</v>
      </c>
      <c r="F810" s="14" t="s">
        <v>72</v>
      </c>
      <c r="G810" s="14" t="s">
        <v>73</v>
      </c>
      <c r="H810" s="0" t="n">
        <v>4</v>
      </c>
      <c r="I810" s="16" t="n">
        <v>48.92</v>
      </c>
      <c r="J810" s="16" t="n">
        <v>21</v>
      </c>
      <c r="K810" s="16" t="n">
        <f aca="false">H810*I810</f>
        <v>195.68</v>
      </c>
      <c r="L810" s="16" t="n">
        <f aca="false">H810*J810</f>
        <v>84</v>
      </c>
      <c r="M810" s="16" t="n">
        <f aca="false">K810-L810</f>
        <v>111.68</v>
      </c>
      <c r="N810" s="17" t="n">
        <f aca="false">IFERROR(M810/K810,0)</f>
        <v>0.570727718724448</v>
      </c>
    </row>
    <row r="811" customFormat="false" ht="15" hidden="false" customHeight="false" outlineLevel="0" collapsed="false">
      <c r="A811" s="15" t="n">
        <v>46057</v>
      </c>
      <c r="B811" s="14" t="s">
        <v>81</v>
      </c>
      <c r="C811" s="14" t="s">
        <v>82</v>
      </c>
      <c r="D811" s="14" t="s">
        <v>83</v>
      </c>
      <c r="E811" s="14" t="s">
        <v>64</v>
      </c>
      <c r="F811" s="14" t="s">
        <v>90</v>
      </c>
      <c r="G811" s="14" t="s">
        <v>91</v>
      </c>
      <c r="H811" s="0" t="n">
        <v>1</v>
      </c>
      <c r="I811" s="16" t="n">
        <v>11.6</v>
      </c>
      <c r="J811" s="16" t="n">
        <v>3.5</v>
      </c>
      <c r="K811" s="16" t="n">
        <f aca="false">H811*I811</f>
        <v>11.6</v>
      </c>
      <c r="L811" s="16" t="n">
        <f aca="false">H811*J811</f>
        <v>3.5</v>
      </c>
      <c r="M811" s="16" t="n">
        <f aca="false">K811-L811</f>
        <v>8.1</v>
      </c>
      <c r="N811" s="17" t="n">
        <f aca="false">IFERROR(M811/K811,0)</f>
        <v>0.698275862068966</v>
      </c>
    </row>
    <row r="812" customFormat="false" ht="15" hidden="false" customHeight="false" outlineLevel="0" collapsed="false">
      <c r="A812" s="15" t="n">
        <v>46057</v>
      </c>
      <c r="B812" s="14" t="s">
        <v>81</v>
      </c>
      <c r="C812" s="14" t="s">
        <v>82</v>
      </c>
      <c r="D812" s="14" t="s">
        <v>83</v>
      </c>
      <c r="E812" s="14" t="s">
        <v>56</v>
      </c>
      <c r="F812" s="14" t="s">
        <v>86</v>
      </c>
      <c r="G812" s="14" t="s">
        <v>87</v>
      </c>
      <c r="H812" s="0" t="n">
        <v>4</v>
      </c>
      <c r="I812" s="16" t="n">
        <v>14.67</v>
      </c>
      <c r="J812" s="16" t="n">
        <v>5</v>
      </c>
      <c r="K812" s="16" t="n">
        <f aca="false">H812*I812</f>
        <v>58.68</v>
      </c>
      <c r="L812" s="16" t="n">
        <f aca="false">H812*J812</f>
        <v>20</v>
      </c>
      <c r="M812" s="16" t="n">
        <f aca="false">K812-L812</f>
        <v>38.68</v>
      </c>
      <c r="N812" s="17" t="n">
        <f aca="false">IFERROR(M812/K812,0)</f>
        <v>0.659168370824813</v>
      </c>
    </row>
    <row r="813" customFormat="false" ht="15" hidden="false" customHeight="false" outlineLevel="0" collapsed="false">
      <c r="A813" s="15" t="n">
        <v>46057</v>
      </c>
      <c r="B813" s="14" t="s">
        <v>81</v>
      </c>
      <c r="C813" s="14" t="s">
        <v>82</v>
      </c>
      <c r="D813" s="14" t="s">
        <v>83</v>
      </c>
      <c r="E813" s="14" t="s">
        <v>53</v>
      </c>
      <c r="F813" s="14" t="s">
        <v>84</v>
      </c>
      <c r="G813" s="14" t="s">
        <v>85</v>
      </c>
      <c r="H813" s="0" t="n">
        <v>4</v>
      </c>
      <c r="I813" s="16" t="n">
        <v>24.01</v>
      </c>
      <c r="J813" s="16" t="n">
        <v>9</v>
      </c>
      <c r="K813" s="16" t="n">
        <f aca="false">H813*I813</f>
        <v>96.04</v>
      </c>
      <c r="L813" s="16" t="n">
        <f aca="false">H813*J813</f>
        <v>36</v>
      </c>
      <c r="M813" s="16" t="n">
        <f aca="false">K813-L813</f>
        <v>60.04</v>
      </c>
      <c r="N813" s="17" t="n">
        <f aca="false">IFERROR(M813/K813,0)</f>
        <v>0.625156184922949</v>
      </c>
    </row>
    <row r="814" customFormat="false" ht="15" hidden="false" customHeight="false" outlineLevel="0" collapsed="false">
      <c r="A814" s="15" t="n">
        <v>46057</v>
      </c>
      <c r="B814" s="14" t="s">
        <v>81</v>
      </c>
      <c r="C814" s="14" t="s">
        <v>82</v>
      </c>
      <c r="D814" s="14" t="s">
        <v>83</v>
      </c>
      <c r="E814" s="14" t="s">
        <v>53</v>
      </c>
      <c r="F814" s="14" t="s">
        <v>54</v>
      </c>
      <c r="G814" s="14" t="s">
        <v>55</v>
      </c>
      <c r="H814" s="0" t="n">
        <v>3</v>
      </c>
      <c r="I814" s="16" t="n">
        <v>51.03</v>
      </c>
      <c r="J814" s="16" t="n">
        <v>22</v>
      </c>
      <c r="K814" s="16" t="n">
        <f aca="false">H814*I814</f>
        <v>153.09</v>
      </c>
      <c r="L814" s="16" t="n">
        <f aca="false">H814*J814</f>
        <v>66</v>
      </c>
      <c r="M814" s="16" t="n">
        <f aca="false">K814-L814</f>
        <v>87.09</v>
      </c>
      <c r="N814" s="17" t="n">
        <f aca="false">IFERROR(M814/K814,0)</f>
        <v>0.568881050362532</v>
      </c>
    </row>
    <row r="815" customFormat="false" ht="15" hidden="false" customHeight="false" outlineLevel="0" collapsed="false">
      <c r="A815" s="15" t="n">
        <v>46057</v>
      </c>
      <c r="B815" s="14" t="s">
        <v>81</v>
      </c>
      <c r="C815" s="14" t="s">
        <v>82</v>
      </c>
      <c r="D815" s="14" t="s">
        <v>83</v>
      </c>
      <c r="E815" s="14" t="s">
        <v>53</v>
      </c>
      <c r="F815" s="14" t="s">
        <v>92</v>
      </c>
      <c r="G815" s="14" t="s">
        <v>93</v>
      </c>
      <c r="H815" s="0" t="n">
        <v>2</v>
      </c>
      <c r="I815" s="16" t="n">
        <v>119.49</v>
      </c>
      <c r="J815" s="16" t="n">
        <v>52</v>
      </c>
      <c r="K815" s="16" t="n">
        <f aca="false">H815*I815</f>
        <v>238.98</v>
      </c>
      <c r="L815" s="16" t="n">
        <f aca="false">H815*J815</f>
        <v>104</v>
      </c>
      <c r="M815" s="16" t="n">
        <f aca="false">K815-L815</f>
        <v>134.98</v>
      </c>
      <c r="N815" s="17" t="n">
        <f aca="false">IFERROR(M815/K815,0)</f>
        <v>0.564817139509582</v>
      </c>
    </row>
    <row r="816" customFormat="false" ht="15" hidden="false" customHeight="false" outlineLevel="0" collapsed="false">
      <c r="A816" s="15" t="n">
        <v>46057</v>
      </c>
      <c r="B816" s="14" t="s">
        <v>88</v>
      </c>
      <c r="C816" s="14" t="s">
        <v>89</v>
      </c>
      <c r="D816" s="14" t="s">
        <v>44</v>
      </c>
      <c r="E816" s="14" t="s">
        <v>45</v>
      </c>
      <c r="F816" s="14" t="s">
        <v>62</v>
      </c>
      <c r="G816" s="14" t="s">
        <v>63</v>
      </c>
      <c r="H816" s="0" t="n">
        <v>6</v>
      </c>
      <c r="I816" s="16" t="n">
        <v>16.88</v>
      </c>
      <c r="J816" s="16" t="n">
        <v>6.5</v>
      </c>
      <c r="K816" s="16" t="n">
        <f aca="false">H816*I816</f>
        <v>101.28</v>
      </c>
      <c r="L816" s="16" t="n">
        <f aca="false">H816*J816</f>
        <v>39</v>
      </c>
      <c r="M816" s="16" t="n">
        <f aca="false">K816-L816</f>
        <v>62.28</v>
      </c>
      <c r="N816" s="17" t="n">
        <f aca="false">IFERROR(M816/K816,0)</f>
        <v>0.614928909952607</v>
      </c>
    </row>
    <row r="817" customFormat="false" ht="15" hidden="false" customHeight="false" outlineLevel="0" collapsed="false">
      <c r="A817" s="15" t="n">
        <v>46057</v>
      </c>
      <c r="B817" s="14" t="s">
        <v>88</v>
      </c>
      <c r="C817" s="14" t="s">
        <v>89</v>
      </c>
      <c r="D817" s="14" t="s">
        <v>44</v>
      </c>
      <c r="E817" s="14" t="s">
        <v>76</v>
      </c>
      <c r="F817" s="14" t="s">
        <v>100</v>
      </c>
      <c r="G817" s="14" t="s">
        <v>101</v>
      </c>
      <c r="H817" s="0" t="n">
        <v>6</v>
      </c>
      <c r="I817" s="16" t="n">
        <v>15.2</v>
      </c>
      <c r="J817" s="16" t="n">
        <v>5.5</v>
      </c>
      <c r="K817" s="16" t="n">
        <f aca="false">H817*I817</f>
        <v>91.2</v>
      </c>
      <c r="L817" s="16" t="n">
        <f aca="false">H817*J817</f>
        <v>33</v>
      </c>
      <c r="M817" s="16" t="n">
        <f aca="false">K817-L817</f>
        <v>58.2</v>
      </c>
      <c r="N817" s="17" t="n">
        <f aca="false">IFERROR(M817/K817,0)</f>
        <v>0.638157894736842</v>
      </c>
    </row>
    <row r="818" customFormat="false" ht="15" hidden="false" customHeight="false" outlineLevel="0" collapsed="false">
      <c r="A818" s="15" t="n">
        <v>46057</v>
      </c>
      <c r="B818" s="14" t="s">
        <v>88</v>
      </c>
      <c r="C818" s="14" t="s">
        <v>89</v>
      </c>
      <c r="D818" s="14" t="s">
        <v>44</v>
      </c>
      <c r="E818" s="14" t="s">
        <v>56</v>
      </c>
      <c r="F818" s="14" t="s">
        <v>67</v>
      </c>
      <c r="G818" s="14" t="s">
        <v>68</v>
      </c>
      <c r="H818" s="0" t="n">
        <v>8</v>
      </c>
      <c r="I818" s="16" t="n">
        <v>37.55</v>
      </c>
      <c r="J818" s="16" t="n">
        <v>15</v>
      </c>
      <c r="K818" s="16" t="n">
        <f aca="false">H818*I818</f>
        <v>300.4</v>
      </c>
      <c r="L818" s="16" t="n">
        <f aca="false">H818*J818</f>
        <v>120</v>
      </c>
      <c r="M818" s="16" t="n">
        <f aca="false">K818-L818</f>
        <v>180.4</v>
      </c>
      <c r="N818" s="17" t="n">
        <f aca="false">IFERROR(M818/K818,0)</f>
        <v>0.600532623169108</v>
      </c>
    </row>
    <row r="819" customFormat="false" ht="15" hidden="false" customHeight="false" outlineLevel="0" collapsed="false">
      <c r="A819" s="15" t="n">
        <v>46057</v>
      </c>
      <c r="B819" s="14" t="s">
        <v>88</v>
      </c>
      <c r="C819" s="14" t="s">
        <v>89</v>
      </c>
      <c r="D819" s="14" t="s">
        <v>44</v>
      </c>
      <c r="E819" s="14" t="s">
        <v>64</v>
      </c>
      <c r="F819" s="14" t="s">
        <v>65</v>
      </c>
      <c r="G819" s="14" t="s">
        <v>66</v>
      </c>
      <c r="H819" s="0" t="n">
        <v>2</v>
      </c>
      <c r="I819" s="16" t="n">
        <v>75.66</v>
      </c>
      <c r="J819" s="16" t="n">
        <v>34</v>
      </c>
      <c r="K819" s="16" t="n">
        <f aca="false">H819*I819</f>
        <v>151.32</v>
      </c>
      <c r="L819" s="16" t="n">
        <f aca="false">H819*J819</f>
        <v>68</v>
      </c>
      <c r="M819" s="16" t="n">
        <f aca="false">K819-L819</f>
        <v>83.32</v>
      </c>
      <c r="N819" s="17" t="n">
        <f aca="false">IFERROR(M819/K819,0)</f>
        <v>0.550621200105736</v>
      </c>
    </row>
    <row r="820" customFormat="false" ht="15" hidden="false" customHeight="false" outlineLevel="0" collapsed="false">
      <c r="A820" s="15" t="n">
        <v>46058</v>
      </c>
      <c r="B820" s="14" t="s">
        <v>42</v>
      </c>
      <c r="C820" s="14" t="s">
        <v>43</v>
      </c>
      <c r="D820" s="14" t="s">
        <v>44</v>
      </c>
      <c r="E820" s="14" t="s">
        <v>56</v>
      </c>
      <c r="F820" s="14" t="s">
        <v>98</v>
      </c>
      <c r="G820" s="14" t="s">
        <v>99</v>
      </c>
      <c r="H820" s="0" t="n">
        <v>9</v>
      </c>
      <c r="I820" s="16" t="n">
        <v>21.17</v>
      </c>
      <c r="J820" s="16" t="n">
        <v>8</v>
      </c>
      <c r="K820" s="16" t="n">
        <f aca="false">H820*I820</f>
        <v>190.53</v>
      </c>
      <c r="L820" s="16" t="n">
        <f aca="false">H820*J820</f>
        <v>72</v>
      </c>
      <c r="M820" s="16" t="n">
        <f aca="false">K820-L820</f>
        <v>118.53</v>
      </c>
      <c r="N820" s="17" t="n">
        <f aca="false">IFERROR(M820/K820,0)</f>
        <v>0.622106754841757</v>
      </c>
    </row>
    <row r="821" customFormat="false" ht="15" hidden="false" customHeight="false" outlineLevel="0" collapsed="false">
      <c r="A821" s="15" t="n">
        <v>46058</v>
      </c>
      <c r="B821" s="14" t="s">
        <v>42</v>
      </c>
      <c r="C821" s="14" t="s">
        <v>43</v>
      </c>
      <c r="D821" s="14" t="s">
        <v>44</v>
      </c>
      <c r="E821" s="14" t="s">
        <v>64</v>
      </c>
      <c r="F821" s="14" t="s">
        <v>65</v>
      </c>
      <c r="G821" s="14" t="s">
        <v>66</v>
      </c>
      <c r="H821" s="0" t="n">
        <v>3</v>
      </c>
      <c r="I821" s="16" t="n">
        <v>73.55</v>
      </c>
      <c r="J821" s="16" t="n">
        <v>34</v>
      </c>
      <c r="K821" s="16" t="n">
        <f aca="false">H821*I821</f>
        <v>220.65</v>
      </c>
      <c r="L821" s="16" t="n">
        <f aca="false">H821*J821</f>
        <v>102</v>
      </c>
      <c r="M821" s="16" t="n">
        <f aca="false">K821-L821</f>
        <v>118.65</v>
      </c>
      <c r="N821" s="17" t="n">
        <f aca="false">IFERROR(M821/K821,0)</f>
        <v>0.537729435757988</v>
      </c>
    </row>
    <row r="822" customFormat="false" ht="15" hidden="false" customHeight="false" outlineLevel="0" collapsed="false">
      <c r="A822" s="15" t="n">
        <v>46058</v>
      </c>
      <c r="B822" s="14" t="s">
        <v>42</v>
      </c>
      <c r="C822" s="14" t="s">
        <v>43</v>
      </c>
      <c r="D822" s="14" t="s">
        <v>44</v>
      </c>
      <c r="E822" s="14" t="s">
        <v>53</v>
      </c>
      <c r="F822" s="14" t="s">
        <v>92</v>
      </c>
      <c r="G822" s="14" t="s">
        <v>93</v>
      </c>
      <c r="H822" s="0" t="n">
        <v>8</v>
      </c>
      <c r="I822" s="16" t="n">
        <v>119.88</v>
      </c>
      <c r="J822" s="16" t="n">
        <v>52</v>
      </c>
      <c r="K822" s="16" t="n">
        <f aca="false">H822*I822</f>
        <v>959.04</v>
      </c>
      <c r="L822" s="16" t="n">
        <f aca="false">H822*J822</f>
        <v>416</v>
      </c>
      <c r="M822" s="16" t="n">
        <f aca="false">K822-L822</f>
        <v>543.04</v>
      </c>
      <c r="N822" s="17" t="n">
        <f aca="false">IFERROR(M822/K822,0)</f>
        <v>0.566232899566233</v>
      </c>
    </row>
    <row r="823" customFormat="false" ht="15" hidden="false" customHeight="false" outlineLevel="0" collapsed="false">
      <c r="A823" s="15" t="n">
        <v>46058</v>
      </c>
      <c r="B823" s="14" t="s">
        <v>50</v>
      </c>
      <c r="C823" s="14" t="s">
        <v>51</v>
      </c>
      <c r="D823" s="14" t="s">
        <v>52</v>
      </c>
      <c r="E823" s="14" t="s">
        <v>53</v>
      </c>
      <c r="F823" s="14" t="s">
        <v>92</v>
      </c>
      <c r="G823" s="14" t="s">
        <v>93</v>
      </c>
      <c r="H823" s="0" t="n">
        <v>3</v>
      </c>
      <c r="I823" s="16" t="n">
        <v>117.88</v>
      </c>
      <c r="J823" s="16" t="n">
        <v>52</v>
      </c>
      <c r="K823" s="16" t="n">
        <f aca="false">H823*I823</f>
        <v>353.64</v>
      </c>
      <c r="L823" s="16" t="n">
        <f aca="false">H823*J823</f>
        <v>156</v>
      </c>
      <c r="M823" s="16" t="n">
        <f aca="false">K823-L823</f>
        <v>197.64</v>
      </c>
      <c r="N823" s="17" t="n">
        <f aca="false">IFERROR(M823/K823,0)</f>
        <v>0.558873430607397</v>
      </c>
    </row>
    <row r="824" customFormat="false" ht="15" hidden="false" customHeight="false" outlineLevel="0" collapsed="false">
      <c r="A824" s="15" t="n">
        <v>46058</v>
      </c>
      <c r="B824" s="14" t="s">
        <v>50</v>
      </c>
      <c r="C824" s="14" t="s">
        <v>51</v>
      </c>
      <c r="D824" s="14" t="s">
        <v>52</v>
      </c>
      <c r="E824" s="14" t="s">
        <v>64</v>
      </c>
      <c r="F824" s="14" t="s">
        <v>94</v>
      </c>
      <c r="G824" s="14" t="s">
        <v>95</v>
      </c>
      <c r="H824" s="0" t="n">
        <v>3</v>
      </c>
      <c r="I824" s="16" t="n">
        <v>93.56</v>
      </c>
      <c r="J824" s="16" t="n">
        <v>42</v>
      </c>
      <c r="K824" s="16" t="n">
        <f aca="false">H824*I824</f>
        <v>280.68</v>
      </c>
      <c r="L824" s="16" t="n">
        <f aca="false">H824*J824</f>
        <v>126</v>
      </c>
      <c r="M824" s="16" t="n">
        <f aca="false">K824-L824</f>
        <v>154.68</v>
      </c>
      <c r="N824" s="17" t="n">
        <f aca="false">IFERROR(M824/K824,0)</f>
        <v>0.551090209491236</v>
      </c>
    </row>
    <row r="825" customFormat="false" ht="15" hidden="false" customHeight="false" outlineLevel="0" collapsed="false">
      <c r="A825" s="15" t="n">
        <v>46058</v>
      </c>
      <c r="B825" s="14" t="s">
        <v>50</v>
      </c>
      <c r="C825" s="14" t="s">
        <v>51</v>
      </c>
      <c r="D825" s="14" t="s">
        <v>52</v>
      </c>
      <c r="E825" s="14" t="s">
        <v>45</v>
      </c>
      <c r="F825" s="14" t="s">
        <v>48</v>
      </c>
      <c r="G825" s="14" t="s">
        <v>49</v>
      </c>
      <c r="H825" s="0" t="n">
        <v>8</v>
      </c>
      <c r="I825" s="16" t="n">
        <v>64.05</v>
      </c>
      <c r="J825" s="16" t="n">
        <v>27.5</v>
      </c>
      <c r="K825" s="16" t="n">
        <f aca="false">H825*I825</f>
        <v>512.4</v>
      </c>
      <c r="L825" s="16" t="n">
        <f aca="false">H825*J825</f>
        <v>220</v>
      </c>
      <c r="M825" s="16" t="n">
        <f aca="false">K825-L825</f>
        <v>292.4</v>
      </c>
      <c r="N825" s="17" t="n">
        <f aca="false">IFERROR(M825/K825,0)</f>
        <v>0.570647931303669</v>
      </c>
    </row>
    <row r="826" customFormat="false" ht="15" hidden="false" customHeight="false" outlineLevel="0" collapsed="false">
      <c r="A826" s="15" t="n">
        <v>46058</v>
      </c>
      <c r="B826" s="14" t="s">
        <v>50</v>
      </c>
      <c r="C826" s="14" t="s">
        <v>51</v>
      </c>
      <c r="D826" s="14" t="s">
        <v>52</v>
      </c>
      <c r="E826" s="14" t="s">
        <v>53</v>
      </c>
      <c r="F826" s="14" t="s">
        <v>54</v>
      </c>
      <c r="G826" s="14" t="s">
        <v>55</v>
      </c>
      <c r="H826" s="0" t="n">
        <v>8</v>
      </c>
      <c r="I826" s="16" t="n">
        <v>54.05</v>
      </c>
      <c r="J826" s="16" t="n">
        <v>22</v>
      </c>
      <c r="K826" s="16" t="n">
        <f aca="false">H826*I826</f>
        <v>432.4</v>
      </c>
      <c r="L826" s="16" t="n">
        <f aca="false">H826*J826</f>
        <v>176</v>
      </c>
      <c r="M826" s="16" t="n">
        <f aca="false">K826-L826</f>
        <v>256.4</v>
      </c>
      <c r="N826" s="17" t="n">
        <f aca="false">IFERROR(M826/K826,0)</f>
        <v>0.592969472710453</v>
      </c>
    </row>
    <row r="827" customFormat="false" ht="15" hidden="false" customHeight="false" outlineLevel="0" collapsed="false">
      <c r="A827" s="15" t="n">
        <v>46058</v>
      </c>
      <c r="B827" s="14" t="s">
        <v>50</v>
      </c>
      <c r="C827" s="14" t="s">
        <v>51</v>
      </c>
      <c r="D827" s="14" t="s">
        <v>52</v>
      </c>
      <c r="E827" s="14" t="s">
        <v>45</v>
      </c>
      <c r="F827" s="14" t="s">
        <v>62</v>
      </c>
      <c r="G827" s="14" t="s">
        <v>63</v>
      </c>
      <c r="H827" s="0" t="n">
        <v>7</v>
      </c>
      <c r="I827" s="16" t="n">
        <v>17.47</v>
      </c>
      <c r="J827" s="16" t="n">
        <v>6.5</v>
      </c>
      <c r="K827" s="16" t="n">
        <f aca="false">H827*I827</f>
        <v>122.29</v>
      </c>
      <c r="L827" s="16" t="n">
        <f aca="false">H827*J827</f>
        <v>45.5</v>
      </c>
      <c r="M827" s="16" t="n">
        <f aca="false">K827-L827</f>
        <v>76.79</v>
      </c>
      <c r="N827" s="17" t="n">
        <f aca="false">IFERROR(M827/K827,0)</f>
        <v>0.627933600457928</v>
      </c>
    </row>
    <row r="828" customFormat="false" ht="15" hidden="false" customHeight="false" outlineLevel="0" collapsed="false">
      <c r="A828" s="15" t="n">
        <v>46058</v>
      </c>
      <c r="B828" s="14" t="s">
        <v>59</v>
      </c>
      <c r="C828" s="14" t="s">
        <v>60</v>
      </c>
      <c r="D828" s="14" t="s">
        <v>61</v>
      </c>
      <c r="E828" s="14" t="s">
        <v>64</v>
      </c>
      <c r="F828" s="14" t="s">
        <v>90</v>
      </c>
      <c r="G828" s="14" t="s">
        <v>91</v>
      </c>
      <c r="H828" s="0" t="n">
        <v>5</v>
      </c>
      <c r="I828" s="16" t="n">
        <v>11.04</v>
      </c>
      <c r="J828" s="16" t="n">
        <v>3.5</v>
      </c>
      <c r="K828" s="16" t="n">
        <f aca="false">H828*I828</f>
        <v>55.2</v>
      </c>
      <c r="L828" s="16" t="n">
        <f aca="false">H828*J828</f>
        <v>17.5</v>
      </c>
      <c r="M828" s="16" t="n">
        <f aca="false">K828-L828</f>
        <v>37.7</v>
      </c>
      <c r="N828" s="17" t="n">
        <f aca="false">IFERROR(M828/K828,0)</f>
        <v>0.682971014492754</v>
      </c>
    </row>
    <row r="829" customFormat="false" ht="15" hidden="false" customHeight="false" outlineLevel="0" collapsed="false">
      <c r="A829" s="15" t="n">
        <v>46058</v>
      </c>
      <c r="B829" s="14" t="s">
        <v>59</v>
      </c>
      <c r="C829" s="14" t="s">
        <v>60</v>
      </c>
      <c r="D829" s="14" t="s">
        <v>61</v>
      </c>
      <c r="E829" s="14" t="s">
        <v>56</v>
      </c>
      <c r="F829" s="14" t="s">
        <v>86</v>
      </c>
      <c r="G829" s="14" t="s">
        <v>87</v>
      </c>
      <c r="H829" s="0" t="n">
        <v>5</v>
      </c>
      <c r="I829" s="16" t="n">
        <v>14.94</v>
      </c>
      <c r="J829" s="16" t="n">
        <v>5</v>
      </c>
      <c r="K829" s="16" t="n">
        <f aca="false">H829*I829</f>
        <v>74.7</v>
      </c>
      <c r="L829" s="16" t="n">
        <f aca="false">H829*J829</f>
        <v>25</v>
      </c>
      <c r="M829" s="16" t="n">
        <f aca="false">K829-L829</f>
        <v>49.7</v>
      </c>
      <c r="N829" s="17" t="n">
        <f aca="false">IFERROR(M829/K829,0)</f>
        <v>0.665327978580991</v>
      </c>
    </row>
    <row r="830" customFormat="false" ht="15" hidden="false" customHeight="false" outlineLevel="0" collapsed="false">
      <c r="A830" s="15" t="n">
        <v>46058</v>
      </c>
      <c r="B830" s="14" t="s">
        <v>59</v>
      </c>
      <c r="C830" s="14" t="s">
        <v>60</v>
      </c>
      <c r="D830" s="14" t="s">
        <v>61</v>
      </c>
      <c r="E830" s="14" t="s">
        <v>76</v>
      </c>
      <c r="F830" s="14" t="s">
        <v>77</v>
      </c>
      <c r="G830" s="14" t="s">
        <v>78</v>
      </c>
      <c r="H830" s="0" t="n">
        <v>1</v>
      </c>
      <c r="I830" s="16" t="n">
        <v>40.91</v>
      </c>
      <c r="J830" s="16" t="n">
        <v>15</v>
      </c>
      <c r="K830" s="16" t="n">
        <f aca="false">H830*I830</f>
        <v>40.91</v>
      </c>
      <c r="L830" s="16" t="n">
        <f aca="false">H830*J830</f>
        <v>15</v>
      </c>
      <c r="M830" s="16" t="n">
        <f aca="false">K830-L830</f>
        <v>25.91</v>
      </c>
      <c r="N830" s="17" t="n">
        <f aca="false">IFERROR(M830/K830,0)</f>
        <v>0.633341481300416</v>
      </c>
    </row>
    <row r="831" customFormat="false" ht="15" hidden="false" customHeight="false" outlineLevel="0" collapsed="false">
      <c r="A831" s="15" t="n">
        <v>46058</v>
      </c>
      <c r="B831" s="14" t="s">
        <v>59</v>
      </c>
      <c r="C831" s="14" t="s">
        <v>60</v>
      </c>
      <c r="D831" s="14" t="s">
        <v>61</v>
      </c>
      <c r="E831" s="14" t="s">
        <v>53</v>
      </c>
      <c r="F831" s="14" t="s">
        <v>54</v>
      </c>
      <c r="G831" s="14" t="s">
        <v>55</v>
      </c>
      <c r="H831" s="0" t="n">
        <v>5</v>
      </c>
      <c r="I831" s="16" t="n">
        <v>51.97</v>
      </c>
      <c r="J831" s="16" t="n">
        <v>22</v>
      </c>
      <c r="K831" s="16" t="n">
        <f aca="false">H831*I831</f>
        <v>259.85</v>
      </c>
      <c r="L831" s="16" t="n">
        <f aca="false">H831*J831</f>
        <v>110</v>
      </c>
      <c r="M831" s="16" t="n">
        <f aca="false">K831-L831</f>
        <v>149.85</v>
      </c>
      <c r="N831" s="17" t="n">
        <f aca="false">IFERROR(M831/K831,0)</f>
        <v>0.57667885318453</v>
      </c>
    </row>
    <row r="832" customFormat="false" ht="15" hidden="false" customHeight="false" outlineLevel="0" collapsed="false">
      <c r="A832" s="15" t="n">
        <v>46058</v>
      </c>
      <c r="B832" s="14" t="s">
        <v>59</v>
      </c>
      <c r="C832" s="14" t="s">
        <v>60</v>
      </c>
      <c r="D832" s="14" t="s">
        <v>61</v>
      </c>
      <c r="E832" s="14" t="s">
        <v>45</v>
      </c>
      <c r="F832" s="14" t="s">
        <v>72</v>
      </c>
      <c r="G832" s="14" t="s">
        <v>73</v>
      </c>
      <c r="H832" s="0" t="n">
        <v>4</v>
      </c>
      <c r="I832" s="16" t="n">
        <v>48.53</v>
      </c>
      <c r="J832" s="16" t="n">
        <v>21</v>
      </c>
      <c r="K832" s="16" t="n">
        <f aca="false">H832*I832</f>
        <v>194.12</v>
      </c>
      <c r="L832" s="16" t="n">
        <f aca="false">H832*J832</f>
        <v>84</v>
      </c>
      <c r="M832" s="16" t="n">
        <f aca="false">K832-L832</f>
        <v>110.12</v>
      </c>
      <c r="N832" s="17" t="n">
        <f aca="false">IFERROR(M832/K832,0)</f>
        <v>0.567277972388214</v>
      </c>
    </row>
    <row r="833" customFormat="false" ht="15" hidden="false" customHeight="false" outlineLevel="0" collapsed="false">
      <c r="A833" s="15" t="n">
        <v>46058</v>
      </c>
      <c r="B833" s="14" t="s">
        <v>69</v>
      </c>
      <c r="C833" s="14" t="s">
        <v>70</v>
      </c>
      <c r="D833" s="14" t="s">
        <v>71</v>
      </c>
      <c r="E833" s="14" t="s">
        <v>76</v>
      </c>
      <c r="F833" s="14" t="s">
        <v>102</v>
      </c>
      <c r="G833" s="14" t="s">
        <v>103</v>
      </c>
      <c r="H833" s="0" t="n">
        <v>6</v>
      </c>
      <c r="I833" s="16" t="n">
        <v>23.48</v>
      </c>
      <c r="J833" s="16" t="n">
        <v>8.5</v>
      </c>
      <c r="K833" s="16" t="n">
        <f aca="false">H833*I833</f>
        <v>140.88</v>
      </c>
      <c r="L833" s="16" t="n">
        <f aca="false">H833*J833</f>
        <v>51</v>
      </c>
      <c r="M833" s="16" t="n">
        <f aca="false">K833-L833</f>
        <v>89.88</v>
      </c>
      <c r="N833" s="17" t="n">
        <f aca="false">IFERROR(M833/K833,0)</f>
        <v>0.637989778534923</v>
      </c>
    </row>
    <row r="834" customFormat="false" ht="15" hidden="false" customHeight="false" outlineLevel="0" collapsed="false">
      <c r="A834" s="15" t="n">
        <v>46058</v>
      </c>
      <c r="B834" s="14" t="s">
        <v>69</v>
      </c>
      <c r="C834" s="14" t="s">
        <v>70</v>
      </c>
      <c r="D834" s="14" t="s">
        <v>71</v>
      </c>
      <c r="E834" s="14" t="s">
        <v>56</v>
      </c>
      <c r="F834" s="14" t="s">
        <v>67</v>
      </c>
      <c r="G834" s="14" t="s">
        <v>68</v>
      </c>
      <c r="H834" s="0" t="n">
        <v>6</v>
      </c>
      <c r="I834" s="16" t="n">
        <v>37.66</v>
      </c>
      <c r="J834" s="16" t="n">
        <v>15</v>
      </c>
      <c r="K834" s="16" t="n">
        <f aca="false">H834*I834</f>
        <v>225.96</v>
      </c>
      <c r="L834" s="16" t="n">
        <f aca="false">H834*J834</f>
        <v>90</v>
      </c>
      <c r="M834" s="16" t="n">
        <f aca="false">K834-L834</f>
        <v>135.96</v>
      </c>
      <c r="N834" s="17" t="n">
        <f aca="false">IFERROR(M834/K834,0)</f>
        <v>0.60169941582581</v>
      </c>
    </row>
    <row r="835" customFormat="false" ht="15" hidden="false" customHeight="false" outlineLevel="0" collapsed="false">
      <c r="A835" s="15" t="n">
        <v>46058</v>
      </c>
      <c r="B835" s="14" t="s">
        <v>81</v>
      </c>
      <c r="C835" s="14" t="s">
        <v>82</v>
      </c>
      <c r="D835" s="14" t="s">
        <v>83</v>
      </c>
      <c r="E835" s="14" t="s">
        <v>76</v>
      </c>
      <c r="F835" s="14" t="s">
        <v>100</v>
      </c>
      <c r="G835" s="14" t="s">
        <v>101</v>
      </c>
      <c r="H835" s="0" t="n">
        <v>4</v>
      </c>
      <c r="I835" s="16" t="n">
        <v>15.68</v>
      </c>
      <c r="J835" s="16" t="n">
        <v>5.5</v>
      </c>
      <c r="K835" s="16" t="n">
        <f aca="false">H835*I835</f>
        <v>62.72</v>
      </c>
      <c r="L835" s="16" t="n">
        <f aca="false">H835*J835</f>
        <v>22</v>
      </c>
      <c r="M835" s="16" t="n">
        <f aca="false">K835-L835</f>
        <v>40.72</v>
      </c>
      <c r="N835" s="17" t="n">
        <f aca="false">IFERROR(M835/K835,0)</f>
        <v>0.649234693877551</v>
      </c>
    </row>
    <row r="836" customFormat="false" ht="15" hidden="false" customHeight="false" outlineLevel="0" collapsed="false">
      <c r="A836" s="15" t="n">
        <v>46058</v>
      </c>
      <c r="B836" s="14" t="s">
        <v>81</v>
      </c>
      <c r="C836" s="14" t="s">
        <v>82</v>
      </c>
      <c r="D836" s="14" t="s">
        <v>83</v>
      </c>
      <c r="E836" s="14" t="s">
        <v>53</v>
      </c>
      <c r="F836" s="14" t="s">
        <v>84</v>
      </c>
      <c r="G836" s="14" t="s">
        <v>85</v>
      </c>
      <c r="H836" s="0" t="n">
        <v>1</v>
      </c>
      <c r="I836" s="16" t="n">
        <v>23.46</v>
      </c>
      <c r="J836" s="16" t="n">
        <v>9</v>
      </c>
      <c r="K836" s="16" t="n">
        <f aca="false">H836*I836</f>
        <v>23.46</v>
      </c>
      <c r="L836" s="16" t="n">
        <f aca="false">H836*J836</f>
        <v>9</v>
      </c>
      <c r="M836" s="16" t="n">
        <f aca="false">K836-L836</f>
        <v>14.46</v>
      </c>
      <c r="N836" s="17" t="n">
        <f aca="false">IFERROR(M836/K836,0)</f>
        <v>0.616368286445013</v>
      </c>
    </row>
    <row r="837" customFormat="false" ht="15" hidden="false" customHeight="false" outlineLevel="0" collapsed="false">
      <c r="A837" s="15" t="n">
        <v>46058</v>
      </c>
      <c r="B837" s="14" t="s">
        <v>81</v>
      </c>
      <c r="C837" s="14" t="s">
        <v>82</v>
      </c>
      <c r="D837" s="14" t="s">
        <v>83</v>
      </c>
      <c r="E837" s="14" t="s">
        <v>53</v>
      </c>
      <c r="F837" s="14" t="s">
        <v>54</v>
      </c>
      <c r="G837" s="14" t="s">
        <v>55</v>
      </c>
      <c r="H837" s="0" t="n">
        <v>1</v>
      </c>
      <c r="I837" s="16" t="n">
        <v>53.19</v>
      </c>
      <c r="J837" s="16" t="n">
        <v>22</v>
      </c>
      <c r="K837" s="16" t="n">
        <f aca="false">H837*I837</f>
        <v>53.19</v>
      </c>
      <c r="L837" s="16" t="n">
        <f aca="false">H837*J837</f>
        <v>22</v>
      </c>
      <c r="M837" s="16" t="n">
        <f aca="false">K837-L837</f>
        <v>31.19</v>
      </c>
      <c r="N837" s="17" t="n">
        <f aca="false">IFERROR(M837/K837,0)</f>
        <v>0.586388418875729</v>
      </c>
    </row>
    <row r="838" customFormat="false" ht="15" hidden="false" customHeight="false" outlineLevel="0" collapsed="false">
      <c r="A838" s="15" t="n">
        <v>46058</v>
      </c>
      <c r="B838" s="14" t="s">
        <v>88</v>
      </c>
      <c r="C838" s="14" t="s">
        <v>89</v>
      </c>
      <c r="D838" s="14" t="s">
        <v>44</v>
      </c>
      <c r="E838" s="14" t="s">
        <v>45</v>
      </c>
      <c r="F838" s="14" t="s">
        <v>46</v>
      </c>
      <c r="G838" s="14" t="s">
        <v>47</v>
      </c>
      <c r="H838" s="0" t="n">
        <v>1</v>
      </c>
      <c r="I838" s="16" t="n">
        <v>42.75</v>
      </c>
      <c r="J838" s="16" t="n">
        <v>18</v>
      </c>
      <c r="K838" s="16" t="n">
        <f aca="false">H838*I838</f>
        <v>42.75</v>
      </c>
      <c r="L838" s="16" t="n">
        <f aca="false">H838*J838</f>
        <v>18</v>
      </c>
      <c r="M838" s="16" t="n">
        <f aca="false">K838-L838</f>
        <v>24.75</v>
      </c>
      <c r="N838" s="17" t="n">
        <f aca="false">IFERROR(M838/K838,0)</f>
        <v>0.578947368421053</v>
      </c>
    </row>
    <row r="839" customFormat="false" ht="15" hidden="false" customHeight="false" outlineLevel="0" collapsed="false">
      <c r="A839" s="15" t="n">
        <v>46058</v>
      </c>
      <c r="B839" s="14" t="s">
        <v>88</v>
      </c>
      <c r="C839" s="14" t="s">
        <v>89</v>
      </c>
      <c r="D839" s="14" t="s">
        <v>44</v>
      </c>
      <c r="E839" s="14" t="s">
        <v>76</v>
      </c>
      <c r="F839" s="14" t="s">
        <v>79</v>
      </c>
      <c r="G839" s="14" t="s">
        <v>80</v>
      </c>
      <c r="H839" s="0" t="n">
        <v>1</v>
      </c>
      <c r="I839" s="16" t="n">
        <v>29.19</v>
      </c>
      <c r="J839" s="16" t="n">
        <v>11</v>
      </c>
      <c r="K839" s="16" t="n">
        <f aca="false">H839*I839</f>
        <v>29.19</v>
      </c>
      <c r="L839" s="16" t="n">
        <f aca="false">H839*J839</f>
        <v>11</v>
      </c>
      <c r="M839" s="16" t="n">
        <f aca="false">K839-L839</f>
        <v>18.19</v>
      </c>
      <c r="N839" s="17" t="n">
        <f aca="false">IFERROR(M839/K839,0)</f>
        <v>0.623158615964371</v>
      </c>
    </row>
    <row r="840" customFormat="false" ht="15" hidden="false" customHeight="false" outlineLevel="0" collapsed="false">
      <c r="A840" s="15" t="n">
        <v>46058</v>
      </c>
      <c r="B840" s="14" t="s">
        <v>88</v>
      </c>
      <c r="C840" s="14" t="s">
        <v>89</v>
      </c>
      <c r="D840" s="14" t="s">
        <v>44</v>
      </c>
      <c r="E840" s="14" t="s">
        <v>45</v>
      </c>
      <c r="F840" s="14" t="s">
        <v>48</v>
      </c>
      <c r="G840" s="14" t="s">
        <v>49</v>
      </c>
      <c r="H840" s="0" t="n">
        <v>2</v>
      </c>
      <c r="I840" s="16" t="n">
        <v>64.83</v>
      </c>
      <c r="J840" s="16" t="n">
        <v>27.5</v>
      </c>
      <c r="K840" s="16" t="n">
        <f aca="false">H840*I840</f>
        <v>129.66</v>
      </c>
      <c r="L840" s="16" t="n">
        <f aca="false">H840*J840</f>
        <v>55</v>
      </c>
      <c r="M840" s="16" t="n">
        <f aca="false">K840-L840</f>
        <v>74.66</v>
      </c>
      <c r="N840" s="17" t="n">
        <f aca="false">IFERROR(M840/K840,0)</f>
        <v>0.575813666512417</v>
      </c>
    </row>
    <row r="841" customFormat="false" ht="15" hidden="false" customHeight="false" outlineLevel="0" collapsed="false">
      <c r="A841" s="15" t="n">
        <v>46059</v>
      </c>
      <c r="B841" s="14" t="s">
        <v>42</v>
      </c>
      <c r="C841" s="14" t="s">
        <v>43</v>
      </c>
      <c r="D841" s="14" t="s">
        <v>44</v>
      </c>
      <c r="E841" s="14" t="s">
        <v>45</v>
      </c>
      <c r="F841" s="14" t="s">
        <v>46</v>
      </c>
      <c r="G841" s="14" t="s">
        <v>47</v>
      </c>
      <c r="H841" s="0" t="n">
        <v>9</v>
      </c>
      <c r="I841" s="16" t="n">
        <v>43.93</v>
      </c>
      <c r="J841" s="16" t="n">
        <v>18</v>
      </c>
      <c r="K841" s="16" t="n">
        <f aca="false">H841*I841</f>
        <v>395.37</v>
      </c>
      <c r="L841" s="16" t="n">
        <f aca="false">H841*J841</f>
        <v>162</v>
      </c>
      <c r="M841" s="16" t="n">
        <f aca="false">K841-L841</f>
        <v>233.37</v>
      </c>
      <c r="N841" s="17" t="n">
        <f aca="false">IFERROR(M841/K841,0)</f>
        <v>0.590257227407239</v>
      </c>
    </row>
    <row r="842" customFormat="false" ht="15" hidden="false" customHeight="false" outlineLevel="0" collapsed="false">
      <c r="A842" s="15" t="n">
        <v>46059</v>
      </c>
      <c r="B842" s="14" t="s">
        <v>42</v>
      </c>
      <c r="C842" s="14" t="s">
        <v>43</v>
      </c>
      <c r="D842" s="14" t="s">
        <v>44</v>
      </c>
      <c r="E842" s="14" t="s">
        <v>53</v>
      </c>
      <c r="F842" s="14" t="s">
        <v>74</v>
      </c>
      <c r="G842" s="14" t="s">
        <v>75</v>
      </c>
      <c r="H842" s="0" t="n">
        <v>6</v>
      </c>
      <c r="I842" s="16" t="n">
        <v>84.88</v>
      </c>
      <c r="J842" s="16" t="n">
        <v>38</v>
      </c>
      <c r="K842" s="16" t="n">
        <f aca="false">H842*I842</f>
        <v>509.28</v>
      </c>
      <c r="L842" s="16" t="n">
        <f aca="false">H842*J842</f>
        <v>228</v>
      </c>
      <c r="M842" s="16" t="n">
        <f aca="false">K842-L842</f>
        <v>281.28</v>
      </c>
      <c r="N842" s="17" t="n">
        <f aca="false">IFERROR(M842/K842,0)</f>
        <v>0.552309142318567</v>
      </c>
    </row>
    <row r="843" customFormat="false" ht="15" hidden="false" customHeight="false" outlineLevel="0" collapsed="false">
      <c r="A843" s="15" t="n">
        <v>46059</v>
      </c>
      <c r="B843" s="14" t="s">
        <v>42</v>
      </c>
      <c r="C843" s="14" t="s">
        <v>43</v>
      </c>
      <c r="D843" s="14" t="s">
        <v>44</v>
      </c>
      <c r="E843" s="14" t="s">
        <v>45</v>
      </c>
      <c r="F843" s="14" t="s">
        <v>46</v>
      </c>
      <c r="G843" s="14" t="s">
        <v>47</v>
      </c>
      <c r="H843" s="0" t="n">
        <v>4</v>
      </c>
      <c r="I843" s="16" t="n">
        <v>42.91</v>
      </c>
      <c r="J843" s="16" t="n">
        <v>18</v>
      </c>
      <c r="K843" s="16" t="n">
        <f aca="false">H843*I843</f>
        <v>171.64</v>
      </c>
      <c r="L843" s="16" t="n">
        <f aca="false">H843*J843</f>
        <v>72</v>
      </c>
      <c r="M843" s="16" t="n">
        <f aca="false">K843-L843</f>
        <v>99.64</v>
      </c>
      <c r="N843" s="17" t="n">
        <f aca="false">IFERROR(M843/K843,0)</f>
        <v>0.580517361920298</v>
      </c>
    </row>
    <row r="844" customFormat="false" ht="15" hidden="false" customHeight="false" outlineLevel="0" collapsed="false">
      <c r="A844" s="15" t="n">
        <v>46059</v>
      </c>
      <c r="B844" s="14" t="s">
        <v>42</v>
      </c>
      <c r="C844" s="14" t="s">
        <v>43</v>
      </c>
      <c r="D844" s="14" t="s">
        <v>44</v>
      </c>
      <c r="E844" s="14" t="s">
        <v>45</v>
      </c>
      <c r="F844" s="14" t="s">
        <v>48</v>
      </c>
      <c r="G844" s="14" t="s">
        <v>49</v>
      </c>
      <c r="H844" s="0" t="n">
        <v>6</v>
      </c>
      <c r="I844" s="16" t="n">
        <v>63.18</v>
      </c>
      <c r="J844" s="16" t="n">
        <v>27.5</v>
      </c>
      <c r="K844" s="16" t="n">
        <f aca="false">H844*I844</f>
        <v>379.08</v>
      </c>
      <c r="L844" s="16" t="n">
        <f aca="false">H844*J844</f>
        <v>165</v>
      </c>
      <c r="M844" s="16" t="n">
        <f aca="false">K844-L844</f>
        <v>214.08</v>
      </c>
      <c r="N844" s="17" t="n">
        <f aca="false">IFERROR(M844/K844,0)</f>
        <v>0.564735675846787</v>
      </c>
    </row>
    <row r="845" customFormat="false" ht="15" hidden="false" customHeight="false" outlineLevel="0" collapsed="false">
      <c r="A845" s="15" t="n">
        <v>46059</v>
      </c>
      <c r="B845" s="14" t="s">
        <v>42</v>
      </c>
      <c r="C845" s="14" t="s">
        <v>43</v>
      </c>
      <c r="D845" s="14" t="s">
        <v>44</v>
      </c>
      <c r="E845" s="14" t="s">
        <v>45</v>
      </c>
      <c r="F845" s="14" t="s">
        <v>72</v>
      </c>
      <c r="G845" s="14" t="s">
        <v>73</v>
      </c>
      <c r="H845" s="0" t="n">
        <v>5</v>
      </c>
      <c r="I845" s="16" t="n">
        <v>50.37</v>
      </c>
      <c r="J845" s="16" t="n">
        <v>21</v>
      </c>
      <c r="K845" s="16" t="n">
        <f aca="false">H845*I845</f>
        <v>251.85</v>
      </c>
      <c r="L845" s="16" t="n">
        <f aca="false">H845*J845</f>
        <v>105</v>
      </c>
      <c r="M845" s="16" t="n">
        <f aca="false">K845-L845</f>
        <v>146.85</v>
      </c>
      <c r="N845" s="17" t="n">
        <f aca="false">IFERROR(M845/K845,0)</f>
        <v>0.583085169743895</v>
      </c>
    </row>
    <row r="846" customFormat="false" ht="15" hidden="false" customHeight="false" outlineLevel="0" collapsed="false">
      <c r="A846" s="15" t="n">
        <v>46059</v>
      </c>
      <c r="B846" s="14" t="s">
        <v>50</v>
      </c>
      <c r="C846" s="14" t="s">
        <v>51</v>
      </c>
      <c r="D846" s="14" t="s">
        <v>52</v>
      </c>
      <c r="E846" s="14" t="s">
        <v>56</v>
      </c>
      <c r="F846" s="14" t="s">
        <v>86</v>
      </c>
      <c r="G846" s="14" t="s">
        <v>87</v>
      </c>
      <c r="H846" s="0" t="n">
        <v>7</v>
      </c>
      <c r="I846" s="16" t="n">
        <v>14.64</v>
      </c>
      <c r="J846" s="16" t="n">
        <v>5</v>
      </c>
      <c r="K846" s="16" t="n">
        <f aca="false">H846*I846</f>
        <v>102.48</v>
      </c>
      <c r="L846" s="16" t="n">
        <f aca="false">H846*J846</f>
        <v>35</v>
      </c>
      <c r="M846" s="16" t="n">
        <f aca="false">K846-L846</f>
        <v>67.48</v>
      </c>
      <c r="N846" s="17" t="n">
        <f aca="false">IFERROR(M846/K846,0)</f>
        <v>0.658469945355191</v>
      </c>
    </row>
    <row r="847" customFormat="false" ht="15" hidden="false" customHeight="false" outlineLevel="0" collapsed="false">
      <c r="A847" s="15" t="n">
        <v>46059</v>
      </c>
      <c r="B847" s="14" t="s">
        <v>50</v>
      </c>
      <c r="C847" s="14" t="s">
        <v>51</v>
      </c>
      <c r="D847" s="14" t="s">
        <v>52</v>
      </c>
      <c r="E847" s="14" t="s">
        <v>76</v>
      </c>
      <c r="F847" s="14" t="s">
        <v>77</v>
      </c>
      <c r="G847" s="14" t="s">
        <v>78</v>
      </c>
      <c r="H847" s="0" t="n">
        <v>1</v>
      </c>
      <c r="I847" s="16" t="n">
        <v>40.48</v>
      </c>
      <c r="J847" s="16" t="n">
        <v>15</v>
      </c>
      <c r="K847" s="16" t="n">
        <f aca="false">H847*I847</f>
        <v>40.48</v>
      </c>
      <c r="L847" s="16" t="n">
        <f aca="false">H847*J847</f>
        <v>15</v>
      </c>
      <c r="M847" s="16" t="n">
        <f aca="false">K847-L847</f>
        <v>25.48</v>
      </c>
      <c r="N847" s="17" t="n">
        <f aca="false">IFERROR(M847/K847,0)</f>
        <v>0.629446640316206</v>
      </c>
    </row>
    <row r="848" customFormat="false" ht="15" hidden="false" customHeight="false" outlineLevel="0" collapsed="false">
      <c r="A848" s="15" t="n">
        <v>46059</v>
      </c>
      <c r="B848" s="14" t="s">
        <v>50</v>
      </c>
      <c r="C848" s="14" t="s">
        <v>51</v>
      </c>
      <c r="D848" s="14" t="s">
        <v>52</v>
      </c>
      <c r="E848" s="14" t="s">
        <v>53</v>
      </c>
      <c r="F848" s="14" t="s">
        <v>84</v>
      </c>
      <c r="G848" s="14" t="s">
        <v>85</v>
      </c>
      <c r="H848" s="0" t="n">
        <v>6</v>
      </c>
      <c r="I848" s="16" t="n">
        <v>23.47</v>
      </c>
      <c r="J848" s="16" t="n">
        <v>9</v>
      </c>
      <c r="K848" s="16" t="n">
        <f aca="false">H848*I848</f>
        <v>140.82</v>
      </c>
      <c r="L848" s="16" t="n">
        <f aca="false">H848*J848</f>
        <v>54</v>
      </c>
      <c r="M848" s="16" t="n">
        <f aca="false">K848-L848</f>
        <v>86.82</v>
      </c>
      <c r="N848" s="17" t="n">
        <f aca="false">IFERROR(M848/K848,0)</f>
        <v>0.616531742650192</v>
      </c>
    </row>
    <row r="849" customFormat="false" ht="15" hidden="false" customHeight="false" outlineLevel="0" collapsed="false">
      <c r="A849" s="15" t="n">
        <v>46059</v>
      </c>
      <c r="B849" s="14" t="s">
        <v>50</v>
      </c>
      <c r="C849" s="14" t="s">
        <v>51</v>
      </c>
      <c r="D849" s="14" t="s">
        <v>52</v>
      </c>
      <c r="E849" s="14" t="s">
        <v>45</v>
      </c>
      <c r="F849" s="14" t="s">
        <v>48</v>
      </c>
      <c r="G849" s="14" t="s">
        <v>49</v>
      </c>
      <c r="H849" s="0" t="n">
        <v>2</v>
      </c>
      <c r="I849" s="16" t="n">
        <v>67.1</v>
      </c>
      <c r="J849" s="16" t="n">
        <v>27.5</v>
      </c>
      <c r="K849" s="16" t="n">
        <f aca="false">H849*I849</f>
        <v>134.2</v>
      </c>
      <c r="L849" s="16" t="n">
        <f aca="false">H849*J849</f>
        <v>55</v>
      </c>
      <c r="M849" s="16" t="n">
        <f aca="false">K849-L849</f>
        <v>79.2</v>
      </c>
      <c r="N849" s="17" t="n">
        <f aca="false">IFERROR(M849/K849,0)</f>
        <v>0.59016393442623</v>
      </c>
    </row>
    <row r="850" customFormat="false" ht="15" hidden="false" customHeight="false" outlineLevel="0" collapsed="false">
      <c r="A850" s="15" t="n">
        <v>46059</v>
      </c>
      <c r="B850" s="14" t="s">
        <v>59</v>
      </c>
      <c r="C850" s="14" t="s">
        <v>60</v>
      </c>
      <c r="D850" s="14" t="s">
        <v>61</v>
      </c>
      <c r="E850" s="14" t="s">
        <v>53</v>
      </c>
      <c r="F850" s="14" t="s">
        <v>74</v>
      </c>
      <c r="G850" s="14" t="s">
        <v>75</v>
      </c>
      <c r="H850" s="0" t="n">
        <v>2</v>
      </c>
      <c r="I850" s="16" t="n">
        <v>87.03</v>
      </c>
      <c r="J850" s="16" t="n">
        <v>38</v>
      </c>
      <c r="K850" s="16" t="n">
        <f aca="false">H850*I850</f>
        <v>174.06</v>
      </c>
      <c r="L850" s="16" t="n">
        <f aca="false">H850*J850</f>
        <v>76</v>
      </c>
      <c r="M850" s="16" t="n">
        <f aca="false">K850-L850</f>
        <v>98.06</v>
      </c>
      <c r="N850" s="17" t="n">
        <f aca="false">IFERROR(M850/K850,0)</f>
        <v>0.563368953234517</v>
      </c>
    </row>
    <row r="851" customFormat="false" ht="15" hidden="false" customHeight="false" outlineLevel="0" collapsed="false">
      <c r="A851" s="15" t="n">
        <v>46059</v>
      </c>
      <c r="B851" s="14" t="s">
        <v>59</v>
      </c>
      <c r="C851" s="14" t="s">
        <v>60</v>
      </c>
      <c r="D851" s="14" t="s">
        <v>61</v>
      </c>
      <c r="E851" s="14" t="s">
        <v>45</v>
      </c>
      <c r="F851" s="14" t="s">
        <v>46</v>
      </c>
      <c r="G851" s="14" t="s">
        <v>47</v>
      </c>
      <c r="H851" s="0" t="n">
        <v>3</v>
      </c>
      <c r="I851" s="16" t="n">
        <v>43.04</v>
      </c>
      <c r="J851" s="16" t="n">
        <v>18</v>
      </c>
      <c r="K851" s="16" t="n">
        <f aca="false">H851*I851</f>
        <v>129.12</v>
      </c>
      <c r="L851" s="16" t="n">
        <f aca="false">H851*J851</f>
        <v>54</v>
      </c>
      <c r="M851" s="16" t="n">
        <f aca="false">K851-L851</f>
        <v>75.12</v>
      </c>
      <c r="N851" s="17" t="n">
        <f aca="false">IFERROR(M851/K851,0)</f>
        <v>0.5817843866171</v>
      </c>
    </row>
    <row r="852" customFormat="false" ht="15" hidden="false" customHeight="false" outlineLevel="0" collapsed="false">
      <c r="A852" s="15" t="n">
        <v>46059</v>
      </c>
      <c r="B852" s="14" t="s">
        <v>59</v>
      </c>
      <c r="C852" s="14" t="s">
        <v>60</v>
      </c>
      <c r="D852" s="14" t="s">
        <v>61</v>
      </c>
      <c r="E852" s="14" t="s">
        <v>76</v>
      </c>
      <c r="F852" s="14" t="s">
        <v>102</v>
      </c>
      <c r="G852" s="14" t="s">
        <v>103</v>
      </c>
      <c r="H852" s="0" t="n">
        <v>6</v>
      </c>
      <c r="I852" s="16" t="n">
        <v>22.18</v>
      </c>
      <c r="J852" s="16" t="n">
        <v>8.5</v>
      </c>
      <c r="K852" s="16" t="n">
        <f aca="false">H852*I852</f>
        <v>133.08</v>
      </c>
      <c r="L852" s="16" t="n">
        <f aca="false">H852*J852</f>
        <v>51</v>
      </c>
      <c r="M852" s="16" t="n">
        <f aca="false">K852-L852</f>
        <v>82.08</v>
      </c>
      <c r="N852" s="17" t="n">
        <f aca="false">IFERROR(M852/K852,0)</f>
        <v>0.616771866546438</v>
      </c>
    </row>
    <row r="853" customFormat="false" ht="15" hidden="false" customHeight="false" outlineLevel="0" collapsed="false">
      <c r="A853" s="15" t="n">
        <v>46059</v>
      </c>
      <c r="B853" s="14" t="s">
        <v>59</v>
      </c>
      <c r="C853" s="14" t="s">
        <v>60</v>
      </c>
      <c r="D853" s="14" t="s">
        <v>61</v>
      </c>
      <c r="E853" s="14" t="s">
        <v>53</v>
      </c>
      <c r="F853" s="14" t="s">
        <v>74</v>
      </c>
      <c r="G853" s="14" t="s">
        <v>75</v>
      </c>
      <c r="H853" s="0" t="n">
        <v>4</v>
      </c>
      <c r="I853" s="16" t="n">
        <v>84.44</v>
      </c>
      <c r="J853" s="16" t="n">
        <v>38</v>
      </c>
      <c r="K853" s="16" t="n">
        <f aca="false">H853*I853</f>
        <v>337.76</v>
      </c>
      <c r="L853" s="16" t="n">
        <f aca="false">H853*J853</f>
        <v>152</v>
      </c>
      <c r="M853" s="16" t="n">
        <f aca="false">K853-L853</f>
        <v>185.76</v>
      </c>
      <c r="N853" s="17" t="n">
        <f aca="false">IFERROR(M853/K853,0)</f>
        <v>0.549976314542871</v>
      </c>
    </row>
    <row r="854" customFormat="false" ht="15" hidden="false" customHeight="false" outlineLevel="0" collapsed="false">
      <c r="A854" s="15" t="n">
        <v>46059</v>
      </c>
      <c r="B854" s="14" t="s">
        <v>59</v>
      </c>
      <c r="C854" s="14" t="s">
        <v>60</v>
      </c>
      <c r="D854" s="14" t="s">
        <v>61</v>
      </c>
      <c r="E854" s="14" t="s">
        <v>76</v>
      </c>
      <c r="F854" s="14" t="s">
        <v>100</v>
      </c>
      <c r="G854" s="14" t="s">
        <v>101</v>
      </c>
      <c r="H854" s="0" t="n">
        <v>2</v>
      </c>
      <c r="I854" s="16" t="n">
        <v>14.84</v>
      </c>
      <c r="J854" s="16" t="n">
        <v>5.5</v>
      </c>
      <c r="K854" s="16" t="n">
        <f aca="false">H854*I854</f>
        <v>29.68</v>
      </c>
      <c r="L854" s="16" t="n">
        <f aca="false">H854*J854</f>
        <v>11</v>
      </c>
      <c r="M854" s="16" t="n">
        <f aca="false">K854-L854</f>
        <v>18.68</v>
      </c>
      <c r="N854" s="17" t="n">
        <f aca="false">IFERROR(M854/K854,0)</f>
        <v>0.629380053908356</v>
      </c>
    </row>
    <row r="855" customFormat="false" ht="15" hidden="false" customHeight="false" outlineLevel="0" collapsed="false">
      <c r="A855" s="15" t="n">
        <v>46059</v>
      </c>
      <c r="B855" s="14" t="s">
        <v>69</v>
      </c>
      <c r="C855" s="14" t="s">
        <v>70</v>
      </c>
      <c r="D855" s="14" t="s">
        <v>71</v>
      </c>
      <c r="E855" s="14" t="s">
        <v>45</v>
      </c>
      <c r="F855" s="14" t="s">
        <v>62</v>
      </c>
      <c r="G855" s="14" t="s">
        <v>63</v>
      </c>
      <c r="H855" s="0" t="n">
        <v>2</v>
      </c>
      <c r="I855" s="16" t="n">
        <v>17.03</v>
      </c>
      <c r="J855" s="16" t="n">
        <v>6.5</v>
      </c>
      <c r="K855" s="16" t="n">
        <f aca="false">H855*I855</f>
        <v>34.06</v>
      </c>
      <c r="L855" s="16" t="n">
        <f aca="false">H855*J855</f>
        <v>13</v>
      </c>
      <c r="M855" s="16" t="n">
        <f aca="false">K855-L855</f>
        <v>21.06</v>
      </c>
      <c r="N855" s="17" t="n">
        <f aca="false">IFERROR(M855/K855,0)</f>
        <v>0.618320610687023</v>
      </c>
    </row>
    <row r="856" customFormat="false" ht="15" hidden="false" customHeight="false" outlineLevel="0" collapsed="false">
      <c r="A856" s="15" t="n">
        <v>46059</v>
      </c>
      <c r="B856" s="14" t="s">
        <v>69</v>
      </c>
      <c r="C856" s="14" t="s">
        <v>70</v>
      </c>
      <c r="D856" s="14" t="s">
        <v>71</v>
      </c>
      <c r="E856" s="14" t="s">
        <v>64</v>
      </c>
      <c r="F856" s="14" t="s">
        <v>94</v>
      </c>
      <c r="G856" s="14" t="s">
        <v>95</v>
      </c>
      <c r="H856" s="0" t="n">
        <v>1</v>
      </c>
      <c r="I856" s="16" t="n">
        <v>94.03</v>
      </c>
      <c r="J856" s="16" t="n">
        <v>42</v>
      </c>
      <c r="K856" s="16" t="n">
        <f aca="false">H856*I856</f>
        <v>94.03</v>
      </c>
      <c r="L856" s="16" t="n">
        <f aca="false">H856*J856</f>
        <v>42</v>
      </c>
      <c r="M856" s="16" t="n">
        <f aca="false">K856-L856</f>
        <v>52.03</v>
      </c>
      <c r="N856" s="17" t="n">
        <f aca="false">IFERROR(M856/K856,0)</f>
        <v>0.553334042326917</v>
      </c>
    </row>
    <row r="857" customFormat="false" ht="15" hidden="false" customHeight="false" outlineLevel="0" collapsed="false">
      <c r="A857" s="15" t="n">
        <v>46059</v>
      </c>
      <c r="B857" s="14" t="s">
        <v>81</v>
      </c>
      <c r="C857" s="14" t="s">
        <v>82</v>
      </c>
      <c r="D857" s="14" t="s">
        <v>83</v>
      </c>
      <c r="E857" s="14" t="s">
        <v>53</v>
      </c>
      <c r="F857" s="14" t="s">
        <v>74</v>
      </c>
      <c r="G857" s="14" t="s">
        <v>75</v>
      </c>
      <c r="H857" s="0" t="n">
        <v>4</v>
      </c>
      <c r="I857" s="16" t="n">
        <v>84.73</v>
      </c>
      <c r="J857" s="16" t="n">
        <v>38</v>
      </c>
      <c r="K857" s="16" t="n">
        <f aca="false">H857*I857</f>
        <v>338.92</v>
      </c>
      <c r="L857" s="16" t="n">
        <f aca="false">H857*J857</f>
        <v>152</v>
      </c>
      <c r="M857" s="16" t="n">
        <f aca="false">K857-L857</f>
        <v>186.92</v>
      </c>
      <c r="N857" s="17" t="n">
        <f aca="false">IFERROR(M857/K857,0)</f>
        <v>0.551516582084268</v>
      </c>
    </row>
    <row r="858" customFormat="false" ht="15" hidden="false" customHeight="false" outlineLevel="0" collapsed="false">
      <c r="A858" s="15" t="n">
        <v>46059</v>
      </c>
      <c r="B858" s="14" t="s">
        <v>81</v>
      </c>
      <c r="C858" s="14" t="s">
        <v>82</v>
      </c>
      <c r="D858" s="14" t="s">
        <v>83</v>
      </c>
      <c r="E858" s="14" t="s">
        <v>64</v>
      </c>
      <c r="F858" s="14" t="s">
        <v>94</v>
      </c>
      <c r="G858" s="14" t="s">
        <v>95</v>
      </c>
      <c r="H858" s="0" t="n">
        <v>4</v>
      </c>
      <c r="I858" s="16" t="n">
        <v>96.54</v>
      </c>
      <c r="J858" s="16" t="n">
        <v>42</v>
      </c>
      <c r="K858" s="16" t="n">
        <f aca="false">H858*I858</f>
        <v>386.16</v>
      </c>
      <c r="L858" s="16" t="n">
        <f aca="false">H858*J858</f>
        <v>168</v>
      </c>
      <c r="M858" s="16" t="n">
        <f aca="false">K858-L858</f>
        <v>218.16</v>
      </c>
      <c r="N858" s="17" t="n">
        <f aca="false">IFERROR(M858/K858,0)</f>
        <v>0.564947172156619</v>
      </c>
    </row>
    <row r="859" customFormat="false" ht="15" hidden="false" customHeight="false" outlineLevel="0" collapsed="false">
      <c r="A859" s="15" t="n">
        <v>46059</v>
      </c>
      <c r="B859" s="14" t="s">
        <v>81</v>
      </c>
      <c r="C859" s="14" t="s">
        <v>82</v>
      </c>
      <c r="D859" s="14" t="s">
        <v>83</v>
      </c>
      <c r="E859" s="14" t="s">
        <v>64</v>
      </c>
      <c r="F859" s="14" t="s">
        <v>90</v>
      </c>
      <c r="G859" s="14" t="s">
        <v>91</v>
      </c>
      <c r="H859" s="0" t="n">
        <v>2</v>
      </c>
      <c r="I859" s="16" t="n">
        <v>11.15</v>
      </c>
      <c r="J859" s="16" t="n">
        <v>3.5</v>
      </c>
      <c r="K859" s="16" t="n">
        <f aca="false">H859*I859</f>
        <v>22.3</v>
      </c>
      <c r="L859" s="16" t="n">
        <f aca="false">H859*J859</f>
        <v>7</v>
      </c>
      <c r="M859" s="16" t="n">
        <f aca="false">K859-L859</f>
        <v>15.3</v>
      </c>
      <c r="N859" s="17" t="n">
        <f aca="false">IFERROR(M859/K859,0)</f>
        <v>0.68609865470852</v>
      </c>
    </row>
    <row r="860" customFormat="false" ht="15" hidden="false" customHeight="false" outlineLevel="0" collapsed="false">
      <c r="A860" s="15" t="n">
        <v>46059</v>
      </c>
      <c r="B860" s="14" t="s">
        <v>81</v>
      </c>
      <c r="C860" s="14" t="s">
        <v>82</v>
      </c>
      <c r="D860" s="14" t="s">
        <v>83</v>
      </c>
      <c r="E860" s="14" t="s">
        <v>45</v>
      </c>
      <c r="F860" s="14" t="s">
        <v>62</v>
      </c>
      <c r="G860" s="14" t="s">
        <v>63</v>
      </c>
      <c r="H860" s="0" t="n">
        <v>1</v>
      </c>
      <c r="I860" s="16" t="n">
        <v>17.16</v>
      </c>
      <c r="J860" s="16" t="n">
        <v>6.5</v>
      </c>
      <c r="K860" s="16" t="n">
        <f aca="false">H860*I860</f>
        <v>17.16</v>
      </c>
      <c r="L860" s="16" t="n">
        <f aca="false">H860*J860</f>
        <v>6.5</v>
      </c>
      <c r="M860" s="16" t="n">
        <f aca="false">K860-L860</f>
        <v>10.66</v>
      </c>
      <c r="N860" s="17" t="n">
        <f aca="false">IFERROR(M860/K860,0)</f>
        <v>0.621212121212121</v>
      </c>
    </row>
    <row r="861" customFormat="false" ht="15" hidden="false" customHeight="false" outlineLevel="0" collapsed="false">
      <c r="A861" s="15" t="n">
        <v>46059</v>
      </c>
      <c r="B861" s="14" t="s">
        <v>88</v>
      </c>
      <c r="C861" s="14" t="s">
        <v>89</v>
      </c>
      <c r="D861" s="14" t="s">
        <v>44</v>
      </c>
      <c r="E861" s="14" t="s">
        <v>64</v>
      </c>
      <c r="F861" s="14" t="s">
        <v>90</v>
      </c>
      <c r="G861" s="14" t="s">
        <v>91</v>
      </c>
      <c r="H861" s="0" t="n">
        <v>3</v>
      </c>
      <c r="I861" s="16" t="n">
        <v>11.63</v>
      </c>
      <c r="J861" s="16" t="n">
        <v>3.5</v>
      </c>
      <c r="K861" s="16" t="n">
        <f aca="false">H861*I861</f>
        <v>34.89</v>
      </c>
      <c r="L861" s="16" t="n">
        <f aca="false">H861*J861</f>
        <v>10.5</v>
      </c>
      <c r="M861" s="16" t="n">
        <f aca="false">K861-L861</f>
        <v>24.39</v>
      </c>
      <c r="N861" s="17" t="n">
        <f aca="false">IFERROR(M861/K861,0)</f>
        <v>0.699054170249355</v>
      </c>
    </row>
    <row r="862" customFormat="false" ht="15" hidden="false" customHeight="false" outlineLevel="0" collapsed="false">
      <c r="A862" s="15" t="n">
        <v>46059</v>
      </c>
      <c r="B862" s="14" t="s">
        <v>88</v>
      </c>
      <c r="C862" s="14" t="s">
        <v>89</v>
      </c>
      <c r="D862" s="14" t="s">
        <v>44</v>
      </c>
      <c r="E862" s="14" t="s">
        <v>76</v>
      </c>
      <c r="F862" s="14" t="s">
        <v>79</v>
      </c>
      <c r="G862" s="14" t="s">
        <v>80</v>
      </c>
      <c r="H862" s="0" t="n">
        <v>3</v>
      </c>
      <c r="I862" s="16" t="n">
        <v>28.76</v>
      </c>
      <c r="J862" s="16" t="n">
        <v>11</v>
      </c>
      <c r="K862" s="16" t="n">
        <f aca="false">H862*I862</f>
        <v>86.28</v>
      </c>
      <c r="L862" s="16" t="n">
        <f aca="false">H862*J862</f>
        <v>33</v>
      </c>
      <c r="M862" s="16" t="n">
        <f aca="false">K862-L862</f>
        <v>53.28</v>
      </c>
      <c r="N862" s="17" t="n">
        <f aca="false">IFERROR(M862/K862,0)</f>
        <v>0.617524339360223</v>
      </c>
    </row>
    <row r="863" customFormat="false" ht="15" hidden="false" customHeight="false" outlineLevel="0" collapsed="false">
      <c r="A863" s="15" t="n">
        <v>46059</v>
      </c>
      <c r="B863" s="14" t="s">
        <v>88</v>
      </c>
      <c r="C863" s="14" t="s">
        <v>89</v>
      </c>
      <c r="D863" s="14" t="s">
        <v>44</v>
      </c>
      <c r="E863" s="14" t="s">
        <v>64</v>
      </c>
      <c r="F863" s="14" t="s">
        <v>65</v>
      </c>
      <c r="G863" s="14" t="s">
        <v>66</v>
      </c>
      <c r="H863" s="0" t="n">
        <v>6</v>
      </c>
      <c r="I863" s="16" t="n">
        <v>75.47</v>
      </c>
      <c r="J863" s="16" t="n">
        <v>34</v>
      </c>
      <c r="K863" s="16" t="n">
        <f aca="false">H863*I863</f>
        <v>452.82</v>
      </c>
      <c r="L863" s="16" t="n">
        <f aca="false">H863*J863</f>
        <v>204</v>
      </c>
      <c r="M863" s="16" t="n">
        <f aca="false">K863-L863</f>
        <v>248.82</v>
      </c>
      <c r="N863" s="17" t="n">
        <f aca="false">IFERROR(M863/K863,0)</f>
        <v>0.549489863521929</v>
      </c>
    </row>
    <row r="864" customFormat="false" ht="15" hidden="false" customHeight="false" outlineLevel="0" collapsed="false">
      <c r="A864" s="15" t="n">
        <v>46059</v>
      </c>
      <c r="B864" s="14" t="s">
        <v>88</v>
      </c>
      <c r="C864" s="14" t="s">
        <v>89</v>
      </c>
      <c r="D864" s="14" t="s">
        <v>44</v>
      </c>
      <c r="E864" s="14" t="s">
        <v>45</v>
      </c>
      <c r="F864" s="14" t="s">
        <v>46</v>
      </c>
      <c r="G864" s="14" t="s">
        <v>47</v>
      </c>
      <c r="H864" s="0" t="n">
        <v>6</v>
      </c>
      <c r="I864" s="16" t="n">
        <v>41.44</v>
      </c>
      <c r="J864" s="16" t="n">
        <v>18</v>
      </c>
      <c r="K864" s="16" t="n">
        <f aca="false">H864*I864</f>
        <v>248.64</v>
      </c>
      <c r="L864" s="16" t="n">
        <f aca="false">H864*J864</f>
        <v>108</v>
      </c>
      <c r="M864" s="16" t="n">
        <f aca="false">K864-L864</f>
        <v>140.64</v>
      </c>
      <c r="N864" s="17" t="n">
        <f aca="false">IFERROR(M864/K864,0)</f>
        <v>0.565637065637066</v>
      </c>
    </row>
    <row r="865" customFormat="false" ht="15" hidden="false" customHeight="false" outlineLevel="0" collapsed="false">
      <c r="A865" s="15" t="n">
        <v>46059</v>
      </c>
      <c r="B865" s="14" t="s">
        <v>88</v>
      </c>
      <c r="C865" s="14" t="s">
        <v>89</v>
      </c>
      <c r="D865" s="14" t="s">
        <v>44</v>
      </c>
      <c r="E865" s="14" t="s">
        <v>56</v>
      </c>
      <c r="F865" s="14" t="s">
        <v>86</v>
      </c>
      <c r="G865" s="14" t="s">
        <v>87</v>
      </c>
      <c r="H865" s="0" t="n">
        <v>6</v>
      </c>
      <c r="I865" s="16" t="n">
        <v>14.42</v>
      </c>
      <c r="J865" s="16" t="n">
        <v>5</v>
      </c>
      <c r="K865" s="16" t="n">
        <f aca="false">H865*I865</f>
        <v>86.52</v>
      </c>
      <c r="L865" s="16" t="n">
        <f aca="false">H865*J865</f>
        <v>30</v>
      </c>
      <c r="M865" s="16" t="n">
        <f aca="false">K865-L865</f>
        <v>56.52</v>
      </c>
      <c r="N865" s="17" t="n">
        <f aca="false">IFERROR(M865/K865,0)</f>
        <v>0.653259361997226</v>
      </c>
    </row>
    <row r="866" customFormat="false" ht="15" hidden="false" customHeight="false" outlineLevel="0" collapsed="false">
      <c r="A866" s="15" t="n">
        <v>46059</v>
      </c>
      <c r="B866" s="14" t="s">
        <v>88</v>
      </c>
      <c r="C866" s="14" t="s">
        <v>89</v>
      </c>
      <c r="D866" s="14" t="s">
        <v>44</v>
      </c>
      <c r="E866" s="14" t="s">
        <v>56</v>
      </c>
      <c r="F866" s="14" t="s">
        <v>98</v>
      </c>
      <c r="G866" s="14" t="s">
        <v>99</v>
      </c>
      <c r="H866" s="0" t="n">
        <v>7</v>
      </c>
      <c r="I866" s="16" t="n">
        <v>21.4</v>
      </c>
      <c r="J866" s="16" t="n">
        <v>8</v>
      </c>
      <c r="K866" s="16" t="n">
        <f aca="false">H866*I866</f>
        <v>149.8</v>
      </c>
      <c r="L866" s="16" t="n">
        <f aca="false">H866*J866</f>
        <v>56</v>
      </c>
      <c r="M866" s="16" t="n">
        <f aca="false">K866-L866</f>
        <v>93.8</v>
      </c>
      <c r="N866" s="17" t="n">
        <f aca="false">IFERROR(M866/K866,0)</f>
        <v>0.626168224299065</v>
      </c>
    </row>
    <row r="867" customFormat="false" ht="15" hidden="false" customHeight="false" outlineLevel="0" collapsed="false">
      <c r="A867" s="15" t="n">
        <v>46060</v>
      </c>
      <c r="B867" s="14" t="s">
        <v>42</v>
      </c>
      <c r="C867" s="14" t="s">
        <v>43</v>
      </c>
      <c r="D867" s="14" t="s">
        <v>44</v>
      </c>
      <c r="E867" s="14" t="s">
        <v>64</v>
      </c>
      <c r="F867" s="14" t="s">
        <v>94</v>
      </c>
      <c r="G867" s="14" t="s">
        <v>95</v>
      </c>
      <c r="H867" s="0" t="n">
        <v>9</v>
      </c>
      <c r="I867" s="16" t="n">
        <v>92.26</v>
      </c>
      <c r="J867" s="16" t="n">
        <v>42</v>
      </c>
      <c r="K867" s="16" t="n">
        <f aca="false">H867*I867</f>
        <v>830.34</v>
      </c>
      <c r="L867" s="16" t="n">
        <f aca="false">H867*J867</f>
        <v>378</v>
      </c>
      <c r="M867" s="16" t="n">
        <f aca="false">K867-L867</f>
        <v>452.34</v>
      </c>
      <c r="N867" s="17" t="n">
        <f aca="false">IFERROR(M867/K867,0)</f>
        <v>0.544764795144158</v>
      </c>
    </row>
    <row r="868" customFormat="false" ht="15" hidden="false" customHeight="false" outlineLevel="0" collapsed="false">
      <c r="A868" s="15" t="n">
        <v>46060</v>
      </c>
      <c r="B868" s="14" t="s">
        <v>42</v>
      </c>
      <c r="C868" s="14" t="s">
        <v>43</v>
      </c>
      <c r="D868" s="14" t="s">
        <v>44</v>
      </c>
      <c r="E868" s="14" t="s">
        <v>56</v>
      </c>
      <c r="F868" s="14" t="s">
        <v>98</v>
      </c>
      <c r="G868" s="14" t="s">
        <v>99</v>
      </c>
      <c r="H868" s="0" t="n">
        <v>2</v>
      </c>
      <c r="I868" s="16" t="n">
        <v>21.37</v>
      </c>
      <c r="J868" s="16" t="n">
        <v>8</v>
      </c>
      <c r="K868" s="16" t="n">
        <f aca="false">H868*I868</f>
        <v>42.74</v>
      </c>
      <c r="L868" s="16" t="n">
        <f aca="false">H868*J868</f>
        <v>16</v>
      </c>
      <c r="M868" s="16" t="n">
        <f aca="false">K868-L868</f>
        <v>26.74</v>
      </c>
      <c r="N868" s="17" t="n">
        <f aca="false">IFERROR(M868/K868,0)</f>
        <v>0.625643425362658</v>
      </c>
    </row>
    <row r="869" customFormat="false" ht="15" hidden="false" customHeight="false" outlineLevel="0" collapsed="false">
      <c r="A869" s="15" t="n">
        <v>46060</v>
      </c>
      <c r="B869" s="14" t="s">
        <v>42</v>
      </c>
      <c r="C869" s="14" t="s">
        <v>43</v>
      </c>
      <c r="D869" s="14" t="s">
        <v>44</v>
      </c>
      <c r="E869" s="14" t="s">
        <v>53</v>
      </c>
      <c r="F869" s="14" t="s">
        <v>84</v>
      </c>
      <c r="G869" s="14" t="s">
        <v>85</v>
      </c>
      <c r="H869" s="0" t="n">
        <v>11</v>
      </c>
      <c r="I869" s="16" t="n">
        <v>24.74</v>
      </c>
      <c r="J869" s="16" t="n">
        <v>9</v>
      </c>
      <c r="K869" s="16" t="n">
        <f aca="false">H869*I869</f>
        <v>272.14</v>
      </c>
      <c r="L869" s="16" t="n">
        <f aca="false">H869*J869</f>
        <v>99</v>
      </c>
      <c r="M869" s="16" t="n">
        <f aca="false">K869-L869</f>
        <v>173.14</v>
      </c>
      <c r="N869" s="17" t="n">
        <f aca="false">IFERROR(M869/K869,0)</f>
        <v>0.636216653193209</v>
      </c>
    </row>
    <row r="870" customFormat="false" ht="15" hidden="false" customHeight="false" outlineLevel="0" collapsed="false">
      <c r="A870" s="15" t="n">
        <v>46060</v>
      </c>
      <c r="B870" s="14" t="s">
        <v>50</v>
      </c>
      <c r="C870" s="14" t="s">
        <v>51</v>
      </c>
      <c r="D870" s="14" t="s">
        <v>52</v>
      </c>
      <c r="E870" s="14" t="s">
        <v>64</v>
      </c>
      <c r="F870" s="14" t="s">
        <v>94</v>
      </c>
      <c r="G870" s="14" t="s">
        <v>95</v>
      </c>
      <c r="H870" s="0" t="n">
        <v>5</v>
      </c>
      <c r="I870" s="16" t="n">
        <v>93.7</v>
      </c>
      <c r="J870" s="16" t="n">
        <v>42</v>
      </c>
      <c r="K870" s="16" t="n">
        <f aca="false">H870*I870</f>
        <v>468.5</v>
      </c>
      <c r="L870" s="16" t="n">
        <f aca="false">H870*J870</f>
        <v>210</v>
      </c>
      <c r="M870" s="16" t="n">
        <f aca="false">K870-L870</f>
        <v>258.5</v>
      </c>
      <c r="N870" s="17" t="n">
        <f aca="false">IFERROR(M870/K870,0)</f>
        <v>0.551760939167556</v>
      </c>
    </row>
    <row r="871" customFormat="false" ht="15" hidden="false" customHeight="false" outlineLevel="0" collapsed="false">
      <c r="A871" s="15" t="n">
        <v>46060</v>
      </c>
      <c r="B871" s="14" t="s">
        <v>50</v>
      </c>
      <c r="C871" s="14" t="s">
        <v>51</v>
      </c>
      <c r="D871" s="14" t="s">
        <v>52</v>
      </c>
      <c r="E871" s="14" t="s">
        <v>76</v>
      </c>
      <c r="F871" s="14" t="s">
        <v>79</v>
      </c>
      <c r="G871" s="14" t="s">
        <v>80</v>
      </c>
      <c r="H871" s="0" t="n">
        <v>5</v>
      </c>
      <c r="I871" s="16" t="n">
        <v>28.92</v>
      </c>
      <c r="J871" s="16" t="n">
        <v>11</v>
      </c>
      <c r="K871" s="16" t="n">
        <f aca="false">H871*I871</f>
        <v>144.6</v>
      </c>
      <c r="L871" s="16" t="n">
        <f aca="false">H871*J871</f>
        <v>55</v>
      </c>
      <c r="M871" s="16" t="n">
        <f aca="false">K871-L871</f>
        <v>89.6</v>
      </c>
      <c r="N871" s="17" t="n">
        <f aca="false">IFERROR(M871/K871,0)</f>
        <v>0.619640387275242</v>
      </c>
    </row>
    <row r="872" customFormat="false" ht="15" hidden="false" customHeight="false" outlineLevel="0" collapsed="false">
      <c r="A872" s="15" t="n">
        <v>46060</v>
      </c>
      <c r="B872" s="14" t="s">
        <v>59</v>
      </c>
      <c r="C872" s="14" t="s">
        <v>60</v>
      </c>
      <c r="D872" s="14" t="s">
        <v>61</v>
      </c>
      <c r="E872" s="14" t="s">
        <v>64</v>
      </c>
      <c r="F872" s="14" t="s">
        <v>96</v>
      </c>
      <c r="G872" s="14" t="s">
        <v>97</v>
      </c>
      <c r="H872" s="0" t="n">
        <v>2</v>
      </c>
      <c r="I872" s="16" t="n">
        <v>56.45</v>
      </c>
      <c r="J872" s="16" t="n">
        <v>24</v>
      </c>
      <c r="K872" s="16" t="n">
        <f aca="false">H872*I872</f>
        <v>112.9</v>
      </c>
      <c r="L872" s="16" t="n">
        <f aca="false">H872*J872</f>
        <v>48</v>
      </c>
      <c r="M872" s="16" t="n">
        <f aca="false">K872-L872</f>
        <v>64.9</v>
      </c>
      <c r="N872" s="17" t="n">
        <f aca="false">IFERROR(M872/K872,0)</f>
        <v>0.574844995571302</v>
      </c>
    </row>
    <row r="873" customFormat="false" ht="15" hidden="false" customHeight="false" outlineLevel="0" collapsed="false">
      <c r="A873" s="15" t="n">
        <v>46060</v>
      </c>
      <c r="B873" s="14" t="s">
        <v>59</v>
      </c>
      <c r="C873" s="14" t="s">
        <v>60</v>
      </c>
      <c r="D873" s="14" t="s">
        <v>61</v>
      </c>
      <c r="E873" s="14" t="s">
        <v>56</v>
      </c>
      <c r="F873" s="14" t="s">
        <v>57</v>
      </c>
      <c r="G873" s="14" t="s">
        <v>58</v>
      </c>
      <c r="H873" s="0" t="n">
        <v>2</v>
      </c>
      <c r="I873" s="16" t="n">
        <v>26.69</v>
      </c>
      <c r="J873" s="16" t="n">
        <v>10</v>
      </c>
      <c r="K873" s="16" t="n">
        <f aca="false">H873*I873</f>
        <v>53.38</v>
      </c>
      <c r="L873" s="16" t="n">
        <f aca="false">H873*J873</f>
        <v>20</v>
      </c>
      <c r="M873" s="16" t="n">
        <f aca="false">K873-L873</f>
        <v>33.38</v>
      </c>
      <c r="N873" s="17" t="n">
        <f aca="false">IFERROR(M873/K873,0)</f>
        <v>0.625327838141626</v>
      </c>
    </row>
    <row r="874" customFormat="false" ht="15" hidden="false" customHeight="false" outlineLevel="0" collapsed="false">
      <c r="A874" s="15" t="n">
        <v>46060</v>
      </c>
      <c r="B874" s="14" t="s">
        <v>59</v>
      </c>
      <c r="C874" s="14" t="s">
        <v>60</v>
      </c>
      <c r="D874" s="14" t="s">
        <v>61</v>
      </c>
      <c r="E874" s="14" t="s">
        <v>64</v>
      </c>
      <c r="F874" s="14" t="s">
        <v>94</v>
      </c>
      <c r="G874" s="14" t="s">
        <v>95</v>
      </c>
      <c r="H874" s="0" t="n">
        <v>2</v>
      </c>
      <c r="I874" s="16" t="n">
        <v>98.85</v>
      </c>
      <c r="J874" s="16" t="n">
        <v>42</v>
      </c>
      <c r="K874" s="16" t="n">
        <f aca="false">H874*I874</f>
        <v>197.7</v>
      </c>
      <c r="L874" s="16" t="n">
        <f aca="false">H874*J874</f>
        <v>84</v>
      </c>
      <c r="M874" s="16" t="n">
        <f aca="false">K874-L874</f>
        <v>113.7</v>
      </c>
      <c r="N874" s="17" t="n">
        <f aca="false">IFERROR(M874/K874,0)</f>
        <v>0.575113808801214</v>
      </c>
    </row>
    <row r="875" customFormat="false" ht="15" hidden="false" customHeight="false" outlineLevel="0" collapsed="false">
      <c r="A875" s="15" t="n">
        <v>46060</v>
      </c>
      <c r="B875" s="14" t="s">
        <v>59</v>
      </c>
      <c r="C875" s="14" t="s">
        <v>60</v>
      </c>
      <c r="D875" s="14" t="s">
        <v>61</v>
      </c>
      <c r="E875" s="14" t="s">
        <v>45</v>
      </c>
      <c r="F875" s="14" t="s">
        <v>48</v>
      </c>
      <c r="G875" s="14" t="s">
        <v>49</v>
      </c>
      <c r="H875" s="0" t="n">
        <v>7</v>
      </c>
      <c r="I875" s="16" t="n">
        <v>64.8</v>
      </c>
      <c r="J875" s="16" t="n">
        <v>27.5</v>
      </c>
      <c r="K875" s="16" t="n">
        <f aca="false">H875*I875</f>
        <v>453.6</v>
      </c>
      <c r="L875" s="16" t="n">
        <f aca="false">H875*J875</f>
        <v>192.5</v>
      </c>
      <c r="M875" s="16" t="n">
        <f aca="false">K875-L875</f>
        <v>261.1</v>
      </c>
      <c r="N875" s="17" t="n">
        <f aca="false">IFERROR(M875/K875,0)</f>
        <v>0.575617283950617</v>
      </c>
    </row>
    <row r="876" customFormat="false" ht="15" hidden="false" customHeight="false" outlineLevel="0" collapsed="false">
      <c r="A876" s="15" t="n">
        <v>46060</v>
      </c>
      <c r="B876" s="14" t="s">
        <v>59</v>
      </c>
      <c r="C876" s="14" t="s">
        <v>60</v>
      </c>
      <c r="D876" s="14" t="s">
        <v>61</v>
      </c>
      <c r="E876" s="14" t="s">
        <v>56</v>
      </c>
      <c r="F876" s="14" t="s">
        <v>98</v>
      </c>
      <c r="G876" s="14" t="s">
        <v>99</v>
      </c>
      <c r="H876" s="0" t="n">
        <v>2</v>
      </c>
      <c r="I876" s="16" t="n">
        <v>21.63</v>
      </c>
      <c r="J876" s="16" t="n">
        <v>8</v>
      </c>
      <c r="K876" s="16" t="n">
        <f aca="false">H876*I876</f>
        <v>43.26</v>
      </c>
      <c r="L876" s="16" t="n">
        <f aca="false">H876*J876</f>
        <v>16</v>
      </c>
      <c r="M876" s="16" t="n">
        <f aca="false">K876-L876</f>
        <v>27.26</v>
      </c>
      <c r="N876" s="17" t="n">
        <f aca="false">IFERROR(M876/K876,0)</f>
        <v>0.630143319463708</v>
      </c>
    </row>
    <row r="877" customFormat="false" ht="15" hidden="false" customHeight="false" outlineLevel="0" collapsed="false">
      <c r="A877" s="15" t="n">
        <v>46060</v>
      </c>
      <c r="B877" s="14" t="s">
        <v>69</v>
      </c>
      <c r="C877" s="14" t="s">
        <v>70</v>
      </c>
      <c r="D877" s="14" t="s">
        <v>71</v>
      </c>
      <c r="E877" s="14" t="s">
        <v>76</v>
      </c>
      <c r="F877" s="14" t="s">
        <v>77</v>
      </c>
      <c r="G877" s="14" t="s">
        <v>78</v>
      </c>
      <c r="H877" s="0" t="n">
        <v>8</v>
      </c>
      <c r="I877" s="16" t="n">
        <v>41.83</v>
      </c>
      <c r="J877" s="16" t="n">
        <v>15</v>
      </c>
      <c r="K877" s="16" t="n">
        <f aca="false">H877*I877</f>
        <v>334.64</v>
      </c>
      <c r="L877" s="16" t="n">
        <f aca="false">H877*J877</f>
        <v>120</v>
      </c>
      <c r="M877" s="16" t="n">
        <f aca="false">K877-L877</f>
        <v>214.64</v>
      </c>
      <c r="N877" s="17" t="n">
        <f aca="false">IFERROR(M877/K877,0)</f>
        <v>0.64140568969639</v>
      </c>
    </row>
    <row r="878" customFormat="false" ht="15" hidden="false" customHeight="false" outlineLevel="0" collapsed="false">
      <c r="A878" s="15" t="n">
        <v>46060</v>
      </c>
      <c r="B878" s="14" t="s">
        <v>69</v>
      </c>
      <c r="C878" s="14" t="s">
        <v>70</v>
      </c>
      <c r="D878" s="14" t="s">
        <v>71</v>
      </c>
      <c r="E878" s="14" t="s">
        <v>76</v>
      </c>
      <c r="F878" s="14" t="s">
        <v>79</v>
      </c>
      <c r="G878" s="14" t="s">
        <v>80</v>
      </c>
      <c r="H878" s="0" t="n">
        <v>4</v>
      </c>
      <c r="I878" s="16" t="n">
        <v>29.63</v>
      </c>
      <c r="J878" s="16" t="n">
        <v>11</v>
      </c>
      <c r="K878" s="16" t="n">
        <f aca="false">H878*I878</f>
        <v>118.52</v>
      </c>
      <c r="L878" s="16" t="n">
        <f aca="false">H878*J878</f>
        <v>44</v>
      </c>
      <c r="M878" s="16" t="n">
        <f aca="false">K878-L878</f>
        <v>74.52</v>
      </c>
      <c r="N878" s="17" t="n">
        <f aca="false">IFERROR(M878/K878,0)</f>
        <v>0.628754640566993</v>
      </c>
    </row>
    <row r="879" customFormat="false" ht="15" hidden="false" customHeight="false" outlineLevel="0" collapsed="false">
      <c r="A879" s="15" t="n">
        <v>46060</v>
      </c>
      <c r="B879" s="14" t="s">
        <v>69</v>
      </c>
      <c r="C879" s="14" t="s">
        <v>70</v>
      </c>
      <c r="D879" s="14" t="s">
        <v>71</v>
      </c>
      <c r="E879" s="14" t="s">
        <v>76</v>
      </c>
      <c r="F879" s="14" t="s">
        <v>100</v>
      </c>
      <c r="G879" s="14" t="s">
        <v>101</v>
      </c>
      <c r="H879" s="0" t="n">
        <v>6</v>
      </c>
      <c r="I879" s="16" t="n">
        <v>15.64</v>
      </c>
      <c r="J879" s="16" t="n">
        <v>5.5</v>
      </c>
      <c r="K879" s="16" t="n">
        <f aca="false">H879*I879</f>
        <v>93.84</v>
      </c>
      <c r="L879" s="16" t="n">
        <f aca="false">H879*J879</f>
        <v>33</v>
      </c>
      <c r="M879" s="16" t="n">
        <f aca="false">K879-L879</f>
        <v>60.84</v>
      </c>
      <c r="N879" s="17" t="n">
        <f aca="false">IFERROR(M879/K879,0)</f>
        <v>0.648337595907928</v>
      </c>
    </row>
    <row r="880" customFormat="false" ht="15" hidden="false" customHeight="false" outlineLevel="0" collapsed="false">
      <c r="A880" s="15" t="n">
        <v>46060</v>
      </c>
      <c r="B880" s="14" t="s">
        <v>69</v>
      </c>
      <c r="C880" s="14" t="s">
        <v>70</v>
      </c>
      <c r="D880" s="14" t="s">
        <v>71</v>
      </c>
      <c r="E880" s="14" t="s">
        <v>45</v>
      </c>
      <c r="F880" s="14" t="s">
        <v>48</v>
      </c>
      <c r="G880" s="14" t="s">
        <v>49</v>
      </c>
      <c r="H880" s="0" t="n">
        <v>4</v>
      </c>
      <c r="I880" s="16" t="n">
        <v>62.57</v>
      </c>
      <c r="J880" s="16" t="n">
        <v>27.5</v>
      </c>
      <c r="K880" s="16" t="n">
        <f aca="false">H880*I880</f>
        <v>250.28</v>
      </c>
      <c r="L880" s="16" t="n">
        <f aca="false">H880*J880</f>
        <v>110</v>
      </c>
      <c r="M880" s="16" t="n">
        <f aca="false">K880-L880</f>
        <v>140.28</v>
      </c>
      <c r="N880" s="17" t="n">
        <f aca="false">IFERROR(M880/K880,0)</f>
        <v>0.560492248681477</v>
      </c>
    </row>
    <row r="881" customFormat="false" ht="15" hidden="false" customHeight="false" outlineLevel="0" collapsed="false">
      <c r="A881" s="15" t="n">
        <v>46060</v>
      </c>
      <c r="B881" s="14" t="s">
        <v>69</v>
      </c>
      <c r="C881" s="14" t="s">
        <v>70</v>
      </c>
      <c r="D881" s="14" t="s">
        <v>71</v>
      </c>
      <c r="E881" s="14" t="s">
        <v>76</v>
      </c>
      <c r="F881" s="14" t="s">
        <v>102</v>
      </c>
      <c r="G881" s="14" t="s">
        <v>103</v>
      </c>
      <c r="H881" s="0" t="n">
        <v>6</v>
      </c>
      <c r="I881" s="16" t="n">
        <v>23.43</v>
      </c>
      <c r="J881" s="16" t="n">
        <v>8.5</v>
      </c>
      <c r="K881" s="16" t="n">
        <f aca="false">H881*I881</f>
        <v>140.58</v>
      </c>
      <c r="L881" s="16" t="n">
        <f aca="false">H881*J881</f>
        <v>51</v>
      </c>
      <c r="M881" s="16" t="n">
        <f aca="false">K881-L881</f>
        <v>89.58</v>
      </c>
      <c r="N881" s="17" t="n">
        <f aca="false">IFERROR(M881/K881,0)</f>
        <v>0.637217242851046</v>
      </c>
    </row>
    <row r="882" customFormat="false" ht="15" hidden="false" customHeight="false" outlineLevel="0" collapsed="false">
      <c r="A882" s="15" t="n">
        <v>46060</v>
      </c>
      <c r="B882" s="14" t="s">
        <v>69</v>
      </c>
      <c r="C882" s="14" t="s">
        <v>70</v>
      </c>
      <c r="D882" s="14" t="s">
        <v>71</v>
      </c>
      <c r="E882" s="14" t="s">
        <v>45</v>
      </c>
      <c r="F882" s="14" t="s">
        <v>62</v>
      </c>
      <c r="G882" s="14" t="s">
        <v>63</v>
      </c>
      <c r="H882" s="0" t="n">
        <v>8</v>
      </c>
      <c r="I882" s="16" t="n">
        <v>16.76</v>
      </c>
      <c r="J882" s="16" t="n">
        <v>6.5</v>
      </c>
      <c r="K882" s="16" t="n">
        <f aca="false">H882*I882</f>
        <v>134.08</v>
      </c>
      <c r="L882" s="16" t="n">
        <f aca="false">H882*J882</f>
        <v>52</v>
      </c>
      <c r="M882" s="16" t="n">
        <f aca="false">K882-L882</f>
        <v>82.08</v>
      </c>
      <c r="N882" s="17" t="n">
        <f aca="false">IFERROR(M882/K882,0)</f>
        <v>0.612171837708831</v>
      </c>
    </row>
    <row r="883" customFormat="false" ht="15" hidden="false" customHeight="false" outlineLevel="0" collapsed="false">
      <c r="A883" s="15" t="n">
        <v>46060</v>
      </c>
      <c r="B883" s="14" t="s">
        <v>81</v>
      </c>
      <c r="C883" s="14" t="s">
        <v>82</v>
      </c>
      <c r="D883" s="14" t="s">
        <v>83</v>
      </c>
      <c r="E883" s="14" t="s">
        <v>45</v>
      </c>
      <c r="F883" s="14" t="s">
        <v>46</v>
      </c>
      <c r="G883" s="14" t="s">
        <v>47</v>
      </c>
      <c r="H883" s="0" t="n">
        <v>3</v>
      </c>
      <c r="I883" s="16" t="n">
        <v>42.08</v>
      </c>
      <c r="J883" s="16" t="n">
        <v>18</v>
      </c>
      <c r="K883" s="16" t="n">
        <f aca="false">H883*I883</f>
        <v>126.24</v>
      </c>
      <c r="L883" s="16" t="n">
        <f aca="false">H883*J883</f>
        <v>54</v>
      </c>
      <c r="M883" s="16" t="n">
        <f aca="false">K883-L883</f>
        <v>72.24</v>
      </c>
      <c r="N883" s="17" t="n">
        <f aca="false">IFERROR(M883/K883,0)</f>
        <v>0.572243346007605</v>
      </c>
    </row>
    <row r="884" customFormat="false" ht="15" hidden="false" customHeight="false" outlineLevel="0" collapsed="false">
      <c r="A884" s="15" t="n">
        <v>46060</v>
      </c>
      <c r="B884" s="14" t="s">
        <v>81</v>
      </c>
      <c r="C884" s="14" t="s">
        <v>82</v>
      </c>
      <c r="D884" s="14" t="s">
        <v>83</v>
      </c>
      <c r="E884" s="14" t="s">
        <v>64</v>
      </c>
      <c r="F884" s="14" t="s">
        <v>96</v>
      </c>
      <c r="G884" s="14" t="s">
        <v>97</v>
      </c>
      <c r="H884" s="0" t="n">
        <v>6</v>
      </c>
      <c r="I884" s="16" t="n">
        <v>58.17</v>
      </c>
      <c r="J884" s="16" t="n">
        <v>24</v>
      </c>
      <c r="K884" s="16" t="n">
        <f aca="false">H884*I884</f>
        <v>349.02</v>
      </c>
      <c r="L884" s="16" t="n">
        <f aca="false">H884*J884</f>
        <v>144</v>
      </c>
      <c r="M884" s="16" t="n">
        <f aca="false">K884-L884</f>
        <v>205.02</v>
      </c>
      <c r="N884" s="17" t="n">
        <f aca="false">IFERROR(M884/K884,0)</f>
        <v>0.587416193914389</v>
      </c>
    </row>
    <row r="885" customFormat="false" ht="15" hidden="false" customHeight="false" outlineLevel="0" collapsed="false">
      <c r="A885" s="15" t="n">
        <v>46060</v>
      </c>
      <c r="B885" s="14" t="s">
        <v>81</v>
      </c>
      <c r="C885" s="14" t="s">
        <v>82</v>
      </c>
      <c r="D885" s="14" t="s">
        <v>83</v>
      </c>
      <c r="E885" s="14" t="s">
        <v>53</v>
      </c>
      <c r="F885" s="14" t="s">
        <v>92</v>
      </c>
      <c r="G885" s="14" t="s">
        <v>93</v>
      </c>
      <c r="H885" s="0" t="n">
        <v>2</v>
      </c>
      <c r="I885" s="16" t="n">
        <v>117.67</v>
      </c>
      <c r="J885" s="16" t="n">
        <v>52</v>
      </c>
      <c r="K885" s="16" t="n">
        <f aca="false">H885*I885</f>
        <v>235.34</v>
      </c>
      <c r="L885" s="16" t="n">
        <f aca="false">H885*J885</f>
        <v>104</v>
      </c>
      <c r="M885" s="16" t="n">
        <f aca="false">K885-L885</f>
        <v>131.34</v>
      </c>
      <c r="N885" s="17" t="n">
        <f aca="false">IFERROR(M885/K885,0)</f>
        <v>0.558086173196227</v>
      </c>
    </row>
    <row r="886" customFormat="false" ht="15" hidden="false" customHeight="false" outlineLevel="0" collapsed="false">
      <c r="A886" s="15" t="n">
        <v>46060</v>
      </c>
      <c r="B886" s="14" t="s">
        <v>81</v>
      </c>
      <c r="C886" s="14" t="s">
        <v>82</v>
      </c>
      <c r="D886" s="14" t="s">
        <v>83</v>
      </c>
      <c r="E886" s="14" t="s">
        <v>45</v>
      </c>
      <c r="F886" s="14" t="s">
        <v>48</v>
      </c>
      <c r="G886" s="14" t="s">
        <v>49</v>
      </c>
      <c r="H886" s="0" t="n">
        <v>7</v>
      </c>
      <c r="I886" s="16" t="n">
        <v>65.05</v>
      </c>
      <c r="J886" s="16" t="n">
        <v>27.5</v>
      </c>
      <c r="K886" s="16" t="n">
        <f aca="false">H886*I886</f>
        <v>455.35</v>
      </c>
      <c r="L886" s="16" t="n">
        <f aca="false">H886*J886</f>
        <v>192.5</v>
      </c>
      <c r="M886" s="16" t="n">
        <f aca="false">K886-L886</f>
        <v>262.85</v>
      </c>
      <c r="N886" s="17" t="n">
        <f aca="false">IFERROR(M886/K886,0)</f>
        <v>0.577248270561107</v>
      </c>
    </row>
    <row r="887" customFormat="false" ht="15" hidden="false" customHeight="false" outlineLevel="0" collapsed="false">
      <c r="A887" s="15" t="n">
        <v>46060</v>
      </c>
      <c r="B887" s="14" t="s">
        <v>81</v>
      </c>
      <c r="C887" s="14" t="s">
        <v>82</v>
      </c>
      <c r="D887" s="14" t="s">
        <v>83</v>
      </c>
      <c r="E887" s="14" t="s">
        <v>56</v>
      </c>
      <c r="F887" s="14" t="s">
        <v>86</v>
      </c>
      <c r="G887" s="14" t="s">
        <v>87</v>
      </c>
      <c r="H887" s="0" t="n">
        <v>8</v>
      </c>
      <c r="I887" s="16" t="n">
        <v>13.81</v>
      </c>
      <c r="J887" s="16" t="n">
        <v>5</v>
      </c>
      <c r="K887" s="16" t="n">
        <f aca="false">H887*I887</f>
        <v>110.48</v>
      </c>
      <c r="L887" s="16" t="n">
        <f aca="false">H887*J887</f>
        <v>40</v>
      </c>
      <c r="M887" s="16" t="n">
        <f aca="false">K887-L887</f>
        <v>70.48</v>
      </c>
      <c r="N887" s="17" t="n">
        <f aca="false">IFERROR(M887/K887,0)</f>
        <v>0.637943519188994</v>
      </c>
    </row>
    <row r="888" customFormat="false" ht="15" hidden="false" customHeight="false" outlineLevel="0" collapsed="false">
      <c r="A888" s="15" t="n">
        <v>46060</v>
      </c>
      <c r="B888" s="14" t="s">
        <v>88</v>
      </c>
      <c r="C888" s="14" t="s">
        <v>89</v>
      </c>
      <c r="D888" s="14" t="s">
        <v>44</v>
      </c>
      <c r="E888" s="14" t="s">
        <v>56</v>
      </c>
      <c r="F888" s="14" t="s">
        <v>57</v>
      </c>
      <c r="G888" s="14" t="s">
        <v>58</v>
      </c>
      <c r="H888" s="0" t="n">
        <v>10</v>
      </c>
      <c r="I888" s="16" t="n">
        <v>26.84</v>
      </c>
      <c r="J888" s="16" t="n">
        <v>10</v>
      </c>
      <c r="K888" s="16" t="n">
        <f aca="false">H888*I888</f>
        <v>268.4</v>
      </c>
      <c r="L888" s="16" t="n">
        <f aca="false">H888*J888</f>
        <v>100</v>
      </c>
      <c r="M888" s="16" t="n">
        <f aca="false">K888-L888</f>
        <v>168.4</v>
      </c>
      <c r="N888" s="17" t="n">
        <f aca="false">IFERROR(M888/K888,0)</f>
        <v>0.6274217585693</v>
      </c>
    </row>
    <row r="889" customFormat="false" ht="15" hidden="false" customHeight="false" outlineLevel="0" collapsed="false">
      <c r="A889" s="15" t="n">
        <v>46060</v>
      </c>
      <c r="B889" s="14" t="s">
        <v>88</v>
      </c>
      <c r="C889" s="14" t="s">
        <v>89</v>
      </c>
      <c r="D889" s="14" t="s">
        <v>44</v>
      </c>
      <c r="E889" s="14" t="s">
        <v>53</v>
      </c>
      <c r="F889" s="14" t="s">
        <v>54</v>
      </c>
      <c r="G889" s="14" t="s">
        <v>55</v>
      </c>
      <c r="H889" s="0" t="n">
        <v>3</v>
      </c>
      <c r="I889" s="16" t="n">
        <v>51.06</v>
      </c>
      <c r="J889" s="16" t="n">
        <v>22</v>
      </c>
      <c r="K889" s="16" t="n">
        <f aca="false">H889*I889</f>
        <v>153.18</v>
      </c>
      <c r="L889" s="16" t="n">
        <f aca="false">H889*J889</f>
        <v>66</v>
      </c>
      <c r="M889" s="16" t="n">
        <f aca="false">K889-L889</f>
        <v>87.18</v>
      </c>
      <c r="N889" s="17" t="n">
        <f aca="false">IFERROR(M889/K889,0)</f>
        <v>0.569134351743047</v>
      </c>
    </row>
    <row r="890" customFormat="false" ht="15" hidden="false" customHeight="false" outlineLevel="0" collapsed="false">
      <c r="A890" s="15" t="n">
        <v>46061</v>
      </c>
      <c r="B890" s="14" t="s">
        <v>42</v>
      </c>
      <c r="C890" s="14" t="s">
        <v>43</v>
      </c>
      <c r="D890" s="14" t="s">
        <v>44</v>
      </c>
      <c r="E890" s="14" t="s">
        <v>56</v>
      </c>
      <c r="F890" s="14" t="s">
        <v>67</v>
      </c>
      <c r="G890" s="14" t="s">
        <v>68</v>
      </c>
      <c r="H890" s="0" t="n">
        <v>11</v>
      </c>
      <c r="I890" s="16" t="n">
        <v>36.23</v>
      </c>
      <c r="J890" s="16" t="n">
        <v>15</v>
      </c>
      <c r="K890" s="16" t="n">
        <f aca="false">H890*I890</f>
        <v>398.53</v>
      </c>
      <c r="L890" s="16" t="n">
        <f aca="false">H890*J890</f>
        <v>165</v>
      </c>
      <c r="M890" s="16" t="n">
        <f aca="false">K890-L890</f>
        <v>233.53</v>
      </c>
      <c r="N890" s="17" t="n">
        <f aca="false">IFERROR(M890/K890,0)</f>
        <v>0.585978470880486</v>
      </c>
    </row>
    <row r="891" customFormat="false" ht="15" hidden="false" customHeight="false" outlineLevel="0" collapsed="false">
      <c r="A891" s="15" t="n">
        <v>46061</v>
      </c>
      <c r="B891" s="14" t="s">
        <v>42</v>
      </c>
      <c r="C891" s="14" t="s">
        <v>43</v>
      </c>
      <c r="D891" s="14" t="s">
        <v>44</v>
      </c>
      <c r="E891" s="14" t="s">
        <v>56</v>
      </c>
      <c r="F891" s="14" t="s">
        <v>86</v>
      </c>
      <c r="G891" s="14" t="s">
        <v>87</v>
      </c>
      <c r="H891" s="0" t="n">
        <v>8</v>
      </c>
      <c r="I891" s="16" t="n">
        <v>14.28</v>
      </c>
      <c r="J891" s="16" t="n">
        <v>5</v>
      </c>
      <c r="K891" s="16" t="n">
        <f aca="false">H891*I891</f>
        <v>114.24</v>
      </c>
      <c r="L891" s="16" t="n">
        <f aca="false">H891*J891</f>
        <v>40</v>
      </c>
      <c r="M891" s="16" t="n">
        <f aca="false">K891-L891</f>
        <v>74.24</v>
      </c>
      <c r="N891" s="17" t="n">
        <f aca="false">IFERROR(M891/K891,0)</f>
        <v>0.649859943977591</v>
      </c>
    </row>
    <row r="892" customFormat="false" ht="15" hidden="false" customHeight="false" outlineLevel="0" collapsed="false">
      <c r="A892" s="15" t="n">
        <v>46061</v>
      </c>
      <c r="B892" s="14" t="s">
        <v>42</v>
      </c>
      <c r="C892" s="14" t="s">
        <v>43</v>
      </c>
      <c r="D892" s="14" t="s">
        <v>44</v>
      </c>
      <c r="E892" s="14" t="s">
        <v>76</v>
      </c>
      <c r="F892" s="14" t="s">
        <v>102</v>
      </c>
      <c r="G892" s="14" t="s">
        <v>103</v>
      </c>
      <c r="H892" s="0" t="n">
        <v>12</v>
      </c>
      <c r="I892" s="16" t="n">
        <v>23.63</v>
      </c>
      <c r="J892" s="16" t="n">
        <v>8.5</v>
      </c>
      <c r="K892" s="16" t="n">
        <f aca="false">H892*I892</f>
        <v>283.56</v>
      </c>
      <c r="L892" s="16" t="n">
        <f aca="false">H892*J892</f>
        <v>102</v>
      </c>
      <c r="M892" s="16" t="n">
        <f aca="false">K892-L892</f>
        <v>181.56</v>
      </c>
      <c r="N892" s="17" t="n">
        <f aca="false">IFERROR(M892/K892,0)</f>
        <v>0.640287769784173</v>
      </c>
    </row>
    <row r="893" customFormat="false" ht="15" hidden="false" customHeight="false" outlineLevel="0" collapsed="false">
      <c r="A893" s="15" t="n">
        <v>46061</v>
      </c>
      <c r="B893" s="14" t="s">
        <v>42</v>
      </c>
      <c r="C893" s="14" t="s">
        <v>43</v>
      </c>
      <c r="D893" s="14" t="s">
        <v>44</v>
      </c>
      <c r="E893" s="14" t="s">
        <v>53</v>
      </c>
      <c r="F893" s="14" t="s">
        <v>84</v>
      </c>
      <c r="G893" s="14" t="s">
        <v>85</v>
      </c>
      <c r="H893" s="0" t="n">
        <v>7</v>
      </c>
      <c r="I893" s="16" t="n">
        <v>24.69</v>
      </c>
      <c r="J893" s="16" t="n">
        <v>9</v>
      </c>
      <c r="K893" s="16" t="n">
        <f aca="false">H893*I893</f>
        <v>172.83</v>
      </c>
      <c r="L893" s="16" t="n">
        <f aca="false">H893*J893</f>
        <v>63</v>
      </c>
      <c r="M893" s="16" t="n">
        <f aca="false">K893-L893</f>
        <v>109.83</v>
      </c>
      <c r="N893" s="17" t="n">
        <f aca="false">IFERROR(M893/K893,0)</f>
        <v>0.635479951397327</v>
      </c>
    </row>
    <row r="894" customFormat="false" ht="15" hidden="false" customHeight="false" outlineLevel="0" collapsed="false">
      <c r="A894" s="15" t="n">
        <v>46061</v>
      </c>
      <c r="B894" s="14" t="s">
        <v>42</v>
      </c>
      <c r="C894" s="14" t="s">
        <v>43</v>
      </c>
      <c r="D894" s="14" t="s">
        <v>44</v>
      </c>
      <c r="E894" s="14" t="s">
        <v>56</v>
      </c>
      <c r="F894" s="14" t="s">
        <v>67</v>
      </c>
      <c r="G894" s="14" t="s">
        <v>68</v>
      </c>
      <c r="H894" s="0" t="n">
        <v>6</v>
      </c>
      <c r="I894" s="16" t="n">
        <v>35.57</v>
      </c>
      <c r="J894" s="16" t="n">
        <v>15</v>
      </c>
      <c r="K894" s="16" t="n">
        <f aca="false">H894*I894</f>
        <v>213.42</v>
      </c>
      <c r="L894" s="16" t="n">
        <f aca="false">H894*J894</f>
        <v>90</v>
      </c>
      <c r="M894" s="16" t="n">
        <f aca="false">K894-L894</f>
        <v>123.42</v>
      </c>
      <c r="N894" s="17" t="n">
        <f aca="false">IFERROR(M894/K894,0)</f>
        <v>0.57829631712117</v>
      </c>
    </row>
    <row r="895" customFormat="false" ht="15" hidden="false" customHeight="false" outlineLevel="0" collapsed="false">
      <c r="A895" s="15" t="n">
        <v>46061</v>
      </c>
      <c r="B895" s="14" t="s">
        <v>42</v>
      </c>
      <c r="C895" s="14" t="s">
        <v>43</v>
      </c>
      <c r="D895" s="14" t="s">
        <v>44</v>
      </c>
      <c r="E895" s="14" t="s">
        <v>56</v>
      </c>
      <c r="F895" s="14" t="s">
        <v>67</v>
      </c>
      <c r="G895" s="14" t="s">
        <v>68</v>
      </c>
      <c r="H895" s="0" t="n">
        <v>10</v>
      </c>
      <c r="I895" s="16" t="n">
        <v>37.76</v>
      </c>
      <c r="J895" s="16" t="n">
        <v>15</v>
      </c>
      <c r="K895" s="16" t="n">
        <f aca="false">H895*I895</f>
        <v>377.6</v>
      </c>
      <c r="L895" s="16" t="n">
        <f aca="false">H895*J895</f>
        <v>150</v>
      </c>
      <c r="M895" s="16" t="n">
        <f aca="false">K895-L895</f>
        <v>227.6</v>
      </c>
      <c r="N895" s="17" t="n">
        <f aca="false">IFERROR(M895/K895,0)</f>
        <v>0.602754237288136</v>
      </c>
    </row>
    <row r="896" customFormat="false" ht="15" hidden="false" customHeight="false" outlineLevel="0" collapsed="false">
      <c r="A896" s="15" t="n">
        <v>46061</v>
      </c>
      <c r="B896" s="14" t="s">
        <v>50</v>
      </c>
      <c r="C896" s="14" t="s">
        <v>51</v>
      </c>
      <c r="D896" s="14" t="s">
        <v>52</v>
      </c>
      <c r="E896" s="14" t="s">
        <v>53</v>
      </c>
      <c r="F896" s="14" t="s">
        <v>92</v>
      </c>
      <c r="G896" s="14" t="s">
        <v>93</v>
      </c>
      <c r="H896" s="0" t="n">
        <v>2</v>
      </c>
      <c r="I896" s="16" t="n">
        <v>117.7</v>
      </c>
      <c r="J896" s="16" t="n">
        <v>52</v>
      </c>
      <c r="K896" s="16" t="n">
        <f aca="false">H896*I896</f>
        <v>235.4</v>
      </c>
      <c r="L896" s="16" t="n">
        <f aca="false">H896*J896</f>
        <v>104</v>
      </c>
      <c r="M896" s="16" t="n">
        <f aca="false">K896-L896</f>
        <v>131.4</v>
      </c>
      <c r="N896" s="17" t="n">
        <f aca="false">IFERROR(M896/K896,0)</f>
        <v>0.558198810535259</v>
      </c>
    </row>
    <row r="897" customFormat="false" ht="15" hidden="false" customHeight="false" outlineLevel="0" collapsed="false">
      <c r="A897" s="15" t="n">
        <v>46061</v>
      </c>
      <c r="B897" s="14" t="s">
        <v>50</v>
      </c>
      <c r="C897" s="14" t="s">
        <v>51</v>
      </c>
      <c r="D897" s="14" t="s">
        <v>52</v>
      </c>
      <c r="E897" s="14" t="s">
        <v>56</v>
      </c>
      <c r="F897" s="14" t="s">
        <v>57</v>
      </c>
      <c r="G897" s="14" t="s">
        <v>58</v>
      </c>
      <c r="H897" s="0" t="n">
        <v>10</v>
      </c>
      <c r="I897" s="16" t="n">
        <v>26.3</v>
      </c>
      <c r="J897" s="16" t="n">
        <v>10</v>
      </c>
      <c r="K897" s="16" t="n">
        <f aca="false">H897*I897</f>
        <v>263</v>
      </c>
      <c r="L897" s="16" t="n">
        <f aca="false">H897*J897</f>
        <v>100</v>
      </c>
      <c r="M897" s="16" t="n">
        <f aca="false">K897-L897</f>
        <v>163</v>
      </c>
      <c r="N897" s="17" t="n">
        <f aca="false">IFERROR(M897/K897,0)</f>
        <v>0.619771863117871</v>
      </c>
    </row>
    <row r="898" customFormat="false" ht="15" hidden="false" customHeight="false" outlineLevel="0" collapsed="false">
      <c r="A898" s="15" t="n">
        <v>46061</v>
      </c>
      <c r="B898" s="14" t="s">
        <v>50</v>
      </c>
      <c r="C898" s="14" t="s">
        <v>51</v>
      </c>
      <c r="D898" s="14" t="s">
        <v>52</v>
      </c>
      <c r="E898" s="14" t="s">
        <v>56</v>
      </c>
      <c r="F898" s="14" t="s">
        <v>67</v>
      </c>
      <c r="G898" s="14" t="s">
        <v>68</v>
      </c>
      <c r="H898" s="0" t="n">
        <v>10</v>
      </c>
      <c r="I898" s="16" t="n">
        <v>37.42</v>
      </c>
      <c r="J898" s="16" t="n">
        <v>15</v>
      </c>
      <c r="K898" s="16" t="n">
        <f aca="false">H898*I898</f>
        <v>374.2</v>
      </c>
      <c r="L898" s="16" t="n">
        <f aca="false">H898*J898</f>
        <v>150</v>
      </c>
      <c r="M898" s="16" t="n">
        <f aca="false">K898-L898</f>
        <v>224.2</v>
      </c>
      <c r="N898" s="17" t="n">
        <f aca="false">IFERROR(M898/K898,0)</f>
        <v>0.599144842330305</v>
      </c>
    </row>
    <row r="899" customFormat="false" ht="15" hidden="false" customHeight="false" outlineLevel="0" collapsed="false">
      <c r="A899" s="15" t="n">
        <v>46061</v>
      </c>
      <c r="B899" s="14" t="s">
        <v>59</v>
      </c>
      <c r="C899" s="14" t="s">
        <v>60</v>
      </c>
      <c r="D899" s="14" t="s">
        <v>61</v>
      </c>
      <c r="E899" s="14" t="s">
        <v>45</v>
      </c>
      <c r="F899" s="14" t="s">
        <v>48</v>
      </c>
      <c r="G899" s="14" t="s">
        <v>49</v>
      </c>
      <c r="H899" s="0" t="n">
        <v>7</v>
      </c>
      <c r="I899" s="16" t="n">
        <v>63.35</v>
      </c>
      <c r="J899" s="16" t="n">
        <v>27.5</v>
      </c>
      <c r="K899" s="16" t="n">
        <f aca="false">H899*I899</f>
        <v>443.45</v>
      </c>
      <c r="L899" s="16" t="n">
        <f aca="false">H899*J899</f>
        <v>192.5</v>
      </c>
      <c r="M899" s="16" t="n">
        <f aca="false">K899-L899</f>
        <v>250.95</v>
      </c>
      <c r="N899" s="17" t="n">
        <f aca="false">IFERROR(M899/K899,0)</f>
        <v>0.565903709550118</v>
      </c>
    </row>
    <row r="900" customFormat="false" ht="15" hidden="false" customHeight="false" outlineLevel="0" collapsed="false">
      <c r="A900" s="15" t="n">
        <v>46061</v>
      </c>
      <c r="B900" s="14" t="s">
        <v>59</v>
      </c>
      <c r="C900" s="14" t="s">
        <v>60</v>
      </c>
      <c r="D900" s="14" t="s">
        <v>61</v>
      </c>
      <c r="E900" s="14" t="s">
        <v>45</v>
      </c>
      <c r="F900" s="14" t="s">
        <v>62</v>
      </c>
      <c r="G900" s="14" t="s">
        <v>63</v>
      </c>
      <c r="H900" s="0" t="n">
        <v>5</v>
      </c>
      <c r="I900" s="16" t="n">
        <v>17.64</v>
      </c>
      <c r="J900" s="16" t="n">
        <v>6.5</v>
      </c>
      <c r="K900" s="16" t="n">
        <f aca="false">H900*I900</f>
        <v>88.2</v>
      </c>
      <c r="L900" s="16" t="n">
        <f aca="false">H900*J900</f>
        <v>32.5</v>
      </c>
      <c r="M900" s="16" t="n">
        <f aca="false">K900-L900</f>
        <v>55.7</v>
      </c>
      <c r="N900" s="17" t="n">
        <f aca="false">IFERROR(M900/K900,0)</f>
        <v>0.631519274376417</v>
      </c>
    </row>
    <row r="901" customFormat="false" ht="15" hidden="false" customHeight="false" outlineLevel="0" collapsed="false">
      <c r="A901" s="15" t="n">
        <v>46061</v>
      </c>
      <c r="B901" s="14" t="s">
        <v>59</v>
      </c>
      <c r="C901" s="14" t="s">
        <v>60</v>
      </c>
      <c r="D901" s="14" t="s">
        <v>61</v>
      </c>
      <c r="E901" s="14" t="s">
        <v>53</v>
      </c>
      <c r="F901" s="14" t="s">
        <v>92</v>
      </c>
      <c r="G901" s="14" t="s">
        <v>93</v>
      </c>
      <c r="H901" s="0" t="n">
        <v>5</v>
      </c>
      <c r="I901" s="16" t="n">
        <v>111.81</v>
      </c>
      <c r="J901" s="16" t="n">
        <v>52</v>
      </c>
      <c r="K901" s="16" t="n">
        <f aca="false">H901*I901</f>
        <v>559.05</v>
      </c>
      <c r="L901" s="16" t="n">
        <f aca="false">H901*J901</f>
        <v>260</v>
      </c>
      <c r="M901" s="16" t="n">
        <f aca="false">K901-L901</f>
        <v>299.05</v>
      </c>
      <c r="N901" s="17" t="n">
        <f aca="false">IFERROR(M901/K901,0)</f>
        <v>0.534925319738843</v>
      </c>
    </row>
    <row r="902" customFormat="false" ht="15" hidden="false" customHeight="false" outlineLevel="0" collapsed="false">
      <c r="A902" s="15" t="n">
        <v>46061</v>
      </c>
      <c r="B902" s="14" t="s">
        <v>59</v>
      </c>
      <c r="C902" s="14" t="s">
        <v>60</v>
      </c>
      <c r="D902" s="14" t="s">
        <v>61</v>
      </c>
      <c r="E902" s="14" t="s">
        <v>45</v>
      </c>
      <c r="F902" s="14" t="s">
        <v>46</v>
      </c>
      <c r="G902" s="14" t="s">
        <v>47</v>
      </c>
      <c r="H902" s="0" t="n">
        <v>4</v>
      </c>
      <c r="I902" s="16" t="n">
        <v>44.11</v>
      </c>
      <c r="J902" s="16" t="n">
        <v>18</v>
      </c>
      <c r="K902" s="16" t="n">
        <f aca="false">H902*I902</f>
        <v>176.44</v>
      </c>
      <c r="L902" s="16" t="n">
        <f aca="false">H902*J902</f>
        <v>72</v>
      </c>
      <c r="M902" s="16" t="n">
        <f aca="false">K902-L902</f>
        <v>104.44</v>
      </c>
      <c r="N902" s="17" t="n">
        <f aca="false">IFERROR(M902/K902,0)</f>
        <v>0.591929267739742</v>
      </c>
    </row>
    <row r="903" customFormat="false" ht="15" hidden="false" customHeight="false" outlineLevel="0" collapsed="false">
      <c r="A903" s="15" t="n">
        <v>46061</v>
      </c>
      <c r="B903" s="14" t="s">
        <v>59</v>
      </c>
      <c r="C903" s="14" t="s">
        <v>60</v>
      </c>
      <c r="D903" s="14" t="s">
        <v>61</v>
      </c>
      <c r="E903" s="14" t="s">
        <v>45</v>
      </c>
      <c r="F903" s="14" t="s">
        <v>46</v>
      </c>
      <c r="G903" s="14" t="s">
        <v>47</v>
      </c>
      <c r="H903" s="0" t="n">
        <v>8</v>
      </c>
      <c r="I903" s="16" t="n">
        <v>41.77</v>
      </c>
      <c r="J903" s="16" t="n">
        <v>18</v>
      </c>
      <c r="K903" s="16" t="n">
        <f aca="false">H903*I903</f>
        <v>334.16</v>
      </c>
      <c r="L903" s="16" t="n">
        <f aca="false">H903*J903</f>
        <v>144</v>
      </c>
      <c r="M903" s="16" t="n">
        <f aca="false">K903-L903</f>
        <v>190.16</v>
      </c>
      <c r="N903" s="17" t="n">
        <f aca="false">IFERROR(M903/K903,0)</f>
        <v>0.569068709600192</v>
      </c>
    </row>
    <row r="904" customFormat="false" ht="15" hidden="false" customHeight="false" outlineLevel="0" collapsed="false">
      <c r="A904" s="15" t="n">
        <v>46061</v>
      </c>
      <c r="B904" s="14" t="s">
        <v>59</v>
      </c>
      <c r="C904" s="14" t="s">
        <v>60</v>
      </c>
      <c r="D904" s="14" t="s">
        <v>61</v>
      </c>
      <c r="E904" s="14" t="s">
        <v>56</v>
      </c>
      <c r="F904" s="14" t="s">
        <v>86</v>
      </c>
      <c r="G904" s="14" t="s">
        <v>87</v>
      </c>
      <c r="H904" s="0" t="n">
        <v>8</v>
      </c>
      <c r="I904" s="16" t="n">
        <v>14.09</v>
      </c>
      <c r="J904" s="16" t="n">
        <v>5</v>
      </c>
      <c r="K904" s="16" t="n">
        <f aca="false">H904*I904</f>
        <v>112.72</v>
      </c>
      <c r="L904" s="16" t="n">
        <f aca="false">H904*J904</f>
        <v>40</v>
      </c>
      <c r="M904" s="16" t="n">
        <f aca="false">K904-L904</f>
        <v>72.72</v>
      </c>
      <c r="N904" s="17" t="n">
        <f aca="false">IFERROR(M904/K904,0)</f>
        <v>0.64513839602555</v>
      </c>
    </row>
    <row r="905" customFormat="false" ht="15" hidden="false" customHeight="false" outlineLevel="0" collapsed="false">
      <c r="A905" s="15" t="n">
        <v>46061</v>
      </c>
      <c r="B905" s="14" t="s">
        <v>69</v>
      </c>
      <c r="C905" s="14" t="s">
        <v>70</v>
      </c>
      <c r="D905" s="14" t="s">
        <v>71</v>
      </c>
      <c r="E905" s="14" t="s">
        <v>45</v>
      </c>
      <c r="F905" s="14" t="s">
        <v>72</v>
      </c>
      <c r="G905" s="14" t="s">
        <v>73</v>
      </c>
      <c r="H905" s="0" t="n">
        <v>7</v>
      </c>
      <c r="I905" s="16" t="n">
        <v>49.57</v>
      </c>
      <c r="J905" s="16" t="n">
        <v>21</v>
      </c>
      <c r="K905" s="16" t="n">
        <f aca="false">H905*I905</f>
        <v>346.99</v>
      </c>
      <c r="L905" s="16" t="n">
        <f aca="false">H905*J905</f>
        <v>147</v>
      </c>
      <c r="M905" s="16" t="n">
        <f aca="false">K905-L905</f>
        <v>199.99</v>
      </c>
      <c r="N905" s="17" t="n">
        <f aca="false">IFERROR(M905/K905,0)</f>
        <v>0.576356667339116</v>
      </c>
    </row>
    <row r="906" customFormat="false" ht="15" hidden="false" customHeight="false" outlineLevel="0" collapsed="false">
      <c r="A906" s="15" t="n">
        <v>46061</v>
      </c>
      <c r="B906" s="14" t="s">
        <v>69</v>
      </c>
      <c r="C906" s="14" t="s">
        <v>70</v>
      </c>
      <c r="D906" s="14" t="s">
        <v>71</v>
      </c>
      <c r="E906" s="14" t="s">
        <v>76</v>
      </c>
      <c r="F906" s="14" t="s">
        <v>79</v>
      </c>
      <c r="G906" s="14" t="s">
        <v>80</v>
      </c>
      <c r="H906" s="0" t="n">
        <v>1</v>
      </c>
      <c r="I906" s="16" t="n">
        <v>29.38</v>
      </c>
      <c r="J906" s="16" t="n">
        <v>11</v>
      </c>
      <c r="K906" s="16" t="n">
        <f aca="false">H906*I906</f>
        <v>29.38</v>
      </c>
      <c r="L906" s="16" t="n">
        <f aca="false">H906*J906</f>
        <v>11</v>
      </c>
      <c r="M906" s="16" t="n">
        <f aca="false">K906-L906</f>
        <v>18.38</v>
      </c>
      <c r="N906" s="17" t="n">
        <f aca="false">IFERROR(M906/K906,0)</f>
        <v>0.625595643294758</v>
      </c>
    </row>
    <row r="907" customFormat="false" ht="15" hidden="false" customHeight="false" outlineLevel="0" collapsed="false">
      <c r="A907" s="15" t="n">
        <v>46061</v>
      </c>
      <c r="B907" s="14" t="s">
        <v>69</v>
      </c>
      <c r="C907" s="14" t="s">
        <v>70</v>
      </c>
      <c r="D907" s="14" t="s">
        <v>71</v>
      </c>
      <c r="E907" s="14" t="s">
        <v>53</v>
      </c>
      <c r="F907" s="14" t="s">
        <v>84</v>
      </c>
      <c r="G907" s="14" t="s">
        <v>85</v>
      </c>
      <c r="H907" s="0" t="n">
        <v>4</v>
      </c>
      <c r="I907" s="16" t="n">
        <v>24.82</v>
      </c>
      <c r="J907" s="16" t="n">
        <v>9</v>
      </c>
      <c r="K907" s="16" t="n">
        <f aca="false">H907*I907</f>
        <v>99.28</v>
      </c>
      <c r="L907" s="16" t="n">
        <f aca="false">H907*J907</f>
        <v>36</v>
      </c>
      <c r="M907" s="16" t="n">
        <f aca="false">K907-L907</f>
        <v>63.28</v>
      </c>
      <c r="N907" s="17" t="n">
        <f aca="false">IFERROR(M907/K907,0)</f>
        <v>0.637389202256245</v>
      </c>
    </row>
    <row r="908" customFormat="false" ht="15" hidden="false" customHeight="false" outlineLevel="0" collapsed="false">
      <c r="A908" s="15" t="n">
        <v>46061</v>
      </c>
      <c r="B908" s="14" t="s">
        <v>69</v>
      </c>
      <c r="C908" s="14" t="s">
        <v>70</v>
      </c>
      <c r="D908" s="14" t="s">
        <v>71</v>
      </c>
      <c r="E908" s="14" t="s">
        <v>76</v>
      </c>
      <c r="F908" s="14" t="s">
        <v>77</v>
      </c>
      <c r="G908" s="14" t="s">
        <v>78</v>
      </c>
      <c r="H908" s="0" t="n">
        <v>4</v>
      </c>
      <c r="I908" s="16" t="n">
        <v>39.63</v>
      </c>
      <c r="J908" s="16" t="n">
        <v>15</v>
      </c>
      <c r="K908" s="16" t="n">
        <f aca="false">H908*I908</f>
        <v>158.52</v>
      </c>
      <c r="L908" s="16" t="n">
        <f aca="false">H908*J908</f>
        <v>60</v>
      </c>
      <c r="M908" s="16" t="n">
        <f aca="false">K908-L908</f>
        <v>98.52</v>
      </c>
      <c r="N908" s="17" t="n">
        <f aca="false">IFERROR(M908/K908,0)</f>
        <v>0.621498864496594</v>
      </c>
    </row>
    <row r="909" customFormat="false" ht="15" hidden="false" customHeight="false" outlineLevel="0" collapsed="false">
      <c r="A909" s="15" t="n">
        <v>46061</v>
      </c>
      <c r="B909" s="14" t="s">
        <v>81</v>
      </c>
      <c r="C909" s="14" t="s">
        <v>82</v>
      </c>
      <c r="D909" s="14" t="s">
        <v>83</v>
      </c>
      <c r="E909" s="14" t="s">
        <v>45</v>
      </c>
      <c r="F909" s="14" t="s">
        <v>62</v>
      </c>
      <c r="G909" s="14" t="s">
        <v>63</v>
      </c>
      <c r="H909" s="0" t="n">
        <v>3</v>
      </c>
      <c r="I909" s="16" t="n">
        <v>17.62</v>
      </c>
      <c r="J909" s="16" t="n">
        <v>6.5</v>
      </c>
      <c r="K909" s="16" t="n">
        <f aca="false">H909*I909</f>
        <v>52.86</v>
      </c>
      <c r="L909" s="16" t="n">
        <f aca="false">H909*J909</f>
        <v>19.5</v>
      </c>
      <c r="M909" s="16" t="n">
        <f aca="false">K909-L909</f>
        <v>33.36</v>
      </c>
      <c r="N909" s="17" t="n">
        <f aca="false">IFERROR(M909/K909,0)</f>
        <v>0.631101021566402</v>
      </c>
    </row>
    <row r="910" customFormat="false" ht="15" hidden="false" customHeight="false" outlineLevel="0" collapsed="false">
      <c r="A910" s="15" t="n">
        <v>46061</v>
      </c>
      <c r="B910" s="14" t="s">
        <v>81</v>
      </c>
      <c r="C910" s="14" t="s">
        <v>82</v>
      </c>
      <c r="D910" s="14" t="s">
        <v>83</v>
      </c>
      <c r="E910" s="14" t="s">
        <v>45</v>
      </c>
      <c r="F910" s="14" t="s">
        <v>72</v>
      </c>
      <c r="G910" s="14" t="s">
        <v>73</v>
      </c>
      <c r="H910" s="0" t="n">
        <v>1</v>
      </c>
      <c r="I910" s="16" t="n">
        <v>49.62</v>
      </c>
      <c r="J910" s="16" t="n">
        <v>21</v>
      </c>
      <c r="K910" s="16" t="n">
        <f aca="false">H910*I910</f>
        <v>49.62</v>
      </c>
      <c r="L910" s="16" t="n">
        <f aca="false">H910*J910</f>
        <v>21</v>
      </c>
      <c r="M910" s="16" t="n">
        <f aca="false">K910-L910</f>
        <v>28.62</v>
      </c>
      <c r="N910" s="17" t="n">
        <f aca="false">IFERROR(M910/K910,0)</f>
        <v>0.576783555018138</v>
      </c>
    </row>
    <row r="911" customFormat="false" ht="15" hidden="false" customHeight="false" outlineLevel="0" collapsed="false">
      <c r="A911" s="15" t="n">
        <v>46061</v>
      </c>
      <c r="B911" s="14" t="s">
        <v>81</v>
      </c>
      <c r="C911" s="14" t="s">
        <v>82</v>
      </c>
      <c r="D911" s="14" t="s">
        <v>83</v>
      </c>
      <c r="E911" s="14" t="s">
        <v>56</v>
      </c>
      <c r="F911" s="14" t="s">
        <v>67</v>
      </c>
      <c r="G911" s="14" t="s">
        <v>68</v>
      </c>
      <c r="H911" s="0" t="n">
        <v>3</v>
      </c>
      <c r="I911" s="16" t="n">
        <v>35.45</v>
      </c>
      <c r="J911" s="16" t="n">
        <v>15</v>
      </c>
      <c r="K911" s="16" t="n">
        <f aca="false">H911*I911</f>
        <v>106.35</v>
      </c>
      <c r="L911" s="16" t="n">
        <f aca="false">H911*J911</f>
        <v>45</v>
      </c>
      <c r="M911" s="16" t="n">
        <f aca="false">K911-L911</f>
        <v>61.35</v>
      </c>
      <c r="N911" s="17" t="n">
        <f aca="false">IFERROR(M911/K911,0)</f>
        <v>0.576868829337095</v>
      </c>
    </row>
    <row r="912" customFormat="false" ht="15" hidden="false" customHeight="false" outlineLevel="0" collapsed="false">
      <c r="A912" s="15" t="n">
        <v>46061</v>
      </c>
      <c r="B912" s="14" t="s">
        <v>88</v>
      </c>
      <c r="C912" s="14" t="s">
        <v>89</v>
      </c>
      <c r="D912" s="14" t="s">
        <v>44</v>
      </c>
      <c r="E912" s="14" t="s">
        <v>45</v>
      </c>
      <c r="F912" s="14" t="s">
        <v>46</v>
      </c>
      <c r="G912" s="14" t="s">
        <v>47</v>
      </c>
      <c r="H912" s="0" t="n">
        <v>9</v>
      </c>
      <c r="I912" s="16" t="n">
        <v>43.95</v>
      </c>
      <c r="J912" s="16" t="n">
        <v>18</v>
      </c>
      <c r="K912" s="16" t="n">
        <f aca="false">H912*I912</f>
        <v>395.55</v>
      </c>
      <c r="L912" s="16" t="n">
        <f aca="false">H912*J912</f>
        <v>162</v>
      </c>
      <c r="M912" s="16" t="n">
        <f aca="false">K912-L912</f>
        <v>233.55</v>
      </c>
      <c r="N912" s="17" t="n">
        <f aca="false">IFERROR(M912/K912,0)</f>
        <v>0.590443686006826</v>
      </c>
    </row>
    <row r="913" customFormat="false" ht="15" hidden="false" customHeight="false" outlineLevel="0" collapsed="false">
      <c r="A913" s="15" t="n">
        <v>46061</v>
      </c>
      <c r="B913" s="14" t="s">
        <v>88</v>
      </c>
      <c r="C913" s="14" t="s">
        <v>89</v>
      </c>
      <c r="D913" s="14" t="s">
        <v>44</v>
      </c>
      <c r="E913" s="14" t="s">
        <v>53</v>
      </c>
      <c r="F913" s="14" t="s">
        <v>74</v>
      </c>
      <c r="G913" s="14" t="s">
        <v>75</v>
      </c>
      <c r="H913" s="0" t="n">
        <v>3</v>
      </c>
      <c r="I913" s="16" t="n">
        <v>88.49</v>
      </c>
      <c r="J913" s="16" t="n">
        <v>38</v>
      </c>
      <c r="K913" s="16" t="n">
        <f aca="false">H913*I913</f>
        <v>265.47</v>
      </c>
      <c r="L913" s="16" t="n">
        <f aca="false">H913*J913</f>
        <v>114</v>
      </c>
      <c r="M913" s="16" t="n">
        <f aca="false">K913-L913</f>
        <v>151.47</v>
      </c>
      <c r="N913" s="17" t="n">
        <f aca="false">IFERROR(M913/K913,0)</f>
        <v>0.570572946095604</v>
      </c>
    </row>
    <row r="914" customFormat="false" ht="15" hidden="false" customHeight="false" outlineLevel="0" collapsed="false">
      <c r="A914" s="15" t="n">
        <v>46061</v>
      </c>
      <c r="B914" s="14" t="s">
        <v>88</v>
      </c>
      <c r="C914" s="14" t="s">
        <v>89</v>
      </c>
      <c r="D914" s="14" t="s">
        <v>44</v>
      </c>
      <c r="E914" s="14" t="s">
        <v>56</v>
      </c>
      <c r="F914" s="14" t="s">
        <v>98</v>
      </c>
      <c r="G914" s="14" t="s">
        <v>99</v>
      </c>
      <c r="H914" s="0" t="n">
        <v>7</v>
      </c>
      <c r="I914" s="16" t="n">
        <v>21.1</v>
      </c>
      <c r="J914" s="16" t="n">
        <v>8</v>
      </c>
      <c r="K914" s="16" t="n">
        <f aca="false">H914*I914</f>
        <v>147.7</v>
      </c>
      <c r="L914" s="16" t="n">
        <f aca="false">H914*J914</f>
        <v>56</v>
      </c>
      <c r="M914" s="16" t="n">
        <f aca="false">K914-L914</f>
        <v>91.7</v>
      </c>
      <c r="N914" s="17" t="n">
        <f aca="false">IFERROR(M914/K914,0)</f>
        <v>0.620853080568721</v>
      </c>
    </row>
    <row r="915" customFormat="false" ht="15" hidden="false" customHeight="false" outlineLevel="0" collapsed="false">
      <c r="A915" s="15" t="n">
        <v>46061</v>
      </c>
      <c r="B915" s="14" t="s">
        <v>88</v>
      </c>
      <c r="C915" s="14" t="s">
        <v>89</v>
      </c>
      <c r="D915" s="14" t="s">
        <v>44</v>
      </c>
      <c r="E915" s="14" t="s">
        <v>56</v>
      </c>
      <c r="F915" s="14" t="s">
        <v>67</v>
      </c>
      <c r="G915" s="14" t="s">
        <v>68</v>
      </c>
      <c r="H915" s="0" t="n">
        <v>3</v>
      </c>
      <c r="I915" s="16" t="n">
        <v>37.34</v>
      </c>
      <c r="J915" s="16" t="n">
        <v>15</v>
      </c>
      <c r="K915" s="16" t="n">
        <f aca="false">H915*I915</f>
        <v>112.02</v>
      </c>
      <c r="L915" s="16" t="n">
        <f aca="false">H915*J915</f>
        <v>45</v>
      </c>
      <c r="M915" s="16" t="n">
        <f aca="false">K915-L915</f>
        <v>67.02</v>
      </c>
      <c r="N915" s="17" t="n">
        <f aca="false">IFERROR(M915/K915,0)</f>
        <v>0.598286020353508</v>
      </c>
    </row>
    <row r="916" customFormat="false" ht="15" hidden="false" customHeight="false" outlineLevel="0" collapsed="false">
      <c r="A916" s="15" t="n">
        <v>46062</v>
      </c>
      <c r="B916" s="14" t="s">
        <v>42</v>
      </c>
      <c r="C916" s="14" t="s">
        <v>43</v>
      </c>
      <c r="D916" s="14" t="s">
        <v>44</v>
      </c>
      <c r="E916" s="14" t="s">
        <v>56</v>
      </c>
      <c r="F916" s="14" t="s">
        <v>86</v>
      </c>
      <c r="G916" s="14" t="s">
        <v>87</v>
      </c>
      <c r="H916" s="0" t="n">
        <v>4</v>
      </c>
      <c r="I916" s="16" t="n">
        <v>14.42</v>
      </c>
      <c r="J916" s="16" t="n">
        <v>5</v>
      </c>
      <c r="K916" s="16" t="n">
        <f aca="false">H916*I916</f>
        <v>57.68</v>
      </c>
      <c r="L916" s="16" t="n">
        <f aca="false">H916*J916</f>
        <v>20</v>
      </c>
      <c r="M916" s="16" t="n">
        <f aca="false">K916-L916</f>
        <v>37.68</v>
      </c>
      <c r="N916" s="17" t="n">
        <f aca="false">IFERROR(M916/K916,0)</f>
        <v>0.653259361997226</v>
      </c>
    </row>
    <row r="917" customFormat="false" ht="15" hidden="false" customHeight="false" outlineLevel="0" collapsed="false">
      <c r="A917" s="15" t="n">
        <v>46062</v>
      </c>
      <c r="B917" s="14" t="s">
        <v>42</v>
      </c>
      <c r="C917" s="14" t="s">
        <v>43</v>
      </c>
      <c r="D917" s="14" t="s">
        <v>44</v>
      </c>
      <c r="E917" s="14" t="s">
        <v>56</v>
      </c>
      <c r="F917" s="14" t="s">
        <v>86</v>
      </c>
      <c r="G917" s="14" t="s">
        <v>87</v>
      </c>
      <c r="H917" s="0" t="n">
        <v>9</v>
      </c>
      <c r="I917" s="16" t="n">
        <v>14.45</v>
      </c>
      <c r="J917" s="16" t="n">
        <v>5</v>
      </c>
      <c r="K917" s="16" t="n">
        <f aca="false">H917*I917</f>
        <v>130.05</v>
      </c>
      <c r="L917" s="16" t="n">
        <f aca="false">H917*J917</f>
        <v>45</v>
      </c>
      <c r="M917" s="16" t="n">
        <f aca="false">K917-L917</f>
        <v>85.05</v>
      </c>
      <c r="N917" s="17" t="n">
        <f aca="false">IFERROR(M917/K917,0)</f>
        <v>0.653979238754325</v>
      </c>
    </row>
    <row r="918" customFormat="false" ht="15" hidden="false" customHeight="false" outlineLevel="0" collapsed="false">
      <c r="A918" s="15" t="n">
        <v>46062</v>
      </c>
      <c r="B918" s="14" t="s">
        <v>42</v>
      </c>
      <c r="C918" s="14" t="s">
        <v>43</v>
      </c>
      <c r="D918" s="14" t="s">
        <v>44</v>
      </c>
      <c r="E918" s="14" t="s">
        <v>64</v>
      </c>
      <c r="F918" s="14" t="s">
        <v>65</v>
      </c>
      <c r="G918" s="14" t="s">
        <v>66</v>
      </c>
      <c r="H918" s="0" t="n">
        <v>6</v>
      </c>
      <c r="I918" s="16" t="n">
        <v>74.08</v>
      </c>
      <c r="J918" s="16" t="n">
        <v>34</v>
      </c>
      <c r="K918" s="16" t="n">
        <f aca="false">H918*I918</f>
        <v>444.48</v>
      </c>
      <c r="L918" s="16" t="n">
        <f aca="false">H918*J918</f>
        <v>204</v>
      </c>
      <c r="M918" s="16" t="n">
        <f aca="false">K918-L918</f>
        <v>240.48</v>
      </c>
      <c r="N918" s="17" t="n">
        <f aca="false">IFERROR(M918/K918,0)</f>
        <v>0.541036717062635</v>
      </c>
    </row>
    <row r="919" customFormat="false" ht="15" hidden="false" customHeight="false" outlineLevel="0" collapsed="false">
      <c r="A919" s="15" t="n">
        <v>46062</v>
      </c>
      <c r="B919" s="14" t="s">
        <v>42</v>
      </c>
      <c r="C919" s="14" t="s">
        <v>43</v>
      </c>
      <c r="D919" s="14" t="s">
        <v>44</v>
      </c>
      <c r="E919" s="14" t="s">
        <v>53</v>
      </c>
      <c r="F919" s="14" t="s">
        <v>92</v>
      </c>
      <c r="G919" s="14" t="s">
        <v>93</v>
      </c>
      <c r="H919" s="0" t="n">
        <v>7</v>
      </c>
      <c r="I919" s="16" t="n">
        <v>113.86</v>
      </c>
      <c r="J919" s="16" t="n">
        <v>52</v>
      </c>
      <c r="K919" s="16" t="n">
        <f aca="false">H919*I919</f>
        <v>797.02</v>
      </c>
      <c r="L919" s="16" t="n">
        <f aca="false">H919*J919</f>
        <v>364</v>
      </c>
      <c r="M919" s="16" t="n">
        <f aca="false">K919-L919</f>
        <v>433.02</v>
      </c>
      <c r="N919" s="17" t="n">
        <f aca="false">IFERROR(M919/K919,0)</f>
        <v>0.543298787985245</v>
      </c>
    </row>
    <row r="920" customFormat="false" ht="15" hidden="false" customHeight="false" outlineLevel="0" collapsed="false">
      <c r="A920" s="15" t="n">
        <v>46062</v>
      </c>
      <c r="B920" s="14" t="s">
        <v>50</v>
      </c>
      <c r="C920" s="14" t="s">
        <v>51</v>
      </c>
      <c r="D920" s="14" t="s">
        <v>52</v>
      </c>
      <c r="E920" s="14" t="s">
        <v>56</v>
      </c>
      <c r="F920" s="14" t="s">
        <v>57</v>
      </c>
      <c r="G920" s="14" t="s">
        <v>58</v>
      </c>
      <c r="H920" s="0" t="n">
        <v>1</v>
      </c>
      <c r="I920" s="16" t="n">
        <v>25.09</v>
      </c>
      <c r="J920" s="16" t="n">
        <v>10</v>
      </c>
      <c r="K920" s="16" t="n">
        <f aca="false">H920*I920</f>
        <v>25.09</v>
      </c>
      <c r="L920" s="16" t="n">
        <f aca="false">H920*J920</f>
        <v>10</v>
      </c>
      <c r="M920" s="16" t="n">
        <f aca="false">K920-L920</f>
        <v>15.09</v>
      </c>
      <c r="N920" s="17" t="n">
        <f aca="false">IFERROR(M920/K920,0)</f>
        <v>0.601434834595456</v>
      </c>
    </row>
    <row r="921" customFormat="false" ht="15" hidden="false" customHeight="false" outlineLevel="0" collapsed="false">
      <c r="A921" s="15" t="n">
        <v>46062</v>
      </c>
      <c r="B921" s="14" t="s">
        <v>50</v>
      </c>
      <c r="C921" s="14" t="s">
        <v>51</v>
      </c>
      <c r="D921" s="14" t="s">
        <v>52</v>
      </c>
      <c r="E921" s="14" t="s">
        <v>76</v>
      </c>
      <c r="F921" s="14" t="s">
        <v>100</v>
      </c>
      <c r="G921" s="14" t="s">
        <v>101</v>
      </c>
      <c r="H921" s="0" t="n">
        <v>4</v>
      </c>
      <c r="I921" s="16" t="n">
        <v>15.88</v>
      </c>
      <c r="J921" s="16" t="n">
        <v>5.5</v>
      </c>
      <c r="K921" s="16" t="n">
        <f aca="false">H921*I921</f>
        <v>63.52</v>
      </c>
      <c r="L921" s="16" t="n">
        <f aca="false">H921*J921</f>
        <v>22</v>
      </c>
      <c r="M921" s="16" t="n">
        <f aca="false">K921-L921</f>
        <v>41.52</v>
      </c>
      <c r="N921" s="17" t="n">
        <f aca="false">IFERROR(M921/K921,0)</f>
        <v>0.653652392947103</v>
      </c>
    </row>
    <row r="922" customFormat="false" ht="15" hidden="false" customHeight="false" outlineLevel="0" collapsed="false">
      <c r="A922" s="15" t="n">
        <v>46062</v>
      </c>
      <c r="B922" s="14" t="s">
        <v>50</v>
      </c>
      <c r="C922" s="14" t="s">
        <v>51</v>
      </c>
      <c r="D922" s="14" t="s">
        <v>52</v>
      </c>
      <c r="E922" s="14" t="s">
        <v>56</v>
      </c>
      <c r="F922" s="14" t="s">
        <v>86</v>
      </c>
      <c r="G922" s="14" t="s">
        <v>87</v>
      </c>
      <c r="H922" s="0" t="n">
        <v>1</v>
      </c>
      <c r="I922" s="16" t="n">
        <v>14.62</v>
      </c>
      <c r="J922" s="16" t="n">
        <v>5</v>
      </c>
      <c r="K922" s="16" t="n">
        <f aca="false">H922*I922</f>
        <v>14.62</v>
      </c>
      <c r="L922" s="16" t="n">
        <f aca="false">H922*J922</f>
        <v>5</v>
      </c>
      <c r="M922" s="16" t="n">
        <f aca="false">K922-L922</f>
        <v>9.62</v>
      </c>
      <c r="N922" s="17" t="n">
        <f aca="false">IFERROR(M922/K922,0)</f>
        <v>0.658002735978112</v>
      </c>
    </row>
    <row r="923" customFormat="false" ht="15" hidden="false" customHeight="false" outlineLevel="0" collapsed="false">
      <c r="A923" s="15" t="n">
        <v>46062</v>
      </c>
      <c r="B923" s="14" t="s">
        <v>59</v>
      </c>
      <c r="C923" s="14" t="s">
        <v>60</v>
      </c>
      <c r="D923" s="14" t="s">
        <v>61</v>
      </c>
      <c r="E923" s="14" t="s">
        <v>64</v>
      </c>
      <c r="F923" s="14" t="s">
        <v>65</v>
      </c>
      <c r="G923" s="14" t="s">
        <v>66</v>
      </c>
      <c r="H923" s="0" t="n">
        <v>5</v>
      </c>
      <c r="I923" s="16" t="n">
        <v>74.3</v>
      </c>
      <c r="J923" s="16" t="n">
        <v>34</v>
      </c>
      <c r="K923" s="16" t="n">
        <f aca="false">H923*I923</f>
        <v>371.5</v>
      </c>
      <c r="L923" s="16" t="n">
        <f aca="false">H923*J923</f>
        <v>170</v>
      </c>
      <c r="M923" s="16" t="n">
        <f aca="false">K923-L923</f>
        <v>201.5</v>
      </c>
      <c r="N923" s="17" t="n">
        <f aca="false">IFERROR(M923/K923,0)</f>
        <v>0.542395693135935</v>
      </c>
    </row>
    <row r="924" customFormat="false" ht="15" hidden="false" customHeight="false" outlineLevel="0" collapsed="false">
      <c r="A924" s="15" t="n">
        <v>46062</v>
      </c>
      <c r="B924" s="14" t="s">
        <v>59</v>
      </c>
      <c r="C924" s="14" t="s">
        <v>60</v>
      </c>
      <c r="D924" s="14" t="s">
        <v>61</v>
      </c>
      <c r="E924" s="14" t="s">
        <v>76</v>
      </c>
      <c r="F924" s="14" t="s">
        <v>79</v>
      </c>
      <c r="G924" s="14" t="s">
        <v>80</v>
      </c>
      <c r="H924" s="0" t="n">
        <v>5</v>
      </c>
      <c r="I924" s="16" t="n">
        <v>28.83</v>
      </c>
      <c r="J924" s="16" t="n">
        <v>11</v>
      </c>
      <c r="K924" s="16" t="n">
        <f aca="false">H924*I924</f>
        <v>144.15</v>
      </c>
      <c r="L924" s="16" t="n">
        <f aca="false">H924*J924</f>
        <v>55</v>
      </c>
      <c r="M924" s="16" t="n">
        <f aca="false">K924-L924</f>
        <v>89.15</v>
      </c>
      <c r="N924" s="17" t="n">
        <f aca="false">IFERROR(M924/K924,0)</f>
        <v>0.618453000346861</v>
      </c>
    </row>
    <row r="925" customFormat="false" ht="15" hidden="false" customHeight="false" outlineLevel="0" collapsed="false">
      <c r="A925" s="15" t="n">
        <v>46062</v>
      </c>
      <c r="B925" s="14" t="s">
        <v>59</v>
      </c>
      <c r="C925" s="14" t="s">
        <v>60</v>
      </c>
      <c r="D925" s="14" t="s">
        <v>61</v>
      </c>
      <c r="E925" s="14" t="s">
        <v>56</v>
      </c>
      <c r="F925" s="14" t="s">
        <v>57</v>
      </c>
      <c r="G925" s="14" t="s">
        <v>58</v>
      </c>
      <c r="H925" s="0" t="n">
        <v>7</v>
      </c>
      <c r="I925" s="16" t="n">
        <v>24.93</v>
      </c>
      <c r="J925" s="16" t="n">
        <v>10</v>
      </c>
      <c r="K925" s="16" t="n">
        <f aca="false">H925*I925</f>
        <v>174.51</v>
      </c>
      <c r="L925" s="16" t="n">
        <f aca="false">H925*J925</f>
        <v>70</v>
      </c>
      <c r="M925" s="16" t="n">
        <f aca="false">K925-L925</f>
        <v>104.51</v>
      </c>
      <c r="N925" s="17" t="n">
        <f aca="false">IFERROR(M925/K925,0)</f>
        <v>0.598876855194545</v>
      </c>
    </row>
    <row r="926" customFormat="false" ht="15" hidden="false" customHeight="false" outlineLevel="0" collapsed="false">
      <c r="A926" s="15" t="n">
        <v>46062</v>
      </c>
      <c r="B926" s="14" t="s">
        <v>59</v>
      </c>
      <c r="C926" s="14" t="s">
        <v>60</v>
      </c>
      <c r="D926" s="14" t="s">
        <v>61</v>
      </c>
      <c r="E926" s="14" t="s">
        <v>53</v>
      </c>
      <c r="F926" s="14" t="s">
        <v>92</v>
      </c>
      <c r="G926" s="14" t="s">
        <v>93</v>
      </c>
      <c r="H926" s="0" t="n">
        <v>2</v>
      </c>
      <c r="I926" s="16" t="n">
        <v>119.5</v>
      </c>
      <c r="J926" s="16" t="n">
        <v>52</v>
      </c>
      <c r="K926" s="16" t="n">
        <f aca="false">H926*I926</f>
        <v>239</v>
      </c>
      <c r="L926" s="16" t="n">
        <f aca="false">H926*J926</f>
        <v>104</v>
      </c>
      <c r="M926" s="16" t="n">
        <f aca="false">K926-L926</f>
        <v>135</v>
      </c>
      <c r="N926" s="17" t="n">
        <f aca="false">IFERROR(M926/K926,0)</f>
        <v>0.564853556485356</v>
      </c>
    </row>
    <row r="927" customFormat="false" ht="15" hidden="false" customHeight="false" outlineLevel="0" collapsed="false">
      <c r="A927" s="15" t="n">
        <v>46062</v>
      </c>
      <c r="B927" s="14" t="s">
        <v>69</v>
      </c>
      <c r="C927" s="14" t="s">
        <v>70</v>
      </c>
      <c r="D927" s="14" t="s">
        <v>71</v>
      </c>
      <c r="E927" s="14" t="s">
        <v>56</v>
      </c>
      <c r="F927" s="14" t="s">
        <v>98</v>
      </c>
      <c r="G927" s="14" t="s">
        <v>99</v>
      </c>
      <c r="H927" s="0" t="n">
        <v>2</v>
      </c>
      <c r="I927" s="16" t="n">
        <v>20.61</v>
      </c>
      <c r="J927" s="16" t="n">
        <v>8</v>
      </c>
      <c r="K927" s="16" t="n">
        <f aca="false">H927*I927</f>
        <v>41.22</v>
      </c>
      <c r="L927" s="16" t="n">
        <f aca="false">H927*J927</f>
        <v>16</v>
      </c>
      <c r="M927" s="16" t="n">
        <f aca="false">K927-L927</f>
        <v>25.22</v>
      </c>
      <c r="N927" s="17" t="n">
        <f aca="false">IFERROR(M927/K927,0)</f>
        <v>0.611838913148957</v>
      </c>
    </row>
    <row r="928" customFormat="false" ht="15" hidden="false" customHeight="false" outlineLevel="0" collapsed="false">
      <c r="A928" s="15" t="n">
        <v>46062</v>
      </c>
      <c r="B928" s="14" t="s">
        <v>69</v>
      </c>
      <c r="C928" s="14" t="s">
        <v>70</v>
      </c>
      <c r="D928" s="14" t="s">
        <v>71</v>
      </c>
      <c r="E928" s="14" t="s">
        <v>53</v>
      </c>
      <c r="F928" s="14" t="s">
        <v>84</v>
      </c>
      <c r="G928" s="14" t="s">
        <v>85</v>
      </c>
      <c r="H928" s="0" t="n">
        <v>1</v>
      </c>
      <c r="I928" s="16" t="n">
        <v>23.41</v>
      </c>
      <c r="J928" s="16" t="n">
        <v>9</v>
      </c>
      <c r="K928" s="16" t="n">
        <f aca="false">H928*I928</f>
        <v>23.41</v>
      </c>
      <c r="L928" s="16" t="n">
        <f aca="false">H928*J928</f>
        <v>9</v>
      </c>
      <c r="M928" s="16" t="n">
        <f aca="false">K928-L928</f>
        <v>14.41</v>
      </c>
      <c r="N928" s="17" t="n">
        <f aca="false">IFERROR(M928/K928,0)</f>
        <v>0.615548910721914</v>
      </c>
    </row>
    <row r="929" customFormat="false" ht="15" hidden="false" customHeight="false" outlineLevel="0" collapsed="false">
      <c r="A929" s="15" t="n">
        <v>46062</v>
      </c>
      <c r="B929" s="14" t="s">
        <v>69</v>
      </c>
      <c r="C929" s="14" t="s">
        <v>70</v>
      </c>
      <c r="D929" s="14" t="s">
        <v>71</v>
      </c>
      <c r="E929" s="14" t="s">
        <v>64</v>
      </c>
      <c r="F929" s="14" t="s">
        <v>65</v>
      </c>
      <c r="G929" s="14" t="s">
        <v>66</v>
      </c>
      <c r="H929" s="0" t="n">
        <v>2</v>
      </c>
      <c r="I929" s="16" t="n">
        <v>72.83</v>
      </c>
      <c r="J929" s="16" t="n">
        <v>34</v>
      </c>
      <c r="K929" s="16" t="n">
        <f aca="false">H929*I929</f>
        <v>145.66</v>
      </c>
      <c r="L929" s="16" t="n">
        <f aca="false">H929*J929</f>
        <v>68</v>
      </c>
      <c r="M929" s="16" t="n">
        <f aca="false">K929-L929</f>
        <v>77.66</v>
      </c>
      <c r="N929" s="17" t="n">
        <f aca="false">IFERROR(M929/K929,0)</f>
        <v>0.533159412330084</v>
      </c>
    </row>
    <row r="930" customFormat="false" ht="15" hidden="false" customHeight="false" outlineLevel="0" collapsed="false">
      <c r="A930" s="15" t="n">
        <v>46062</v>
      </c>
      <c r="B930" s="14" t="s">
        <v>81</v>
      </c>
      <c r="C930" s="14" t="s">
        <v>82</v>
      </c>
      <c r="D930" s="14" t="s">
        <v>83</v>
      </c>
      <c r="E930" s="14" t="s">
        <v>45</v>
      </c>
      <c r="F930" s="14" t="s">
        <v>48</v>
      </c>
      <c r="G930" s="14" t="s">
        <v>49</v>
      </c>
      <c r="H930" s="0" t="n">
        <v>1</v>
      </c>
      <c r="I930" s="16" t="n">
        <v>62.86</v>
      </c>
      <c r="J930" s="16" t="n">
        <v>27.5</v>
      </c>
      <c r="K930" s="16" t="n">
        <f aca="false">H930*I930</f>
        <v>62.86</v>
      </c>
      <c r="L930" s="16" t="n">
        <f aca="false">H930*J930</f>
        <v>27.5</v>
      </c>
      <c r="M930" s="16" t="n">
        <f aca="false">K930-L930</f>
        <v>35.36</v>
      </c>
      <c r="N930" s="17" t="n">
        <f aca="false">IFERROR(M930/K930,0)</f>
        <v>0.562519885459752</v>
      </c>
    </row>
    <row r="931" customFormat="false" ht="15" hidden="false" customHeight="false" outlineLevel="0" collapsed="false">
      <c r="A931" s="15" t="n">
        <v>46062</v>
      </c>
      <c r="B931" s="14" t="s">
        <v>81</v>
      </c>
      <c r="C931" s="14" t="s">
        <v>82</v>
      </c>
      <c r="D931" s="14" t="s">
        <v>83</v>
      </c>
      <c r="E931" s="14" t="s">
        <v>76</v>
      </c>
      <c r="F931" s="14" t="s">
        <v>79</v>
      </c>
      <c r="G931" s="14" t="s">
        <v>80</v>
      </c>
      <c r="H931" s="0" t="n">
        <v>3</v>
      </c>
      <c r="I931" s="16" t="n">
        <v>29.79</v>
      </c>
      <c r="J931" s="16" t="n">
        <v>11</v>
      </c>
      <c r="K931" s="16" t="n">
        <f aca="false">H931*I931</f>
        <v>89.37</v>
      </c>
      <c r="L931" s="16" t="n">
        <f aca="false">H931*J931</f>
        <v>33</v>
      </c>
      <c r="M931" s="16" t="n">
        <f aca="false">K931-L931</f>
        <v>56.37</v>
      </c>
      <c r="N931" s="17" t="n">
        <f aca="false">IFERROR(M931/K931,0)</f>
        <v>0.630748573346761</v>
      </c>
    </row>
    <row r="932" customFormat="false" ht="15" hidden="false" customHeight="false" outlineLevel="0" collapsed="false">
      <c r="A932" s="15" t="n">
        <v>46062</v>
      </c>
      <c r="B932" s="14" t="s">
        <v>81</v>
      </c>
      <c r="C932" s="14" t="s">
        <v>82</v>
      </c>
      <c r="D932" s="14" t="s">
        <v>83</v>
      </c>
      <c r="E932" s="14" t="s">
        <v>64</v>
      </c>
      <c r="F932" s="14" t="s">
        <v>90</v>
      </c>
      <c r="G932" s="14" t="s">
        <v>91</v>
      </c>
      <c r="H932" s="0" t="n">
        <v>5</v>
      </c>
      <c r="I932" s="16" t="n">
        <v>11.65</v>
      </c>
      <c r="J932" s="16" t="n">
        <v>3.5</v>
      </c>
      <c r="K932" s="16" t="n">
        <f aca="false">H932*I932</f>
        <v>58.25</v>
      </c>
      <c r="L932" s="16" t="n">
        <f aca="false">H932*J932</f>
        <v>17.5</v>
      </c>
      <c r="M932" s="16" t="n">
        <f aca="false">K932-L932</f>
        <v>40.75</v>
      </c>
      <c r="N932" s="17" t="n">
        <f aca="false">IFERROR(M932/K932,0)</f>
        <v>0.699570815450644</v>
      </c>
    </row>
    <row r="933" customFormat="false" ht="15" hidden="false" customHeight="false" outlineLevel="0" collapsed="false">
      <c r="A933" s="15" t="n">
        <v>46062</v>
      </c>
      <c r="B933" s="14" t="s">
        <v>81</v>
      </c>
      <c r="C933" s="14" t="s">
        <v>82</v>
      </c>
      <c r="D933" s="14" t="s">
        <v>83</v>
      </c>
      <c r="E933" s="14" t="s">
        <v>64</v>
      </c>
      <c r="F933" s="14" t="s">
        <v>94</v>
      </c>
      <c r="G933" s="14" t="s">
        <v>95</v>
      </c>
      <c r="H933" s="0" t="n">
        <v>1</v>
      </c>
      <c r="I933" s="16" t="n">
        <v>94.16</v>
      </c>
      <c r="J933" s="16" t="n">
        <v>42</v>
      </c>
      <c r="K933" s="16" t="n">
        <f aca="false">H933*I933</f>
        <v>94.16</v>
      </c>
      <c r="L933" s="16" t="n">
        <f aca="false">H933*J933</f>
        <v>42</v>
      </c>
      <c r="M933" s="16" t="n">
        <f aca="false">K933-L933</f>
        <v>52.16</v>
      </c>
      <c r="N933" s="17" t="n">
        <f aca="false">IFERROR(M933/K933,0)</f>
        <v>0.553950722175021</v>
      </c>
    </row>
    <row r="934" customFormat="false" ht="15" hidden="false" customHeight="false" outlineLevel="0" collapsed="false">
      <c r="A934" s="15" t="n">
        <v>46062</v>
      </c>
      <c r="B934" s="14" t="s">
        <v>88</v>
      </c>
      <c r="C934" s="14" t="s">
        <v>89</v>
      </c>
      <c r="D934" s="14" t="s">
        <v>44</v>
      </c>
      <c r="E934" s="14" t="s">
        <v>56</v>
      </c>
      <c r="F934" s="14" t="s">
        <v>98</v>
      </c>
      <c r="G934" s="14" t="s">
        <v>99</v>
      </c>
      <c r="H934" s="0" t="n">
        <v>2</v>
      </c>
      <c r="I934" s="16" t="n">
        <v>21.57</v>
      </c>
      <c r="J934" s="16" t="n">
        <v>8</v>
      </c>
      <c r="K934" s="16" t="n">
        <f aca="false">H934*I934</f>
        <v>43.14</v>
      </c>
      <c r="L934" s="16" t="n">
        <f aca="false">H934*J934</f>
        <v>16</v>
      </c>
      <c r="M934" s="16" t="n">
        <f aca="false">K934-L934</f>
        <v>27.14</v>
      </c>
      <c r="N934" s="17" t="n">
        <f aca="false">IFERROR(M934/K934,0)</f>
        <v>0.629114510894761</v>
      </c>
    </row>
    <row r="935" customFormat="false" ht="15" hidden="false" customHeight="false" outlineLevel="0" collapsed="false">
      <c r="A935" s="15" t="n">
        <v>46062</v>
      </c>
      <c r="B935" s="14" t="s">
        <v>88</v>
      </c>
      <c r="C935" s="14" t="s">
        <v>89</v>
      </c>
      <c r="D935" s="14" t="s">
        <v>44</v>
      </c>
      <c r="E935" s="14" t="s">
        <v>56</v>
      </c>
      <c r="F935" s="14" t="s">
        <v>98</v>
      </c>
      <c r="G935" s="14" t="s">
        <v>99</v>
      </c>
      <c r="H935" s="0" t="n">
        <v>2</v>
      </c>
      <c r="I935" s="16" t="n">
        <v>20.87</v>
      </c>
      <c r="J935" s="16" t="n">
        <v>8</v>
      </c>
      <c r="K935" s="16" t="n">
        <f aca="false">H935*I935</f>
        <v>41.74</v>
      </c>
      <c r="L935" s="16" t="n">
        <f aca="false">H935*J935</f>
        <v>16</v>
      </c>
      <c r="M935" s="16" t="n">
        <f aca="false">K935-L935</f>
        <v>25.74</v>
      </c>
      <c r="N935" s="17" t="n">
        <f aca="false">IFERROR(M935/K935,0)</f>
        <v>0.616674652611404</v>
      </c>
    </row>
    <row r="936" customFormat="false" ht="15" hidden="false" customHeight="false" outlineLevel="0" collapsed="false">
      <c r="A936" s="15" t="n">
        <v>46063</v>
      </c>
      <c r="B936" s="14" t="s">
        <v>42</v>
      </c>
      <c r="C936" s="14" t="s">
        <v>43</v>
      </c>
      <c r="D936" s="14" t="s">
        <v>44</v>
      </c>
      <c r="E936" s="14" t="s">
        <v>45</v>
      </c>
      <c r="F936" s="14" t="s">
        <v>46</v>
      </c>
      <c r="G936" s="14" t="s">
        <v>47</v>
      </c>
      <c r="H936" s="0" t="n">
        <v>6</v>
      </c>
      <c r="I936" s="16" t="n">
        <v>43.58</v>
      </c>
      <c r="J936" s="16" t="n">
        <v>18</v>
      </c>
      <c r="K936" s="16" t="n">
        <f aca="false">H936*I936</f>
        <v>261.48</v>
      </c>
      <c r="L936" s="16" t="n">
        <f aca="false">H936*J936</f>
        <v>108</v>
      </c>
      <c r="M936" s="16" t="n">
        <f aca="false">K936-L936</f>
        <v>153.48</v>
      </c>
      <c r="N936" s="17" t="n">
        <f aca="false">IFERROR(M936/K936,0)</f>
        <v>0.586966498393759</v>
      </c>
    </row>
    <row r="937" customFormat="false" ht="15" hidden="false" customHeight="false" outlineLevel="0" collapsed="false">
      <c r="A937" s="15" t="n">
        <v>46063</v>
      </c>
      <c r="B937" s="14" t="s">
        <v>42</v>
      </c>
      <c r="C937" s="14" t="s">
        <v>43</v>
      </c>
      <c r="D937" s="14" t="s">
        <v>44</v>
      </c>
      <c r="E937" s="14" t="s">
        <v>76</v>
      </c>
      <c r="F937" s="14" t="s">
        <v>100</v>
      </c>
      <c r="G937" s="14" t="s">
        <v>101</v>
      </c>
      <c r="H937" s="0" t="n">
        <v>8</v>
      </c>
      <c r="I937" s="16" t="n">
        <v>15.23</v>
      </c>
      <c r="J937" s="16" t="n">
        <v>5.5</v>
      </c>
      <c r="K937" s="16" t="n">
        <f aca="false">H937*I937</f>
        <v>121.84</v>
      </c>
      <c r="L937" s="16" t="n">
        <f aca="false">H937*J937</f>
        <v>44</v>
      </c>
      <c r="M937" s="16" t="n">
        <f aca="false">K937-L937</f>
        <v>77.84</v>
      </c>
      <c r="N937" s="17" t="n">
        <f aca="false">IFERROR(M937/K937,0)</f>
        <v>0.63887065003283</v>
      </c>
    </row>
    <row r="938" customFormat="false" ht="15" hidden="false" customHeight="false" outlineLevel="0" collapsed="false">
      <c r="A938" s="15" t="n">
        <v>46063</v>
      </c>
      <c r="B938" s="14" t="s">
        <v>42</v>
      </c>
      <c r="C938" s="14" t="s">
        <v>43</v>
      </c>
      <c r="D938" s="14" t="s">
        <v>44</v>
      </c>
      <c r="E938" s="14" t="s">
        <v>45</v>
      </c>
      <c r="F938" s="14" t="s">
        <v>72</v>
      </c>
      <c r="G938" s="14" t="s">
        <v>73</v>
      </c>
      <c r="H938" s="0" t="n">
        <v>4</v>
      </c>
      <c r="I938" s="16" t="n">
        <v>50.06</v>
      </c>
      <c r="J938" s="16" t="n">
        <v>21</v>
      </c>
      <c r="K938" s="16" t="n">
        <f aca="false">H938*I938</f>
        <v>200.24</v>
      </c>
      <c r="L938" s="16" t="n">
        <f aca="false">H938*J938</f>
        <v>84</v>
      </c>
      <c r="M938" s="16" t="n">
        <f aca="false">K938-L938</f>
        <v>116.24</v>
      </c>
      <c r="N938" s="17" t="n">
        <f aca="false">IFERROR(M938/K938,0)</f>
        <v>0.58050339592489</v>
      </c>
    </row>
    <row r="939" customFormat="false" ht="15" hidden="false" customHeight="false" outlineLevel="0" collapsed="false">
      <c r="A939" s="15" t="n">
        <v>46063</v>
      </c>
      <c r="B939" s="14" t="s">
        <v>42</v>
      </c>
      <c r="C939" s="14" t="s">
        <v>43</v>
      </c>
      <c r="D939" s="14" t="s">
        <v>44</v>
      </c>
      <c r="E939" s="14" t="s">
        <v>53</v>
      </c>
      <c r="F939" s="14" t="s">
        <v>84</v>
      </c>
      <c r="G939" s="14" t="s">
        <v>85</v>
      </c>
      <c r="H939" s="0" t="n">
        <v>6</v>
      </c>
      <c r="I939" s="16" t="n">
        <v>24.92</v>
      </c>
      <c r="J939" s="16" t="n">
        <v>9</v>
      </c>
      <c r="K939" s="16" t="n">
        <f aca="false">H939*I939</f>
        <v>149.52</v>
      </c>
      <c r="L939" s="16" t="n">
        <f aca="false">H939*J939</f>
        <v>54</v>
      </c>
      <c r="M939" s="16" t="n">
        <f aca="false">K939-L939</f>
        <v>95.52</v>
      </c>
      <c r="N939" s="17" t="n">
        <f aca="false">IFERROR(M939/K939,0)</f>
        <v>0.63884430176565</v>
      </c>
    </row>
    <row r="940" customFormat="false" ht="15" hidden="false" customHeight="false" outlineLevel="0" collapsed="false">
      <c r="A940" s="15" t="n">
        <v>46063</v>
      </c>
      <c r="B940" s="14" t="s">
        <v>42</v>
      </c>
      <c r="C940" s="14" t="s">
        <v>43</v>
      </c>
      <c r="D940" s="14" t="s">
        <v>44</v>
      </c>
      <c r="E940" s="14" t="s">
        <v>53</v>
      </c>
      <c r="F940" s="14" t="s">
        <v>92</v>
      </c>
      <c r="G940" s="14" t="s">
        <v>93</v>
      </c>
      <c r="H940" s="0" t="n">
        <v>7</v>
      </c>
      <c r="I940" s="16" t="n">
        <v>119.59</v>
      </c>
      <c r="J940" s="16" t="n">
        <v>52</v>
      </c>
      <c r="K940" s="16" t="n">
        <f aca="false">H940*I940</f>
        <v>837.13</v>
      </c>
      <c r="L940" s="16" t="n">
        <f aca="false">H940*J940</f>
        <v>364</v>
      </c>
      <c r="M940" s="16" t="n">
        <f aca="false">K940-L940</f>
        <v>473.13</v>
      </c>
      <c r="N940" s="17" t="n">
        <f aca="false">IFERROR(M940/K940,0)</f>
        <v>0.565181035203612</v>
      </c>
    </row>
    <row r="941" customFormat="false" ht="15" hidden="false" customHeight="false" outlineLevel="0" collapsed="false">
      <c r="A941" s="15" t="n">
        <v>46063</v>
      </c>
      <c r="B941" s="14" t="s">
        <v>42</v>
      </c>
      <c r="C941" s="14" t="s">
        <v>43</v>
      </c>
      <c r="D941" s="14" t="s">
        <v>44</v>
      </c>
      <c r="E941" s="14" t="s">
        <v>45</v>
      </c>
      <c r="F941" s="14" t="s">
        <v>62</v>
      </c>
      <c r="G941" s="14" t="s">
        <v>63</v>
      </c>
      <c r="H941" s="0" t="n">
        <v>2</v>
      </c>
      <c r="I941" s="16" t="n">
        <v>16.62</v>
      </c>
      <c r="J941" s="16" t="n">
        <v>6.5</v>
      </c>
      <c r="K941" s="16" t="n">
        <f aca="false">H941*I941</f>
        <v>33.24</v>
      </c>
      <c r="L941" s="16" t="n">
        <f aca="false">H941*J941</f>
        <v>13</v>
      </c>
      <c r="M941" s="16" t="n">
        <f aca="false">K941-L941</f>
        <v>20.24</v>
      </c>
      <c r="N941" s="17" t="n">
        <f aca="false">IFERROR(M941/K941,0)</f>
        <v>0.608904933814681</v>
      </c>
    </row>
    <row r="942" customFormat="false" ht="15" hidden="false" customHeight="false" outlineLevel="0" collapsed="false">
      <c r="A942" s="15" t="n">
        <v>46063</v>
      </c>
      <c r="B942" s="14" t="s">
        <v>50</v>
      </c>
      <c r="C942" s="14" t="s">
        <v>51</v>
      </c>
      <c r="D942" s="14" t="s">
        <v>52</v>
      </c>
      <c r="E942" s="14" t="s">
        <v>56</v>
      </c>
      <c r="F942" s="14" t="s">
        <v>57</v>
      </c>
      <c r="G942" s="14" t="s">
        <v>58</v>
      </c>
      <c r="H942" s="0" t="n">
        <v>2</v>
      </c>
      <c r="I942" s="16" t="n">
        <v>25.5</v>
      </c>
      <c r="J942" s="16" t="n">
        <v>10</v>
      </c>
      <c r="K942" s="16" t="n">
        <f aca="false">H942*I942</f>
        <v>51</v>
      </c>
      <c r="L942" s="16" t="n">
        <f aca="false">H942*J942</f>
        <v>20</v>
      </c>
      <c r="M942" s="16" t="n">
        <f aca="false">K942-L942</f>
        <v>31</v>
      </c>
      <c r="N942" s="17" t="n">
        <f aca="false">IFERROR(M942/K942,0)</f>
        <v>0.607843137254902</v>
      </c>
    </row>
    <row r="943" customFormat="false" ht="15" hidden="false" customHeight="false" outlineLevel="0" collapsed="false">
      <c r="A943" s="15" t="n">
        <v>46063</v>
      </c>
      <c r="B943" s="14" t="s">
        <v>50</v>
      </c>
      <c r="C943" s="14" t="s">
        <v>51</v>
      </c>
      <c r="D943" s="14" t="s">
        <v>52</v>
      </c>
      <c r="E943" s="14" t="s">
        <v>76</v>
      </c>
      <c r="F943" s="14" t="s">
        <v>77</v>
      </c>
      <c r="G943" s="14" t="s">
        <v>78</v>
      </c>
      <c r="H943" s="0" t="n">
        <v>7</v>
      </c>
      <c r="I943" s="16" t="n">
        <v>41.68</v>
      </c>
      <c r="J943" s="16" t="n">
        <v>15</v>
      </c>
      <c r="K943" s="16" t="n">
        <f aca="false">H943*I943</f>
        <v>291.76</v>
      </c>
      <c r="L943" s="16" t="n">
        <f aca="false">H943*J943</f>
        <v>105</v>
      </c>
      <c r="M943" s="16" t="n">
        <f aca="false">K943-L943</f>
        <v>186.76</v>
      </c>
      <c r="N943" s="17" t="n">
        <f aca="false">IFERROR(M943/K943,0)</f>
        <v>0.640115163147793</v>
      </c>
    </row>
    <row r="944" customFormat="false" ht="15" hidden="false" customHeight="false" outlineLevel="0" collapsed="false">
      <c r="A944" s="15" t="n">
        <v>46063</v>
      </c>
      <c r="B944" s="14" t="s">
        <v>50</v>
      </c>
      <c r="C944" s="14" t="s">
        <v>51</v>
      </c>
      <c r="D944" s="14" t="s">
        <v>52</v>
      </c>
      <c r="E944" s="14" t="s">
        <v>56</v>
      </c>
      <c r="F944" s="14" t="s">
        <v>86</v>
      </c>
      <c r="G944" s="14" t="s">
        <v>87</v>
      </c>
      <c r="H944" s="0" t="n">
        <v>3</v>
      </c>
      <c r="I944" s="16" t="n">
        <v>14.02</v>
      </c>
      <c r="J944" s="16" t="n">
        <v>5</v>
      </c>
      <c r="K944" s="16" t="n">
        <f aca="false">H944*I944</f>
        <v>42.06</v>
      </c>
      <c r="L944" s="16" t="n">
        <f aca="false">H944*J944</f>
        <v>15</v>
      </c>
      <c r="M944" s="16" t="n">
        <f aca="false">K944-L944</f>
        <v>27.06</v>
      </c>
      <c r="N944" s="17" t="n">
        <f aca="false">IFERROR(M944/K944,0)</f>
        <v>0.643366619115549</v>
      </c>
    </row>
    <row r="945" customFormat="false" ht="15" hidden="false" customHeight="false" outlineLevel="0" collapsed="false">
      <c r="A945" s="15" t="n">
        <v>46063</v>
      </c>
      <c r="B945" s="14" t="s">
        <v>50</v>
      </c>
      <c r="C945" s="14" t="s">
        <v>51</v>
      </c>
      <c r="D945" s="14" t="s">
        <v>52</v>
      </c>
      <c r="E945" s="14" t="s">
        <v>56</v>
      </c>
      <c r="F945" s="14" t="s">
        <v>67</v>
      </c>
      <c r="G945" s="14" t="s">
        <v>68</v>
      </c>
      <c r="H945" s="0" t="n">
        <v>5</v>
      </c>
      <c r="I945" s="16" t="n">
        <v>35.31</v>
      </c>
      <c r="J945" s="16" t="n">
        <v>15</v>
      </c>
      <c r="K945" s="16" t="n">
        <f aca="false">H945*I945</f>
        <v>176.55</v>
      </c>
      <c r="L945" s="16" t="n">
        <f aca="false">H945*J945</f>
        <v>75</v>
      </c>
      <c r="M945" s="16" t="n">
        <f aca="false">K945-L945</f>
        <v>101.55</v>
      </c>
      <c r="N945" s="17" t="n">
        <f aca="false">IFERROR(M945/K945,0)</f>
        <v>0.575191163976211</v>
      </c>
    </row>
    <row r="946" customFormat="false" ht="15" hidden="false" customHeight="false" outlineLevel="0" collapsed="false">
      <c r="A946" s="15" t="n">
        <v>46063</v>
      </c>
      <c r="B946" s="14" t="s">
        <v>50</v>
      </c>
      <c r="C946" s="14" t="s">
        <v>51</v>
      </c>
      <c r="D946" s="14" t="s">
        <v>52</v>
      </c>
      <c r="E946" s="14" t="s">
        <v>56</v>
      </c>
      <c r="F946" s="14" t="s">
        <v>98</v>
      </c>
      <c r="G946" s="14" t="s">
        <v>99</v>
      </c>
      <c r="H946" s="0" t="n">
        <v>9</v>
      </c>
      <c r="I946" s="16" t="n">
        <v>21.37</v>
      </c>
      <c r="J946" s="16" t="n">
        <v>8</v>
      </c>
      <c r="K946" s="16" t="n">
        <f aca="false">H946*I946</f>
        <v>192.33</v>
      </c>
      <c r="L946" s="16" t="n">
        <f aca="false">H946*J946</f>
        <v>72</v>
      </c>
      <c r="M946" s="16" t="n">
        <f aca="false">K946-L946</f>
        <v>120.33</v>
      </c>
      <c r="N946" s="17" t="n">
        <f aca="false">IFERROR(M946/K946,0)</f>
        <v>0.625643425362658</v>
      </c>
    </row>
    <row r="947" customFormat="false" ht="15" hidden="false" customHeight="false" outlineLevel="0" collapsed="false">
      <c r="A947" s="15" t="n">
        <v>46063</v>
      </c>
      <c r="B947" s="14" t="s">
        <v>50</v>
      </c>
      <c r="C947" s="14" t="s">
        <v>51</v>
      </c>
      <c r="D947" s="14" t="s">
        <v>52</v>
      </c>
      <c r="E947" s="14" t="s">
        <v>45</v>
      </c>
      <c r="F947" s="14" t="s">
        <v>46</v>
      </c>
      <c r="G947" s="14" t="s">
        <v>47</v>
      </c>
      <c r="H947" s="0" t="n">
        <v>2</v>
      </c>
      <c r="I947" s="16" t="n">
        <v>42.3</v>
      </c>
      <c r="J947" s="16" t="n">
        <v>18</v>
      </c>
      <c r="K947" s="16" t="n">
        <f aca="false">H947*I947</f>
        <v>84.6</v>
      </c>
      <c r="L947" s="16" t="n">
        <f aca="false">H947*J947</f>
        <v>36</v>
      </c>
      <c r="M947" s="16" t="n">
        <f aca="false">K947-L947</f>
        <v>48.6</v>
      </c>
      <c r="N947" s="17" t="n">
        <f aca="false">IFERROR(M947/K947,0)</f>
        <v>0.574468085106383</v>
      </c>
    </row>
    <row r="948" customFormat="false" ht="15" hidden="false" customHeight="false" outlineLevel="0" collapsed="false">
      <c r="A948" s="15" t="n">
        <v>46063</v>
      </c>
      <c r="B948" s="14" t="s">
        <v>59</v>
      </c>
      <c r="C948" s="14" t="s">
        <v>60</v>
      </c>
      <c r="D948" s="14" t="s">
        <v>61</v>
      </c>
      <c r="E948" s="14" t="s">
        <v>56</v>
      </c>
      <c r="F948" s="14" t="s">
        <v>57</v>
      </c>
      <c r="G948" s="14" t="s">
        <v>58</v>
      </c>
      <c r="H948" s="0" t="n">
        <v>5</v>
      </c>
      <c r="I948" s="16" t="n">
        <v>25.61</v>
      </c>
      <c r="J948" s="16" t="n">
        <v>10</v>
      </c>
      <c r="K948" s="16" t="n">
        <f aca="false">H948*I948</f>
        <v>128.05</v>
      </c>
      <c r="L948" s="16" t="n">
        <f aca="false">H948*J948</f>
        <v>50</v>
      </c>
      <c r="M948" s="16" t="n">
        <f aca="false">K948-L948</f>
        <v>78.05</v>
      </c>
      <c r="N948" s="17" t="n">
        <f aca="false">IFERROR(M948/K948,0)</f>
        <v>0.609527528309254</v>
      </c>
    </row>
    <row r="949" customFormat="false" ht="15" hidden="false" customHeight="false" outlineLevel="0" collapsed="false">
      <c r="A949" s="15" t="n">
        <v>46063</v>
      </c>
      <c r="B949" s="14" t="s">
        <v>59</v>
      </c>
      <c r="C949" s="14" t="s">
        <v>60</v>
      </c>
      <c r="D949" s="14" t="s">
        <v>61</v>
      </c>
      <c r="E949" s="14" t="s">
        <v>53</v>
      </c>
      <c r="F949" s="14" t="s">
        <v>74</v>
      </c>
      <c r="G949" s="14" t="s">
        <v>75</v>
      </c>
      <c r="H949" s="0" t="n">
        <v>4</v>
      </c>
      <c r="I949" s="16" t="n">
        <v>86.29</v>
      </c>
      <c r="J949" s="16" t="n">
        <v>38</v>
      </c>
      <c r="K949" s="16" t="n">
        <f aca="false">H949*I949</f>
        <v>345.16</v>
      </c>
      <c r="L949" s="16" t="n">
        <f aca="false">H949*J949</f>
        <v>152</v>
      </c>
      <c r="M949" s="16" t="n">
        <f aca="false">K949-L949</f>
        <v>193.16</v>
      </c>
      <c r="N949" s="17" t="n">
        <f aca="false">IFERROR(M949/K949,0)</f>
        <v>0.55962452196083</v>
      </c>
    </row>
    <row r="950" customFormat="false" ht="15" hidden="false" customHeight="false" outlineLevel="0" collapsed="false">
      <c r="A950" s="15" t="n">
        <v>46063</v>
      </c>
      <c r="B950" s="14" t="s">
        <v>59</v>
      </c>
      <c r="C950" s="14" t="s">
        <v>60</v>
      </c>
      <c r="D950" s="14" t="s">
        <v>61</v>
      </c>
      <c r="E950" s="14" t="s">
        <v>53</v>
      </c>
      <c r="F950" s="14" t="s">
        <v>92</v>
      </c>
      <c r="G950" s="14" t="s">
        <v>93</v>
      </c>
      <c r="H950" s="0" t="n">
        <v>6</v>
      </c>
      <c r="I950" s="16" t="n">
        <v>114.73</v>
      </c>
      <c r="J950" s="16" t="n">
        <v>52</v>
      </c>
      <c r="K950" s="16" t="n">
        <f aca="false">H950*I950</f>
        <v>688.38</v>
      </c>
      <c r="L950" s="16" t="n">
        <f aca="false">H950*J950</f>
        <v>312</v>
      </c>
      <c r="M950" s="16" t="n">
        <f aca="false">K950-L950</f>
        <v>376.38</v>
      </c>
      <c r="N950" s="17" t="n">
        <f aca="false">IFERROR(M950/K950,0)</f>
        <v>0.546761962869345</v>
      </c>
    </row>
    <row r="951" customFormat="false" ht="15" hidden="false" customHeight="false" outlineLevel="0" collapsed="false">
      <c r="A951" s="15" t="n">
        <v>46063</v>
      </c>
      <c r="B951" s="14" t="s">
        <v>69</v>
      </c>
      <c r="C951" s="14" t="s">
        <v>70</v>
      </c>
      <c r="D951" s="14" t="s">
        <v>71</v>
      </c>
      <c r="E951" s="14" t="s">
        <v>76</v>
      </c>
      <c r="F951" s="14" t="s">
        <v>77</v>
      </c>
      <c r="G951" s="14" t="s">
        <v>78</v>
      </c>
      <c r="H951" s="0" t="n">
        <v>5</v>
      </c>
      <c r="I951" s="16" t="n">
        <v>41.35</v>
      </c>
      <c r="J951" s="16" t="n">
        <v>15</v>
      </c>
      <c r="K951" s="16" t="n">
        <f aca="false">H951*I951</f>
        <v>206.75</v>
      </c>
      <c r="L951" s="16" t="n">
        <f aca="false">H951*J951</f>
        <v>75</v>
      </c>
      <c r="M951" s="16" t="n">
        <f aca="false">K951-L951</f>
        <v>131.75</v>
      </c>
      <c r="N951" s="17" t="n">
        <f aca="false">IFERROR(M951/K951,0)</f>
        <v>0.637243047158404</v>
      </c>
    </row>
    <row r="952" customFormat="false" ht="15" hidden="false" customHeight="false" outlineLevel="0" collapsed="false">
      <c r="A952" s="15" t="n">
        <v>46063</v>
      </c>
      <c r="B952" s="14" t="s">
        <v>69</v>
      </c>
      <c r="C952" s="14" t="s">
        <v>70</v>
      </c>
      <c r="D952" s="14" t="s">
        <v>71</v>
      </c>
      <c r="E952" s="14" t="s">
        <v>64</v>
      </c>
      <c r="F952" s="14" t="s">
        <v>96</v>
      </c>
      <c r="G952" s="14" t="s">
        <v>97</v>
      </c>
      <c r="H952" s="0" t="n">
        <v>1</v>
      </c>
      <c r="I952" s="16" t="n">
        <v>55.76</v>
      </c>
      <c r="J952" s="16" t="n">
        <v>24</v>
      </c>
      <c r="K952" s="16" t="n">
        <f aca="false">H952*I952</f>
        <v>55.76</v>
      </c>
      <c r="L952" s="16" t="n">
        <f aca="false">H952*J952</f>
        <v>24</v>
      </c>
      <c r="M952" s="16" t="n">
        <f aca="false">K952-L952</f>
        <v>31.76</v>
      </c>
      <c r="N952" s="17" t="n">
        <f aca="false">IFERROR(M952/K952,0)</f>
        <v>0.569583931133429</v>
      </c>
    </row>
    <row r="953" customFormat="false" ht="15" hidden="false" customHeight="false" outlineLevel="0" collapsed="false">
      <c r="A953" s="15" t="n">
        <v>46063</v>
      </c>
      <c r="B953" s="14" t="s">
        <v>69</v>
      </c>
      <c r="C953" s="14" t="s">
        <v>70</v>
      </c>
      <c r="D953" s="14" t="s">
        <v>71</v>
      </c>
      <c r="E953" s="14" t="s">
        <v>53</v>
      </c>
      <c r="F953" s="14" t="s">
        <v>84</v>
      </c>
      <c r="G953" s="14" t="s">
        <v>85</v>
      </c>
      <c r="H953" s="0" t="n">
        <v>4</v>
      </c>
      <c r="I953" s="16" t="n">
        <v>24.68</v>
      </c>
      <c r="J953" s="16" t="n">
        <v>9</v>
      </c>
      <c r="K953" s="16" t="n">
        <f aca="false">H953*I953</f>
        <v>98.72</v>
      </c>
      <c r="L953" s="16" t="n">
        <f aca="false">H953*J953</f>
        <v>36</v>
      </c>
      <c r="M953" s="16" t="n">
        <f aca="false">K953-L953</f>
        <v>62.72</v>
      </c>
      <c r="N953" s="17" t="n">
        <f aca="false">IFERROR(M953/K953,0)</f>
        <v>0.635332252836305</v>
      </c>
    </row>
    <row r="954" customFormat="false" ht="15" hidden="false" customHeight="false" outlineLevel="0" collapsed="false">
      <c r="A954" s="15" t="n">
        <v>46063</v>
      </c>
      <c r="B954" s="14" t="s">
        <v>69</v>
      </c>
      <c r="C954" s="14" t="s">
        <v>70</v>
      </c>
      <c r="D954" s="14" t="s">
        <v>71</v>
      </c>
      <c r="E954" s="14" t="s">
        <v>53</v>
      </c>
      <c r="F954" s="14" t="s">
        <v>92</v>
      </c>
      <c r="G954" s="14" t="s">
        <v>93</v>
      </c>
      <c r="H954" s="0" t="n">
        <v>6</v>
      </c>
      <c r="I954" s="16" t="n">
        <v>114.84</v>
      </c>
      <c r="J954" s="16" t="n">
        <v>52</v>
      </c>
      <c r="K954" s="16" t="n">
        <f aca="false">H954*I954</f>
        <v>689.04</v>
      </c>
      <c r="L954" s="16" t="n">
        <f aca="false">H954*J954</f>
        <v>312</v>
      </c>
      <c r="M954" s="16" t="n">
        <f aca="false">K954-L954</f>
        <v>377.04</v>
      </c>
      <c r="N954" s="17" t="n">
        <f aca="false">IFERROR(M954/K954,0)</f>
        <v>0.547196098920237</v>
      </c>
    </row>
    <row r="955" customFormat="false" ht="15" hidden="false" customHeight="false" outlineLevel="0" collapsed="false">
      <c r="A955" s="15" t="n">
        <v>46063</v>
      </c>
      <c r="B955" s="14" t="s">
        <v>69</v>
      </c>
      <c r="C955" s="14" t="s">
        <v>70</v>
      </c>
      <c r="D955" s="14" t="s">
        <v>71</v>
      </c>
      <c r="E955" s="14" t="s">
        <v>76</v>
      </c>
      <c r="F955" s="14" t="s">
        <v>102</v>
      </c>
      <c r="G955" s="14" t="s">
        <v>103</v>
      </c>
      <c r="H955" s="0" t="n">
        <v>6</v>
      </c>
      <c r="I955" s="16" t="n">
        <v>23.14</v>
      </c>
      <c r="J955" s="16" t="n">
        <v>8.5</v>
      </c>
      <c r="K955" s="16" t="n">
        <f aca="false">H955*I955</f>
        <v>138.84</v>
      </c>
      <c r="L955" s="16" t="n">
        <f aca="false">H955*J955</f>
        <v>51</v>
      </c>
      <c r="M955" s="16" t="n">
        <f aca="false">K955-L955</f>
        <v>87.84</v>
      </c>
      <c r="N955" s="17" t="n">
        <f aca="false">IFERROR(M955/K955,0)</f>
        <v>0.63267070008643</v>
      </c>
    </row>
    <row r="956" customFormat="false" ht="15" hidden="false" customHeight="false" outlineLevel="0" collapsed="false">
      <c r="A956" s="15" t="n">
        <v>46063</v>
      </c>
      <c r="B956" s="14" t="s">
        <v>69</v>
      </c>
      <c r="C956" s="14" t="s">
        <v>70</v>
      </c>
      <c r="D956" s="14" t="s">
        <v>71</v>
      </c>
      <c r="E956" s="14" t="s">
        <v>53</v>
      </c>
      <c r="F956" s="14" t="s">
        <v>74</v>
      </c>
      <c r="G956" s="14" t="s">
        <v>75</v>
      </c>
      <c r="H956" s="0" t="n">
        <v>4</v>
      </c>
      <c r="I956" s="16" t="n">
        <v>87.99</v>
      </c>
      <c r="J956" s="16" t="n">
        <v>38</v>
      </c>
      <c r="K956" s="16" t="n">
        <f aca="false">H956*I956</f>
        <v>351.96</v>
      </c>
      <c r="L956" s="16" t="n">
        <f aca="false">H956*J956</f>
        <v>152</v>
      </c>
      <c r="M956" s="16" t="n">
        <f aca="false">K956-L956</f>
        <v>199.96</v>
      </c>
      <c r="N956" s="17" t="n">
        <f aca="false">IFERROR(M956/K956,0)</f>
        <v>0.568132742357086</v>
      </c>
    </row>
    <row r="957" customFormat="false" ht="15" hidden="false" customHeight="false" outlineLevel="0" collapsed="false">
      <c r="A957" s="15" t="n">
        <v>46063</v>
      </c>
      <c r="B957" s="14" t="s">
        <v>81</v>
      </c>
      <c r="C957" s="14" t="s">
        <v>82</v>
      </c>
      <c r="D957" s="14" t="s">
        <v>83</v>
      </c>
      <c r="E957" s="14" t="s">
        <v>56</v>
      </c>
      <c r="F957" s="14" t="s">
        <v>86</v>
      </c>
      <c r="G957" s="14" t="s">
        <v>87</v>
      </c>
      <c r="H957" s="0" t="n">
        <v>4</v>
      </c>
      <c r="I957" s="16" t="n">
        <v>14.68</v>
      </c>
      <c r="J957" s="16" t="n">
        <v>5</v>
      </c>
      <c r="K957" s="16" t="n">
        <f aca="false">H957*I957</f>
        <v>58.72</v>
      </c>
      <c r="L957" s="16" t="n">
        <f aca="false">H957*J957</f>
        <v>20</v>
      </c>
      <c r="M957" s="16" t="n">
        <f aca="false">K957-L957</f>
        <v>38.72</v>
      </c>
      <c r="N957" s="17" t="n">
        <f aca="false">IFERROR(M957/K957,0)</f>
        <v>0.659400544959128</v>
      </c>
    </row>
    <row r="958" customFormat="false" ht="15" hidden="false" customHeight="false" outlineLevel="0" collapsed="false">
      <c r="A958" s="15" t="n">
        <v>46063</v>
      </c>
      <c r="B958" s="14" t="s">
        <v>81</v>
      </c>
      <c r="C958" s="14" t="s">
        <v>82</v>
      </c>
      <c r="D958" s="14" t="s">
        <v>83</v>
      </c>
      <c r="E958" s="14" t="s">
        <v>45</v>
      </c>
      <c r="F958" s="14" t="s">
        <v>48</v>
      </c>
      <c r="G958" s="14" t="s">
        <v>49</v>
      </c>
      <c r="H958" s="0" t="n">
        <v>1</v>
      </c>
      <c r="I958" s="16" t="n">
        <v>67.18</v>
      </c>
      <c r="J958" s="16" t="n">
        <v>27.5</v>
      </c>
      <c r="K958" s="16" t="n">
        <f aca="false">H958*I958</f>
        <v>67.18</v>
      </c>
      <c r="L958" s="16" t="n">
        <f aca="false">H958*J958</f>
        <v>27.5</v>
      </c>
      <c r="M958" s="16" t="n">
        <f aca="false">K958-L958</f>
        <v>39.68</v>
      </c>
      <c r="N958" s="17" t="n">
        <f aca="false">IFERROR(M958/K958,0)</f>
        <v>0.59065197975588</v>
      </c>
    </row>
    <row r="959" customFormat="false" ht="15" hidden="false" customHeight="false" outlineLevel="0" collapsed="false">
      <c r="A959" s="15" t="n">
        <v>46063</v>
      </c>
      <c r="B959" s="14" t="s">
        <v>81</v>
      </c>
      <c r="C959" s="14" t="s">
        <v>82</v>
      </c>
      <c r="D959" s="14" t="s">
        <v>83</v>
      </c>
      <c r="E959" s="14" t="s">
        <v>45</v>
      </c>
      <c r="F959" s="14" t="s">
        <v>72</v>
      </c>
      <c r="G959" s="14" t="s">
        <v>73</v>
      </c>
      <c r="H959" s="0" t="n">
        <v>3</v>
      </c>
      <c r="I959" s="16" t="n">
        <v>51.61</v>
      </c>
      <c r="J959" s="16" t="n">
        <v>21</v>
      </c>
      <c r="K959" s="16" t="n">
        <f aca="false">H959*I959</f>
        <v>154.83</v>
      </c>
      <c r="L959" s="16" t="n">
        <f aca="false">H959*J959</f>
        <v>63</v>
      </c>
      <c r="M959" s="16" t="n">
        <f aca="false">K959-L959</f>
        <v>91.83</v>
      </c>
      <c r="N959" s="17" t="n">
        <f aca="false">IFERROR(M959/K959,0)</f>
        <v>0.5931021119938</v>
      </c>
    </row>
    <row r="960" customFormat="false" ht="15" hidden="false" customHeight="false" outlineLevel="0" collapsed="false">
      <c r="A960" s="15" t="n">
        <v>46063</v>
      </c>
      <c r="B960" s="14" t="s">
        <v>88</v>
      </c>
      <c r="C960" s="14" t="s">
        <v>89</v>
      </c>
      <c r="D960" s="14" t="s">
        <v>44</v>
      </c>
      <c r="E960" s="14" t="s">
        <v>76</v>
      </c>
      <c r="F960" s="14" t="s">
        <v>100</v>
      </c>
      <c r="G960" s="14" t="s">
        <v>101</v>
      </c>
      <c r="H960" s="0" t="n">
        <v>3</v>
      </c>
      <c r="I960" s="16" t="n">
        <v>15.19</v>
      </c>
      <c r="J960" s="16" t="n">
        <v>5.5</v>
      </c>
      <c r="K960" s="16" t="n">
        <f aca="false">H960*I960</f>
        <v>45.57</v>
      </c>
      <c r="L960" s="16" t="n">
        <f aca="false">H960*J960</f>
        <v>16.5</v>
      </c>
      <c r="M960" s="16" t="n">
        <f aca="false">K960-L960</f>
        <v>29.07</v>
      </c>
      <c r="N960" s="17" t="n">
        <f aca="false">IFERROR(M960/K960,0)</f>
        <v>0.637919684002633</v>
      </c>
    </row>
    <row r="961" customFormat="false" ht="15" hidden="false" customHeight="false" outlineLevel="0" collapsed="false">
      <c r="A961" s="15" t="n">
        <v>46063</v>
      </c>
      <c r="B961" s="14" t="s">
        <v>88</v>
      </c>
      <c r="C961" s="14" t="s">
        <v>89</v>
      </c>
      <c r="D961" s="14" t="s">
        <v>44</v>
      </c>
      <c r="E961" s="14" t="s">
        <v>53</v>
      </c>
      <c r="F961" s="14" t="s">
        <v>92</v>
      </c>
      <c r="G961" s="14" t="s">
        <v>93</v>
      </c>
      <c r="H961" s="0" t="n">
        <v>3</v>
      </c>
      <c r="I961" s="16" t="n">
        <v>114.86</v>
      </c>
      <c r="J961" s="16" t="n">
        <v>52</v>
      </c>
      <c r="K961" s="16" t="n">
        <f aca="false">H961*I961</f>
        <v>344.58</v>
      </c>
      <c r="L961" s="16" t="n">
        <f aca="false">H961*J961</f>
        <v>156</v>
      </c>
      <c r="M961" s="16" t="n">
        <f aca="false">K961-L961</f>
        <v>188.58</v>
      </c>
      <c r="N961" s="17" t="n">
        <f aca="false">IFERROR(M961/K961,0)</f>
        <v>0.547274943409368</v>
      </c>
    </row>
    <row r="962" customFormat="false" ht="15" hidden="false" customHeight="false" outlineLevel="0" collapsed="false">
      <c r="A962" s="15" t="n">
        <v>46063</v>
      </c>
      <c r="B962" s="14" t="s">
        <v>88</v>
      </c>
      <c r="C962" s="14" t="s">
        <v>89</v>
      </c>
      <c r="D962" s="14" t="s">
        <v>44</v>
      </c>
      <c r="E962" s="14" t="s">
        <v>56</v>
      </c>
      <c r="F962" s="14" t="s">
        <v>98</v>
      </c>
      <c r="G962" s="14" t="s">
        <v>99</v>
      </c>
      <c r="H962" s="0" t="n">
        <v>7</v>
      </c>
      <c r="I962" s="16" t="n">
        <v>20.88</v>
      </c>
      <c r="J962" s="16" t="n">
        <v>8</v>
      </c>
      <c r="K962" s="16" t="n">
        <f aca="false">H962*I962</f>
        <v>146.16</v>
      </c>
      <c r="L962" s="16" t="n">
        <f aca="false">H962*J962</f>
        <v>56</v>
      </c>
      <c r="M962" s="16" t="n">
        <f aca="false">K962-L962</f>
        <v>90.16</v>
      </c>
      <c r="N962" s="17" t="n">
        <f aca="false">IFERROR(M962/K962,0)</f>
        <v>0.616858237547893</v>
      </c>
    </row>
    <row r="963" customFormat="false" ht="15" hidden="false" customHeight="false" outlineLevel="0" collapsed="false">
      <c r="A963" s="15" t="n">
        <v>46063</v>
      </c>
      <c r="B963" s="14" t="s">
        <v>88</v>
      </c>
      <c r="C963" s="14" t="s">
        <v>89</v>
      </c>
      <c r="D963" s="14" t="s">
        <v>44</v>
      </c>
      <c r="E963" s="14" t="s">
        <v>45</v>
      </c>
      <c r="F963" s="14" t="s">
        <v>62</v>
      </c>
      <c r="G963" s="14" t="s">
        <v>63</v>
      </c>
      <c r="H963" s="0" t="n">
        <v>3</v>
      </c>
      <c r="I963" s="16" t="n">
        <v>17.65</v>
      </c>
      <c r="J963" s="16" t="n">
        <v>6.5</v>
      </c>
      <c r="K963" s="16" t="n">
        <f aca="false">H963*I963</f>
        <v>52.95</v>
      </c>
      <c r="L963" s="16" t="n">
        <f aca="false">H963*J963</f>
        <v>19.5</v>
      </c>
      <c r="M963" s="16" t="n">
        <f aca="false">K963-L963</f>
        <v>33.45</v>
      </c>
      <c r="N963" s="17" t="n">
        <f aca="false">IFERROR(M963/K963,0)</f>
        <v>0.631728045325779</v>
      </c>
    </row>
    <row r="964" customFormat="false" ht="15" hidden="false" customHeight="false" outlineLevel="0" collapsed="false">
      <c r="A964" s="15" t="n">
        <v>46063</v>
      </c>
      <c r="B964" s="14" t="s">
        <v>88</v>
      </c>
      <c r="C964" s="14" t="s">
        <v>89</v>
      </c>
      <c r="D964" s="14" t="s">
        <v>44</v>
      </c>
      <c r="E964" s="14" t="s">
        <v>53</v>
      </c>
      <c r="F964" s="14" t="s">
        <v>84</v>
      </c>
      <c r="G964" s="14" t="s">
        <v>85</v>
      </c>
      <c r="H964" s="0" t="n">
        <v>3</v>
      </c>
      <c r="I964" s="16" t="n">
        <v>23.36</v>
      </c>
      <c r="J964" s="16" t="n">
        <v>9</v>
      </c>
      <c r="K964" s="16" t="n">
        <f aca="false">H964*I964</f>
        <v>70.08</v>
      </c>
      <c r="L964" s="16" t="n">
        <f aca="false">H964*J964</f>
        <v>27</v>
      </c>
      <c r="M964" s="16" t="n">
        <f aca="false">K964-L964</f>
        <v>43.08</v>
      </c>
      <c r="N964" s="17" t="n">
        <f aca="false">IFERROR(M964/K964,0)</f>
        <v>0.61472602739726</v>
      </c>
    </row>
    <row r="965" customFormat="false" ht="15" hidden="false" customHeight="false" outlineLevel="0" collapsed="false">
      <c r="A965" s="15" t="n">
        <v>46063</v>
      </c>
      <c r="B965" s="14" t="s">
        <v>88</v>
      </c>
      <c r="C965" s="14" t="s">
        <v>89</v>
      </c>
      <c r="D965" s="14" t="s">
        <v>44</v>
      </c>
      <c r="E965" s="14" t="s">
        <v>56</v>
      </c>
      <c r="F965" s="14" t="s">
        <v>86</v>
      </c>
      <c r="G965" s="14" t="s">
        <v>87</v>
      </c>
      <c r="H965" s="0" t="n">
        <v>8</v>
      </c>
      <c r="I965" s="16" t="n">
        <v>14.93</v>
      </c>
      <c r="J965" s="16" t="n">
        <v>5</v>
      </c>
      <c r="K965" s="16" t="n">
        <f aca="false">H965*I965</f>
        <v>119.44</v>
      </c>
      <c r="L965" s="16" t="n">
        <f aca="false">H965*J965</f>
        <v>40</v>
      </c>
      <c r="M965" s="16" t="n">
        <f aca="false">K965-L965</f>
        <v>79.44</v>
      </c>
      <c r="N965" s="17" t="n">
        <f aca="false">IFERROR(M965/K965,0)</f>
        <v>0.665103817816477</v>
      </c>
    </row>
    <row r="966" customFormat="false" ht="15" hidden="false" customHeight="false" outlineLevel="0" collapsed="false">
      <c r="A966" s="15" t="n">
        <v>46064</v>
      </c>
      <c r="B966" s="14" t="s">
        <v>42</v>
      </c>
      <c r="C966" s="14" t="s">
        <v>43</v>
      </c>
      <c r="D966" s="14" t="s">
        <v>44</v>
      </c>
      <c r="E966" s="14" t="s">
        <v>53</v>
      </c>
      <c r="F966" s="14" t="s">
        <v>84</v>
      </c>
      <c r="G966" s="14" t="s">
        <v>85</v>
      </c>
      <c r="H966" s="0" t="n">
        <v>4</v>
      </c>
      <c r="I966" s="16" t="n">
        <v>23.13</v>
      </c>
      <c r="J966" s="16" t="n">
        <v>9</v>
      </c>
      <c r="K966" s="16" t="n">
        <f aca="false">H966*I966</f>
        <v>92.52</v>
      </c>
      <c r="L966" s="16" t="n">
        <f aca="false">H966*J966</f>
        <v>36</v>
      </c>
      <c r="M966" s="16" t="n">
        <f aca="false">K966-L966</f>
        <v>56.52</v>
      </c>
      <c r="N966" s="17" t="n">
        <f aca="false">IFERROR(M966/K966,0)</f>
        <v>0.610894941634241</v>
      </c>
    </row>
    <row r="967" customFormat="false" ht="15" hidden="false" customHeight="false" outlineLevel="0" collapsed="false">
      <c r="A967" s="15" t="n">
        <v>46064</v>
      </c>
      <c r="B967" s="14" t="s">
        <v>42</v>
      </c>
      <c r="C967" s="14" t="s">
        <v>43</v>
      </c>
      <c r="D967" s="14" t="s">
        <v>44</v>
      </c>
      <c r="E967" s="14" t="s">
        <v>76</v>
      </c>
      <c r="F967" s="14" t="s">
        <v>77</v>
      </c>
      <c r="G967" s="14" t="s">
        <v>78</v>
      </c>
      <c r="H967" s="0" t="n">
        <v>1</v>
      </c>
      <c r="I967" s="16" t="n">
        <v>40.89</v>
      </c>
      <c r="J967" s="16" t="n">
        <v>15</v>
      </c>
      <c r="K967" s="16" t="n">
        <f aca="false">H967*I967</f>
        <v>40.89</v>
      </c>
      <c r="L967" s="16" t="n">
        <f aca="false">H967*J967</f>
        <v>15</v>
      </c>
      <c r="M967" s="16" t="n">
        <f aca="false">K967-L967</f>
        <v>25.89</v>
      </c>
      <c r="N967" s="17" t="n">
        <f aca="false">IFERROR(M967/K967,0)</f>
        <v>0.633162142333089</v>
      </c>
    </row>
    <row r="968" customFormat="false" ht="15" hidden="false" customHeight="false" outlineLevel="0" collapsed="false">
      <c r="A968" s="15" t="n">
        <v>46064</v>
      </c>
      <c r="B968" s="14" t="s">
        <v>50</v>
      </c>
      <c r="C968" s="14" t="s">
        <v>51</v>
      </c>
      <c r="D968" s="14" t="s">
        <v>52</v>
      </c>
      <c r="E968" s="14" t="s">
        <v>76</v>
      </c>
      <c r="F968" s="14" t="s">
        <v>100</v>
      </c>
      <c r="G968" s="14" t="s">
        <v>101</v>
      </c>
      <c r="H968" s="0" t="n">
        <v>8</v>
      </c>
      <c r="I968" s="16" t="n">
        <v>15.89</v>
      </c>
      <c r="J968" s="16" t="n">
        <v>5.5</v>
      </c>
      <c r="K968" s="16" t="n">
        <f aca="false">H968*I968</f>
        <v>127.12</v>
      </c>
      <c r="L968" s="16" t="n">
        <f aca="false">H968*J968</f>
        <v>44</v>
      </c>
      <c r="M968" s="16" t="n">
        <f aca="false">K968-L968</f>
        <v>83.12</v>
      </c>
      <c r="N968" s="17" t="n">
        <f aca="false">IFERROR(M968/K968,0)</f>
        <v>0.653870358716174</v>
      </c>
    </row>
    <row r="969" customFormat="false" ht="15" hidden="false" customHeight="false" outlineLevel="0" collapsed="false">
      <c r="A969" s="15" t="n">
        <v>46064</v>
      </c>
      <c r="B969" s="14" t="s">
        <v>50</v>
      </c>
      <c r="C969" s="14" t="s">
        <v>51</v>
      </c>
      <c r="D969" s="14" t="s">
        <v>52</v>
      </c>
      <c r="E969" s="14" t="s">
        <v>45</v>
      </c>
      <c r="F969" s="14" t="s">
        <v>48</v>
      </c>
      <c r="G969" s="14" t="s">
        <v>49</v>
      </c>
      <c r="H969" s="0" t="n">
        <v>6</v>
      </c>
      <c r="I969" s="16" t="n">
        <v>63.12</v>
      </c>
      <c r="J969" s="16" t="n">
        <v>27.5</v>
      </c>
      <c r="K969" s="16" t="n">
        <f aca="false">H969*I969</f>
        <v>378.72</v>
      </c>
      <c r="L969" s="16" t="n">
        <f aca="false">H969*J969</f>
        <v>165</v>
      </c>
      <c r="M969" s="16" t="n">
        <f aca="false">K969-L969</f>
        <v>213.72</v>
      </c>
      <c r="N969" s="17" t="n">
        <f aca="false">IFERROR(M969/K969,0)</f>
        <v>0.564321926489227</v>
      </c>
    </row>
    <row r="970" customFormat="false" ht="15" hidden="false" customHeight="false" outlineLevel="0" collapsed="false">
      <c r="A970" s="15" t="n">
        <v>46064</v>
      </c>
      <c r="B970" s="14" t="s">
        <v>50</v>
      </c>
      <c r="C970" s="14" t="s">
        <v>51</v>
      </c>
      <c r="D970" s="14" t="s">
        <v>52</v>
      </c>
      <c r="E970" s="14" t="s">
        <v>56</v>
      </c>
      <c r="F970" s="14" t="s">
        <v>67</v>
      </c>
      <c r="G970" s="14" t="s">
        <v>68</v>
      </c>
      <c r="H970" s="0" t="n">
        <v>6</v>
      </c>
      <c r="I970" s="16" t="n">
        <v>36.72</v>
      </c>
      <c r="J970" s="16" t="n">
        <v>15</v>
      </c>
      <c r="K970" s="16" t="n">
        <f aca="false">H970*I970</f>
        <v>220.32</v>
      </c>
      <c r="L970" s="16" t="n">
        <f aca="false">H970*J970</f>
        <v>90</v>
      </c>
      <c r="M970" s="16" t="n">
        <f aca="false">K970-L970</f>
        <v>130.32</v>
      </c>
      <c r="N970" s="17" t="n">
        <f aca="false">IFERROR(M970/K970,0)</f>
        <v>0.591503267973856</v>
      </c>
    </row>
    <row r="971" customFormat="false" ht="15" hidden="false" customHeight="false" outlineLevel="0" collapsed="false">
      <c r="A971" s="15" t="n">
        <v>46064</v>
      </c>
      <c r="B971" s="14" t="s">
        <v>50</v>
      </c>
      <c r="C971" s="14" t="s">
        <v>51</v>
      </c>
      <c r="D971" s="14" t="s">
        <v>52</v>
      </c>
      <c r="E971" s="14" t="s">
        <v>56</v>
      </c>
      <c r="F971" s="14" t="s">
        <v>86</v>
      </c>
      <c r="G971" s="14" t="s">
        <v>87</v>
      </c>
      <c r="H971" s="0" t="n">
        <v>8</v>
      </c>
      <c r="I971" s="16" t="n">
        <v>14.58</v>
      </c>
      <c r="J971" s="16" t="n">
        <v>5</v>
      </c>
      <c r="K971" s="16" t="n">
        <f aca="false">H971*I971</f>
        <v>116.64</v>
      </c>
      <c r="L971" s="16" t="n">
        <f aca="false">H971*J971</f>
        <v>40</v>
      </c>
      <c r="M971" s="16" t="n">
        <f aca="false">K971-L971</f>
        <v>76.64</v>
      </c>
      <c r="N971" s="17" t="n">
        <f aca="false">IFERROR(M971/K971,0)</f>
        <v>0.657064471879287</v>
      </c>
    </row>
    <row r="972" customFormat="false" ht="15" hidden="false" customHeight="false" outlineLevel="0" collapsed="false">
      <c r="A972" s="15" t="n">
        <v>46064</v>
      </c>
      <c r="B972" s="14" t="s">
        <v>50</v>
      </c>
      <c r="C972" s="14" t="s">
        <v>51</v>
      </c>
      <c r="D972" s="14" t="s">
        <v>52</v>
      </c>
      <c r="E972" s="14" t="s">
        <v>76</v>
      </c>
      <c r="F972" s="14" t="s">
        <v>79</v>
      </c>
      <c r="G972" s="14" t="s">
        <v>80</v>
      </c>
      <c r="H972" s="0" t="n">
        <v>5</v>
      </c>
      <c r="I972" s="16" t="n">
        <v>28.5</v>
      </c>
      <c r="J972" s="16" t="n">
        <v>11</v>
      </c>
      <c r="K972" s="16" t="n">
        <f aca="false">H972*I972</f>
        <v>142.5</v>
      </c>
      <c r="L972" s="16" t="n">
        <f aca="false">H972*J972</f>
        <v>55</v>
      </c>
      <c r="M972" s="16" t="n">
        <f aca="false">K972-L972</f>
        <v>87.5</v>
      </c>
      <c r="N972" s="17" t="n">
        <f aca="false">IFERROR(M972/K972,0)</f>
        <v>0.614035087719298</v>
      </c>
    </row>
    <row r="973" customFormat="false" ht="15" hidden="false" customHeight="false" outlineLevel="0" collapsed="false">
      <c r="A973" s="15" t="n">
        <v>46064</v>
      </c>
      <c r="B973" s="14" t="s">
        <v>50</v>
      </c>
      <c r="C973" s="14" t="s">
        <v>51</v>
      </c>
      <c r="D973" s="14" t="s">
        <v>52</v>
      </c>
      <c r="E973" s="14" t="s">
        <v>53</v>
      </c>
      <c r="F973" s="14" t="s">
        <v>84</v>
      </c>
      <c r="G973" s="14" t="s">
        <v>85</v>
      </c>
      <c r="H973" s="0" t="n">
        <v>6</v>
      </c>
      <c r="I973" s="16" t="n">
        <v>24.63</v>
      </c>
      <c r="J973" s="16" t="n">
        <v>9</v>
      </c>
      <c r="K973" s="16" t="n">
        <f aca="false">H973*I973</f>
        <v>147.78</v>
      </c>
      <c r="L973" s="16" t="n">
        <f aca="false">H973*J973</f>
        <v>54</v>
      </c>
      <c r="M973" s="16" t="n">
        <f aca="false">K973-L973</f>
        <v>93.78</v>
      </c>
      <c r="N973" s="17" t="n">
        <f aca="false">IFERROR(M973/K973,0)</f>
        <v>0.634591961023143</v>
      </c>
    </row>
    <row r="974" customFormat="false" ht="15" hidden="false" customHeight="false" outlineLevel="0" collapsed="false">
      <c r="A974" s="15" t="n">
        <v>46064</v>
      </c>
      <c r="B974" s="14" t="s">
        <v>59</v>
      </c>
      <c r="C974" s="14" t="s">
        <v>60</v>
      </c>
      <c r="D974" s="14" t="s">
        <v>61</v>
      </c>
      <c r="E974" s="14" t="s">
        <v>64</v>
      </c>
      <c r="F974" s="14" t="s">
        <v>90</v>
      </c>
      <c r="G974" s="14" t="s">
        <v>91</v>
      </c>
      <c r="H974" s="0" t="n">
        <v>1</v>
      </c>
      <c r="I974" s="16" t="n">
        <v>11.52</v>
      </c>
      <c r="J974" s="16" t="n">
        <v>3.5</v>
      </c>
      <c r="K974" s="16" t="n">
        <f aca="false">H974*I974</f>
        <v>11.52</v>
      </c>
      <c r="L974" s="16" t="n">
        <f aca="false">H974*J974</f>
        <v>3.5</v>
      </c>
      <c r="M974" s="16" t="n">
        <f aca="false">K974-L974</f>
        <v>8.02</v>
      </c>
      <c r="N974" s="17" t="n">
        <f aca="false">IFERROR(M974/K974,0)</f>
        <v>0.696180555555556</v>
      </c>
    </row>
    <row r="975" customFormat="false" ht="15" hidden="false" customHeight="false" outlineLevel="0" collapsed="false">
      <c r="A975" s="15" t="n">
        <v>46064</v>
      </c>
      <c r="B975" s="14" t="s">
        <v>59</v>
      </c>
      <c r="C975" s="14" t="s">
        <v>60</v>
      </c>
      <c r="D975" s="14" t="s">
        <v>61</v>
      </c>
      <c r="E975" s="14" t="s">
        <v>53</v>
      </c>
      <c r="F975" s="14" t="s">
        <v>84</v>
      </c>
      <c r="G975" s="14" t="s">
        <v>85</v>
      </c>
      <c r="H975" s="0" t="n">
        <v>2</v>
      </c>
      <c r="I975" s="16" t="n">
        <v>23.46</v>
      </c>
      <c r="J975" s="16" t="n">
        <v>9</v>
      </c>
      <c r="K975" s="16" t="n">
        <f aca="false">H975*I975</f>
        <v>46.92</v>
      </c>
      <c r="L975" s="16" t="n">
        <f aca="false">H975*J975</f>
        <v>18</v>
      </c>
      <c r="M975" s="16" t="n">
        <f aca="false">K975-L975</f>
        <v>28.92</v>
      </c>
      <c r="N975" s="17" t="n">
        <f aca="false">IFERROR(M975/K975,0)</f>
        <v>0.616368286445013</v>
      </c>
    </row>
    <row r="976" customFormat="false" ht="15" hidden="false" customHeight="false" outlineLevel="0" collapsed="false">
      <c r="A976" s="15" t="n">
        <v>46064</v>
      </c>
      <c r="B976" s="14" t="s">
        <v>59</v>
      </c>
      <c r="C976" s="14" t="s">
        <v>60</v>
      </c>
      <c r="D976" s="14" t="s">
        <v>61</v>
      </c>
      <c r="E976" s="14" t="s">
        <v>56</v>
      </c>
      <c r="F976" s="14" t="s">
        <v>67</v>
      </c>
      <c r="G976" s="14" t="s">
        <v>68</v>
      </c>
      <c r="H976" s="0" t="n">
        <v>4</v>
      </c>
      <c r="I976" s="16" t="n">
        <v>35.42</v>
      </c>
      <c r="J976" s="16" t="n">
        <v>15</v>
      </c>
      <c r="K976" s="16" t="n">
        <f aca="false">H976*I976</f>
        <v>141.68</v>
      </c>
      <c r="L976" s="16" t="n">
        <f aca="false">H976*J976</f>
        <v>60</v>
      </c>
      <c r="M976" s="16" t="n">
        <f aca="false">K976-L976</f>
        <v>81.68</v>
      </c>
      <c r="N976" s="17" t="n">
        <f aca="false">IFERROR(M976/K976,0)</f>
        <v>0.576510446075664</v>
      </c>
    </row>
    <row r="977" customFormat="false" ht="15" hidden="false" customHeight="false" outlineLevel="0" collapsed="false">
      <c r="A977" s="15" t="n">
        <v>46064</v>
      </c>
      <c r="B977" s="14" t="s">
        <v>59</v>
      </c>
      <c r="C977" s="14" t="s">
        <v>60</v>
      </c>
      <c r="D977" s="14" t="s">
        <v>61</v>
      </c>
      <c r="E977" s="14" t="s">
        <v>53</v>
      </c>
      <c r="F977" s="14" t="s">
        <v>92</v>
      </c>
      <c r="G977" s="14" t="s">
        <v>93</v>
      </c>
      <c r="H977" s="0" t="n">
        <v>2</v>
      </c>
      <c r="I977" s="16" t="n">
        <v>116.75</v>
      </c>
      <c r="J977" s="16" t="n">
        <v>52</v>
      </c>
      <c r="K977" s="16" t="n">
        <f aca="false">H977*I977</f>
        <v>233.5</v>
      </c>
      <c r="L977" s="16" t="n">
        <f aca="false">H977*J977</f>
        <v>104</v>
      </c>
      <c r="M977" s="16" t="n">
        <f aca="false">K977-L977</f>
        <v>129.5</v>
      </c>
      <c r="N977" s="17" t="n">
        <f aca="false">IFERROR(M977/K977,0)</f>
        <v>0.554603854389722</v>
      </c>
    </row>
    <row r="978" customFormat="false" ht="15" hidden="false" customHeight="false" outlineLevel="0" collapsed="false">
      <c r="A978" s="15" t="n">
        <v>46064</v>
      </c>
      <c r="B978" s="14" t="s">
        <v>69</v>
      </c>
      <c r="C978" s="14" t="s">
        <v>70</v>
      </c>
      <c r="D978" s="14" t="s">
        <v>71</v>
      </c>
      <c r="E978" s="14" t="s">
        <v>76</v>
      </c>
      <c r="F978" s="14" t="s">
        <v>79</v>
      </c>
      <c r="G978" s="14" t="s">
        <v>80</v>
      </c>
      <c r="H978" s="0" t="n">
        <v>6</v>
      </c>
      <c r="I978" s="16" t="n">
        <v>29.22</v>
      </c>
      <c r="J978" s="16" t="n">
        <v>11</v>
      </c>
      <c r="K978" s="16" t="n">
        <f aca="false">H978*I978</f>
        <v>175.32</v>
      </c>
      <c r="L978" s="16" t="n">
        <f aca="false">H978*J978</f>
        <v>66</v>
      </c>
      <c r="M978" s="16" t="n">
        <f aca="false">K978-L978</f>
        <v>109.32</v>
      </c>
      <c r="N978" s="17" t="n">
        <f aca="false">IFERROR(M978/K978,0)</f>
        <v>0.623545516769336</v>
      </c>
    </row>
    <row r="979" customFormat="false" ht="15" hidden="false" customHeight="false" outlineLevel="0" collapsed="false">
      <c r="A979" s="15" t="n">
        <v>46064</v>
      </c>
      <c r="B979" s="14" t="s">
        <v>69</v>
      </c>
      <c r="C979" s="14" t="s">
        <v>70</v>
      </c>
      <c r="D979" s="14" t="s">
        <v>71</v>
      </c>
      <c r="E979" s="14" t="s">
        <v>64</v>
      </c>
      <c r="F979" s="14" t="s">
        <v>96</v>
      </c>
      <c r="G979" s="14" t="s">
        <v>97</v>
      </c>
      <c r="H979" s="0" t="n">
        <v>2</v>
      </c>
      <c r="I979" s="16" t="n">
        <v>57.34</v>
      </c>
      <c r="J979" s="16" t="n">
        <v>24</v>
      </c>
      <c r="K979" s="16" t="n">
        <f aca="false">H979*I979</f>
        <v>114.68</v>
      </c>
      <c r="L979" s="16" t="n">
        <f aca="false">H979*J979</f>
        <v>48</v>
      </c>
      <c r="M979" s="16" t="n">
        <f aca="false">K979-L979</f>
        <v>66.68</v>
      </c>
      <c r="N979" s="17" t="n">
        <f aca="false">IFERROR(M979/K979,0)</f>
        <v>0.581444018137426</v>
      </c>
    </row>
    <row r="980" customFormat="false" ht="15" hidden="false" customHeight="false" outlineLevel="0" collapsed="false">
      <c r="A980" s="15" t="n">
        <v>46064</v>
      </c>
      <c r="B980" s="14" t="s">
        <v>69</v>
      </c>
      <c r="C980" s="14" t="s">
        <v>70</v>
      </c>
      <c r="D980" s="14" t="s">
        <v>71</v>
      </c>
      <c r="E980" s="14" t="s">
        <v>64</v>
      </c>
      <c r="F980" s="14" t="s">
        <v>65</v>
      </c>
      <c r="G980" s="14" t="s">
        <v>66</v>
      </c>
      <c r="H980" s="0" t="n">
        <v>3</v>
      </c>
      <c r="I980" s="16" t="n">
        <v>72.95</v>
      </c>
      <c r="J980" s="16" t="n">
        <v>34</v>
      </c>
      <c r="K980" s="16" t="n">
        <f aca="false">H980*I980</f>
        <v>218.85</v>
      </c>
      <c r="L980" s="16" t="n">
        <f aca="false">H980*J980</f>
        <v>102</v>
      </c>
      <c r="M980" s="16" t="n">
        <f aca="false">K980-L980</f>
        <v>116.85</v>
      </c>
      <c r="N980" s="17" t="n">
        <f aca="false">IFERROR(M980/K980,0)</f>
        <v>0.533927347498287</v>
      </c>
    </row>
    <row r="981" customFormat="false" ht="15" hidden="false" customHeight="false" outlineLevel="0" collapsed="false">
      <c r="A981" s="15" t="n">
        <v>46064</v>
      </c>
      <c r="B981" s="14" t="s">
        <v>69</v>
      </c>
      <c r="C981" s="14" t="s">
        <v>70</v>
      </c>
      <c r="D981" s="14" t="s">
        <v>71</v>
      </c>
      <c r="E981" s="14" t="s">
        <v>56</v>
      </c>
      <c r="F981" s="14" t="s">
        <v>86</v>
      </c>
      <c r="G981" s="14" t="s">
        <v>87</v>
      </c>
      <c r="H981" s="0" t="n">
        <v>3</v>
      </c>
      <c r="I981" s="16" t="n">
        <v>14.56</v>
      </c>
      <c r="J981" s="16" t="n">
        <v>5</v>
      </c>
      <c r="K981" s="16" t="n">
        <f aca="false">H981*I981</f>
        <v>43.68</v>
      </c>
      <c r="L981" s="16" t="n">
        <f aca="false">H981*J981</f>
        <v>15</v>
      </c>
      <c r="M981" s="16" t="n">
        <f aca="false">K981-L981</f>
        <v>28.68</v>
      </c>
      <c r="N981" s="17" t="n">
        <f aca="false">IFERROR(M981/K981,0)</f>
        <v>0.656593406593407</v>
      </c>
    </row>
    <row r="982" customFormat="false" ht="15" hidden="false" customHeight="false" outlineLevel="0" collapsed="false">
      <c r="A982" s="15" t="n">
        <v>46064</v>
      </c>
      <c r="B982" s="14" t="s">
        <v>69</v>
      </c>
      <c r="C982" s="14" t="s">
        <v>70</v>
      </c>
      <c r="D982" s="14" t="s">
        <v>71</v>
      </c>
      <c r="E982" s="14" t="s">
        <v>45</v>
      </c>
      <c r="F982" s="14" t="s">
        <v>62</v>
      </c>
      <c r="G982" s="14" t="s">
        <v>63</v>
      </c>
      <c r="H982" s="0" t="n">
        <v>1</v>
      </c>
      <c r="I982" s="16" t="n">
        <v>16.8</v>
      </c>
      <c r="J982" s="16" t="n">
        <v>6.5</v>
      </c>
      <c r="K982" s="16" t="n">
        <f aca="false">H982*I982</f>
        <v>16.8</v>
      </c>
      <c r="L982" s="16" t="n">
        <f aca="false">H982*J982</f>
        <v>6.5</v>
      </c>
      <c r="M982" s="16" t="n">
        <f aca="false">K982-L982</f>
        <v>10.3</v>
      </c>
      <c r="N982" s="17" t="n">
        <f aca="false">IFERROR(M982/K982,0)</f>
        <v>0.613095238095238</v>
      </c>
    </row>
    <row r="983" customFormat="false" ht="15" hidden="false" customHeight="false" outlineLevel="0" collapsed="false">
      <c r="A983" s="15" t="n">
        <v>46064</v>
      </c>
      <c r="B983" s="14" t="s">
        <v>81</v>
      </c>
      <c r="C983" s="14" t="s">
        <v>82</v>
      </c>
      <c r="D983" s="14" t="s">
        <v>83</v>
      </c>
      <c r="E983" s="14" t="s">
        <v>56</v>
      </c>
      <c r="F983" s="14" t="s">
        <v>57</v>
      </c>
      <c r="G983" s="14" t="s">
        <v>58</v>
      </c>
      <c r="H983" s="0" t="n">
        <v>1</v>
      </c>
      <c r="I983" s="16" t="n">
        <v>26.74</v>
      </c>
      <c r="J983" s="16" t="n">
        <v>10</v>
      </c>
      <c r="K983" s="16" t="n">
        <f aca="false">H983*I983</f>
        <v>26.74</v>
      </c>
      <c r="L983" s="16" t="n">
        <f aca="false">H983*J983</f>
        <v>10</v>
      </c>
      <c r="M983" s="16" t="n">
        <f aca="false">K983-L983</f>
        <v>16.74</v>
      </c>
      <c r="N983" s="17" t="n">
        <f aca="false">IFERROR(M983/K983,0)</f>
        <v>0.62602842183994</v>
      </c>
    </row>
    <row r="984" customFormat="false" ht="15" hidden="false" customHeight="false" outlineLevel="0" collapsed="false">
      <c r="A984" s="15" t="n">
        <v>46064</v>
      </c>
      <c r="B984" s="14" t="s">
        <v>81</v>
      </c>
      <c r="C984" s="14" t="s">
        <v>82</v>
      </c>
      <c r="D984" s="14" t="s">
        <v>83</v>
      </c>
      <c r="E984" s="14" t="s">
        <v>76</v>
      </c>
      <c r="F984" s="14" t="s">
        <v>79</v>
      </c>
      <c r="G984" s="14" t="s">
        <v>80</v>
      </c>
      <c r="H984" s="0" t="n">
        <v>3</v>
      </c>
      <c r="I984" s="16" t="n">
        <v>28.68</v>
      </c>
      <c r="J984" s="16" t="n">
        <v>11</v>
      </c>
      <c r="K984" s="16" t="n">
        <f aca="false">H984*I984</f>
        <v>86.04</v>
      </c>
      <c r="L984" s="16" t="n">
        <f aca="false">H984*J984</f>
        <v>33</v>
      </c>
      <c r="M984" s="16" t="n">
        <f aca="false">K984-L984</f>
        <v>53.04</v>
      </c>
      <c r="N984" s="17" t="n">
        <f aca="false">IFERROR(M984/K984,0)</f>
        <v>0.616457461645746</v>
      </c>
    </row>
    <row r="985" customFormat="false" ht="15" hidden="false" customHeight="false" outlineLevel="0" collapsed="false">
      <c r="A985" s="15" t="n">
        <v>46064</v>
      </c>
      <c r="B985" s="14" t="s">
        <v>81</v>
      </c>
      <c r="C985" s="14" t="s">
        <v>82</v>
      </c>
      <c r="D985" s="14" t="s">
        <v>83</v>
      </c>
      <c r="E985" s="14" t="s">
        <v>64</v>
      </c>
      <c r="F985" s="14" t="s">
        <v>90</v>
      </c>
      <c r="G985" s="14" t="s">
        <v>91</v>
      </c>
      <c r="H985" s="0" t="n">
        <v>2</v>
      </c>
      <c r="I985" s="16" t="n">
        <v>11.25</v>
      </c>
      <c r="J985" s="16" t="n">
        <v>3.5</v>
      </c>
      <c r="K985" s="16" t="n">
        <f aca="false">H985*I985</f>
        <v>22.5</v>
      </c>
      <c r="L985" s="16" t="n">
        <f aca="false">H985*J985</f>
        <v>7</v>
      </c>
      <c r="M985" s="16" t="n">
        <f aca="false">K985-L985</f>
        <v>15.5</v>
      </c>
      <c r="N985" s="17" t="n">
        <f aca="false">IFERROR(M985/K985,0)</f>
        <v>0.688888888888889</v>
      </c>
    </row>
    <row r="986" customFormat="false" ht="15" hidden="false" customHeight="false" outlineLevel="0" collapsed="false">
      <c r="A986" s="15" t="n">
        <v>46064</v>
      </c>
      <c r="B986" s="14" t="s">
        <v>88</v>
      </c>
      <c r="C986" s="14" t="s">
        <v>89</v>
      </c>
      <c r="D986" s="14" t="s">
        <v>44</v>
      </c>
      <c r="E986" s="14" t="s">
        <v>56</v>
      </c>
      <c r="F986" s="14" t="s">
        <v>86</v>
      </c>
      <c r="G986" s="14" t="s">
        <v>87</v>
      </c>
      <c r="H986" s="0" t="n">
        <v>3</v>
      </c>
      <c r="I986" s="16" t="n">
        <v>14.55</v>
      </c>
      <c r="J986" s="16" t="n">
        <v>5</v>
      </c>
      <c r="K986" s="16" t="n">
        <f aca="false">H986*I986</f>
        <v>43.65</v>
      </c>
      <c r="L986" s="16" t="n">
        <f aca="false">H986*J986</f>
        <v>15</v>
      </c>
      <c r="M986" s="16" t="n">
        <f aca="false">K986-L986</f>
        <v>28.65</v>
      </c>
      <c r="N986" s="17" t="n">
        <f aca="false">IFERROR(M986/K986,0)</f>
        <v>0.656357388316151</v>
      </c>
    </row>
    <row r="987" customFormat="false" ht="15" hidden="false" customHeight="false" outlineLevel="0" collapsed="false">
      <c r="A987" s="15" t="n">
        <v>46064</v>
      </c>
      <c r="B987" s="14" t="s">
        <v>88</v>
      </c>
      <c r="C987" s="14" t="s">
        <v>89</v>
      </c>
      <c r="D987" s="14" t="s">
        <v>44</v>
      </c>
      <c r="E987" s="14" t="s">
        <v>56</v>
      </c>
      <c r="F987" s="14" t="s">
        <v>67</v>
      </c>
      <c r="G987" s="14" t="s">
        <v>68</v>
      </c>
      <c r="H987" s="0" t="n">
        <v>3</v>
      </c>
      <c r="I987" s="16" t="n">
        <v>37.16</v>
      </c>
      <c r="J987" s="16" t="n">
        <v>15</v>
      </c>
      <c r="K987" s="16" t="n">
        <f aca="false">H987*I987</f>
        <v>111.48</v>
      </c>
      <c r="L987" s="16" t="n">
        <f aca="false">H987*J987</f>
        <v>45</v>
      </c>
      <c r="M987" s="16" t="n">
        <f aca="false">K987-L987</f>
        <v>66.48</v>
      </c>
      <c r="N987" s="17" t="n">
        <f aca="false">IFERROR(M987/K987,0)</f>
        <v>0.596340150699677</v>
      </c>
    </row>
    <row r="988" customFormat="false" ht="15" hidden="false" customHeight="false" outlineLevel="0" collapsed="false">
      <c r="A988" s="15" t="n">
        <v>46064</v>
      </c>
      <c r="B988" s="14" t="s">
        <v>88</v>
      </c>
      <c r="C988" s="14" t="s">
        <v>89</v>
      </c>
      <c r="D988" s="14" t="s">
        <v>44</v>
      </c>
      <c r="E988" s="14" t="s">
        <v>76</v>
      </c>
      <c r="F988" s="14" t="s">
        <v>100</v>
      </c>
      <c r="G988" s="14" t="s">
        <v>101</v>
      </c>
      <c r="H988" s="0" t="n">
        <v>2</v>
      </c>
      <c r="I988" s="16" t="n">
        <v>15.01</v>
      </c>
      <c r="J988" s="16" t="n">
        <v>5.5</v>
      </c>
      <c r="K988" s="16" t="n">
        <f aca="false">H988*I988</f>
        <v>30.02</v>
      </c>
      <c r="L988" s="16" t="n">
        <f aca="false">H988*J988</f>
        <v>11</v>
      </c>
      <c r="M988" s="16" t="n">
        <f aca="false">K988-L988</f>
        <v>19.02</v>
      </c>
      <c r="N988" s="17" t="n">
        <f aca="false">IFERROR(M988/K988,0)</f>
        <v>0.633577614923384</v>
      </c>
    </row>
    <row r="989" customFormat="false" ht="15" hidden="false" customHeight="false" outlineLevel="0" collapsed="false">
      <c r="A989" s="15" t="n">
        <v>46064</v>
      </c>
      <c r="B989" s="14" t="s">
        <v>88</v>
      </c>
      <c r="C989" s="14" t="s">
        <v>89</v>
      </c>
      <c r="D989" s="14" t="s">
        <v>44</v>
      </c>
      <c r="E989" s="14" t="s">
        <v>64</v>
      </c>
      <c r="F989" s="14" t="s">
        <v>96</v>
      </c>
      <c r="G989" s="14" t="s">
        <v>97</v>
      </c>
      <c r="H989" s="0" t="n">
        <v>2</v>
      </c>
      <c r="I989" s="16" t="n">
        <v>54.36</v>
      </c>
      <c r="J989" s="16" t="n">
        <v>24</v>
      </c>
      <c r="K989" s="16" t="n">
        <f aca="false">H989*I989</f>
        <v>108.72</v>
      </c>
      <c r="L989" s="16" t="n">
        <f aca="false">H989*J989</f>
        <v>48</v>
      </c>
      <c r="M989" s="16" t="n">
        <f aca="false">K989-L989</f>
        <v>60.72</v>
      </c>
      <c r="N989" s="17" t="n">
        <f aca="false">IFERROR(M989/K989,0)</f>
        <v>0.558498896247241</v>
      </c>
    </row>
    <row r="990" customFormat="false" ht="15" hidden="false" customHeight="false" outlineLevel="0" collapsed="false">
      <c r="A990" s="15" t="n">
        <v>46064</v>
      </c>
      <c r="B990" s="14" t="s">
        <v>88</v>
      </c>
      <c r="C990" s="14" t="s">
        <v>89</v>
      </c>
      <c r="D990" s="14" t="s">
        <v>44</v>
      </c>
      <c r="E990" s="14" t="s">
        <v>56</v>
      </c>
      <c r="F990" s="14" t="s">
        <v>57</v>
      </c>
      <c r="G990" s="14" t="s">
        <v>58</v>
      </c>
      <c r="H990" s="0" t="n">
        <v>3</v>
      </c>
      <c r="I990" s="16" t="n">
        <v>26.15</v>
      </c>
      <c r="J990" s="16" t="n">
        <v>10</v>
      </c>
      <c r="K990" s="16" t="n">
        <f aca="false">H990*I990</f>
        <v>78.45</v>
      </c>
      <c r="L990" s="16" t="n">
        <f aca="false">H990*J990</f>
        <v>30</v>
      </c>
      <c r="M990" s="16" t="n">
        <f aca="false">K990-L990</f>
        <v>48.45</v>
      </c>
      <c r="N990" s="17" t="n">
        <f aca="false">IFERROR(M990/K990,0)</f>
        <v>0.617590822179732</v>
      </c>
    </row>
    <row r="991" customFormat="false" ht="15" hidden="false" customHeight="false" outlineLevel="0" collapsed="false">
      <c r="A991" s="15" t="n">
        <v>46065</v>
      </c>
      <c r="B991" s="14" t="s">
        <v>42</v>
      </c>
      <c r="C991" s="14" t="s">
        <v>43</v>
      </c>
      <c r="D991" s="14" t="s">
        <v>44</v>
      </c>
      <c r="E991" s="14" t="s">
        <v>64</v>
      </c>
      <c r="F991" s="14" t="s">
        <v>65</v>
      </c>
      <c r="G991" s="14" t="s">
        <v>66</v>
      </c>
      <c r="H991" s="0" t="n">
        <v>2</v>
      </c>
      <c r="I991" s="16" t="n">
        <v>73.27</v>
      </c>
      <c r="J991" s="16" t="n">
        <v>34</v>
      </c>
      <c r="K991" s="16" t="n">
        <f aca="false">H991*I991</f>
        <v>146.54</v>
      </c>
      <c r="L991" s="16" t="n">
        <f aca="false">H991*J991</f>
        <v>68</v>
      </c>
      <c r="M991" s="16" t="n">
        <f aca="false">K991-L991</f>
        <v>78.54</v>
      </c>
      <c r="N991" s="17" t="n">
        <f aca="false">IFERROR(M991/K991,0)</f>
        <v>0.535962877030162</v>
      </c>
    </row>
    <row r="992" customFormat="false" ht="15" hidden="false" customHeight="false" outlineLevel="0" collapsed="false">
      <c r="A992" s="15" t="n">
        <v>46065</v>
      </c>
      <c r="B992" s="14" t="s">
        <v>42</v>
      </c>
      <c r="C992" s="14" t="s">
        <v>43</v>
      </c>
      <c r="D992" s="14" t="s">
        <v>44</v>
      </c>
      <c r="E992" s="14" t="s">
        <v>53</v>
      </c>
      <c r="F992" s="14" t="s">
        <v>74</v>
      </c>
      <c r="G992" s="14" t="s">
        <v>75</v>
      </c>
      <c r="H992" s="0" t="n">
        <v>8</v>
      </c>
      <c r="I992" s="16" t="n">
        <v>85.6</v>
      </c>
      <c r="J992" s="16" t="n">
        <v>38</v>
      </c>
      <c r="K992" s="16" t="n">
        <f aca="false">H992*I992</f>
        <v>684.8</v>
      </c>
      <c r="L992" s="16" t="n">
        <f aca="false">H992*J992</f>
        <v>304</v>
      </c>
      <c r="M992" s="16" t="n">
        <f aca="false">K992-L992</f>
        <v>380.8</v>
      </c>
      <c r="N992" s="17" t="n">
        <f aca="false">IFERROR(M992/K992,0)</f>
        <v>0.55607476635514</v>
      </c>
    </row>
    <row r="993" customFormat="false" ht="15" hidden="false" customHeight="false" outlineLevel="0" collapsed="false">
      <c r="A993" s="15" t="n">
        <v>46065</v>
      </c>
      <c r="B993" s="14" t="s">
        <v>42</v>
      </c>
      <c r="C993" s="14" t="s">
        <v>43</v>
      </c>
      <c r="D993" s="14" t="s">
        <v>44</v>
      </c>
      <c r="E993" s="14" t="s">
        <v>76</v>
      </c>
      <c r="F993" s="14" t="s">
        <v>79</v>
      </c>
      <c r="G993" s="14" t="s">
        <v>80</v>
      </c>
      <c r="H993" s="0" t="n">
        <v>8</v>
      </c>
      <c r="I993" s="16" t="n">
        <v>28.15</v>
      </c>
      <c r="J993" s="16" t="n">
        <v>11</v>
      </c>
      <c r="K993" s="16" t="n">
        <f aca="false">H993*I993</f>
        <v>225.2</v>
      </c>
      <c r="L993" s="16" t="n">
        <f aca="false">H993*J993</f>
        <v>88</v>
      </c>
      <c r="M993" s="16" t="n">
        <f aca="false">K993-L993</f>
        <v>137.2</v>
      </c>
      <c r="N993" s="17" t="n">
        <f aca="false">IFERROR(M993/K993,0)</f>
        <v>0.609236234458259</v>
      </c>
    </row>
    <row r="994" customFormat="false" ht="15" hidden="false" customHeight="false" outlineLevel="0" collapsed="false">
      <c r="A994" s="15" t="n">
        <v>46065</v>
      </c>
      <c r="B994" s="14" t="s">
        <v>50</v>
      </c>
      <c r="C994" s="14" t="s">
        <v>51</v>
      </c>
      <c r="D994" s="14" t="s">
        <v>52</v>
      </c>
      <c r="E994" s="14" t="s">
        <v>64</v>
      </c>
      <c r="F994" s="14" t="s">
        <v>94</v>
      </c>
      <c r="G994" s="14" t="s">
        <v>95</v>
      </c>
      <c r="H994" s="0" t="n">
        <v>2</v>
      </c>
      <c r="I994" s="16" t="n">
        <v>94.45</v>
      </c>
      <c r="J994" s="16" t="n">
        <v>42</v>
      </c>
      <c r="K994" s="16" t="n">
        <f aca="false">H994*I994</f>
        <v>188.9</v>
      </c>
      <c r="L994" s="16" t="n">
        <f aca="false">H994*J994</f>
        <v>84</v>
      </c>
      <c r="M994" s="16" t="n">
        <f aca="false">K994-L994</f>
        <v>104.9</v>
      </c>
      <c r="N994" s="17" t="n">
        <f aca="false">IFERROR(M994/K994,0)</f>
        <v>0.555320275277925</v>
      </c>
    </row>
    <row r="995" customFormat="false" ht="15" hidden="false" customHeight="false" outlineLevel="0" collapsed="false">
      <c r="A995" s="15" t="n">
        <v>46065</v>
      </c>
      <c r="B995" s="14" t="s">
        <v>50</v>
      </c>
      <c r="C995" s="14" t="s">
        <v>51</v>
      </c>
      <c r="D995" s="14" t="s">
        <v>52</v>
      </c>
      <c r="E995" s="14" t="s">
        <v>76</v>
      </c>
      <c r="F995" s="14" t="s">
        <v>100</v>
      </c>
      <c r="G995" s="14" t="s">
        <v>101</v>
      </c>
      <c r="H995" s="0" t="n">
        <v>4</v>
      </c>
      <c r="I995" s="16" t="n">
        <v>15.88</v>
      </c>
      <c r="J995" s="16" t="n">
        <v>5.5</v>
      </c>
      <c r="K995" s="16" t="n">
        <f aca="false">H995*I995</f>
        <v>63.52</v>
      </c>
      <c r="L995" s="16" t="n">
        <f aca="false">H995*J995</f>
        <v>22</v>
      </c>
      <c r="M995" s="16" t="n">
        <f aca="false">K995-L995</f>
        <v>41.52</v>
      </c>
      <c r="N995" s="17" t="n">
        <f aca="false">IFERROR(M995/K995,0)</f>
        <v>0.653652392947103</v>
      </c>
    </row>
    <row r="996" customFormat="false" ht="15" hidden="false" customHeight="false" outlineLevel="0" collapsed="false">
      <c r="A996" s="15" t="n">
        <v>46065</v>
      </c>
      <c r="B996" s="14" t="s">
        <v>50</v>
      </c>
      <c r="C996" s="14" t="s">
        <v>51</v>
      </c>
      <c r="D996" s="14" t="s">
        <v>52</v>
      </c>
      <c r="E996" s="14" t="s">
        <v>45</v>
      </c>
      <c r="F996" s="14" t="s">
        <v>46</v>
      </c>
      <c r="G996" s="14" t="s">
        <v>47</v>
      </c>
      <c r="H996" s="0" t="n">
        <v>7</v>
      </c>
      <c r="I996" s="16" t="n">
        <v>42.33</v>
      </c>
      <c r="J996" s="16" t="n">
        <v>18</v>
      </c>
      <c r="K996" s="16" t="n">
        <f aca="false">H996*I996</f>
        <v>296.31</v>
      </c>
      <c r="L996" s="16" t="n">
        <f aca="false">H996*J996</f>
        <v>126</v>
      </c>
      <c r="M996" s="16" t="n">
        <f aca="false">K996-L996</f>
        <v>170.31</v>
      </c>
      <c r="N996" s="17" t="n">
        <f aca="false">IFERROR(M996/K996,0)</f>
        <v>0.574769666902906</v>
      </c>
    </row>
    <row r="997" customFormat="false" ht="15" hidden="false" customHeight="false" outlineLevel="0" collapsed="false">
      <c r="A997" s="15" t="n">
        <v>46065</v>
      </c>
      <c r="B997" s="14" t="s">
        <v>50</v>
      </c>
      <c r="C997" s="14" t="s">
        <v>51</v>
      </c>
      <c r="D997" s="14" t="s">
        <v>52</v>
      </c>
      <c r="E997" s="14" t="s">
        <v>45</v>
      </c>
      <c r="F997" s="14" t="s">
        <v>48</v>
      </c>
      <c r="G997" s="14" t="s">
        <v>49</v>
      </c>
      <c r="H997" s="0" t="n">
        <v>2</v>
      </c>
      <c r="I997" s="16" t="n">
        <v>65.39</v>
      </c>
      <c r="J997" s="16" t="n">
        <v>27.5</v>
      </c>
      <c r="K997" s="16" t="n">
        <f aca="false">H997*I997</f>
        <v>130.78</v>
      </c>
      <c r="L997" s="16" t="n">
        <f aca="false">H997*J997</f>
        <v>55</v>
      </c>
      <c r="M997" s="16" t="n">
        <f aca="false">K997-L997</f>
        <v>75.78</v>
      </c>
      <c r="N997" s="17" t="n">
        <f aca="false">IFERROR(M997/K997,0)</f>
        <v>0.579446398531886</v>
      </c>
    </row>
    <row r="998" customFormat="false" ht="15" hidden="false" customHeight="false" outlineLevel="0" collapsed="false">
      <c r="A998" s="15" t="n">
        <v>46065</v>
      </c>
      <c r="B998" s="14" t="s">
        <v>50</v>
      </c>
      <c r="C998" s="14" t="s">
        <v>51</v>
      </c>
      <c r="D998" s="14" t="s">
        <v>52</v>
      </c>
      <c r="E998" s="14" t="s">
        <v>64</v>
      </c>
      <c r="F998" s="14" t="s">
        <v>96</v>
      </c>
      <c r="G998" s="14" t="s">
        <v>97</v>
      </c>
      <c r="H998" s="0" t="n">
        <v>6</v>
      </c>
      <c r="I998" s="16" t="n">
        <v>56.21</v>
      </c>
      <c r="J998" s="16" t="n">
        <v>24</v>
      </c>
      <c r="K998" s="16" t="n">
        <f aca="false">H998*I998</f>
        <v>337.26</v>
      </c>
      <c r="L998" s="16" t="n">
        <f aca="false">H998*J998</f>
        <v>144</v>
      </c>
      <c r="M998" s="16" t="n">
        <f aca="false">K998-L998</f>
        <v>193.26</v>
      </c>
      <c r="N998" s="17" t="n">
        <f aca="false">IFERROR(M998/K998,0)</f>
        <v>0.573029710016011</v>
      </c>
    </row>
    <row r="999" customFormat="false" ht="15" hidden="false" customHeight="false" outlineLevel="0" collapsed="false">
      <c r="A999" s="15" t="n">
        <v>46065</v>
      </c>
      <c r="B999" s="14" t="s">
        <v>59</v>
      </c>
      <c r="C999" s="14" t="s">
        <v>60</v>
      </c>
      <c r="D999" s="14" t="s">
        <v>61</v>
      </c>
      <c r="E999" s="14" t="s">
        <v>53</v>
      </c>
      <c r="F999" s="14" t="s">
        <v>84</v>
      </c>
      <c r="G999" s="14" t="s">
        <v>85</v>
      </c>
      <c r="H999" s="0" t="n">
        <v>4</v>
      </c>
      <c r="I999" s="16" t="n">
        <v>23.52</v>
      </c>
      <c r="J999" s="16" t="n">
        <v>9</v>
      </c>
      <c r="K999" s="16" t="n">
        <f aca="false">H999*I999</f>
        <v>94.08</v>
      </c>
      <c r="L999" s="16" t="n">
        <f aca="false">H999*J999</f>
        <v>36</v>
      </c>
      <c r="M999" s="16" t="n">
        <f aca="false">K999-L999</f>
        <v>58.08</v>
      </c>
      <c r="N999" s="17" t="n">
        <f aca="false">IFERROR(M999/K999,0)</f>
        <v>0.61734693877551</v>
      </c>
    </row>
    <row r="1000" customFormat="false" ht="15" hidden="false" customHeight="false" outlineLevel="0" collapsed="false">
      <c r="A1000" s="15" t="n">
        <v>46065</v>
      </c>
      <c r="B1000" s="14" t="s">
        <v>59</v>
      </c>
      <c r="C1000" s="14" t="s">
        <v>60</v>
      </c>
      <c r="D1000" s="14" t="s">
        <v>61</v>
      </c>
      <c r="E1000" s="14" t="s">
        <v>56</v>
      </c>
      <c r="F1000" s="14" t="s">
        <v>57</v>
      </c>
      <c r="G1000" s="14" t="s">
        <v>58</v>
      </c>
      <c r="H1000" s="0" t="n">
        <v>5</v>
      </c>
      <c r="I1000" s="16" t="n">
        <v>26.16</v>
      </c>
      <c r="J1000" s="16" t="n">
        <v>10</v>
      </c>
      <c r="K1000" s="16" t="n">
        <f aca="false">H1000*I1000</f>
        <v>130.8</v>
      </c>
      <c r="L1000" s="16" t="n">
        <f aca="false">H1000*J1000</f>
        <v>50</v>
      </c>
      <c r="M1000" s="16" t="n">
        <f aca="false">K1000-L1000</f>
        <v>80.8</v>
      </c>
      <c r="N1000" s="17" t="n">
        <f aca="false">IFERROR(M1000/K1000,0)</f>
        <v>0.617737003058104</v>
      </c>
    </row>
    <row r="1001" customFormat="false" ht="15" hidden="false" customHeight="false" outlineLevel="0" collapsed="false">
      <c r="A1001" s="15" t="n">
        <v>46065</v>
      </c>
      <c r="B1001" s="14" t="s">
        <v>69</v>
      </c>
      <c r="C1001" s="14" t="s">
        <v>70</v>
      </c>
      <c r="D1001" s="14" t="s">
        <v>71</v>
      </c>
      <c r="E1001" s="14" t="s">
        <v>53</v>
      </c>
      <c r="F1001" s="14" t="s">
        <v>84</v>
      </c>
      <c r="G1001" s="14" t="s">
        <v>85</v>
      </c>
      <c r="H1001" s="0" t="n">
        <v>6</v>
      </c>
      <c r="I1001" s="16" t="n">
        <v>23.36</v>
      </c>
      <c r="J1001" s="16" t="n">
        <v>9</v>
      </c>
      <c r="K1001" s="16" t="n">
        <f aca="false">H1001*I1001</f>
        <v>140.16</v>
      </c>
      <c r="L1001" s="16" t="n">
        <f aca="false">H1001*J1001</f>
        <v>54</v>
      </c>
      <c r="M1001" s="16" t="n">
        <f aca="false">K1001-L1001</f>
        <v>86.16</v>
      </c>
      <c r="N1001" s="17" t="n">
        <f aca="false">IFERROR(M1001/K1001,0)</f>
        <v>0.61472602739726</v>
      </c>
    </row>
    <row r="1002" customFormat="false" ht="15" hidden="false" customHeight="false" outlineLevel="0" collapsed="false">
      <c r="A1002" s="15" t="n">
        <v>46065</v>
      </c>
      <c r="B1002" s="14" t="s">
        <v>69</v>
      </c>
      <c r="C1002" s="14" t="s">
        <v>70</v>
      </c>
      <c r="D1002" s="14" t="s">
        <v>71</v>
      </c>
      <c r="E1002" s="14" t="s">
        <v>56</v>
      </c>
      <c r="F1002" s="14" t="s">
        <v>57</v>
      </c>
      <c r="G1002" s="14" t="s">
        <v>58</v>
      </c>
      <c r="H1002" s="0" t="n">
        <v>4</v>
      </c>
      <c r="I1002" s="16" t="n">
        <v>26.98</v>
      </c>
      <c r="J1002" s="16" t="n">
        <v>10</v>
      </c>
      <c r="K1002" s="16" t="n">
        <f aca="false">H1002*I1002</f>
        <v>107.92</v>
      </c>
      <c r="L1002" s="16" t="n">
        <f aca="false">H1002*J1002</f>
        <v>40</v>
      </c>
      <c r="M1002" s="16" t="n">
        <f aca="false">K1002-L1002</f>
        <v>67.92</v>
      </c>
      <c r="N1002" s="17" t="n">
        <f aca="false">IFERROR(M1002/K1002,0)</f>
        <v>0.629355077835434</v>
      </c>
    </row>
    <row r="1003" customFormat="false" ht="15" hidden="false" customHeight="false" outlineLevel="0" collapsed="false">
      <c r="A1003" s="15" t="n">
        <v>46065</v>
      </c>
      <c r="B1003" s="14" t="s">
        <v>69</v>
      </c>
      <c r="C1003" s="14" t="s">
        <v>70</v>
      </c>
      <c r="D1003" s="14" t="s">
        <v>71</v>
      </c>
      <c r="E1003" s="14" t="s">
        <v>56</v>
      </c>
      <c r="F1003" s="14" t="s">
        <v>67</v>
      </c>
      <c r="G1003" s="14" t="s">
        <v>68</v>
      </c>
      <c r="H1003" s="0" t="n">
        <v>6</v>
      </c>
      <c r="I1003" s="16" t="n">
        <v>37.2</v>
      </c>
      <c r="J1003" s="16" t="n">
        <v>15</v>
      </c>
      <c r="K1003" s="16" t="n">
        <f aca="false">H1003*I1003</f>
        <v>223.2</v>
      </c>
      <c r="L1003" s="16" t="n">
        <f aca="false">H1003*J1003</f>
        <v>90</v>
      </c>
      <c r="M1003" s="16" t="n">
        <f aca="false">K1003-L1003</f>
        <v>133.2</v>
      </c>
      <c r="N1003" s="17" t="n">
        <f aca="false">IFERROR(M1003/K1003,0)</f>
        <v>0.596774193548387</v>
      </c>
    </row>
    <row r="1004" customFormat="false" ht="15" hidden="false" customHeight="false" outlineLevel="0" collapsed="false">
      <c r="A1004" s="15" t="n">
        <v>46065</v>
      </c>
      <c r="B1004" s="14" t="s">
        <v>69</v>
      </c>
      <c r="C1004" s="14" t="s">
        <v>70</v>
      </c>
      <c r="D1004" s="14" t="s">
        <v>71</v>
      </c>
      <c r="E1004" s="14" t="s">
        <v>45</v>
      </c>
      <c r="F1004" s="14" t="s">
        <v>62</v>
      </c>
      <c r="G1004" s="14" t="s">
        <v>63</v>
      </c>
      <c r="H1004" s="0" t="n">
        <v>6</v>
      </c>
      <c r="I1004" s="16" t="n">
        <v>17.69</v>
      </c>
      <c r="J1004" s="16" t="n">
        <v>6.5</v>
      </c>
      <c r="K1004" s="16" t="n">
        <f aca="false">H1004*I1004</f>
        <v>106.14</v>
      </c>
      <c r="L1004" s="16" t="n">
        <f aca="false">H1004*J1004</f>
        <v>39</v>
      </c>
      <c r="M1004" s="16" t="n">
        <f aca="false">K1004-L1004</f>
        <v>67.14</v>
      </c>
      <c r="N1004" s="17" t="n">
        <f aca="false">IFERROR(M1004/K1004,0)</f>
        <v>0.63256076879593</v>
      </c>
    </row>
    <row r="1005" customFormat="false" ht="15" hidden="false" customHeight="false" outlineLevel="0" collapsed="false">
      <c r="A1005" s="15" t="n">
        <v>46065</v>
      </c>
      <c r="B1005" s="14" t="s">
        <v>69</v>
      </c>
      <c r="C1005" s="14" t="s">
        <v>70</v>
      </c>
      <c r="D1005" s="14" t="s">
        <v>71</v>
      </c>
      <c r="E1005" s="14" t="s">
        <v>53</v>
      </c>
      <c r="F1005" s="14" t="s">
        <v>74</v>
      </c>
      <c r="G1005" s="14" t="s">
        <v>75</v>
      </c>
      <c r="H1005" s="0" t="n">
        <v>3</v>
      </c>
      <c r="I1005" s="16" t="n">
        <v>85.5</v>
      </c>
      <c r="J1005" s="16" t="n">
        <v>38</v>
      </c>
      <c r="K1005" s="16" t="n">
        <f aca="false">H1005*I1005</f>
        <v>256.5</v>
      </c>
      <c r="L1005" s="16" t="n">
        <f aca="false">H1005*J1005</f>
        <v>114</v>
      </c>
      <c r="M1005" s="16" t="n">
        <f aca="false">K1005-L1005</f>
        <v>142.5</v>
      </c>
      <c r="N1005" s="17" t="n">
        <f aca="false">IFERROR(M1005/K1005,0)</f>
        <v>0.555555555555556</v>
      </c>
    </row>
    <row r="1006" customFormat="false" ht="15" hidden="false" customHeight="false" outlineLevel="0" collapsed="false">
      <c r="A1006" s="15" t="n">
        <v>46065</v>
      </c>
      <c r="B1006" s="14" t="s">
        <v>81</v>
      </c>
      <c r="C1006" s="14" t="s">
        <v>82</v>
      </c>
      <c r="D1006" s="14" t="s">
        <v>83</v>
      </c>
      <c r="E1006" s="14" t="s">
        <v>56</v>
      </c>
      <c r="F1006" s="14" t="s">
        <v>98</v>
      </c>
      <c r="G1006" s="14" t="s">
        <v>99</v>
      </c>
      <c r="H1006" s="0" t="n">
        <v>2</v>
      </c>
      <c r="I1006" s="16" t="n">
        <v>20.92</v>
      </c>
      <c r="J1006" s="16" t="n">
        <v>8</v>
      </c>
      <c r="K1006" s="16" t="n">
        <f aca="false">H1006*I1006</f>
        <v>41.84</v>
      </c>
      <c r="L1006" s="16" t="n">
        <f aca="false">H1006*J1006</f>
        <v>16</v>
      </c>
      <c r="M1006" s="16" t="n">
        <f aca="false">K1006-L1006</f>
        <v>25.84</v>
      </c>
      <c r="N1006" s="17" t="n">
        <f aca="false">IFERROR(M1006/K1006,0)</f>
        <v>0.617590822179732</v>
      </c>
    </row>
    <row r="1007" customFormat="false" ht="15" hidden="false" customHeight="false" outlineLevel="0" collapsed="false">
      <c r="A1007" s="15" t="n">
        <v>46065</v>
      </c>
      <c r="B1007" s="14" t="s">
        <v>81</v>
      </c>
      <c r="C1007" s="14" t="s">
        <v>82</v>
      </c>
      <c r="D1007" s="14" t="s">
        <v>83</v>
      </c>
      <c r="E1007" s="14" t="s">
        <v>45</v>
      </c>
      <c r="F1007" s="14" t="s">
        <v>48</v>
      </c>
      <c r="G1007" s="14" t="s">
        <v>49</v>
      </c>
      <c r="H1007" s="0" t="n">
        <v>2</v>
      </c>
      <c r="I1007" s="16" t="n">
        <v>65.13</v>
      </c>
      <c r="J1007" s="16" t="n">
        <v>27.5</v>
      </c>
      <c r="K1007" s="16" t="n">
        <f aca="false">H1007*I1007</f>
        <v>130.26</v>
      </c>
      <c r="L1007" s="16" t="n">
        <f aca="false">H1007*J1007</f>
        <v>55</v>
      </c>
      <c r="M1007" s="16" t="n">
        <f aca="false">K1007-L1007</f>
        <v>75.26</v>
      </c>
      <c r="N1007" s="17" t="n">
        <f aca="false">IFERROR(M1007/K1007,0)</f>
        <v>0.577767541839398</v>
      </c>
    </row>
    <row r="1008" customFormat="false" ht="15" hidden="false" customHeight="false" outlineLevel="0" collapsed="false">
      <c r="A1008" s="15" t="n">
        <v>46065</v>
      </c>
      <c r="B1008" s="14" t="s">
        <v>81</v>
      </c>
      <c r="C1008" s="14" t="s">
        <v>82</v>
      </c>
      <c r="D1008" s="14" t="s">
        <v>83</v>
      </c>
      <c r="E1008" s="14" t="s">
        <v>56</v>
      </c>
      <c r="F1008" s="14" t="s">
        <v>57</v>
      </c>
      <c r="G1008" s="14" t="s">
        <v>58</v>
      </c>
      <c r="H1008" s="0" t="n">
        <v>2</v>
      </c>
      <c r="I1008" s="16" t="n">
        <v>24.98</v>
      </c>
      <c r="J1008" s="16" t="n">
        <v>10</v>
      </c>
      <c r="K1008" s="16" t="n">
        <f aca="false">H1008*I1008</f>
        <v>49.96</v>
      </c>
      <c r="L1008" s="16" t="n">
        <f aca="false">H1008*J1008</f>
        <v>20</v>
      </c>
      <c r="M1008" s="16" t="n">
        <f aca="false">K1008-L1008</f>
        <v>29.96</v>
      </c>
      <c r="N1008" s="17" t="n">
        <f aca="false">IFERROR(M1008/K1008,0)</f>
        <v>0.599679743795036</v>
      </c>
    </row>
    <row r="1009" customFormat="false" ht="15" hidden="false" customHeight="false" outlineLevel="0" collapsed="false">
      <c r="A1009" s="15" t="n">
        <v>46065</v>
      </c>
      <c r="B1009" s="14" t="s">
        <v>81</v>
      </c>
      <c r="C1009" s="14" t="s">
        <v>82</v>
      </c>
      <c r="D1009" s="14" t="s">
        <v>83</v>
      </c>
      <c r="E1009" s="14" t="s">
        <v>53</v>
      </c>
      <c r="F1009" s="14" t="s">
        <v>92</v>
      </c>
      <c r="G1009" s="14" t="s">
        <v>93</v>
      </c>
      <c r="H1009" s="0" t="n">
        <v>1</v>
      </c>
      <c r="I1009" s="16" t="n">
        <v>116.25</v>
      </c>
      <c r="J1009" s="16" t="n">
        <v>52</v>
      </c>
      <c r="K1009" s="16" t="n">
        <f aca="false">H1009*I1009</f>
        <v>116.25</v>
      </c>
      <c r="L1009" s="16" t="n">
        <f aca="false">H1009*J1009</f>
        <v>52</v>
      </c>
      <c r="M1009" s="16" t="n">
        <f aca="false">K1009-L1009</f>
        <v>64.25</v>
      </c>
      <c r="N1009" s="17" t="n">
        <f aca="false">IFERROR(M1009/K1009,0)</f>
        <v>0.552688172043011</v>
      </c>
    </row>
    <row r="1010" customFormat="false" ht="15" hidden="false" customHeight="false" outlineLevel="0" collapsed="false">
      <c r="A1010" s="15" t="n">
        <v>46065</v>
      </c>
      <c r="B1010" s="14" t="s">
        <v>88</v>
      </c>
      <c r="C1010" s="14" t="s">
        <v>89</v>
      </c>
      <c r="D1010" s="14" t="s">
        <v>44</v>
      </c>
      <c r="E1010" s="14" t="s">
        <v>64</v>
      </c>
      <c r="F1010" s="14" t="s">
        <v>94</v>
      </c>
      <c r="G1010" s="14" t="s">
        <v>95</v>
      </c>
      <c r="H1010" s="0" t="n">
        <v>1</v>
      </c>
      <c r="I1010" s="16" t="n">
        <v>98.57</v>
      </c>
      <c r="J1010" s="16" t="n">
        <v>42</v>
      </c>
      <c r="K1010" s="16" t="n">
        <f aca="false">H1010*I1010</f>
        <v>98.57</v>
      </c>
      <c r="L1010" s="16" t="n">
        <f aca="false">H1010*J1010</f>
        <v>42</v>
      </c>
      <c r="M1010" s="16" t="n">
        <f aca="false">K1010-L1010</f>
        <v>56.57</v>
      </c>
      <c r="N1010" s="17" t="n">
        <f aca="false">IFERROR(M1010/K1010,0)</f>
        <v>0.573906868215481</v>
      </c>
    </row>
    <row r="1011" customFormat="false" ht="15" hidden="false" customHeight="false" outlineLevel="0" collapsed="false">
      <c r="A1011" s="15" t="n">
        <v>46065</v>
      </c>
      <c r="B1011" s="14" t="s">
        <v>88</v>
      </c>
      <c r="C1011" s="14" t="s">
        <v>89</v>
      </c>
      <c r="D1011" s="14" t="s">
        <v>44</v>
      </c>
      <c r="E1011" s="14" t="s">
        <v>53</v>
      </c>
      <c r="F1011" s="14" t="s">
        <v>84</v>
      </c>
      <c r="G1011" s="14" t="s">
        <v>85</v>
      </c>
      <c r="H1011" s="0" t="n">
        <v>7</v>
      </c>
      <c r="I1011" s="16" t="n">
        <v>23.02</v>
      </c>
      <c r="J1011" s="16" t="n">
        <v>9</v>
      </c>
      <c r="K1011" s="16" t="n">
        <f aca="false">H1011*I1011</f>
        <v>161.14</v>
      </c>
      <c r="L1011" s="16" t="n">
        <f aca="false">H1011*J1011</f>
        <v>63</v>
      </c>
      <c r="M1011" s="16" t="n">
        <f aca="false">K1011-L1011</f>
        <v>98.14</v>
      </c>
      <c r="N1011" s="17" t="n">
        <f aca="false">IFERROR(M1011/K1011,0)</f>
        <v>0.609035621198957</v>
      </c>
    </row>
    <row r="1012" customFormat="false" ht="15" hidden="false" customHeight="false" outlineLevel="0" collapsed="false">
      <c r="A1012" s="15" t="n">
        <v>46065</v>
      </c>
      <c r="B1012" s="14" t="s">
        <v>88</v>
      </c>
      <c r="C1012" s="14" t="s">
        <v>89</v>
      </c>
      <c r="D1012" s="14" t="s">
        <v>44</v>
      </c>
      <c r="E1012" s="14" t="s">
        <v>56</v>
      </c>
      <c r="F1012" s="14" t="s">
        <v>67</v>
      </c>
      <c r="G1012" s="14" t="s">
        <v>68</v>
      </c>
      <c r="H1012" s="0" t="n">
        <v>4</v>
      </c>
      <c r="I1012" s="16" t="n">
        <v>35.06</v>
      </c>
      <c r="J1012" s="16" t="n">
        <v>15</v>
      </c>
      <c r="K1012" s="16" t="n">
        <f aca="false">H1012*I1012</f>
        <v>140.24</v>
      </c>
      <c r="L1012" s="16" t="n">
        <f aca="false">H1012*J1012</f>
        <v>60</v>
      </c>
      <c r="M1012" s="16" t="n">
        <f aca="false">K1012-L1012</f>
        <v>80.24</v>
      </c>
      <c r="N1012" s="17" t="n">
        <f aca="false">IFERROR(M1012/K1012,0)</f>
        <v>0.572162007986309</v>
      </c>
    </row>
    <row r="1013" customFormat="false" ht="15" hidden="false" customHeight="false" outlineLevel="0" collapsed="false">
      <c r="A1013" s="15" t="n">
        <v>46065</v>
      </c>
      <c r="B1013" s="14" t="s">
        <v>88</v>
      </c>
      <c r="C1013" s="14" t="s">
        <v>89</v>
      </c>
      <c r="D1013" s="14" t="s">
        <v>44</v>
      </c>
      <c r="E1013" s="14" t="s">
        <v>56</v>
      </c>
      <c r="F1013" s="14" t="s">
        <v>86</v>
      </c>
      <c r="G1013" s="14" t="s">
        <v>87</v>
      </c>
      <c r="H1013" s="0" t="n">
        <v>3</v>
      </c>
      <c r="I1013" s="16" t="n">
        <v>14.61</v>
      </c>
      <c r="J1013" s="16" t="n">
        <v>5</v>
      </c>
      <c r="K1013" s="16" t="n">
        <f aca="false">H1013*I1013</f>
        <v>43.83</v>
      </c>
      <c r="L1013" s="16" t="n">
        <f aca="false">H1013*J1013</f>
        <v>15</v>
      </c>
      <c r="M1013" s="16" t="n">
        <f aca="false">K1013-L1013</f>
        <v>28.83</v>
      </c>
      <c r="N1013" s="17" t="n">
        <f aca="false">IFERROR(M1013/K1013,0)</f>
        <v>0.657768651608487</v>
      </c>
    </row>
    <row r="1014" customFormat="false" ht="15" hidden="false" customHeight="false" outlineLevel="0" collapsed="false">
      <c r="A1014" s="15" t="n">
        <v>46065</v>
      </c>
      <c r="B1014" s="14" t="s">
        <v>88</v>
      </c>
      <c r="C1014" s="14" t="s">
        <v>89</v>
      </c>
      <c r="D1014" s="14" t="s">
        <v>44</v>
      </c>
      <c r="E1014" s="14" t="s">
        <v>76</v>
      </c>
      <c r="F1014" s="14" t="s">
        <v>77</v>
      </c>
      <c r="G1014" s="14" t="s">
        <v>78</v>
      </c>
      <c r="H1014" s="0" t="n">
        <v>1</v>
      </c>
      <c r="I1014" s="16" t="n">
        <v>41.92</v>
      </c>
      <c r="J1014" s="16" t="n">
        <v>15</v>
      </c>
      <c r="K1014" s="16" t="n">
        <f aca="false">H1014*I1014</f>
        <v>41.92</v>
      </c>
      <c r="L1014" s="16" t="n">
        <f aca="false">H1014*J1014</f>
        <v>15</v>
      </c>
      <c r="M1014" s="16" t="n">
        <f aca="false">K1014-L1014</f>
        <v>26.92</v>
      </c>
      <c r="N1014" s="17" t="n">
        <f aca="false">IFERROR(M1014/K1014,0)</f>
        <v>0.642175572519084</v>
      </c>
    </row>
    <row r="1015" customFormat="false" ht="15" hidden="false" customHeight="false" outlineLevel="0" collapsed="false">
      <c r="A1015" s="15" t="n">
        <v>46066</v>
      </c>
      <c r="B1015" s="14" t="s">
        <v>42</v>
      </c>
      <c r="C1015" s="14" t="s">
        <v>43</v>
      </c>
      <c r="D1015" s="14" t="s">
        <v>44</v>
      </c>
      <c r="E1015" s="14" t="s">
        <v>76</v>
      </c>
      <c r="F1015" s="14" t="s">
        <v>100</v>
      </c>
      <c r="G1015" s="14" t="s">
        <v>101</v>
      </c>
      <c r="H1015" s="0" t="n">
        <v>7</v>
      </c>
      <c r="I1015" s="16" t="n">
        <v>15.58</v>
      </c>
      <c r="J1015" s="16" t="n">
        <v>5.5</v>
      </c>
      <c r="K1015" s="16" t="n">
        <f aca="false">H1015*I1015</f>
        <v>109.06</v>
      </c>
      <c r="L1015" s="16" t="n">
        <f aca="false">H1015*J1015</f>
        <v>38.5</v>
      </c>
      <c r="M1015" s="16" t="n">
        <f aca="false">K1015-L1015</f>
        <v>70.56</v>
      </c>
      <c r="N1015" s="17" t="n">
        <f aca="false">IFERROR(M1015/K1015,0)</f>
        <v>0.646983311938383</v>
      </c>
    </row>
    <row r="1016" customFormat="false" ht="15" hidden="false" customHeight="false" outlineLevel="0" collapsed="false">
      <c r="A1016" s="15" t="n">
        <v>46066</v>
      </c>
      <c r="B1016" s="14" t="s">
        <v>42</v>
      </c>
      <c r="C1016" s="14" t="s">
        <v>43</v>
      </c>
      <c r="D1016" s="14" t="s">
        <v>44</v>
      </c>
      <c r="E1016" s="14" t="s">
        <v>64</v>
      </c>
      <c r="F1016" s="14" t="s">
        <v>96</v>
      </c>
      <c r="G1016" s="14" t="s">
        <v>97</v>
      </c>
      <c r="H1016" s="0" t="n">
        <v>1</v>
      </c>
      <c r="I1016" s="16" t="n">
        <v>57.76</v>
      </c>
      <c r="J1016" s="16" t="n">
        <v>24</v>
      </c>
      <c r="K1016" s="16" t="n">
        <f aca="false">H1016*I1016</f>
        <v>57.76</v>
      </c>
      <c r="L1016" s="16" t="n">
        <f aca="false">H1016*J1016</f>
        <v>24</v>
      </c>
      <c r="M1016" s="16" t="n">
        <f aca="false">K1016-L1016</f>
        <v>33.76</v>
      </c>
      <c r="N1016" s="17" t="n">
        <f aca="false">IFERROR(M1016/K1016,0)</f>
        <v>0.584487534626039</v>
      </c>
    </row>
    <row r="1017" customFormat="false" ht="15" hidden="false" customHeight="false" outlineLevel="0" collapsed="false">
      <c r="A1017" s="15" t="n">
        <v>46066</v>
      </c>
      <c r="B1017" s="14" t="s">
        <v>50</v>
      </c>
      <c r="C1017" s="14" t="s">
        <v>51</v>
      </c>
      <c r="D1017" s="14" t="s">
        <v>52</v>
      </c>
      <c r="E1017" s="14" t="s">
        <v>45</v>
      </c>
      <c r="F1017" s="14" t="s">
        <v>46</v>
      </c>
      <c r="G1017" s="14" t="s">
        <v>47</v>
      </c>
      <c r="H1017" s="0" t="n">
        <v>6</v>
      </c>
      <c r="I1017" s="16" t="n">
        <v>42.65</v>
      </c>
      <c r="J1017" s="16" t="n">
        <v>18</v>
      </c>
      <c r="K1017" s="16" t="n">
        <f aca="false">H1017*I1017</f>
        <v>255.9</v>
      </c>
      <c r="L1017" s="16" t="n">
        <f aca="false">H1017*J1017</f>
        <v>108</v>
      </c>
      <c r="M1017" s="16" t="n">
        <f aca="false">K1017-L1017</f>
        <v>147.9</v>
      </c>
      <c r="N1017" s="17" t="n">
        <f aca="false">IFERROR(M1017/K1017,0)</f>
        <v>0.577960140679953</v>
      </c>
    </row>
    <row r="1018" customFormat="false" ht="15" hidden="false" customHeight="false" outlineLevel="0" collapsed="false">
      <c r="A1018" s="15" t="n">
        <v>46066</v>
      </c>
      <c r="B1018" s="14" t="s">
        <v>50</v>
      </c>
      <c r="C1018" s="14" t="s">
        <v>51</v>
      </c>
      <c r="D1018" s="14" t="s">
        <v>52</v>
      </c>
      <c r="E1018" s="14" t="s">
        <v>76</v>
      </c>
      <c r="F1018" s="14" t="s">
        <v>77</v>
      </c>
      <c r="G1018" s="14" t="s">
        <v>78</v>
      </c>
      <c r="H1018" s="0" t="n">
        <v>4</v>
      </c>
      <c r="I1018" s="16" t="n">
        <v>40.17</v>
      </c>
      <c r="J1018" s="16" t="n">
        <v>15</v>
      </c>
      <c r="K1018" s="16" t="n">
        <f aca="false">H1018*I1018</f>
        <v>160.68</v>
      </c>
      <c r="L1018" s="16" t="n">
        <f aca="false">H1018*J1018</f>
        <v>60</v>
      </c>
      <c r="M1018" s="16" t="n">
        <f aca="false">K1018-L1018</f>
        <v>100.68</v>
      </c>
      <c r="N1018" s="17" t="n">
        <f aca="false">IFERROR(M1018/K1018,0)</f>
        <v>0.626587005227782</v>
      </c>
    </row>
    <row r="1019" customFormat="false" ht="15" hidden="false" customHeight="false" outlineLevel="0" collapsed="false">
      <c r="A1019" s="15" t="n">
        <v>46066</v>
      </c>
      <c r="B1019" s="14" t="s">
        <v>59</v>
      </c>
      <c r="C1019" s="14" t="s">
        <v>60</v>
      </c>
      <c r="D1019" s="14" t="s">
        <v>61</v>
      </c>
      <c r="E1019" s="14" t="s">
        <v>56</v>
      </c>
      <c r="F1019" s="14" t="s">
        <v>98</v>
      </c>
      <c r="G1019" s="14" t="s">
        <v>99</v>
      </c>
      <c r="H1019" s="0" t="n">
        <v>4</v>
      </c>
      <c r="I1019" s="16" t="n">
        <v>20.55</v>
      </c>
      <c r="J1019" s="16" t="n">
        <v>8</v>
      </c>
      <c r="K1019" s="16" t="n">
        <f aca="false">H1019*I1019</f>
        <v>82.2</v>
      </c>
      <c r="L1019" s="16" t="n">
        <f aca="false">H1019*J1019</f>
        <v>32</v>
      </c>
      <c r="M1019" s="16" t="n">
        <f aca="false">K1019-L1019</f>
        <v>50.2</v>
      </c>
      <c r="N1019" s="17" t="n">
        <f aca="false">IFERROR(M1019/K1019,0)</f>
        <v>0.610705596107056</v>
      </c>
    </row>
    <row r="1020" customFormat="false" ht="15" hidden="false" customHeight="false" outlineLevel="0" collapsed="false">
      <c r="A1020" s="15" t="n">
        <v>46066</v>
      </c>
      <c r="B1020" s="14" t="s">
        <v>59</v>
      </c>
      <c r="C1020" s="14" t="s">
        <v>60</v>
      </c>
      <c r="D1020" s="14" t="s">
        <v>61</v>
      </c>
      <c r="E1020" s="14" t="s">
        <v>56</v>
      </c>
      <c r="F1020" s="14" t="s">
        <v>98</v>
      </c>
      <c r="G1020" s="14" t="s">
        <v>99</v>
      </c>
      <c r="H1020" s="0" t="n">
        <v>2</v>
      </c>
      <c r="I1020" s="16" t="n">
        <v>21.13</v>
      </c>
      <c r="J1020" s="16" t="n">
        <v>8</v>
      </c>
      <c r="K1020" s="16" t="n">
        <f aca="false">H1020*I1020</f>
        <v>42.26</v>
      </c>
      <c r="L1020" s="16" t="n">
        <f aca="false">H1020*J1020</f>
        <v>16</v>
      </c>
      <c r="M1020" s="16" t="n">
        <f aca="false">K1020-L1020</f>
        <v>26.26</v>
      </c>
      <c r="N1020" s="17" t="n">
        <f aca="false">IFERROR(M1020/K1020,0)</f>
        <v>0.621391386654046</v>
      </c>
    </row>
    <row r="1021" customFormat="false" ht="15" hidden="false" customHeight="false" outlineLevel="0" collapsed="false">
      <c r="A1021" s="15" t="n">
        <v>46066</v>
      </c>
      <c r="B1021" s="14" t="s">
        <v>59</v>
      </c>
      <c r="C1021" s="14" t="s">
        <v>60</v>
      </c>
      <c r="D1021" s="14" t="s">
        <v>61</v>
      </c>
      <c r="E1021" s="14" t="s">
        <v>76</v>
      </c>
      <c r="F1021" s="14" t="s">
        <v>79</v>
      </c>
      <c r="G1021" s="14" t="s">
        <v>80</v>
      </c>
      <c r="H1021" s="0" t="n">
        <v>4</v>
      </c>
      <c r="I1021" s="16" t="n">
        <v>29.7</v>
      </c>
      <c r="J1021" s="16" t="n">
        <v>11</v>
      </c>
      <c r="K1021" s="16" t="n">
        <f aca="false">H1021*I1021</f>
        <v>118.8</v>
      </c>
      <c r="L1021" s="16" t="n">
        <f aca="false">H1021*J1021</f>
        <v>44</v>
      </c>
      <c r="M1021" s="16" t="n">
        <f aca="false">K1021-L1021</f>
        <v>74.8</v>
      </c>
      <c r="N1021" s="17" t="n">
        <f aca="false">IFERROR(M1021/K1021,0)</f>
        <v>0.62962962962963</v>
      </c>
    </row>
    <row r="1022" customFormat="false" ht="15" hidden="false" customHeight="false" outlineLevel="0" collapsed="false">
      <c r="A1022" s="15" t="n">
        <v>46066</v>
      </c>
      <c r="B1022" s="14" t="s">
        <v>59</v>
      </c>
      <c r="C1022" s="14" t="s">
        <v>60</v>
      </c>
      <c r="D1022" s="14" t="s">
        <v>61</v>
      </c>
      <c r="E1022" s="14" t="s">
        <v>56</v>
      </c>
      <c r="F1022" s="14" t="s">
        <v>67</v>
      </c>
      <c r="G1022" s="14" t="s">
        <v>68</v>
      </c>
      <c r="H1022" s="0" t="n">
        <v>7</v>
      </c>
      <c r="I1022" s="16" t="n">
        <v>37.9</v>
      </c>
      <c r="J1022" s="16" t="n">
        <v>15</v>
      </c>
      <c r="K1022" s="16" t="n">
        <f aca="false">H1022*I1022</f>
        <v>265.3</v>
      </c>
      <c r="L1022" s="16" t="n">
        <f aca="false">H1022*J1022</f>
        <v>105</v>
      </c>
      <c r="M1022" s="16" t="n">
        <f aca="false">K1022-L1022</f>
        <v>160.3</v>
      </c>
      <c r="N1022" s="17" t="n">
        <f aca="false">IFERROR(M1022/K1022,0)</f>
        <v>0.604221635883905</v>
      </c>
    </row>
    <row r="1023" customFormat="false" ht="15" hidden="false" customHeight="false" outlineLevel="0" collapsed="false">
      <c r="A1023" s="15" t="n">
        <v>46066</v>
      </c>
      <c r="B1023" s="14" t="s">
        <v>59</v>
      </c>
      <c r="C1023" s="14" t="s">
        <v>60</v>
      </c>
      <c r="D1023" s="14" t="s">
        <v>61</v>
      </c>
      <c r="E1023" s="14" t="s">
        <v>56</v>
      </c>
      <c r="F1023" s="14" t="s">
        <v>57</v>
      </c>
      <c r="G1023" s="14" t="s">
        <v>58</v>
      </c>
      <c r="H1023" s="0" t="n">
        <v>4</v>
      </c>
      <c r="I1023" s="16" t="n">
        <v>26.48</v>
      </c>
      <c r="J1023" s="16" t="n">
        <v>10</v>
      </c>
      <c r="K1023" s="16" t="n">
        <f aca="false">H1023*I1023</f>
        <v>105.92</v>
      </c>
      <c r="L1023" s="16" t="n">
        <f aca="false">H1023*J1023</f>
        <v>40</v>
      </c>
      <c r="M1023" s="16" t="n">
        <f aca="false">K1023-L1023</f>
        <v>65.92</v>
      </c>
      <c r="N1023" s="17" t="n">
        <f aca="false">IFERROR(M1023/K1023,0)</f>
        <v>0.622356495468278</v>
      </c>
    </row>
    <row r="1024" customFormat="false" ht="15" hidden="false" customHeight="false" outlineLevel="0" collapsed="false">
      <c r="A1024" s="15" t="n">
        <v>46066</v>
      </c>
      <c r="B1024" s="14" t="s">
        <v>69</v>
      </c>
      <c r="C1024" s="14" t="s">
        <v>70</v>
      </c>
      <c r="D1024" s="14" t="s">
        <v>71</v>
      </c>
      <c r="E1024" s="14" t="s">
        <v>64</v>
      </c>
      <c r="F1024" s="14" t="s">
        <v>65</v>
      </c>
      <c r="G1024" s="14" t="s">
        <v>66</v>
      </c>
      <c r="H1024" s="0" t="n">
        <v>5</v>
      </c>
      <c r="I1024" s="16" t="n">
        <v>73.41</v>
      </c>
      <c r="J1024" s="16" t="n">
        <v>34</v>
      </c>
      <c r="K1024" s="16" t="n">
        <f aca="false">H1024*I1024</f>
        <v>367.05</v>
      </c>
      <c r="L1024" s="16" t="n">
        <f aca="false">H1024*J1024</f>
        <v>170</v>
      </c>
      <c r="M1024" s="16" t="n">
        <f aca="false">K1024-L1024</f>
        <v>197.05</v>
      </c>
      <c r="N1024" s="17" t="n">
        <f aca="false">IFERROR(M1024/K1024,0)</f>
        <v>0.536847840893611</v>
      </c>
    </row>
    <row r="1025" customFormat="false" ht="15" hidden="false" customHeight="false" outlineLevel="0" collapsed="false">
      <c r="A1025" s="15" t="n">
        <v>46066</v>
      </c>
      <c r="B1025" s="14" t="s">
        <v>69</v>
      </c>
      <c r="C1025" s="14" t="s">
        <v>70</v>
      </c>
      <c r="D1025" s="14" t="s">
        <v>71</v>
      </c>
      <c r="E1025" s="14" t="s">
        <v>45</v>
      </c>
      <c r="F1025" s="14" t="s">
        <v>72</v>
      </c>
      <c r="G1025" s="14" t="s">
        <v>73</v>
      </c>
      <c r="H1025" s="0" t="n">
        <v>3</v>
      </c>
      <c r="I1025" s="16" t="n">
        <v>50.66</v>
      </c>
      <c r="J1025" s="16" t="n">
        <v>21</v>
      </c>
      <c r="K1025" s="16" t="n">
        <f aca="false">H1025*I1025</f>
        <v>151.98</v>
      </c>
      <c r="L1025" s="16" t="n">
        <f aca="false">H1025*J1025</f>
        <v>63</v>
      </c>
      <c r="M1025" s="16" t="n">
        <f aca="false">K1025-L1025</f>
        <v>88.98</v>
      </c>
      <c r="N1025" s="17" t="n">
        <f aca="false">IFERROR(M1025/K1025,0)</f>
        <v>0.585471772601658</v>
      </c>
    </row>
    <row r="1026" customFormat="false" ht="15" hidden="false" customHeight="false" outlineLevel="0" collapsed="false">
      <c r="A1026" s="15" t="n">
        <v>46066</v>
      </c>
      <c r="B1026" s="14" t="s">
        <v>69</v>
      </c>
      <c r="C1026" s="14" t="s">
        <v>70</v>
      </c>
      <c r="D1026" s="14" t="s">
        <v>71</v>
      </c>
      <c r="E1026" s="14" t="s">
        <v>53</v>
      </c>
      <c r="F1026" s="14" t="s">
        <v>92</v>
      </c>
      <c r="G1026" s="14" t="s">
        <v>93</v>
      </c>
      <c r="H1026" s="0" t="n">
        <v>5</v>
      </c>
      <c r="I1026" s="16" t="n">
        <v>119.57</v>
      </c>
      <c r="J1026" s="16" t="n">
        <v>52</v>
      </c>
      <c r="K1026" s="16" t="n">
        <f aca="false">H1026*I1026</f>
        <v>597.85</v>
      </c>
      <c r="L1026" s="16" t="n">
        <f aca="false">H1026*J1026</f>
        <v>260</v>
      </c>
      <c r="M1026" s="16" t="n">
        <f aca="false">K1026-L1026</f>
        <v>337.85</v>
      </c>
      <c r="N1026" s="17" t="n">
        <f aca="false">IFERROR(M1026/K1026,0)</f>
        <v>0.565108304758719</v>
      </c>
    </row>
    <row r="1027" customFormat="false" ht="15" hidden="false" customHeight="false" outlineLevel="0" collapsed="false">
      <c r="A1027" s="15" t="n">
        <v>46066</v>
      </c>
      <c r="B1027" s="14" t="s">
        <v>69</v>
      </c>
      <c r="C1027" s="14" t="s">
        <v>70</v>
      </c>
      <c r="D1027" s="14" t="s">
        <v>71</v>
      </c>
      <c r="E1027" s="14" t="s">
        <v>56</v>
      </c>
      <c r="F1027" s="14" t="s">
        <v>98</v>
      </c>
      <c r="G1027" s="14" t="s">
        <v>99</v>
      </c>
      <c r="H1027" s="0" t="n">
        <v>4</v>
      </c>
      <c r="I1027" s="16" t="n">
        <v>20.68</v>
      </c>
      <c r="J1027" s="16" t="n">
        <v>8</v>
      </c>
      <c r="K1027" s="16" t="n">
        <f aca="false">H1027*I1027</f>
        <v>82.72</v>
      </c>
      <c r="L1027" s="16" t="n">
        <f aca="false">H1027*J1027</f>
        <v>32</v>
      </c>
      <c r="M1027" s="16" t="n">
        <f aca="false">K1027-L1027</f>
        <v>50.72</v>
      </c>
      <c r="N1027" s="17" t="n">
        <f aca="false">IFERROR(M1027/K1027,0)</f>
        <v>0.613152804642166</v>
      </c>
    </row>
    <row r="1028" customFormat="false" ht="15" hidden="false" customHeight="false" outlineLevel="0" collapsed="false">
      <c r="A1028" s="15" t="n">
        <v>46066</v>
      </c>
      <c r="B1028" s="14" t="s">
        <v>69</v>
      </c>
      <c r="C1028" s="14" t="s">
        <v>70</v>
      </c>
      <c r="D1028" s="14" t="s">
        <v>71</v>
      </c>
      <c r="E1028" s="14" t="s">
        <v>45</v>
      </c>
      <c r="F1028" s="14" t="s">
        <v>72</v>
      </c>
      <c r="G1028" s="14" t="s">
        <v>73</v>
      </c>
      <c r="H1028" s="0" t="n">
        <v>5</v>
      </c>
      <c r="I1028" s="16" t="n">
        <v>48.16</v>
      </c>
      <c r="J1028" s="16" t="n">
        <v>21</v>
      </c>
      <c r="K1028" s="16" t="n">
        <f aca="false">H1028*I1028</f>
        <v>240.8</v>
      </c>
      <c r="L1028" s="16" t="n">
        <f aca="false">H1028*J1028</f>
        <v>105</v>
      </c>
      <c r="M1028" s="16" t="n">
        <f aca="false">K1028-L1028</f>
        <v>135.8</v>
      </c>
      <c r="N1028" s="17" t="n">
        <f aca="false">IFERROR(M1028/K1028,0)</f>
        <v>0.563953488372093</v>
      </c>
    </row>
    <row r="1029" customFormat="false" ht="15" hidden="false" customHeight="false" outlineLevel="0" collapsed="false">
      <c r="A1029" s="15" t="n">
        <v>46066</v>
      </c>
      <c r="B1029" s="14" t="s">
        <v>81</v>
      </c>
      <c r="C1029" s="14" t="s">
        <v>82</v>
      </c>
      <c r="D1029" s="14" t="s">
        <v>83</v>
      </c>
      <c r="E1029" s="14" t="s">
        <v>64</v>
      </c>
      <c r="F1029" s="14" t="s">
        <v>94</v>
      </c>
      <c r="G1029" s="14" t="s">
        <v>95</v>
      </c>
      <c r="H1029" s="0" t="n">
        <v>4</v>
      </c>
      <c r="I1029" s="16" t="n">
        <v>92.81</v>
      </c>
      <c r="J1029" s="16" t="n">
        <v>42</v>
      </c>
      <c r="K1029" s="16" t="n">
        <f aca="false">H1029*I1029</f>
        <v>371.24</v>
      </c>
      <c r="L1029" s="16" t="n">
        <f aca="false">H1029*J1029</f>
        <v>168</v>
      </c>
      <c r="M1029" s="16" t="n">
        <f aca="false">K1029-L1029</f>
        <v>203.24</v>
      </c>
      <c r="N1029" s="17" t="n">
        <f aca="false">IFERROR(M1029/K1029,0)</f>
        <v>0.547462557914018</v>
      </c>
    </row>
    <row r="1030" customFormat="false" ht="15" hidden="false" customHeight="false" outlineLevel="0" collapsed="false">
      <c r="A1030" s="15" t="n">
        <v>46066</v>
      </c>
      <c r="B1030" s="14" t="s">
        <v>81</v>
      </c>
      <c r="C1030" s="14" t="s">
        <v>82</v>
      </c>
      <c r="D1030" s="14" t="s">
        <v>83</v>
      </c>
      <c r="E1030" s="14" t="s">
        <v>56</v>
      </c>
      <c r="F1030" s="14" t="s">
        <v>67</v>
      </c>
      <c r="G1030" s="14" t="s">
        <v>68</v>
      </c>
      <c r="H1030" s="0" t="n">
        <v>2</v>
      </c>
      <c r="I1030" s="16" t="n">
        <v>37.84</v>
      </c>
      <c r="J1030" s="16" t="n">
        <v>15</v>
      </c>
      <c r="K1030" s="16" t="n">
        <f aca="false">H1030*I1030</f>
        <v>75.68</v>
      </c>
      <c r="L1030" s="16" t="n">
        <f aca="false">H1030*J1030</f>
        <v>30</v>
      </c>
      <c r="M1030" s="16" t="n">
        <f aca="false">K1030-L1030</f>
        <v>45.68</v>
      </c>
      <c r="N1030" s="17" t="n">
        <f aca="false">IFERROR(M1030/K1030,0)</f>
        <v>0.603594080338266</v>
      </c>
    </row>
    <row r="1031" customFormat="false" ht="15" hidden="false" customHeight="false" outlineLevel="0" collapsed="false">
      <c r="A1031" s="15" t="n">
        <v>46066</v>
      </c>
      <c r="B1031" s="14" t="s">
        <v>81</v>
      </c>
      <c r="C1031" s="14" t="s">
        <v>82</v>
      </c>
      <c r="D1031" s="14" t="s">
        <v>83</v>
      </c>
      <c r="E1031" s="14" t="s">
        <v>53</v>
      </c>
      <c r="F1031" s="14" t="s">
        <v>84</v>
      </c>
      <c r="G1031" s="14" t="s">
        <v>85</v>
      </c>
      <c r="H1031" s="0" t="n">
        <v>3</v>
      </c>
      <c r="I1031" s="16" t="n">
        <v>23.47</v>
      </c>
      <c r="J1031" s="16" t="n">
        <v>9</v>
      </c>
      <c r="K1031" s="16" t="n">
        <f aca="false">H1031*I1031</f>
        <v>70.41</v>
      </c>
      <c r="L1031" s="16" t="n">
        <f aca="false">H1031*J1031</f>
        <v>27</v>
      </c>
      <c r="M1031" s="16" t="n">
        <f aca="false">K1031-L1031</f>
        <v>43.41</v>
      </c>
      <c r="N1031" s="17" t="n">
        <f aca="false">IFERROR(M1031/K1031,0)</f>
        <v>0.616531742650192</v>
      </c>
    </row>
    <row r="1032" customFormat="false" ht="15" hidden="false" customHeight="false" outlineLevel="0" collapsed="false">
      <c r="A1032" s="15" t="n">
        <v>46066</v>
      </c>
      <c r="B1032" s="14" t="s">
        <v>88</v>
      </c>
      <c r="C1032" s="14" t="s">
        <v>89</v>
      </c>
      <c r="D1032" s="14" t="s">
        <v>44</v>
      </c>
      <c r="E1032" s="14" t="s">
        <v>76</v>
      </c>
      <c r="F1032" s="14" t="s">
        <v>77</v>
      </c>
      <c r="G1032" s="14" t="s">
        <v>78</v>
      </c>
      <c r="H1032" s="0" t="n">
        <v>4</v>
      </c>
      <c r="I1032" s="16" t="n">
        <v>39.32</v>
      </c>
      <c r="J1032" s="16" t="n">
        <v>15</v>
      </c>
      <c r="K1032" s="16" t="n">
        <f aca="false">H1032*I1032</f>
        <v>157.28</v>
      </c>
      <c r="L1032" s="16" t="n">
        <f aca="false">H1032*J1032</f>
        <v>60</v>
      </c>
      <c r="M1032" s="16" t="n">
        <f aca="false">K1032-L1032</f>
        <v>97.28</v>
      </c>
      <c r="N1032" s="17" t="n">
        <f aca="false">IFERROR(M1032/K1032,0)</f>
        <v>0.618514750762971</v>
      </c>
    </row>
    <row r="1033" customFormat="false" ht="15" hidden="false" customHeight="false" outlineLevel="0" collapsed="false">
      <c r="A1033" s="15" t="n">
        <v>46066</v>
      </c>
      <c r="B1033" s="14" t="s">
        <v>88</v>
      </c>
      <c r="C1033" s="14" t="s">
        <v>89</v>
      </c>
      <c r="D1033" s="14" t="s">
        <v>44</v>
      </c>
      <c r="E1033" s="14" t="s">
        <v>53</v>
      </c>
      <c r="F1033" s="14" t="s">
        <v>92</v>
      </c>
      <c r="G1033" s="14" t="s">
        <v>93</v>
      </c>
      <c r="H1033" s="0" t="n">
        <v>3</v>
      </c>
      <c r="I1033" s="16" t="n">
        <v>117.88</v>
      </c>
      <c r="J1033" s="16" t="n">
        <v>52</v>
      </c>
      <c r="K1033" s="16" t="n">
        <f aca="false">H1033*I1033</f>
        <v>353.64</v>
      </c>
      <c r="L1033" s="16" t="n">
        <f aca="false">H1033*J1033</f>
        <v>156</v>
      </c>
      <c r="M1033" s="16" t="n">
        <f aca="false">K1033-L1033</f>
        <v>197.64</v>
      </c>
      <c r="N1033" s="17" t="n">
        <f aca="false">IFERROR(M1033/K1033,0)</f>
        <v>0.558873430607397</v>
      </c>
    </row>
    <row r="1034" customFormat="false" ht="15" hidden="false" customHeight="false" outlineLevel="0" collapsed="false">
      <c r="A1034" s="15" t="n">
        <v>46066</v>
      </c>
      <c r="B1034" s="14" t="s">
        <v>88</v>
      </c>
      <c r="C1034" s="14" t="s">
        <v>89</v>
      </c>
      <c r="D1034" s="14" t="s">
        <v>44</v>
      </c>
      <c r="E1034" s="14" t="s">
        <v>45</v>
      </c>
      <c r="F1034" s="14" t="s">
        <v>48</v>
      </c>
      <c r="G1034" s="14" t="s">
        <v>49</v>
      </c>
      <c r="H1034" s="0" t="n">
        <v>8</v>
      </c>
      <c r="I1034" s="16" t="n">
        <v>65.9</v>
      </c>
      <c r="J1034" s="16" t="n">
        <v>27.5</v>
      </c>
      <c r="K1034" s="16" t="n">
        <f aca="false">H1034*I1034</f>
        <v>527.2</v>
      </c>
      <c r="L1034" s="16" t="n">
        <f aca="false">H1034*J1034</f>
        <v>220</v>
      </c>
      <c r="M1034" s="16" t="n">
        <f aca="false">K1034-L1034</f>
        <v>307.2</v>
      </c>
      <c r="N1034" s="17" t="n">
        <f aca="false">IFERROR(M1034/K1034,0)</f>
        <v>0.582701062215478</v>
      </c>
    </row>
    <row r="1035" customFormat="false" ht="15" hidden="false" customHeight="false" outlineLevel="0" collapsed="false">
      <c r="A1035" s="15" t="n">
        <v>46067</v>
      </c>
      <c r="B1035" s="14" t="s">
        <v>42</v>
      </c>
      <c r="C1035" s="14" t="s">
        <v>43</v>
      </c>
      <c r="D1035" s="14" t="s">
        <v>44</v>
      </c>
      <c r="E1035" s="14" t="s">
        <v>45</v>
      </c>
      <c r="F1035" s="14" t="s">
        <v>72</v>
      </c>
      <c r="G1035" s="14" t="s">
        <v>73</v>
      </c>
      <c r="H1035" s="0" t="n">
        <v>9</v>
      </c>
      <c r="I1035" s="16" t="n">
        <v>50.42</v>
      </c>
      <c r="J1035" s="16" t="n">
        <v>21</v>
      </c>
      <c r="K1035" s="16" t="n">
        <f aca="false">H1035*I1035</f>
        <v>453.78</v>
      </c>
      <c r="L1035" s="16" t="n">
        <f aca="false">H1035*J1035</f>
        <v>189</v>
      </c>
      <c r="M1035" s="16" t="n">
        <f aca="false">K1035-L1035</f>
        <v>264.78</v>
      </c>
      <c r="N1035" s="17" t="n">
        <f aca="false">IFERROR(M1035/K1035,0)</f>
        <v>0.583498611662039</v>
      </c>
    </row>
    <row r="1036" customFormat="false" ht="15" hidden="false" customHeight="false" outlineLevel="0" collapsed="false">
      <c r="A1036" s="15" t="n">
        <v>46067</v>
      </c>
      <c r="B1036" s="14" t="s">
        <v>42</v>
      </c>
      <c r="C1036" s="14" t="s">
        <v>43</v>
      </c>
      <c r="D1036" s="14" t="s">
        <v>44</v>
      </c>
      <c r="E1036" s="14" t="s">
        <v>64</v>
      </c>
      <c r="F1036" s="14" t="s">
        <v>94</v>
      </c>
      <c r="G1036" s="14" t="s">
        <v>95</v>
      </c>
      <c r="H1036" s="0" t="n">
        <v>10</v>
      </c>
      <c r="I1036" s="16" t="n">
        <v>92.53</v>
      </c>
      <c r="J1036" s="16" t="n">
        <v>42</v>
      </c>
      <c r="K1036" s="16" t="n">
        <f aca="false">H1036*I1036</f>
        <v>925.3</v>
      </c>
      <c r="L1036" s="16" t="n">
        <f aca="false">H1036*J1036</f>
        <v>420</v>
      </c>
      <c r="M1036" s="16" t="n">
        <f aca="false">K1036-L1036</f>
        <v>505.3</v>
      </c>
      <c r="N1036" s="17" t="n">
        <f aca="false">IFERROR(M1036/K1036,0)</f>
        <v>0.546093158975467</v>
      </c>
    </row>
    <row r="1037" customFormat="false" ht="15" hidden="false" customHeight="false" outlineLevel="0" collapsed="false">
      <c r="A1037" s="15" t="n">
        <v>46067</v>
      </c>
      <c r="B1037" s="14" t="s">
        <v>42</v>
      </c>
      <c r="C1037" s="14" t="s">
        <v>43</v>
      </c>
      <c r="D1037" s="14" t="s">
        <v>44</v>
      </c>
      <c r="E1037" s="14" t="s">
        <v>56</v>
      </c>
      <c r="F1037" s="14" t="s">
        <v>67</v>
      </c>
      <c r="G1037" s="14" t="s">
        <v>68</v>
      </c>
      <c r="H1037" s="0" t="n">
        <v>11</v>
      </c>
      <c r="I1037" s="16" t="n">
        <v>35.64</v>
      </c>
      <c r="J1037" s="16" t="n">
        <v>15</v>
      </c>
      <c r="K1037" s="16" t="n">
        <f aca="false">H1037*I1037</f>
        <v>392.04</v>
      </c>
      <c r="L1037" s="16" t="n">
        <f aca="false">H1037*J1037</f>
        <v>165</v>
      </c>
      <c r="M1037" s="16" t="n">
        <f aca="false">K1037-L1037</f>
        <v>227.04</v>
      </c>
      <c r="N1037" s="17" t="n">
        <f aca="false">IFERROR(M1037/K1037,0)</f>
        <v>0.579124579124579</v>
      </c>
    </row>
    <row r="1038" customFormat="false" ht="15" hidden="false" customHeight="false" outlineLevel="0" collapsed="false">
      <c r="A1038" s="15" t="n">
        <v>46067</v>
      </c>
      <c r="B1038" s="14" t="s">
        <v>42</v>
      </c>
      <c r="C1038" s="14" t="s">
        <v>43</v>
      </c>
      <c r="D1038" s="14" t="s">
        <v>44</v>
      </c>
      <c r="E1038" s="14" t="s">
        <v>56</v>
      </c>
      <c r="F1038" s="14" t="s">
        <v>86</v>
      </c>
      <c r="G1038" s="14" t="s">
        <v>87</v>
      </c>
      <c r="H1038" s="0" t="n">
        <v>2</v>
      </c>
      <c r="I1038" s="16" t="n">
        <v>14.43</v>
      </c>
      <c r="J1038" s="16" t="n">
        <v>5</v>
      </c>
      <c r="K1038" s="16" t="n">
        <f aca="false">H1038*I1038</f>
        <v>28.86</v>
      </c>
      <c r="L1038" s="16" t="n">
        <f aca="false">H1038*J1038</f>
        <v>10</v>
      </c>
      <c r="M1038" s="16" t="n">
        <f aca="false">K1038-L1038</f>
        <v>18.86</v>
      </c>
      <c r="N1038" s="17" t="n">
        <f aca="false">IFERROR(M1038/K1038,0)</f>
        <v>0.653499653499653</v>
      </c>
    </row>
    <row r="1039" customFormat="false" ht="15" hidden="false" customHeight="false" outlineLevel="0" collapsed="false">
      <c r="A1039" s="15" t="n">
        <v>46067</v>
      </c>
      <c r="B1039" s="14" t="s">
        <v>42</v>
      </c>
      <c r="C1039" s="14" t="s">
        <v>43</v>
      </c>
      <c r="D1039" s="14" t="s">
        <v>44</v>
      </c>
      <c r="E1039" s="14" t="s">
        <v>64</v>
      </c>
      <c r="F1039" s="14" t="s">
        <v>90</v>
      </c>
      <c r="G1039" s="14" t="s">
        <v>91</v>
      </c>
      <c r="H1039" s="0" t="n">
        <v>1</v>
      </c>
      <c r="I1039" s="16" t="n">
        <v>11.52</v>
      </c>
      <c r="J1039" s="16" t="n">
        <v>3.5</v>
      </c>
      <c r="K1039" s="16" t="n">
        <f aca="false">H1039*I1039</f>
        <v>11.52</v>
      </c>
      <c r="L1039" s="16" t="n">
        <f aca="false">H1039*J1039</f>
        <v>3.5</v>
      </c>
      <c r="M1039" s="16" t="n">
        <f aca="false">K1039-L1039</f>
        <v>8.02</v>
      </c>
      <c r="N1039" s="17" t="n">
        <f aca="false">IFERROR(M1039/K1039,0)</f>
        <v>0.696180555555556</v>
      </c>
    </row>
    <row r="1040" customFormat="false" ht="15" hidden="false" customHeight="false" outlineLevel="0" collapsed="false">
      <c r="A1040" s="15" t="n">
        <v>46067</v>
      </c>
      <c r="B1040" s="14" t="s">
        <v>42</v>
      </c>
      <c r="C1040" s="14" t="s">
        <v>43</v>
      </c>
      <c r="D1040" s="14" t="s">
        <v>44</v>
      </c>
      <c r="E1040" s="14" t="s">
        <v>64</v>
      </c>
      <c r="F1040" s="14" t="s">
        <v>96</v>
      </c>
      <c r="G1040" s="14" t="s">
        <v>97</v>
      </c>
      <c r="H1040" s="0" t="n">
        <v>10</v>
      </c>
      <c r="I1040" s="16" t="n">
        <v>58.89</v>
      </c>
      <c r="J1040" s="16" t="n">
        <v>24</v>
      </c>
      <c r="K1040" s="16" t="n">
        <f aca="false">H1040*I1040</f>
        <v>588.9</v>
      </c>
      <c r="L1040" s="16" t="n">
        <f aca="false">H1040*J1040</f>
        <v>240</v>
      </c>
      <c r="M1040" s="16" t="n">
        <f aca="false">K1040-L1040</f>
        <v>348.9</v>
      </c>
      <c r="N1040" s="17" t="n">
        <f aca="false">IFERROR(M1040/K1040,0)</f>
        <v>0.592460519612838</v>
      </c>
    </row>
    <row r="1041" customFormat="false" ht="15" hidden="false" customHeight="false" outlineLevel="0" collapsed="false">
      <c r="A1041" s="15" t="n">
        <v>46067</v>
      </c>
      <c r="B1041" s="14" t="s">
        <v>50</v>
      </c>
      <c r="C1041" s="14" t="s">
        <v>51</v>
      </c>
      <c r="D1041" s="14" t="s">
        <v>52</v>
      </c>
      <c r="E1041" s="14" t="s">
        <v>64</v>
      </c>
      <c r="F1041" s="14" t="s">
        <v>94</v>
      </c>
      <c r="G1041" s="14" t="s">
        <v>95</v>
      </c>
      <c r="H1041" s="0" t="n">
        <v>1</v>
      </c>
      <c r="I1041" s="16" t="n">
        <v>91.17</v>
      </c>
      <c r="J1041" s="16" t="n">
        <v>42</v>
      </c>
      <c r="K1041" s="16" t="n">
        <f aca="false">H1041*I1041</f>
        <v>91.17</v>
      </c>
      <c r="L1041" s="16" t="n">
        <f aca="false">H1041*J1041</f>
        <v>42</v>
      </c>
      <c r="M1041" s="16" t="n">
        <f aca="false">K1041-L1041</f>
        <v>49.17</v>
      </c>
      <c r="N1041" s="17" t="n">
        <f aca="false">IFERROR(M1041/K1041,0)</f>
        <v>0.53932214544258</v>
      </c>
    </row>
    <row r="1042" customFormat="false" ht="15" hidden="false" customHeight="false" outlineLevel="0" collapsed="false">
      <c r="A1042" s="15" t="n">
        <v>46067</v>
      </c>
      <c r="B1042" s="14" t="s">
        <v>50</v>
      </c>
      <c r="C1042" s="14" t="s">
        <v>51</v>
      </c>
      <c r="D1042" s="14" t="s">
        <v>52</v>
      </c>
      <c r="E1042" s="14" t="s">
        <v>53</v>
      </c>
      <c r="F1042" s="14" t="s">
        <v>84</v>
      </c>
      <c r="G1042" s="14" t="s">
        <v>85</v>
      </c>
      <c r="H1042" s="0" t="n">
        <v>2</v>
      </c>
      <c r="I1042" s="16" t="n">
        <v>23.65</v>
      </c>
      <c r="J1042" s="16" t="n">
        <v>9</v>
      </c>
      <c r="K1042" s="16" t="n">
        <f aca="false">H1042*I1042</f>
        <v>47.3</v>
      </c>
      <c r="L1042" s="16" t="n">
        <f aca="false">H1042*J1042</f>
        <v>18</v>
      </c>
      <c r="M1042" s="16" t="n">
        <f aca="false">K1042-L1042</f>
        <v>29.3</v>
      </c>
      <c r="N1042" s="17" t="n">
        <f aca="false">IFERROR(M1042/K1042,0)</f>
        <v>0.619450317124736</v>
      </c>
    </row>
    <row r="1043" customFormat="false" ht="15" hidden="false" customHeight="false" outlineLevel="0" collapsed="false">
      <c r="A1043" s="15" t="n">
        <v>46067</v>
      </c>
      <c r="B1043" s="14" t="s">
        <v>50</v>
      </c>
      <c r="C1043" s="14" t="s">
        <v>51</v>
      </c>
      <c r="D1043" s="14" t="s">
        <v>52</v>
      </c>
      <c r="E1043" s="14" t="s">
        <v>56</v>
      </c>
      <c r="F1043" s="14" t="s">
        <v>67</v>
      </c>
      <c r="G1043" s="14" t="s">
        <v>68</v>
      </c>
      <c r="H1043" s="0" t="n">
        <v>4</v>
      </c>
      <c r="I1043" s="16" t="n">
        <v>36.63</v>
      </c>
      <c r="J1043" s="16" t="n">
        <v>15</v>
      </c>
      <c r="K1043" s="16" t="n">
        <f aca="false">H1043*I1043</f>
        <v>146.52</v>
      </c>
      <c r="L1043" s="16" t="n">
        <f aca="false">H1043*J1043</f>
        <v>60</v>
      </c>
      <c r="M1043" s="16" t="n">
        <f aca="false">K1043-L1043</f>
        <v>86.52</v>
      </c>
      <c r="N1043" s="17" t="n">
        <f aca="false">IFERROR(M1043/K1043,0)</f>
        <v>0.590499590499591</v>
      </c>
    </row>
    <row r="1044" customFormat="false" ht="15" hidden="false" customHeight="false" outlineLevel="0" collapsed="false">
      <c r="A1044" s="15" t="n">
        <v>46067</v>
      </c>
      <c r="B1044" s="14" t="s">
        <v>50</v>
      </c>
      <c r="C1044" s="14" t="s">
        <v>51</v>
      </c>
      <c r="D1044" s="14" t="s">
        <v>52</v>
      </c>
      <c r="E1044" s="14" t="s">
        <v>53</v>
      </c>
      <c r="F1044" s="14" t="s">
        <v>92</v>
      </c>
      <c r="G1044" s="14" t="s">
        <v>93</v>
      </c>
      <c r="H1044" s="0" t="n">
        <v>10</v>
      </c>
      <c r="I1044" s="16" t="n">
        <v>119.6</v>
      </c>
      <c r="J1044" s="16" t="n">
        <v>52</v>
      </c>
      <c r="K1044" s="16" t="n">
        <f aca="false">H1044*I1044</f>
        <v>1196</v>
      </c>
      <c r="L1044" s="16" t="n">
        <f aca="false">H1044*J1044</f>
        <v>520</v>
      </c>
      <c r="M1044" s="16" t="n">
        <f aca="false">K1044-L1044</f>
        <v>676</v>
      </c>
      <c r="N1044" s="17" t="n">
        <f aca="false">IFERROR(M1044/K1044,0)</f>
        <v>0.565217391304348</v>
      </c>
    </row>
    <row r="1045" customFormat="false" ht="15" hidden="false" customHeight="false" outlineLevel="0" collapsed="false">
      <c r="A1045" s="15" t="n">
        <v>46067</v>
      </c>
      <c r="B1045" s="14" t="s">
        <v>50</v>
      </c>
      <c r="C1045" s="14" t="s">
        <v>51</v>
      </c>
      <c r="D1045" s="14" t="s">
        <v>52</v>
      </c>
      <c r="E1045" s="14" t="s">
        <v>76</v>
      </c>
      <c r="F1045" s="14" t="s">
        <v>102</v>
      </c>
      <c r="G1045" s="14" t="s">
        <v>103</v>
      </c>
      <c r="H1045" s="0" t="n">
        <v>4</v>
      </c>
      <c r="I1045" s="16" t="n">
        <v>23.04</v>
      </c>
      <c r="J1045" s="16" t="n">
        <v>8.5</v>
      </c>
      <c r="K1045" s="16" t="n">
        <f aca="false">H1045*I1045</f>
        <v>92.16</v>
      </c>
      <c r="L1045" s="16" t="n">
        <f aca="false">H1045*J1045</f>
        <v>34</v>
      </c>
      <c r="M1045" s="16" t="n">
        <f aca="false">K1045-L1045</f>
        <v>58.16</v>
      </c>
      <c r="N1045" s="17" t="n">
        <f aca="false">IFERROR(M1045/K1045,0)</f>
        <v>0.631076388888889</v>
      </c>
    </row>
    <row r="1046" customFormat="false" ht="15" hidden="false" customHeight="false" outlineLevel="0" collapsed="false">
      <c r="A1046" s="15" t="n">
        <v>46067</v>
      </c>
      <c r="B1046" s="14" t="s">
        <v>50</v>
      </c>
      <c r="C1046" s="14" t="s">
        <v>51</v>
      </c>
      <c r="D1046" s="14" t="s">
        <v>52</v>
      </c>
      <c r="E1046" s="14" t="s">
        <v>53</v>
      </c>
      <c r="F1046" s="14" t="s">
        <v>84</v>
      </c>
      <c r="G1046" s="14" t="s">
        <v>85</v>
      </c>
      <c r="H1046" s="0" t="n">
        <v>7</v>
      </c>
      <c r="I1046" s="16" t="n">
        <v>23.73</v>
      </c>
      <c r="J1046" s="16" t="n">
        <v>9</v>
      </c>
      <c r="K1046" s="16" t="n">
        <f aca="false">H1046*I1046</f>
        <v>166.11</v>
      </c>
      <c r="L1046" s="16" t="n">
        <f aca="false">H1046*J1046</f>
        <v>63</v>
      </c>
      <c r="M1046" s="16" t="n">
        <f aca="false">K1046-L1046</f>
        <v>103.11</v>
      </c>
      <c r="N1046" s="17" t="n">
        <f aca="false">IFERROR(M1046/K1046,0)</f>
        <v>0.620733249051833</v>
      </c>
    </row>
    <row r="1047" customFormat="false" ht="15" hidden="false" customHeight="false" outlineLevel="0" collapsed="false">
      <c r="A1047" s="15" t="n">
        <v>46067</v>
      </c>
      <c r="B1047" s="14" t="s">
        <v>59</v>
      </c>
      <c r="C1047" s="14" t="s">
        <v>60</v>
      </c>
      <c r="D1047" s="14" t="s">
        <v>61</v>
      </c>
      <c r="E1047" s="14" t="s">
        <v>76</v>
      </c>
      <c r="F1047" s="14" t="s">
        <v>100</v>
      </c>
      <c r="G1047" s="14" t="s">
        <v>101</v>
      </c>
      <c r="H1047" s="0" t="n">
        <v>3</v>
      </c>
      <c r="I1047" s="16" t="n">
        <v>15.45</v>
      </c>
      <c r="J1047" s="16" t="n">
        <v>5.5</v>
      </c>
      <c r="K1047" s="16" t="n">
        <f aca="false">H1047*I1047</f>
        <v>46.35</v>
      </c>
      <c r="L1047" s="16" t="n">
        <f aca="false">H1047*J1047</f>
        <v>16.5</v>
      </c>
      <c r="M1047" s="16" t="n">
        <f aca="false">K1047-L1047</f>
        <v>29.85</v>
      </c>
      <c r="N1047" s="17" t="n">
        <f aca="false">IFERROR(M1047/K1047,0)</f>
        <v>0.644012944983819</v>
      </c>
    </row>
    <row r="1048" customFormat="false" ht="15" hidden="false" customHeight="false" outlineLevel="0" collapsed="false">
      <c r="A1048" s="15" t="n">
        <v>46067</v>
      </c>
      <c r="B1048" s="14" t="s">
        <v>59</v>
      </c>
      <c r="C1048" s="14" t="s">
        <v>60</v>
      </c>
      <c r="D1048" s="14" t="s">
        <v>61</v>
      </c>
      <c r="E1048" s="14" t="s">
        <v>56</v>
      </c>
      <c r="F1048" s="14" t="s">
        <v>86</v>
      </c>
      <c r="G1048" s="14" t="s">
        <v>87</v>
      </c>
      <c r="H1048" s="0" t="n">
        <v>2</v>
      </c>
      <c r="I1048" s="16" t="n">
        <v>14.66</v>
      </c>
      <c r="J1048" s="16" t="n">
        <v>5</v>
      </c>
      <c r="K1048" s="16" t="n">
        <f aca="false">H1048*I1048</f>
        <v>29.32</v>
      </c>
      <c r="L1048" s="16" t="n">
        <f aca="false">H1048*J1048</f>
        <v>10</v>
      </c>
      <c r="M1048" s="16" t="n">
        <f aca="false">K1048-L1048</f>
        <v>19.32</v>
      </c>
      <c r="N1048" s="17" t="n">
        <f aca="false">IFERROR(M1048/K1048,0)</f>
        <v>0.65893587994543</v>
      </c>
    </row>
    <row r="1049" customFormat="false" ht="15" hidden="false" customHeight="false" outlineLevel="0" collapsed="false">
      <c r="A1049" s="15" t="n">
        <v>46067</v>
      </c>
      <c r="B1049" s="14" t="s">
        <v>59</v>
      </c>
      <c r="C1049" s="14" t="s">
        <v>60</v>
      </c>
      <c r="D1049" s="14" t="s">
        <v>61</v>
      </c>
      <c r="E1049" s="14" t="s">
        <v>53</v>
      </c>
      <c r="F1049" s="14" t="s">
        <v>84</v>
      </c>
      <c r="G1049" s="14" t="s">
        <v>85</v>
      </c>
      <c r="H1049" s="0" t="n">
        <v>7</v>
      </c>
      <c r="I1049" s="16" t="n">
        <v>23.39</v>
      </c>
      <c r="J1049" s="16" t="n">
        <v>9</v>
      </c>
      <c r="K1049" s="16" t="n">
        <f aca="false">H1049*I1049</f>
        <v>163.73</v>
      </c>
      <c r="L1049" s="16" t="n">
        <f aca="false">H1049*J1049</f>
        <v>63</v>
      </c>
      <c r="M1049" s="16" t="n">
        <f aca="false">K1049-L1049</f>
        <v>100.73</v>
      </c>
      <c r="N1049" s="17" t="n">
        <f aca="false">IFERROR(M1049/K1049,0)</f>
        <v>0.615220179563916</v>
      </c>
    </row>
    <row r="1050" customFormat="false" ht="15" hidden="false" customHeight="false" outlineLevel="0" collapsed="false">
      <c r="A1050" s="15" t="n">
        <v>46067</v>
      </c>
      <c r="B1050" s="14" t="s">
        <v>59</v>
      </c>
      <c r="C1050" s="14" t="s">
        <v>60</v>
      </c>
      <c r="D1050" s="14" t="s">
        <v>61</v>
      </c>
      <c r="E1050" s="14" t="s">
        <v>53</v>
      </c>
      <c r="F1050" s="14" t="s">
        <v>84</v>
      </c>
      <c r="G1050" s="14" t="s">
        <v>85</v>
      </c>
      <c r="H1050" s="0" t="n">
        <v>1</v>
      </c>
      <c r="I1050" s="16" t="n">
        <v>23.35</v>
      </c>
      <c r="J1050" s="16" t="n">
        <v>9</v>
      </c>
      <c r="K1050" s="16" t="n">
        <f aca="false">H1050*I1050</f>
        <v>23.35</v>
      </c>
      <c r="L1050" s="16" t="n">
        <f aca="false">H1050*J1050</f>
        <v>9</v>
      </c>
      <c r="M1050" s="16" t="n">
        <f aca="false">K1050-L1050</f>
        <v>14.35</v>
      </c>
      <c r="N1050" s="17" t="n">
        <f aca="false">IFERROR(M1050/K1050,0)</f>
        <v>0.614561027837259</v>
      </c>
    </row>
    <row r="1051" customFormat="false" ht="15" hidden="false" customHeight="false" outlineLevel="0" collapsed="false">
      <c r="A1051" s="15" t="n">
        <v>46067</v>
      </c>
      <c r="B1051" s="14" t="s">
        <v>59</v>
      </c>
      <c r="C1051" s="14" t="s">
        <v>60</v>
      </c>
      <c r="D1051" s="14" t="s">
        <v>61</v>
      </c>
      <c r="E1051" s="14" t="s">
        <v>64</v>
      </c>
      <c r="F1051" s="14" t="s">
        <v>96</v>
      </c>
      <c r="G1051" s="14" t="s">
        <v>97</v>
      </c>
      <c r="H1051" s="0" t="n">
        <v>5</v>
      </c>
      <c r="I1051" s="16" t="n">
        <v>57.99</v>
      </c>
      <c r="J1051" s="16" t="n">
        <v>24</v>
      </c>
      <c r="K1051" s="16" t="n">
        <f aca="false">H1051*I1051</f>
        <v>289.95</v>
      </c>
      <c r="L1051" s="16" t="n">
        <f aca="false">H1051*J1051</f>
        <v>120</v>
      </c>
      <c r="M1051" s="16" t="n">
        <f aca="false">K1051-L1051</f>
        <v>169.95</v>
      </c>
      <c r="N1051" s="17" t="n">
        <f aca="false">IFERROR(M1051/K1051,0)</f>
        <v>0.58613554061045</v>
      </c>
    </row>
    <row r="1052" customFormat="false" ht="15" hidden="false" customHeight="false" outlineLevel="0" collapsed="false">
      <c r="A1052" s="15" t="n">
        <v>46067</v>
      </c>
      <c r="B1052" s="14" t="s">
        <v>69</v>
      </c>
      <c r="C1052" s="14" t="s">
        <v>70</v>
      </c>
      <c r="D1052" s="14" t="s">
        <v>71</v>
      </c>
      <c r="E1052" s="14" t="s">
        <v>76</v>
      </c>
      <c r="F1052" s="14" t="s">
        <v>79</v>
      </c>
      <c r="G1052" s="14" t="s">
        <v>80</v>
      </c>
      <c r="H1052" s="0" t="n">
        <v>7</v>
      </c>
      <c r="I1052" s="16" t="n">
        <v>27.84</v>
      </c>
      <c r="J1052" s="16" t="n">
        <v>11</v>
      </c>
      <c r="K1052" s="16" t="n">
        <f aca="false">H1052*I1052</f>
        <v>194.88</v>
      </c>
      <c r="L1052" s="16" t="n">
        <f aca="false">H1052*J1052</f>
        <v>77</v>
      </c>
      <c r="M1052" s="16" t="n">
        <f aca="false">K1052-L1052</f>
        <v>117.88</v>
      </c>
      <c r="N1052" s="17" t="n">
        <f aca="false">IFERROR(M1052/K1052,0)</f>
        <v>0.604885057471264</v>
      </c>
    </row>
    <row r="1053" customFormat="false" ht="15" hidden="false" customHeight="false" outlineLevel="0" collapsed="false">
      <c r="A1053" s="15" t="n">
        <v>46067</v>
      </c>
      <c r="B1053" s="14" t="s">
        <v>69</v>
      </c>
      <c r="C1053" s="14" t="s">
        <v>70</v>
      </c>
      <c r="D1053" s="14" t="s">
        <v>71</v>
      </c>
      <c r="E1053" s="14" t="s">
        <v>53</v>
      </c>
      <c r="F1053" s="14" t="s">
        <v>74</v>
      </c>
      <c r="G1053" s="14" t="s">
        <v>75</v>
      </c>
      <c r="H1053" s="0" t="n">
        <v>4</v>
      </c>
      <c r="I1053" s="16" t="n">
        <v>87.67</v>
      </c>
      <c r="J1053" s="16" t="n">
        <v>38</v>
      </c>
      <c r="K1053" s="16" t="n">
        <f aca="false">H1053*I1053</f>
        <v>350.68</v>
      </c>
      <c r="L1053" s="16" t="n">
        <f aca="false">H1053*J1053</f>
        <v>152</v>
      </c>
      <c r="M1053" s="16" t="n">
        <f aca="false">K1053-L1053</f>
        <v>198.68</v>
      </c>
      <c r="N1053" s="17" t="n">
        <f aca="false">IFERROR(M1053/K1053,0)</f>
        <v>0.566556404699441</v>
      </c>
    </row>
    <row r="1054" customFormat="false" ht="15" hidden="false" customHeight="false" outlineLevel="0" collapsed="false">
      <c r="A1054" s="15" t="n">
        <v>46067</v>
      </c>
      <c r="B1054" s="14" t="s">
        <v>69</v>
      </c>
      <c r="C1054" s="14" t="s">
        <v>70</v>
      </c>
      <c r="D1054" s="14" t="s">
        <v>71</v>
      </c>
      <c r="E1054" s="14" t="s">
        <v>64</v>
      </c>
      <c r="F1054" s="14" t="s">
        <v>65</v>
      </c>
      <c r="G1054" s="14" t="s">
        <v>66</v>
      </c>
      <c r="H1054" s="0" t="n">
        <v>7</v>
      </c>
      <c r="I1054" s="16" t="n">
        <v>77.39</v>
      </c>
      <c r="J1054" s="16" t="n">
        <v>34</v>
      </c>
      <c r="K1054" s="16" t="n">
        <f aca="false">H1054*I1054</f>
        <v>541.73</v>
      </c>
      <c r="L1054" s="16" t="n">
        <f aca="false">H1054*J1054</f>
        <v>238</v>
      </c>
      <c r="M1054" s="16" t="n">
        <f aca="false">K1054-L1054</f>
        <v>303.73</v>
      </c>
      <c r="N1054" s="17" t="n">
        <f aca="false">IFERROR(M1054/K1054,0)</f>
        <v>0.560666752810441</v>
      </c>
    </row>
    <row r="1055" customFormat="false" ht="15" hidden="false" customHeight="false" outlineLevel="0" collapsed="false">
      <c r="A1055" s="15" t="n">
        <v>46067</v>
      </c>
      <c r="B1055" s="14" t="s">
        <v>69</v>
      </c>
      <c r="C1055" s="14" t="s">
        <v>70</v>
      </c>
      <c r="D1055" s="14" t="s">
        <v>71</v>
      </c>
      <c r="E1055" s="14" t="s">
        <v>76</v>
      </c>
      <c r="F1055" s="14" t="s">
        <v>102</v>
      </c>
      <c r="G1055" s="14" t="s">
        <v>103</v>
      </c>
      <c r="H1055" s="0" t="n">
        <v>6</v>
      </c>
      <c r="I1055" s="16" t="n">
        <v>23.16</v>
      </c>
      <c r="J1055" s="16" t="n">
        <v>8.5</v>
      </c>
      <c r="K1055" s="16" t="n">
        <f aca="false">H1055*I1055</f>
        <v>138.96</v>
      </c>
      <c r="L1055" s="16" t="n">
        <f aca="false">H1055*J1055</f>
        <v>51</v>
      </c>
      <c r="M1055" s="16" t="n">
        <f aca="false">K1055-L1055</f>
        <v>87.96</v>
      </c>
      <c r="N1055" s="17" t="n">
        <f aca="false">IFERROR(M1055/K1055,0)</f>
        <v>0.632987910189983</v>
      </c>
    </row>
    <row r="1056" customFormat="false" ht="15" hidden="false" customHeight="false" outlineLevel="0" collapsed="false">
      <c r="A1056" s="15" t="n">
        <v>46067</v>
      </c>
      <c r="B1056" s="14" t="s">
        <v>81</v>
      </c>
      <c r="C1056" s="14" t="s">
        <v>82</v>
      </c>
      <c r="D1056" s="14" t="s">
        <v>83</v>
      </c>
      <c r="E1056" s="14" t="s">
        <v>76</v>
      </c>
      <c r="F1056" s="14" t="s">
        <v>79</v>
      </c>
      <c r="G1056" s="14" t="s">
        <v>80</v>
      </c>
      <c r="H1056" s="0" t="n">
        <v>6</v>
      </c>
      <c r="I1056" s="16" t="n">
        <v>27.89</v>
      </c>
      <c r="J1056" s="16" t="n">
        <v>11</v>
      </c>
      <c r="K1056" s="16" t="n">
        <f aca="false">H1056*I1056</f>
        <v>167.34</v>
      </c>
      <c r="L1056" s="16" t="n">
        <f aca="false">H1056*J1056</f>
        <v>66</v>
      </c>
      <c r="M1056" s="16" t="n">
        <f aca="false">K1056-L1056</f>
        <v>101.34</v>
      </c>
      <c r="N1056" s="17" t="n">
        <f aca="false">IFERROR(M1056/K1056,0)</f>
        <v>0.605593402653281</v>
      </c>
    </row>
    <row r="1057" customFormat="false" ht="15" hidden="false" customHeight="false" outlineLevel="0" collapsed="false">
      <c r="A1057" s="15" t="n">
        <v>46067</v>
      </c>
      <c r="B1057" s="14" t="s">
        <v>81</v>
      </c>
      <c r="C1057" s="14" t="s">
        <v>82</v>
      </c>
      <c r="D1057" s="14" t="s">
        <v>83</v>
      </c>
      <c r="E1057" s="14" t="s">
        <v>56</v>
      </c>
      <c r="F1057" s="14" t="s">
        <v>86</v>
      </c>
      <c r="G1057" s="14" t="s">
        <v>87</v>
      </c>
      <c r="H1057" s="0" t="n">
        <v>3</v>
      </c>
      <c r="I1057" s="16" t="n">
        <v>14.98</v>
      </c>
      <c r="J1057" s="16" t="n">
        <v>5</v>
      </c>
      <c r="K1057" s="16" t="n">
        <f aca="false">H1057*I1057</f>
        <v>44.94</v>
      </c>
      <c r="L1057" s="16" t="n">
        <f aca="false">H1057*J1057</f>
        <v>15</v>
      </c>
      <c r="M1057" s="16" t="n">
        <f aca="false">K1057-L1057</f>
        <v>29.94</v>
      </c>
      <c r="N1057" s="17" t="n">
        <f aca="false">IFERROR(M1057/K1057,0)</f>
        <v>0.666221628838451</v>
      </c>
    </row>
    <row r="1058" customFormat="false" ht="15" hidden="false" customHeight="false" outlineLevel="0" collapsed="false">
      <c r="A1058" s="15" t="n">
        <v>46067</v>
      </c>
      <c r="B1058" s="14" t="s">
        <v>81</v>
      </c>
      <c r="C1058" s="14" t="s">
        <v>82</v>
      </c>
      <c r="D1058" s="14" t="s">
        <v>83</v>
      </c>
      <c r="E1058" s="14" t="s">
        <v>76</v>
      </c>
      <c r="F1058" s="14" t="s">
        <v>102</v>
      </c>
      <c r="G1058" s="14" t="s">
        <v>103</v>
      </c>
      <c r="H1058" s="0" t="n">
        <v>5</v>
      </c>
      <c r="I1058" s="16" t="n">
        <v>23.37</v>
      </c>
      <c r="J1058" s="16" t="n">
        <v>8.5</v>
      </c>
      <c r="K1058" s="16" t="n">
        <f aca="false">H1058*I1058</f>
        <v>116.85</v>
      </c>
      <c r="L1058" s="16" t="n">
        <f aca="false">H1058*J1058</f>
        <v>42.5</v>
      </c>
      <c r="M1058" s="16" t="n">
        <f aca="false">K1058-L1058</f>
        <v>74.35</v>
      </c>
      <c r="N1058" s="17" t="n">
        <f aca="false">IFERROR(M1058/K1058,0)</f>
        <v>0.636285836542576</v>
      </c>
    </row>
    <row r="1059" customFormat="false" ht="15" hidden="false" customHeight="false" outlineLevel="0" collapsed="false">
      <c r="A1059" s="15" t="n">
        <v>46067</v>
      </c>
      <c r="B1059" s="14" t="s">
        <v>81</v>
      </c>
      <c r="C1059" s="14" t="s">
        <v>82</v>
      </c>
      <c r="D1059" s="14" t="s">
        <v>83</v>
      </c>
      <c r="E1059" s="14" t="s">
        <v>64</v>
      </c>
      <c r="F1059" s="14" t="s">
        <v>90</v>
      </c>
      <c r="G1059" s="14" t="s">
        <v>91</v>
      </c>
      <c r="H1059" s="0" t="n">
        <v>2</v>
      </c>
      <c r="I1059" s="16" t="n">
        <v>11.41</v>
      </c>
      <c r="J1059" s="16" t="n">
        <v>3.5</v>
      </c>
      <c r="K1059" s="16" t="n">
        <f aca="false">H1059*I1059</f>
        <v>22.82</v>
      </c>
      <c r="L1059" s="16" t="n">
        <f aca="false">H1059*J1059</f>
        <v>7</v>
      </c>
      <c r="M1059" s="16" t="n">
        <f aca="false">K1059-L1059</f>
        <v>15.82</v>
      </c>
      <c r="N1059" s="17" t="n">
        <f aca="false">IFERROR(M1059/K1059,0)</f>
        <v>0.693251533742331</v>
      </c>
    </row>
    <row r="1060" customFormat="false" ht="15" hidden="false" customHeight="false" outlineLevel="0" collapsed="false">
      <c r="A1060" s="15" t="n">
        <v>46067</v>
      </c>
      <c r="B1060" s="14" t="s">
        <v>88</v>
      </c>
      <c r="C1060" s="14" t="s">
        <v>89</v>
      </c>
      <c r="D1060" s="14" t="s">
        <v>44</v>
      </c>
      <c r="E1060" s="14" t="s">
        <v>64</v>
      </c>
      <c r="F1060" s="14" t="s">
        <v>96</v>
      </c>
      <c r="G1060" s="14" t="s">
        <v>97</v>
      </c>
      <c r="H1060" s="0" t="n">
        <v>3</v>
      </c>
      <c r="I1060" s="16" t="n">
        <v>57.3</v>
      </c>
      <c r="J1060" s="16" t="n">
        <v>24</v>
      </c>
      <c r="K1060" s="16" t="n">
        <f aca="false">H1060*I1060</f>
        <v>171.9</v>
      </c>
      <c r="L1060" s="16" t="n">
        <f aca="false">H1060*J1060</f>
        <v>72</v>
      </c>
      <c r="M1060" s="16" t="n">
        <f aca="false">K1060-L1060</f>
        <v>99.9</v>
      </c>
      <c r="N1060" s="17" t="n">
        <f aca="false">IFERROR(M1060/K1060,0)</f>
        <v>0.581151832460733</v>
      </c>
    </row>
    <row r="1061" customFormat="false" ht="15" hidden="false" customHeight="false" outlineLevel="0" collapsed="false">
      <c r="A1061" s="15" t="n">
        <v>46067</v>
      </c>
      <c r="B1061" s="14" t="s">
        <v>88</v>
      </c>
      <c r="C1061" s="14" t="s">
        <v>89</v>
      </c>
      <c r="D1061" s="14" t="s">
        <v>44</v>
      </c>
      <c r="E1061" s="14" t="s">
        <v>76</v>
      </c>
      <c r="F1061" s="14" t="s">
        <v>100</v>
      </c>
      <c r="G1061" s="14" t="s">
        <v>101</v>
      </c>
      <c r="H1061" s="0" t="n">
        <v>8</v>
      </c>
      <c r="I1061" s="16" t="n">
        <v>15.81</v>
      </c>
      <c r="J1061" s="16" t="n">
        <v>5.5</v>
      </c>
      <c r="K1061" s="16" t="n">
        <f aca="false">H1061*I1061</f>
        <v>126.48</v>
      </c>
      <c r="L1061" s="16" t="n">
        <f aca="false">H1061*J1061</f>
        <v>44</v>
      </c>
      <c r="M1061" s="16" t="n">
        <f aca="false">K1061-L1061</f>
        <v>82.48</v>
      </c>
      <c r="N1061" s="17" t="n">
        <f aca="false">IFERROR(M1061/K1061,0)</f>
        <v>0.652118912080961</v>
      </c>
    </row>
    <row r="1062" customFormat="false" ht="15" hidden="false" customHeight="false" outlineLevel="0" collapsed="false">
      <c r="A1062" s="15" t="n">
        <v>46067</v>
      </c>
      <c r="B1062" s="14" t="s">
        <v>88</v>
      </c>
      <c r="C1062" s="14" t="s">
        <v>89</v>
      </c>
      <c r="D1062" s="14" t="s">
        <v>44</v>
      </c>
      <c r="E1062" s="14" t="s">
        <v>45</v>
      </c>
      <c r="F1062" s="14" t="s">
        <v>48</v>
      </c>
      <c r="G1062" s="14" t="s">
        <v>49</v>
      </c>
      <c r="H1062" s="0" t="n">
        <v>4</v>
      </c>
      <c r="I1062" s="16" t="n">
        <v>64.43</v>
      </c>
      <c r="J1062" s="16" t="n">
        <v>27.5</v>
      </c>
      <c r="K1062" s="16" t="n">
        <f aca="false">H1062*I1062</f>
        <v>257.72</v>
      </c>
      <c r="L1062" s="16" t="n">
        <f aca="false">H1062*J1062</f>
        <v>110</v>
      </c>
      <c r="M1062" s="16" t="n">
        <f aca="false">K1062-L1062</f>
        <v>147.72</v>
      </c>
      <c r="N1062" s="17" t="n">
        <f aca="false">IFERROR(M1062/K1062,0)</f>
        <v>0.573180195561074</v>
      </c>
    </row>
    <row r="1063" customFormat="false" ht="15" hidden="false" customHeight="false" outlineLevel="0" collapsed="false">
      <c r="A1063" s="15" t="n">
        <v>46067</v>
      </c>
      <c r="B1063" s="14" t="s">
        <v>88</v>
      </c>
      <c r="C1063" s="14" t="s">
        <v>89</v>
      </c>
      <c r="D1063" s="14" t="s">
        <v>44</v>
      </c>
      <c r="E1063" s="14" t="s">
        <v>76</v>
      </c>
      <c r="F1063" s="14" t="s">
        <v>102</v>
      </c>
      <c r="G1063" s="14" t="s">
        <v>103</v>
      </c>
      <c r="H1063" s="0" t="n">
        <v>6</v>
      </c>
      <c r="I1063" s="16" t="n">
        <v>23.44</v>
      </c>
      <c r="J1063" s="16" t="n">
        <v>8.5</v>
      </c>
      <c r="K1063" s="16" t="n">
        <f aca="false">H1063*I1063</f>
        <v>140.64</v>
      </c>
      <c r="L1063" s="16" t="n">
        <f aca="false">H1063*J1063</f>
        <v>51</v>
      </c>
      <c r="M1063" s="16" t="n">
        <f aca="false">K1063-L1063</f>
        <v>89.64</v>
      </c>
      <c r="N1063" s="17" t="n">
        <f aca="false">IFERROR(M1063/K1063,0)</f>
        <v>0.637372013651877</v>
      </c>
    </row>
    <row r="1064" customFormat="false" ht="15" hidden="false" customHeight="false" outlineLevel="0" collapsed="false">
      <c r="A1064" s="15" t="n">
        <v>46068</v>
      </c>
      <c r="B1064" s="14" t="s">
        <v>42</v>
      </c>
      <c r="C1064" s="14" t="s">
        <v>43</v>
      </c>
      <c r="D1064" s="14" t="s">
        <v>44</v>
      </c>
      <c r="E1064" s="14" t="s">
        <v>64</v>
      </c>
      <c r="F1064" s="14" t="s">
        <v>94</v>
      </c>
      <c r="G1064" s="14" t="s">
        <v>95</v>
      </c>
      <c r="H1064" s="0" t="n">
        <v>10</v>
      </c>
      <c r="I1064" s="16" t="n">
        <v>97.27</v>
      </c>
      <c r="J1064" s="16" t="n">
        <v>42</v>
      </c>
      <c r="K1064" s="16" t="n">
        <f aca="false">H1064*I1064</f>
        <v>972.7</v>
      </c>
      <c r="L1064" s="16" t="n">
        <f aca="false">H1064*J1064</f>
        <v>420</v>
      </c>
      <c r="M1064" s="16" t="n">
        <f aca="false">K1064-L1064</f>
        <v>552.7</v>
      </c>
      <c r="N1064" s="17" t="n">
        <f aca="false">IFERROR(M1064/K1064,0)</f>
        <v>0.568212192865221</v>
      </c>
    </row>
    <row r="1065" customFormat="false" ht="15" hidden="false" customHeight="false" outlineLevel="0" collapsed="false">
      <c r="A1065" s="15" t="n">
        <v>46068</v>
      </c>
      <c r="B1065" s="14" t="s">
        <v>42</v>
      </c>
      <c r="C1065" s="14" t="s">
        <v>43</v>
      </c>
      <c r="D1065" s="14" t="s">
        <v>44</v>
      </c>
      <c r="E1065" s="14" t="s">
        <v>76</v>
      </c>
      <c r="F1065" s="14" t="s">
        <v>100</v>
      </c>
      <c r="G1065" s="14" t="s">
        <v>101</v>
      </c>
      <c r="H1065" s="0" t="n">
        <v>10</v>
      </c>
      <c r="I1065" s="16" t="n">
        <v>14.93</v>
      </c>
      <c r="J1065" s="16" t="n">
        <v>5.5</v>
      </c>
      <c r="K1065" s="16" t="n">
        <f aca="false">H1065*I1065</f>
        <v>149.3</v>
      </c>
      <c r="L1065" s="16" t="n">
        <f aca="false">H1065*J1065</f>
        <v>55</v>
      </c>
      <c r="M1065" s="16" t="n">
        <f aca="false">K1065-L1065</f>
        <v>94.3</v>
      </c>
      <c r="N1065" s="17" t="n">
        <f aca="false">IFERROR(M1065/K1065,0)</f>
        <v>0.631614199598125</v>
      </c>
    </row>
    <row r="1066" customFormat="false" ht="15" hidden="false" customHeight="false" outlineLevel="0" collapsed="false">
      <c r="A1066" s="15" t="n">
        <v>46068</v>
      </c>
      <c r="B1066" s="14" t="s">
        <v>42</v>
      </c>
      <c r="C1066" s="14" t="s">
        <v>43</v>
      </c>
      <c r="D1066" s="14" t="s">
        <v>44</v>
      </c>
      <c r="E1066" s="14" t="s">
        <v>45</v>
      </c>
      <c r="F1066" s="14" t="s">
        <v>62</v>
      </c>
      <c r="G1066" s="14" t="s">
        <v>63</v>
      </c>
      <c r="H1066" s="0" t="n">
        <v>6</v>
      </c>
      <c r="I1066" s="16" t="n">
        <v>17.51</v>
      </c>
      <c r="J1066" s="16" t="n">
        <v>6.5</v>
      </c>
      <c r="K1066" s="16" t="n">
        <f aca="false">H1066*I1066</f>
        <v>105.06</v>
      </c>
      <c r="L1066" s="16" t="n">
        <f aca="false">H1066*J1066</f>
        <v>39</v>
      </c>
      <c r="M1066" s="16" t="n">
        <f aca="false">K1066-L1066</f>
        <v>66.06</v>
      </c>
      <c r="N1066" s="17" t="n">
        <f aca="false">IFERROR(M1066/K1066,0)</f>
        <v>0.628783552255854</v>
      </c>
    </row>
    <row r="1067" customFormat="false" ht="15" hidden="false" customHeight="false" outlineLevel="0" collapsed="false">
      <c r="A1067" s="15" t="n">
        <v>46068</v>
      </c>
      <c r="B1067" s="14" t="s">
        <v>42</v>
      </c>
      <c r="C1067" s="14" t="s">
        <v>43</v>
      </c>
      <c r="D1067" s="14" t="s">
        <v>44</v>
      </c>
      <c r="E1067" s="14" t="s">
        <v>45</v>
      </c>
      <c r="F1067" s="14" t="s">
        <v>62</v>
      </c>
      <c r="G1067" s="14" t="s">
        <v>63</v>
      </c>
      <c r="H1067" s="0" t="n">
        <v>4</v>
      </c>
      <c r="I1067" s="16" t="n">
        <v>17.13</v>
      </c>
      <c r="J1067" s="16" t="n">
        <v>6.5</v>
      </c>
      <c r="K1067" s="16" t="n">
        <f aca="false">H1067*I1067</f>
        <v>68.52</v>
      </c>
      <c r="L1067" s="16" t="n">
        <f aca="false">H1067*J1067</f>
        <v>26</v>
      </c>
      <c r="M1067" s="16" t="n">
        <f aca="false">K1067-L1067</f>
        <v>42.52</v>
      </c>
      <c r="N1067" s="17" t="n">
        <f aca="false">IFERROR(M1067/K1067,0)</f>
        <v>0.620548744892002</v>
      </c>
    </row>
    <row r="1068" customFormat="false" ht="15" hidden="false" customHeight="false" outlineLevel="0" collapsed="false">
      <c r="A1068" s="15" t="n">
        <v>46068</v>
      </c>
      <c r="B1068" s="14" t="s">
        <v>42</v>
      </c>
      <c r="C1068" s="14" t="s">
        <v>43</v>
      </c>
      <c r="D1068" s="14" t="s">
        <v>44</v>
      </c>
      <c r="E1068" s="14" t="s">
        <v>45</v>
      </c>
      <c r="F1068" s="14" t="s">
        <v>48</v>
      </c>
      <c r="G1068" s="14" t="s">
        <v>49</v>
      </c>
      <c r="H1068" s="0" t="n">
        <v>12</v>
      </c>
      <c r="I1068" s="16" t="n">
        <v>65.54</v>
      </c>
      <c r="J1068" s="16" t="n">
        <v>27.5</v>
      </c>
      <c r="K1068" s="16" t="n">
        <f aca="false">H1068*I1068</f>
        <v>786.48</v>
      </c>
      <c r="L1068" s="16" t="n">
        <f aca="false">H1068*J1068</f>
        <v>330</v>
      </c>
      <c r="M1068" s="16" t="n">
        <f aca="false">K1068-L1068</f>
        <v>456.48</v>
      </c>
      <c r="N1068" s="17" t="n">
        <f aca="false">IFERROR(M1068/K1068,0)</f>
        <v>0.580408910588953</v>
      </c>
    </row>
    <row r="1069" customFormat="false" ht="15" hidden="false" customHeight="false" outlineLevel="0" collapsed="false">
      <c r="A1069" s="15" t="n">
        <v>46068</v>
      </c>
      <c r="B1069" s="14" t="s">
        <v>42</v>
      </c>
      <c r="C1069" s="14" t="s">
        <v>43</v>
      </c>
      <c r="D1069" s="14" t="s">
        <v>44</v>
      </c>
      <c r="E1069" s="14" t="s">
        <v>45</v>
      </c>
      <c r="F1069" s="14" t="s">
        <v>72</v>
      </c>
      <c r="G1069" s="14" t="s">
        <v>73</v>
      </c>
      <c r="H1069" s="0" t="n">
        <v>3</v>
      </c>
      <c r="I1069" s="16" t="n">
        <v>48.27</v>
      </c>
      <c r="J1069" s="16" t="n">
        <v>21</v>
      </c>
      <c r="K1069" s="16" t="n">
        <f aca="false">H1069*I1069</f>
        <v>144.81</v>
      </c>
      <c r="L1069" s="16" t="n">
        <f aca="false">H1069*J1069</f>
        <v>63</v>
      </c>
      <c r="M1069" s="16" t="n">
        <f aca="false">K1069-L1069</f>
        <v>81.81</v>
      </c>
      <c r="N1069" s="17" t="n">
        <f aca="false">IFERROR(M1069/K1069,0)</f>
        <v>0.564947172156619</v>
      </c>
    </row>
    <row r="1070" customFormat="false" ht="15" hidden="false" customHeight="false" outlineLevel="0" collapsed="false">
      <c r="A1070" s="15" t="n">
        <v>46068</v>
      </c>
      <c r="B1070" s="14" t="s">
        <v>50</v>
      </c>
      <c r="C1070" s="14" t="s">
        <v>51</v>
      </c>
      <c r="D1070" s="14" t="s">
        <v>52</v>
      </c>
      <c r="E1070" s="14" t="s">
        <v>53</v>
      </c>
      <c r="F1070" s="14" t="s">
        <v>74</v>
      </c>
      <c r="G1070" s="14" t="s">
        <v>75</v>
      </c>
      <c r="H1070" s="0" t="n">
        <v>9</v>
      </c>
      <c r="I1070" s="16" t="n">
        <v>84.08</v>
      </c>
      <c r="J1070" s="16" t="n">
        <v>38</v>
      </c>
      <c r="K1070" s="16" t="n">
        <f aca="false">H1070*I1070</f>
        <v>756.72</v>
      </c>
      <c r="L1070" s="16" t="n">
        <f aca="false">H1070*J1070</f>
        <v>342</v>
      </c>
      <c r="M1070" s="16" t="n">
        <f aca="false">K1070-L1070</f>
        <v>414.72</v>
      </c>
      <c r="N1070" s="17" t="n">
        <f aca="false">IFERROR(M1070/K1070,0)</f>
        <v>0.548049476688868</v>
      </c>
    </row>
    <row r="1071" customFormat="false" ht="15" hidden="false" customHeight="false" outlineLevel="0" collapsed="false">
      <c r="A1071" s="15" t="n">
        <v>46068</v>
      </c>
      <c r="B1071" s="14" t="s">
        <v>50</v>
      </c>
      <c r="C1071" s="14" t="s">
        <v>51</v>
      </c>
      <c r="D1071" s="14" t="s">
        <v>52</v>
      </c>
      <c r="E1071" s="14" t="s">
        <v>53</v>
      </c>
      <c r="F1071" s="14" t="s">
        <v>92</v>
      </c>
      <c r="G1071" s="14" t="s">
        <v>93</v>
      </c>
      <c r="H1071" s="0" t="n">
        <v>10</v>
      </c>
      <c r="I1071" s="16" t="n">
        <v>116.41</v>
      </c>
      <c r="J1071" s="16" t="n">
        <v>52</v>
      </c>
      <c r="K1071" s="16" t="n">
        <f aca="false">H1071*I1071</f>
        <v>1164.1</v>
      </c>
      <c r="L1071" s="16" t="n">
        <f aca="false">H1071*J1071</f>
        <v>520</v>
      </c>
      <c r="M1071" s="16" t="n">
        <f aca="false">K1071-L1071</f>
        <v>644.1</v>
      </c>
      <c r="N1071" s="17" t="n">
        <f aca="false">IFERROR(M1071/K1071,0)</f>
        <v>0.55330298084357</v>
      </c>
    </row>
    <row r="1072" customFormat="false" ht="15" hidden="false" customHeight="false" outlineLevel="0" collapsed="false">
      <c r="A1072" s="15" t="n">
        <v>46068</v>
      </c>
      <c r="B1072" s="14" t="s">
        <v>50</v>
      </c>
      <c r="C1072" s="14" t="s">
        <v>51</v>
      </c>
      <c r="D1072" s="14" t="s">
        <v>52</v>
      </c>
      <c r="E1072" s="14" t="s">
        <v>53</v>
      </c>
      <c r="F1072" s="14" t="s">
        <v>54</v>
      </c>
      <c r="G1072" s="14" t="s">
        <v>55</v>
      </c>
      <c r="H1072" s="0" t="n">
        <v>1</v>
      </c>
      <c r="I1072" s="16" t="n">
        <v>50.75</v>
      </c>
      <c r="J1072" s="16" t="n">
        <v>22</v>
      </c>
      <c r="K1072" s="16" t="n">
        <f aca="false">H1072*I1072</f>
        <v>50.75</v>
      </c>
      <c r="L1072" s="16" t="n">
        <f aca="false">H1072*J1072</f>
        <v>22</v>
      </c>
      <c r="M1072" s="16" t="n">
        <f aca="false">K1072-L1072</f>
        <v>28.75</v>
      </c>
      <c r="N1072" s="17" t="n">
        <f aca="false">IFERROR(M1072/K1072,0)</f>
        <v>0.566502463054187</v>
      </c>
    </row>
    <row r="1073" customFormat="false" ht="15" hidden="false" customHeight="false" outlineLevel="0" collapsed="false">
      <c r="A1073" s="15" t="n">
        <v>46068</v>
      </c>
      <c r="B1073" s="14" t="s">
        <v>50</v>
      </c>
      <c r="C1073" s="14" t="s">
        <v>51</v>
      </c>
      <c r="D1073" s="14" t="s">
        <v>52</v>
      </c>
      <c r="E1073" s="14" t="s">
        <v>76</v>
      </c>
      <c r="F1073" s="14" t="s">
        <v>102</v>
      </c>
      <c r="G1073" s="14" t="s">
        <v>103</v>
      </c>
      <c r="H1073" s="0" t="n">
        <v>10</v>
      </c>
      <c r="I1073" s="16" t="n">
        <v>22.98</v>
      </c>
      <c r="J1073" s="16" t="n">
        <v>8.5</v>
      </c>
      <c r="K1073" s="16" t="n">
        <f aca="false">H1073*I1073</f>
        <v>229.8</v>
      </c>
      <c r="L1073" s="16" t="n">
        <f aca="false">H1073*J1073</f>
        <v>85</v>
      </c>
      <c r="M1073" s="16" t="n">
        <f aca="false">K1073-L1073</f>
        <v>144.8</v>
      </c>
      <c r="N1073" s="17" t="n">
        <f aca="false">IFERROR(M1073/K1073,0)</f>
        <v>0.630113141862489</v>
      </c>
    </row>
    <row r="1074" customFormat="false" ht="15" hidden="false" customHeight="false" outlineLevel="0" collapsed="false">
      <c r="A1074" s="15" t="n">
        <v>46068</v>
      </c>
      <c r="B1074" s="14" t="s">
        <v>50</v>
      </c>
      <c r="C1074" s="14" t="s">
        <v>51</v>
      </c>
      <c r="D1074" s="14" t="s">
        <v>52</v>
      </c>
      <c r="E1074" s="14" t="s">
        <v>56</v>
      </c>
      <c r="F1074" s="14" t="s">
        <v>67</v>
      </c>
      <c r="G1074" s="14" t="s">
        <v>68</v>
      </c>
      <c r="H1074" s="0" t="n">
        <v>12</v>
      </c>
      <c r="I1074" s="16" t="n">
        <v>35.37</v>
      </c>
      <c r="J1074" s="16" t="n">
        <v>15</v>
      </c>
      <c r="K1074" s="16" t="n">
        <f aca="false">H1074*I1074</f>
        <v>424.44</v>
      </c>
      <c r="L1074" s="16" t="n">
        <f aca="false">H1074*J1074</f>
        <v>180</v>
      </c>
      <c r="M1074" s="16" t="n">
        <f aca="false">K1074-L1074</f>
        <v>244.44</v>
      </c>
      <c r="N1074" s="17" t="n">
        <f aca="false">IFERROR(M1074/K1074,0)</f>
        <v>0.575911789652248</v>
      </c>
    </row>
    <row r="1075" customFormat="false" ht="15" hidden="false" customHeight="false" outlineLevel="0" collapsed="false">
      <c r="A1075" s="15" t="n">
        <v>46068</v>
      </c>
      <c r="B1075" s="14" t="s">
        <v>50</v>
      </c>
      <c r="C1075" s="14" t="s">
        <v>51</v>
      </c>
      <c r="D1075" s="14" t="s">
        <v>52</v>
      </c>
      <c r="E1075" s="14" t="s">
        <v>56</v>
      </c>
      <c r="F1075" s="14" t="s">
        <v>86</v>
      </c>
      <c r="G1075" s="14" t="s">
        <v>87</v>
      </c>
      <c r="H1075" s="0" t="n">
        <v>12</v>
      </c>
      <c r="I1075" s="16" t="n">
        <v>14.56</v>
      </c>
      <c r="J1075" s="16" t="n">
        <v>5</v>
      </c>
      <c r="K1075" s="16" t="n">
        <f aca="false">H1075*I1075</f>
        <v>174.72</v>
      </c>
      <c r="L1075" s="16" t="n">
        <f aca="false">H1075*J1075</f>
        <v>60</v>
      </c>
      <c r="M1075" s="16" t="n">
        <f aca="false">K1075-L1075</f>
        <v>114.72</v>
      </c>
      <c r="N1075" s="17" t="n">
        <f aca="false">IFERROR(M1075/K1075,0)</f>
        <v>0.656593406593407</v>
      </c>
    </row>
    <row r="1076" customFormat="false" ht="15" hidden="false" customHeight="false" outlineLevel="0" collapsed="false">
      <c r="A1076" s="15" t="n">
        <v>46068</v>
      </c>
      <c r="B1076" s="14" t="s">
        <v>59</v>
      </c>
      <c r="C1076" s="14" t="s">
        <v>60</v>
      </c>
      <c r="D1076" s="14" t="s">
        <v>61</v>
      </c>
      <c r="E1076" s="14" t="s">
        <v>64</v>
      </c>
      <c r="F1076" s="14" t="s">
        <v>94</v>
      </c>
      <c r="G1076" s="14" t="s">
        <v>95</v>
      </c>
      <c r="H1076" s="0" t="n">
        <v>5</v>
      </c>
      <c r="I1076" s="16" t="n">
        <v>94.89</v>
      </c>
      <c r="J1076" s="16" t="n">
        <v>42</v>
      </c>
      <c r="K1076" s="16" t="n">
        <f aca="false">H1076*I1076</f>
        <v>474.45</v>
      </c>
      <c r="L1076" s="16" t="n">
        <f aca="false">H1076*J1076</f>
        <v>210</v>
      </c>
      <c r="M1076" s="16" t="n">
        <f aca="false">K1076-L1076</f>
        <v>264.45</v>
      </c>
      <c r="N1076" s="17" t="n">
        <f aca="false">IFERROR(M1076/K1076,0)</f>
        <v>0.557382232058173</v>
      </c>
    </row>
    <row r="1077" customFormat="false" ht="15" hidden="false" customHeight="false" outlineLevel="0" collapsed="false">
      <c r="A1077" s="15" t="n">
        <v>46068</v>
      </c>
      <c r="B1077" s="14" t="s">
        <v>59</v>
      </c>
      <c r="C1077" s="14" t="s">
        <v>60</v>
      </c>
      <c r="D1077" s="14" t="s">
        <v>61</v>
      </c>
      <c r="E1077" s="14" t="s">
        <v>53</v>
      </c>
      <c r="F1077" s="14" t="s">
        <v>74</v>
      </c>
      <c r="G1077" s="14" t="s">
        <v>75</v>
      </c>
      <c r="H1077" s="0" t="n">
        <v>8</v>
      </c>
      <c r="I1077" s="16" t="n">
        <v>84.07</v>
      </c>
      <c r="J1077" s="16" t="n">
        <v>38</v>
      </c>
      <c r="K1077" s="16" t="n">
        <f aca="false">H1077*I1077</f>
        <v>672.56</v>
      </c>
      <c r="L1077" s="16" t="n">
        <f aca="false">H1077*J1077</f>
        <v>304</v>
      </c>
      <c r="M1077" s="16" t="n">
        <f aca="false">K1077-L1077</f>
        <v>368.56</v>
      </c>
      <c r="N1077" s="17" t="n">
        <f aca="false">IFERROR(M1077/K1077,0)</f>
        <v>0.547995717854169</v>
      </c>
    </row>
    <row r="1078" customFormat="false" ht="15" hidden="false" customHeight="false" outlineLevel="0" collapsed="false">
      <c r="A1078" s="15" t="n">
        <v>46068</v>
      </c>
      <c r="B1078" s="14" t="s">
        <v>59</v>
      </c>
      <c r="C1078" s="14" t="s">
        <v>60</v>
      </c>
      <c r="D1078" s="14" t="s">
        <v>61</v>
      </c>
      <c r="E1078" s="14" t="s">
        <v>64</v>
      </c>
      <c r="F1078" s="14" t="s">
        <v>94</v>
      </c>
      <c r="G1078" s="14" t="s">
        <v>95</v>
      </c>
      <c r="H1078" s="0" t="n">
        <v>3</v>
      </c>
      <c r="I1078" s="16" t="n">
        <v>93.48</v>
      </c>
      <c r="J1078" s="16" t="n">
        <v>42</v>
      </c>
      <c r="K1078" s="16" t="n">
        <f aca="false">H1078*I1078</f>
        <v>280.44</v>
      </c>
      <c r="L1078" s="16" t="n">
        <f aca="false">H1078*J1078</f>
        <v>126</v>
      </c>
      <c r="M1078" s="16" t="n">
        <f aca="false">K1078-L1078</f>
        <v>154.44</v>
      </c>
      <c r="N1078" s="17" t="n">
        <f aca="false">IFERROR(M1078/K1078,0)</f>
        <v>0.550706033376123</v>
      </c>
    </row>
    <row r="1079" customFormat="false" ht="15" hidden="false" customHeight="false" outlineLevel="0" collapsed="false">
      <c r="A1079" s="15" t="n">
        <v>46068</v>
      </c>
      <c r="B1079" s="14" t="s">
        <v>59</v>
      </c>
      <c r="C1079" s="14" t="s">
        <v>60</v>
      </c>
      <c r="D1079" s="14" t="s">
        <v>61</v>
      </c>
      <c r="E1079" s="14" t="s">
        <v>45</v>
      </c>
      <c r="F1079" s="14" t="s">
        <v>62</v>
      </c>
      <c r="G1079" s="14" t="s">
        <v>63</v>
      </c>
      <c r="H1079" s="0" t="n">
        <v>6</v>
      </c>
      <c r="I1079" s="16" t="n">
        <v>16.97</v>
      </c>
      <c r="J1079" s="16" t="n">
        <v>6.5</v>
      </c>
      <c r="K1079" s="16" t="n">
        <f aca="false">H1079*I1079</f>
        <v>101.82</v>
      </c>
      <c r="L1079" s="16" t="n">
        <f aca="false">H1079*J1079</f>
        <v>39</v>
      </c>
      <c r="M1079" s="16" t="n">
        <f aca="false">K1079-L1079</f>
        <v>62.82</v>
      </c>
      <c r="N1079" s="17" t="n">
        <f aca="false">IFERROR(M1079/K1079,0)</f>
        <v>0.616971125515616</v>
      </c>
    </row>
    <row r="1080" customFormat="false" ht="15" hidden="false" customHeight="false" outlineLevel="0" collapsed="false">
      <c r="A1080" s="15" t="n">
        <v>46068</v>
      </c>
      <c r="B1080" s="14" t="s">
        <v>59</v>
      </c>
      <c r="C1080" s="14" t="s">
        <v>60</v>
      </c>
      <c r="D1080" s="14" t="s">
        <v>61</v>
      </c>
      <c r="E1080" s="14" t="s">
        <v>56</v>
      </c>
      <c r="F1080" s="14" t="s">
        <v>98</v>
      </c>
      <c r="G1080" s="14" t="s">
        <v>99</v>
      </c>
      <c r="H1080" s="0" t="n">
        <v>9</v>
      </c>
      <c r="I1080" s="16" t="n">
        <v>21.91</v>
      </c>
      <c r="J1080" s="16" t="n">
        <v>8</v>
      </c>
      <c r="K1080" s="16" t="n">
        <f aca="false">H1080*I1080</f>
        <v>197.19</v>
      </c>
      <c r="L1080" s="16" t="n">
        <f aca="false">H1080*J1080</f>
        <v>72</v>
      </c>
      <c r="M1080" s="16" t="n">
        <f aca="false">K1080-L1080</f>
        <v>125.19</v>
      </c>
      <c r="N1080" s="17" t="n">
        <f aca="false">IFERROR(M1080/K1080,0)</f>
        <v>0.634869922409859</v>
      </c>
    </row>
    <row r="1081" customFormat="false" ht="15" hidden="false" customHeight="false" outlineLevel="0" collapsed="false">
      <c r="A1081" s="15" t="n">
        <v>46068</v>
      </c>
      <c r="B1081" s="14" t="s">
        <v>59</v>
      </c>
      <c r="C1081" s="14" t="s">
        <v>60</v>
      </c>
      <c r="D1081" s="14" t="s">
        <v>61</v>
      </c>
      <c r="E1081" s="14" t="s">
        <v>64</v>
      </c>
      <c r="F1081" s="14" t="s">
        <v>94</v>
      </c>
      <c r="G1081" s="14" t="s">
        <v>95</v>
      </c>
      <c r="H1081" s="0" t="n">
        <v>1</v>
      </c>
      <c r="I1081" s="16" t="n">
        <v>97.15</v>
      </c>
      <c r="J1081" s="16" t="n">
        <v>42</v>
      </c>
      <c r="K1081" s="16" t="n">
        <f aca="false">H1081*I1081</f>
        <v>97.15</v>
      </c>
      <c r="L1081" s="16" t="n">
        <f aca="false">H1081*J1081</f>
        <v>42</v>
      </c>
      <c r="M1081" s="16" t="n">
        <f aca="false">K1081-L1081</f>
        <v>55.15</v>
      </c>
      <c r="N1081" s="17" t="n">
        <f aca="false">IFERROR(M1081/K1081,0)</f>
        <v>0.567678847143592</v>
      </c>
    </row>
    <row r="1082" customFormat="false" ht="15" hidden="false" customHeight="false" outlineLevel="0" collapsed="false">
      <c r="A1082" s="15" t="n">
        <v>46068</v>
      </c>
      <c r="B1082" s="14" t="s">
        <v>69</v>
      </c>
      <c r="C1082" s="14" t="s">
        <v>70</v>
      </c>
      <c r="D1082" s="14" t="s">
        <v>71</v>
      </c>
      <c r="E1082" s="14" t="s">
        <v>56</v>
      </c>
      <c r="F1082" s="14" t="s">
        <v>86</v>
      </c>
      <c r="G1082" s="14" t="s">
        <v>87</v>
      </c>
      <c r="H1082" s="0" t="n">
        <v>1</v>
      </c>
      <c r="I1082" s="16" t="n">
        <v>14.46</v>
      </c>
      <c r="J1082" s="16" t="n">
        <v>5</v>
      </c>
      <c r="K1082" s="16" t="n">
        <f aca="false">H1082*I1082</f>
        <v>14.46</v>
      </c>
      <c r="L1082" s="16" t="n">
        <f aca="false">H1082*J1082</f>
        <v>5</v>
      </c>
      <c r="M1082" s="16" t="n">
        <f aca="false">K1082-L1082</f>
        <v>9.46</v>
      </c>
      <c r="N1082" s="17" t="n">
        <f aca="false">IFERROR(M1082/K1082,0)</f>
        <v>0.654218533886584</v>
      </c>
    </row>
    <row r="1083" customFormat="false" ht="15" hidden="false" customHeight="false" outlineLevel="0" collapsed="false">
      <c r="A1083" s="15" t="n">
        <v>46068</v>
      </c>
      <c r="B1083" s="14" t="s">
        <v>69</v>
      </c>
      <c r="C1083" s="14" t="s">
        <v>70</v>
      </c>
      <c r="D1083" s="14" t="s">
        <v>71</v>
      </c>
      <c r="E1083" s="14" t="s">
        <v>53</v>
      </c>
      <c r="F1083" s="14" t="s">
        <v>84</v>
      </c>
      <c r="G1083" s="14" t="s">
        <v>85</v>
      </c>
      <c r="H1083" s="0" t="n">
        <v>6</v>
      </c>
      <c r="I1083" s="16" t="n">
        <v>23.79</v>
      </c>
      <c r="J1083" s="16" t="n">
        <v>9</v>
      </c>
      <c r="K1083" s="16" t="n">
        <f aca="false">H1083*I1083</f>
        <v>142.74</v>
      </c>
      <c r="L1083" s="16" t="n">
        <f aca="false">H1083*J1083</f>
        <v>54</v>
      </c>
      <c r="M1083" s="16" t="n">
        <f aca="false">K1083-L1083</f>
        <v>88.74</v>
      </c>
      <c r="N1083" s="17" t="n">
        <f aca="false">IFERROR(M1083/K1083,0)</f>
        <v>0.621689785624212</v>
      </c>
    </row>
    <row r="1084" customFormat="false" ht="15" hidden="false" customHeight="false" outlineLevel="0" collapsed="false">
      <c r="A1084" s="15" t="n">
        <v>46068</v>
      </c>
      <c r="B1084" s="14" t="s">
        <v>69</v>
      </c>
      <c r="C1084" s="14" t="s">
        <v>70</v>
      </c>
      <c r="D1084" s="14" t="s">
        <v>71</v>
      </c>
      <c r="E1084" s="14" t="s">
        <v>53</v>
      </c>
      <c r="F1084" s="14" t="s">
        <v>84</v>
      </c>
      <c r="G1084" s="14" t="s">
        <v>85</v>
      </c>
      <c r="H1084" s="0" t="n">
        <v>6</v>
      </c>
      <c r="I1084" s="16" t="n">
        <v>23.44</v>
      </c>
      <c r="J1084" s="16" t="n">
        <v>9</v>
      </c>
      <c r="K1084" s="16" t="n">
        <f aca="false">H1084*I1084</f>
        <v>140.64</v>
      </c>
      <c r="L1084" s="16" t="n">
        <f aca="false">H1084*J1084</f>
        <v>54</v>
      </c>
      <c r="M1084" s="16" t="n">
        <f aca="false">K1084-L1084</f>
        <v>86.64</v>
      </c>
      <c r="N1084" s="17" t="n">
        <f aca="false">IFERROR(M1084/K1084,0)</f>
        <v>0.616040955631399</v>
      </c>
    </row>
    <row r="1085" customFormat="false" ht="15" hidden="false" customHeight="false" outlineLevel="0" collapsed="false">
      <c r="A1085" s="15" t="n">
        <v>46068</v>
      </c>
      <c r="B1085" s="14" t="s">
        <v>69</v>
      </c>
      <c r="C1085" s="14" t="s">
        <v>70</v>
      </c>
      <c r="D1085" s="14" t="s">
        <v>71</v>
      </c>
      <c r="E1085" s="14" t="s">
        <v>45</v>
      </c>
      <c r="F1085" s="14" t="s">
        <v>72</v>
      </c>
      <c r="G1085" s="14" t="s">
        <v>73</v>
      </c>
      <c r="H1085" s="0" t="n">
        <v>4</v>
      </c>
      <c r="I1085" s="16" t="n">
        <v>49.99</v>
      </c>
      <c r="J1085" s="16" t="n">
        <v>21</v>
      </c>
      <c r="K1085" s="16" t="n">
        <f aca="false">H1085*I1085</f>
        <v>199.96</v>
      </c>
      <c r="L1085" s="16" t="n">
        <f aca="false">H1085*J1085</f>
        <v>84</v>
      </c>
      <c r="M1085" s="16" t="n">
        <f aca="false">K1085-L1085</f>
        <v>115.96</v>
      </c>
      <c r="N1085" s="17" t="n">
        <f aca="false">IFERROR(M1085/K1085,0)</f>
        <v>0.579915983196639</v>
      </c>
    </row>
    <row r="1086" customFormat="false" ht="15" hidden="false" customHeight="false" outlineLevel="0" collapsed="false">
      <c r="A1086" s="15" t="n">
        <v>46068</v>
      </c>
      <c r="B1086" s="14" t="s">
        <v>81</v>
      </c>
      <c r="C1086" s="14" t="s">
        <v>82</v>
      </c>
      <c r="D1086" s="14" t="s">
        <v>83</v>
      </c>
      <c r="E1086" s="14" t="s">
        <v>76</v>
      </c>
      <c r="F1086" s="14" t="s">
        <v>102</v>
      </c>
      <c r="G1086" s="14" t="s">
        <v>103</v>
      </c>
      <c r="H1086" s="0" t="n">
        <v>4</v>
      </c>
      <c r="I1086" s="16" t="n">
        <v>22.87</v>
      </c>
      <c r="J1086" s="16" t="n">
        <v>8.5</v>
      </c>
      <c r="K1086" s="16" t="n">
        <f aca="false">H1086*I1086</f>
        <v>91.48</v>
      </c>
      <c r="L1086" s="16" t="n">
        <f aca="false">H1086*J1086</f>
        <v>34</v>
      </c>
      <c r="M1086" s="16" t="n">
        <f aca="false">K1086-L1086</f>
        <v>57.48</v>
      </c>
      <c r="N1086" s="17" t="n">
        <f aca="false">IFERROR(M1086/K1086,0)</f>
        <v>0.628334062090074</v>
      </c>
    </row>
    <row r="1087" customFormat="false" ht="15" hidden="false" customHeight="false" outlineLevel="0" collapsed="false">
      <c r="A1087" s="15" t="n">
        <v>46068</v>
      </c>
      <c r="B1087" s="14" t="s">
        <v>81</v>
      </c>
      <c r="C1087" s="14" t="s">
        <v>82</v>
      </c>
      <c r="D1087" s="14" t="s">
        <v>83</v>
      </c>
      <c r="E1087" s="14" t="s">
        <v>45</v>
      </c>
      <c r="F1087" s="14" t="s">
        <v>62</v>
      </c>
      <c r="G1087" s="14" t="s">
        <v>63</v>
      </c>
      <c r="H1087" s="0" t="n">
        <v>3</v>
      </c>
      <c r="I1087" s="16" t="n">
        <v>16.98</v>
      </c>
      <c r="J1087" s="16" t="n">
        <v>6.5</v>
      </c>
      <c r="K1087" s="16" t="n">
        <f aca="false">H1087*I1087</f>
        <v>50.94</v>
      </c>
      <c r="L1087" s="16" t="n">
        <f aca="false">H1087*J1087</f>
        <v>19.5</v>
      </c>
      <c r="M1087" s="16" t="n">
        <f aca="false">K1087-L1087</f>
        <v>31.44</v>
      </c>
      <c r="N1087" s="17" t="n">
        <f aca="false">IFERROR(M1087/K1087,0)</f>
        <v>0.617196702002356</v>
      </c>
    </row>
    <row r="1088" customFormat="false" ht="15" hidden="false" customHeight="false" outlineLevel="0" collapsed="false">
      <c r="A1088" s="15" t="n">
        <v>46068</v>
      </c>
      <c r="B1088" s="14" t="s">
        <v>81</v>
      </c>
      <c r="C1088" s="14" t="s">
        <v>82</v>
      </c>
      <c r="D1088" s="14" t="s">
        <v>83</v>
      </c>
      <c r="E1088" s="14" t="s">
        <v>64</v>
      </c>
      <c r="F1088" s="14" t="s">
        <v>90</v>
      </c>
      <c r="G1088" s="14" t="s">
        <v>91</v>
      </c>
      <c r="H1088" s="0" t="n">
        <v>4</v>
      </c>
      <c r="I1088" s="16" t="n">
        <v>11.71</v>
      </c>
      <c r="J1088" s="16" t="n">
        <v>3.5</v>
      </c>
      <c r="K1088" s="16" t="n">
        <f aca="false">H1088*I1088</f>
        <v>46.84</v>
      </c>
      <c r="L1088" s="16" t="n">
        <f aca="false">H1088*J1088</f>
        <v>14</v>
      </c>
      <c r="M1088" s="16" t="n">
        <f aca="false">K1088-L1088</f>
        <v>32.84</v>
      </c>
      <c r="N1088" s="17" t="n">
        <f aca="false">IFERROR(M1088/K1088,0)</f>
        <v>0.701110162254483</v>
      </c>
    </row>
    <row r="1089" customFormat="false" ht="15" hidden="false" customHeight="false" outlineLevel="0" collapsed="false">
      <c r="A1089" s="15" t="n">
        <v>46068</v>
      </c>
      <c r="B1089" s="14" t="s">
        <v>81</v>
      </c>
      <c r="C1089" s="14" t="s">
        <v>82</v>
      </c>
      <c r="D1089" s="14" t="s">
        <v>83</v>
      </c>
      <c r="E1089" s="14" t="s">
        <v>64</v>
      </c>
      <c r="F1089" s="14" t="s">
        <v>96</v>
      </c>
      <c r="G1089" s="14" t="s">
        <v>97</v>
      </c>
      <c r="H1089" s="0" t="n">
        <v>5</v>
      </c>
      <c r="I1089" s="16" t="n">
        <v>54.37</v>
      </c>
      <c r="J1089" s="16" t="n">
        <v>24</v>
      </c>
      <c r="K1089" s="16" t="n">
        <f aca="false">H1089*I1089</f>
        <v>271.85</v>
      </c>
      <c r="L1089" s="16" t="n">
        <f aca="false">H1089*J1089</f>
        <v>120</v>
      </c>
      <c r="M1089" s="16" t="n">
        <f aca="false">K1089-L1089</f>
        <v>151.85</v>
      </c>
      <c r="N1089" s="17" t="n">
        <f aca="false">IFERROR(M1089/K1089,0)</f>
        <v>0.558580099319478</v>
      </c>
    </row>
    <row r="1090" customFormat="false" ht="15" hidden="false" customHeight="false" outlineLevel="0" collapsed="false">
      <c r="A1090" s="15" t="n">
        <v>46068</v>
      </c>
      <c r="B1090" s="14" t="s">
        <v>81</v>
      </c>
      <c r="C1090" s="14" t="s">
        <v>82</v>
      </c>
      <c r="D1090" s="14" t="s">
        <v>83</v>
      </c>
      <c r="E1090" s="14" t="s">
        <v>45</v>
      </c>
      <c r="F1090" s="14" t="s">
        <v>48</v>
      </c>
      <c r="G1090" s="14" t="s">
        <v>49</v>
      </c>
      <c r="H1090" s="0" t="n">
        <v>3</v>
      </c>
      <c r="I1090" s="16" t="n">
        <v>67.85</v>
      </c>
      <c r="J1090" s="16" t="n">
        <v>27.5</v>
      </c>
      <c r="K1090" s="16" t="n">
        <f aca="false">H1090*I1090</f>
        <v>203.55</v>
      </c>
      <c r="L1090" s="16" t="n">
        <f aca="false">H1090*J1090</f>
        <v>82.5</v>
      </c>
      <c r="M1090" s="16" t="n">
        <f aca="false">K1090-L1090</f>
        <v>121.05</v>
      </c>
      <c r="N1090" s="17" t="n">
        <f aca="false">IFERROR(M1090/K1090,0)</f>
        <v>0.594694178334562</v>
      </c>
    </row>
    <row r="1091" customFormat="false" ht="15" hidden="false" customHeight="false" outlineLevel="0" collapsed="false">
      <c r="A1091" s="15" t="n">
        <v>46068</v>
      </c>
      <c r="B1091" s="14" t="s">
        <v>81</v>
      </c>
      <c r="C1091" s="14" t="s">
        <v>82</v>
      </c>
      <c r="D1091" s="14" t="s">
        <v>83</v>
      </c>
      <c r="E1091" s="14" t="s">
        <v>76</v>
      </c>
      <c r="F1091" s="14" t="s">
        <v>102</v>
      </c>
      <c r="G1091" s="14" t="s">
        <v>103</v>
      </c>
      <c r="H1091" s="0" t="n">
        <v>3</v>
      </c>
      <c r="I1091" s="16" t="n">
        <v>23.45</v>
      </c>
      <c r="J1091" s="16" t="n">
        <v>8.5</v>
      </c>
      <c r="K1091" s="16" t="n">
        <f aca="false">H1091*I1091</f>
        <v>70.35</v>
      </c>
      <c r="L1091" s="16" t="n">
        <f aca="false">H1091*J1091</f>
        <v>25.5</v>
      </c>
      <c r="M1091" s="16" t="n">
        <f aca="false">K1091-L1091</f>
        <v>44.85</v>
      </c>
      <c r="N1091" s="17" t="n">
        <f aca="false">IFERROR(M1091/K1091,0)</f>
        <v>0.637526652452026</v>
      </c>
    </row>
    <row r="1092" customFormat="false" ht="15" hidden="false" customHeight="false" outlineLevel="0" collapsed="false">
      <c r="A1092" s="15" t="n">
        <v>46068</v>
      </c>
      <c r="B1092" s="14" t="s">
        <v>88</v>
      </c>
      <c r="C1092" s="14" t="s">
        <v>89</v>
      </c>
      <c r="D1092" s="14" t="s">
        <v>44</v>
      </c>
      <c r="E1092" s="14" t="s">
        <v>53</v>
      </c>
      <c r="F1092" s="14" t="s">
        <v>74</v>
      </c>
      <c r="G1092" s="14" t="s">
        <v>75</v>
      </c>
      <c r="H1092" s="0" t="n">
        <v>3</v>
      </c>
      <c r="I1092" s="16" t="n">
        <v>81.98</v>
      </c>
      <c r="J1092" s="16" t="n">
        <v>38</v>
      </c>
      <c r="K1092" s="16" t="n">
        <f aca="false">H1092*I1092</f>
        <v>245.94</v>
      </c>
      <c r="L1092" s="16" t="n">
        <f aca="false">H1092*J1092</f>
        <v>114</v>
      </c>
      <c r="M1092" s="16" t="n">
        <f aca="false">K1092-L1092</f>
        <v>131.94</v>
      </c>
      <c r="N1092" s="17" t="n">
        <f aca="false">IFERROR(M1092/K1092,0)</f>
        <v>0.53647231031959</v>
      </c>
    </row>
    <row r="1093" customFormat="false" ht="15" hidden="false" customHeight="false" outlineLevel="0" collapsed="false">
      <c r="A1093" s="15" t="n">
        <v>46068</v>
      </c>
      <c r="B1093" s="14" t="s">
        <v>88</v>
      </c>
      <c r="C1093" s="14" t="s">
        <v>89</v>
      </c>
      <c r="D1093" s="14" t="s">
        <v>44</v>
      </c>
      <c r="E1093" s="14" t="s">
        <v>53</v>
      </c>
      <c r="F1093" s="14" t="s">
        <v>92</v>
      </c>
      <c r="G1093" s="14" t="s">
        <v>93</v>
      </c>
      <c r="H1093" s="0" t="n">
        <v>8</v>
      </c>
      <c r="I1093" s="16" t="n">
        <v>113.39</v>
      </c>
      <c r="J1093" s="16" t="n">
        <v>52</v>
      </c>
      <c r="K1093" s="16" t="n">
        <f aca="false">H1093*I1093</f>
        <v>907.12</v>
      </c>
      <c r="L1093" s="16" t="n">
        <f aca="false">H1093*J1093</f>
        <v>416</v>
      </c>
      <c r="M1093" s="16" t="n">
        <f aca="false">K1093-L1093</f>
        <v>491.12</v>
      </c>
      <c r="N1093" s="17" t="n">
        <f aca="false">IFERROR(M1093/K1093,0)</f>
        <v>0.541405767704383</v>
      </c>
    </row>
    <row r="1094" customFormat="false" ht="15" hidden="false" customHeight="false" outlineLevel="0" collapsed="false">
      <c r="A1094" s="15" t="n">
        <v>46069</v>
      </c>
      <c r="B1094" s="14" t="s">
        <v>42</v>
      </c>
      <c r="C1094" s="14" t="s">
        <v>43</v>
      </c>
      <c r="D1094" s="14" t="s">
        <v>44</v>
      </c>
      <c r="E1094" s="14" t="s">
        <v>76</v>
      </c>
      <c r="F1094" s="14" t="s">
        <v>100</v>
      </c>
      <c r="G1094" s="14" t="s">
        <v>101</v>
      </c>
      <c r="H1094" s="0" t="n">
        <v>1</v>
      </c>
      <c r="I1094" s="16" t="n">
        <v>15.14</v>
      </c>
      <c r="J1094" s="16" t="n">
        <v>5.5</v>
      </c>
      <c r="K1094" s="16" t="n">
        <f aca="false">H1094*I1094</f>
        <v>15.14</v>
      </c>
      <c r="L1094" s="16" t="n">
        <f aca="false">H1094*J1094</f>
        <v>5.5</v>
      </c>
      <c r="M1094" s="16" t="n">
        <f aca="false">K1094-L1094</f>
        <v>9.64</v>
      </c>
      <c r="N1094" s="17" t="n">
        <f aca="false">IFERROR(M1094/K1094,0)</f>
        <v>0.636723910171731</v>
      </c>
    </row>
    <row r="1095" customFormat="false" ht="15" hidden="false" customHeight="false" outlineLevel="0" collapsed="false">
      <c r="A1095" s="15" t="n">
        <v>46069</v>
      </c>
      <c r="B1095" s="14" t="s">
        <v>42</v>
      </c>
      <c r="C1095" s="14" t="s">
        <v>43</v>
      </c>
      <c r="D1095" s="14" t="s">
        <v>44</v>
      </c>
      <c r="E1095" s="14" t="s">
        <v>53</v>
      </c>
      <c r="F1095" s="14" t="s">
        <v>74</v>
      </c>
      <c r="G1095" s="14" t="s">
        <v>75</v>
      </c>
      <c r="H1095" s="0" t="n">
        <v>6</v>
      </c>
      <c r="I1095" s="16" t="n">
        <v>87.4</v>
      </c>
      <c r="J1095" s="16" t="n">
        <v>38</v>
      </c>
      <c r="K1095" s="16" t="n">
        <f aca="false">H1095*I1095</f>
        <v>524.4</v>
      </c>
      <c r="L1095" s="16" t="n">
        <f aca="false">H1095*J1095</f>
        <v>228</v>
      </c>
      <c r="M1095" s="16" t="n">
        <f aca="false">K1095-L1095</f>
        <v>296.4</v>
      </c>
      <c r="N1095" s="17" t="n">
        <f aca="false">IFERROR(M1095/K1095,0)</f>
        <v>0.565217391304348</v>
      </c>
    </row>
    <row r="1096" customFormat="false" ht="15" hidden="false" customHeight="false" outlineLevel="0" collapsed="false">
      <c r="A1096" s="15" t="n">
        <v>46069</v>
      </c>
      <c r="B1096" s="14" t="s">
        <v>42</v>
      </c>
      <c r="C1096" s="14" t="s">
        <v>43</v>
      </c>
      <c r="D1096" s="14" t="s">
        <v>44</v>
      </c>
      <c r="E1096" s="14" t="s">
        <v>45</v>
      </c>
      <c r="F1096" s="14" t="s">
        <v>72</v>
      </c>
      <c r="G1096" s="14" t="s">
        <v>73</v>
      </c>
      <c r="H1096" s="0" t="n">
        <v>4</v>
      </c>
      <c r="I1096" s="16" t="n">
        <v>48.64</v>
      </c>
      <c r="J1096" s="16" t="n">
        <v>21</v>
      </c>
      <c r="K1096" s="16" t="n">
        <f aca="false">H1096*I1096</f>
        <v>194.56</v>
      </c>
      <c r="L1096" s="16" t="n">
        <f aca="false">H1096*J1096</f>
        <v>84</v>
      </c>
      <c r="M1096" s="16" t="n">
        <f aca="false">K1096-L1096</f>
        <v>110.56</v>
      </c>
      <c r="N1096" s="17" t="n">
        <f aca="false">IFERROR(M1096/K1096,0)</f>
        <v>0.568256578947369</v>
      </c>
    </row>
    <row r="1097" customFormat="false" ht="15" hidden="false" customHeight="false" outlineLevel="0" collapsed="false">
      <c r="A1097" s="15" t="n">
        <v>46069</v>
      </c>
      <c r="B1097" s="14" t="s">
        <v>42</v>
      </c>
      <c r="C1097" s="14" t="s">
        <v>43</v>
      </c>
      <c r="D1097" s="14" t="s">
        <v>44</v>
      </c>
      <c r="E1097" s="14" t="s">
        <v>76</v>
      </c>
      <c r="F1097" s="14" t="s">
        <v>100</v>
      </c>
      <c r="G1097" s="14" t="s">
        <v>101</v>
      </c>
      <c r="H1097" s="0" t="n">
        <v>1</v>
      </c>
      <c r="I1097" s="16" t="n">
        <v>14.88</v>
      </c>
      <c r="J1097" s="16" t="n">
        <v>5.5</v>
      </c>
      <c r="K1097" s="16" t="n">
        <f aca="false">H1097*I1097</f>
        <v>14.88</v>
      </c>
      <c r="L1097" s="16" t="n">
        <f aca="false">H1097*J1097</f>
        <v>5.5</v>
      </c>
      <c r="M1097" s="16" t="n">
        <f aca="false">K1097-L1097</f>
        <v>9.38</v>
      </c>
      <c r="N1097" s="17" t="n">
        <f aca="false">IFERROR(M1097/K1097,0)</f>
        <v>0.630376344086022</v>
      </c>
    </row>
    <row r="1098" customFormat="false" ht="15" hidden="false" customHeight="false" outlineLevel="0" collapsed="false">
      <c r="A1098" s="15" t="n">
        <v>46069</v>
      </c>
      <c r="B1098" s="14" t="s">
        <v>42</v>
      </c>
      <c r="C1098" s="14" t="s">
        <v>43</v>
      </c>
      <c r="D1098" s="14" t="s">
        <v>44</v>
      </c>
      <c r="E1098" s="14" t="s">
        <v>53</v>
      </c>
      <c r="F1098" s="14" t="s">
        <v>84</v>
      </c>
      <c r="G1098" s="14" t="s">
        <v>85</v>
      </c>
      <c r="H1098" s="0" t="n">
        <v>9</v>
      </c>
      <c r="I1098" s="16" t="n">
        <v>23.49</v>
      </c>
      <c r="J1098" s="16" t="n">
        <v>9</v>
      </c>
      <c r="K1098" s="16" t="n">
        <f aca="false">H1098*I1098</f>
        <v>211.41</v>
      </c>
      <c r="L1098" s="16" t="n">
        <f aca="false">H1098*J1098</f>
        <v>81</v>
      </c>
      <c r="M1098" s="16" t="n">
        <f aca="false">K1098-L1098</f>
        <v>130.41</v>
      </c>
      <c r="N1098" s="17" t="n">
        <f aca="false">IFERROR(M1098/K1098,0)</f>
        <v>0.616858237547893</v>
      </c>
    </row>
    <row r="1099" customFormat="false" ht="15" hidden="false" customHeight="false" outlineLevel="0" collapsed="false">
      <c r="A1099" s="15" t="n">
        <v>46069</v>
      </c>
      <c r="B1099" s="14" t="s">
        <v>50</v>
      </c>
      <c r="C1099" s="14" t="s">
        <v>51</v>
      </c>
      <c r="D1099" s="14" t="s">
        <v>52</v>
      </c>
      <c r="E1099" s="14" t="s">
        <v>53</v>
      </c>
      <c r="F1099" s="14" t="s">
        <v>84</v>
      </c>
      <c r="G1099" s="14" t="s">
        <v>85</v>
      </c>
      <c r="H1099" s="0" t="n">
        <v>2</v>
      </c>
      <c r="I1099" s="16" t="n">
        <v>24.04</v>
      </c>
      <c r="J1099" s="16" t="n">
        <v>9</v>
      </c>
      <c r="K1099" s="16" t="n">
        <f aca="false">H1099*I1099</f>
        <v>48.08</v>
      </c>
      <c r="L1099" s="16" t="n">
        <f aca="false">H1099*J1099</f>
        <v>18</v>
      </c>
      <c r="M1099" s="16" t="n">
        <f aca="false">K1099-L1099</f>
        <v>30.08</v>
      </c>
      <c r="N1099" s="17" t="n">
        <f aca="false">IFERROR(M1099/K1099,0)</f>
        <v>0.625623960066556</v>
      </c>
    </row>
    <row r="1100" customFormat="false" ht="15" hidden="false" customHeight="false" outlineLevel="0" collapsed="false">
      <c r="A1100" s="15" t="n">
        <v>46069</v>
      </c>
      <c r="B1100" s="14" t="s">
        <v>50</v>
      </c>
      <c r="C1100" s="14" t="s">
        <v>51</v>
      </c>
      <c r="D1100" s="14" t="s">
        <v>52</v>
      </c>
      <c r="E1100" s="14" t="s">
        <v>53</v>
      </c>
      <c r="F1100" s="14" t="s">
        <v>84</v>
      </c>
      <c r="G1100" s="14" t="s">
        <v>85</v>
      </c>
      <c r="H1100" s="0" t="n">
        <v>7</v>
      </c>
      <c r="I1100" s="16" t="n">
        <v>24.36</v>
      </c>
      <c r="J1100" s="16" t="n">
        <v>9</v>
      </c>
      <c r="K1100" s="16" t="n">
        <f aca="false">H1100*I1100</f>
        <v>170.52</v>
      </c>
      <c r="L1100" s="16" t="n">
        <f aca="false">H1100*J1100</f>
        <v>63</v>
      </c>
      <c r="M1100" s="16" t="n">
        <f aca="false">K1100-L1100</f>
        <v>107.52</v>
      </c>
      <c r="N1100" s="17" t="n">
        <f aca="false">IFERROR(M1100/K1100,0)</f>
        <v>0.630541871921182</v>
      </c>
    </row>
    <row r="1101" customFormat="false" ht="15" hidden="false" customHeight="false" outlineLevel="0" collapsed="false">
      <c r="A1101" s="15" t="n">
        <v>46069</v>
      </c>
      <c r="B1101" s="14" t="s">
        <v>59</v>
      </c>
      <c r="C1101" s="14" t="s">
        <v>60</v>
      </c>
      <c r="D1101" s="14" t="s">
        <v>61</v>
      </c>
      <c r="E1101" s="14" t="s">
        <v>76</v>
      </c>
      <c r="F1101" s="14" t="s">
        <v>77</v>
      </c>
      <c r="G1101" s="14" t="s">
        <v>78</v>
      </c>
      <c r="H1101" s="0" t="n">
        <v>1</v>
      </c>
      <c r="I1101" s="16" t="n">
        <v>41.14</v>
      </c>
      <c r="J1101" s="16" t="n">
        <v>15</v>
      </c>
      <c r="K1101" s="16" t="n">
        <f aca="false">H1101*I1101</f>
        <v>41.14</v>
      </c>
      <c r="L1101" s="16" t="n">
        <f aca="false">H1101*J1101</f>
        <v>15</v>
      </c>
      <c r="M1101" s="16" t="n">
        <f aca="false">K1101-L1101</f>
        <v>26.14</v>
      </c>
      <c r="N1101" s="17" t="n">
        <f aca="false">IFERROR(M1101/K1101,0)</f>
        <v>0.635391346621293</v>
      </c>
    </row>
    <row r="1102" customFormat="false" ht="15" hidden="false" customHeight="false" outlineLevel="0" collapsed="false">
      <c r="A1102" s="15" t="n">
        <v>46069</v>
      </c>
      <c r="B1102" s="14" t="s">
        <v>59</v>
      </c>
      <c r="C1102" s="14" t="s">
        <v>60</v>
      </c>
      <c r="D1102" s="14" t="s">
        <v>61</v>
      </c>
      <c r="E1102" s="14" t="s">
        <v>56</v>
      </c>
      <c r="F1102" s="14" t="s">
        <v>98</v>
      </c>
      <c r="G1102" s="14" t="s">
        <v>99</v>
      </c>
      <c r="H1102" s="0" t="n">
        <v>4</v>
      </c>
      <c r="I1102" s="16" t="n">
        <v>21.09</v>
      </c>
      <c r="J1102" s="16" t="n">
        <v>8</v>
      </c>
      <c r="K1102" s="16" t="n">
        <f aca="false">H1102*I1102</f>
        <v>84.36</v>
      </c>
      <c r="L1102" s="16" t="n">
        <f aca="false">H1102*J1102</f>
        <v>32</v>
      </c>
      <c r="M1102" s="16" t="n">
        <f aca="false">K1102-L1102</f>
        <v>52.36</v>
      </c>
      <c r="N1102" s="17" t="n">
        <f aca="false">IFERROR(M1102/K1102,0)</f>
        <v>0.620673304883831</v>
      </c>
    </row>
    <row r="1103" customFormat="false" ht="15" hidden="false" customHeight="false" outlineLevel="0" collapsed="false">
      <c r="A1103" s="15" t="n">
        <v>46069</v>
      </c>
      <c r="B1103" s="14" t="s">
        <v>59</v>
      </c>
      <c r="C1103" s="14" t="s">
        <v>60</v>
      </c>
      <c r="D1103" s="14" t="s">
        <v>61</v>
      </c>
      <c r="E1103" s="14" t="s">
        <v>76</v>
      </c>
      <c r="F1103" s="14" t="s">
        <v>77</v>
      </c>
      <c r="G1103" s="14" t="s">
        <v>78</v>
      </c>
      <c r="H1103" s="0" t="n">
        <v>5</v>
      </c>
      <c r="I1103" s="16" t="n">
        <v>41.62</v>
      </c>
      <c r="J1103" s="16" t="n">
        <v>15</v>
      </c>
      <c r="K1103" s="16" t="n">
        <f aca="false">H1103*I1103</f>
        <v>208.1</v>
      </c>
      <c r="L1103" s="16" t="n">
        <f aca="false">H1103*J1103</f>
        <v>75</v>
      </c>
      <c r="M1103" s="16" t="n">
        <f aca="false">K1103-L1103</f>
        <v>133.1</v>
      </c>
      <c r="N1103" s="17" t="n">
        <f aca="false">IFERROR(M1103/K1103,0)</f>
        <v>0.639596347909659</v>
      </c>
    </row>
    <row r="1104" customFormat="false" ht="15" hidden="false" customHeight="false" outlineLevel="0" collapsed="false">
      <c r="A1104" s="15" t="n">
        <v>46069</v>
      </c>
      <c r="B1104" s="14" t="s">
        <v>59</v>
      </c>
      <c r="C1104" s="14" t="s">
        <v>60</v>
      </c>
      <c r="D1104" s="14" t="s">
        <v>61</v>
      </c>
      <c r="E1104" s="14" t="s">
        <v>53</v>
      </c>
      <c r="F1104" s="14" t="s">
        <v>74</v>
      </c>
      <c r="G1104" s="14" t="s">
        <v>75</v>
      </c>
      <c r="H1104" s="0" t="n">
        <v>3</v>
      </c>
      <c r="I1104" s="16" t="n">
        <v>86.39</v>
      </c>
      <c r="J1104" s="16" t="n">
        <v>38</v>
      </c>
      <c r="K1104" s="16" t="n">
        <f aca="false">H1104*I1104</f>
        <v>259.17</v>
      </c>
      <c r="L1104" s="16" t="n">
        <f aca="false">H1104*J1104</f>
        <v>114</v>
      </c>
      <c r="M1104" s="16" t="n">
        <f aca="false">K1104-L1104</f>
        <v>145.17</v>
      </c>
      <c r="N1104" s="17" t="n">
        <f aca="false">IFERROR(M1104/K1104,0)</f>
        <v>0.560134274800324</v>
      </c>
    </row>
    <row r="1105" customFormat="false" ht="15" hidden="false" customHeight="false" outlineLevel="0" collapsed="false">
      <c r="A1105" s="15" t="n">
        <v>46069</v>
      </c>
      <c r="B1105" s="14" t="s">
        <v>69</v>
      </c>
      <c r="C1105" s="14" t="s">
        <v>70</v>
      </c>
      <c r="D1105" s="14" t="s">
        <v>71</v>
      </c>
      <c r="E1105" s="14" t="s">
        <v>45</v>
      </c>
      <c r="F1105" s="14" t="s">
        <v>62</v>
      </c>
      <c r="G1105" s="14" t="s">
        <v>63</v>
      </c>
      <c r="H1105" s="0" t="n">
        <v>4</v>
      </c>
      <c r="I1105" s="16" t="n">
        <v>17.4</v>
      </c>
      <c r="J1105" s="16" t="n">
        <v>6.5</v>
      </c>
      <c r="K1105" s="16" t="n">
        <f aca="false">H1105*I1105</f>
        <v>69.6</v>
      </c>
      <c r="L1105" s="16" t="n">
        <f aca="false">H1105*J1105</f>
        <v>26</v>
      </c>
      <c r="M1105" s="16" t="n">
        <f aca="false">K1105-L1105</f>
        <v>43.6</v>
      </c>
      <c r="N1105" s="17" t="n">
        <f aca="false">IFERROR(M1105/K1105,0)</f>
        <v>0.626436781609195</v>
      </c>
    </row>
    <row r="1106" customFormat="false" ht="15" hidden="false" customHeight="false" outlineLevel="0" collapsed="false">
      <c r="A1106" s="15" t="n">
        <v>46069</v>
      </c>
      <c r="B1106" s="14" t="s">
        <v>69</v>
      </c>
      <c r="C1106" s="14" t="s">
        <v>70</v>
      </c>
      <c r="D1106" s="14" t="s">
        <v>71</v>
      </c>
      <c r="E1106" s="14" t="s">
        <v>64</v>
      </c>
      <c r="F1106" s="14" t="s">
        <v>96</v>
      </c>
      <c r="G1106" s="14" t="s">
        <v>97</v>
      </c>
      <c r="H1106" s="0" t="n">
        <v>1</v>
      </c>
      <c r="I1106" s="16" t="n">
        <v>58.85</v>
      </c>
      <c r="J1106" s="16" t="n">
        <v>24</v>
      </c>
      <c r="K1106" s="16" t="n">
        <f aca="false">H1106*I1106</f>
        <v>58.85</v>
      </c>
      <c r="L1106" s="16" t="n">
        <f aca="false">H1106*J1106</f>
        <v>24</v>
      </c>
      <c r="M1106" s="16" t="n">
        <f aca="false">K1106-L1106</f>
        <v>34.85</v>
      </c>
      <c r="N1106" s="17" t="n">
        <f aca="false">IFERROR(M1106/K1106,0)</f>
        <v>0.592183517417162</v>
      </c>
    </row>
    <row r="1107" customFormat="false" ht="15" hidden="false" customHeight="false" outlineLevel="0" collapsed="false">
      <c r="A1107" s="15" t="n">
        <v>46069</v>
      </c>
      <c r="B1107" s="14" t="s">
        <v>69</v>
      </c>
      <c r="C1107" s="14" t="s">
        <v>70</v>
      </c>
      <c r="D1107" s="14" t="s">
        <v>71</v>
      </c>
      <c r="E1107" s="14" t="s">
        <v>56</v>
      </c>
      <c r="F1107" s="14" t="s">
        <v>57</v>
      </c>
      <c r="G1107" s="14" t="s">
        <v>58</v>
      </c>
      <c r="H1107" s="0" t="n">
        <v>3</v>
      </c>
      <c r="I1107" s="16" t="n">
        <v>25.64</v>
      </c>
      <c r="J1107" s="16" t="n">
        <v>10</v>
      </c>
      <c r="K1107" s="16" t="n">
        <f aca="false">H1107*I1107</f>
        <v>76.92</v>
      </c>
      <c r="L1107" s="16" t="n">
        <f aca="false">H1107*J1107</f>
        <v>30</v>
      </c>
      <c r="M1107" s="16" t="n">
        <f aca="false">K1107-L1107</f>
        <v>46.92</v>
      </c>
      <c r="N1107" s="17" t="n">
        <f aca="false">IFERROR(M1107/K1107,0)</f>
        <v>0.609984399375975</v>
      </c>
    </row>
    <row r="1108" customFormat="false" ht="15" hidden="false" customHeight="false" outlineLevel="0" collapsed="false">
      <c r="A1108" s="15" t="n">
        <v>46069</v>
      </c>
      <c r="B1108" s="14" t="s">
        <v>69</v>
      </c>
      <c r="C1108" s="14" t="s">
        <v>70</v>
      </c>
      <c r="D1108" s="14" t="s">
        <v>71</v>
      </c>
      <c r="E1108" s="14" t="s">
        <v>45</v>
      </c>
      <c r="F1108" s="14" t="s">
        <v>62</v>
      </c>
      <c r="G1108" s="14" t="s">
        <v>63</v>
      </c>
      <c r="H1108" s="0" t="n">
        <v>2</v>
      </c>
      <c r="I1108" s="16" t="n">
        <v>17.28</v>
      </c>
      <c r="J1108" s="16" t="n">
        <v>6.5</v>
      </c>
      <c r="K1108" s="16" t="n">
        <f aca="false">H1108*I1108</f>
        <v>34.56</v>
      </c>
      <c r="L1108" s="16" t="n">
        <f aca="false">H1108*J1108</f>
        <v>13</v>
      </c>
      <c r="M1108" s="16" t="n">
        <f aca="false">K1108-L1108</f>
        <v>21.56</v>
      </c>
      <c r="N1108" s="17" t="n">
        <f aca="false">IFERROR(M1108/K1108,0)</f>
        <v>0.623842592592593</v>
      </c>
    </row>
    <row r="1109" customFormat="false" ht="15" hidden="false" customHeight="false" outlineLevel="0" collapsed="false">
      <c r="A1109" s="15" t="n">
        <v>46069</v>
      </c>
      <c r="B1109" s="14" t="s">
        <v>81</v>
      </c>
      <c r="C1109" s="14" t="s">
        <v>82</v>
      </c>
      <c r="D1109" s="14" t="s">
        <v>83</v>
      </c>
      <c r="E1109" s="14" t="s">
        <v>76</v>
      </c>
      <c r="F1109" s="14" t="s">
        <v>79</v>
      </c>
      <c r="G1109" s="14" t="s">
        <v>80</v>
      </c>
      <c r="H1109" s="0" t="n">
        <v>1</v>
      </c>
      <c r="I1109" s="16" t="n">
        <v>28.45</v>
      </c>
      <c r="J1109" s="16" t="n">
        <v>11</v>
      </c>
      <c r="K1109" s="16" t="n">
        <f aca="false">H1109*I1109</f>
        <v>28.45</v>
      </c>
      <c r="L1109" s="16" t="n">
        <f aca="false">H1109*J1109</f>
        <v>11</v>
      </c>
      <c r="M1109" s="16" t="n">
        <f aca="false">K1109-L1109</f>
        <v>17.45</v>
      </c>
      <c r="N1109" s="17" t="n">
        <f aca="false">IFERROR(M1109/K1109,0)</f>
        <v>0.613356766256591</v>
      </c>
    </row>
    <row r="1110" customFormat="false" ht="15" hidden="false" customHeight="false" outlineLevel="0" collapsed="false">
      <c r="A1110" s="15" t="n">
        <v>46069</v>
      </c>
      <c r="B1110" s="14" t="s">
        <v>81</v>
      </c>
      <c r="C1110" s="14" t="s">
        <v>82</v>
      </c>
      <c r="D1110" s="14" t="s">
        <v>83</v>
      </c>
      <c r="E1110" s="14" t="s">
        <v>53</v>
      </c>
      <c r="F1110" s="14" t="s">
        <v>74</v>
      </c>
      <c r="G1110" s="14" t="s">
        <v>75</v>
      </c>
      <c r="H1110" s="0" t="n">
        <v>2</v>
      </c>
      <c r="I1110" s="16" t="n">
        <v>85.35</v>
      </c>
      <c r="J1110" s="16" t="n">
        <v>38</v>
      </c>
      <c r="K1110" s="16" t="n">
        <f aca="false">H1110*I1110</f>
        <v>170.7</v>
      </c>
      <c r="L1110" s="16" t="n">
        <f aca="false">H1110*J1110</f>
        <v>76</v>
      </c>
      <c r="M1110" s="16" t="n">
        <f aca="false">K1110-L1110</f>
        <v>94.7</v>
      </c>
      <c r="N1110" s="17" t="n">
        <f aca="false">IFERROR(M1110/K1110,0)</f>
        <v>0.55477445811365</v>
      </c>
    </row>
    <row r="1111" customFormat="false" ht="15" hidden="false" customHeight="false" outlineLevel="0" collapsed="false">
      <c r="A1111" s="15" t="n">
        <v>46069</v>
      </c>
      <c r="B1111" s="14" t="s">
        <v>81</v>
      </c>
      <c r="C1111" s="14" t="s">
        <v>82</v>
      </c>
      <c r="D1111" s="14" t="s">
        <v>83</v>
      </c>
      <c r="E1111" s="14" t="s">
        <v>76</v>
      </c>
      <c r="F1111" s="14" t="s">
        <v>102</v>
      </c>
      <c r="G1111" s="14" t="s">
        <v>103</v>
      </c>
      <c r="H1111" s="0" t="n">
        <v>5</v>
      </c>
      <c r="I1111" s="16" t="n">
        <v>23.49</v>
      </c>
      <c r="J1111" s="16" t="n">
        <v>8.5</v>
      </c>
      <c r="K1111" s="16" t="n">
        <f aca="false">H1111*I1111</f>
        <v>117.45</v>
      </c>
      <c r="L1111" s="16" t="n">
        <f aca="false">H1111*J1111</f>
        <v>42.5</v>
      </c>
      <c r="M1111" s="16" t="n">
        <f aca="false">K1111-L1111</f>
        <v>74.95</v>
      </c>
      <c r="N1111" s="17" t="n">
        <f aca="false">IFERROR(M1111/K1111,0)</f>
        <v>0.638143891017454</v>
      </c>
    </row>
    <row r="1112" customFormat="false" ht="15" hidden="false" customHeight="false" outlineLevel="0" collapsed="false">
      <c r="A1112" s="15" t="n">
        <v>46069</v>
      </c>
      <c r="B1112" s="14" t="s">
        <v>81</v>
      </c>
      <c r="C1112" s="14" t="s">
        <v>82</v>
      </c>
      <c r="D1112" s="14" t="s">
        <v>83</v>
      </c>
      <c r="E1112" s="14" t="s">
        <v>45</v>
      </c>
      <c r="F1112" s="14" t="s">
        <v>72</v>
      </c>
      <c r="G1112" s="14" t="s">
        <v>73</v>
      </c>
      <c r="H1112" s="0" t="n">
        <v>4</v>
      </c>
      <c r="I1112" s="16" t="n">
        <v>50.85</v>
      </c>
      <c r="J1112" s="16" t="n">
        <v>21</v>
      </c>
      <c r="K1112" s="16" t="n">
        <f aca="false">H1112*I1112</f>
        <v>203.4</v>
      </c>
      <c r="L1112" s="16" t="n">
        <f aca="false">H1112*J1112</f>
        <v>84</v>
      </c>
      <c r="M1112" s="16" t="n">
        <f aca="false">K1112-L1112</f>
        <v>119.4</v>
      </c>
      <c r="N1112" s="17" t="n">
        <f aca="false">IFERROR(M1112/K1112,0)</f>
        <v>0.587020648967552</v>
      </c>
    </row>
    <row r="1113" customFormat="false" ht="15" hidden="false" customHeight="false" outlineLevel="0" collapsed="false">
      <c r="A1113" s="15" t="n">
        <v>46069</v>
      </c>
      <c r="B1113" s="14" t="s">
        <v>81</v>
      </c>
      <c r="C1113" s="14" t="s">
        <v>82</v>
      </c>
      <c r="D1113" s="14" t="s">
        <v>83</v>
      </c>
      <c r="E1113" s="14" t="s">
        <v>76</v>
      </c>
      <c r="F1113" s="14" t="s">
        <v>79</v>
      </c>
      <c r="G1113" s="14" t="s">
        <v>80</v>
      </c>
      <c r="H1113" s="0" t="n">
        <v>5</v>
      </c>
      <c r="I1113" s="16" t="n">
        <v>29.3</v>
      </c>
      <c r="J1113" s="16" t="n">
        <v>11</v>
      </c>
      <c r="K1113" s="16" t="n">
        <f aca="false">H1113*I1113</f>
        <v>146.5</v>
      </c>
      <c r="L1113" s="16" t="n">
        <f aca="false">H1113*J1113</f>
        <v>55</v>
      </c>
      <c r="M1113" s="16" t="n">
        <f aca="false">K1113-L1113</f>
        <v>91.5</v>
      </c>
      <c r="N1113" s="17" t="n">
        <f aca="false">IFERROR(M1113/K1113,0)</f>
        <v>0.62457337883959</v>
      </c>
    </row>
    <row r="1114" customFormat="false" ht="15" hidden="false" customHeight="false" outlineLevel="0" collapsed="false">
      <c r="A1114" s="15" t="n">
        <v>46069</v>
      </c>
      <c r="B1114" s="14" t="s">
        <v>81</v>
      </c>
      <c r="C1114" s="14" t="s">
        <v>82</v>
      </c>
      <c r="D1114" s="14" t="s">
        <v>83</v>
      </c>
      <c r="E1114" s="14" t="s">
        <v>56</v>
      </c>
      <c r="F1114" s="14" t="s">
        <v>67</v>
      </c>
      <c r="G1114" s="14" t="s">
        <v>68</v>
      </c>
      <c r="H1114" s="0" t="n">
        <v>6</v>
      </c>
      <c r="I1114" s="16" t="n">
        <v>35.54</v>
      </c>
      <c r="J1114" s="16" t="n">
        <v>15</v>
      </c>
      <c r="K1114" s="16" t="n">
        <f aca="false">H1114*I1114</f>
        <v>213.24</v>
      </c>
      <c r="L1114" s="16" t="n">
        <f aca="false">H1114*J1114</f>
        <v>90</v>
      </c>
      <c r="M1114" s="16" t="n">
        <f aca="false">K1114-L1114</f>
        <v>123.24</v>
      </c>
      <c r="N1114" s="17" t="n">
        <f aca="false">IFERROR(M1114/K1114,0)</f>
        <v>0.577940348902645</v>
      </c>
    </row>
    <row r="1115" customFormat="false" ht="15" hidden="false" customHeight="false" outlineLevel="0" collapsed="false">
      <c r="A1115" s="15" t="n">
        <v>46069</v>
      </c>
      <c r="B1115" s="14" t="s">
        <v>88</v>
      </c>
      <c r="C1115" s="14" t="s">
        <v>89</v>
      </c>
      <c r="D1115" s="14" t="s">
        <v>44</v>
      </c>
      <c r="E1115" s="14" t="s">
        <v>56</v>
      </c>
      <c r="F1115" s="14" t="s">
        <v>67</v>
      </c>
      <c r="G1115" s="14" t="s">
        <v>68</v>
      </c>
      <c r="H1115" s="0" t="n">
        <v>6</v>
      </c>
      <c r="I1115" s="16" t="n">
        <v>37.19</v>
      </c>
      <c r="J1115" s="16" t="n">
        <v>15</v>
      </c>
      <c r="K1115" s="16" t="n">
        <f aca="false">H1115*I1115</f>
        <v>223.14</v>
      </c>
      <c r="L1115" s="16" t="n">
        <f aca="false">H1115*J1115</f>
        <v>90</v>
      </c>
      <c r="M1115" s="16" t="n">
        <f aca="false">K1115-L1115</f>
        <v>133.14</v>
      </c>
      <c r="N1115" s="17" t="n">
        <f aca="false">IFERROR(M1115/K1115,0)</f>
        <v>0.596665770368379</v>
      </c>
    </row>
    <row r="1116" customFormat="false" ht="15" hidden="false" customHeight="false" outlineLevel="0" collapsed="false">
      <c r="A1116" s="15" t="n">
        <v>46069</v>
      </c>
      <c r="B1116" s="14" t="s">
        <v>88</v>
      </c>
      <c r="C1116" s="14" t="s">
        <v>89</v>
      </c>
      <c r="D1116" s="14" t="s">
        <v>44</v>
      </c>
      <c r="E1116" s="14" t="s">
        <v>76</v>
      </c>
      <c r="F1116" s="14" t="s">
        <v>77</v>
      </c>
      <c r="G1116" s="14" t="s">
        <v>78</v>
      </c>
      <c r="H1116" s="0" t="n">
        <v>2</v>
      </c>
      <c r="I1116" s="16" t="n">
        <v>40.42</v>
      </c>
      <c r="J1116" s="16" t="n">
        <v>15</v>
      </c>
      <c r="K1116" s="16" t="n">
        <f aca="false">H1116*I1116</f>
        <v>80.84</v>
      </c>
      <c r="L1116" s="16" t="n">
        <f aca="false">H1116*J1116</f>
        <v>30</v>
      </c>
      <c r="M1116" s="16" t="n">
        <f aca="false">K1116-L1116</f>
        <v>50.84</v>
      </c>
      <c r="N1116" s="17" t="n">
        <f aca="false">IFERROR(M1116/K1116,0)</f>
        <v>0.62889658584859</v>
      </c>
    </row>
    <row r="1117" customFormat="false" ht="15" hidden="false" customHeight="false" outlineLevel="0" collapsed="false">
      <c r="A1117" s="15" t="n">
        <v>46069</v>
      </c>
      <c r="B1117" s="14" t="s">
        <v>88</v>
      </c>
      <c r="C1117" s="14" t="s">
        <v>89</v>
      </c>
      <c r="D1117" s="14" t="s">
        <v>44</v>
      </c>
      <c r="E1117" s="14" t="s">
        <v>64</v>
      </c>
      <c r="F1117" s="14" t="s">
        <v>94</v>
      </c>
      <c r="G1117" s="14" t="s">
        <v>95</v>
      </c>
      <c r="H1117" s="0" t="n">
        <v>4</v>
      </c>
      <c r="I1117" s="16" t="n">
        <v>95.37</v>
      </c>
      <c r="J1117" s="16" t="n">
        <v>42</v>
      </c>
      <c r="K1117" s="16" t="n">
        <f aca="false">H1117*I1117</f>
        <v>381.48</v>
      </c>
      <c r="L1117" s="16" t="n">
        <f aca="false">H1117*J1117</f>
        <v>168</v>
      </c>
      <c r="M1117" s="16" t="n">
        <f aca="false">K1117-L1117</f>
        <v>213.48</v>
      </c>
      <c r="N1117" s="17" t="n">
        <f aca="false">IFERROR(M1117/K1117,0)</f>
        <v>0.559609940232778</v>
      </c>
    </row>
    <row r="1118" customFormat="false" ht="15" hidden="false" customHeight="false" outlineLevel="0" collapsed="false">
      <c r="A1118" s="15" t="n">
        <v>46070</v>
      </c>
      <c r="B1118" s="14" t="s">
        <v>42</v>
      </c>
      <c r="C1118" s="14" t="s">
        <v>43</v>
      </c>
      <c r="D1118" s="14" t="s">
        <v>44</v>
      </c>
      <c r="E1118" s="14" t="s">
        <v>45</v>
      </c>
      <c r="F1118" s="14" t="s">
        <v>72</v>
      </c>
      <c r="G1118" s="14" t="s">
        <v>73</v>
      </c>
      <c r="H1118" s="0" t="n">
        <v>4</v>
      </c>
      <c r="I1118" s="16" t="n">
        <v>51.51</v>
      </c>
      <c r="J1118" s="16" t="n">
        <v>21</v>
      </c>
      <c r="K1118" s="16" t="n">
        <f aca="false">H1118*I1118</f>
        <v>206.04</v>
      </c>
      <c r="L1118" s="16" t="n">
        <f aca="false">H1118*J1118</f>
        <v>84</v>
      </c>
      <c r="M1118" s="16" t="n">
        <f aca="false">K1118-L1118</f>
        <v>122.04</v>
      </c>
      <c r="N1118" s="17" t="n">
        <f aca="false">IFERROR(M1118/K1118,0)</f>
        <v>0.59231217239371</v>
      </c>
    </row>
    <row r="1119" customFormat="false" ht="15" hidden="false" customHeight="false" outlineLevel="0" collapsed="false">
      <c r="A1119" s="15" t="n">
        <v>46070</v>
      </c>
      <c r="B1119" s="14" t="s">
        <v>42</v>
      </c>
      <c r="C1119" s="14" t="s">
        <v>43</v>
      </c>
      <c r="D1119" s="14" t="s">
        <v>44</v>
      </c>
      <c r="E1119" s="14" t="s">
        <v>56</v>
      </c>
      <c r="F1119" s="14" t="s">
        <v>67</v>
      </c>
      <c r="G1119" s="14" t="s">
        <v>68</v>
      </c>
      <c r="H1119" s="0" t="n">
        <v>5</v>
      </c>
      <c r="I1119" s="16" t="n">
        <v>35.93</v>
      </c>
      <c r="J1119" s="16" t="n">
        <v>15</v>
      </c>
      <c r="K1119" s="16" t="n">
        <f aca="false">H1119*I1119</f>
        <v>179.65</v>
      </c>
      <c r="L1119" s="16" t="n">
        <f aca="false">H1119*J1119</f>
        <v>75</v>
      </c>
      <c r="M1119" s="16" t="n">
        <f aca="false">K1119-L1119</f>
        <v>104.65</v>
      </c>
      <c r="N1119" s="17" t="n">
        <f aca="false">IFERROR(M1119/K1119,0)</f>
        <v>0.582521569718898</v>
      </c>
    </row>
    <row r="1120" customFormat="false" ht="15" hidden="false" customHeight="false" outlineLevel="0" collapsed="false">
      <c r="A1120" s="15" t="n">
        <v>46070</v>
      </c>
      <c r="B1120" s="14" t="s">
        <v>42</v>
      </c>
      <c r="C1120" s="14" t="s">
        <v>43</v>
      </c>
      <c r="D1120" s="14" t="s">
        <v>44</v>
      </c>
      <c r="E1120" s="14" t="s">
        <v>45</v>
      </c>
      <c r="F1120" s="14" t="s">
        <v>72</v>
      </c>
      <c r="G1120" s="14" t="s">
        <v>73</v>
      </c>
      <c r="H1120" s="0" t="n">
        <v>5</v>
      </c>
      <c r="I1120" s="16" t="n">
        <v>50.02</v>
      </c>
      <c r="J1120" s="16" t="n">
        <v>21</v>
      </c>
      <c r="K1120" s="16" t="n">
        <f aca="false">H1120*I1120</f>
        <v>250.1</v>
      </c>
      <c r="L1120" s="16" t="n">
        <f aca="false">H1120*J1120</f>
        <v>105</v>
      </c>
      <c r="M1120" s="16" t="n">
        <f aca="false">K1120-L1120</f>
        <v>145.1</v>
      </c>
      <c r="N1120" s="17" t="n">
        <f aca="false">IFERROR(M1120/K1120,0)</f>
        <v>0.580167932826869</v>
      </c>
    </row>
    <row r="1121" customFormat="false" ht="15" hidden="false" customHeight="false" outlineLevel="0" collapsed="false">
      <c r="A1121" s="15" t="n">
        <v>46070</v>
      </c>
      <c r="B1121" s="14" t="s">
        <v>42</v>
      </c>
      <c r="C1121" s="14" t="s">
        <v>43</v>
      </c>
      <c r="D1121" s="14" t="s">
        <v>44</v>
      </c>
      <c r="E1121" s="14" t="s">
        <v>64</v>
      </c>
      <c r="F1121" s="14" t="s">
        <v>96</v>
      </c>
      <c r="G1121" s="14" t="s">
        <v>97</v>
      </c>
      <c r="H1121" s="0" t="n">
        <v>5</v>
      </c>
      <c r="I1121" s="16" t="n">
        <v>55.8</v>
      </c>
      <c r="J1121" s="16" t="n">
        <v>24</v>
      </c>
      <c r="K1121" s="16" t="n">
        <f aca="false">H1121*I1121</f>
        <v>279</v>
      </c>
      <c r="L1121" s="16" t="n">
        <f aca="false">H1121*J1121</f>
        <v>120</v>
      </c>
      <c r="M1121" s="16" t="n">
        <f aca="false">K1121-L1121</f>
        <v>159</v>
      </c>
      <c r="N1121" s="17" t="n">
        <f aca="false">IFERROR(M1121/K1121,0)</f>
        <v>0.56989247311828</v>
      </c>
    </row>
    <row r="1122" customFormat="false" ht="15" hidden="false" customHeight="false" outlineLevel="0" collapsed="false">
      <c r="A1122" s="15" t="n">
        <v>46070</v>
      </c>
      <c r="B1122" s="14" t="s">
        <v>42</v>
      </c>
      <c r="C1122" s="14" t="s">
        <v>43</v>
      </c>
      <c r="D1122" s="14" t="s">
        <v>44</v>
      </c>
      <c r="E1122" s="14" t="s">
        <v>76</v>
      </c>
      <c r="F1122" s="14" t="s">
        <v>79</v>
      </c>
      <c r="G1122" s="14" t="s">
        <v>80</v>
      </c>
      <c r="H1122" s="0" t="n">
        <v>2</v>
      </c>
      <c r="I1122" s="16" t="n">
        <v>28.86</v>
      </c>
      <c r="J1122" s="16" t="n">
        <v>11</v>
      </c>
      <c r="K1122" s="16" t="n">
        <f aca="false">H1122*I1122</f>
        <v>57.72</v>
      </c>
      <c r="L1122" s="16" t="n">
        <f aca="false">H1122*J1122</f>
        <v>22</v>
      </c>
      <c r="M1122" s="16" t="n">
        <f aca="false">K1122-L1122</f>
        <v>35.72</v>
      </c>
      <c r="N1122" s="17" t="n">
        <f aca="false">IFERROR(M1122/K1122,0)</f>
        <v>0.618849618849619</v>
      </c>
    </row>
    <row r="1123" customFormat="false" ht="15" hidden="false" customHeight="false" outlineLevel="0" collapsed="false">
      <c r="A1123" s="15" t="n">
        <v>46070</v>
      </c>
      <c r="B1123" s="14" t="s">
        <v>50</v>
      </c>
      <c r="C1123" s="14" t="s">
        <v>51</v>
      </c>
      <c r="D1123" s="14" t="s">
        <v>52</v>
      </c>
      <c r="E1123" s="14" t="s">
        <v>45</v>
      </c>
      <c r="F1123" s="14" t="s">
        <v>62</v>
      </c>
      <c r="G1123" s="14" t="s">
        <v>63</v>
      </c>
      <c r="H1123" s="0" t="n">
        <v>3</v>
      </c>
      <c r="I1123" s="16" t="n">
        <v>17.82</v>
      </c>
      <c r="J1123" s="16" t="n">
        <v>6.5</v>
      </c>
      <c r="K1123" s="16" t="n">
        <f aca="false">H1123*I1123</f>
        <v>53.46</v>
      </c>
      <c r="L1123" s="16" t="n">
        <f aca="false">H1123*J1123</f>
        <v>19.5</v>
      </c>
      <c r="M1123" s="16" t="n">
        <f aca="false">K1123-L1123</f>
        <v>33.96</v>
      </c>
      <c r="N1123" s="17" t="n">
        <f aca="false">IFERROR(M1123/K1123,0)</f>
        <v>0.635241301907969</v>
      </c>
    </row>
    <row r="1124" customFormat="false" ht="15" hidden="false" customHeight="false" outlineLevel="0" collapsed="false">
      <c r="A1124" s="15" t="n">
        <v>46070</v>
      </c>
      <c r="B1124" s="14" t="s">
        <v>50</v>
      </c>
      <c r="C1124" s="14" t="s">
        <v>51</v>
      </c>
      <c r="D1124" s="14" t="s">
        <v>52</v>
      </c>
      <c r="E1124" s="14" t="s">
        <v>53</v>
      </c>
      <c r="F1124" s="14" t="s">
        <v>74</v>
      </c>
      <c r="G1124" s="14" t="s">
        <v>75</v>
      </c>
      <c r="H1124" s="0" t="n">
        <v>8</v>
      </c>
      <c r="I1124" s="16" t="n">
        <v>83.24</v>
      </c>
      <c r="J1124" s="16" t="n">
        <v>38</v>
      </c>
      <c r="K1124" s="16" t="n">
        <f aca="false">H1124*I1124</f>
        <v>665.92</v>
      </c>
      <c r="L1124" s="16" t="n">
        <f aca="false">H1124*J1124</f>
        <v>304</v>
      </c>
      <c r="M1124" s="16" t="n">
        <f aca="false">K1124-L1124</f>
        <v>361.92</v>
      </c>
      <c r="N1124" s="17" t="n">
        <f aca="false">IFERROR(M1124/K1124,0)</f>
        <v>0.543488707352234</v>
      </c>
    </row>
    <row r="1125" customFormat="false" ht="15" hidden="false" customHeight="false" outlineLevel="0" collapsed="false">
      <c r="A1125" s="15" t="n">
        <v>46070</v>
      </c>
      <c r="B1125" s="14" t="s">
        <v>59</v>
      </c>
      <c r="C1125" s="14" t="s">
        <v>60</v>
      </c>
      <c r="D1125" s="14" t="s">
        <v>61</v>
      </c>
      <c r="E1125" s="14" t="s">
        <v>56</v>
      </c>
      <c r="F1125" s="14" t="s">
        <v>57</v>
      </c>
      <c r="G1125" s="14" t="s">
        <v>58</v>
      </c>
      <c r="H1125" s="0" t="n">
        <v>7</v>
      </c>
      <c r="I1125" s="16" t="n">
        <v>25.98</v>
      </c>
      <c r="J1125" s="16" t="n">
        <v>10</v>
      </c>
      <c r="K1125" s="16" t="n">
        <f aca="false">H1125*I1125</f>
        <v>181.86</v>
      </c>
      <c r="L1125" s="16" t="n">
        <f aca="false">H1125*J1125</f>
        <v>70</v>
      </c>
      <c r="M1125" s="16" t="n">
        <f aca="false">K1125-L1125</f>
        <v>111.86</v>
      </c>
      <c r="N1125" s="17" t="n">
        <f aca="false">IFERROR(M1125/K1125,0)</f>
        <v>0.615088529638183</v>
      </c>
    </row>
    <row r="1126" customFormat="false" ht="15" hidden="false" customHeight="false" outlineLevel="0" collapsed="false">
      <c r="A1126" s="15" t="n">
        <v>46070</v>
      </c>
      <c r="B1126" s="14" t="s">
        <v>59</v>
      </c>
      <c r="C1126" s="14" t="s">
        <v>60</v>
      </c>
      <c r="D1126" s="14" t="s">
        <v>61</v>
      </c>
      <c r="E1126" s="14" t="s">
        <v>56</v>
      </c>
      <c r="F1126" s="14" t="s">
        <v>67</v>
      </c>
      <c r="G1126" s="14" t="s">
        <v>68</v>
      </c>
      <c r="H1126" s="0" t="n">
        <v>1</v>
      </c>
      <c r="I1126" s="16" t="n">
        <v>36.07</v>
      </c>
      <c r="J1126" s="16" t="n">
        <v>15</v>
      </c>
      <c r="K1126" s="16" t="n">
        <f aca="false">H1126*I1126</f>
        <v>36.07</v>
      </c>
      <c r="L1126" s="16" t="n">
        <f aca="false">H1126*J1126</f>
        <v>15</v>
      </c>
      <c r="M1126" s="16" t="n">
        <f aca="false">K1126-L1126</f>
        <v>21.07</v>
      </c>
      <c r="N1126" s="17" t="n">
        <f aca="false">IFERROR(M1126/K1126,0)</f>
        <v>0.584141946215692</v>
      </c>
    </row>
    <row r="1127" customFormat="false" ht="15" hidden="false" customHeight="false" outlineLevel="0" collapsed="false">
      <c r="A1127" s="15" t="n">
        <v>46070</v>
      </c>
      <c r="B1127" s="14" t="s">
        <v>69</v>
      </c>
      <c r="C1127" s="14" t="s">
        <v>70</v>
      </c>
      <c r="D1127" s="14" t="s">
        <v>71</v>
      </c>
      <c r="E1127" s="14" t="s">
        <v>45</v>
      </c>
      <c r="F1127" s="14" t="s">
        <v>48</v>
      </c>
      <c r="G1127" s="14" t="s">
        <v>49</v>
      </c>
      <c r="H1127" s="0" t="n">
        <v>3</v>
      </c>
      <c r="I1127" s="16" t="n">
        <v>66.13</v>
      </c>
      <c r="J1127" s="16" t="n">
        <v>27.5</v>
      </c>
      <c r="K1127" s="16" t="n">
        <f aca="false">H1127*I1127</f>
        <v>198.39</v>
      </c>
      <c r="L1127" s="16" t="n">
        <f aca="false">H1127*J1127</f>
        <v>82.5</v>
      </c>
      <c r="M1127" s="16" t="n">
        <f aca="false">K1127-L1127</f>
        <v>115.89</v>
      </c>
      <c r="N1127" s="17" t="n">
        <f aca="false">IFERROR(M1127/K1127,0)</f>
        <v>0.584152427037653</v>
      </c>
    </row>
    <row r="1128" customFormat="false" ht="15" hidden="false" customHeight="false" outlineLevel="0" collapsed="false">
      <c r="A1128" s="15" t="n">
        <v>46070</v>
      </c>
      <c r="B1128" s="14" t="s">
        <v>69</v>
      </c>
      <c r="C1128" s="14" t="s">
        <v>70</v>
      </c>
      <c r="D1128" s="14" t="s">
        <v>71</v>
      </c>
      <c r="E1128" s="14" t="s">
        <v>45</v>
      </c>
      <c r="F1128" s="14" t="s">
        <v>72</v>
      </c>
      <c r="G1128" s="14" t="s">
        <v>73</v>
      </c>
      <c r="H1128" s="0" t="n">
        <v>1</v>
      </c>
      <c r="I1128" s="16" t="n">
        <v>49.34</v>
      </c>
      <c r="J1128" s="16" t="n">
        <v>21</v>
      </c>
      <c r="K1128" s="16" t="n">
        <f aca="false">H1128*I1128</f>
        <v>49.34</v>
      </c>
      <c r="L1128" s="16" t="n">
        <f aca="false">H1128*J1128</f>
        <v>21</v>
      </c>
      <c r="M1128" s="16" t="n">
        <f aca="false">K1128-L1128</f>
        <v>28.34</v>
      </c>
      <c r="N1128" s="17" t="n">
        <f aca="false">IFERROR(M1128/K1128,0)</f>
        <v>0.574381840291853</v>
      </c>
    </row>
    <row r="1129" customFormat="false" ht="15" hidden="false" customHeight="false" outlineLevel="0" collapsed="false">
      <c r="A1129" s="15" t="n">
        <v>46070</v>
      </c>
      <c r="B1129" s="14" t="s">
        <v>69</v>
      </c>
      <c r="C1129" s="14" t="s">
        <v>70</v>
      </c>
      <c r="D1129" s="14" t="s">
        <v>71</v>
      </c>
      <c r="E1129" s="14" t="s">
        <v>64</v>
      </c>
      <c r="F1129" s="14" t="s">
        <v>94</v>
      </c>
      <c r="G1129" s="14" t="s">
        <v>95</v>
      </c>
      <c r="H1129" s="0" t="n">
        <v>1</v>
      </c>
      <c r="I1129" s="16" t="n">
        <v>97.6</v>
      </c>
      <c r="J1129" s="16" t="n">
        <v>42</v>
      </c>
      <c r="K1129" s="16" t="n">
        <f aca="false">H1129*I1129</f>
        <v>97.6</v>
      </c>
      <c r="L1129" s="16" t="n">
        <f aca="false">H1129*J1129</f>
        <v>42</v>
      </c>
      <c r="M1129" s="16" t="n">
        <f aca="false">K1129-L1129</f>
        <v>55.6</v>
      </c>
      <c r="N1129" s="17" t="n">
        <f aca="false">IFERROR(M1129/K1129,0)</f>
        <v>0.569672131147541</v>
      </c>
    </row>
    <row r="1130" customFormat="false" ht="15" hidden="false" customHeight="false" outlineLevel="0" collapsed="false">
      <c r="A1130" s="15" t="n">
        <v>46070</v>
      </c>
      <c r="B1130" s="14" t="s">
        <v>69</v>
      </c>
      <c r="C1130" s="14" t="s">
        <v>70</v>
      </c>
      <c r="D1130" s="14" t="s">
        <v>71</v>
      </c>
      <c r="E1130" s="14" t="s">
        <v>76</v>
      </c>
      <c r="F1130" s="14" t="s">
        <v>79</v>
      </c>
      <c r="G1130" s="14" t="s">
        <v>80</v>
      </c>
      <c r="H1130" s="0" t="n">
        <v>2</v>
      </c>
      <c r="I1130" s="16" t="n">
        <v>29.6</v>
      </c>
      <c r="J1130" s="16" t="n">
        <v>11</v>
      </c>
      <c r="K1130" s="16" t="n">
        <f aca="false">H1130*I1130</f>
        <v>59.2</v>
      </c>
      <c r="L1130" s="16" t="n">
        <f aca="false">H1130*J1130</f>
        <v>22</v>
      </c>
      <c r="M1130" s="16" t="n">
        <f aca="false">K1130-L1130</f>
        <v>37.2</v>
      </c>
      <c r="N1130" s="17" t="n">
        <f aca="false">IFERROR(M1130/K1130,0)</f>
        <v>0.628378378378378</v>
      </c>
    </row>
    <row r="1131" customFormat="false" ht="15" hidden="false" customHeight="false" outlineLevel="0" collapsed="false">
      <c r="A1131" s="15" t="n">
        <v>46070</v>
      </c>
      <c r="B1131" s="14" t="s">
        <v>69</v>
      </c>
      <c r="C1131" s="14" t="s">
        <v>70</v>
      </c>
      <c r="D1131" s="14" t="s">
        <v>71</v>
      </c>
      <c r="E1131" s="14" t="s">
        <v>45</v>
      </c>
      <c r="F1131" s="14" t="s">
        <v>62</v>
      </c>
      <c r="G1131" s="14" t="s">
        <v>63</v>
      </c>
      <c r="H1131" s="0" t="n">
        <v>2</v>
      </c>
      <c r="I1131" s="16" t="n">
        <v>16.71</v>
      </c>
      <c r="J1131" s="16" t="n">
        <v>6.5</v>
      </c>
      <c r="K1131" s="16" t="n">
        <f aca="false">H1131*I1131</f>
        <v>33.42</v>
      </c>
      <c r="L1131" s="16" t="n">
        <f aca="false">H1131*J1131</f>
        <v>13</v>
      </c>
      <c r="M1131" s="16" t="n">
        <f aca="false">K1131-L1131</f>
        <v>20.42</v>
      </c>
      <c r="N1131" s="17" t="n">
        <f aca="false">IFERROR(M1131/K1131,0)</f>
        <v>0.611011370436864</v>
      </c>
    </row>
    <row r="1132" customFormat="false" ht="15" hidden="false" customHeight="false" outlineLevel="0" collapsed="false">
      <c r="A1132" s="15" t="n">
        <v>46070</v>
      </c>
      <c r="B1132" s="14" t="s">
        <v>69</v>
      </c>
      <c r="C1132" s="14" t="s">
        <v>70</v>
      </c>
      <c r="D1132" s="14" t="s">
        <v>71</v>
      </c>
      <c r="E1132" s="14" t="s">
        <v>53</v>
      </c>
      <c r="F1132" s="14" t="s">
        <v>84</v>
      </c>
      <c r="G1132" s="14" t="s">
        <v>85</v>
      </c>
      <c r="H1132" s="0" t="n">
        <v>3</v>
      </c>
      <c r="I1132" s="16" t="n">
        <v>23.39</v>
      </c>
      <c r="J1132" s="16" t="n">
        <v>9</v>
      </c>
      <c r="K1132" s="16" t="n">
        <f aca="false">H1132*I1132</f>
        <v>70.17</v>
      </c>
      <c r="L1132" s="16" t="n">
        <f aca="false">H1132*J1132</f>
        <v>27</v>
      </c>
      <c r="M1132" s="16" t="n">
        <f aca="false">K1132-L1132</f>
        <v>43.17</v>
      </c>
      <c r="N1132" s="17" t="n">
        <f aca="false">IFERROR(M1132/K1132,0)</f>
        <v>0.615220179563916</v>
      </c>
    </row>
    <row r="1133" customFormat="false" ht="15" hidden="false" customHeight="false" outlineLevel="0" collapsed="false">
      <c r="A1133" s="15" t="n">
        <v>46070</v>
      </c>
      <c r="B1133" s="14" t="s">
        <v>81</v>
      </c>
      <c r="C1133" s="14" t="s">
        <v>82</v>
      </c>
      <c r="D1133" s="14" t="s">
        <v>83</v>
      </c>
      <c r="E1133" s="14" t="s">
        <v>56</v>
      </c>
      <c r="F1133" s="14" t="s">
        <v>86</v>
      </c>
      <c r="G1133" s="14" t="s">
        <v>87</v>
      </c>
      <c r="H1133" s="0" t="n">
        <v>5</v>
      </c>
      <c r="I1133" s="16" t="n">
        <v>14.7</v>
      </c>
      <c r="J1133" s="16" t="n">
        <v>5</v>
      </c>
      <c r="K1133" s="16" t="n">
        <f aca="false">H1133*I1133</f>
        <v>73.5</v>
      </c>
      <c r="L1133" s="16" t="n">
        <f aca="false">H1133*J1133</f>
        <v>25</v>
      </c>
      <c r="M1133" s="16" t="n">
        <f aca="false">K1133-L1133</f>
        <v>48.5</v>
      </c>
      <c r="N1133" s="17" t="n">
        <f aca="false">IFERROR(M1133/K1133,0)</f>
        <v>0.659863945578231</v>
      </c>
    </row>
    <row r="1134" customFormat="false" ht="15" hidden="false" customHeight="false" outlineLevel="0" collapsed="false">
      <c r="A1134" s="15" t="n">
        <v>46070</v>
      </c>
      <c r="B1134" s="14" t="s">
        <v>81</v>
      </c>
      <c r="C1134" s="14" t="s">
        <v>82</v>
      </c>
      <c r="D1134" s="14" t="s">
        <v>83</v>
      </c>
      <c r="E1134" s="14" t="s">
        <v>56</v>
      </c>
      <c r="F1134" s="14" t="s">
        <v>67</v>
      </c>
      <c r="G1134" s="14" t="s">
        <v>68</v>
      </c>
      <c r="H1134" s="0" t="n">
        <v>6</v>
      </c>
      <c r="I1134" s="16" t="n">
        <v>37.1</v>
      </c>
      <c r="J1134" s="16" t="n">
        <v>15</v>
      </c>
      <c r="K1134" s="16" t="n">
        <f aca="false">H1134*I1134</f>
        <v>222.6</v>
      </c>
      <c r="L1134" s="16" t="n">
        <f aca="false">H1134*J1134</f>
        <v>90</v>
      </c>
      <c r="M1134" s="16" t="n">
        <f aca="false">K1134-L1134</f>
        <v>132.6</v>
      </c>
      <c r="N1134" s="17" t="n">
        <f aca="false">IFERROR(M1134/K1134,0)</f>
        <v>0.595687331536388</v>
      </c>
    </row>
    <row r="1135" customFormat="false" ht="15" hidden="false" customHeight="false" outlineLevel="0" collapsed="false">
      <c r="A1135" s="15" t="n">
        <v>46070</v>
      </c>
      <c r="B1135" s="14" t="s">
        <v>81</v>
      </c>
      <c r="C1135" s="14" t="s">
        <v>82</v>
      </c>
      <c r="D1135" s="14" t="s">
        <v>83</v>
      </c>
      <c r="E1135" s="14" t="s">
        <v>64</v>
      </c>
      <c r="F1135" s="14" t="s">
        <v>65</v>
      </c>
      <c r="G1135" s="14" t="s">
        <v>66</v>
      </c>
      <c r="H1135" s="0" t="n">
        <v>2</v>
      </c>
      <c r="I1135" s="16" t="n">
        <v>77.69</v>
      </c>
      <c r="J1135" s="16" t="n">
        <v>34</v>
      </c>
      <c r="K1135" s="16" t="n">
        <f aca="false">H1135*I1135</f>
        <v>155.38</v>
      </c>
      <c r="L1135" s="16" t="n">
        <f aca="false">H1135*J1135</f>
        <v>68</v>
      </c>
      <c r="M1135" s="16" t="n">
        <f aca="false">K1135-L1135</f>
        <v>87.38</v>
      </c>
      <c r="N1135" s="17" t="n">
        <f aca="false">IFERROR(M1135/K1135,0)</f>
        <v>0.562363238512035</v>
      </c>
    </row>
    <row r="1136" customFormat="false" ht="15" hidden="false" customHeight="false" outlineLevel="0" collapsed="false">
      <c r="A1136" s="15" t="n">
        <v>46070</v>
      </c>
      <c r="B1136" s="14" t="s">
        <v>88</v>
      </c>
      <c r="C1136" s="14" t="s">
        <v>89</v>
      </c>
      <c r="D1136" s="14" t="s">
        <v>44</v>
      </c>
      <c r="E1136" s="14" t="s">
        <v>64</v>
      </c>
      <c r="F1136" s="14" t="s">
        <v>94</v>
      </c>
      <c r="G1136" s="14" t="s">
        <v>95</v>
      </c>
      <c r="H1136" s="0" t="n">
        <v>3</v>
      </c>
      <c r="I1136" s="16" t="n">
        <v>95.31</v>
      </c>
      <c r="J1136" s="16" t="n">
        <v>42</v>
      </c>
      <c r="K1136" s="16" t="n">
        <f aca="false">H1136*I1136</f>
        <v>285.93</v>
      </c>
      <c r="L1136" s="16" t="n">
        <f aca="false">H1136*J1136</f>
        <v>126</v>
      </c>
      <c r="M1136" s="16" t="n">
        <f aca="false">K1136-L1136</f>
        <v>159.93</v>
      </c>
      <c r="N1136" s="17" t="n">
        <f aca="false">IFERROR(M1136/K1136,0)</f>
        <v>0.559332703808625</v>
      </c>
    </row>
    <row r="1137" customFormat="false" ht="15" hidden="false" customHeight="false" outlineLevel="0" collapsed="false">
      <c r="A1137" s="15" t="n">
        <v>46070</v>
      </c>
      <c r="B1137" s="14" t="s">
        <v>88</v>
      </c>
      <c r="C1137" s="14" t="s">
        <v>89</v>
      </c>
      <c r="D1137" s="14" t="s">
        <v>44</v>
      </c>
      <c r="E1137" s="14" t="s">
        <v>56</v>
      </c>
      <c r="F1137" s="14" t="s">
        <v>57</v>
      </c>
      <c r="G1137" s="14" t="s">
        <v>58</v>
      </c>
      <c r="H1137" s="0" t="n">
        <v>6</v>
      </c>
      <c r="I1137" s="16" t="n">
        <v>26.79</v>
      </c>
      <c r="J1137" s="16" t="n">
        <v>10</v>
      </c>
      <c r="K1137" s="16" t="n">
        <f aca="false">H1137*I1137</f>
        <v>160.74</v>
      </c>
      <c r="L1137" s="16" t="n">
        <f aca="false">H1137*J1137</f>
        <v>60</v>
      </c>
      <c r="M1137" s="16" t="n">
        <f aca="false">K1137-L1137</f>
        <v>100.74</v>
      </c>
      <c r="N1137" s="17" t="n">
        <f aca="false">IFERROR(M1137/K1137,0)</f>
        <v>0.626726390444196</v>
      </c>
    </row>
    <row r="1138" customFormat="false" ht="15" hidden="false" customHeight="false" outlineLevel="0" collapsed="false">
      <c r="A1138" s="15" t="n">
        <v>46070</v>
      </c>
      <c r="B1138" s="14" t="s">
        <v>88</v>
      </c>
      <c r="C1138" s="14" t="s">
        <v>89</v>
      </c>
      <c r="D1138" s="14" t="s">
        <v>44</v>
      </c>
      <c r="E1138" s="14" t="s">
        <v>56</v>
      </c>
      <c r="F1138" s="14" t="s">
        <v>67</v>
      </c>
      <c r="G1138" s="14" t="s">
        <v>68</v>
      </c>
      <c r="H1138" s="0" t="n">
        <v>6</v>
      </c>
      <c r="I1138" s="16" t="n">
        <v>36.21</v>
      </c>
      <c r="J1138" s="16" t="n">
        <v>15</v>
      </c>
      <c r="K1138" s="16" t="n">
        <f aca="false">H1138*I1138</f>
        <v>217.26</v>
      </c>
      <c r="L1138" s="16" t="n">
        <f aca="false">H1138*J1138</f>
        <v>90</v>
      </c>
      <c r="M1138" s="16" t="n">
        <f aca="false">K1138-L1138</f>
        <v>127.26</v>
      </c>
      <c r="N1138" s="17" t="n">
        <f aca="false">IFERROR(M1138/K1138,0)</f>
        <v>0.585749792874896</v>
      </c>
    </row>
    <row r="1139" customFormat="false" ht="15" hidden="false" customHeight="false" outlineLevel="0" collapsed="false">
      <c r="A1139" s="15" t="n">
        <v>46070</v>
      </c>
      <c r="B1139" s="14" t="s">
        <v>88</v>
      </c>
      <c r="C1139" s="14" t="s">
        <v>89</v>
      </c>
      <c r="D1139" s="14" t="s">
        <v>44</v>
      </c>
      <c r="E1139" s="14" t="s">
        <v>64</v>
      </c>
      <c r="F1139" s="14" t="s">
        <v>94</v>
      </c>
      <c r="G1139" s="14" t="s">
        <v>95</v>
      </c>
      <c r="H1139" s="0" t="n">
        <v>3</v>
      </c>
      <c r="I1139" s="16" t="n">
        <v>95.54</v>
      </c>
      <c r="J1139" s="16" t="n">
        <v>42</v>
      </c>
      <c r="K1139" s="16" t="n">
        <f aca="false">H1139*I1139</f>
        <v>286.62</v>
      </c>
      <c r="L1139" s="16" t="n">
        <f aca="false">H1139*J1139</f>
        <v>126</v>
      </c>
      <c r="M1139" s="16" t="n">
        <f aca="false">K1139-L1139</f>
        <v>160.62</v>
      </c>
      <c r="N1139" s="17" t="n">
        <f aca="false">IFERROR(M1139/K1139,0)</f>
        <v>0.560393552438769</v>
      </c>
    </row>
    <row r="1140" customFormat="false" ht="15" hidden="false" customHeight="false" outlineLevel="0" collapsed="false">
      <c r="A1140" s="15" t="n">
        <v>46070</v>
      </c>
      <c r="B1140" s="14" t="s">
        <v>88</v>
      </c>
      <c r="C1140" s="14" t="s">
        <v>89</v>
      </c>
      <c r="D1140" s="14" t="s">
        <v>44</v>
      </c>
      <c r="E1140" s="14" t="s">
        <v>53</v>
      </c>
      <c r="F1140" s="14" t="s">
        <v>84</v>
      </c>
      <c r="G1140" s="14" t="s">
        <v>85</v>
      </c>
      <c r="H1140" s="0" t="n">
        <v>4</v>
      </c>
      <c r="I1140" s="16" t="n">
        <v>23.72</v>
      </c>
      <c r="J1140" s="16" t="n">
        <v>9</v>
      </c>
      <c r="K1140" s="16" t="n">
        <f aca="false">H1140*I1140</f>
        <v>94.88</v>
      </c>
      <c r="L1140" s="16" t="n">
        <f aca="false">H1140*J1140</f>
        <v>36</v>
      </c>
      <c r="M1140" s="16" t="n">
        <f aca="false">K1140-L1140</f>
        <v>58.88</v>
      </c>
      <c r="N1140" s="17" t="n">
        <f aca="false">IFERROR(M1140/K1140,0)</f>
        <v>0.620573355817875</v>
      </c>
    </row>
    <row r="1141" customFormat="false" ht="15" hidden="false" customHeight="false" outlineLevel="0" collapsed="false">
      <c r="A1141" s="15" t="n">
        <v>46070</v>
      </c>
      <c r="B1141" s="14" t="s">
        <v>88</v>
      </c>
      <c r="C1141" s="14" t="s">
        <v>89</v>
      </c>
      <c r="D1141" s="14" t="s">
        <v>44</v>
      </c>
      <c r="E1141" s="14" t="s">
        <v>64</v>
      </c>
      <c r="F1141" s="14" t="s">
        <v>90</v>
      </c>
      <c r="G1141" s="14" t="s">
        <v>91</v>
      </c>
      <c r="H1141" s="0" t="n">
        <v>6</v>
      </c>
      <c r="I1141" s="16" t="n">
        <v>11.04</v>
      </c>
      <c r="J1141" s="16" t="n">
        <v>3.5</v>
      </c>
      <c r="K1141" s="16" t="n">
        <f aca="false">H1141*I1141</f>
        <v>66.24</v>
      </c>
      <c r="L1141" s="16" t="n">
        <f aca="false">H1141*J1141</f>
        <v>21</v>
      </c>
      <c r="M1141" s="16" t="n">
        <f aca="false">K1141-L1141</f>
        <v>45.24</v>
      </c>
      <c r="N1141" s="17" t="n">
        <f aca="false">IFERROR(M1141/K1141,0)</f>
        <v>0.682971014492754</v>
      </c>
    </row>
    <row r="1142" customFormat="false" ht="15" hidden="false" customHeight="false" outlineLevel="0" collapsed="false">
      <c r="A1142" s="15" t="n">
        <v>46071</v>
      </c>
      <c r="B1142" s="14" t="s">
        <v>42</v>
      </c>
      <c r="C1142" s="14" t="s">
        <v>43</v>
      </c>
      <c r="D1142" s="14" t="s">
        <v>44</v>
      </c>
      <c r="E1142" s="14" t="s">
        <v>76</v>
      </c>
      <c r="F1142" s="14" t="s">
        <v>79</v>
      </c>
      <c r="G1142" s="14" t="s">
        <v>80</v>
      </c>
      <c r="H1142" s="0" t="n">
        <v>4</v>
      </c>
      <c r="I1142" s="16" t="n">
        <v>29.98</v>
      </c>
      <c r="J1142" s="16" t="n">
        <v>11</v>
      </c>
      <c r="K1142" s="16" t="n">
        <f aca="false">H1142*I1142</f>
        <v>119.92</v>
      </c>
      <c r="L1142" s="16" t="n">
        <f aca="false">H1142*J1142</f>
        <v>44</v>
      </c>
      <c r="M1142" s="16" t="n">
        <f aca="false">K1142-L1142</f>
        <v>75.92</v>
      </c>
      <c r="N1142" s="17" t="n">
        <f aca="false">IFERROR(M1142/K1142,0)</f>
        <v>0.633088725817211</v>
      </c>
    </row>
    <row r="1143" customFormat="false" ht="15" hidden="false" customHeight="false" outlineLevel="0" collapsed="false">
      <c r="A1143" s="15" t="n">
        <v>46071</v>
      </c>
      <c r="B1143" s="14" t="s">
        <v>42</v>
      </c>
      <c r="C1143" s="14" t="s">
        <v>43</v>
      </c>
      <c r="D1143" s="14" t="s">
        <v>44</v>
      </c>
      <c r="E1143" s="14" t="s">
        <v>76</v>
      </c>
      <c r="F1143" s="14" t="s">
        <v>79</v>
      </c>
      <c r="G1143" s="14" t="s">
        <v>80</v>
      </c>
      <c r="H1143" s="0" t="n">
        <v>6</v>
      </c>
      <c r="I1143" s="16" t="n">
        <v>29.96</v>
      </c>
      <c r="J1143" s="16" t="n">
        <v>11</v>
      </c>
      <c r="K1143" s="16" t="n">
        <f aca="false">H1143*I1143</f>
        <v>179.76</v>
      </c>
      <c r="L1143" s="16" t="n">
        <f aca="false">H1143*J1143</f>
        <v>66</v>
      </c>
      <c r="M1143" s="16" t="n">
        <f aca="false">K1143-L1143</f>
        <v>113.76</v>
      </c>
      <c r="N1143" s="17" t="n">
        <f aca="false">IFERROR(M1143/K1143,0)</f>
        <v>0.632843791722296</v>
      </c>
    </row>
    <row r="1144" customFormat="false" ht="15" hidden="false" customHeight="false" outlineLevel="0" collapsed="false">
      <c r="A1144" s="15" t="n">
        <v>46071</v>
      </c>
      <c r="B1144" s="14" t="s">
        <v>50</v>
      </c>
      <c r="C1144" s="14" t="s">
        <v>51</v>
      </c>
      <c r="D1144" s="14" t="s">
        <v>52</v>
      </c>
      <c r="E1144" s="14" t="s">
        <v>76</v>
      </c>
      <c r="F1144" s="14" t="s">
        <v>79</v>
      </c>
      <c r="G1144" s="14" t="s">
        <v>80</v>
      </c>
      <c r="H1144" s="0" t="n">
        <v>5</v>
      </c>
      <c r="I1144" s="16" t="n">
        <v>29.81</v>
      </c>
      <c r="J1144" s="16" t="n">
        <v>11</v>
      </c>
      <c r="K1144" s="16" t="n">
        <f aca="false">H1144*I1144</f>
        <v>149.05</v>
      </c>
      <c r="L1144" s="16" t="n">
        <f aca="false">H1144*J1144</f>
        <v>55</v>
      </c>
      <c r="M1144" s="16" t="n">
        <f aca="false">K1144-L1144</f>
        <v>94.05</v>
      </c>
      <c r="N1144" s="17" t="n">
        <f aca="false">IFERROR(M1144/K1144,0)</f>
        <v>0.6309963099631</v>
      </c>
    </row>
    <row r="1145" customFormat="false" ht="15" hidden="false" customHeight="false" outlineLevel="0" collapsed="false">
      <c r="A1145" s="15" t="n">
        <v>46071</v>
      </c>
      <c r="B1145" s="14" t="s">
        <v>50</v>
      </c>
      <c r="C1145" s="14" t="s">
        <v>51</v>
      </c>
      <c r="D1145" s="14" t="s">
        <v>52</v>
      </c>
      <c r="E1145" s="14" t="s">
        <v>56</v>
      </c>
      <c r="F1145" s="14" t="s">
        <v>86</v>
      </c>
      <c r="G1145" s="14" t="s">
        <v>87</v>
      </c>
      <c r="H1145" s="0" t="n">
        <v>2</v>
      </c>
      <c r="I1145" s="16" t="n">
        <v>13.85</v>
      </c>
      <c r="J1145" s="16" t="n">
        <v>5</v>
      </c>
      <c r="K1145" s="16" t="n">
        <f aca="false">H1145*I1145</f>
        <v>27.7</v>
      </c>
      <c r="L1145" s="16" t="n">
        <f aca="false">H1145*J1145</f>
        <v>10</v>
      </c>
      <c r="M1145" s="16" t="n">
        <f aca="false">K1145-L1145</f>
        <v>17.7</v>
      </c>
      <c r="N1145" s="17" t="n">
        <f aca="false">IFERROR(M1145/K1145,0)</f>
        <v>0.63898916967509</v>
      </c>
    </row>
    <row r="1146" customFormat="false" ht="15" hidden="false" customHeight="false" outlineLevel="0" collapsed="false">
      <c r="A1146" s="15" t="n">
        <v>46071</v>
      </c>
      <c r="B1146" s="14" t="s">
        <v>50</v>
      </c>
      <c r="C1146" s="14" t="s">
        <v>51</v>
      </c>
      <c r="D1146" s="14" t="s">
        <v>52</v>
      </c>
      <c r="E1146" s="14" t="s">
        <v>76</v>
      </c>
      <c r="F1146" s="14" t="s">
        <v>77</v>
      </c>
      <c r="G1146" s="14" t="s">
        <v>78</v>
      </c>
      <c r="H1146" s="0" t="n">
        <v>3</v>
      </c>
      <c r="I1146" s="16" t="n">
        <v>39.53</v>
      </c>
      <c r="J1146" s="16" t="n">
        <v>15</v>
      </c>
      <c r="K1146" s="16" t="n">
        <f aca="false">H1146*I1146</f>
        <v>118.59</v>
      </c>
      <c r="L1146" s="16" t="n">
        <f aca="false">H1146*J1146</f>
        <v>45</v>
      </c>
      <c r="M1146" s="16" t="n">
        <f aca="false">K1146-L1146</f>
        <v>73.59</v>
      </c>
      <c r="N1146" s="17" t="n">
        <f aca="false">IFERROR(M1146/K1146,0)</f>
        <v>0.620541360991652</v>
      </c>
    </row>
    <row r="1147" customFormat="false" ht="15" hidden="false" customHeight="false" outlineLevel="0" collapsed="false">
      <c r="A1147" s="15" t="n">
        <v>46071</v>
      </c>
      <c r="B1147" s="14" t="s">
        <v>59</v>
      </c>
      <c r="C1147" s="14" t="s">
        <v>60</v>
      </c>
      <c r="D1147" s="14" t="s">
        <v>61</v>
      </c>
      <c r="E1147" s="14" t="s">
        <v>53</v>
      </c>
      <c r="F1147" s="14" t="s">
        <v>54</v>
      </c>
      <c r="G1147" s="14" t="s">
        <v>55</v>
      </c>
      <c r="H1147" s="0" t="n">
        <v>4</v>
      </c>
      <c r="I1147" s="16" t="n">
        <v>54.17</v>
      </c>
      <c r="J1147" s="16" t="n">
        <v>22</v>
      </c>
      <c r="K1147" s="16" t="n">
        <f aca="false">H1147*I1147</f>
        <v>216.68</v>
      </c>
      <c r="L1147" s="16" t="n">
        <f aca="false">H1147*J1147</f>
        <v>88</v>
      </c>
      <c r="M1147" s="16" t="n">
        <f aca="false">K1147-L1147</f>
        <v>128.68</v>
      </c>
      <c r="N1147" s="17" t="n">
        <f aca="false">IFERROR(M1147/K1147,0)</f>
        <v>0.593871146390991</v>
      </c>
    </row>
    <row r="1148" customFormat="false" ht="15" hidden="false" customHeight="false" outlineLevel="0" collapsed="false">
      <c r="A1148" s="15" t="n">
        <v>46071</v>
      </c>
      <c r="B1148" s="14" t="s">
        <v>59</v>
      </c>
      <c r="C1148" s="14" t="s">
        <v>60</v>
      </c>
      <c r="D1148" s="14" t="s">
        <v>61</v>
      </c>
      <c r="E1148" s="14" t="s">
        <v>45</v>
      </c>
      <c r="F1148" s="14" t="s">
        <v>72</v>
      </c>
      <c r="G1148" s="14" t="s">
        <v>73</v>
      </c>
      <c r="H1148" s="0" t="n">
        <v>3</v>
      </c>
      <c r="I1148" s="16" t="n">
        <v>50.89</v>
      </c>
      <c r="J1148" s="16" t="n">
        <v>21</v>
      </c>
      <c r="K1148" s="16" t="n">
        <f aca="false">H1148*I1148</f>
        <v>152.67</v>
      </c>
      <c r="L1148" s="16" t="n">
        <f aca="false">H1148*J1148</f>
        <v>63</v>
      </c>
      <c r="M1148" s="16" t="n">
        <f aca="false">K1148-L1148</f>
        <v>89.67</v>
      </c>
      <c r="N1148" s="17" t="n">
        <f aca="false">IFERROR(M1148/K1148,0)</f>
        <v>0.587345254470426</v>
      </c>
    </row>
    <row r="1149" customFormat="false" ht="15" hidden="false" customHeight="false" outlineLevel="0" collapsed="false">
      <c r="A1149" s="15" t="n">
        <v>46071</v>
      </c>
      <c r="B1149" s="14" t="s">
        <v>59</v>
      </c>
      <c r="C1149" s="14" t="s">
        <v>60</v>
      </c>
      <c r="D1149" s="14" t="s">
        <v>61</v>
      </c>
      <c r="E1149" s="14" t="s">
        <v>76</v>
      </c>
      <c r="F1149" s="14" t="s">
        <v>100</v>
      </c>
      <c r="G1149" s="14" t="s">
        <v>101</v>
      </c>
      <c r="H1149" s="0" t="n">
        <v>2</v>
      </c>
      <c r="I1149" s="16" t="n">
        <v>15.34</v>
      </c>
      <c r="J1149" s="16" t="n">
        <v>5.5</v>
      </c>
      <c r="K1149" s="16" t="n">
        <f aca="false">H1149*I1149</f>
        <v>30.68</v>
      </c>
      <c r="L1149" s="16" t="n">
        <f aca="false">H1149*J1149</f>
        <v>11</v>
      </c>
      <c r="M1149" s="16" t="n">
        <f aca="false">K1149-L1149</f>
        <v>19.68</v>
      </c>
      <c r="N1149" s="17" t="n">
        <f aca="false">IFERROR(M1149/K1149,0)</f>
        <v>0.641460234680574</v>
      </c>
    </row>
    <row r="1150" customFormat="false" ht="15" hidden="false" customHeight="false" outlineLevel="0" collapsed="false">
      <c r="A1150" s="15" t="n">
        <v>46071</v>
      </c>
      <c r="B1150" s="14" t="s">
        <v>59</v>
      </c>
      <c r="C1150" s="14" t="s">
        <v>60</v>
      </c>
      <c r="D1150" s="14" t="s">
        <v>61</v>
      </c>
      <c r="E1150" s="14" t="s">
        <v>56</v>
      </c>
      <c r="F1150" s="14" t="s">
        <v>98</v>
      </c>
      <c r="G1150" s="14" t="s">
        <v>99</v>
      </c>
      <c r="H1150" s="0" t="n">
        <v>4</v>
      </c>
      <c r="I1150" s="16" t="n">
        <v>20.31</v>
      </c>
      <c r="J1150" s="16" t="n">
        <v>8</v>
      </c>
      <c r="K1150" s="16" t="n">
        <f aca="false">H1150*I1150</f>
        <v>81.24</v>
      </c>
      <c r="L1150" s="16" t="n">
        <f aca="false">H1150*J1150</f>
        <v>32</v>
      </c>
      <c r="M1150" s="16" t="n">
        <f aca="false">K1150-L1150</f>
        <v>49.24</v>
      </c>
      <c r="N1150" s="17" t="n">
        <f aca="false">IFERROR(M1150/K1150,0)</f>
        <v>0.606105366814377</v>
      </c>
    </row>
    <row r="1151" customFormat="false" ht="15" hidden="false" customHeight="false" outlineLevel="0" collapsed="false">
      <c r="A1151" s="15" t="n">
        <v>46071</v>
      </c>
      <c r="B1151" s="14" t="s">
        <v>59</v>
      </c>
      <c r="C1151" s="14" t="s">
        <v>60</v>
      </c>
      <c r="D1151" s="14" t="s">
        <v>61</v>
      </c>
      <c r="E1151" s="14" t="s">
        <v>56</v>
      </c>
      <c r="F1151" s="14" t="s">
        <v>57</v>
      </c>
      <c r="G1151" s="14" t="s">
        <v>58</v>
      </c>
      <c r="H1151" s="0" t="n">
        <v>2</v>
      </c>
      <c r="I1151" s="16" t="n">
        <v>26.53</v>
      </c>
      <c r="J1151" s="16" t="n">
        <v>10</v>
      </c>
      <c r="K1151" s="16" t="n">
        <f aca="false">H1151*I1151</f>
        <v>53.06</v>
      </c>
      <c r="L1151" s="16" t="n">
        <f aca="false">H1151*J1151</f>
        <v>20</v>
      </c>
      <c r="M1151" s="16" t="n">
        <f aca="false">K1151-L1151</f>
        <v>33.06</v>
      </c>
      <c r="N1151" s="17" t="n">
        <f aca="false">IFERROR(M1151/K1151,0)</f>
        <v>0.623068224651338</v>
      </c>
    </row>
    <row r="1152" customFormat="false" ht="15" hidden="false" customHeight="false" outlineLevel="0" collapsed="false">
      <c r="A1152" s="15" t="n">
        <v>46071</v>
      </c>
      <c r="B1152" s="14" t="s">
        <v>59</v>
      </c>
      <c r="C1152" s="14" t="s">
        <v>60</v>
      </c>
      <c r="D1152" s="14" t="s">
        <v>61</v>
      </c>
      <c r="E1152" s="14" t="s">
        <v>76</v>
      </c>
      <c r="F1152" s="14" t="s">
        <v>102</v>
      </c>
      <c r="G1152" s="14" t="s">
        <v>103</v>
      </c>
      <c r="H1152" s="0" t="n">
        <v>6</v>
      </c>
      <c r="I1152" s="16" t="n">
        <v>22.88</v>
      </c>
      <c r="J1152" s="16" t="n">
        <v>8.5</v>
      </c>
      <c r="K1152" s="16" t="n">
        <f aca="false">H1152*I1152</f>
        <v>137.28</v>
      </c>
      <c r="L1152" s="16" t="n">
        <f aca="false">H1152*J1152</f>
        <v>51</v>
      </c>
      <c r="M1152" s="16" t="n">
        <f aca="false">K1152-L1152</f>
        <v>86.28</v>
      </c>
      <c r="N1152" s="17" t="n">
        <f aca="false">IFERROR(M1152/K1152,0)</f>
        <v>0.628496503496504</v>
      </c>
    </row>
    <row r="1153" customFormat="false" ht="15" hidden="false" customHeight="false" outlineLevel="0" collapsed="false">
      <c r="A1153" s="15" t="n">
        <v>46071</v>
      </c>
      <c r="B1153" s="14" t="s">
        <v>69</v>
      </c>
      <c r="C1153" s="14" t="s">
        <v>70</v>
      </c>
      <c r="D1153" s="14" t="s">
        <v>71</v>
      </c>
      <c r="E1153" s="14" t="s">
        <v>53</v>
      </c>
      <c r="F1153" s="14" t="s">
        <v>74</v>
      </c>
      <c r="G1153" s="14" t="s">
        <v>75</v>
      </c>
      <c r="H1153" s="0" t="n">
        <v>5</v>
      </c>
      <c r="I1153" s="16" t="n">
        <v>82.27</v>
      </c>
      <c r="J1153" s="16" t="n">
        <v>38</v>
      </c>
      <c r="K1153" s="16" t="n">
        <f aca="false">H1153*I1153</f>
        <v>411.35</v>
      </c>
      <c r="L1153" s="16" t="n">
        <f aca="false">H1153*J1153</f>
        <v>190</v>
      </c>
      <c r="M1153" s="16" t="n">
        <f aca="false">K1153-L1153</f>
        <v>221.35</v>
      </c>
      <c r="N1153" s="17" t="n">
        <f aca="false">IFERROR(M1153/K1153,0)</f>
        <v>0.53810623556582</v>
      </c>
    </row>
    <row r="1154" customFormat="false" ht="15" hidden="false" customHeight="false" outlineLevel="0" collapsed="false">
      <c r="A1154" s="15" t="n">
        <v>46071</v>
      </c>
      <c r="B1154" s="14" t="s">
        <v>69</v>
      </c>
      <c r="C1154" s="14" t="s">
        <v>70</v>
      </c>
      <c r="D1154" s="14" t="s">
        <v>71</v>
      </c>
      <c r="E1154" s="14" t="s">
        <v>56</v>
      </c>
      <c r="F1154" s="14" t="s">
        <v>98</v>
      </c>
      <c r="G1154" s="14" t="s">
        <v>99</v>
      </c>
      <c r="H1154" s="0" t="n">
        <v>5</v>
      </c>
      <c r="I1154" s="16" t="n">
        <v>21.19</v>
      </c>
      <c r="J1154" s="16" t="n">
        <v>8</v>
      </c>
      <c r="K1154" s="16" t="n">
        <f aca="false">H1154*I1154</f>
        <v>105.95</v>
      </c>
      <c r="L1154" s="16" t="n">
        <f aca="false">H1154*J1154</f>
        <v>40</v>
      </c>
      <c r="M1154" s="16" t="n">
        <f aca="false">K1154-L1154</f>
        <v>65.95</v>
      </c>
      <c r="N1154" s="17" t="n">
        <f aca="false">IFERROR(M1154/K1154,0)</f>
        <v>0.622463426144408</v>
      </c>
    </row>
    <row r="1155" customFormat="false" ht="15" hidden="false" customHeight="false" outlineLevel="0" collapsed="false">
      <c r="A1155" s="15" t="n">
        <v>46071</v>
      </c>
      <c r="B1155" s="14" t="s">
        <v>81</v>
      </c>
      <c r="C1155" s="14" t="s">
        <v>82</v>
      </c>
      <c r="D1155" s="14" t="s">
        <v>83</v>
      </c>
      <c r="E1155" s="14" t="s">
        <v>76</v>
      </c>
      <c r="F1155" s="14" t="s">
        <v>77</v>
      </c>
      <c r="G1155" s="14" t="s">
        <v>78</v>
      </c>
      <c r="H1155" s="0" t="n">
        <v>2</v>
      </c>
      <c r="I1155" s="16" t="n">
        <v>38.81</v>
      </c>
      <c r="J1155" s="16" t="n">
        <v>15</v>
      </c>
      <c r="K1155" s="16" t="n">
        <f aca="false">H1155*I1155</f>
        <v>77.62</v>
      </c>
      <c r="L1155" s="16" t="n">
        <f aca="false">H1155*J1155</f>
        <v>30</v>
      </c>
      <c r="M1155" s="16" t="n">
        <f aca="false">K1155-L1155</f>
        <v>47.62</v>
      </c>
      <c r="N1155" s="17" t="n">
        <f aca="false">IFERROR(M1155/K1155,0)</f>
        <v>0.613501674826076</v>
      </c>
    </row>
    <row r="1156" customFormat="false" ht="15" hidden="false" customHeight="false" outlineLevel="0" collapsed="false">
      <c r="A1156" s="15" t="n">
        <v>46071</v>
      </c>
      <c r="B1156" s="14" t="s">
        <v>81</v>
      </c>
      <c r="C1156" s="14" t="s">
        <v>82</v>
      </c>
      <c r="D1156" s="14" t="s">
        <v>83</v>
      </c>
      <c r="E1156" s="14" t="s">
        <v>64</v>
      </c>
      <c r="F1156" s="14" t="s">
        <v>90</v>
      </c>
      <c r="G1156" s="14" t="s">
        <v>91</v>
      </c>
      <c r="H1156" s="0" t="n">
        <v>1</v>
      </c>
      <c r="I1156" s="16" t="n">
        <v>11.25</v>
      </c>
      <c r="J1156" s="16" t="n">
        <v>3.5</v>
      </c>
      <c r="K1156" s="16" t="n">
        <f aca="false">H1156*I1156</f>
        <v>11.25</v>
      </c>
      <c r="L1156" s="16" t="n">
        <f aca="false">H1156*J1156</f>
        <v>3.5</v>
      </c>
      <c r="M1156" s="16" t="n">
        <f aca="false">K1156-L1156</f>
        <v>7.75</v>
      </c>
      <c r="N1156" s="17" t="n">
        <f aca="false">IFERROR(M1156/K1156,0)</f>
        <v>0.688888888888889</v>
      </c>
    </row>
    <row r="1157" customFormat="false" ht="15" hidden="false" customHeight="false" outlineLevel="0" collapsed="false">
      <c r="A1157" s="15" t="n">
        <v>46071</v>
      </c>
      <c r="B1157" s="14" t="s">
        <v>81</v>
      </c>
      <c r="C1157" s="14" t="s">
        <v>82</v>
      </c>
      <c r="D1157" s="14" t="s">
        <v>83</v>
      </c>
      <c r="E1157" s="14" t="s">
        <v>76</v>
      </c>
      <c r="F1157" s="14" t="s">
        <v>100</v>
      </c>
      <c r="G1157" s="14" t="s">
        <v>101</v>
      </c>
      <c r="H1157" s="0" t="n">
        <v>2</v>
      </c>
      <c r="I1157" s="16" t="n">
        <v>14.89</v>
      </c>
      <c r="J1157" s="16" t="n">
        <v>5.5</v>
      </c>
      <c r="K1157" s="16" t="n">
        <f aca="false">H1157*I1157</f>
        <v>29.78</v>
      </c>
      <c r="L1157" s="16" t="n">
        <f aca="false">H1157*J1157</f>
        <v>11</v>
      </c>
      <c r="M1157" s="16" t="n">
        <f aca="false">K1157-L1157</f>
        <v>18.78</v>
      </c>
      <c r="N1157" s="17" t="n">
        <f aca="false">IFERROR(M1157/K1157,0)</f>
        <v>0.630624580255205</v>
      </c>
    </row>
    <row r="1158" customFormat="false" ht="15" hidden="false" customHeight="false" outlineLevel="0" collapsed="false">
      <c r="A1158" s="15" t="n">
        <v>46071</v>
      </c>
      <c r="B1158" s="14" t="s">
        <v>88</v>
      </c>
      <c r="C1158" s="14" t="s">
        <v>89</v>
      </c>
      <c r="D1158" s="14" t="s">
        <v>44</v>
      </c>
      <c r="E1158" s="14" t="s">
        <v>64</v>
      </c>
      <c r="F1158" s="14" t="s">
        <v>65</v>
      </c>
      <c r="G1158" s="14" t="s">
        <v>66</v>
      </c>
      <c r="H1158" s="0" t="n">
        <v>6</v>
      </c>
      <c r="I1158" s="16" t="n">
        <v>74.34</v>
      </c>
      <c r="J1158" s="16" t="n">
        <v>34</v>
      </c>
      <c r="K1158" s="16" t="n">
        <f aca="false">H1158*I1158</f>
        <v>446.04</v>
      </c>
      <c r="L1158" s="16" t="n">
        <f aca="false">H1158*J1158</f>
        <v>204</v>
      </c>
      <c r="M1158" s="16" t="n">
        <f aca="false">K1158-L1158</f>
        <v>242.04</v>
      </c>
      <c r="N1158" s="17" t="n">
        <f aca="false">IFERROR(M1158/K1158,0)</f>
        <v>0.542641915523272</v>
      </c>
    </row>
    <row r="1159" customFormat="false" ht="15" hidden="false" customHeight="false" outlineLevel="0" collapsed="false">
      <c r="A1159" s="15" t="n">
        <v>46071</v>
      </c>
      <c r="B1159" s="14" t="s">
        <v>88</v>
      </c>
      <c r="C1159" s="14" t="s">
        <v>89</v>
      </c>
      <c r="D1159" s="14" t="s">
        <v>44</v>
      </c>
      <c r="E1159" s="14" t="s">
        <v>64</v>
      </c>
      <c r="F1159" s="14" t="s">
        <v>90</v>
      </c>
      <c r="G1159" s="14" t="s">
        <v>91</v>
      </c>
      <c r="H1159" s="0" t="n">
        <v>3</v>
      </c>
      <c r="I1159" s="16" t="n">
        <v>11.77</v>
      </c>
      <c r="J1159" s="16" t="n">
        <v>3.5</v>
      </c>
      <c r="K1159" s="16" t="n">
        <f aca="false">H1159*I1159</f>
        <v>35.31</v>
      </c>
      <c r="L1159" s="16" t="n">
        <f aca="false">H1159*J1159</f>
        <v>10.5</v>
      </c>
      <c r="M1159" s="16" t="n">
        <f aca="false">K1159-L1159</f>
        <v>24.81</v>
      </c>
      <c r="N1159" s="17" t="n">
        <f aca="false">IFERROR(M1159/K1159,0)</f>
        <v>0.702633814783348</v>
      </c>
    </row>
    <row r="1160" customFormat="false" ht="15" hidden="false" customHeight="false" outlineLevel="0" collapsed="false">
      <c r="A1160" s="15" t="n">
        <v>46072</v>
      </c>
      <c r="B1160" s="14" t="s">
        <v>42</v>
      </c>
      <c r="C1160" s="14" t="s">
        <v>43</v>
      </c>
      <c r="D1160" s="14" t="s">
        <v>44</v>
      </c>
      <c r="E1160" s="14" t="s">
        <v>56</v>
      </c>
      <c r="F1160" s="14" t="s">
        <v>86</v>
      </c>
      <c r="G1160" s="14" t="s">
        <v>87</v>
      </c>
      <c r="H1160" s="0" t="n">
        <v>10</v>
      </c>
      <c r="I1160" s="16" t="n">
        <v>14.27</v>
      </c>
      <c r="J1160" s="16" t="n">
        <v>5</v>
      </c>
      <c r="K1160" s="16" t="n">
        <f aca="false">H1160*I1160</f>
        <v>142.7</v>
      </c>
      <c r="L1160" s="16" t="n">
        <f aca="false">H1160*J1160</f>
        <v>50</v>
      </c>
      <c r="M1160" s="16" t="n">
        <f aca="false">K1160-L1160</f>
        <v>92.7</v>
      </c>
      <c r="N1160" s="17" t="n">
        <f aca="false">IFERROR(M1160/K1160,0)</f>
        <v>0.649614576033637</v>
      </c>
    </row>
    <row r="1161" customFormat="false" ht="15" hidden="false" customHeight="false" outlineLevel="0" collapsed="false">
      <c r="A1161" s="15" t="n">
        <v>46072</v>
      </c>
      <c r="B1161" s="14" t="s">
        <v>42</v>
      </c>
      <c r="C1161" s="14" t="s">
        <v>43</v>
      </c>
      <c r="D1161" s="14" t="s">
        <v>44</v>
      </c>
      <c r="E1161" s="14" t="s">
        <v>56</v>
      </c>
      <c r="F1161" s="14" t="s">
        <v>86</v>
      </c>
      <c r="G1161" s="14" t="s">
        <v>87</v>
      </c>
      <c r="H1161" s="0" t="n">
        <v>5</v>
      </c>
      <c r="I1161" s="16" t="n">
        <v>14.09</v>
      </c>
      <c r="J1161" s="16" t="n">
        <v>5</v>
      </c>
      <c r="K1161" s="16" t="n">
        <f aca="false">H1161*I1161</f>
        <v>70.45</v>
      </c>
      <c r="L1161" s="16" t="n">
        <f aca="false">H1161*J1161</f>
        <v>25</v>
      </c>
      <c r="M1161" s="16" t="n">
        <f aca="false">K1161-L1161</f>
        <v>45.45</v>
      </c>
      <c r="N1161" s="17" t="n">
        <f aca="false">IFERROR(M1161/K1161,0)</f>
        <v>0.64513839602555</v>
      </c>
    </row>
    <row r="1162" customFormat="false" ht="15" hidden="false" customHeight="false" outlineLevel="0" collapsed="false">
      <c r="A1162" s="15" t="n">
        <v>46072</v>
      </c>
      <c r="B1162" s="14" t="s">
        <v>42</v>
      </c>
      <c r="C1162" s="14" t="s">
        <v>43</v>
      </c>
      <c r="D1162" s="14" t="s">
        <v>44</v>
      </c>
      <c r="E1162" s="14" t="s">
        <v>76</v>
      </c>
      <c r="F1162" s="14" t="s">
        <v>100</v>
      </c>
      <c r="G1162" s="14" t="s">
        <v>101</v>
      </c>
      <c r="H1162" s="0" t="n">
        <v>7</v>
      </c>
      <c r="I1162" s="16" t="n">
        <v>15.6</v>
      </c>
      <c r="J1162" s="16" t="n">
        <v>5.5</v>
      </c>
      <c r="K1162" s="16" t="n">
        <f aca="false">H1162*I1162</f>
        <v>109.2</v>
      </c>
      <c r="L1162" s="16" t="n">
        <f aca="false">H1162*J1162</f>
        <v>38.5</v>
      </c>
      <c r="M1162" s="16" t="n">
        <f aca="false">K1162-L1162</f>
        <v>70.7</v>
      </c>
      <c r="N1162" s="17" t="n">
        <f aca="false">IFERROR(M1162/K1162,0)</f>
        <v>0.647435897435898</v>
      </c>
    </row>
    <row r="1163" customFormat="false" ht="15" hidden="false" customHeight="false" outlineLevel="0" collapsed="false">
      <c r="A1163" s="15" t="n">
        <v>46072</v>
      </c>
      <c r="B1163" s="14" t="s">
        <v>42</v>
      </c>
      <c r="C1163" s="14" t="s">
        <v>43</v>
      </c>
      <c r="D1163" s="14" t="s">
        <v>44</v>
      </c>
      <c r="E1163" s="14" t="s">
        <v>56</v>
      </c>
      <c r="F1163" s="14" t="s">
        <v>98</v>
      </c>
      <c r="G1163" s="14" t="s">
        <v>99</v>
      </c>
      <c r="H1163" s="0" t="n">
        <v>3</v>
      </c>
      <c r="I1163" s="16" t="n">
        <v>21.42</v>
      </c>
      <c r="J1163" s="16" t="n">
        <v>8</v>
      </c>
      <c r="K1163" s="16" t="n">
        <f aca="false">H1163*I1163</f>
        <v>64.26</v>
      </c>
      <c r="L1163" s="16" t="n">
        <f aca="false">H1163*J1163</f>
        <v>24</v>
      </c>
      <c r="M1163" s="16" t="n">
        <f aca="false">K1163-L1163</f>
        <v>40.26</v>
      </c>
      <c r="N1163" s="17" t="n">
        <f aca="false">IFERROR(M1163/K1163,0)</f>
        <v>0.626517273576097</v>
      </c>
    </row>
    <row r="1164" customFormat="false" ht="15" hidden="false" customHeight="false" outlineLevel="0" collapsed="false">
      <c r="A1164" s="15" t="n">
        <v>46072</v>
      </c>
      <c r="B1164" s="14" t="s">
        <v>42</v>
      </c>
      <c r="C1164" s="14" t="s">
        <v>43</v>
      </c>
      <c r="D1164" s="14" t="s">
        <v>44</v>
      </c>
      <c r="E1164" s="14" t="s">
        <v>64</v>
      </c>
      <c r="F1164" s="14" t="s">
        <v>94</v>
      </c>
      <c r="G1164" s="14" t="s">
        <v>95</v>
      </c>
      <c r="H1164" s="0" t="n">
        <v>6</v>
      </c>
      <c r="I1164" s="16" t="n">
        <v>92.59</v>
      </c>
      <c r="J1164" s="16" t="n">
        <v>42</v>
      </c>
      <c r="K1164" s="16" t="n">
        <f aca="false">H1164*I1164</f>
        <v>555.54</v>
      </c>
      <c r="L1164" s="16" t="n">
        <f aca="false">H1164*J1164</f>
        <v>252</v>
      </c>
      <c r="M1164" s="16" t="n">
        <f aca="false">K1164-L1164</f>
        <v>303.54</v>
      </c>
      <c r="N1164" s="17" t="n">
        <f aca="false">IFERROR(M1164/K1164,0)</f>
        <v>0.546387298844368</v>
      </c>
    </row>
    <row r="1165" customFormat="false" ht="15" hidden="false" customHeight="false" outlineLevel="0" collapsed="false">
      <c r="A1165" s="15" t="n">
        <v>46072</v>
      </c>
      <c r="B1165" s="14" t="s">
        <v>50</v>
      </c>
      <c r="C1165" s="14" t="s">
        <v>51</v>
      </c>
      <c r="D1165" s="14" t="s">
        <v>52</v>
      </c>
      <c r="E1165" s="14" t="s">
        <v>56</v>
      </c>
      <c r="F1165" s="14" t="s">
        <v>98</v>
      </c>
      <c r="G1165" s="14" t="s">
        <v>99</v>
      </c>
      <c r="H1165" s="0" t="n">
        <v>6</v>
      </c>
      <c r="I1165" s="16" t="n">
        <v>20.54</v>
      </c>
      <c r="J1165" s="16" t="n">
        <v>8</v>
      </c>
      <c r="K1165" s="16" t="n">
        <f aca="false">H1165*I1165</f>
        <v>123.24</v>
      </c>
      <c r="L1165" s="16" t="n">
        <f aca="false">H1165*J1165</f>
        <v>48</v>
      </c>
      <c r="M1165" s="16" t="n">
        <f aca="false">K1165-L1165</f>
        <v>75.24</v>
      </c>
      <c r="N1165" s="17" t="n">
        <f aca="false">IFERROR(M1165/K1165,0)</f>
        <v>0.610516066212269</v>
      </c>
    </row>
    <row r="1166" customFormat="false" ht="15" hidden="false" customHeight="false" outlineLevel="0" collapsed="false">
      <c r="A1166" s="15" t="n">
        <v>46072</v>
      </c>
      <c r="B1166" s="14" t="s">
        <v>50</v>
      </c>
      <c r="C1166" s="14" t="s">
        <v>51</v>
      </c>
      <c r="D1166" s="14" t="s">
        <v>52</v>
      </c>
      <c r="E1166" s="14" t="s">
        <v>76</v>
      </c>
      <c r="F1166" s="14" t="s">
        <v>100</v>
      </c>
      <c r="G1166" s="14" t="s">
        <v>101</v>
      </c>
      <c r="H1166" s="0" t="n">
        <v>3</v>
      </c>
      <c r="I1166" s="16" t="n">
        <v>15.28</v>
      </c>
      <c r="J1166" s="16" t="n">
        <v>5.5</v>
      </c>
      <c r="K1166" s="16" t="n">
        <f aca="false">H1166*I1166</f>
        <v>45.84</v>
      </c>
      <c r="L1166" s="16" t="n">
        <f aca="false">H1166*J1166</f>
        <v>16.5</v>
      </c>
      <c r="M1166" s="16" t="n">
        <f aca="false">K1166-L1166</f>
        <v>29.34</v>
      </c>
      <c r="N1166" s="17" t="n">
        <f aca="false">IFERROR(M1166/K1166,0)</f>
        <v>0.640052356020942</v>
      </c>
    </row>
    <row r="1167" customFormat="false" ht="15" hidden="false" customHeight="false" outlineLevel="0" collapsed="false">
      <c r="A1167" s="15" t="n">
        <v>46072</v>
      </c>
      <c r="B1167" s="14" t="s">
        <v>50</v>
      </c>
      <c r="C1167" s="14" t="s">
        <v>51</v>
      </c>
      <c r="D1167" s="14" t="s">
        <v>52</v>
      </c>
      <c r="E1167" s="14" t="s">
        <v>53</v>
      </c>
      <c r="F1167" s="14" t="s">
        <v>54</v>
      </c>
      <c r="G1167" s="14" t="s">
        <v>55</v>
      </c>
      <c r="H1167" s="0" t="n">
        <v>6</v>
      </c>
      <c r="I1167" s="16" t="n">
        <v>51.29</v>
      </c>
      <c r="J1167" s="16" t="n">
        <v>22</v>
      </c>
      <c r="K1167" s="16" t="n">
        <f aca="false">H1167*I1167</f>
        <v>307.74</v>
      </c>
      <c r="L1167" s="16" t="n">
        <f aca="false">H1167*J1167</f>
        <v>132</v>
      </c>
      <c r="M1167" s="16" t="n">
        <f aca="false">K1167-L1167</f>
        <v>175.74</v>
      </c>
      <c r="N1167" s="17" t="n">
        <f aca="false">IFERROR(M1167/K1167,0)</f>
        <v>0.571066484694872</v>
      </c>
    </row>
    <row r="1168" customFormat="false" ht="15" hidden="false" customHeight="false" outlineLevel="0" collapsed="false">
      <c r="A1168" s="15" t="n">
        <v>46072</v>
      </c>
      <c r="B1168" s="14" t="s">
        <v>50</v>
      </c>
      <c r="C1168" s="14" t="s">
        <v>51</v>
      </c>
      <c r="D1168" s="14" t="s">
        <v>52</v>
      </c>
      <c r="E1168" s="14" t="s">
        <v>45</v>
      </c>
      <c r="F1168" s="14" t="s">
        <v>48</v>
      </c>
      <c r="G1168" s="14" t="s">
        <v>49</v>
      </c>
      <c r="H1168" s="0" t="n">
        <v>1</v>
      </c>
      <c r="I1168" s="16" t="n">
        <v>63.88</v>
      </c>
      <c r="J1168" s="16" t="n">
        <v>27.5</v>
      </c>
      <c r="K1168" s="16" t="n">
        <f aca="false">H1168*I1168</f>
        <v>63.88</v>
      </c>
      <c r="L1168" s="16" t="n">
        <f aca="false">H1168*J1168</f>
        <v>27.5</v>
      </c>
      <c r="M1168" s="16" t="n">
        <f aca="false">K1168-L1168</f>
        <v>36.38</v>
      </c>
      <c r="N1168" s="17" t="n">
        <f aca="false">IFERROR(M1168/K1168,0)</f>
        <v>0.569505322479649</v>
      </c>
    </row>
    <row r="1169" customFormat="false" ht="15" hidden="false" customHeight="false" outlineLevel="0" collapsed="false">
      <c r="A1169" s="15" t="n">
        <v>46072</v>
      </c>
      <c r="B1169" s="14" t="s">
        <v>59</v>
      </c>
      <c r="C1169" s="14" t="s">
        <v>60</v>
      </c>
      <c r="D1169" s="14" t="s">
        <v>61</v>
      </c>
      <c r="E1169" s="14" t="s">
        <v>53</v>
      </c>
      <c r="F1169" s="14" t="s">
        <v>92</v>
      </c>
      <c r="G1169" s="14" t="s">
        <v>93</v>
      </c>
      <c r="H1169" s="0" t="n">
        <v>1</v>
      </c>
      <c r="I1169" s="16" t="n">
        <v>113.7</v>
      </c>
      <c r="J1169" s="16" t="n">
        <v>52</v>
      </c>
      <c r="K1169" s="16" t="n">
        <f aca="false">H1169*I1169</f>
        <v>113.7</v>
      </c>
      <c r="L1169" s="16" t="n">
        <f aca="false">H1169*J1169</f>
        <v>52</v>
      </c>
      <c r="M1169" s="16" t="n">
        <f aca="false">K1169-L1169</f>
        <v>61.7</v>
      </c>
      <c r="N1169" s="17" t="n">
        <f aca="false">IFERROR(M1169/K1169,0)</f>
        <v>0.542656112576957</v>
      </c>
    </row>
    <row r="1170" customFormat="false" ht="15" hidden="false" customHeight="false" outlineLevel="0" collapsed="false">
      <c r="A1170" s="15" t="n">
        <v>46072</v>
      </c>
      <c r="B1170" s="14" t="s">
        <v>59</v>
      </c>
      <c r="C1170" s="14" t="s">
        <v>60</v>
      </c>
      <c r="D1170" s="14" t="s">
        <v>61</v>
      </c>
      <c r="E1170" s="14" t="s">
        <v>45</v>
      </c>
      <c r="F1170" s="14" t="s">
        <v>46</v>
      </c>
      <c r="G1170" s="14" t="s">
        <v>47</v>
      </c>
      <c r="H1170" s="0" t="n">
        <v>6</v>
      </c>
      <c r="I1170" s="16" t="n">
        <v>43.1</v>
      </c>
      <c r="J1170" s="16" t="n">
        <v>18</v>
      </c>
      <c r="K1170" s="16" t="n">
        <f aca="false">H1170*I1170</f>
        <v>258.6</v>
      </c>
      <c r="L1170" s="16" t="n">
        <f aca="false">H1170*J1170</f>
        <v>108</v>
      </c>
      <c r="M1170" s="16" t="n">
        <f aca="false">K1170-L1170</f>
        <v>150.6</v>
      </c>
      <c r="N1170" s="17" t="n">
        <f aca="false">IFERROR(M1170/K1170,0)</f>
        <v>0.582366589327146</v>
      </c>
    </row>
    <row r="1171" customFormat="false" ht="15" hidden="false" customHeight="false" outlineLevel="0" collapsed="false">
      <c r="A1171" s="15" t="n">
        <v>46072</v>
      </c>
      <c r="B1171" s="14" t="s">
        <v>59</v>
      </c>
      <c r="C1171" s="14" t="s">
        <v>60</v>
      </c>
      <c r="D1171" s="14" t="s">
        <v>61</v>
      </c>
      <c r="E1171" s="14" t="s">
        <v>76</v>
      </c>
      <c r="F1171" s="14" t="s">
        <v>77</v>
      </c>
      <c r="G1171" s="14" t="s">
        <v>78</v>
      </c>
      <c r="H1171" s="0" t="n">
        <v>3</v>
      </c>
      <c r="I1171" s="16" t="n">
        <v>39.32</v>
      </c>
      <c r="J1171" s="16" t="n">
        <v>15</v>
      </c>
      <c r="K1171" s="16" t="n">
        <f aca="false">H1171*I1171</f>
        <v>117.96</v>
      </c>
      <c r="L1171" s="16" t="n">
        <f aca="false">H1171*J1171</f>
        <v>45</v>
      </c>
      <c r="M1171" s="16" t="n">
        <f aca="false">K1171-L1171</f>
        <v>72.96</v>
      </c>
      <c r="N1171" s="17" t="n">
        <f aca="false">IFERROR(M1171/K1171,0)</f>
        <v>0.618514750762971</v>
      </c>
    </row>
    <row r="1172" customFormat="false" ht="15" hidden="false" customHeight="false" outlineLevel="0" collapsed="false">
      <c r="A1172" s="15" t="n">
        <v>46072</v>
      </c>
      <c r="B1172" s="14" t="s">
        <v>59</v>
      </c>
      <c r="C1172" s="14" t="s">
        <v>60</v>
      </c>
      <c r="D1172" s="14" t="s">
        <v>61</v>
      </c>
      <c r="E1172" s="14" t="s">
        <v>56</v>
      </c>
      <c r="F1172" s="14" t="s">
        <v>67</v>
      </c>
      <c r="G1172" s="14" t="s">
        <v>68</v>
      </c>
      <c r="H1172" s="0" t="n">
        <v>7</v>
      </c>
      <c r="I1172" s="16" t="n">
        <v>36.85</v>
      </c>
      <c r="J1172" s="16" t="n">
        <v>15</v>
      </c>
      <c r="K1172" s="16" t="n">
        <f aca="false">H1172*I1172</f>
        <v>257.95</v>
      </c>
      <c r="L1172" s="16" t="n">
        <f aca="false">H1172*J1172</f>
        <v>105</v>
      </c>
      <c r="M1172" s="16" t="n">
        <f aca="false">K1172-L1172</f>
        <v>152.95</v>
      </c>
      <c r="N1172" s="17" t="n">
        <f aca="false">IFERROR(M1172/K1172,0)</f>
        <v>0.592944369063772</v>
      </c>
    </row>
    <row r="1173" customFormat="false" ht="15" hidden="false" customHeight="false" outlineLevel="0" collapsed="false">
      <c r="A1173" s="15" t="n">
        <v>46072</v>
      </c>
      <c r="B1173" s="14" t="s">
        <v>59</v>
      </c>
      <c r="C1173" s="14" t="s">
        <v>60</v>
      </c>
      <c r="D1173" s="14" t="s">
        <v>61</v>
      </c>
      <c r="E1173" s="14" t="s">
        <v>53</v>
      </c>
      <c r="F1173" s="14" t="s">
        <v>74</v>
      </c>
      <c r="G1173" s="14" t="s">
        <v>75</v>
      </c>
      <c r="H1173" s="0" t="n">
        <v>5</v>
      </c>
      <c r="I1173" s="16" t="n">
        <v>86.03</v>
      </c>
      <c r="J1173" s="16" t="n">
        <v>38</v>
      </c>
      <c r="K1173" s="16" t="n">
        <f aca="false">H1173*I1173</f>
        <v>430.15</v>
      </c>
      <c r="L1173" s="16" t="n">
        <f aca="false">H1173*J1173</f>
        <v>190</v>
      </c>
      <c r="M1173" s="16" t="n">
        <f aca="false">K1173-L1173</f>
        <v>240.15</v>
      </c>
      <c r="N1173" s="17" t="n">
        <f aca="false">IFERROR(M1173/K1173,0)</f>
        <v>0.558293618505173</v>
      </c>
    </row>
    <row r="1174" customFormat="false" ht="15" hidden="false" customHeight="false" outlineLevel="0" collapsed="false">
      <c r="A1174" s="15" t="n">
        <v>46072</v>
      </c>
      <c r="B1174" s="14" t="s">
        <v>59</v>
      </c>
      <c r="C1174" s="14" t="s">
        <v>60</v>
      </c>
      <c r="D1174" s="14" t="s">
        <v>61</v>
      </c>
      <c r="E1174" s="14" t="s">
        <v>56</v>
      </c>
      <c r="F1174" s="14" t="s">
        <v>98</v>
      </c>
      <c r="G1174" s="14" t="s">
        <v>99</v>
      </c>
      <c r="H1174" s="0" t="n">
        <v>4</v>
      </c>
      <c r="I1174" s="16" t="n">
        <v>20.54</v>
      </c>
      <c r="J1174" s="16" t="n">
        <v>8</v>
      </c>
      <c r="K1174" s="16" t="n">
        <f aca="false">H1174*I1174</f>
        <v>82.16</v>
      </c>
      <c r="L1174" s="16" t="n">
        <f aca="false">H1174*J1174</f>
        <v>32</v>
      </c>
      <c r="M1174" s="16" t="n">
        <f aca="false">K1174-L1174</f>
        <v>50.16</v>
      </c>
      <c r="N1174" s="17" t="n">
        <f aca="false">IFERROR(M1174/K1174,0)</f>
        <v>0.610516066212269</v>
      </c>
    </row>
    <row r="1175" customFormat="false" ht="15" hidden="false" customHeight="false" outlineLevel="0" collapsed="false">
      <c r="A1175" s="15" t="n">
        <v>46072</v>
      </c>
      <c r="B1175" s="14" t="s">
        <v>69</v>
      </c>
      <c r="C1175" s="14" t="s">
        <v>70</v>
      </c>
      <c r="D1175" s="14" t="s">
        <v>71</v>
      </c>
      <c r="E1175" s="14" t="s">
        <v>53</v>
      </c>
      <c r="F1175" s="14" t="s">
        <v>92</v>
      </c>
      <c r="G1175" s="14" t="s">
        <v>93</v>
      </c>
      <c r="H1175" s="0" t="n">
        <v>1</v>
      </c>
      <c r="I1175" s="16" t="n">
        <v>114.86</v>
      </c>
      <c r="J1175" s="16" t="n">
        <v>52</v>
      </c>
      <c r="K1175" s="16" t="n">
        <f aca="false">H1175*I1175</f>
        <v>114.86</v>
      </c>
      <c r="L1175" s="16" t="n">
        <f aca="false">H1175*J1175</f>
        <v>52</v>
      </c>
      <c r="M1175" s="16" t="n">
        <f aca="false">K1175-L1175</f>
        <v>62.86</v>
      </c>
      <c r="N1175" s="17" t="n">
        <f aca="false">IFERROR(M1175/K1175,0)</f>
        <v>0.547274943409368</v>
      </c>
    </row>
    <row r="1176" customFormat="false" ht="15" hidden="false" customHeight="false" outlineLevel="0" collapsed="false">
      <c r="A1176" s="15" t="n">
        <v>46072</v>
      </c>
      <c r="B1176" s="14" t="s">
        <v>69</v>
      </c>
      <c r="C1176" s="14" t="s">
        <v>70</v>
      </c>
      <c r="D1176" s="14" t="s">
        <v>71</v>
      </c>
      <c r="E1176" s="14" t="s">
        <v>45</v>
      </c>
      <c r="F1176" s="14" t="s">
        <v>48</v>
      </c>
      <c r="G1176" s="14" t="s">
        <v>49</v>
      </c>
      <c r="H1176" s="0" t="n">
        <v>5</v>
      </c>
      <c r="I1176" s="16" t="n">
        <v>66.15</v>
      </c>
      <c r="J1176" s="16" t="n">
        <v>27.5</v>
      </c>
      <c r="K1176" s="16" t="n">
        <f aca="false">H1176*I1176</f>
        <v>330.75</v>
      </c>
      <c r="L1176" s="16" t="n">
        <f aca="false">H1176*J1176</f>
        <v>137.5</v>
      </c>
      <c r="M1176" s="16" t="n">
        <f aca="false">K1176-L1176</f>
        <v>193.25</v>
      </c>
      <c r="N1176" s="17" t="n">
        <f aca="false">IFERROR(M1176/K1176,0)</f>
        <v>0.584278155706727</v>
      </c>
    </row>
    <row r="1177" customFormat="false" ht="15" hidden="false" customHeight="false" outlineLevel="0" collapsed="false">
      <c r="A1177" s="15" t="n">
        <v>46072</v>
      </c>
      <c r="B1177" s="14" t="s">
        <v>69</v>
      </c>
      <c r="C1177" s="14" t="s">
        <v>70</v>
      </c>
      <c r="D1177" s="14" t="s">
        <v>71</v>
      </c>
      <c r="E1177" s="14" t="s">
        <v>76</v>
      </c>
      <c r="F1177" s="14" t="s">
        <v>79</v>
      </c>
      <c r="G1177" s="14" t="s">
        <v>80</v>
      </c>
      <c r="H1177" s="0" t="n">
        <v>1</v>
      </c>
      <c r="I1177" s="16" t="n">
        <v>28.3</v>
      </c>
      <c r="J1177" s="16" t="n">
        <v>11</v>
      </c>
      <c r="K1177" s="16" t="n">
        <f aca="false">H1177*I1177</f>
        <v>28.3</v>
      </c>
      <c r="L1177" s="16" t="n">
        <f aca="false">H1177*J1177</f>
        <v>11</v>
      </c>
      <c r="M1177" s="16" t="n">
        <f aca="false">K1177-L1177</f>
        <v>17.3</v>
      </c>
      <c r="N1177" s="17" t="n">
        <f aca="false">IFERROR(M1177/K1177,0)</f>
        <v>0.6113074204947</v>
      </c>
    </row>
    <row r="1178" customFormat="false" ht="15" hidden="false" customHeight="false" outlineLevel="0" collapsed="false">
      <c r="A1178" s="15" t="n">
        <v>46072</v>
      </c>
      <c r="B1178" s="14" t="s">
        <v>69</v>
      </c>
      <c r="C1178" s="14" t="s">
        <v>70</v>
      </c>
      <c r="D1178" s="14" t="s">
        <v>71</v>
      </c>
      <c r="E1178" s="14" t="s">
        <v>64</v>
      </c>
      <c r="F1178" s="14" t="s">
        <v>96</v>
      </c>
      <c r="G1178" s="14" t="s">
        <v>97</v>
      </c>
      <c r="H1178" s="0" t="n">
        <v>5</v>
      </c>
      <c r="I1178" s="16" t="n">
        <v>56.68</v>
      </c>
      <c r="J1178" s="16" t="n">
        <v>24</v>
      </c>
      <c r="K1178" s="16" t="n">
        <f aca="false">H1178*I1178</f>
        <v>283.4</v>
      </c>
      <c r="L1178" s="16" t="n">
        <f aca="false">H1178*J1178</f>
        <v>120</v>
      </c>
      <c r="M1178" s="16" t="n">
        <f aca="false">K1178-L1178</f>
        <v>163.4</v>
      </c>
      <c r="N1178" s="17" t="n">
        <f aca="false">IFERROR(M1178/K1178,0)</f>
        <v>0.576570218772054</v>
      </c>
    </row>
    <row r="1179" customFormat="false" ht="15" hidden="false" customHeight="false" outlineLevel="0" collapsed="false">
      <c r="A1179" s="15" t="n">
        <v>46072</v>
      </c>
      <c r="B1179" s="14" t="s">
        <v>81</v>
      </c>
      <c r="C1179" s="14" t="s">
        <v>82</v>
      </c>
      <c r="D1179" s="14" t="s">
        <v>83</v>
      </c>
      <c r="E1179" s="14" t="s">
        <v>76</v>
      </c>
      <c r="F1179" s="14" t="s">
        <v>100</v>
      </c>
      <c r="G1179" s="14" t="s">
        <v>101</v>
      </c>
      <c r="H1179" s="0" t="n">
        <v>1</v>
      </c>
      <c r="I1179" s="16" t="n">
        <v>14.96</v>
      </c>
      <c r="J1179" s="16" t="n">
        <v>5.5</v>
      </c>
      <c r="K1179" s="16" t="n">
        <f aca="false">H1179*I1179</f>
        <v>14.96</v>
      </c>
      <c r="L1179" s="16" t="n">
        <f aca="false">H1179*J1179</f>
        <v>5.5</v>
      </c>
      <c r="M1179" s="16" t="n">
        <f aca="false">K1179-L1179</f>
        <v>9.46</v>
      </c>
      <c r="N1179" s="17" t="n">
        <f aca="false">IFERROR(M1179/K1179,0)</f>
        <v>0.632352941176471</v>
      </c>
    </row>
    <row r="1180" customFormat="false" ht="15" hidden="false" customHeight="false" outlineLevel="0" collapsed="false">
      <c r="A1180" s="15" t="n">
        <v>46072</v>
      </c>
      <c r="B1180" s="14" t="s">
        <v>81</v>
      </c>
      <c r="C1180" s="14" t="s">
        <v>82</v>
      </c>
      <c r="D1180" s="14" t="s">
        <v>83</v>
      </c>
      <c r="E1180" s="14" t="s">
        <v>56</v>
      </c>
      <c r="F1180" s="14" t="s">
        <v>57</v>
      </c>
      <c r="G1180" s="14" t="s">
        <v>58</v>
      </c>
      <c r="H1180" s="0" t="n">
        <v>1</v>
      </c>
      <c r="I1180" s="16" t="n">
        <v>24.93</v>
      </c>
      <c r="J1180" s="16" t="n">
        <v>10</v>
      </c>
      <c r="K1180" s="16" t="n">
        <f aca="false">H1180*I1180</f>
        <v>24.93</v>
      </c>
      <c r="L1180" s="16" t="n">
        <f aca="false">H1180*J1180</f>
        <v>10</v>
      </c>
      <c r="M1180" s="16" t="n">
        <f aca="false">K1180-L1180</f>
        <v>14.93</v>
      </c>
      <c r="N1180" s="17" t="n">
        <f aca="false">IFERROR(M1180/K1180,0)</f>
        <v>0.598876855194545</v>
      </c>
    </row>
    <row r="1181" customFormat="false" ht="15" hidden="false" customHeight="false" outlineLevel="0" collapsed="false">
      <c r="A1181" s="15" t="n">
        <v>46072</v>
      </c>
      <c r="B1181" s="14" t="s">
        <v>88</v>
      </c>
      <c r="C1181" s="14" t="s">
        <v>89</v>
      </c>
      <c r="D1181" s="14" t="s">
        <v>44</v>
      </c>
      <c r="E1181" s="14" t="s">
        <v>76</v>
      </c>
      <c r="F1181" s="14" t="s">
        <v>102</v>
      </c>
      <c r="G1181" s="14" t="s">
        <v>103</v>
      </c>
      <c r="H1181" s="0" t="n">
        <v>8</v>
      </c>
      <c r="I1181" s="16" t="n">
        <v>22.84</v>
      </c>
      <c r="J1181" s="16" t="n">
        <v>8.5</v>
      </c>
      <c r="K1181" s="16" t="n">
        <f aca="false">H1181*I1181</f>
        <v>182.72</v>
      </c>
      <c r="L1181" s="16" t="n">
        <f aca="false">H1181*J1181</f>
        <v>68</v>
      </c>
      <c r="M1181" s="16" t="n">
        <f aca="false">K1181-L1181</f>
        <v>114.72</v>
      </c>
      <c r="N1181" s="17" t="n">
        <f aca="false">IFERROR(M1181/K1181,0)</f>
        <v>0.62784588441331</v>
      </c>
    </row>
    <row r="1182" customFormat="false" ht="15" hidden="false" customHeight="false" outlineLevel="0" collapsed="false">
      <c r="A1182" s="15" t="n">
        <v>46072</v>
      </c>
      <c r="B1182" s="14" t="s">
        <v>88</v>
      </c>
      <c r="C1182" s="14" t="s">
        <v>89</v>
      </c>
      <c r="D1182" s="14" t="s">
        <v>44</v>
      </c>
      <c r="E1182" s="14" t="s">
        <v>53</v>
      </c>
      <c r="F1182" s="14" t="s">
        <v>74</v>
      </c>
      <c r="G1182" s="14" t="s">
        <v>75</v>
      </c>
      <c r="H1182" s="0" t="n">
        <v>5</v>
      </c>
      <c r="I1182" s="16" t="n">
        <v>86.75</v>
      </c>
      <c r="J1182" s="16" t="n">
        <v>38</v>
      </c>
      <c r="K1182" s="16" t="n">
        <f aca="false">H1182*I1182</f>
        <v>433.75</v>
      </c>
      <c r="L1182" s="16" t="n">
        <f aca="false">H1182*J1182</f>
        <v>190</v>
      </c>
      <c r="M1182" s="16" t="n">
        <f aca="false">K1182-L1182</f>
        <v>243.75</v>
      </c>
      <c r="N1182" s="17" t="n">
        <f aca="false">IFERROR(M1182/K1182,0)</f>
        <v>0.561959654178674</v>
      </c>
    </row>
    <row r="1183" customFormat="false" ht="15" hidden="false" customHeight="false" outlineLevel="0" collapsed="false">
      <c r="A1183" s="15" t="n">
        <v>46072</v>
      </c>
      <c r="B1183" s="14" t="s">
        <v>88</v>
      </c>
      <c r="C1183" s="14" t="s">
        <v>89</v>
      </c>
      <c r="D1183" s="14" t="s">
        <v>44</v>
      </c>
      <c r="E1183" s="14" t="s">
        <v>76</v>
      </c>
      <c r="F1183" s="14" t="s">
        <v>102</v>
      </c>
      <c r="G1183" s="14" t="s">
        <v>103</v>
      </c>
      <c r="H1183" s="0" t="n">
        <v>4</v>
      </c>
      <c r="I1183" s="16" t="n">
        <v>23.99</v>
      </c>
      <c r="J1183" s="16" t="n">
        <v>8.5</v>
      </c>
      <c r="K1183" s="16" t="n">
        <f aca="false">H1183*I1183</f>
        <v>95.96</v>
      </c>
      <c r="L1183" s="16" t="n">
        <f aca="false">H1183*J1183</f>
        <v>34</v>
      </c>
      <c r="M1183" s="16" t="n">
        <f aca="false">K1183-L1183</f>
        <v>61.96</v>
      </c>
      <c r="N1183" s="17" t="n">
        <f aca="false">IFERROR(M1183/K1183,0)</f>
        <v>0.64568570237599</v>
      </c>
    </row>
    <row r="1184" customFormat="false" ht="15" hidden="false" customHeight="false" outlineLevel="0" collapsed="false">
      <c r="A1184" s="15" t="n">
        <v>46072</v>
      </c>
      <c r="B1184" s="14" t="s">
        <v>88</v>
      </c>
      <c r="C1184" s="14" t="s">
        <v>89</v>
      </c>
      <c r="D1184" s="14" t="s">
        <v>44</v>
      </c>
      <c r="E1184" s="14" t="s">
        <v>56</v>
      </c>
      <c r="F1184" s="14" t="s">
        <v>67</v>
      </c>
      <c r="G1184" s="14" t="s">
        <v>68</v>
      </c>
      <c r="H1184" s="0" t="n">
        <v>1</v>
      </c>
      <c r="I1184" s="16" t="n">
        <v>36.86</v>
      </c>
      <c r="J1184" s="16" t="n">
        <v>15</v>
      </c>
      <c r="K1184" s="16" t="n">
        <f aca="false">H1184*I1184</f>
        <v>36.86</v>
      </c>
      <c r="L1184" s="16" t="n">
        <f aca="false">H1184*J1184</f>
        <v>15</v>
      </c>
      <c r="M1184" s="16" t="n">
        <f aca="false">K1184-L1184</f>
        <v>21.86</v>
      </c>
      <c r="N1184" s="17" t="n">
        <f aca="false">IFERROR(M1184/K1184,0)</f>
        <v>0.593054801953337</v>
      </c>
    </row>
    <row r="1185" customFormat="false" ht="15" hidden="false" customHeight="false" outlineLevel="0" collapsed="false">
      <c r="A1185" s="15" t="n">
        <v>46072</v>
      </c>
      <c r="B1185" s="14" t="s">
        <v>88</v>
      </c>
      <c r="C1185" s="14" t="s">
        <v>89</v>
      </c>
      <c r="D1185" s="14" t="s">
        <v>44</v>
      </c>
      <c r="E1185" s="14" t="s">
        <v>64</v>
      </c>
      <c r="F1185" s="14" t="s">
        <v>65</v>
      </c>
      <c r="G1185" s="14" t="s">
        <v>66</v>
      </c>
      <c r="H1185" s="0" t="n">
        <v>4</v>
      </c>
      <c r="I1185" s="16" t="n">
        <v>74.11</v>
      </c>
      <c r="J1185" s="16" t="n">
        <v>34</v>
      </c>
      <c r="K1185" s="16" t="n">
        <f aca="false">H1185*I1185</f>
        <v>296.44</v>
      </c>
      <c r="L1185" s="16" t="n">
        <f aca="false">H1185*J1185</f>
        <v>136</v>
      </c>
      <c r="M1185" s="16" t="n">
        <f aca="false">K1185-L1185</f>
        <v>160.44</v>
      </c>
      <c r="N1185" s="17" t="n">
        <f aca="false">IFERROR(M1185/K1185,0)</f>
        <v>0.541222507084064</v>
      </c>
    </row>
    <row r="1186" customFormat="false" ht="15" hidden="false" customHeight="false" outlineLevel="0" collapsed="false">
      <c r="A1186" s="15" t="n">
        <v>46072</v>
      </c>
      <c r="B1186" s="14" t="s">
        <v>88</v>
      </c>
      <c r="C1186" s="14" t="s">
        <v>89</v>
      </c>
      <c r="D1186" s="14" t="s">
        <v>44</v>
      </c>
      <c r="E1186" s="14" t="s">
        <v>76</v>
      </c>
      <c r="F1186" s="14" t="s">
        <v>100</v>
      </c>
      <c r="G1186" s="14" t="s">
        <v>101</v>
      </c>
      <c r="H1186" s="0" t="n">
        <v>3</v>
      </c>
      <c r="I1186" s="16" t="n">
        <v>14.83</v>
      </c>
      <c r="J1186" s="16" t="n">
        <v>5.5</v>
      </c>
      <c r="K1186" s="16" t="n">
        <f aca="false">H1186*I1186</f>
        <v>44.49</v>
      </c>
      <c r="L1186" s="16" t="n">
        <f aca="false">H1186*J1186</f>
        <v>16.5</v>
      </c>
      <c r="M1186" s="16" t="n">
        <f aca="false">K1186-L1186</f>
        <v>27.99</v>
      </c>
      <c r="N1186" s="17" t="n">
        <f aca="false">IFERROR(M1186/K1186,0)</f>
        <v>0.629130141604855</v>
      </c>
    </row>
    <row r="1187" customFormat="false" ht="15" hidden="false" customHeight="false" outlineLevel="0" collapsed="false">
      <c r="A1187" s="15" t="n">
        <v>46073</v>
      </c>
      <c r="B1187" s="14" t="s">
        <v>42</v>
      </c>
      <c r="C1187" s="14" t="s">
        <v>43</v>
      </c>
      <c r="D1187" s="14" t="s">
        <v>44</v>
      </c>
      <c r="E1187" s="14" t="s">
        <v>56</v>
      </c>
      <c r="F1187" s="14" t="s">
        <v>86</v>
      </c>
      <c r="G1187" s="14" t="s">
        <v>87</v>
      </c>
      <c r="H1187" s="0" t="n">
        <v>9</v>
      </c>
      <c r="I1187" s="16" t="n">
        <v>14.09</v>
      </c>
      <c r="J1187" s="16" t="n">
        <v>5</v>
      </c>
      <c r="K1187" s="16" t="n">
        <f aca="false">H1187*I1187</f>
        <v>126.81</v>
      </c>
      <c r="L1187" s="16" t="n">
        <f aca="false">H1187*J1187</f>
        <v>45</v>
      </c>
      <c r="M1187" s="16" t="n">
        <f aca="false">K1187-L1187</f>
        <v>81.81</v>
      </c>
      <c r="N1187" s="17" t="n">
        <f aca="false">IFERROR(M1187/K1187,0)</f>
        <v>0.64513839602555</v>
      </c>
    </row>
    <row r="1188" customFormat="false" ht="15" hidden="false" customHeight="false" outlineLevel="0" collapsed="false">
      <c r="A1188" s="15" t="n">
        <v>46073</v>
      </c>
      <c r="B1188" s="14" t="s">
        <v>42</v>
      </c>
      <c r="C1188" s="14" t="s">
        <v>43</v>
      </c>
      <c r="D1188" s="14" t="s">
        <v>44</v>
      </c>
      <c r="E1188" s="14" t="s">
        <v>53</v>
      </c>
      <c r="F1188" s="14" t="s">
        <v>84</v>
      </c>
      <c r="G1188" s="14" t="s">
        <v>85</v>
      </c>
      <c r="H1188" s="0" t="n">
        <v>6</v>
      </c>
      <c r="I1188" s="16" t="n">
        <v>24.82</v>
      </c>
      <c r="J1188" s="16" t="n">
        <v>9</v>
      </c>
      <c r="K1188" s="16" t="n">
        <f aca="false">H1188*I1188</f>
        <v>148.92</v>
      </c>
      <c r="L1188" s="16" t="n">
        <f aca="false">H1188*J1188</f>
        <v>54</v>
      </c>
      <c r="M1188" s="16" t="n">
        <f aca="false">K1188-L1188</f>
        <v>94.92</v>
      </c>
      <c r="N1188" s="17" t="n">
        <f aca="false">IFERROR(M1188/K1188,0)</f>
        <v>0.637389202256245</v>
      </c>
    </row>
    <row r="1189" customFormat="false" ht="15" hidden="false" customHeight="false" outlineLevel="0" collapsed="false">
      <c r="A1189" s="15" t="n">
        <v>46073</v>
      </c>
      <c r="B1189" s="14" t="s">
        <v>42</v>
      </c>
      <c r="C1189" s="14" t="s">
        <v>43</v>
      </c>
      <c r="D1189" s="14" t="s">
        <v>44</v>
      </c>
      <c r="E1189" s="14" t="s">
        <v>76</v>
      </c>
      <c r="F1189" s="14" t="s">
        <v>100</v>
      </c>
      <c r="G1189" s="14" t="s">
        <v>101</v>
      </c>
      <c r="H1189" s="0" t="n">
        <v>4</v>
      </c>
      <c r="I1189" s="16" t="n">
        <v>14.98</v>
      </c>
      <c r="J1189" s="16" t="n">
        <v>5.5</v>
      </c>
      <c r="K1189" s="16" t="n">
        <f aca="false">H1189*I1189</f>
        <v>59.92</v>
      </c>
      <c r="L1189" s="16" t="n">
        <f aca="false">H1189*J1189</f>
        <v>22</v>
      </c>
      <c r="M1189" s="16" t="n">
        <f aca="false">K1189-L1189</f>
        <v>37.92</v>
      </c>
      <c r="N1189" s="17" t="n">
        <f aca="false">IFERROR(M1189/K1189,0)</f>
        <v>0.632843791722296</v>
      </c>
    </row>
    <row r="1190" customFormat="false" ht="15" hidden="false" customHeight="false" outlineLevel="0" collapsed="false">
      <c r="A1190" s="15" t="n">
        <v>46073</v>
      </c>
      <c r="B1190" s="14" t="s">
        <v>42</v>
      </c>
      <c r="C1190" s="14" t="s">
        <v>43</v>
      </c>
      <c r="D1190" s="14" t="s">
        <v>44</v>
      </c>
      <c r="E1190" s="14" t="s">
        <v>53</v>
      </c>
      <c r="F1190" s="14" t="s">
        <v>54</v>
      </c>
      <c r="G1190" s="14" t="s">
        <v>55</v>
      </c>
      <c r="H1190" s="0" t="n">
        <v>3</v>
      </c>
      <c r="I1190" s="16" t="n">
        <v>51.96</v>
      </c>
      <c r="J1190" s="16" t="n">
        <v>22</v>
      </c>
      <c r="K1190" s="16" t="n">
        <f aca="false">H1190*I1190</f>
        <v>155.88</v>
      </c>
      <c r="L1190" s="16" t="n">
        <f aca="false">H1190*J1190</f>
        <v>66</v>
      </c>
      <c r="M1190" s="16" t="n">
        <f aca="false">K1190-L1190</f>
        <v>89.88</v>
      </c>
      <c r="N1190" s="17" t="n">
        <f aca="false">IFERROR(M1190/K1190,0)</f>
        <v>0.576597382602002</v>
      </c>
    </row>
    <row r="1191" customFormat="false" ht="15" hidden="false" customHeight="false" outlineLevel="0" collapsed="false">
      <c r="A1191" s="15" t="n">
        <v>46073</v>
      </c>
      <c r="B1191" s="14" t="s">
        <v>42</v>
      </c>
      <c r="C1191" s="14" t="s">
        <v>43</v>
      </c>
      <c r="D1191" s="14" t="s">
        <v>44</v>
      </c>
      <c r="E1191" s="14" t="s">
        <v>56</v>
      </c>
      <c r="F1191" s="14" t="s">
        <v>86</v>
      </c>
      <c r="G1191" s="14" t="s">
        <v>87</v>
      </c>
      <c r="H1191" s="0" t="n">
        <v>9</v>
      </c>
      <c r="I1191" s="16" t="n">
        <v>14.99</v>
      </c>
      <c r="J1191" s="16" t="n">
        <v>5</v>
      </c>
      <c r="K1191" s="16" t="n">
        <f aca="false">H1191*I1191</f>
        <v>134.91</v>
      </c>
      <c r="L1191" s="16" t="n">
        <f aca="false">H1191*J1191</f>
        <v>45</v>
      </c>
      <c r="M1191" s="16" t="n">
        <f aca="false">K1191-L1191</f>
        <v>89.91</v>
      </c>
      <c r="N1191" s="17" t="n">
        <f aca="false">IFERROR(M1191/K1191,0)</f>
        <v>0.666444296197465</v>
      </c>
    </row>
    <row r="1192" customFormat="false" ht="15" hidden="false" customHeight="false" outlineLevel="0" collapsed="false">
      <c r="A1192" s="15" t="n">
        <v>46073</v>
      </c>
      <c r="B1192" s="14" t="s">
        <v>50</v>
      </c>
      <c r="C1192" s="14" t="s">
        <v>51</v>
      </c>
      <c r="D1192" s="14" t="s">
        <v>52</v>
      </c>
      <c r="E1192" s="14" t="s">
        <v>56</v>
      </c>
      <c r="F1192" s="14" t="s">
        <v>86</v>
      </c>
      <c r="G1192" s="14" t="s">
        <v>87</v>
      </c>
      <c r="H1192" s="0" t="n">
        <v>7</v>
      </c>
      <c r="I1192" s="16" t="n">
        <v>13.88</v>
      </c>
      <c r="J1192" s="16" t="n">
        <v>5</v>
      </c>
      <c r="K1192" s="16" t="n">
        <f aca="false">H1192*I1192</f>
        <v>97.16</v>
      </c>
      <c r="L1192" s="16" t="n">
        <f aca="false">H1192*J1192</f>
        <v>35</v>
      </c>
      <c r="M1192" s="16" t="n">
        <f aca="false">K1192-L1192</f>
        <v>62.16</v>
      </c>
      <c r="N1192" s="17" t="n">
        <f aca="false">IFERROR(M1192/K1192,0)</f>
        <v>0.639769452449568</v>
      </c>
    </row>
    <row r="1193" customFormat="false" ht="15" hidden="false" customHeight="false" outlineLevel="0" collapsed="false">
      <c r="A1193" s="15" t="n">
        <v>46073</v>
      </c>
      <c r="B1193" s="14" t="s">
        <v>50</v>
      </c>
      <c r="C1193" s="14" t="s">
        <v>51</v>
      </c>
      <c r="D1193" s="14" t="s">
        <v>52</v>
      </c>
      <c r="E1193" s="14" t="s">
        <v>56</v>
      </c>
      <c r="F1193" s="14" t="s">
        <v>98</v>
      </c>
      <c r="G1193" s="14" t="s">
        <v>99</v>
      </c>
      <c r="H1193" s="0" t="n">
        <v>3</v>
      </c>
      <c r="I1193" s="16" t="n">
        <v>20.8</v>
      </c>
      <c r="J1193" s="16" t="n">
        <v>8</v>
      </c>
      <c r="K1193" s="16" t="n">
        <f aca="false">H1193*I1193</f>
        <v>62.4</v>
      </c>
      <c r="L1193" s="16" t="n">
        <f aca="false">H1193*J1193</f>
        <v>24</v>
      </c>
      <c r="M1193" s="16" t="n">
        <f aca="false">K1193-L1193</f>
        <v>38.4</v>
      </c>
      <c r="N1193" s="17" t="n">
        <f aca="false">IFERROR(M1193/K1193,0)</f>
        <v>0.615384615384615</v>
      </c>
    </row>
    <row r="1194" customFormat="false" ht="15" hidden="false" customHeight="false" outlineLevel="0" collapsed="false">
      <c r="A1194" s="15" t="n">
        <v>46073</v>
      </c>
      <c r="B1194" s="14" t="s">
        <v>50</v>
      </c>
      <c r="C1194" s="14" t="s">
        <v>51</v>
      </c>
      <c r="D1194" s="14" t="s">
        <v>52</v>
      </c>
      <c r="E1194" s="14" t="s">
        <v>53</v>
      </c>
      <c r="F1194" s="14" t="s">
        <v>74</v>
      </c>
      <c r="G1194" s="14" t="s">
        <v>75</v>
      </c>
      <c r="H1194" s="0" t="n">
        <v>6</v>
      </c>
      <c r="I1194" s="16" t="n">
        <v>88.15</v>
      </c>
      <c r="J1194" s="16" t="n">
        <v>38</v>
      </c>
      <c r="K1194" s="16" t="n">
        <f aca="false">H1194*I1194</f>
        <v>528.9</v>
      </c>
      <c r="L1194" s="16" t="n">
        <f aca="false">H1194*J1194</f>
        <v>228</v>
      </c>
      <c r="M1194" s="16" t="n">
        <f aca="false">K1194-L1194</f>
        <v>300.9</v>
      </c>
      <c r="N1194" s="17" t="n">
        <f aca="false">IFERROR(M1194/K1194,0)</f>
        <v>0.568916619398752</v>
      </c>
    </row>
    <row r="1195" customFormat="false" ht="15" hidden="false" customHeight="false" outlineLevel="0" collapsed="false">
      <c r="A1195" s="15" t="n">
        <v>46073</v>
      </c>
      <c r="B1195" s="14" t="s">
        <v>59</v>
      </c>
      <c r="C1195" s="14" t="s">
        <v>60</v>
      </c>
      <c r="D1195" s="14" t="s">
        <v>61</v>
      </c>
      <c r="E1195" s="14" t="s">
        <v>64</v>
      </c>
      <c r="F1195" s="14" t="s">
        <v>94</v>
      </c>
      <c r="G1195" s="14" t="s">
        <v>95</v>
      </c>
      <c r="H1195" s="0" t="n">
        <v>6</v>
      </c>
      <c r="I1195" s="16" t="n">
        <v>96.99</v>
      </c>
      <c r="J1195" s="16" t="n">
        <v>42</v>
      </c>
      <c r="K1195" s="16" t="n">
        <f aca="false">H1195*I1195</f>
        <v>581.94</v>
      </c>
      <c r="L1195" s="16" t="n">
        <f aca="false">H1195*J1195</f>
        <v>252</v>
      </c>
      <c r="M1195" s="16" t="n">
        <f aca="false">K1195-L1195</f>
        <v>329.94</v>
      </c>
      <c r="N1195" s="17" t="n">
        <f aca="false">IFERROR(M1195/K1195,0)</f>
        <v>0.566965666563563</v>
      </c>
    </row>
    <row r="1196" customFormat="false" ht="15" hidden="false" customHeight="false" outlineLevel="0" collapsed="false">
      <c r="A1196" s="15" t="n">
        <v>46073</v>
      </c>
      <c r="B1196" s="14" t="s">
        <v>59</v>
      </c>
      <c r="C1196" s="14" t="s">
        <v>60</v>
      </c>
      <c r="D1196" s="14" t="s">
        <v>61</v>
      </c>
      <c r="E1196" s="14" t="s">
        <v>76</v>
      </c>
      <c r="F1196" s="14" t="s">
        <v>77</v>
      </c>
      <c r="G1196" s="14" t="s">
        <v>78</v>
      </c>
      <c r="H1196" s="0" t="n">
        <v>3</v>
      </c>
      <c r="I1196" s="16" t="n">
        <v>39</v>
      </c>
      <c r="J1196" s="16" t="n">
        <v>15</v>
      </c>
      <c r="K1196" s="16" t="n">
        <f aca="false">H1196*I1196</f>
        <v>117</v>
      </c>
      <c r="L1196" s="16" t="n">
        <f aca="false">H1196*J1196</f>
        <v>45</v>
      </c>
      <c r="M1196" s="16" t="n">
        <f aca="false">K1196-L1196</f>
        <v>72</v>
      </c>
      <c r="N1196" s="17" t="n">
        <f aca="false">IFERROR(M1196/K1196,0)</f>
        <v>0.615384615384615</v>
      </c>
    </row>
    <row r="1197" customFormat="false" ht="15" hidden="false" customHeight="false" outlineLevel="0" collapsed="false">
      <c r="A1197" s="15" t="n">
        <v>46073</v>
      </c>
      <c r="B1197" s="14" t="s">
        <v>59</v>
      </c>
      <c r="C1197" s="14" t="s">
        <v>60</v>
      </c>
      <c r="D1197" s="14" t="s">
        <v>61</v>
      </c>
      <c r="E1197" s="14" t="s">
        <v>53</v>
      </c>
      <c r="F1197" s="14" t="s">
        <v>74</v>
      </c>
      <c r="G1197" s="14" t="s">
        <v>75</v>
      </c>
      <c r="H1197" s="0" t="n">
        <v>4</v>
      </c>
      <c r="I1197" s="16" t="n">
        <v>86.19</v>
      </c>
      <c r="J1197" s="16" t="n">
        <v>38</v>
      </c>
      <c r="K1197" s="16" t="n">
        <f aca="false">H1197*I1197</f>
        <v>344.76</v>
      </c>
      <c r="L1197" s="16" t="n">
        <f aca="false">H1197*J1197</f>
        <v>152</v>
      </c>
      <c r="M1197" s="16" t="n">
        <f aca="false">K1197-L1197</f>
        <v>192.76</v>
      </c>
      <c r="N1197" s="17" t="n">
        <f aca="false">IFERROR(M1197/K1197,0)</f>
        <v>0.559113586262908</v>
      </c>
    </row>
    <row r="1198" customFormat="false" ht="15" hidden="false" customHeight="false" outlineLevel="0" collapsed="false">
      <c r="A1198" s="15" t="n">
        <v>46073</v>
      </c>
      <c r="B1198" s="14" t="s">
        <v>59</v>
      </c>
      <c r="C1198" s="14" t="s">
        <v>60</v>
      </c>
      <c r="D1198" s="14" t="s">
        <v>61</v>
      </c>
      <c r="E1198" s="14" t="s">
        <v>56</v>
      </c>
      <c r="F1198" s="14" t="s">
        <v>86</v>
      </c>
      <c r="G1198" s="14" t="s">
        <v>87</v>
      </c>
      <c r="H1198" s="0" t="n">
        <v>4</v>
      </c>
      <c r="I1198" s="16" t="n">
        <v>14.08</v>
      </c>
      <c r="J1198" s="16" t="n">
        <v>5</v>
      </c>
      <c r="K1198" s="16" t="n">
        <f aca="false">H1198*I1198</f>
        <v>56.32</v>
      </c>
      <c r="L1198" s="16" t="n">
        <f aca="false">H1198*J1198</f>
        <v>20</v>
      </c>
      <c r="M1198" s="16" t="n">
        <f aca="false">K1198-L1198</f>
        <v>36.32</v>
      </c>
      <c r="N1198" s="17" t="n">
        <f aca="false">IFERROR(M1198/K1198,0)</f>
        <v>0.644886363636364</v>
      </c>
    </row>
    <row r="1199" customFormat="false" ht="15" hidden="false" customHeight="false" outlineLevel="0" collapsed="false">
      <c r="A1199" s="15" t="n">
        <v>46073</v>
      </c>
      <c r="B1199" s="14" t="s">
        <v>59</v>
      </c>
      <c r="C1199" s="14" t="s">
        <v>60</v>
      </c>
      <c r="D1199" s="14" t="s">
        <v>61</v>
      </c>
      <c r="E1199" s="14" t="s">
        <v>45</v>
      </c>
      <c r="F1199" s="14" t="s">
        <v>46</v>
      </c>
      <c r="G1199" s="14" t="s">
        <v>47</v>
      </c>
      <c r="H1199" s="0" t="n">
        <v>2</v>
      </c>
      <c r="I1199" s="16" t="n">
        <v>43.88</v>
      </c>
      <c r="J1199" s="16" t="n">
        <v>18</v>
      </c>
      <c r="K1199" s="16" t="n">
        <f aca="false">H1199*I1199</f>
        <v>87.76</v>
      </c>
      <c r="L1199" s="16" t="n">
        <f aca="false">H1199*J1199</f>
        <v>36</v>
      </c>
      <c r="M1199" s="16" t="n">
        <f aca="false">K1199-L1199</f>
        <v>51.76</v>
      </c>
      <c r="N1199" s="17" t="n">
        <f aca="false">IFERROR(M1199/K1199,0)</f>
        <v>0.589790337283501</v>
      </c>
    </row>
    <row r="1200" customFormat="false" ht="15" hidden="false" customHeight="false" outlineLevel="0" collapsed="false">
      <c r="A1200" s="15" t="n">
        <v>46073</v>
      </c>
      <c r="B1200" s="14" t="s">
        <v>69</v>
      </c>
      <c r="C1200" s="14" t="s">
        <v>70</v>
      </c>
      <c r="D1200" s="14" t="s">
        <v>71</v>
      </c>
      <c r="E1200" s="14" t="s">
        <v>53</v>
      </c>
      <c r="F1200" s="14" t="s">
        <v>84</v>
      </c>
      <c r="G1200" s="14" t="s">
        <v>85</v>
      </c>
      <c r="H1200" s="0" t="n">
        <v>4</v>
      </c>
      <c r="I1200" s="16" t="n">
        <v>23.37</v>
      </c>
      <c r="J1200" s="16" t="n">
        <v>9</v>
      </c>
      <c r="K1200" s="16" t="n">
        <f aca="false">H1200*I1200</f>
        <v>93.48</v>
      </c>
      <c r="L1200" s="16" t="n">
        <f aca="false">H1200*J1200</f>
        <v>36</v>
      </c>
      <c r="M1200" s="16" t="n">
        <f aca="false">K1200-L1200</f>
        <v>57.48</v>
      </c>
      <c r="N1200" s="17" t="n">
        <f aca="false">IFERROR(M1200/K1200,0)</f>
        <v>0.614890885750963</v>
      </c>
    </row>
    <row r="1201" customFormat="false" ht="15" hidden="false" customHeight="false" outlineLevel="0" collapsed="false">
      <c r="A1201" s="15" t="n">
        <v>46073</v>
      </c>
      <c r="B1201" s="14" t="s">
        <v>69</v>
      </c>
      <c r="C1201" s="14" t="s">
        <v>70</v>
      </c>
      <c r="D1201" s="14" t="s">
        <v>71</v>
      </c>
      <c r="E1201" s="14" t="s">
        <v>64</v>
      </c>
      <c r="F1201" s="14" t="s">
        <v>90</v>
      </c>
      <c r="G1201" s="14" t="s">
        <v>91</v>
      </c>
      <c r="H1201" s="0" t="n">
        <v>5</v>
      </c>
      <c r="I1201" s="16" t="n">
        <v>11.17</v>
      </c>
      <c r="J1201" s="16" t="n">
        <v>3.5</v>
      </c>
      <c r="K1201" s="16" t="n">
        <f aca="false">H1201*I1201</f>
        <v>55.85</v>
      </c>
      <c r="L1201" s="16" t="n">
        <f aca="false">H1201*J1201</f>
        <v>17.5</v>
      </c>
      <c r="M1201" s="16" t="n">
        <f aca="false">K1201-L1201</f>
        <v>38.35</v>
      </c>
      <c r="N1201" s="17" t="n">
        <f aca="false">IFERROR(M1201/K1201,0)</f>
        <v>0.686660698299015</v>
      </c>
    </row>
    <row r="1202" customFormat="false" ht="15" hidden="false" customHeight="false" outlineLevel="0" collapsed="false">
      <c r="A1202" s="15" t="n">
        <v>46073</v>
      </c>
      <c r="B1202" s="14" t="s">
        <v>69</v>
      </c>
      <c r="C1202" s="14" t="s">
        <v>70</v>
      </c>
      <c r="D1202" s="14" t="s">
        <v>71</v>
      </c>
      <c r="E1202" s="14" t="s">
        <v>53</v>
      </c>
      <c r="F1202" s="14" t="s">
        <v>54</v>
      </c>
      <c r="G1202" s="14" t="s">
        <v>55</v>
      </c>
      <c r="H1202" s="0" t="n">
        <v>1</v>
      </c>
      <c r="I1202" s="16" t="n">
        <v>52.4</v>
      </c>
      <c r="J1202" s="16" t="n">
        <v>22</v>
      </c>
      <c r="K1202" s="16" t="n">
        <f aca="false">H1202*I1202</f>
        <v>52.4</v>
      </c>
      <c r="L1202" s="16" t="n">
        <f aca="false">H1202*J1202</f>
        <v>22</v>
      </c>
      <c r="M1202" s="16" t="n">
        <f aca="false">K1202-L1202</f>
        <v>30.4</v>
      </c>
      <c r="N1202" s="17" t="n">
        <f aca="false">IFERROR(M1202/K1202,0)</f>
        <v>0.580152671755725</v>
      </c>
    </row>
    <row r="1203" customFormat="false" ht="15" hidden="false" customHeight="false" outlineLevel="0" collapsed="false">
      <c r="A1203" s="15" t="n">
        <v>46073</v>
      </c>
      <c r="B1203" s="14" t="s">
        <v>69</v>
      </c>
      <c r="C1203" s="14" t="s">
        <v>70</v>
      </c>
      <c r="D1203" s="14" t="s">
        <v>71</v>
      </c>
      <c r="E1203" s="14" t="s">
        <v>45</v>
      </c>
      <c r="F1203" s="14" t="s">
        <v>46</v>
      </c>
      <c r="G1203" s="14" t="s">
        <v>47</v>
      </c>
      <c r="H1203" s="0" t="n">
        <v>5</v>
      </c>
      <c r="I1203" s="16" t="n">
        <v>42.2</v>
      </c>
      <c r="J1203" s="16" t="n">
        <v>18</v>
      </c>
      <c r="K1203" s="16" t="n">
        <f aca="false">H1203*I1203</f>
        <v>211</v>
      </c>
      <c r="L1203" s="16" t="n">
        <f aca="false">H1203*J1203</f>
        <v>90</v>
      </c>
      <c r="M1203" s="16" t="n">
        <f aca="false">K1203-L1203</f>
        <v>121</v>
      </c>
      <c r="N1203" s="17" t="n">
        <f aca="false">IFERROR(M1203/K1203,0)</f>
        <v>0.573459715639811</v>
      </c>
    </row>
    <row r="1204" customFormat="false" ht="15" hidden="false" customHeight="false" outlineLevel="0" collapsed="false">
      <c r="A1204" s="15" t="n">
        <v>46073</v>
      </c>
      <c r="B1204" s="14" t="s">
        <v>69</v>
      </c>
      <c r="C1204" s="14" t="s">
        <v>70</v>
      </c>
      <c r="D1204" s="14" t="s">
        <v>71</v>
      </c>
      <c r="E1204" s="14" t="s">
        <v>53</v>
      </c>
      <c r="F1204" s="14" t="s">
        <v>54</v>
      </c>
      <c r="G1204" s="14" t="s">
        <v>55</v>
      </c>
      <c r="H1204" s="0" t="n">
        <v>1</v>
      </c>
      <c r="I1204" s="16" t="n">
        <v>51.38</v>
      </c>
      <c r="J1204" s="16" t="n">
        <v>22</v>
      </c>
      <c r="K1204" s="16" t="n">
        <f aca="false">H1204*I1204</f>
        <v>51.38</v>
      </c>
      <c r="L1204" s="16" t="n">
        <f aca="false">H1204*J1204</f>
        <v>22</v>
      </c>
      <c r="M1204" s="16" t="n">
        <f aca="false">K1204-L1204</f>
        <v>29.38</v>
      </c>
      <c r="N1204" s="17" t="n">
        <f aca="false">IFERROR(M1204/K1204,0)</f>
        <v>0.571817827948618</v>
      </c>
    </row>
    <row r="1205" customFormat="false" ht="15" hidden="false" customHeight="false" outlineLevel="0" collapsed="false">
      <c r="A1205" s="15" t="n">
        <v>46073</v>
      </c>
      <c r="B1205" s="14" t="s">
        <v>81</v>
      </c>
      <c r="C1205" s="14" t="s">
        <v>82</v>
      </c>
      <c r="D1205" s="14" t="s">
        <v>83</v>
      </c>
      <c r="E1205" s="14" t="s">
        <v>56</v>
      </c>
      <c r="F1205" s="14" t="s">
        <v>57</v>
      </c>
      <c r="G1205" s="14" t="s">
        <v>58</v>
      </c>
      <c r="H1205" s="0" t="n">
        <v>4</v>
      </c>
      <c r="I1205" s="16" t="n">
        <v>26.71</v>
      </c>
      <c r="J1205" s="16" t="n">
        <v>10</v>
      </c>
      <c r="K1205" s="16" t="n">
        <f aca="false">H1205*I1205</f>
        <v>106.84</v>
      </c>
      <c r="L1205" s="16" t="n">
        <f aca="false">H1205*J1205</f>
        <v>40</v>
      </c>
      <c r="M1205" s="16" t="n">
        <f aca="false">K1205-L1205</f>
        <v>66.84</v>
      </c>
      <c r="N1205" s="17" t="n">
        <f aca="false">IFERROR(M1205/K1205,0)</f>
        <v>0.625608386372145</v>
      </c>
    </row>
    <row r="1206" customFormat="false" ht="15" hidden="false" customHeight="false" outlineLevel="0" collapsed="false">
      <c r="A1206" s="15" t="n">
        <v>46073</v>
      </c>
      <c r="B1206" s="14" t="s">
        <v>81</v>
      </c>
      <c r="C1206" s="14" t="s">
        <v>82</v>
      </c>
      <c r="D1206" s="14" t="s">
        <v>83</v>
      </c>
      <c r="E1206" s="14" t="s">
        <v>53</v>
      </c>
      <c r="F1206" s="14" t="s">
        <v>84</v>
      </c>
      <c r="G1206" s="14" t="s">
        <v>85</v>
      </c>
      <c r="H1206" s="0" t="n">
        <v>4</v>
      </c>
      <c r="I1206" s="16" t="n">
        <v>24.55</v>
      </c>
      <c r="J1206" s="16" t="n">
        <v>9</v>
      </c>
      <c r="K1206" s="16" t="n">
        <f aca="false">H1206*I1206</f>
        <v>98.2</v>
      </c>
      <c r="L1206" s="16" t="n">
        <f aca="false">H1206*J1206</f>
        <v>36</v>
      </c>
      <c r="M1206" s="16" t="n">
        <f aca="false">K1206-L1206</f>
        <v>62.2</v>
      </c>
      <c r="N1206" s="17" t="n">
        <f aca="false">IFERROR(M1206/K1206,0)</f>
        <v>0.633401221995927</v>
      </c>
    </row>
    <row r="1207" customFormat="false" ht="15" hidden="false" customHeight="false" outlineLevel="0" collapsed="false">
      <c r="A1207" s="15" t="n">
        <v>46073</v>
      </c>
      <c r="B1207" s="14" t="s">
        <v>81</v>
      </c>
      <c r="C1207" s="14" t="s">
        <v>82</v>
      </c>
      <c r="D1207" s="14" t="s">
        <v>83</v>
      </c>
      <c r="E1207" s="14" t="s">
        <v>56</v>
      </c>
      <c r="F1207" s="14" t="s">
        <v>57</v>
      </c>
      <c r="G1207" s="14" t="s">
        <v>58</v>
      </c>
      <c r="H1207" s="0" t="n">
        <v>4</v>
      </c>
      <c r="I1207" s="16" t="n">
        <v>25.69</v>
      </c>
      <c r="J1207" s="16" t="n">
        <v>10</v>
      </c>
      <c r="K1207" s="16" t="n">
        <f aca="false">H1207*I1207</f>
        <v>102.76</v>
      </c>
      <c r="L1207" s="16" t="n">
        <f aca="false">H1207*J1207</f>
        <v>40</v>
      </c>
      <c r="M1207" s="16" t="n">
        <f aca="false">K1207-L1207</f>
        <v>62.76</v>
      </c>
      <c r="N1207" s="17" t="n">
        <f aca="false">IFERROR(M1207/K1207,0)</f>
        <v>0.610743479953289</v>
      </c>
    </row>
    <row r="1208" customFormat="false" ht="15" hidden="false" customHeight="false" outlineLevel="0" collapsed="false">
      <c r="A1208" s="15" t="n">
        <v>46073</v>
      </c>
      <c r="B1208" s="14" t="s">
        <v>81</v>
      </c>
      <c r="C1208" s="14" t="s">
        <v>82</v>
      </c>
      <c r="D1208" s="14" t="s">
        <v>83</v>
      </c>
      <c r="E1208" s="14" t="s">
        <v>56</v>
      </c>
      <c r="F1208" s="14" t="s">
        <v>98</v>
      </c>
      <c r="G1208" s="14" t="s">
        <v>99</v>
      </c>
      <c r="H1208" s="0" t="n">
        <v>2</v>
      </c>
      <c r="I1208" s="16" t="n">
        <v>21.03</v>
      </c>
      <c r="J1208" s="16" t="n">
        <v>8</v>
      </c>
      <c r="K1208" s="16" t="n">
        <f aca="false">H1208*I1208</f>
        <v>42.06</v>
      </c>
      <c r="L1208" s="16" t="n">
        <f aca="false">H1208*J1208</f>
        <v>16</v>
      </c>
      <c r="M1208" s="16" t="n">
        <f aca="false">K1208-L1208</f>
        <v>26.06</v>
      </c>
      <c r="N1208" s="17" t="n">
        <f aca="false">IFERROR(M1208/K1208,0)</f>
        <v>0.619591060389919</v>
      </c>
    </row>
    <row r="1209" customFormat="false" ht="15" hidden="false" customHeight="false" outlineLevel="0" collapsed="false">
      <c r="A1209" s="15" t="n">
        <v>46073</v>
      </c>
      <c r="B1209" s="14" t="s">
        <v>81</v>
      </c>
      <c r="C1209" s="14" t="s">
        <v>82</v>
      </c>
      <c r="D1209" s="14" t="s">
        <v>83</v>
      </c>
      <c r="E1209" s="14" t="s">
        <v>45</v>
      </c>
      <c r="F1209" s="14" t="s">
        <v>62</v>
      </c>
      <c r="G1209" s="14" t="s">
        <v>63</v>
      </c>
      <c r="H1209" s="0" t="n">
        <v>5</v>
      </c>
      <c r="I1209" s="16" t="n">
        <v>17.98</v>
      </c>
      <c r="J1209" s="16" t="n">
        <v>6.5</v>
      </c>
      <c r="K1209" s="16" t="n">
        <f aca="false">H1209*I1209</f>
        <v>89.9</v>
      </c>
      <c r="L1209" s="16" t="n">
        <f aca="false">H1209*J1209</f>
        <v>32.5</v>
      </c>
      <c r="M1209" s="16" t="n">
        <f aca="false">K1209-L1209</f>
        <v>57.4</v>
      </c>
      <c r="N1209" s="17" t="n">
        <f aca="false">IFERROR(M1209/K1209,0)</f>
        <v>0.638487208008899</v>
      </c>
    </row>
    <row r="1210" customFormat="false" ht="15" hidden="false" customHeight="false" outlineLevel="0" collapsed="false">
      <c r="A1210" s="15" t="n">
        <v>46073</v>
      </c>
      <c r="B1210" s="14" t="s">
        <v>88</v>
      </c>
      <c r="C1210" s="14" t="s">
        <v>89</v>
      </c>
      <c r="D1210" s="14" t="s">
        <v>44</v>
      </c>
      <c r="E1210" s="14" t="s">
        <v>56</v>
      </c>
      <c r="F1210" s="14" t="s">
        <v>57</v>
      </c>
      <c r="G1210" s="14" t="s">
        <v>58</v>
      </c>
      <c r="H1210" s="0" t="n">
        <v>1</v>
      </c>
      <c r="I1210" s="16" t="n">
        <v>25.25</v>
      </c>
      <c r="J1210" s="16" t="n">
        <v>10</v>
      </c>
      <c r="K1210" s="16" t="n">
        <f aca="false">H1210*I1210</f>
        <v>25.25</v>
      </c>
      <c r="L1210" s="16" t="n">
        <f aca="false">H1210*J1210</f>
        <v>10</v>
      </c>
      <c r="M1210" s="16" t="n">
        <f aca="false">K1210-L1210</f>
        <v>15.25</v>
      </c>
      <c r="N1210" s="17" t="n">
        <f aca="false">IFERROR(M1210/K1210,0)</f>
        <v>0.603960396039604</v>
      </c>
    </row>
    <row r="1211" customFormat="false" ht="15" hidden="false" customHeight="false" outlineLevel="0" collapsed="false">
      <c r="A1211" s="15" t="n">
        <v>46073</v>
      </c>
      <c r="B1211" s="14" t="s">
        <v>88</v>
      </c>
      <c r="C1211" s="14" t="s">
        <v>89</v>
      </c>
      <c r="D1211" s="14" t="s">
        <v>44</v>
      </c>
      <c r="E1211" s="14" t="s">
        <v>64</v>
      </c>
      <c r="F1211" s="14" t="s">
        <v>90</v>
      </c>
      <c r="G1211" s="14" t="s">
        <v>91</v>
      </c>
      <c r="H1211" s="0" t="n">
        <v>4</v>
      </c>
      <c r="I1211" s="16" t="n">
        <v>11.78</v>
      </c>
      <c r="J1211" s="16" t="n">
        <v>3.5</v>
      </c>
      <c r="K1211" s="16" t="n">
        <f aca="false">H1211*I1211</f>
        <v>47.12</v>
      </c>
      <c r="L1211" s="16" t="n">
        <f aca="false">H1211*J1211</f>
        <v>14</v>
      </c>
      <c r="M1211" s="16" t="n">
        <f aca="false">K1211-L1211</f>
        <v>33.12</v>
      </c>
      <c r="N1211" s="17" t="n">
        <f aca="false">IFERROR(M1211/K1211,0)</f>
        <v>0.702886247877759</v>
      </c>
    </row>
    <row r="1212" customFormat="false" ht="15" hidden="false" customHeight="false" outlineLevel="0" collapsed="false">
      <c r="A1212" s="15" t="n">
        <v>46074</v>
      </c>
      <c r="B1212" s="14" t="s">
        <v>42</v>
      </c>
      <c r="C1212" s="14" t="s">
        <v>43</v>
      </c>
      <c r="D1212" s="14" t="s">
        <v>44</v>
      </c>
      <c r="E1212" s="14" t="s">
        <v>64</v>
      </c>
      <c r="F1212" s="14" t="s">
        <v>96</v>
      </c>
      <c r="G1212" s="14" t="s">
        <v>97</v>
      </c>
      <c r="H1212" s="0" t="n">
        <v>9</v>
      </c>
      <c r="I1212" s="16" t="n">
        <v>55.67</v>
      </c>
      <c r="J1212" s="16" t="n">
        <v>24</v>
      </c>
      <c r="K1212" s="16" t="n">
        <f aca="false">H1212*I1212</f>
        <v>501.03</v>
      </c>
      <c r="L1212" s="16" t="n">
        <f aca="false">H1212*J1212</f>
        <v>216</v>
      </c>
      <c r="M1212" s="16" t="n">
        <f aca="false">K1212-L1212</f>
        <v>285.03</v>
      </c>
      <c r="N1212" s="17" t="n">
        <f aca="false">IFERROR(M1212/K1212,0)</f>
        <v>0.568888090533501</v>
      </c>
    </row>
    <row r="1213" customFormat="false" ht="15" hidden="false" customHeight="false" outlineLevel="0" collapsed="false">
      <c r="A1213" s="15" t="n">
        <v>46074</v>
      </c>
      <c r="B1213" s="14" t="s">
        <v>42</v>
      </c>
      <c r="C1213" s="14" t="s">
        <v>43</v>
      </c>
      <c r="D1213" s="14" t="s">
        <v>44</v>
      </c>
      <c r="E1213" s="14" t="s">
        <v>45</v>
      </c>
      <c r="F1213" s="14" t="s">
        <v>62</v>
      </c>
      <c r="G1213" s="14" t="s">
        <v>63</v>
      </c>
      <c r="H1213" s="0" t="n">
        <v>12</v>
      </c>
      <c r="I1213" s="16" t="n">
        <v>17.76</v>
      </c>
      <c r="J1213" s="16" t="n">
        <v>6.5</v>
      </c>
      <c r="K1213" s="16" t="n">
        <f aca="false">H1213*I1213</f>
        <v>213.12</v>
      </c>
      <c r="L1213" s="16" t="n">
        <f aca="false">H1213*J1213</f>
        <v>78</v>
      </c>
      <c r="M1213" s="16" t="n">
        <f aca="false">K1213-L1213</f>
        <v>135.12</v>
      </c>
      <c r="N1213" s="17" t="n">
        <f aca="false">IFERROR(M1213/K1213,0)</f>
        <v>0.634009009009009</v>
      </c>
    </row>
    <row r="1214" customFormat="false" ht="15" hidden="false" customHeight="false" outlineLevel="0" collapsed="false">
      <c r="A1214" s="15" t="n">
        <v>46074</v>
      </c>
      <c r="B1214" s="14" t="s">
        <v>42</v>
      </c>
      <c r="C1214" s="14" t="s">
        <v>43</v>
      </c>
      <c r="D1214" s="14" t="s">
        <v>44</v>
      </c>
      <c r="E1214" s="14" t="s">
        <v>64</v>
      </c>
      <c r="F1214" s="14" t="s">
        <v>65</v>
      </c>
      <c r="G1214" s="14" t="s">
        <v>66</v>
      </c>
      <c r="H1214" s="0" t="n">
        <v>3</v>
      </c>
      <c r="I1214" s="16" t="n">
        <v>73.82</v>
      </c>
      <c r="J1214" s="16" t="n">
        <v>34</v>
      </c>
      <c r="K1214" s="16" t="n">
        <f aca="false">H1214*I1214</f>
        <v>221.46</v>
      </c>
      <c r="L1214" s="16" t="n">
        <f aca="false">H1214*J1214</f>
        <v>102</v>
      </c>
      <c r="M1214" s="16" t="n">
        <f aca="false">K1214-L1214</f>
        <v>119.46</v>
      </c>
      <c r="N1214" s="17" t="n">
        <f aca="false">IFERROR(M1214/K1214,0)</f>
        <v>0.539420211324844</v>
      </c>
    </row>
    <row r="1215" customFormat="false" ht="15" hidden="false" customHeight="false" outlineLevel="0" collapsed="false">
      <c r="A1215" s="15" t="n">
        <v>46074</v>
      </c>
      <c r="B1215" s="14" t="s">
        <v>42</v>
      </c>
      <c r="C1215" s="14" t="s">
        <v>43</v>
      </c>
      <c r="D1215" s="14" t="s">
        <v>44</v>
      </c>
      <c r="E1215" s="14" t="s">
        <v>56</v>
      </c>
      <c r="F1215" s="14" t="s">
        <v>86</v>
      </c>
      <c r="G1215" s="14" t="s">
        <v>87</v>
      </c>
      <c r="H1215" s="0" t="n">
        <v>11</v>
      </c>
      <c r="I1215" s="16" t="n">
        <v>14.3</v>
      </c>
      <c r="J1215" s="16" t="n">
        <v>5</v>
      </c>
      <c r="K1215" s="16" t="n">
        <f aca="false">H1215*I1215</f>
        <v>157.3</v>
      </c>
      <c r="L1215" s="16" t="n">
        <f aca="false">H1215*J1215</f>
        <v>55</v>
      </c>
      <c r="M1215" s="16" t="n">
        <f aca="false">K1215-L1215</f>
        <v>102.3</v>
      </c>
      <c r="N1215" s="17" t="n">
        <f aca="false">IFERROR(M1215/K1215,0)</f>
        <v>0.65034965034965</v>
      </c>
    </row>
    <row r="1216" customFormat="false" ht="15" hidden="false" customHeight="false" outlineLevel="0" collapsed="false">
      <c r="A1216" s="15" t="n">
        <v>46074</v>
      </c>
      <c r="B1216" s="14" t="s">
        <v>50</v>
      </c>
      <c r="C1216" s="14" t="s">
        <v>51</v>
      </c>
      <c r="D1216" s="14" t="s">
        <v>52</v>
      </c>
      <c r="E1216" s="14" t="s">
        <v>45</v>
      </c>
      <c r="F1216" s="14" t="s">
        <v>62</v>
      </c>
      <c r="G1216" s="14" t="s">
        <v>63</v>
      </c>
      <c r="H1216" s="0" t="n">
        <v>10</v>
      </c>
      <c r="I1216" s="16" t="n">
        <v>17.41</v>
      </c>
      <c r="J1216" s="16" t="n">
        <v>6.5</v>
      </c>
      <c r="K1216" s="16" t="n">
        <f aca="false">H1216*I1216</f>
        <v>174.1</v>
      </c>
      <c r="L1216" s="16" t="n">
        <f aca="false">H1216*J1216</f>
        <v>65</v>
      </c>
      <c r="M1216" s="16" t="n">
        <f aca="false">K1216-L1216</f>
        <v>109.1</v>
      </c>
      <c r="N1216" s="17" t="n">
        <f aca="false">IFERROR(M1216/K1216,0)</f>
        <v>0.626651349798966</v>
      </c>
    </row>
    <row r="1217" customFormat="false" ht="15" hidden="false" customHeight="false" outlineLevel="0" collapsed="false">
      <c r="A1217" s="15" t="n">
        <v>46074</v>
      </c>
      <c r="B1217" s="14" t="s">
        <v>50</v>
      </c>
      <c r="C1217" s="14" t="s">
        <v>51</v>
      </c>
      <c r="D1217" s="14" t="s">
        <v>52</v>
      </c>
      <c r="E1217" s="14" t="s">
        <v>53</v>
      </c>
      <c r="F1217" s="14" t="s">
        <v>84</v>
      </c>
      <c r="G1217" s="14" t="s">
        <v>85</v>
      </c>
      <c r="H1217" s="0" t="n">
        <v>2</v>
      </c>
      <c r="I1217" s="16" t="n">
        <v>23.5</v>
      </c>
      <c r="J1217" s="16" t="n">
        <v>9</v>
      </c>
      <c r="K1217" s="16" t="n">
        <f aca="false">H1217*I1217</f>
        <v>47</v>
      </c>
      <c r="L1217" s="16" t="n">
        <f aca="false">H1217*J1217</f>
        <v>18</v>
      </c>
      <c r="M1217" s="16" t="n">
        <f aca="false">K1217-L1217</f>
        <v>29</v>
      </c>
      <c r="N1217" s="17" t="n">
        <f aca="false">IFERROR(M1217/K1217,0)</f>
        <v>0.617021276595745</v>
      </c>
    </row>
    <row r="1218" customFormat="false" ht="15" hidden="false" customHeight="false" outlineLevel="0" collapsed="false">
      <c r="A1218" s="15" t="n">
        <v>46074</v>
      </c>
      <c r="B1218" s="14" t="s">
        <v>50</v>
      </c>
      <c r="C1218" s="14" t="s">
        <v>51</v>
      </c>
      <c r="D1218" s="14" t="s">
        <v>52</v>
      </c>
      <c r="E1218" s="14" t="s">
        <v>53</v>
      </c>
      <c r="F1218" s="14" t="s">
        <v>74</v>
      </c>
      <c r="G1218" s="14" t="s">
        <v>75</v>
      </c>
      <c r="H1218" s="0" t="n">
        <v>2</v>
      </c>
      <c r="I1218" s="16" t="n">
        <v>82.69</v>
      </c>
      <c r="J1218" s="16" t="n">
        <v>38</v>
      </c>
      <c r="K1218" s="16" t="n">
        <f aca="false">H1218*I1218</f>
        <v>165.38</v>
      </c>
      <c r="L1218" s="16" t="n">
        <f aca="false">H1218*J1218</f>
        <v>76</v>
      </c>
      <c r="M1218" s="16" t="n">
        <f aca="false">K1218-L1218</f>
        <v>89.38</v>
      </c>
      <c r="N1218" s="17" t="n">
        <f aca="false">IFERROR(M1218/K1218,0)</f>
        <v>0.540452291691861</v>
      </c>
    </row>
    <row r="1219" customFormat="false" ht="15" hidden="false" customHeight="false" outlineLevel="0" collapsed="false">
      <c r="A1219" s="15" t="n">
        <v>46074</v>
      </c>
      <c r="B1219" s="14" t="s">
        <v>50</v>
      </c>
      <c r="C1219" s="14" t="s">
        <v>51</v>
      </c>
      <c r="D1219" s="14" t="s">
        <v>52</v>
      </c>
      <c r="E1219" s="14" t="s">
        <v>64</v>
      </c>
      <c r="F1219" s="14" t="s">
        <v>94</v>
      </c>
      <c r="G1219" s="14" t="s">
        <v>95</v>
      </c>
      <c r="H1219" s="0" t="n">
        <v>2</v>
      </c>
      <c r="I1219" s="16" t="n">
        <v>95.23</v>
      </c>
      <c r="J1219" s="16" t="n">
        <v>42</v>
      </c>
      <c r="K1219" s="16" t="n">
        <f aca="false">H1219*I1219</f>
        <v>190.46</v>
      </c>
      <c r="L1219" s="16" t="n">
        <f aca="false">H1219*J1219</f>
        <v>84</v>
      </c>
      <c r="M1219" s="16" t="n">
        <f aca="false">K1219-L1219</f>
        <v>106.46</v>
      </c>
      <c r="N1219" s="17" t="n">
        <f aca="false">IFERROR(M1219/K1219,0)</f>
        <v>0.558962511813504</v>
      </c>
    </row>
    <row r="1220" customFormat="false" ht="15" hidden="false" customHeight="false" outlineLevel="0" collapsed="false">
      <c r="A1220" s="15" t="n">
        <v>46074</v>
      </c>
      <c r="B1220" s="14" t="s">
        <v>50</v>
      </c>
      <c r="C1220" s="14" t="s">
        <v>51</v>
      </c>
      <c r="D1220" s="14" t="s">
        <v>52</v>
      </c>
      <c r="E1220" s="14" t="s">
        <v>64</v>
      </c>
      <c r="F1220" s="14" t="s">
        <v>96</v>
      </c>
      <c r="G1220" s="14" t="s">
        <v>97</v>
      </c>
      <c r="H1220" s="0" t="n">
        <v>8</v>
      </c>
      <c r="I1220" s="16" t="n">
        <v>56.88</v>
      </c>
      <c r="J1220" s="16" t="n">
        <v>24</v>
      </c>
      <c r="K1220" s="16" t="n">
        <f aca="false">H1220*I1220</f>
        <v>455.04</v>
      </c>
      <c r="L1220" s="16" t="n">
        <f aca="false">H1220*J1220</f>
        <v>192</v>
      </c>
      <c r="M1220" s="16" t="n">
        <f aca="false">K1220-L1220</f>
        <v>263.04</v>
      </c>
      <c r="N1220" s="17" t="n">
        <f aca="false">IFERROR(M1220/K1220,0)</f>
        <v>0.578059071729958</v>
      </c>
    </row>
    <row r="1221" customFormat="false" ht="15" hidden="false" customHeight="false" outlineLevel="0" collapsed="false">
      <c r="A1221" s="15" t="n">
        <v>46074</v>
      </c>
      <c r="B1221" s="14" t="s">
        <v>59</v>
      </c>
      <c r="C1221" s="14" t="s">
        <v>60</v>
      </c>
      <c r="D1221" s="14" t="s">
        <v>61</v>
      </c>
      <c r="E1221" s="14" t="s">
        <v>53</v>
      </c>
      <c r="F1221" s="14" t="s">
        <v>92</v>
      </c>
      <c r="G1221" s="14" t="s">
        <v>93</v>
      </c>
      <c r="H1221" s="0" t="n">
        <v>3</v>
      </c>
      <c r="I1221" s="16" t="n">
        <v>111.96</v>
      </c>
      <c r="J1221" s="16" t="n">
        <v>52</v>
      </c>
      <c r="K1221" s="16" t="n">
        <f aca="false">H1221*I1221</f>
        <v>335.88</v>
      </c>
      <c r="L1221" s="16" t="n">
        <f aca="false">H1221*J1221</f>
        <v>156</v>
      </c>
      <c r="M1221" s="16" t="n">
        <f aca="false">K1221-L1221</f>
        <v>179.88</v>
      </c>
      <c r="N1221" s="17" t="n">
        <f aca="false">IFERROR(M1221/K1221,0)</f>
        <v>0.535548410146481</v>
      </c>
    </row>
    <row r="1222" customFormat="false" ht="15" hidden="false" customHeight="false" outlineLevel="0" collapsed="false">
      <c r="A1222" s="15" t="n">
        <v>46074</v>
      </c>
      <c r="B1222" s="14" t="s">
        <v>59</v>
      </c>
      <c r="C1222" s="14" t="s">
        <v>60</v>
      </c>
      <c r="D1222" s="14" t="s">
        <v>61</v>
      </c>
      <c r="E1222" s="14" t="s">
        <v>53</v>
      </c>
      <c r="F1222" s="14" t="s">
        <v>54</v>
      </c>
      <c r="G1222" s="14" t="s">
        <v>55</v>
      </c>
      <c r="H1222" s="0" t="n">
        <v>1</v>
      </c>
      <c r="I1222" s="16" t="n">
        <v>52.45</v>
      </c>
      <c r="J1222" s="16" t="n">
        <v>22</v>
      </c>
      <c r="K1222" s="16" t="n">
        <f aca="false">H1222*I1222</f>
        <v>52.45</v>
      </c>
      <c r="L1222" s="16" t="n">
        <f aca="false">H1222*J1222</f>
        <v>22</v>
      </c>
      <c r="M1222" s="16" t="n">
        <f aca="false">K1222-L1222</f>
        <v>30.45</v>
      </c>
      <c r="N1222" s="17" t="n">
        <f aca="false">IFERROR(M1222/K1222,0)</f>
        <v>0.580552907530982</v>
      </c>
    </row>
    <row r="1223" customFormat="false" ht="15" hidden="false" customHeight="false" outlineLevel="0" collapsed="false">
      <c r="A1223" s="15" t="n">
        <v>46074</v>
      </c>
      <c r="B1223" s="14" t="s">
        <v>69</v>
      </c>
      <c r="C1223" s="14" t="s">
        <v>70</v>
      </c>
      <c r="D1223" s="14" t="s">
        <v>71</v>
      </c>
      <c r="E1223" s="14" t="s">
        <v>64</v>
      </c>
      <c r="F1223" s="14" t="s">
        <v>94</v>
      </c>
      <c r="G1223" s="14" t="s">
        <v>95</v>
      </c>
      <c r="H1223" s="0" t="n">
        <v>3</v>
      </c>
      <c r="I1223" s="16" t="n">
        <v>92.01</v>
      </c>
      <c r="J1223" s="16" t="n">
        <v>42</v>
      </c>
      <c r="K1223" s="16" t="n">
        <f aca="false">H1223*I1223</f>
        <v>276.03</v>
      </c>
      <c r="L1223" s="16" t="n">
        <f aca="false">H1223*J1223</f>
        <v>126</v>
      </c>
      <c r="M1223" s="16" t="n">
        <f aca="false">K1223-L1223</f>
        <v>150.03</v>
      </c>
      <c r="N1223" s="17" t="n">
        <f aca="false">IFERROR(M1223/K1223,0)</f>
        <v>0.54352787740463</v>
      </c>
    </row>
    <row r="1224" customFormat="false" ht="15" hidden="false" customHeight="false" outlineLevel="0" collapsed="false">
      <c r="A1224" s="15" t="n">
        <v>46074</v>
      </c>
      <c r="B1224" s="14" t="s">
        <v>69</v>
      </c>
      <c r="C1224" s="14" t="s">
        <v>70</v>
      </c>
      <c r="D1224" s="14" t="s">
        <v>71</v>
      </c>
      <c r="E1224" s="14" t="s">
        <v>53</v>
      </c>
      <c r="F1224" s="14" t="s">
        <v>54</v>
      </c>
      <c r="G1224" s="14" t="s">
        <v>55</v>
      </c>
      <c r="H1224" s="0" t="n">
        <v>1</v>
      </c>
      <c r="I1224" s="16" t="n">
        <v>53.34</v>
      </c>
      <c r="J1224" s="16" t="n">
        <v>22</v>
      </c>
      <c r="K1224" s="16" t="n">
        <f aca="false">H1224*I1224</f>
        <v>53.34</v>
      </c>
      <c r="L1224" s="16" t="n">
        <f aca="false">H1224*J1224</f>
        <v>22</v>
      </c>
      <c r="M1224" s="16" t="n">
        <f aca="false">K1224-L1224</f>
        <v>31.34</v>
      </c>
      <c r="N1224" s="17" t="n">
        <f aca="false">IFERROR(M1224/K1224,0)</f>
        <v>0.587551556055493</v>
      </c>
    </row>
    <row r="1225" customFormat="false" ht="15" hidden="false" customHeight="false" outlineLevel="0" collapsed="false">
      <c r="A1225" s="15" t="n">
        <v>46074</v>
      </c>
      <c r="B1225" s="14" t="s">
        <v>69</v>
      </c>
      <c r="C1225" s="14" t="s">
        <v>70</v>
      </c>
      <c r="D1225" s="14" t="s">
        <v>71</v>
      </c>
      <c r="E1225" s="14" t="s">
        <v>76</v>
      </c>
      <c r="F1225" s="14" t="s">
        <v>79</v>
      </c>
      <c r="G1225" s="14" t="s">
        <v>80</v>
      </c>
      <c r="H1225" s="0" t="n">
        <v>8</v>
      </c>
      <c r="I1225" s="16" t="n">
        <v>28.79</v>
      </c>
      <c r="J1225" s="16" t="n">
        <v>11</v>
      </c>
      <c r="K1225" s="16" t="n">
        <f aca="false">H1225*I1225</f>
        <v>230.32</v>
      </c>
      <c r="L1225" s="16" t="n">
        <f aca="false">H1225*J1225</f>
        <v>88</v>
      </c>
      <c r="M1225" s="16" t="n">
        <f aca="false">K1225-L1225</f>
        <v>142.32</v>
      </c>
      <c r="N1225" s="17" t="n">
        <f aca="false">IFERROR(M1225/K1225,0)</f>
        <v>0.617922889892324</v>
      </c>
    </row>
    <row r="1226" customFormat="false" ht="15" hidden="false" customHeight="false" outlineLevel="0" collapsed="false">
      <c r="A1226" s="15" t="n">
        <v>46074</v>
      </c>
      <c r="B1226" s="14" t="s">
        <v>69</v>
      </c>
      <c r="C1226" s="14" t="s">
        <v>70</v>
      </c>
      <c r="D1226" s="14" t="s">
        <v>71</v>
      </c>
      <c r="E1226" s="14" t="s">
        <v>64</v>
      </c>
      <c r="F1226" s="14" t="s">
        <v>65</v>
      </c>
      <c r="G1226" s="14" t="s">
        <v>66</v>
      </c>
      <c r="H1226" s="0" t="n">
        <v>7</v>
      </c>
      <c r="I1226" s="16" t="n">
        <v>74.18</v>
      </c>
      <c r="J1226" s="16" t="n">
        <v>34</v>
      </c>
      <c r="K1226" s="16" t="n">
        <f aca="false">H1226*I1226</f>
        <v>519.26</v>
      </c>
      <c r="L1226" s="16" t="n">
        <f aca="false">H1226*J1226</f>
        <v>238</v>
      </c>
      <c r="M1226" s="16" t="n">
        <f aca="false">K1226-L1226</f>
        <v>281.26</v>
      </c>
      <c r="N1226" s="17" t="n">
        <f aca="false">IFERROR(M1226/K1226,0)</f>
        <v>0.541655432731194</v>
      </c>
    </row>
    <row r="1227" customFormat="false" ht="15" hidden="false" customHeight="false" outlineLevel="0" collapsed="false">
      <c r="A1227" s="15" t="n">
        <v>46074</v>
      </c>
      <c r="B1227" s="14" t="s">
        <v>81</v>
      </c>
      <c r="C1227" s="14" t="s">
        <v>82</v>
      </c>
      <c r="D1227" s="14" t="s">
        <v>83</v>
      </c>
      <c r="E1227" s="14" t="s">
        <v>64</v>
      </c>
      <c r="F1227" s="14" t="s">
        <v>90</v>
      </c>
      <c r="G1227" s="14" t="s">
        <v>91</v>
      </c>
      <c r="H1227" s="0" t="n">
        <v>5</v>
      </c>
      <c r="I1227" s="16" t="n">
        <v>11.46</v>
      </c>
      <c r="J1227" s="16" t="n">
        <v>3.5</v>
      </c>
      <c r="K1227" s="16" t="n">
        <f aca="false">H1227*I1227</f>
        <v>57.3</v>
      </c>
      <c r="L1227" s="16" t="n">
        <f aca="false">H1227*J1227</f>
        <v>17.5</v>
      </c>
      <c r="M1227" s="16" t="n">
        <f aca="false">K1227-L1227</f>
        <v>39.8</v>
      </c>
      <c r="N1227" s="17" t="n">
        <f aca="false">IFERROR(M1227/K1227,0)</f>
        <v>0.694589877835951</v>
      </c>
    </row>
    <row r="1228" customFormat="false" ht="15" hidden="false" customHeight="false" outlineLevel="0" collapsed="false">
      <c r="A1228" s="15" t="n">
        <v>46074</v>
      </c>
      <c r="B1228" s="14" t="s">
        <v>81</v>
      </c>
      <c r="C1228" s="14" t="s">
        <v>82</v>
      </c>
      <c r="D1228" s="14" t="s">
        <v>83</v>
      </c>
      <c r="E1228" s="14" t="s">
        <v>56</v>
      </c>
      <c r="F1228" s="14" t="s">
        <v>98</v>
      </c>
      <c r="G1228" s="14" t="s">
        <v>99</v>
      </c>
      <c r="H1228" s="0" t="n">
        <v>4</v>
      </c>
      <c r="I1228" s="16" t="n">
        <v>21.79</v>
      </c>
      <c r="J1228" s="16" t="n">
        <v>8</v>
      </c>
      <c r="K1228" s="16" t="n">
        <f aca="false">H1228*I1228</f>
        <v>87.16</v>
      </c>
      <c r="L1228" s="16" t="n">
        <f aca="false">H1228*J1228</f>
        <v>32</v>
      </c>
      <c r="M1228" s="16" t="n">
        <f aca="false">K1228-L1228</f>
        <v>55.16</v>
      </c>
      <c r="N1228" s="17" t="n">
        <f aca="false">IFERROR(M1228/K1228,0)</f>
        <v>0.632859109683341</v>
      </c>
    </row>
    <row r="1229" customFormat="false" ht="15" hidden="false" customHeight="false" outlineLevel="0" collapsed="false">
      <c r="A1229" s="15" t="n">
        <v>46074</v>
      </c>
      <c r="B1229" s="14" t="s">
        <v>81</v>
      </c>
      <c r="C1229" s="14" t="s">
        <v>82</v>
      </c>
      <c r="D1229" s="14" t="s">
        <v>83</v>
      </c>
      <c r="E1229" s="14" t="s">
        <v>76</v>
      </c>
      <c r="F1229" s="14" t="s">
        <v>77</v>
      </c>
      <c r="G1229" s="14" t="s">
        <v>78</v>
      </c>
      <c r="H1229" s="0" t="n">
        <v>1</v>
      </c>
      <c r="I1229" s="16" t="n">
        <v>39.26</v>
      </c>
      <c r="J1229" s="16" t="n">
        <v>15</v>
      </c>
      <c r="K1229" s="16" t="n">
        <f aca="false">H1229*I1229</f>
        <v>39.26</v>
      </c>
      <c r="L1229" s="16" t="n">
        <f aca="false">H1229*J1229</f>
        <v>15</v>
      </c>
      <c r="M1229" s="16" t="n">
        <f aca="false">K1229-L1229</f>
        <v>24.26</v>
      </c>
      <c r="N1229" s="17" t="n">
        <f aca="false">IFERROR(M1229/K1229,0)</f>
        <v>0.617931737137035</v>
      </c>
    </row>
    <row r="1230" customFormat="false" ht="15" hidden="false" customHeight="false" outlineLevel="0" collapsed="false">
      <c r="A1230" s="15" t="n">
        <v>46074</v>
      </c>
      <c r="B1230" s="14" t="s">
        <v>81</v>
      </c>
      <c r="C1230" s="14" t="s">
        <v>82</v>
      </c>
      <c r="D1230" s="14" t="s">
        <v>83</v>
      </c>
      <c r="E1230" s="14" t="s">
        <v>45</v>
      </c>
      <c r="F1230" s="14" t="s">
        <v>46</v>
      </c>
      <c r="G1230" s="14" t="s">
        <v>47</v>
      </c>
      <c r="H1230" s="0" t="n">
        <v>1</v>
      </c>
      <c r="I1230" s="16" t="n">
        <v>41.92</v>
      </c>
      <c r="J1230" s="16" t="n">
        <v>18</v>
      </c>
      <c r="K1230" s="16" t="n">
        <f aca="false">H1230*I1230</f>
        <v>41.92</v>
      </c>
      <c r="L1230" s="16" t="n">
        <f aca="false">H1230*J1230</f>
        <v>18</v>
      </c>
      <c r="M1230" s="16" t="n">
        <f aca="false">K1230-L1230</f>
        <v>23.92</v>
      </c>
      <c r="N1230" s="17" t="n">
        <f aca="false">IFERROR(M1230/K1230,0)</f>
        <v>0.570610687022901</v>
      </c>
    </row>
    <row r="1231" customFormat="false" ht="15" hidden="false" customHeight="false" outlineLevel="0" collapsed="false">
      <c r="A1231" s="15" t="n">
        <v>46074</v>
      </c>
      <c r="B1231" s="14" t="s">
        <v>81</v>
      </c>
      <c r="C1231" s="14" t="s">
        <v>82</v>
      </c>
      <c r="D1231" s="14" t="s">
        <v>83</v>
      </c>
      <c r="E1231" s="14" t="s">
        <v>45</v>
      </c>
      <c r="F1231" s="14" t="s">
        <v>46</v>
      </c>
      <c r="G1231" s="14" t="s">
        <v>47</v>
      </c>
      <c r="H1231" s="0" t="n">
        <v>5</v>
      </c>
      <c r="I1231" s="16" t="n">
        <v>44.71</v>
      </c>
      <c r="J1231" s="16" t="n">
        <v>18</v>
      </c>
      <c r="K1231" s="16" t="n">
        <f aca="false">H1231*I1231</f>
        <v>223.55</v>
      </c>
      <c r="L1231" s="16" t="n">
        <f aca="false">H1231*J1231</f>
        <v>90</v>
      </c>
      <c r="M1231" s="16" t="n">
        <f aca="false">K1231-L1231</f>
        <v>133.55</v>
      </c>
      <c r="N1231" s="17" t="n">
        <f aca="false">IFERROR(M1231/K1231,0)</f>
        <v>0.597405502124804</v>
      </c>
    </row>
    <row r="1232" customFormat="false" ht="15" hidden="false" customHeight="false" outlineLevel="0" collapsed="false">
      <c r="A1232" s="15" t="n">
        <v>46074</v>
      </c>
      <c r="B1232" s="14" t="s">
        <v>81</v>
      </c>
      <c r="C1232" s="14" t="s">
        <v>82</v>
      </c>
      <c r="D1232" s="14" t="s">
        <v>83</v>
      </c>
      <c r="E1232" s="14" t="s">
        <v>45</v>
      </c>
      <c r="F1232" s="14" t="s">
        <v>48</v>
      </c>
      <c r="G1232" s="14" t="s">
        <v>49</v>
      </c>
      <c r="H1232" s="0" t="n">
        <v>6</v>
      </c>
      <c r="I1232" s="16" t="n">
        <v>67.97</v>
      </c>
      <c r="J1232" s="16" t="n">
        <v>27.5</v>
      </c>
      <c r="K1232" s="16" t="n">
        <f aca="false">H1232*I1232</f>
        <v>407.82</v>
      </c>
      <c r="L1232" s="16" t="n">
        <f aca="false">H1232*J1232</f>
        <v>165</v>
      </c>
      <c r="M1232" s="16" t="n">
        <f aca="false">K1232-L1232</f>
        <v>242.82</v>
      </c>
      <c r="N1232" s="17" t="n">
        <f aca="false">IFERROR(M1232/K1232,0)</f>
        <v>0.595409739590996</v>
      </c>
    </row>
    <row r="1233" customFormat="false" ht="15" hidden="false" customHeight="false" outlineLevel="0" collapsed="false">
      <c r="A1233" s="15" t="n">
        <v>46074</v>
      </c>
      <c r="B1233" s="14" t="s">
        <v>88</v>
      </c>
      <c r="C1233" s="14" t="s">
        <v>89</v>
      </c>
      <c r="D1233" s="14" t="s">
        <v>44</v>
      </c>
      <c r="E1233" s="14" t="s">
        <v>76</v>
      </c>
      <c r="F1233" s="14" t="s">
        <v>77</v>
      </c>
      <c r="G1233" s="14" t="s">
        <v>78</v>
      </c>
      <c r="H1233" s="0" t="n">
        <v>9</v>
      </c>
      <c r="I1233" s="16" t="n">
        <v>41.16</v>
      </c>
      <c r="J1233" s="16" t="n">
        <v>15</v>
      </c>
      <c r="K1233" s="16" t="n">
        <f aca="false">H1233*I1233</f>
        <v>370.44</v>
      </c>
      <c r="L1233" s="16" t="n">
        <f aca="false">H1233*J1233</f>
        <v>135</v>
      </c>
      <c r="M1233" s="16" t="n">
        <f aca="false">K1233-L1233</f>
        <v>235.44</v>
      </c>
      <c r="N1233" s="17" t="n">
        <f aca="false">IFERROR(M1233/K1233,0)</f>
        <v>0.635568513119533</v>
      </c>
    </row>
    <row r="1234" customFormat="false" ht="15" hidden="false" customHeight="false" outlineLevel="0" collapsed="false">
      <c r="A1234" s="15" t="n">
        <v>46074</v>
      </c>
      <c r="B1234" s="14" t="s">
        <v>88</v>
      </c>
      <c r="C1234" s="14" t="s">
        <v>89</v>
      </c>
      <c r="D1234" s="14" t="s">
        <v>44</v>
      </c>
      <c r="E1234" s="14" t="s">
        <v>76</v>
      </c>
      <c r="F1234" s="14" t="s">
        <v>79</v>
      </c>
      <c r="G1234" s="14" t="s">
        <v>80</v>
      </c>
      <c r="H1234" s="0" t="n">
        <v>2</v>
      </c>
      <c r="I1234" s="16" t="n">
        <v>29.44</v>
      </c>
      <c r="J1234" s="16" t="n">
        <v>11</v>
      </c>
      <c r="K1234" s="16" t="n">
        <f aca="false">H1234*I1234</f>
        <v>58.88</v>
      </c>
      <c r="L1234" s="16" t="n">
        <f aca="false">H1234*J1234</f>
        <v>22</v>
      </c>
      <c r="M1234" s="16" t="n">
        <f aca="false">K1234-L1234</f>
        <v>36.88</v>
      </c>
      <c r="N1234" s="17" t="n">
        <f aca="false">IFERROR(M1234/K1234,0)</f>
        <v>0.626358695652174</v>
      </c>
    </row>
    <row r="1235" customFormat="false" ht="15" hidden="false" customHeight="false" outlineLevel="0" collapsed="false">
      <c r="A1235" s="15" t="n">
        <v>46074</v>
      </c>
      <c r="B1235" s="14" t="s">
        <v>88</v>
      </c>
      <c r="C1235" s="14" t="s">
        <v>89</v>
      </c>
      <c r="D1235" s="14" t="s">
        <v>44</v>
      </c>
      <c r="E1235" s="14" t="s">
        <v>76</v>
      </c>
      <c r="F1235" s="14" t="s">
        <v>102</v>
      </c>
      <c r="G1235" s="14" t="s">
        <v>103</v>
      </c>
      <c r="H1235" s="0" t="n">
        <v>8</v>
      </c>
      <c r="I1235" s="16" t="n">
        <v>23.65</v>
      </c>
      <c r="J1235" s="16" t="n">
        <v>8.5</v>
      </c>
      <c r="K1235" s="16" t="n">
        <f aca="false">H1235*I1235</f>
        <v>189.2</v>
      </c>
      <c r="L1235" s="16" t="n">
        <f aca="false">H1235*J1235</f>
        <v>68</v>
      </c>
      <c r="M1235" s="16" t="n">
        <f aca="false">K1235-L1235</f>
        <v>121.2</v>
      </c>
      <c r="N1235" s="17" t="n">
        <f aca="false">IFERROR(M1235/K1235,0)</f>
        <v>0.640591966173361</v>
      </c>
    </row>
    <row r="1236" customFormat="false" ht="15" hidden="false" customHeight="false" outlineLevel="0" collapsed="false">
      <c r="A1236" s="15" t="n">
        <v>46075</v>
      </c>
      <c r="B1236" s="14" t="s">
        <v>42</v>
      </c>
      <c r="C1236" s="14" t="s">
        <v>43</v>
      </c>
      <c r="D1236" s="14" t="s">
        <v>44</v>
      </c>
      <c r="E1236" s="14" t="s">
        <v>56</v>
      </c>
      <c r="F1236" s="14" t="s">
        <v>98</v>
      </c>
      <c r="G1236" s="14" t="s">
        <v>99</v>
      </c>
      <c r="H1236" s="0" t="n">
        <v>8</v>
      </c>
      <c r="I1236" s="16" t="n">
        <v>21.07</v>
      </c>
      <c r="J1236" s="16" t="n">
        <v>8</v>
      </c>
      <c r="K1236" s="16" t="n">
        <f aca="false">H1236*I1236</f>
        <v>168.56</v>
      </c>
      <c r="L1236" s="16" t="n">
        <f aca="false">H1236*J1236</f>
        <v>64</v>
      </c>
      <c r="M1236" s="16" t="n">
        <f aca="false">K1236-L1236</f>
        <v>104.56</v>
      </c>
      <c r="N1236" s="17" t="n">
        <f aca="false">IFERROR(M1236/K1236,0)</f>
        <v>0.6203132415757</v>
      </c>
    </row>
    <row r="1237" customFormat="false" ht="15" hidden="false" customHeight="false" outlineLevel="0" collapsed="false">
      <c r="A1237" s="15" t="n">
        <v>46075</v>
      </c>
      <c r="B1237" s="14" t="s">
        <v>42</v>
      </c>
      <c r="C1237" s="14" t="s">
        <v>43</v>
      </c>
      <c r="D1237" s="14" t="s">
        <v>44</v>
      </c>
      <c r="E1237" s="14" t="s">
        <v>45</v>
      </c>
      <c r="F1237" s="14" t="s">
        <v>46</v>
      </c>
      <c r="G1237" s="14" t="s">
        <v>47</v>
      </c>
      <c r="H1237" s="0" t="n">
        <v>9</v>
      </c>
      <c r="I1237" s="16" t="n">
        <v>43.3</v>
      </c>
      <c r="J1237" s="16" t="n">
        <v>18</v>
      </c>
      <c r="K1237" s="16" t="n">
        <f aca="false">H1237*I1237</f>
        <v>389.7</v>
      </c>
      <c r="L1237" s="16" t="n">
        <f aca="false">H1237*J1237</f>
        <v>162</v>
      </c>
      <c r="M1237" s="16" t="n">
        <f aca="false">K1237-L1237</f>
        <v>227.7</v>
      </c>
      <c r="N1237" s="17" t="n">
        <f aca="false">IFERROR(M1237/K1237,0)</f>
        <v>0.584295612009238</v>
      </c>
    </row>
    <row r="1238" customFormat="false" ht="15" hidden="false" customHeight="false" outlineLevel="0" collapsed="false">
      <c r="A1238" s="15" t="n">
        <v>46075</v>
      </c>
      <c r="B1238" s="14" t="s">
        <v>42</v>
      </c>
      <c r="C1238" s="14" t="s">
        <v>43</v>
      </c>
      <c r="D1238" s="14" t="s">
        <v>44</v>
      </c>
      <c r="E1238" s="14" t="s">
        <v>56</v>
      </c>
      <c r="F1238" s="14" t="s">
        <v>86</v>
      </c>
      <c r="G1238" s="14" t="s">
        <v>87</v>
      </c>
      <c r="H1238" s="0" t="n">
        <v>6</v>
      </c>
      <c r="I1238" s="16" t="n">
        <v>14.53</v>
      </c>
      <c r="J1238" s="16" t="n">
        <v>5</v>
      </c>
      <c r="K1238" s="16" t="n">
        <f aca="false">H1238*I1238</f>
        <v>87.18</v>
      </c>
      <c r="L1238" s="16" t="n">
        <f aca="false">H1238*J1238</f>
        <v>30</v>
      </c>
      <c r="M1238" s="16" t="n">
        <f aca="false">K1238-L1238</f>
        <v>57.18</v>
      </c>
      <c r="N1238" s="17" t="n">
        <f aca="false">IFERROR(M1238/K1238,0)</f>
        <v>0.655884377150723</v>
      </c>
    </row>
    <row r="1239" customFormat="false" ht="15" hidden="false" customHeight="false" outlineLevel="0" collapsed="false">
      <c r="A1239" s="15" t="n">
        <v>46075</v>
      </c>
      <c r="B1239" s="14" t="s">
        <v>42</v>
      </c>
      <c r="C1239" s="14" t="s">
        <v>43</v>
      </c>
      <c r="D1239" s="14" t="s">
        <v>44</v>
      </c>
      <c r="E1239" s="14" t="s">
        <v>45</v>
      </c>
      <c r="F1239" s="14" t="s">
        <v>48</v>
      </c>
      <c r="G1239" s="14" t="s">
        <v>49</v>
      </c>
      <c r="H1239" s="0" t="n">
        <v>12</v>
      </c>
      <c r="I1239" s="16" t="n">
        <v>66.5</v>
      </c>
      <c r="J1239" s="16" t="n">
        <v>27.5</v>
      </c>
      <c r="K1239" s="16" t="n">
        <f aca="false">H1239*I1239</f>
        <v>798</v>
      </c>
      <c r="L1239" s="16" t="n">
        <f aca="false">H1239*J1239</f>
        <v>330</v>
      </c>
      <c r="M1239" s="16" t="n">
        <f aca="false">K1239-L1239</f>
        <v>468</v>
      </c>
      <c r="N1239" s="17" t="n">
        <f aca="false">IFERROR(M1239/K1239,0)</f>
        <v>0.586466165413534</v>
      </c>
    </row>
    <row r="1240" customFormat="false" ht="15" hidden="false" customHeight="false" outlineLevel="0" collapsed="false">
      <c r="A1240" s="15" t="n">
        <v>46075</v>
      </c>
      <c r="B1240" s="14" t="s">
        <v>42</v>
      </c>
      <c r="C1240" s="14" t="s">
        <v>43</v>
      </c>
      <c r="D1240" s="14" t="s">
        <v>44</v>
      </c>
      <c r="E1240" s="14" t="s">
        <v>56</v>
      </c>
      <c r="F1240" s="14" t="s">
        <v>67</v>
      </c>
      <c r="G1240" s="14" t="s">
        <v>68</v>
      </c>
      <c r="H1240" s="0" t="n">
        <v>11</v>
      </c>
      <c r="I1240" s="16" t="n">
        <v>36.81</v>
      </c>
      <c r="J1240" s="16" t="n">
        <v>15</v>
      </c>
      <c r="K1240" s="16" t="n">
        <f aca="false">H1240*I1240</f>
        <v>404.91</v>
      </c>
      <c r="L1240" s="16" t="n">
        <f aca="false">H1240*J1240</f>
        <v>165</v>
      </c>
      <c r="M1240" s="16" t="n">
        <f aca="false">K1240-L1240</f>
        <v>239.91</v>
      </c>
      <c r="N1240" s="17" t="n">
        <f aca="false">IFERROR(M1240/K1240,0)</f>
        <v>0.592502037489813</v>
      </c>
    </row>
    <row r="1241" customFormat="false" ht="15" hidden="false" customHeight="false" outlineLevel="0" collapsed="false">
      <c r="A1241" s="15" t="n">
        <v>46075</v>
      </c>
      <c r="B1241" s="14" t="s">
        <v>50</v>
      </c>
      <c r="C1241" s="14" t="s">
        <v>51</v>
      </c>
      <c r="D1241" s="14" t="s">
        <v>52</v>
      </c>
      <c r="E1241" s="14" t="s">
        <v>76</v>
      </c>
      <c r="F1241" s="14" t="s">
        <v>102</v>
      </c>
      <c r="G1241" s="14" t="s">
        <v>103</v>
      </c>
      <c r="H1241" s="0" t="n">
        <v>4</v>
      </c>
      <c r="I1241" s="16" t="n">
        <v>23.26</v>
      </c>
      <c r="J1241" s="16" t="n">
        <v>8.5</v>
      </c>
      <c r="K1241" s="16" t="n">
        <f aca="false">H1241*I1241</f>
        <v>93.04</v>
      </c>
      <c r="L1241" s="16" t="n">
        <f aca="false">H1241*J1241</f>
        <v>34</v>
      </c>
      <c r="M1241" s="16" t="n">
        <f aca="false">K1241-L1241</f>
        <v>59.04</v>
      </c>
      <c r="N1241" s="17" t="n">
        <f aca="false">IFERROR(M1241/K1241,0)</f>
        <v>0.634565778159931</v>
      </c>
    </row>
    <row r="1242" customFormat="false" ht="15" hidden="false" customHeight="false" outlineLevel="0" collapsed="false">
      <c r="A1242" s="15" t="n">
        <v>46075</v>
      </c>
      <c r="B1242" s="14" t="s">
        <v>50</v>
      </c>
      <c r="C1242" s="14" t="s">
        <v>51</v>
      </c>
      <c r="D1242" s="14" t="s">
        <v>52</v>
      </c>
      <c r="E1242" s="14" t="s">
        <v>64</v>
      </c>
      <c r="F1242" s="14" t="s">
        <v>90</v>
      </c>
      <c r="G1242" s="14" t="s">
        <v>91</v>
      </c>
      <c r="H1242" s="0" t="n">
        <v>9</v>
      </c>
      <c r="I1242" s="16" t="n">
        <v>11.82</v>
      </c>
      <c r="J1242" s="16" t="n">
        <v>3.5</v>
      </c>
      <c r="K1242" s="16" t="n">
        <f aca="false">H1242*I1242</f>
        <v>106.38</v>
      </c>
      <c r="L1242" s="16" t="n">
        <f aca="false">H1242*J1242</f>
        <v>31.5</v>
      </c>
      <c r="M1242" s="16" t="n">
        <f aca="false">K1242-L1242</f>
        <v>74.88</v>
      </c>
      <c r="N1242" s="17" t="n">
        <f aca="false">IFERROR(M1242/K1242,0)</f>
        <v>0.703891708967851</v>
      </c>
    </row>
    <row r="1243" customFormat="false" ht="15" hidden="false" customHeight="false" outlineLevel="0" collapsed="false">
      <c r="A1243" s="15" t="n">
        <v>46075</v>
      </c>
      <c r="B1243" s="14" t="s">
        <v>50</v>
      </c>
      <c r="C1243" s="14" t="s">
        <v>51</v>
      </c>
      <c r="D1243" s="14" t="s">
        <v>52</v>
      </c>
      <c r="E1243" s="14" t="s">
        <v>56</v>
      </c>
      <c r="F1243" s="14" t="s">
        <v>86</v>
      </c>
      <c r="G1243" s="14" t="s">
        <v>87</v>
      </c>
      <c r="H1243" s="0" t="n">
        <v>7</v>
      </c>
      <c r="I1243" s="16" t="n">
        <v>14.98</v>
      </c>
      <c r="J1243" s="16" t="n">
        <v>5</v>
      </c>
      <c r="K1243" s="16" t="n">
        <f aca="false">H1243*I1243</f>
        <v>104.86</v>
      </c>
      <c r="L1243" s="16" t="n">
        <f aca="false">H1243*J1243</f>
        <v>35</v>
      </c>
      <c r="M1243" s="16" t="n">
        <f aca="false">K1243-L1243</f>
        <v>69.86</v>
      </c>
      <c r="N1243" s="17" t="n">
        <f aca="false">IFERROR(M1243/K1243,0)</f>
        <v>0.666221628838451</v>
      </c>
    </row>
    <row r="1244" customFormat="false" ht="15" hidden="false" customHeight="false" outlineLevel="0" collapsed="false">
      <c r="A1244" s="15" t="n">
        <v>46075</v>
      </c>
      <c r="B1244" s="14" t="s">
        <v>50</v>
      </c>
      <c r="C1244" s="14" t="s">
        <v>51</v>
      </c>
      <c r="D1244" s="14" t="s">
        <v>52</v>
      </c>
      <c r="E1244" s="14" t="s">
        <v>45</v>
      </c>
      <c r="F1244" s="14" t="s">
        <v>48</v>
      </c>
      <c r="G1244" s="14" t="s">
        <v>49</v>
      </c>
      <c r="H1244" s="0" t="n">
        <v>1</v>
      </c>
      <c r="I1244" s="16" t="n">
        <v>65.09</v>
      </c>
      <c r="J1244" s="16" t="n">
        <v>27.5</v>
      </c>
      <c r="K1244" s="16" t="n">
        <f aca="false">H1244*I1244</f>
        <v>65.09</v>
      </c>
      <c r="L1244" s="16" t="n">
        <f aca="false">H1244*J1244</f>
        <v>27.5</v>
      </c>
      <c r="M1244" s="16" t="n">
        <f aca="false">K1244-L1244</f>
        <v>37.59</v>
      </c>
      <c r="N1244" s="17" t="n">
        <f aca="false">IFERROR(M1244/K1244,0)</f>
        <v>0.577508065755108</v>
      </c>
    </row>
    <row r="1245" customFormat="false" ht="15" hidden="false" customHeight="false" outlineLevel="0" collapsed="false">
      <c r="A1245" s="15" t="n">
        <v>46075</v>
      </c>
      <c r="B1245" s="14" t="s">
        <v>59</v>
      </c>
      <c r="C1245" s="14" t="s">
        <v>60</v>
      </c>
      <c r="D1245" s="14" t="s">
        <v>61</v>
      </c>
      <c r="E1245" s="14" t="s">
        <v>53</v>
      </c>
      <c r="F1245" s="14" t="s">
        <v>84</v>
      </c>
      <c r="G1245" s="14" t="s">
        <v>85</v>
      </c>
      <c r="H1245" s="0" t="n">
        <v>7</v>
      </c>
      <c r="I1245" s="16" t="n">
        <v>23.09</v>
      </c>
      <c r="J1245" s="16" t="n">
        <v>9</v>
      </c>
      <c r="K1245" s="16" t="n">
        <f aca="false">H1245*I1245</f>
        <v>161.63</v>
      </c>
      <c r="L1245" s="16" t="n">
        <f aca="false">H1245*J1245</f>
        <v>63</v>
      </c>
      <c r="M1245" s="16" t="n">
        <f aca="false">K1245-L1245</f>
        <v>98.63</v>
      </c>
      <c r="N1245" s="17" t="n">
        <f aca="false">IFERROR(M1245/K1245,0)</f>
        <v>0.610220874837592</v>
      </c>
    </row>
    <row r="1246" customFormat="false" ht="15" hidden="false" customHeight="false" outlineLevel="0" collapsed="false">
      <c r="A1246" s="15" t="n">
        <v>46075</v>
      </c>
      <c r="B1246" s="14" t="s">
        <v>59</v>
      </c>
      <c r="C1246" s="14" t="s">
        <v>60</v>
      </c>
      <c r="D1246" s="14" t="s">
        <v>61</v>
      </c>
      <c r="E1246" s="14" t="s">
        <v>76</v>
      </c>
      <c r="F1246" s="14" t="s">
        <v>77</v>
      </c>
      <c r="G1246" s="14" t="s">
        <v>78</v>
      </c>
      <c r="H1246" s="0" t="n">
        <v>1</v>
      </c>
      <c r="I1246" s="16" t="n">
        <v>40.79</v>
      </c>
      <c r="J1246" s="16" t="n">
        <v>15</v>
      </c>
      <c r="K1246" s="16" t="n">
        <f aca="false">H1246*I1246</f>
        <v>40.79</v>
      </c>
      <c r="L1246" s="16" t="n">
        <f aca="false">H1246*J1246</f>
        <v>15</v>
      </c>
      <c r="M1246" s="16" t="n">
        <f aca="false">K1246-L1246</f>
        <v>25.79</v>
      </c>
      <c r="N1246" s="17" t="n">
        <f aca="false">IFERROR(M1246/K1246,0)</f>
        <v>0.632262809512135</v>
      </c>
    </row>
    <row r="1247" customFormat="false" ht="15" hidden="false" customHeight="false" outlineLevel="0" collapsed="false">
      <c r="A1247" s="15" t="n">
        <v>46075</v>
      </c>
      <c r="B1247" s="14" t="s">
        <v>69</v>
      </c>
      <c r="C1247" s="14" t="s">
        <v>70</v>
      </c>
      <c r="D1247" s="14" t="s">
        <v>71</v>
      </c>
      <c r="E1247" s="14" t="s">
        <v>76</v>
      </c>
      <c r="F1247" s="14" t="s">
        <v>79</v>
      </c>
      <c r="G1247" s="14" t="s">
        <v>80</v>
      </c>
      <c r="H1247" s="0" t="n">
        <v>5</v>
      </c>
      <c r="I1247" s="16" t="n">
        <v>28.32</v>
      </c>
      <c r="J1247" s="16" t="n">
        <v>11</v>
      </c>
      <c r="K1247" s="16" t="n">
        <f aca="false">H1247*I1247</f>
        <v>141.6</v>
      </c>
      <c r="L1247" s="16" t="n">
        <f aca="false">H1247*J1247</f>
        <v>55</v>
      </c>
      <c r="M1247" s="16" t="n">
        <f aca="false">K1247-L1247</f>
        <v>86.6</v>
      </c>
      <c r="N1247" s="17" t="n">
        <f aca="false">IFERROR(M1247/K1247,0)</f>
        <v>0.611581920903955</v>
      </c>
    </row>
    <row r="1248" customFormat="false" ht="15" hidden="false" customHeight="false" outlineLevel="0" collapsed="false">
      <c r="A1248" s="15" t="n">
        <v>46075</v>
      </c>
      <c r="B1248" s="14" t="s">
        <v>69</v>
      </c>
      <c r="C1248" s="14" t="s">
        <v>70</v>
      </c>
      <c r="D1248" s="14" t="s">
        <v>71</v>
      </c>
      <c r="E1248" s="14" t="s">
        <v>56</v>
      </c>
      <c r="F1248" s="14" t="s">
        <v>67</v>
      </c>
      <c r="G1248" s="14" t="s">
        <v>68</v>
      </c>
      <c r="H1248" s="0" t="n">
        <v>1</v>
      </c>
      <c r="I1248" s="16" t="n">
        <v>35.31</v>
      </c>
      <c r="J1248" s="16" t="n">
        <v>15</v>
      </c>
      <c r="K1248" s="16" t="n">
        <f aca="false">H1248*I1248</f>
        <v>35.31</v>
      </c>
      <c r="L1248" s="16" t="n">
        <f aca="false">H1248*J1248</f>
        <v>15</v>
      </c>
      <c r="M1248" s="16" t="n">
        <f aca="false">K1248-L1248</f>
        <v>20.31</v>
      </c>
      <c r="N1248" s="17" t="n">
        <f aca="false">IFERROR(M1248/K1248,0)</f>
        <v>0.575191163976211</v>
      </c>
    </row>
    <row r="1249" customFormat="false" ht="15" hidden="false" customHeight="false" outlineLevel="0" collapsed="false">
      <c r="A1249" s="15" t="n">
        <v>46075</v>
      </c>
      <c r="B1249" s="14" t="s">
        <v>69</v>
      </c>
      <c r="C1249" s="14" t="s">
        <v>70</v>
      </c>
      <c r="D1249" s="14" t="s">
        <v>71</v>
      </c>
      <c r="E1249" s="14" t="s">
        <v>76</v>
      </c>
      <c r="F1249" s="14" t="s">
        <v>102</v>
      </c>
      <c r="G1249" s="14" t="s">
        <v>103</v>
      </c>
      <c r="H1249" s="0" t="n">
        <v>7</v>
      </c>
      <c r="I1249" s="16" t="n">
        <v>23.47</v>
      </c>
      <c r="J1249" s="16" t="n">
        <v>8.5</v>
      </c>
      <c r="K1249" s="16" t="n">
        <f aca="false">H1249*I1249</f>
        <v>164.29</v>
      </c>
      <c r="L1249" s="16" t="n">
        <f aca="false">H1249*J1249</f>
        <v>59.5</v>
      </c>
      <c r="M1249" s="16" t="n">
        <f aca="false">K1249-L1249</f>
        <v>104.79</v>
      </c>
      <c r="N1249" s="17" t="n">
        <f aca="false">IFERROR(M1249/K1249,0)</f>
        <v>0.637835534725181</v>
      </c>
    </row>
    <row r="1250" customFormat="false" ht="15" hidden="false" customHeight="false" outlineLevel="0" collapsed="false">
      <c r="A1250" s="15" t="n">
        <v>46075</v>
      </c>
      <c r="B1250" s="14" t="s">
        <v>69</v>
      </c>
      <c r="C1250" s="14" t="s">
        <v>70</v>
      </c>
      <c r="D1250" s="14" t="s">
        <v>71</v>
      </c>
      <c r="E1250" s="14" t="s">
        <v>56</v>
      </c>
      <c r="F1250" s="14" t="s">
        <v>98</v>
      </c>
      <c r="G1250" s="14" t="s">
        <v>99</v>
      </c>
      <c r="H1250" s="0" t="n">
        <v>3</v>
      </c>
      <c r="I1250" s="16" t="n">
        <v>20.58</v>
      </c>
      <c r="J1250" s="16" t="n">
        <v>8</v>
      </c>
      <c r="K1250" s="16" t="n">
        <f aca="false">H1250*I1250</f>
        <v>61.74</v>
      </c>
      <c r="L1250" s="16" t="n">
        <f aca="false">H1250*J1250</f>
        <v>24</v>
      </c>
      <c r="M1250" s="16" t="n">
        <f aca="false">K1250-L1250</f>
        <v>37.74</v>
      </c>
      <c r="N1250" s="17" t="n">
        <f aca="false">IFERROR(M1250/K1250,0)</f>
        <v>0.611273080660836</v>
      </c>
    </row>
    <row r="1251" customFormat="false" ht="15" hidden="false" customHeight="false" outlineLevel="0" collapsed="false">
      <c r="A1251" s="15" t="n">
        <v>46075</v>
      </c>
      <c r="B1251" s="14" t="s">
        <v>81</v>
      </c>
      <c r="C1251" s="14" t="s">
        <v>82</v>
      </c>
      <c r="D1251" s="14" t="s">
        <v>83</v>
      </c>
      <c r="E1251" s="14" t="s">
        <v>64</v>
      </c>
      <c r="F1251" s="14" t="s">
        <v>90</v>
      </c>
      <c r="G1251" s="14" t="s">
        <v>91</v>
      </c>
      <c r="H1251" s="0" t="n">
        <v>1</v>
      </c>
      <c r="I1251" s="16" t="n">
        <v>11.66</v>
      </c>
      <c r="J1251" s="16" t="n">
        <v>3.5</v>
      </c>
      <c r="K1251" s="16" t="n">
        <f aca="false">H1251*I1251</f>
        <v>11.66</v>
      </c>
      <c r="L1251" s="16" t="n">
        <f aca="false">H1251*J1251</f>
        <v>3.5</v>
      </c>
      <c r="M1251" s="16" t="n">
        <f aca="false">K1251-L1251</f>
        <v>8.16</v>
      </c>
      <c r="N1251" s="17" t="n">
        <f aca="false">IFERROR(M1251/K1251,0)</f>
        <v>0.699828473413379</v>
      </c>
    </row>
    <row r="1252" customFormat="false" ht="15" hidden="false" customHeight="false" outlineLevel="0" collapsed="false">
      <c r="A1252" s="15" t="n">
        <v>46075</v>
      </c>
      <c r="B1252" s="14" t="s">
        <v>81</v>
      </c>
      <c r="C1252" s="14" t="s">
        <v>82</v>
      </c>
      <c r="D1252" s="14" t="s">
        <v>83</v>
      </c>
      <c r="E1252" s="14" t="s">
        <v>64</v>
      </c>
      <c r="F1252" s="14" t="s">
        <v>96</v>
      </c>
      <c r="G1252" s="14" t="s">
        <v>97</v>
      </c>
      <c r="H1252" s="0" t="n">
        <v>6</v>
      </c>
      <c r="I1252" s="16" t="n">
        <v>58.49</v>
      </c>
      <c r="J1252" s="16" t="n">
        <v>24</v>
      </c>
      <c r="K1252" s="16" t="n">
        <f aca="false">H1252*I1252</f>
        <v>350.94</v>
      </c>
      <c r="L1252" s="16" t="n">
        <f aca="false">H1252*J1252</f>
        <v>144</v>
      </c>
      <c r="M1252" s="16" t="n">
        <f aca="false">K1252-L1252</f>
        <v>206.94</v>
      </c>
      <c r="N1252" s="17" t="n">
        <f aca="false">IFERROR(M1252/K1252,0)</f>
        <v>0.589673448452727</v>
      </c>
    </row>
    <row r="1253" customFormat="false" ht="15" hidden="false" customHeight="false" outlineLevel="0" collapsed="false">
      <c r="A1253" s="15" t="n">
        <v>46075</v>
      </c>
      <c r="B1253" s="14" t="s">
        <v>81</v>
      </c>
      <c r="C1253" s="14" t="s">
        <v>82</v>
      </c>
      <c r="D1253" s="14" t="s">
        <v>83</v>
      </c>
      <c r="E1253" s="14" t="s">
        <v>56</v>
      </c>
      <c r="F1253" s="14" t="s">
        <v>67</v>
      </c>
      <c r="G1253" s="14" t="s">
        <v>68</v>
      </c>
      <c r="H1253" s="0" t="n">
        <v>8</v>
      </c>
      <c r="I1253" s="16" t="n">
        <v>37.34</v>
      </c>
      <c r="J1253" s="16" t="n">
        <v>15</v>
      </c>
      <c r="K1253" s="16" t="n">
        <f aca="false">H1253*I1253</f>
        <v>298.72</v>
      </c>
      <c r="L1253" s="16" t="n">
        <f aca="false">H1253*J1253</f>
        <v>120</v>
      </c>
      <c r="M1253" s="16" t="n">
        <f aca="false">K1253-L1253</f>
        <v>178.72</v>
      </c>
      <c r="N1253" s="17" t="n">
        <f aca="false">IFERROR(M1253/K1253,0)</f>
        <v>0.598286020353508</v>
      </c>
    </row>
    <row r="1254" customFormat="false" ht="15" hidden="false" customHeight="false" outlineLevel="0" collapsed="false">
      <c r="A1254" s="15" t="n">
        <v>46075</v>
      </c>
      <c r="B1254" s="14" t="s">
        <v>81</v>
      </c>
      <c r="C1254" s="14" t="s">
        <v>82</v>
      </c>
      <c r="D1254" s="14" t="s">
        <v>83</v>
      </c>
      <c r="E1254" s="14" t="s">
        <v>64</v>
      </c>
      <c r="F1254" s="14" t="s">
        <v>65</v>
      </c>
      <c r="G1254" s="14" t="s">
        <v>66</v>
      </c>
      <c r="H1254" s="0" t="n">
        <v>4</v>
      </c>
      <c r="I1254" s="16" t="n">
        <v>76.25</v>
      </c>
      <c r="J1254" s="16" t="n">
        <v>34</v>
      </c>
      <c r="K1254" s="16" t="n">
        <f aca="false">H1254*I1254</f>
        <v>305</v>
      </c>
      <c r="L1254" s="16" t="n">
        <f aca="false">H1254*J1254</f>
        <v>136</v>
      </c>
      <c r="M1254" s="16" t="n">
        <f aca="false">K1254-L1254</f>
        <v>169</v>
      </c>
      <c r="N1254" s="17" t="n">
        <f aca="false">IFERROR(M1254/K1254,0)</f>
        <v>0.554098360655738</v>
      </c>
    </row>
    <row r="1255" customFormat="false" ht="15" hidden="false" customHeight="false" outlineLevel="0" collapsed="false">
      <c r="A1255" s="15" t="n">
        <v>46075</v>
      </c>
      <c r="B1255" s="14" t="s">
        <v>88</v>
      </c>
      <c r="C1255" s="14" t="s">
        <v>89</v>
      </c>
      <c r="D1255" s="14" t="s">
        <v>44</v>
      </c>
      <c r="E1255" s="14" t="s">
        <v>56</v>
      </c>
      <c r="F1255" s="14" t="s">
        <v>98</v>
      </c>
      <c r="G1255" s="14" t="s">
        <v>99</v>
      </c>
      <c r="H1255" s="0" t="n">
        <v>5</v>
      </c>
      <c r="I1255" s="16" t="n">
        <v>21.26</v>
      </c>
      <c r="J1255" s="16" t="n">
        <v>8</v>
      </c>
      <c r="K1255" s="16" t="n">
        <f aca="false">H1255*I1255</f>
        <v>106.3</v>
      </c>
      <c r="L1255" s="16" t="n">
        <f aca="false">H1255*J1255</f>
        <v>40</v>
      </c>
      <c r="M1255" s="16" t="n">
        <f aca="false">K1255-L1255</f>
        <v>66.3</v>
      </c>
      <c r="N1255" s="17" t="n">
        <f aca="false">IFERROR(M1255/K1255,0)</f>
        <v>0.623706491063029</v>
      </c>
    </row>
    <row r="1256" customFormat="false" ht="15" hidden="false" customHeight="false" outlineLevel="0" collapsed="false">
      <c r="A1256" s="15" t="n">
        <v>46075</v>
      </c>
      <c r="B1256" s="14" t="s">
        <v>88</v>
      </c>
      <c r="C1256" s="14" t="s">
        <v>89</v>
      </c>
      <c r="D1256" s="14" t="s">
        <v>44</v>
      </c>
      <c r="E1256" s="14" t="s">
        <v>76</v>
      </c>
      <c r="F1256" s="14" t="s">
        <v>102</v>
      </c>
      <c r="G1256" s="14" t="s">
        <v>103</v>
      </c>
      <c r="H1256" s="0" t="n">
        <v>2</v>
      </c>
      <c r="I1256" s="16" t="n">
        <v>23.94</v>
      </c>
      <c r="J1256" s="16" t="n">
        <v>8.5</v>
      </c>
      <c r="K1256" s="16" t="n">
        <f aca="false">H1256*I1256</f>
        <v>47.88</v>
      </c>
      <c r="L1256" s="16" t="n">
        <f aca="false">H1256*J1256</f>
        <v>17</v>
      </c>
      <c r="M1256" s="16" t="n">
        <f aca="false">K1256-L1256</f>
        <v>30.88</v>
      </c>
      <c r="N1256" s="17" t="n">
        <f aca="false">IFERROR(M1256/K1256,0)</f>
        <v>0.644945697577277</v>
      </c>
    </row>
    <row r="1257" customFormat="false" ht="15" hidden="false" customHeight="false" outlineLevel="0" collapsed="false">
      <c r="A1257" s="15" t="n">
        <v>46075</v>
      </c>
      <c r="B1257" s="14" t="s">
        <v>88</v>
      </c>
      <c r="C1257" s="14" t="s">
        <v>89</v>
      </c>
      <c r="D1257" s="14" t="s">
        <v>44</v>
      </c>
      <c r="E1257" s="14" t="s">
        <v>76</v>
      </c>
      <c r="F1257" s="14" t="s">
        <v>79</v>
      </c>
      <c r="G1257" s="14" t="s">
        <v>80</v>
      </c>
      <c r="H1257" s="0" t="n">
        <v>7</v>
      </c>
      <c r="I1257" s="16" t="n">
        <v>29.96</v>
      </c>
      <c r="J1257" s="16" t="n">
        <v>11</v>
      </c>
      <c r="K1257" s="16" t="n">
        <f aca="false">H1257*I1257</f>
        <v>209.72</v>
      </c>
      <c r="L1257" s="16" t="n">
        <f aca="false">H1257*J1257</f>
        <v>77</v>
      </c>
      <c r="M1257" s="16" t="n">
        <f aca="false">K1257-L1257</f>
        <v>132.72</v>
      </c>
      <c r="N1257" s="17" t="n">
        <f aca="false">IFERROR(M1257/K1257,0)</f>
        <v>0.632843791722296</v>
      </c>
    </row>
    <row r="1258" customFormat="false" ht="15" hidden="false" customHeight="false" outlineLevel="0" collapsed="false">
      <c r="A1258" s="15" t="n">
        <v>46075</v>
      </c>
      <c r="B1258" s="14" t="s">
        <v>88</v>
      </c>
      <c r="C1258" s="14" t="s">
        <v>89</v>
      </c>
      <c r="D1258" s="14" t="s">
        <v>44</v>
      </c>
      <c r="E1258" s="14" t="s">
        <v>56</v>
      </c>
      <c r="F1258" s="14" t="s">
        <v>86</v>
      </c>
      <c r="G1258" s="14" t="s">
        <v>87</v>
      </c>
      <c r="H1258" s="0" t="n">
        <v>9</v>
      </c>
      <c r="I1258" s="16" t="n">
        <v>14.02</v>
      </c>
      <c r="J1258" s="16" t="n">
        <v>5</v>
      </c>
      <c r="K1258" s="16" t="n">
        <f aca="false">H1258*I1258</f>
        <v>126.18</v>
      </c>
      <c r="L1258" s="16" t="n">
        <f aca="false">H1258*J1258</f>
        <v>45</v>
      </c>
      <c r="M1258" s="16" t="n">
        <f aca="false">K1258-L1258</f>
        <v>81.18</v>
      </c>
      <c r="N1258" s="17" t="n">
        <f aca="false">IFERROR(M1258/K1258,0)</f>
        <v>0.643366619115549</v>
      </c>
    </row>
    <row r="1259" customFormat="false" ht="15" hidden="false" customHeight="false" outlineLevel="0" collapsed="false">
      <c r="A1259" s="15" t="n">
        <v>46076</v>
      </c>
      <c r="B1259" s="14" t="s">
        <v>42</v>
      </c>
      <c r="C1259" s="14" t="s">
        <v>43</v>
      </c>
      <c r="D1259" s="14" t="s">
        <v>44</v>
      </c>
      <c r="E1259" s="14" t="s">
        <v>76</v>
      </c>
      <c r="F1259" s="14" t="s">
        <v>102</v>
      </c>
      <c r="G1259" s="14" t="s">
        <v>103</v>
      </c>
      <c r="H1259" s="0" t="n">
        <v>1</v>
      </c>
      <c r="I1259" s="16" t="n">
        <v>22.6</v>
      </c>
      <c r="J1259" s="16" t="n">
        <v>8.5</v>
      </c>
      <c r="K1259" s="16" t="n">
        <f aca="false">H1259*I1259</f>
        <v>22.6</v>
      </c>
      <c r="L1259" s="16" t="n">
        <f aca="false">H1259*J1259</f>
        <v>8.5</v>
      </c>
      <c r="M1259" s="16" t="n">
        <f aca="false">K1259-L1259</f>
        <v>14.1</v>
      </c>
      <c r="N1259" s="17" t="n">
        <f aca="false">IFERROR(M1259/K1259,0)</f>
        <v>0.623893805309735</v>
      </c>
    </row>
    <row r="1260" customFormat="false" ht="15" hidden="false" customHeight="false" outlineLevel="0" collapsed="false">
      <c r="A1260" s="15" t="n">
        <v>46076</v>
      </c>
      <c r="B1260" s="14" t="s">
        <v>42</v>
      </c>
      <c r="C1260" s="14" t="s">
        <v>43</v>
      </c>
      <c r="D1260" s="14" t="s">
        <v>44</v>
      </c>
      <c r="E1260" s="14" t="s">
        <v>45</v>
      </c>
      <c r="F1260" s="14" t="s">
        <v>72</v>
      </c>
      <c r="G1260" s="14" t="s">
        <v>73</v>
      </c>
      <c r="H1260" s="0" t="n">
        <v>5</v>
      </c>
      <c r="I1260" s="16" t="n">
        <v>49.39</v>
      </c>
      <c r="J1260" s="16" t="n">
        <v>21</v>
      </c>
      <c r="K1260" s="16" t="n">
        <f aca="false">H1260*I1260</f>
        <v>246.95</v>
      </c>
      <c r="L1260" s="16" t="n">
        <f aca="false">H1260*J1260</f>
        <v>105</v>
      </c>
      <c r="M1260" s="16" t="n">
        <f aca="false">K1260-L1260</f>
        <v>141.95</v>
      </c>
      <c r="N1260" s="17" t="n">
        <f aca="false">IFERROR(M1260/K1260,0)</f>
        <v>0.574812715124519</v>
      </c>
    </row>
    <row r="1261" customFormat="false" ht="15" hidden="false" customHeight="false" outlineLevel="0" collapsed="false">
      <c r="A1261" s="15" t="n">
        <v>46076</v>
      </c>
      <c r="B1261" s="14" t="s">
        <v>50</v>
      </c>
      <c r="C1261" s="14" t="s">
        <v>51</v>
      </c>
      <c r="D1261" s="14" t="s">
        <v>52</v>
      </c>
      <c r="E1261" s="14" t="s">
        <v>53</v>
      </c>
      <c r="F1261" s="14" t="s">
        <v>92</v>
      </c>
      <c r="G1261" s="14" t="s">
        <v>93</v>
      </c>
      <c r="H1261" s="0" t="n">
        <v>3</v>
      </c>
      <c r="I1261" s="16" t="n">
        <v>111.48</v>
      </c>
      <c r="J1261" s="16" t="n">
        <v>52</v>
      </c>
      <c r="K1261" s="16" t="n">
        <f aca="false">H1261*I1261</f>
        <v>334.44</v>
      </c>
      <c r="L1261" s="16" t="n">
        <f aca="false">H1261*J1261</f>
        <v>156</v>
      </c>
      <c r="M1261" s="16" t="n">
        <f aca="false">K1261-L1261</f>
        <v>178.44</v>
      </c>
      <c r="N1261" s="17" t="n">
        <f aca="false">IFERROR(M1261/K1261,0)</f>
        <v>0.533548618586294</v>
      </c>
    </row>
    <row r="1262" customFormat="false" ht="15" hidden="false" customHeight="false" outlineLevel="0" collapsed="false">
      <c r="A1262" s="15" t="n">
        <v>46076</v>
      </c>
      <c r="B1262" s="14" t="s">
        <v>50</v>
      </c>
      <c r="C1262" s="14" t="s">
        <v>51</v>
      </c>
      <c r="D1262" s="14" t="s">
        <v>52</v>
      </c>
      <c r="E1262" s="14" t="s">
        <v>45</v>
      </c>
      <c r="F1262" s="14" t="s">
        <v>62</v>
      </c>
      <c r="G1262" s="14" t="s">
        <v>63</v>
      </c>
      <c r="H1262" s="0" t="n">
        <v>2</v>
      </c>
      <c r="I1262" s="16" t="n">
        <v>17.2</v>
      </c>
      <c r="J1262" s="16" t="n">
        <v>6.5</v>
      </c>
      <c r="K1262" s="16" t="n">
        <f aca="false">H1262*I1262</f>
        <v>34.4</v>
      </c>
      <c r="L1262" s="16" t="n">
        <f aca="false">H1262*J1262</f>
        <v>13</v>
      </c>
      <c r="M1262" s="16" t="n">
        <f aca="false">K1262-L1262</f>
        <v>21.4</v>
      </c>
      <c r="N1262" s="17" t="n">
        <f aca="false">IFERROR(M1262/K1262,0)</f>
        <v>0.622093023255814</v>
      </c>
    </row>
    <row r="1263" customFormat="false" ht="15" hidden="false" customHeight="false" outlineLevel="0" collapsed="false">
      <c r="A1263" s="15" t="n">
        <v>46076</v>
      </c>
      <c r="B1263" s="14" t="s">
        <v>50</v>
      </c>
      <c r="C1263" s="14" t="s">
        <v>51</v>
      </c>
      <c r="D1263" s="14" t="s">
        <v>52</v>
      </c>
      <c r="E1263" s="14" t="s">
        <v>45</v>
      </c>
      <c r="F1263" s="14" t="s">
        <v>72</v>
      </c>
      <c r="G1263" s="14" t="s">
        <v>73</v>
      </c>
      <c r="H1263" s="0" t="n">
        <v>3</v>
      </c>
      <c r="I1263" s="16" t="n">
        <v>48.63</v>
      </c>
      <c r="J1263" s="16" t="n">
        <v>21</v>
      </c>
      <c r="K1263" s="16" t="n">
        <f aca="false">H1263*I1263</f>
        <v>145.89</v>
      </c>
      <c r="L1263" s="16" t="n">
        <f aca="false">H1263*J1263</f>
        <v>63</v>
      </c>
      <c r="M1263" s="16" t="n">
        <f aca="false">K1263-L1263</f>
        <v>82.89</v>
      </c>
      <c r="N1263" s="17" t="n">
        <f aca="false">IFERROR(M1263/K1263,0)</f>
        <v>0.568167797655768</v>
      </c>
    </row>
    <row r="1264" customFormat="false" ht="15" hidden="false" customHeight="false" outlineLevel="0" collapsed="false">
      <c r="A1264" s="15" t="n">
        <v>46076</v>
      </c>
      <c r="B1264" s="14" t="s">
        <v>50</v>
      </c>
      <c r="C1264" s="14" t="s">
        <v>51</v>
      </c>
      <c r="D1264" s="14" t="s">
        <v>52</v>
      </c>
      <c r="E1264" s="14" t="s">
        <v>64</v>
      </c>
      <c r="F1264" s="14" t="s">
        <v>94</v>
      </c>
      <c r="G1264" s="14" t="s">
        <v>95</v>
      </c>
      <c r="H1264" s="0" t="n">
        <v>6</v>
      </c>
      <c r="I1264" s="16" t="n">
        <v>92.21</v>
      </c>
      <c r="J1264" s="16" t="n">
        <v>42</v>
      </c>
      <c r="K1264" s="16" t="n">
        <f aca="false">H1264*I1264</f>
        <v>553.26</v>
      </c>
      <c r="L1264" s="16" t="n">
        <f aca="false">H1264*J1264</f>
        <v>252</v>
      </c>
      <c r="M1264" s="16" t="n">
        <f aca="false">K1264-L1264</f>
        <v>301.26</v>
      </c>
      <c r="N1264" s="17" t="n">
        <f aca="false">IFERROR(M1264/K1264,0)</f>
        <v>0.544517948161805</v>
      </c>
    </row>
    <row r="1265" customFormat="false" ht="15" hidden="false" customHeight="false" outlineLevel="0" collapsed="false">
      <c r="A1265" s="15" t="n">
        <v>46076</v>
      </c>
      <c r="B1265" s="14" t="s">
        <v>59</v>
      </c>
      <c r="C1265" s="14" t="s">
        <v>60</v>
      </c>
      <c r="D1265" s="14" t="s">
        <v>61</v>
      </c>
      <c r="E1265" s="14" t="s">
        <v>56</v>
      </c>
      <c r="F1265" s="14" t="s">
        <v>86</v>
      </c>
      <c r="G1265" s="14" t="s">
        <v>87</v>
      </c>
      <c r="H1265" s="0" t="n">
        <v>4</v>
      </c>
      <c r="I1265" s="16" t="n">
        <v>14.67</v>
      </c>
      <c r="J1265" s="16" t="n">
        <v>5</v>
      </c>
      <c r="K1265" s="16" t="n">
        <f aca="false">H1265*I1265</f>
        <v>58.68</v>
      </c>
      <c r="L1265" s="16" t="n">
        <f aca="false">H1265*J1265</f>
        <v>20</v>
      </c>
      <c r="M1265" s="16" t="n">
        <f aca="false">K1265-L1265</f>
        <v>38.68</v>
      </c>
      <c r="N1265" s="17" t="n">
        <f aca="false">IFERROR(M1265/K1265,0)</f>
        <v>0.659168370824813</v>
      </c>
    </row>
    <row r="1266" customFormat="false" ht="15" hidden="false" customHeight="false" outlineLevel="0" collapsed="false">
      <c r="A1266" s="15" t="n">
        <v>46076</v>
      </c>
      <c r="B1266" s="14" t="s">
        <v>59</v>
      </c>
      <c r="C1266" s="14" t="s">
        <v>60</v>
      </c>
      <c r="D1266" s="14" t="s">
        <v>61</v>
      </c>
      <c r="E1266" s="14" t="s">
        <v>64</v>
      </c>
      <c r="F1266" s="14" t="s">
        <v>90</v>
      </c>
      <c r="G1266" s="14" t="s">
        <v>91</v>
      </c>
      <c r="H1266" s="0" t="n">
        <v>1</v>
      </c>
      <c r="I1266" s="16" t="n">
        <v>11.04</v>
      </c>
      <c r="J1266" s="16" t="n">
        <v>3.5</v>
      </c>
      <c r="K1266" s="16" t="n">
        <f aca="false">H1266*I1266</f>
        <v>11.04</v>
      </c>
      <c r="L1266" s="16" t="n">
        <f aca="false">H1266*J1266</f>
        <v>3.5</v>
      </c>
      <c r="M1266" s="16" t="n">
        <f aca="false">K1266-L1266</f>
        <v>7.54</v>
      </c>
      <c r="N1266" s="17" t="n">
        <f aca="false">IFERROR(M1266/K1266,0)</f>
        <v>0.682971014492754</v>
      </c>
    </row>
    <row r="1267" customFormat="false" ht="15" hidden="false" customHeight="false" outlineLevel="0" collapsed="false">
      <c r="A1267" s="15" t="n">
        <v>46076</v>
      </c>
      <c r="B1267" s="14" t="s">
        <v>69</v>
      </c>
      <c r="C1267" s="14" t="s">
        <v>70</v>
      </c>
      <c r="D1267" s="14" t="s">
        <v>71</v>
      </c>
      <c r="E1267" s="14" t="s">
        <v>56</v>
      </c>
      <c r="F1267" s="14" t="s">
        <v>98</v>
      </c>
      <c r="G1267" s="14" t="s">
        <v>99</v>
      </c>
      <c r="H1267" s="0" t="n">
        <v>5</v>
      </c>
      <c r="I1267" s="16" t="n">
        <v>21.06</v>
      </c>
      <c r="J1267" s="16" t="n">
        <v>8</v>
      </c>
      <c r="K1267" s="16" t="n">
        <f aca="false">H1267*I1267</f>
        <v>105.3</v>
      </c>
      <c r="L1267" s="16" t="n">
        <f aca="false">H1267*J1267</f>
        <v>40</v>
      </c>
      <c r="M1267" s="16" t="n">
        <f aca="false">K1267-L1267</f>
        <v>65.3</v>
      </c>
      <c r="N1267" s="17" t="n">
        <f aca="false">IFERROR(M1267/K1267,0)</f>
        <v>0.620132953466287</v>
      </c>
    </row>
    <row r="1268" customFormat="false" ht="15" hidden="false" customHeight="false" outlineLevel="0" collapsed="false">
      <c r="A1268" s="15" t="n">
        <v>46076</v>
      </c>
      <c r="B1268" s="14" t="s">
        <v>69</v>
      </c>
      <c r="C1268" s="14" t="s">
        <v>70</v>
      </c>
      <c r="D1268" s="14" t="s">
        <v>71</v>
      </c>
      <c r="E1268" s="14" t="s">
        <v>45</v>
      </c>
      <c r="F1268" s="14" t="s">
        <v>48</v>
      </c>
      <c r="G1268" s="14" t="s">
        <v>49</v>
      </c>
      <c r="H1268" s="0" t="n">
        <v>4</v>
      </c>
      <c r="I1268" s="16" t="n">
        <v>62.68</v>
      </c>
      <c r="J1268" s="16" t="n">
        <v>27.5</v>
      </c>
      <c r="K1268" s="16" t="n">
        <f aca="false">H1268*I1268</f>
        <v>250.72</v>
      </c>
      <c r="L1268" s="16" t="n">
        <f aca="false">H1268*J1268</f>
        <v>110</v>
      </c>
      <c r="M1268" s="16" t="n">
        <f aca="false">K1268-L1268</f>
        <v>140.72</v>
      </c>
      <c r="N1268" s="17" t="n">
        <f aca="false">IFERROR(M1268/K1268,0)</f>
        <v>0.56126356094448</v>
      </c>
    </row>
    <row r="1269" customFormat="false" ht="15" hidden="false" customHeight="false" outlineLevel="0" collapsed="false">
      <c r="A1269" s="15" t="n">
        <v>46076</v>
      </c>
      <c r="B1269" s="14" t="s">
        <v>81</v>
      </c>
      <c r="C1269" s="14" t="s">
        <v>82</v>
      </c>
      <c r="D1269" s="14" t="s">
        <v>83</v>
      </c>
      <c r="E1269" s="14" t="s">
        <v>53</v>
      </c>
      <c r="F1269" s="14" t="s">
        <v>92</v>
      </c>
      <c r="G1269" s="14" t="s">
        <v>93</v>
      </c>
      <c r="H1269" s="0" t="n">
        <v>3</v>
      </c>
      <c r="I1269" s="16" t="n">
        <v>112.25</v>
      </c>
      <c r="J1269" s="16" t="n">
        <v>52</v>
      </c>
      <c r="K1269" s="16" t="n">
        <f aca="false">H1269*I1269</f>
        <v>336.75</v>
      </c>
      <c r="L1269" s="16" t="n">
        <f aca="false">H1269*J1269</f>
        <v>156</v>
      </c>
      <c r="M1269" s="16" t="n">
        <f aca="false">K1269-L1269</f>
        <v>180.75</v>
      </c>
      <c r="N1269" s="17" t="n">
        <f aca="false">IFERROR(M1269/K1269,0)</f>
        <v>0.536748329621381</v>
      </c>
    </row>
    <row r="1270" customFormat="false" ht="15" hidden="false" customHeight="false" outlineLevel="0" collapsed="false">
      <c r="A1270" s="15" t="n">
        <v>46076</v>
      </c>
      <c r="B1270" s="14" t="s">
        <v>81</v>
      </c>
      <c r="C1270" s="14" t="s">
        <v>82</v>
      </c>
      <c r="D1270" s="14" t="s">
        <v>83</v>
      </c>
      <c r="E1270" s="14" t="s">
        <v>76</v>
      </c>
      <c r="F1270" s="14" t="s">
        <v>102</v>
      </c>
      <c r="G1270" s="14" t="s">
        <v>103</v>
      </c>
      <c r="H1270" s="0" t="n">
        <v>5</v>
      </c>
      <c r="I1270" s="16" t="n">
        <v>23.37</v>
      </c>
      <c r="J1270" s="16" t="n">
        <v>8.5</v>
      </c>
      <c r="K1270" s="16" t="n">
        <f aca="false">H1270*I1270</f>
        <v>116.85</v>
      </c>
      <c r="L1270" s="16" t="n">
        <f aca="false">H1270*J1270</f>
        <v>42.5</v>
      </c>
      <c r="M1270" s="16" t="n">
        <f aca="false">K1270-L1270</f>
        <v>74.35</v>
      </c>
      <c r="N1270" s="17" t="n">
        <f aca="false">IFERROR(M1270/K1270,0)</f>
        <v>0.636285836542576</v>
      </c>
    </row>
    <row r="1271" customFormat="false" ht="15" hidden="false" customHeight="false" outlineLevel="0" collapsed="false">
      <c r="A1271" s="15" t="n">
        <v>46076</v>
      </c>
      <c r="B1271" s="14" t="s">
        <v>81</v>
      </c>
      <c r="C1271" s="14" t="s">
        <v>82</v>
      </c>
      <c r="D1271" s="14" t="s">
        <v>83</v>
      </c>
      <c r="E1271" s="14" t="s">
        <v>76</v>
      </c>
      <c r="F1271" s="14" t="s">
        <v>77</v>
      </c>
      <c r="G1271" s="14" t="s">
        <v>78</v>
      </c>
      <c r="H1271" s="0" t="n">
        <v>2</v>
      </c>
      <c r="I1271" s="16" t="n">
        <v>39.56</v>
      </c>
      <c r="J1271" s="16" t="n">
        <v>15</v>
      </c>
      <c r="K1271" s="16" t="n">
        <f aca="false">H1271*I1271</f>
        <v>79.12</v>
      </c>
      <c r="L1271" s="16" t="n">
        <f aca="false">H1271*J1271</f>
        <v>30</v>
      </c>
      <c r="M1271" s="16" t="n">
        <f aca="false">K1271-L1271</f>
        <v>49.12</v>
      </c>
      <c r="N1271" s="17" t="n">
        <f aca="false">IFERROR(M1271/K1271,0)</f>
        <v>0.620829120323559</v>
      </c>
    </row>
    <row r="1272" customFormat="false" ht="15" hidden="false" customHeight="false" outlineLevel="0" collapsed="false">
      <c r="A1272" s="15" t="n">
        <v>46076</v>
      </c>
      <c r="B1272" s="14" t="s">
        <v>81</v>
      </c>
      <c r="C1272" s="14" t="s">
        <v>82</v>
      </c>
      <c r="D1272" s="14" t="s">
        <v>83</v>
      </c>
      <c r="E1272" s="14" t="s">
        <v>45</v>
      </c>
      <c r="F1272" s="14" t="s">
        <v>48</v>
      </c>
      <c r="G1272" s="14" t="s">
        <v>49</v>
      </c>
      <c r="H1272" s="0" t="n">
        <v>3</v>
      </c>
      <c r="I1272" s="16" t="n">
        <v>65.51</v>
      </c>
      <c r="J1272" s="16" t="n">
        <v>27.5</v>
      </c>
      <c r="K1272" s="16" t="n">
        <f aca="false">H1272*I1272</f>
        <v>196.53</v>
      </c>
      <c r="L1272" s="16" t="n">
        <f aca="false">H1272*J1272</f>
        <v>82.5</v>
      </c>
      <c r="M1272" s="16" t="n">
        <f aca="false">K1272-L1272</f>
        <v>114.03</v>
      </c>
      <c r="N1272" s="17" t="n">
        <f aca="false">IFERROR(M1272/K1272,0)</f>
        <v>0.580216760799878</v>
      </c>
    </row>
    <row r="1273" customFormat="false" ht="15" hidden="false" customHeight="false" outlineLevel="0" collapsed="false">
      <c r="A1273" s="15" t="n">
        <v>46076</v>
      </c>
      <c r="B1273" s="14" t="s">
        <v>88</v>
      </c>
      <c r="C1273" s="14" t="s">
        <v>89</v>
      </c>
      <c r="D1273" s="14" t="s">
        <v>44</v>
      </c>
      <c r="E1273" s="14" t="s">
        <v>76</v>
      </c>
      <c r="F1273" s="14" t="s">
        <v>102</v>
      </c>
      <c r="G1273" s="14" t="s">
        <v>103</v>
      </c>
      <c r="H1273" s="0" t="n">
        <v>3</v>
      </c>
      <c r="I1273" s="16" t="n">
        <v>23.89</v>
      </c>
      <c r="J1273" s="16" t="n">
        <v>8.5</v>
      </c>
      <c r="K1273" s="16" t="n">
        <f aca="false">H1273*I1273</f>
        <v>71.67</v>
      </c>
      <c r="L1273" s="16" t="n">
        <f aca="false">H1273*J1273</f>
        <v>25.5</v>
      </c>
      <c r="M1273" s="16" t="n">
        <f aca="false">K1273-L1273</f>
        <v>46.17</v>
      </c>
      <c r="N1273" s="17" t="n">
        <f aca="false">IFERROR(M1273/K1273,0)</f>
        <v>0.644202595228129</v>
      </c>
    </row>
    <row r="1274" customFormat="false" ht="15" hidden="false" customHeight="false" outlineLevel="0" collapsed="false">
      <c r="A1274" s="15" t="n">
        <v>46076</v>
      </c>
      <c r="B1274" s="14" t="s">
        <v>88</v>
      </c>
      <c r="C1274" s="14" t="s">
        <v>89</v>
      </c>
      <c r="D1274" s="14" t="s">
        <v>44</v>
      </c>
      <c r="E1274" s="14" t="s">
        <v>76</v>
      </c>
      <c r="F1274" s="14" t="s">
        <v>77</v>
      </c>
      <c r="G1274" s="14" t="s">
        <v>78</v>
      </c>
      <c r="H1274" s="0" t="n">
        <v>3</v>
      </c>
      <c r="I1274" s="16" t="n">
        <v>38.88</v>
      </c>
      <c r="J1274" s="16" t="n">
        <v>15</v>
      </c>
      <c r="K1274" s="16" t="n">
        <f aca="false">H1274*I1274</f>
        <v>116.64</v>
      </c>
      <c r="L1274" s="16" t="n">
        <f aca="false">H1274*J1274</f>
        <v>45</v>
      </c>
      <c r="M1274" s="16" t="n">
        <f aca="false">K1274-L1274</f>
        <v>71.64</v>
      </c>
      <c r="N1274" s="17" t="n">
        <f aca="false">IFERROR(M1274/K1274,0)</f>
        <v>0.614197530864198</v>
      </c>
    </row>
    <row r="1275" customFormat="false" ht="15" hidden="false" customHeight="false" outlineLevel="0" collapsed="false">
      <c r="A1275" s="15" t="n">
        <v>46076</v>
      </c>
      <c r="B1275" s="14" t="s">
        <v>88</v>
      </c>
      <c r="C1275" s="14" t="s">
        <v>89</v>
      </c>
      <c r="D1275" s="14" t="s">
        <v>44</v>
      </c>
      <c r="E1275" s="14" t="s">
        <v>56</v>
      </c>
      <c r="F1275" s="14" t="s">
        <v>67</v>
      </c>
      <c r="G1275" s="14" t="s">
        <v>68</v>
      </c>
      <c r="H1275" s="0" t="n">
        <v>8</v>
      </c>
      <c r="I1275" s="16" t="n">
        <v>35.11</v>
      </c>
      <c r="J1275" s="16" t="n">
        <v>15</v>
      </c>
      <c r="K1275" s="16" t="n">
        <f aca="false">H1275*I1275</f>
        <v>280.88</v>
      </c>
      <c r="L1275" s="16" t="n">
        <f aca="false">H1275*J1275</f>
        <v>120</v>
      </c>
      <c r="M1275" s="16" t="n">
        <f aca="false">K1275-L1275</f>
        <v>160.88</v>
      </c>
      <c r="N1275" s="17" t="n">
        <f aca="false">IFERROR(M1275/K1275,0)</f>
        <v>0.572771290230704</v>
      </c>
    </row>
    <row r="1276" customFormat="false" ht="15" hidden="false" customHeight="false" outlineLevel="0" collapsed="false">
      <c r="A1276" s="15" t="n">
        <v>46076</v>
      </c>
      <c r="B1276" s="14" t="s">
        <v>88</v>
      </c>
      <c r="C1276" s="14" t="s">
        <v>89</v>
      </c>
      <c r="D1276" s="14" t="s">
        <v>44</v>
      </c>
      <c r="E1276" s="14" t="s">
        <v>45</v>
      </c>
      <c r="F1276" s="14" t="s">
        <v>72</v>
      </c>
      <c r="G1276" s="14" t="s">
        <v>73</v>
      </c>
      <c r="H1276" s="0" t="n">
        <v>1</v>
      </c>
      <c r="I1276" s="16" t="n">
        <v>48.28</v>
      </c>
      <c r="J1276" s="16" t="n">
        <v>21</v>
      </c>
      <c r="K1276" s="16" t="n">
        <f aca="false">H1276*I1276</f>
        <v>48.28</v>
      </c>
      <c r="L1276" s="16" t="n">
        <f aca="false">H1276*J1276</f>
        <v>21</v>
      </c>
      <c r="M1276" s="16" t="n">
        <f aca="false">K1276-L1276</f>
        <v>27.28</v>
      </c>
      <c r="N1276" s="17" t="n">
        <f aca="false">IFERROR(M1276/K1276,0)</f>
        <v>0.565037282518641</v>
      </c>
    </row>
    <row r="1277" customFormat="false" ht="15" hidden="false" customHeight="false" outlineLevel="0" collapsed="false">
      <c r="A1277" s="15" t="n">
        <v>46076</v>
      </c>
      <c r="B1277" s="14" t="s">
        <v>88</v>
      </c>
      <c r="C1277" s="14" t="s">
        <v>89</v>
      </c>
      <c r="D1277" s="14" t="s">
        <v>44</v>
      </c>
      <c r="E1277" s="14" t="s">
        <v>45</v>
      </c>
      <c r="F1277" s="14" t="s">
        <v>48</v>
      </c>
      <c r="G1277" s="14" t="s">
        <v>49</v>
      </c>
      <c r="H1277" s="0" t="n">
        <v>7</v>
      </c>
      <c r="I1277" s="16" t="n">
        <v>64.69</v>
      </c>
      <c r="J1277" s="16" t="n">
        <v>27.5</v>
      </c>
      <c r="K1277" s="16" t="n">
        <f aca="false">H1277*I1277</f>
        <v>452.83</v>
      </c>
      <c r="L1277" s="16" t="n">
        <f aca="false">H1277*J1277</f>
        <v>192.5</v>
      </c>
      <c r="M1277" s="16" t="n">
        <f aca="false">K1277-L1277</f>
        <v>260.33</v>
      </c>
      <c r="N1277" s="17" t="n">
        <f aca="false">IFERROR(M1277/K1277,0)</f>
        <v>0.574895656206523</v>
      </c>
    </row>
    <row r="1278" customFormat="false" ht="15" hidden="false" customHeight="false" outlineLevel="0" collapsed="false">
      <c r="A1278" s="15" t="n">
        <v>46076</v>
      </c>
      <c r="B1278" s="14" t="s">
        <v>88</v>
      </c>
      <c r="C1278" s="14" t="s">
        <v>89</v>
      </c>
      <c r="D1278" s="14" t="s">
        <v>44</v>
      </c>
      <c r="E1278" s="14" t="s">
        <v>56</v>
      </c>
      <c r="F1278" s="14" t="s">
        <v>57</v>
      </c>
      <c r="G1278" s="14" t="s">
        <v>58</v>
      </c>
      <c r="H1278" s="0" t="n">
        <v>6</v>
      </c>
      <c r="I1278" s="16" t="n">
        <v>25.51</v>
      </c>
      <c r="J1278" s="16" t="n">
        <v>10</v>
      </c>
      <c r="K1278" s="16" t="n">
        <f aca="false">H1278*I1278</f>
        <v>153.06</v>
      </c>
      <c r="L1278" s="16" t="n">
        <f aca="false">H1278*J1278</f>
        <v>60</v>
      </c>
      <c r="M1278" s="16" t="n">
        <f aca="false">K1278-L1278</f>
        <v>93.06</v>
      </c>
      <c r="N1278" s="17" t="n">
        <f aca="false">IFERROR(M1278/K1278,0)</f>
        <v>0.607996863974912</v>
      </c>
    </row>
    <row r="1279" customFormat="false" ht="15" hidden="false" customHeight="false" outlineLevel="0" collapsed="false">
      <c r="A1279" s="15" t="n">
        <v>46077</v>
      </c>
      <c r="B1279" s="14" t="s">
        <v>42</v>
      </c>
      <c r="C1279" s="14" t="s">
        <v>43</v>
      </c>
      <c r="D1279" s="14" t="s">
        <v>44</v>
      </c>
      <c r="E1279" s="14" t="s">
        <v>56</v>
      </c>
      <c r="F1279" s="14" t="s">
        <v>98</v>
      </c>
      <c r="G1279" s="14" t="s">
        <v>99</v>
      </c>
      <c r="H1279" s="0" t="n">
        <v>10</v>
      </c>
      <c r="I1279" s="16" t="n">
        <v>21.24</v>
      </c>
      <c r="J1279" s="16" t="n">
        <v>8</v>
      </c>
      <c r="K1279" s="16" t="n">
        <f aca="false">H1279*I1279</f>
        <v>212.4</v>
      </c>
      <c r="L1279" s="16" t="n">
        <f aca="false">H1279*J1279</f>
        <v>80</v>
      </c>
      <c r="M1279" s="16" t="n">
        <f aca="false">K1279-L1279</f>
        <v>132.4</v>
      </c>
      <c r="N1279" s="17" t="n">
        <f aca="false">IFERROR(M1279/K1279,0)</f>
        <v>0.623352165725047</v>
      </c>
    </row>
    <row r="1280" customFormat="false" ht="15" hidden="false" customHeight="false" outlineLevel="0" collapsed="false">
      <c r="A1280" s="15" t="n">
        <v>46077</v>
      </c>
      <c r="B1280" s="14" t="s">
        <v>42</v>
      </c>
      <c r="C1280" s="14" t="s">
        <v>43</v>
      </c>
      <c r="D1280" s="14" t="s">
        <v>44</v>
      </c>
      <c r="E1280" s="14" t="s">
        <v>45</v>
      </c>
      <c r="F1280" s="14" t="s">
        <v>72</v>
      </c>
      <c r="G1280" s="14" t="s">
        <v>73</v>
      </c>
      <c r="H1280" s="0" t="n">
        <v>2</v>
      </c>
      <c r="I1280" s="16" t="n">
        <v>49.74</v>
      </c>
      <c r="J1280" s="16" t="n">
        <v>21</v>
      </c>
      <c r="K1280" s="16" t="n">
        <f aca="false">H1280*I1280</f>
        <v>99.48</v>
      </c>
      <c r="L1280" s="16" t="n">
        <f aca="false">H1280*J1280</f>
        <v>42</v>
      </c>
      <c r="M1280" s="16" t="n">
        <f aca="false">K1280-L1280</f>
        <v>57.48</v>
      </c>
      <c r="N1280" s="17" t="n">
        <f aca="false">IFERROR(M1280/K1280,0)</f>
        <v>0.577804583835947</v>
      </c>
    </row>
    <row r="1281" customFormat="false" ht="15" hidden="false" customHeight="false" outlineLevel="0" collapsed="false">
      <c r="A1281" s="15" t="n">
        <v>46077</v>
      </c>
      <c r="B1281" s="14" t="s">
        <v>42</v>
      </c>
      <c r="C1281" s="14" t="s">
        <v>43</v>
      </c>
      <c r="D1281" s="14" t="s">
        <v>44</v>
      </c>
      <c r="E1281" s="14" t="s">
        <v>64</v>
      </c>
      <c r="F1281" s="14" t="s">
        <v>90</v>
      </c>
      <c r="G1281" s="14" t="s">
        <v>91</v>
      </c>
      <c r="H1281" s="0" t="n">
        <v>4</v>
      </c>
      <c r="I1281" s="16" t="n">
        <v>11.95</v>
      </c>
      <c r="J1281" s="16" t="n">
        <v>3.5</v>
      </c>
      <c r="K1281" s="16" t="n">
        <f aca="false">H1281*I1281</f>
        <v>47.8</v>
      </c>
      <c r="L1281" s="16" t="n">
        <f aca="false">H1281*J1281</f>
        <v>14</v>
      </c>
      <c r="M1281" s="16" t="n">
        <f aca="false">K1281-L1281</f>
        <v>33.8</v>
      </c>
      <c r="N1281" s="17" t="n">
        <f aca="false">IFERROR(M1281/K1281,0)</f>
        <v>0.707112970711297</v>
      </c>
    </row>
    <row r="1282" customFormat="false" ht="15" hidden="false" customHeight="false" outlineLevel="0" collapsed="false">
      <c r="A1282" s="15" t="n">
        <v>46077</v>
      </c>
      <c r="B1282" s="14" t="s">
        <v>50</v>
      </c>
      <c r="C1282" s="14" t="s">
        <v>51</v>
      </c>
      <c r="D1282" s="14" t="s">
        <v>52</v>
      </c>
      <c r="E1282" s="14" t="s">
        <v>56</v>
      </c>
      <c r="F1282" s="14" t="s">
        <v>67</v>
      </c>
      <c r="G1282" s="14" t="s">
        <v>68</v>
      </c>
      <c r="H1282" s="0" t="n">
        <v>7</v>
      </c>
      <c r="I1282" s="16" t="n">
        <v>36.15</v>
      </c>
      <c r="J1282" s="16" t="n">
        <v>15</v>
      </c>
      <c r="K1282" s="16" t="n">
        <f aca="false">H1282*I1282</f>
        <v>253.05</v>
      </c>
      <c r="L1282" s="16" t="n">
        <f aca="false">H1282*J1282</f>
        <v>105</v>
      </c>
      <c r="M1282" s="16" t="n">
        <f aca="false">K1282-L1282</f>
        <v>148.05</v>
      </c>
      <c r="N1282" s="17" t="n">
        <f aca="false">IFERROR(M1282/K1282,0)</f>
        <v>0.5850622406639</v>
      </c>
    </row>
    <row r="1283" customFormat="false" ht="15" hidden="false" customHeight="false" outlineLevel="0" collapsed="false">
      <c r="A1283" s="15" t="n">
        <v>46077</v>
      </c>
      <c r="B1283" s="14" t="s">
        <v>50</v>
      </c>
      <c r="C1283" s="14" t="s">
        <v>51</v>
      </c>
      <c r="D1283" s="14" t="s">
        <v>52</v>
      </c>
      <c r="E1283" s="14" t="s">
        <v>76</v>
      </c>
      <c r="F1283" s="14" t="s">
        <v>102</v>
      </c>
      <c r="G1283" s="14" t="s">
        <v>103</v>
      </c>
      <c r="H1283" s="0" t="n">
        <v>8</v>
      </c>
      <c r="I1283" s="16" t="n">
        <v>23.02</v>
      </c>
      <c r="J1283" s="16" t="n">
        <v>8.5</v>
      </c>
      <c r="K1283" s="16" t="n">
        <f aca="false">H1283*I1283</f>
        <v>184.16</v>
      </c>
      <c r="L1283" s="16" t="n">
        <f aca="false">H1283*J1283</f>
        <v>68</v>
      </c>
      <c r="M1283" s="16" t="n">
        <f aca="false">K1283-L1283</f>
        <v>116.16</v>
      </c>
      <c r="N1283" s="17" t="n">
        <f aca="false">IFERROR(M1283/K1283,0)</f>
        <v>0.630755864465682</v>
      </c>
    </row>
    <row r="1284" customFormat="false" ht="15" hidden="false" customHeight="false" outlineLevel="0" collapsed="false">
      <c r="A1284" s="15" t="n">
        <v>46077</v>
      </c>
      <c r="B1284" s="14" t="s">
        <v>50</v>
      </c>
      <c r="C1284" s="14" t="s">
        <v>51</v>
      </c>
      <c r="D1284" s="14" t="s">
        <v>52</v>
      </c>
      <c r="E1284" s="14" t="s">
        <v>45</v>
      </c>
      <c r="F1284" s="14" t="s">
        <v>72</v>
      </c>
      <c r="G1284" s="14" t="s">
        <v>73</v>
      </c>
      <c r="H1284" s="0" t="n">
        <v>2</v>
      </c>
      <c r="I1284" s="16" t="n">
        <v>49.3</v>
      </c>
      <c r="J1284" s="16" t="n">
        <v>21</v>
      </c>
      <c r="K1284" s="16" t="n">
        <f aca="false">H1284*I1284</f>
        <v>98.6</v>
      </c>
      <c r="L1284" s="16" t="n">
        <f aca="false">H1284*J1284</f>
        <v>42</v>
      </c>
      <c r="M1284" s="16" t="n">
        <f aca="false">K1284-L1284</f>
        <v>56.6</v>
      </c>
      <c r="N1284" s="17" t="n">
        <f aca="false">IFERROR(M1284/K1284,0)</f>
        <v>0.574036511156187</v>
      </c>
    </row>
    <row r="1285" customFormat="false" ht="15" hidden="false" customHeight="false" outlineLevel="0" collapsed="false">
      <c r="A1285" s="15" t="n">
        <v>46077</v>
      </c>
      <c r="B1285" s="14" t="s">
        <v>59</v>
      </c>
      <c r="C1285" s="14" t="s">
        <v>60</v>
      </c>
      <c r="D1285" s="14" t="s">
        <v>61</v>
      </c>
      <c r="E1285" s="14" t="s">
        <v>53</v>
      </c>
      <c r="F1285" s="14" t="s">
        <v>92</v>
      </c>
      <c r="G1285" s="14" t="s">
        <v>93</v>
      </c>
      <c r="H1285" s="0" t="n">
        <v>5</v>
      </c>
      <c r="I1285" s="16" t="n">
        <v>116.2</v>
      </c>
      <c r="J1285" s="16" t="n">
        <v>52</v>
      </c>
      <c r="K1285" s="16" t="n">
        <f aca="false">H1285*I1285</f>
        <v>581</v>
      </c>
      <c r="L1285" s="16" t="n">
        <f aca="false">H1285*J1285</f>
        <v>260</v>
      </c>
      <c r="M1285" s="16" t="n">
        <f aca="false">K1285-L1285</f>
        <v>321</v>
      </c>
      <c r="N1285" s="17" t="n">
        <f aca="false">IFERROR(M1285/K1285,0)</f>
        <v>0.55249569707401</v>
      </c>
    </row>
    <row r="1286" customFormat="false" ht="15" hidden="false" customHeight="false" outlineLevel="0" collapsed="false">
      <c r="A1286" s="15" t="n">
        <v>46077</v>
      </c>
      <c r="B1286" s="14" t="s">
        <v>59</v>
      </c>
      <c r="C1286" s="14" t="s">
        <v>60</v>
      </c>
      <c r="D1286" s="14" t="s">
        <v>61</v>
      </c>
      <c r="E1286" s="14" t="s">
        <v>53</v>
      </c>
      <c r="F1286" s="14" t="s">
        <v>74</v>
      </c>
      <c r="G1286" s="14" t="s">
        <v>75</v>
      </c>
      <c r="H1286" s="0" t="n">
        <v>5</v>
      </c>
      <c r="I1286" s="16" t="n">
        <v>87.7</v>
      </c>
      <c r="J1286" s="16" t="n">
        <v>38</v>
      </c>
      <c r="K1286" s="16" t="n">
        <f aca="false">H1286*I1286</f>
        <v>438.5</v>
      </c>
      <c r="L1286" s="16" t="n">
        <f aca="false">H1286*J1286</f>
        <v>190</v>
      </c>
      <c r="M1286" s="16" t="n">
        <f aca="false">K1286-L1286</f>
        <v>248.5</v>
      </c>
      <c r="N1286" s="17" t="n">
        <f aca="false">IFERROR(M1286/K1286,0)</f>
        <v>0.566704675028506</v>
      </c>
    </row>
    <row r="1287" customFormat="false" ht="15" hidden="false" customHeight="false" outlineLevel="0" collapsed="false">
      <c r="A1287" s="15" t="n">
        <v>46077</v>
      </c>
      <c r="B1287" s="14" t="s">
        <v>59</v>
      </c>
      <c r="C1287" s="14" t="s">
        <v>60</v>
      </c>
      <c r="D1287" s="14" t="s">
        <v>61</v>
      </c>
      <c r="E1287" s="14" t="s">
        <v>45</v>
      </c>
      <c r="F1287" s="14" t="s">
        <v>46</v>
      </c>
      <c r="G1287" s="14" t="s">
        <v>47</v>
      </c>
      <c r="H1287" s="0" t="n">
        <v>2</v>
      </c>
      <c r="I1287" s="16" t="n">
        <v>44.25</v>
      </c>
      <c r="J1287" s="16" t="n">
        <v>18</v>
      </c>
      <c r="K1287" s="16" t="n">
        <f aca="false">H1287*I1287</f>
        <v>88.5</v>
      </c>
      <c r="L1287" s="16" t="n">
        <f aca="false">H1287*J1287</f>
        <v>36</v>
      </c>
      <c r="M1287" s="16" t="n">
        <f aca="false">K1287-L1287</f>
        <v>52.5</v>
      </c>
      <c r="N1287" s="17" t="n">
        <f aca="false">IFERROR(M1287/K1287,0)</f>
        <v>0.593220338983051</v>
      </c>
    </row>
    <row r="1288" customFormat="false" ht="15" hidden="false" customHeight="false" outlineLevel="0" collapsed="false">
      <c r="A1288" s="15" t="n">
        <v>46077</v>
      </c>
      <c r="B1288" s="14" t="s">
        <v>59</v>
      </c>
      <c r="C1288" s="14" t="s">
        <v>60</v>
      </c>
      <c r="D1288" s="14" t="s">
        <v>61</v>
      </c>
      <c r="E1288" s="14" t="s">
        <v>56</v>
      </c>
      <c r="F1288" s="14" t="s">
        <v>57</v>
      </c>
      <c r="G1288" s="14" t="s">
        <v>58</v>
      </c>
      <c r="H1288" s="0" t="n">
        <v>6</v>
      </c>
      <c r="I1288" s="16" t="n">
        <v>26.12</v>
      </c>
      <c r="J1288" s="16" t="n">
        <v>10</v>
      </c>
      <c r="K1288" s="16" t="n">
        <f aca="false">H1288*I1288</f>
        <v>156.72</v>
      </c>
      <c r="L1288" s="16" t="n">
        <f aca="false">H1288*J1288</f>
        <v>60</v>
      </c>
      <c r="M1288" s="16" t="n">
        <f aca="false">K1288-L1288</f>
        <v>96.72</v>
      </c>
      <c r="N1288" s="17" t="n">
        <f aca="false">IFERROR(M1288/K1288,0)</f>
        <v>0.617151607963247</v>
      </c>
    </row>
    <row r="1289" customFormat="false" ht="15" hidden="false" customHeight="false" outlineLevel="0" collapsed="false">
      <c r="A1289" s="15" t="n">
        <v>46077</v>
      </c>
      <c r="B1289" s="14" t="s">
        <v>59</v>
      </c>
      <c r="C1289" s="14" t="s">
        <v>60</v>
      </c>
      <c r="D1289" s="14" t="s">
        <v>61</v>
      </c>
      <c r="E1289" s="14" t="s">
        <v>53</v>
      </c>
      <c r="F1289" s="14" t="s">
        <v>54</v>
      </c>
      <c r="G1289" s="14" t="s">
        <v>55</v>
      </c>
      <c r="H1289" s="0" t="n">
        <v>2</v>
      </c>
      <c r="I1289" s="16" t="n">
        <v>54.89</v>
      </c>
      <c r="J1289" s="16" t="n">
        <v>22</v>
      </c>
      <c r="K1289" s="16" t="n">
        <f aca="false">H1289*I1289</f>
        <v>109.78</v>
      </c>
      <c r="L1289" s="16" t="n">
        <f aca="false">H1289*J1289</f>
        <v>44</v>
      </c>
      <c r="M1289" s="16" t="n">
        <f aca="false">K1289-L1289</f>
        <v>65.78</v>
      </c>
      <c r="N1289" s="17" t="n">
        <f aca="false">IFERROR(M1289/K1289,0)</f>
        <v>0.599198396793587</v>
      </c>
    </row>
    <row r="1290" customFormat="false" ht="15" hidden="false" customHeight="false" outlineLevel="0" collapsed="false">
      <c r="A1290" s="15" t="n">
        <v>46077</v>
      </c>
      <c r="B1290" s="14" t="s">
        <v>69</v>
      </c>
      <c r="C1290" s="14" t="s">
        <v>70</v>
      </c>
      <c r="D1290" s="14" t="s">
        <v>71</v>
      </c>
      <c r="E1290" s="14" t="s">
        <v>45</v>
      </c>
      <c r="F1290" s="14" t="s">
        <v>46</v>
      </c>
      <c r="G1290" s="14" t="s">
        <v>47</v>
      </c>
      <c r="H1290" s="0" t="n">
        <v>3</v>
      </c>
      <c r="I1290" s="16" t="n">
        <v>44.33</v>
      </c>
      <c r="J1290" s="16" t="n">
        <v>18</v>
      </c>
      <c r="K1290" s="16" t="n">
        <f aca="false">H1290*I1290</f>
        <v>132.99</v>
      </c>
      <c r="L1290" s="16" t="n">
        <f aca="false">H1290*J1290</f>
        <v>54</v>
      </c>
      <c r="M1290" s="16" t="n">
        <f aca="false">K1290-L1290</f>
        <v>78.99</v>
      </c>
      <c r="N1290" s="17" t="n">
        <f aca="false">IFERROR(M1290/K1290,0)</f>
        <v>0.59395443266411</v>
      </c>
    </row>
    <row r="1291" customFormat="false" ht="15" hidden="false" customHeight="false" outlineLevel="0" collapsed="false">
      <c r="A1291" s="15" t="n">
        <v>46077</v>
      </c>
      <c r="B1291" s="14" t="s">
        <v>69</v>
      </c>
      <c r="C1291" s="14" t="s">
        <v>70</v>
      </c>
      <c r="D1291" s="14" t="s">
        <v>71</v>
      </c>
      <c r="E1291" s="14" t="s">
        <v>56</v>
      </c>
      <c r="F1291" s="14" t="s">
        <v>57</v>
      </c>
      <c r="G1291" s="14" t="s">
        <v>58</v>
      </c>
      <c r="H1291" s="0" t="n">
        <v>6</v>
      </c>
      <c r="I1291" s="16" t="n">
        <v>26.07</v>
      </c>
      <c r="J1291" s="16" t="n">
        <v>10</v>
      </c>
      <c r="K1291" s="16" t="n">
        <f aca="false">H1291*I1291</f>
        <v>156.42</v>
      </c>
      <c r="L1291" s="16" t="n">
        <f aca="false">H1291*J1291</f>
        <v>60</v>
      </c>
      <c r="M1291" s="16" t="n">
        <f aca="false">K1291-L1291</f>
        <v>96.42</v>
      </c>
      <c r="N1291" s="17" t="n">
        <f aca="false">IFERROR(M1291/K1291,0)</f>
        <v>0.616417337936325</v>
      </c>
    </row>
    <row r="1292" customFormat="false" ht="15" hidden="false" customHeight="false" outlineLevel="0" collapsed="false">
      <c r="A1292" s="15" t="n">
        <v>46077</v>
      </c>
      <c r="B1292" s="14" t="s">
        <v>69</v>
      </c>
      <c r="C1292" s="14" t="s">
        <v>70</v>
      </c>
      <c r="D1292" s="14" t="s">
        <v>71</v>
      </c>
      <c r="E1292" s="14" t="s">
        <v>76</v>
      </c>
      <c r="F1292" s="14" t="s">
        <v>77</v>
      </c>
      <c r="G1292" s="14" t="s">
        <v>78</v>
      </c>
      <c r="H1292" s="0" t="n">
        <v>2</v>
      </c>
      <c r="I1292" s="16" t="n">
        <v>40.87</v>
      </c>
      <c r="J1292" s="16" t="n">
        <v>15</v>
      </c>
      <c r="K1292" s="16" t="n">
        <f aca="false">H1292*I1292</f>
        <v>81.74</v>
      </c>
      <c r="L1292" s="16" t="n">
        <f aca="false">H1292*J1292</f>
        <v>30</v>
      </c>
      <c r="M1292" s="16" t="n">
        <f aca="false">K1292-L1292</f>
        <v>51.74</v>
      </c>
      <c r="N1292" s="17" t="n">
        <f aca="false">IFERROR(M1292/K1292,0)</f>
        <v>0.632982627844385</v>
      </c>
    </row>
    <row r="1293" customFormat="false" ht="15" hidden="false" customHeight="false" outlineLevel="0" collapsed="false">
      <c r="A1293" s="15" t="n">
        <v>46077</v>
      </c>
      <c r="B1293" s="14" t="s">
        <v>69</v>
      </c>
      <c r="C1293" s="14" t="s">
        <v>70</v>
      </c>
      <c r="D1293" s="14" t="s">
        <v>71</v>
      </c>
      <c r="E1293" s="14" t="s">
        <v>45</v>
      </c>
      <c r="F1293" s="14" t="s">
        <v>72</v>
      </c>
      <c r="G1293" s="14" t="s">
        <v>73</v>
      </c>
      <c r="H1293" s="0" t="n">
        <v>2</v>
      </c>
      <c r="I1293" s="16" t="n">
        <v>50.3</v>
      </c>
      <c r="J1293" s="16" t="n">
        <v>21</v>
      </c>
      <c r="K1293" s="16" t="n">
        <f aca="false">H1293*I1293</f>
        <v>100.6</v>
      </c>
      <c r="L1293" s="16" t="n">
        <f aca="false">H1293*J1293</f>
        <v>42</v>
      </c>
      <c r="M1293" s="16" t="n">
        <f aca="false">K1293-L1293</f>
        <v>58.6</v>
      </c>
      <c r="N1293" s="17" t="n">
        <f aca="false">IFERROR(M1293/K1293,0)</f>
        <v>0.582504970178926</v>
      </c>
    </row>
    <row r="1294" customFormat="false" ht="15" hidden="false" customHeight="false" outlineLevel="0" collapsed="false">
      <c r="A1294" s="15" t="n">
        <v>46077</v>
      </c>
      <c r="B1294" s="14" t="s">
        <v>69</v>
      </c>
      <c r="C1294" s="14" t="s">
        <v>70</v>
      </c>
      <c r="D1294" s="14" t="s">
        <v>71</v>
      </c>
      <c r="E1294" s="14" t="s">
        <v>64</v>
      </c>
      <c r="F1294" s="14" t="s">
        <v>94</v>
      </c>
      <c r="G1294" s="14" t="s">
        <v>95</v>
      </c>
      <c r="H1294" s="0" t="n">
        <v>1</v>
      </c>
      <c r="I1294" s="16" t="n">
        <v>97.59</v>
      </c>
      <c r="J1294" s="16" t="n">
        <v>42</v>
      </c>
      <c r="K1294" s="16" t="n">
        <f aca="false">H1294*I1294</f>
        <v>97.59</v>
      </c>
      <c r="L1294" s="16" t="n">
        <f aca="false">H1294*J1294</f>
        <v>42</v>
      </c>
      <c r="M1294" s="16" t="n">
        <f aca="false">K1294-L1294</f>
        <v>55.59</v>
      </c>
      <c r="N1294" s="17" t="n">
        <f aca="false">IFERROR(M1294/K1294,0)</f>
        <v>0.569628035659391</v>
      </c>
    </row>
    <row r="1295" customFormat="false" ht="15" hidden="false" customHeight="false" outlineLevel="0" collapsed="false">
      <c r="A1295" s="15" t="n">
        <v>46077</v>
      </c>
      <c r="B1295" s="14" t="s">
        <v>81</v>
      </c>
      <c r="C1295" s="14" t="s">
        <v>82</v>
      </c>
      <c r="D1295" s="14" t="s">
        <v>83</v>
      </c>
      <c r="E1295" s="14" t="s">
        <v>76</v>
      </c>
      <c r="F1295" s="14" t="s">
        <v>100</v>
      </c>
      <c r="G1295" s="14" t="s">
        <v>101</v>
      </c>
      <c r="H1295" s="0" t="n">
        <v>1</v>
      </c>
      <c r="I1295" s="16" t="n">
        <v>15.49</v>
      </c>
      <c r="J1295" s="16" t="n">
        <v>5.5</v>
      </c>
      <c r="K1295" s="16" t="n">
        <f aca="false">H1295*I1295</f>
        <v>15.49</v>
      </c>
      <c r="L1295" s="16" t="n">
        <f aca="false">H1295*J1295</f>
        <v>5.5</v>
      </c>
      <c r="M1295" s="16" t="n">
        <f aca="false">K1295-L1295</f>
        <v>9.99</v>
      </c>
      <c r="N1295" s="17" t="n">
        <f aca="false">IFERROR(M1295/K1295,0)</f>
        <v>0.644932214331827</v>
      </c>
    </row>
    <row r="1296" customFormat="false" ht="15" hidden="false" customHeight="false" outlineLevel="0" collapsed="false">
      <c r="A1296" s="15" t="n">
        <v>46077</v>
      </c>
      <c r="B1296" s="14" t="s">
        <v>81</v>
      </c>
      <c r="C1296" s="14" t="s">
        <v>82</v>
      </c>
      <c r="D1296" s="14" t="s">
        <v>83</v>
      </c>
      <c r="E1296" s="14" t="s">
        <v>56</v>
      </c>
      <c r="F1296" s="14" t="s">
        <v>57</v>
      </c>
      <c r="G1296" s="14" t="s">
        <v>58</v>
      </c>
      <c r="H1296" s="0" t="n">
        <v>4</v>
      </c>
      <c r="I1296" s="16" t="n">
        <v>25.91</v>
      </c>
      <c r="J1296" s="16" t="n">
        <v>10</v>
      </c>
      <c r="K1296" s="16" t="n">
        <f aca="false">H1296*I1296</f>
        <v>103.64</v>
      </c>
      <c r="L1296" s="16" t="n">
        <f aca="false">H1296*J1296</f>
        <v>40</v>
      </c>
      <c r="M1296" s="16" t="n">
        <f aca="false">K1296-L1296</f>
        <v>63.64</v>
      </c>
      <c r="N1296" s="17" t="n">
        <f aca="false">IFERROR(M1296/K1296,0)</f>
        <v>0.614048629872636</v>
      </c>
    </row>
    <row r="1297" customFormat="false" ht="15" hidden="false" customHeight="false" outlineLevel="0" collapsed="false">
      <c r="A1297" s="15" t="n">
        <v>46077</v>
      </c>
      <c r="B1297" s="14" t="s">
        <v>81</v>
      </c>
      <c r="C1297" s="14" t="s">
        <v>82</v>
      </c>
      <c r="D1297" s="14" t="s">
        <v>83</v>
      </c>
      <c r="E1297" s="14" t="s">
        <v>45</v>
      </c>
      <c r="F1297" s="14" t="s">
        <v>48</v>
      </c>
      <c r="G1297" s="14" t="s">
        <v>49</v>
      </c>
      <c r="H1297" s="0" t="n">
        <v>3</v>
      </c>
      <c r="I1297" s="16" t="n">
        <v>67</v>
      </c>
      <c r="J1297" s="16" t="n">
        <v>27.5</v>
      </c>
      <c r="K1297" s="16" t="n">
        <f aca="false">H1297*I1297</f>
        <v>201</v>
      </c>
      <c r="L1297" s="16" t="n">
        <f aca="false">H1297*J1297</f>
        <v>82.5</v>
      </c>
      <c r="M1297" s="16" t="n">
        <f aca="false">K1297-L1297</f>
        <v>118.5</v>
      </c>
      <c r="N1297" s="17" t="n">
        <f aca="false">IFERROR(M1297/K1297,0)</f>
        <v>0.58955223880597</v>
      </c>
    </row>
    <row r="1298" customFormat="false" ht="15" hidden="false" customHeight="false" outlineLevel="0" collapsed="false">
      <c r="A1298" s="15" t="n">
        <v>46077</v>
      </c>
      <c r="B1298" s="14" t="s">
        <v>88</v>
      </c>
      <c r="C1298" s="14" t="s">
        <v>89</v>
      </c>
      <c r="D1298" s="14" t="s">
        <v>44</v>
      </c>
      <c r="E1298" s="14" t="s">
        <v>45</v>
      </c>
      <c r="F1298" s="14" t="s">
        <v>62</v>
      </c>
      <c r="G1298" s="14" t="s">
        <v>63</v>
      </c>
      <c r="H1298" s="0" t="n">
        <v>3</v>
      </c>
      <c r="I1298" s="16" t="n">
        <v>17.21</v>
      </c>
      <c r="J1298" s="16" t="n">
        <v>6.5</v>
      </c>
      <c r="K1298" s="16" t="n">
        <f aca="false">H1298*I1298</f>
        <v>51.63</v>
      </c>
      <c r="L1298" s="16" t="n">
        <f aca="false">H1298*J1298</f>
        <v>19.5</v>
      </c>
      <c r="M1298" s="16" t="n">
        <f aca="false">K1298-L1298</f>
        <v>32.13</v>
      </c>
      <c r="N1298" s="17" t="n">
        <f aca="false">IFERROR(M1298/K1298,0)</f>
        <v>0.622312608948286</v>
      </c>
    </row>
    <row r="1299" customFormat="false" ht="15" hidden="false" customHeight="false" outlineLevel="0" collapsed="false">
      <c r="A1299" s="15" t="n">
        <v>46077</v>
      </c>
      <c r="B1299" s="14" t="s">
        <v>88</v>
      </c>
      <c r="C1299" s="14" t="s">
        <v>89</v>
      </c>
      <c r="D1299" s="14" t="s">
        <v>44</v>
      </c>
      <c r="E1299" s="14" t="s">
        <v>76</v>
      </c>
      <c r="F1299" s="14" t="s">
        <v>100</v>
      </c>
      <c r="G1299" s="14" t="s">
        <v>101</v>
      </c>
      <c r="H1299" s="0" t="n">
        <v>8</v>
      </c>
      <c r="I1299" s="16" t="n">
        <v>14.97</v>
      </c>
      <c r="J1299" s="16" t="n">
        <v>5.5</v>
      </c>
      <c r="K1299" s="16" t="n">
        <f aca="false">H1299*I1299</f>
        <v>119.76</v>
      </c>
      <c r="L1299" s="16" t="n">
        <f aca="false">H1299*J1299</f>
        <v>44</v>
      </c>
      <c r="M1299" s="16" t="n">
        <f aca="false">K1299-L1299</f>
        <v>75.76</v>
      </c>
      <c r="N1299" s="17" t="n">
        <f aca="false">IFERROR(M1299/K1299,0)</f>
        <v>0.632598530394122</v>
      </c>
    </row>
    <row r="1300" customFormat="false" ht="15" hidden="false" customHeight="false" outlineLevel="0" collapsed="false">
      <c r="A1300" s="15" t="n">
        <v>46077</v>
      </c>
      <c r="B1300" s="14" t="s">
        <v>88</v>
      </c>
      <c r="C1300" s="14" t="s">
        <v>89</v>
      </c>
      <c r="D1300" s="14" t="s">
        <v>44</v>
      </c>
      <c r="E1300" s="14" t="s">
        <v>76</v>
      </c>
      <c r="F1300" s="14" t="s">
        <v>102</v>
      </c>
      <c r="G1300" s="14" t="s">
        <v>103</v>
      </c>
      <c r="H1300" s="0" t="n">
        <v>5</v>
      </c>
      <c r="I1300" s="16" t="n">
        <v>23.84</v>
      </c>
      <c r="J1300" s="16" t="n">
        <v>8.5</v>
      </c>
      <c r="K1300" s="16" t="n">
        <f aca="false">H1300*I1300</f>
        <v>119.2</v>
      </c>
      <c r="L1300" s="16" t="n">
        <f aca="false">H1300*J1300</f>
        <v>42.5</v>
      </c>
      <c r="M1300" s="16" t="n">
        <f aca="false">K1300-L1300</f>
        <v>76.7</v>
      </c>
      <c r="N1300" s="17" t="n">
        <f aca="false">IFERROR(M1300/K1300,0)</f>
        <v>0.643456375838926</v>
      </c>
    </row>
    <row r="1301" customFormat="false" ht="15" hidden="false" customHeight="false" outlineLevel="0" collapsed="false">
      <c r="A1301" s="15" t="n">
        <v>46077</v>
      </c>
      <c r="B1301" s="14" t="s">
        <v>88</v>
      </c>
      <c r="C1301" s="14" t="s">
        <v>89</v>
      </c>
      <c r="D1301" s="14" t="s">
        <v>44</v>
      </c>
      <c r="E1301" s="14" t="s">
        <v>64</v>
      </c>
      <c r="F1301" s="14" t="s">
        <v>94</v>
      </c>
      <c r="G1301" s="14" t="s">
        <v>95</v>
      </c>
      <c r="H1301" s="0" t="n">
        <v>2</v>
      </c>
      <c r="I1301" s="16" t="n">
        <v>95.7</v>
      </c>
      <c r="J1301" s="16" t="n">
        <v>42</v>
      </c>
      <c r="K1301" s="16" t="n">
        <f aca="false">H1301*I1301</f>
        <v>191.4</v>
      </c>
      <c r="L1301" s="16" t="n">
        <f aca="false">H1301*J1301</f>
        <v>84</v>
      </c>
      <c r="M1301" s="16" t="n">
        <f aca="false">K1301-L1301</f>
        <v>107.4</v>
      </c>
      <c r="N1301" s="17" t="n">
        <f aca="false">IFERROR(M1301/K1301,0)</f>
        <v>0.561128526645768</v>
      </c>
    </row>
    <row r="1302" customFormat="false" ht="15" hidden="false" customHeight="false" outlineLevel="0" collapsed="false">
      <c r="A1302" s="15" t="n">
        <v>46077</v>
      </c>
      <c r="B1302" s="14" t="s">
        <v>88</v>
      </c>
      <c r="C1302" s="14" t="s">
        <v>89</v>
      </c>
      <c r="D1302" s="14" t="s">
        <v>44</v>
      </c>
      <c r="E1302" s="14" t="s">
        <v>56</v>
      </c>
      <c r="F1302" s="14" t="s">
        <v>57</v>
      </c>
      <c r="G1302" s="14" t="s">
        <v>58</v>
      </c>
      <c r="H1302" s="0" t="n">
        <v>3</v>
      </c>
      <c r="I1302" s="16" t="n">
        <v>26.68</v>
      </c>
      <c r="J1302" s="16" t="n">
        <v>10</v>
      </c>
      <c r="K1302" s="16" t="n">
        <f aca="false">H1302*I1302</f>
        <v>80.04</v>
      </c>
      <c r="L1302" s="16" t="n">
        <f aca="false">H1302*J1302</f>
        <v>30</v>
      </c>
      <c r="M1302" s="16" t="n">
        <f aca="false">K1302-L1302</f>
        <v>50.04</v>
      </c>
      <c r="N1302" s="17" t="n">
        <f aca="false">IFERROR(M1302/K1302,0)</f>
        <v>0.625187406296852</v>
      </c>
    </row>
    <row r="1303" customFormat="false" ht="15" hidden="false" customHeight="false" outlineLevel="0" collapsed="false">
      <c r="A1303" s="15" t="n">
        <v>46077</v>
      </c>
      <c r="B1303" s="14" t="s">
        <v>88</v>
      </c>
      <c r="C1303" s="14" t="s">
        <v>89</v>
      </c>
      <c r="D1303" s="14" t="s">
        <v>44</v>
      </c>
      <c r="E1303" s="14" t="s">
        <v>45</v>
      </c>
      <c r="F1303" s="14" t="s">
        <v>46</v>
      </c>
      <c r="G1303" s="14" t="s">
        <v>47</v>
      </c>
      <c r="H1303" s="0" t="n">
        <v>1</v>
      </c>
      <c r="I1303" s="16" t="n">
        <v>41.4</v>
      </c>
      <c r="J1303" s="16" t="n">
        <v>18</v>
      </c>
      <c r="K1303" s="16" t="n">
        <f aca="false">H1303*I1303</f>
        <v>41.4</v>
      </c>
      <c r="L1303" s="16" t="n">
        <f aca="false">H1303*J1303</f>
        <v>18</v>
      </c>
      <c r="M1303" s="16" t="n">
        <f aca="false">K1303-L1303</f>
        <v>23.4</v>
      </c>
      <c r="N1303" s="17" t="n">
        <f aca="false">IFERROR(M1303/K1303,0)</f>
        <v>0.565217391304348</v>
      </c>
    </row>
    <row r="1304" customFormat="false" ht="15" hidden="false" customHeight="false" outlineLevel="0" collapsed="false">
      <c r="A1304" s="15" t="n">
        <v>46078</v>
      </c>
      <c r="B1304" s="14" t="s">
        <v>42</v>
      </c>
      <c r="C1304" s="14" t="s">
        <v>43</v>
      </c>
      <c r="D1304" s="14" t="s">
        <v>44</v>
      </c>
      <c r="E1304" s="14" t="s">
        <v>76</v>
      </c>
      <c r="F1304" s="14" t="s">
        <v>79</v>
      </c>
      <c r="G1304" s="14" t="s">
        <v>80</v>
      </c>
      <c r="H1304" s="0" t="n">
        <v>6</v>
      </c>
      <c r="I1304" s="16" t="n">
        <v>29.68</v>
      </c>
      <c r="J1304" s="16" t="n">
        <v>11</v>
      </c>
      <c r="K1304" s="16" t="n">
        <f aca="false">H1304*I1304</f>
        <v>178.08</v>
      </c>
      <c r="L1304" s="16" t="n">
        <f aca="false">H1304*J1304</f>
        <v>66</v>
      </c>
      <c r="M1304" s="16" t="n">
        <f aca="false">K1304-L1304</f>
        <v>112.08</v>
      </c>
      <c r="N1304" s="17" t="n">
        <f aca="false">IFERROR(M1304/K1304,0)</f>
        <v>0.629380053908356</v>
      </c>
    </row>
    <row r="1305" customFormat="false" ht="15" hidden="false" customHeight="false" outlineLevel="0" collapsed="false">
      <c r="A1305" s="15" t="n">
        <v>46078</v>
      </c>
      <c r="B1305" s="14" t="s">
        <v>42</v>
      </c>
      <c r="C1305" s="14" t="s">
        <v>43</v>
      </c>
      <c r="D1305" s="14" t="s">
        <v>44</v>
      </c>
      <c r="E1305" s="14" t="s">
        <v>53</v>
      </c>
      <c r="F1305" s="14" t="s">
        <v>84</v>
      </c>
      <c r="G1305" s="14" t="s">
        <v>85</v>
      </c>
      <c r="H1305" s="0" t="n">
        <v>8</v>
      </c>
      <c r="I1305" s="16" t="n">
        <v>24.25</v>
      </c>
      <c r="J1305" s="16" t="n">
        <v>9</v>
      </c>
      <c r="K1305" s="16" t="n">
        <f aca="false">H1305*I1305</f>
        <v>194</v>
      </c>
      <c r="L1305" s="16" t="n">
        <f aca="false">H1305*J1305</f>
        <v>72</v>
      </c>
      <c r="M1305" s="16" t="n">
        <f aca="false">K1305-L1305</f>
        <v>122</v>
      </c>
      <c r="N1305" s="17" t="n">
        <f aca="false">IFERROR(M1305/K1305,0)</f>
        <v>0.628865979381443</v>
      </c>
    </row>
    <row r="1306" customFormat="false" ht="15" hidden="false" customHeight="false" outlineLevel="0" collapsed="false">
      <c r="A1306" s="15" t="n">
        <v>46078</v>
      </c>
      <c r="B1306" s="14" t="s">
        <v>42</v>
      </c>
      <c r="C1306" s="14" t="s">
        <v>43</v>
      </c>
      <c r="D1306" s="14" t="s">
        <v>44</v>
      </c>
      <c r="E1306" s="14" t="s">
        <v>64</v>
      </c>
      <c r="F1306" s="14" t="s">
        <v>90</v>
      </c>
      <c r="G1306" s="14" t="s">
        <v>91</v>
      </c>
      <c r="H1306" s="0" t="n">
        <v>7</v>
      </c>
      <c r="I1306" s="16" t="n">
        <v>11.46</v>
      </c>
      <c r="J1306" s="16" t="n">
        <v>3.5</v>
      </c>
      <c r="K1306" s="16" t="n">
        <f aca="false">H1306*I1306</f>
        <v>80.22</v>
      </c>
      <c r="L1306" s="16" t="n">
        <f aca="false">H1306*J1306</f>
        <v>24.5</v>
      </c>
      <c r="M1306" s="16" t="n">
        <f aca="false">K1306-L1306</f>
        <v>55.72</v>
      </c>
      <c r="N1306" s="17" t="n">
        <f aca="false">IFERROR(M1306/K1306,0)</f>
        <v>0.694589877835951</v>
      </c>
    </row>
    <row r="1307" customFormat="false" ht="15" hidden="false" customHeight="false" outlineLevel="0" collapsed="false">
      <c r="A1307" s="15" t="n">
        <v>46078</v>
      </c>
      <c r="B1307" s="14" t="s">
        <v>42</v>
      </c>
      <c r="C1307" s="14" t="s">
        <v>43</v>
      </c>
      <c r="D1307" s="14" t="s">
        <v>44</v>
      </c>
      <c r="E1307" s="14" t="s">
        <v>53</v>
      </c>
      <c r="F1307" s="14" t="s">
        <v>54</v>
      </c>
      <c r="G1307" s="14" t="s">
        <v>55</v>
      </c>
      <c r="H1307" s="0" t="n">
        <v>9</v>
      </c>
      <c r="I1307" s="16" t="n">
        <v>51.21</v>
      </c>
      <c r="J1307" s="16" t="n">
        <v>22</v>
      </c>
      <c r="K1307" s="16" t="n">
        <f aca="false">H1307*I1307</f>
        <v>460.89</v>
      </c>
      <c r="L1307" s="16" t="n">
        <f aca="false">H1307*J1307</f>
        <v>198</v>
      </c>
      <c r="M1307" s="16" t="n">
        <f aca="false">K1307-L1307</f>
        <v>262.89</v>
      </c>
      <c r="N1307" s="17" t="n">
        <f aca="false">IFERROR(M1307/K1307,0)</f>
        <v>0.570396406951767</v>
      </c>
    </row>
    <row r="1308" customFormat="false" ht="15" hidden="false" customHeight="false" outlineLevel="0" collapsed="false">
      <c r="A1308" s="15" t="n">
        <v>46078</v>
      </c>
      <c r="B1308" s="14" t="s">
        <v>42</v>
      </c>
      <c r="C1308" s="14" t="s">
        <v>43</v>
      </c>
      <c r="D1308" s="14" t="s">
        <v>44</v>
      </c>
      <c r="E1308" s="14" t="s">
        <v>56</v>
      </c>
      <c r="F1308" s="14" t="s">
        <v>57</v>
      </c>
      <c r="G1308" s="14" t="s">
        <v>58</v>
      </c>
      <c r="H1308" s="0" t="n">
        <v>8</v>
      </c>
      <c r="I1308" s="16" t="n">
        <v>26.65</v>
      </c>
      <c r="J1308" s="16" t="n">
        <v>10</v>
      </c>
      <c r="K1308" s="16" t="n">
        <f aca="false">H1308*I1308</f>
        <v>213.2</v>
      </c>
      <c r="L1308" s="16" t="n">
        <f aca="false">H1308*J1308</f>
        <v>80</v>
      </c>
      <c r="M1308" s="16" t="n">
        <f aca="false">K1308-L1308</f>
        <v>133.2</v>
      </c>
      <c r="N1308" s="17" t="n">
        <f aca="false">IFERROR(M1308/K1308,0)</f>
        <v>0.624765478424015</v>
      </c>
    </row>
    <row r="1309" customFormat="false" ht="15" hidden="false" customHeight="false" outlineLevel="0" collapsed="false">
      <c r="A1309" s="15" t="n">
        <v>46078</v>
      </c>
      <c r="B1309" s="14" t="s">
        <v>42</v>
      </c>
      <c r="C1309" s="14" t="s">
        <v>43</v>
      </c>
      <c r="D1309" s="14" t="s">
        <v>44</v>
      </c>
      <c r="E1309" s="14" t="s">
        <v>53</v>
      </c>
      <c r="F1309" s="14" t="s">
        <v>92</v>
      </c>
      <c r="G1309" s="14" t="s">
        <v>93</v>
      </c>
      <c r="H1309" s="0" t="n">
        <v>3</v>
      </c>
      <c r="I1309" s="16" t="n">
        <v>111.69</v>
      </c>
      <c r="J1309" s="16" t="n">
        <v>52</v>
      </c>
      <c r="K1309" s="16" t="n">
        <f aca="false">H1309*I1309</f>
        <v>335.07</v>
      </c>
      <c r="L1309" s="16" t="n">
        <f aca="false">H1309*J1309</f>
        <v>156</v>
      </c>
      <c r="M1309" s="16" t="n">
        <f aca="false">K1309-L1309</f>
        <v>179.07</v>
      </c>
      <c r="N1309" s="17" t="n">
        <f aca="false">IFERROR(M1309/K1309,0)</f>
        <v>0.53442564240308</v>
      </c>
    </row>
    <row r="1310" customFormat="false" ht="15" hidden="false" customHeight="false" outlineLevel="0" collapsed="false">
      <c r="A1310" s="15" t="n">
        <v>46078</v>
      </c>
      <c r="B1310" s="14" t="s">
        <v>50</v>
      </c>
      <c r="C1310" s="14" t="s">
        <v>51</v>
      </c>
      <c r="D1310" s="14" t="s">
        <v>52</v>
      </c>
      <c r="E1310" s="14" t="s">
        <v>45</v>
      </c>
      <c r="F1310" s="14" t="s">
        <v>62</v>
      </c>
      <c r="G1310" s="14" t="s">
        <v>63</v>
      </c>
      <c r="H1310" s="0" t="n">
        <v>8</v>
      </c>
      <c r="I1310" s="16" t="n">
        <v>17.51</v>
      </c>
      <c r="J1310" s="16" t="n">
        <v>6.5</v>
      </c>
      <c r="K1310" s="16" t="n">
        <f aca="false">H1310*I1310</f>
        <v>140.08</v>
      </c>
      <c r="L1310" s="16" t="n">
        <f aca="false">H1310*J1310</f>
        <v>52</v>
      </c>
      <c r="M1310" s="16" t="n">
        <f aca="false">K1310-L1310</f>
        <v>88.08</v>
      </c>
      <c r="N1310" s="17" t="n">
        <f aca="false">IFERROR(M1310/K1310,0)</f>
        <v>0.628783552255854</v>
      </c>
    </row>
    <row r="1311" customFormat="false" ht="15" hidden="false" customHeight="false" outlineLevel="0" collapsed="false">
      <c r="A1311" s="15" t="n">
        <v>46078</v>
      </c>
      <c r="B1311" s="14" t="s">
        <v>50</v>
      </c>
      <c r="C1311" s="14" t="s">
        <v>51</v>
      </c>
      <c r="D1311" s="14" t="s">
        <v>52</v>
      </c>
      <c r="E1311" s="14" t="s">
        <v>53</v>
      </c>
      <c r="F1311" s="14" t="s">
        <v>74</v>
      </c>
      <c r="G1311" s="14" t="s">
        <v>75</v>
      </c>
      <c r="H1311" s="0" t="n">
        <v>3</v>
      </c>
      <c r="I1311" s="16" t="n">
        <v>86.45</v>
      </c>
      <c r="J1311" s="16" t="n">
        <v>38</v>
      </c>
      <c r="K1311" s="16" t="n">
        <f aca="false">H1311*I1311</f>
        <v>259.35</v>
      </c>
      <c r="L1311" s="16" t="n">
        <f aca="false">H1311*J1311</f>
        <v>114</v>
      </c>
      <c r="M1311" s="16" t="n">
        <f aca="false">K1311-L1311</f>
        <v>145.35</v>
      </c>
      <c r="N1311" s="17" t="n">
        <f aca="false">IFERROR(M1311/K1311,0)</f>
        <v>0.56043956043956</v>
      </c>
    </row>
    <row r="1312" customFormat="false" ht="15" hidden="false" customHeight="false" outlineLevel="0" collapsed="false">
      <c r="A1312" s="15" t="n">
        <v>46078</v>
      </c>
      <c r="B1312" s="14" t="s">
        <v>59</v>
      </c>
      <c r="C1312" s="14" t="s">
        <v>60</v>
      </c>
      <c r="D1312" s="14" t="s">
        <v>61</v>
      </c>
      <c r="E1312" s="14" t="s">
        <v>64</v>
      </c>
      <c r="F1312" s="14" t="s">
        <v>90</v>
      </c>
      <c r="G1312" s="14" t="s">
        <v>91</v>
      </c>
      <c r="H1312" s="0" t="n">
        <v>2</v>
      </c>
      <c r="I1312" s="16" t="n">
        <v>11.48</v>
      </c>
      <c r="J1312" s="16" t="n">
        <v>3.5</v>
      </c>
      <c r="K1312" s="16" t="n">
        <f aca="false">H1312*I1312</f>
        <v>22.96</v>
      </c>
      <c r="L1312" s="16" t="n">
        <f aca="false">H1312*J1312</f>
        <v>7</v>
      </c>
      <c r="M1312" s="16" t="n">
        <f aca="false">K1312-L1312</f>
        <v>15.96</v>
      </c>
      <c r="N1312" s="17" t="n">
        <f aca="false">IFERROR(M1312/K1312,0)</f>
        <v>0.695121951219512</v>
      </c>
    </row>
    <row r="1313" customFormat="false" ht="15" hidden="false" customHeight="false" outlineLevel="0" collapsed="false">
      <c r="A1313" s="15" t="n">
        <v>46078</v>
      </c>
      <c r="B1313" s="14" t="s">
        <v>59</v>
      </c>
      <c r="C1313" s="14" t="s">
        <v>60</v>
      </c>
      <c r="D1313" s="14" t="s">
        <v>61</v>
      </c>
      <c r="E1313" s="14" t="s">
        <v>64</v>
      </c>
      <c r="F1313" s="14" t="s">
        <v>90</v>
      </c>
      <c r="G1313" s="14" t="s">
        <v>91</v>
      </c>
      <c r="H1313" s="0" t="n">
        <v>5</v>
      </c>
      <c r="I1313" s="16" t="n">
        <v>11.38</v>
      </c>
      <c r="J1313" s="16" t="n">
        <v>3.5</v>
      </c>
      <c r="K1313" s="16" t="n">
        <f aca="false">H1313*I1313</f>
        <v>56.9</v>
      </c>
      <c r="L1313" s="16" t="n">
        <f aca="false">H1313*J1313</f>
        <v>17.5</v>
      </c>
      <c r="M1313" s="16" t="n">
        <f aca="false">K1313-L1313</f>
        <v>39.4</v>
      </c>
      <c r="N1313" s="17" t="n">
        <f aca="false">IFERROR(M1313/K1313,0)</f>
        <v>0.692442882249561</v>
      </c>
    </row>
    <row r="1314" customFormat="false" ht="15" hidden="false" customHeight="false" outlineLevel="0" collapsed="false">
      <c r="A1314" s="15" t="n">
        <v>46078</v>
      </c>
      <c r="B1314" s="14" t="s">
        <v>59</v>
      </c>
      <c r="C1314" s="14" t="s">
        <v>60</v>
      </c>
      <c r="D1314" s="14" t="s">
        <v>61</v>
      </c>
      <c r="E1314" s="14" t="s">
        <v>53</v>
      </c>
      <c r="F1314" s="14" t="s">
        <v>84</v>
      </c>
      <c r="G1314" s="14" t="s">
        <v>85</v>
      </c>
      <c r="H1314" s="0" t="n">
        <v>1</v>
      </c>
      <c r="I1314" s="16" t="n">
        <v>24.16</v>
      </c>
      <c r="J1314" s="16" t="n">
        <v>9</v>
      </c>
      <c r="K1314" s="16" t="n">
        <f aca="false">H1314*I1314</f>
        <v>24.16</v>
      </c>
      <c r="L1314" s="16" t="n">
        <f aca="false">H1314*J1314</f>
        <v>9</v>
      </c>
      <c r="M1314" s="16" t="n">
        <f aca="false">K1314-L1314</f>
        <v>15.16</v>
      </c>
      <c r="N1314" s="17" t="n">
        <f aca="false">IFERROR(M1314/K1314,0)</f>
        <v>0.627483443708609</v>
      </c>
    </row>
    <row r="1315" customFormat="false" ht="15" hidden="false" customHeight="false" outlineLevel="0" collapsed="false">
      <c r="A1315" s="15" t="n">
        <v>46078</v>
      </c>
      <c r="B1315" s="14" t="s">
        <v>59</v>
      </c>
      <c r="C1315" s="14" t="s">
        <v>60</v>
      </c>
      <c r="D1315" s="14" t="s">
        <v>61</v>
      </c>
      <c r="E1315" s="14" t="s">
        <v>53</v>
      </c>
      <c r="F1315" s="14" t="s">
        <v>92</v>
      </c>
      <c r="G1315" s="14" t="s">
        <v>93</v>
      </c>
      <c r="H1315" s="0" t="n">
        <v>5</v>
      </c>
      <c r="I1315" s="16" t="n">
        <v>119.3</v>
      </c>
      <c r="J1315" s="16" t="n">
        <v>52</v>
      </c>
      <c r="K1315" s="16" t="n">
        <f aca="false">H1315*I1315</f>
        <v>596.5</v>
      </c>
      <c r="L1315" s="16" t="n">
        <f aca="false">H1315*J1315</f>
        <v>260</v>
      </c>
      <c r="M1315" s="16" t="n">
        <f aca="false">K1315-L1315</f>
        <v>336.5</v>
      </c>
      <c r="N1315" s="17" t="n">
        <f aca="false">IFERROR(M1315/K1315,0)</f>
        <v>0.564124056999162</v>
      </c>
    </row>
    <row r="1316" customFormat="false" ht="15" hidden="false" customHeight="false" outlineLevel="0" collapsed="false">
      <c r="A1316" s="15" t="n">
        <v>46078</v>
      </c>
      <c r="B1316" s="14" t="s">
        <v>59</v>
      </c>
      <c r="C1316" s="14" t="s">
        <v>60</v>
      </c>
      <c r="D1316" s="14" t="s">
        <v>61</v>
      </c>
      <c r="E1316" s="14" t="s">
        <v>56</v>
      </c>
      <c r="F1316" s="14" t="s">
        <v>67</v>
      </c>
      <c r="G1316" s="14" t="s">
        <v>68</v>
      </c>
      <c r="H1316" s="0" t="n">
        <v>1</v>
      </c>
      <c r="I1316" s="16" t="n">
        <v>37.93</v>
      </c>
      <c r="J1316" s="16" t="n">
        <v>15</v>
      </c>
      <c r="K1316" s="16" t="n">
        <f aca="false">H1316*I1316</f>
        <v>37.93</v>
      </c>
      <c r="L1316" s="16" t="n">
        <f aca="false">H1316*J1316</f>
        <v>15</v>
      </c>
      <c r="M1316" s="16" t="n">
        <f aca="false">K1316-L1316</f>
        <v>22.93</v>
      </c>
      <c r="N1316" s="17" t="n">
        <f aca="false">IFERROR(M1316/K1316,0)</f>
        <v>0.60453466912734</v>
      </c>
    </row>
    <row r="1317" customFormat="false" ht="15" hidden="false" customHeight="false" outlineLevel="0" collapsed="false">
      <c r="A1317" s="15" t="n">
        <v>46078</v>
      </c>
      <c r="B1317" s="14" t="s">
        <v>69</v>
      </c>
      <c r="C1317" s="14" t="s">
        <v>70</v>
      </c>
      <c r="D1317" s="14" t="s">
        <v>71</v>
      </c>
      <c r="E1317" s="14" t="s">
        <v>64</v>
      </c>
      <c r="F1317" s="14" t="s">
        <v>94</v>
      </c>
      <c r="G1317" s="14" t="s">
        <v>95</v>
      </c>
      <c r="H1317" s="0" t="n">
        <v>1</v>
      </c>
      <c r="I1317" s="16" t="n">
        <v>95.68</v>
      </c>
      <c r="J1317" s="16" t="n">
        <v>42</v>
      </c>
      <c r="K1317" s="16" t="n">
        <f aca="false">H1317*I1317</f>
        <v>95.68</v>
      </c>
      <c r="L1317" s="16" t="n">
        <f aca="false">H1317*J1317</f>
        <v>42</v>
      </c>
      <c r="M1317" s="16" t="n">
        <f aca="false">K1317-L1317</f>
        <v>53.68</v>
      </c>
      <c r="N1317" s="17" t="n">
        <f aca="false">IFERROR(M1317/K1317,0)</f>
        <v>0.561036789297659</v>
      </c>
    </row>
    <row r="1318" customFormat="false" ht="15" hidden="false" customHeight="false" outlineLevel="0" collapsed="false">
      <c r="A1318" s="15" t="n">
        <v>46078</v>
      </c>
      <c r="B1318" s="14" t="s">
        <v>69</v>
      </c>
      <c r="C1318" s="14" t="s">
        <v>70</v>
      </c>
      <c r="D1318" s="14" t="s">
        <v>71</v>
      </c>
      <c r="E1318" s="14" t="s">
        <v>45</v>
      </c>
      <c r="F1318" s="14" t="s">
        <v>62</v>
      </c>
      <c r="G1318" s="14" t="s">
        <v>63</v>
      </c>
      <c r="H1318" s="0" t="n">
        <v>4</v>
      </c>
      <c r="I1318" s="16" t="n">
        <v>17.23</v>
      </c>
      <c r="J1318" s="16" t="n">
        <v>6.5</v>
      </c>
      <c r="K1318" s="16" t="n">
        <f aca="false">H1318*I1318</f>
        <v>68.92</v>
      </c>
      <c r="L1318" s="16" t="n">
        <f aca="false">H1318*J1318</f>
        <v>26</v>
      </c>
      <c r="M1318" s="16" t="n">
        <f aca="false">K1318-L1318</f>
        <v>42.92</v>
      </c>
      <c r="N1318" s="17" t="n">
        <f aca="false">IFERROR(M1318/K1318,0)</f>
        <v>0.622751015670342</v>
      </c>
    </row>
    <row r="1319" customFormat="false" ht="15" hidden="false" customHeight="false" outlineLevel="0" collapsed="false">
      <c r="A1319" s="15" t="n">
        <v>46078</v>
      </c>
      <c r="B1319" s="14" t="s">
        <v>69</v>
      </c>
      <c r="C1319" s="14" t="s">
        <v>70</v>
      </c>
      <c r="D1319" s="14" t="s">
        <v>71</v>
      </c>
      <c r="E1319" s="14" t="s">
        <v>45</v>
      </c>
      <c r="F1319" s="14" t="s">
        <v>48</v>
      </c>
      <c r="G1319" s="14" t="s">
        <v>49</v>
      </c>
      <c r="H1319" s="0" t="n">
        <v>3</v>
      </c>
      <c r="I1319" s="16" t="n">
        <v>65.13</v>
      </c>
      <c r="J1319" s="16" t="n">
        <v>27.5</v>
      </c>
      <c r="K1319" s="16" t="n">
        <f aca="false">H1319*I1319</f>
        <v>195.39</v>
      </c>
      <c r="L1319" s="16" t="n">
        <f aca="false">H1319*J1319</f>
        <v>82.5</v>
      </c>
      <c r="M1319" s="16" t="n">
        <f aca="false">K1319-L1319</f>
        <v>112.89</v>
      </c>
      <c r="N1319" s="17" t="n">
        <f aca="false">IFERROR(M1319/K1319,0)</f>
        <v>0.577767541839398</v>
      </c>
    </row>
    <row r="1320" customFormat="false" ht="15" hidden="false" customHeight="false" outlineLevel="0" collapsed="false">
      <c r="A1320" s="15" t="n">
        <v>46078</v>
      </c>
      <c r="B1320" s="14" t="s">
        <v>69</v>
      </c>
      <c r="C1320" s="14" t="s">
        <v>70</v>
      </c>
      <c r="D1320" s="14" t="s">
        <v>71</v>
      </c>
      <c r="E1320" s="14" t="s">
        <v>45</v>
      </c>
      <c r="F1320" s="14" t="s">
        <v>46</v>
      </c>
      <c r="G1320" s="14" t="s">
        <v>47</v>
      </c>
      <c r="H1320" s="0" t="n">
        <v>1</v>
      </c>
      <c r="I1320" s="16" t="n">
        <v>44.65</v>
      </c>
      <c r="J1320" s="16" t="n">
        <v>18</v>
      </c>
      <c r="K1320" s="16" t="n">
        <f aca="false">H1320*I1320</f>
        <v>44.65</v>
      </c>
      <c r="L1320" s="16" t="n">
        <f aca="false">H1320*J1320</f>
        <v>18</v>
      </c>
      <c r="M1320" s="16" t="n">
        <f aca="false">K1320-L1320</f>
        <v>26.65</v>
      </c>
      <c r="N1320" s="17" t="n">
        <f aca="false">IFERROR(M1320/K1320,0)</f>
        <v>0.596864501679731</v>
      </c>
    </row>
    <row r="1321" customFormat="false" ht="15" hidden="false" customHeight="false" outlineLevel="0" collapsed="false">
      <c r="A1321" s="15" t="n">
        <v>46078</v>
      </c>
      <c r="B1321" s="14" t="s">
        <v>69</v>
      </c>
      <c r="C1321" s="14" t="s">
        <v>70</v>
      </c>
      <c r="D1321" s="14" t="s">
        <v>71</v>
      </c>
      <c r="E1321" s="14" t="s">
        <v>56</v>
      </c>
      <c r="F1321" s="14" t="s">
        <v>98</v>
      </c>
      <c r="G1321" s="14" t="s">
        <v>99</v>
      </c>
      <c r="H1321" s="0" t="n">
        <v>7</v>
      </c>
      <c r="I1321" s="16" t="n">
        <v>21.04</v>
      </c>
      <c r="J1321" s="16" t="n">
        <v>8</v>
      </c>
      <c r="K1321" s="16" t="n">
        <f aca="false">H1321*I1321</f>
        <v>147.28</v>
      </c>
      <c r="L1321" s="16" t="n">
        <f aca="false">H1321*J1321</f>
        <v>56</v>
      </c>
      <c r="M1321" s="16" t="n">
        <f aca="false">K1321-L1321</f>
        <v>91.28</v>
      </c>
      <c r="N1321" s="17" t="n">
        <f aca="false">IFERROR(M1321/K1321,0)</f>
        <v>0.619771863117871</v>
      </c>
    </row>
    <row r="1322" customFormat="false" ht="15" hidden="false" customHeight="false" outlineLevel="0" collapsed="false">
      <c r="A1322" s="15" t="n">
        <v>46078</v>
      </c>
      <c r="B1322" s="14" t="s">
        <v>69</v>
      </c>
      <c r="C1322" s="14" t="s">
        <v>70</v>
      </c>
      <c r="D1322" s="14" t="s">
        <v>71</v>
      </c>
      <c r="E1322" s="14" t="s">
        <v>64</v>
      </c>
      <c r="F1322" s="14" t="s">
        <v>94</v>
      </c>
      <c r="G1322" s="14" t="s">
        <v>95</v>
      </c>
      <c r="H1322" s="0" t="n">
        <v>5</v>
      </c>
      <c r="I1322" s="16" t="n">
        <v>93.88</v>
      </c>
      <c r="J1322" s="16" t="n">
        <v>42</v>
      </c>
      <c r="K1322" s="16" t="n">
        <f aca="false">H1322*I1322</f>
        <v>469.4</v>
      </c>
      <c r="L1322" s="16" t="n">
        <f aca="false">H1322*J1322</f>
        <v>210</v>
      </c>
      <c r="M1322" s="16" t="n">
        <f aca="false">K1322-L1322</f>
        <v>259.4</v>
      </c>
      <c r="N1322" s="17" t="n">
        <f aca="false">IFERROR(M1322/K1322,0)</f>
        <v>0.552620366425224</v>
      </c>
    </row>
    <row r="1323" customFormat="false" ht="15" hidden="false" customHeight="false" outlineLevel="0" collapsed="false">
      <c r="A1323" s="15" t="n">
        <v>46078</v>
      </c>
      <c r="B1323" s="14" t="s">
        <v>81</v>
      </c>
      <c r="C1323" s="14" t="s">
        <v>82</v>
      </c>
      <c r="D1323" s="14" t="s">
        <v>83</v>
      </c>
      <c r="E1323" s="14" t="s">
        <v>76</v>
      </c>
      <c r="F1323" s="14" t="s">
        <v>77</v>
      </c>
      <c r="G1323" s="14" t="s">
        <v>78</v>
      </c>
      <c r="H1323" s="0" t="n">
        <v>1</v>
      </c>
      <c r="I1323" s="16" t="n">
        <v>40.98</v>
      </c>
      <c r="J1323" s="16" t="n">
        <v>15</v>
      </c>
      <c r="K1323" s="16" t="n">
        <f aca="false">H1323*I1323</f>
        <v>40.98</v>
      </c>
      <c r="L1323" s="16" t="n">
        <f aca="false">H1323*J1323</f>
        <v>15</v>
      </c>
      <c r="M1323" s="16" t="n">
        <f aca="false">K1323-L1323</f>
        <v>25.98</v>
      </c>
      <c r="N1323" s="17" t="n">
        <f aca="false">IFERROR(M1323/K1323,0)</f>
        <v>0.633967789165447</v>
      </c>
    </row>
    <row r="1324" customFormat="false" ht="15" hidden="false" customHeight="false" outlineLevel="0" collapsed="false">
      <c r="A1324" s="15" t="n">
        <v>46078</v>
      </c>
      <c r="B1324" s="14" t="s">
        <v>81</v>
      </c>
      <c r="C1324" s="14" t="s">
        <v>82</v>
      </c>
      <c r="D1324" s="14" t="s">
        <v>83</v>
      </c>
      <c r="E1324" s="14" t="s">
        <v>56</v>
      </c>
      <c r="F1324" s="14" t="s">
        <v>67</v>
      </c>
      <c r="G1324" s="14" t="s">
        <v>68</v>
      </c>
      <c r="H1324" s="0" t="n">
        <v>4</v>
      </c>
      <c r="I1324" s="16" t="n">
        <v>35.15</v>
      </c>
      <c r="J1324" s="16" t="n">
        <v>15</v>
      </c>
      <c r="K1324" s="16" t="n">
        <f aca="false">H1324*I1324</f>
        <v>140.6</v>
      </c>
      <c r="L1324" s="16" t="n">
        <f aca="false">H1324*J1324</f>
        <v>60</v>
      </c>
      <c r="M1324" s="16" t="n">
        <f aca="false">K1324-L1324</f>
        <v>80.6</v>
      </c>
      <c r="N1324" s="17" t="n">
        <f aca="false">IFERROR(M1324/K1324,0)</f>
        <v>0.57325746799431</v>
      </c>
    </row>
    <row r="1325" customFormat="false" ht="15" hidden="false" customHeight="false" outlineLevel="0" collapsed="false">
      <c r="A1325" s="15" t="n">
        <v>46078</v>
      </c>
      <c r="B1325" s="14" t="s">
        <v>81</v>
      </c>
      <c r="C1325" s="14" t="s">
        <v>82</v>
      </c>
      <c r="D1325" s="14" t="s">
        <v>83</v>
      </c>
      <c r="E1325" s="14" t="s">
        <v>64</v>
      </c>
      <c r="F1325" s="14" t="s">
        <v>96</v>
      </c>
      <c r="G1325" s="14" t="s">
        <v>97</v>
      </c>
      <c r="H1325" s="0" t="n">
        <v>1</v>
      </c>
      <c r="I1325" s="16" t="n">
        <v>57.38</v>
      </c>
      <c r="J1325" s="16" t="n">
        <v>24</v>
      </c>
      <c r="K1325" s="16" t="n">
        <f aca="false">H1325*I1325</f>
        <v>57.38</v>
      </c>
      <c r="L1325" s="16" t="n">
        <f aca="false">H1325*J1325</f>
        <v>24</v>
      </c>
      <c r="M1325" s="16" t="n">
        <f aca="false">K1325-L1325</f>
        <v>33.38</v>
      </c>
      <c r="N1325" s="17" t="n">
        <f aca="false">IFERROR(M1325/K1325,0)</f>
        <v>0.581735796444754</v>
      </c>
    </row>
    <row r="1326" customFormat="false" ht="15" hidden="false" customHeight="false" outlineLevel="0" collapsed="false">
      <c r="A1326" s="15" t="n">
        <v>46078</v>
      </c>
      <c r="B1326" s="14" t="s">
        <v>81</v>
      </c>
      <c r="C1326" s="14" t="s">
        <v>82</v>
      </c>
      <c r="D1326" s="14" t="s">
        <v>83</v>
      </c>
      <c r="E1326" s="14" t="s">
        <v>76</v>
      </c>
      <c r="F1326" s="14" t="s">
        <v>79</v>
      </c>
      <c r="G1326" s="14" t="s">
        <v>80</v>
      </c>
      <c r="H1326" s="0" t="n">
        <v>3</v>
      </c>
      <c r="I1326" s="16" t="n">
        <v>28.76</v>
      </c>
      <c r="J1326" s="16" t="n">
        <v>11</v>
      </c>
      <c r="K1326" s="16" t="n">
        <f aca="false">H1326*I1326</f>
        <v>86.28</v>
      </c>
      <c r="L1326" s="16" t="n">
        <f aca="false">H1326*J1326</f>
        <v>33</v>
      </c>
      <c r="M1326" s="16" t="n">
        <f aca="false">K1326-L1326</f>
        <v>53.28</v>
      </c>
      <c r="N1326" s="17" t="n">
        <f aca="false">IFERROR(M1326/K1326,0)</f>
        <v>0.617524339360223</v>
      </c>
    </row>
    <row r="1327" customFormat="false" ht="15" hidden="false" customHeight="false" outlineLevel="0" collapsed="false">
      <c r="A1327" s="15" t="n">
        <v>46078</v>
      </c>
      <c r="B1327" s="14" t="s">
        <v>88</v>
      </c>
      <c r="C1327" s="14" t="s">
        <v>89</v>
      </c>
      <c r="D1327" s="14" t="s">
        <v>44</v>
      </c>
      <c r="E1327" s="14" t="s">
        <v>56</v>
      </c>
      <c r="F1327" s="14" t="s">
        <v>98</v>
      </c>
      <c r="G1327" s="14" t="s">
        <v>99</v>
      </c>
      <c r="H1327" s="0" t="n">
        <v>5</v>
      </c>
      <c r="I1327" s="16" t="n">
        <v>20.68</v>
      </c>
      <c r="J1327" s="16" t="n">
        <v>8</v>
      </c>
      <c r="K1327" s="16" t="n">
        <f aca="false">H1327*I1327</f>
        <v>103.4</v>
      </c>
      <c r="L1327" s="16" t="n">
        <f aca="false">H1327*J1327</f>
        <v>40</v>
      </c>
      <c r="M1327" s="16" t="n">
        <f aca="false">K1327-L1327</f>
        <v>63.4</v>
      </c>
      <c r="N1327" s="17" t="n">
        <f aca="false">IFERROR(M1327/K1327,0)</f>
        <v>0.613152804642166</v>
      </c>
    </row>
    <row r="1328" customFormat="false" ht="15" hidden="false" customHeight="false" outlineLevel="0" collapsed="false">
      <c r="A1328" s="15" t="n">
        <v>46078</v>
      </c>
      <c r="B1328" s="14" t="s">
        <v>88</v>
      </c>
      <c r="C1328" s="14" t="s">
        <v>89</v>
      </c>
      <c r="D1328" s="14" t="s">
        <v>44</v>
      </c>
      <c r="E1328" s="14" t="s">
        <v>56</v>
      </c>
      <c r="F1328" s="14" t="s">
        <v>67</v>
      </c>
      <c r="G1328" s="14" t="s">
        <v>68</v>
      </c>
      <c r="H1328" s="0" t="n">
        <v>5</v>
      </c>
      <c r="I1328" s="16" t="n">
        <v>37.57</v>
      </c>
      <c r="J1328" s="16" t="n">
        <v>15</v>
      </c>
      <c r="K1328" s="16" t="n">
        <f aca="false">H1328*I1328</f>
        <v>187.85</v>
      </c>
      <c r="L1328" s="16" t="n">
        <f aca="false">H1328*J1328</f>
        <v>75</v>
      </c>
      <c r="M1328" s="16" t="n">
        <f aca="false">K1328-L1328</f>
        <v>112.85</v>
      </c>
      <c r="N1328" s="17" t="n">
        <f aca="false">IFERROR(M1328/K1328,0)</f>
        <v>0.60074527548576</v>
      </c>
    </row>
    <row r="1329" customFormat="false" ht="15" hidden="false" customHeight="false" outlineLevel="0" collapsed="false">
      <c r="A1329" s="15" t="n">
        <v>46078</v>
      </c>
      <c r="B1329" s="14" t="s">
        <v>88</v>
      </c>
      <c r="C1329" s="14" t="s">
        <v>89</v>
      </c>
      <c r="D1329" s="14" t="s">
        <v>44</v>
      </c>
      <c r="E1329" s="14" t="s">
        <v>45</v>
      </c>
      <c r="F1329" s="14" t="s">
        <v>48</v>
      </c>
      <c r="G1329" s="14" t="s">
        <v>49</v>
      </c>
      <c r="H1329" s="0" t="n">
        <v>3</v>
      </c>
      <c r="I1329" s="16" t="n">
        <v>67.51</v>
      </c>
      <c r="J1329" s="16" t="n">
        <v>27.5</v>
      </c>
      <c r="K1329" s="16" t="n">
        <f aca="false">H1329*I1329</f>
        <v>202.53</v>
      </c>
      <c r="L1329" s="16" t="n">
        <f aca="false">H1329*J1329</f>
        <v>82.5</v>
      </c>
      <c r="M1329" s="16" t="n">
        <f aca="false">K1329-L1329</f>
        <v>120.03</v>
      </c>
      <c r="N1329" s="17" t="n">
        <f aca="false">IFERROR(M1329/K1329,0)</f>
        <v>0.59265294030514</v>
      </c>
    </row>
    <row r="1330" customFormat="false" ht="15" hidden="false" customHeight="false" outlineLevel="0" collapsed="false">
      <c r="A1330" s="15" t="n">
        <v>46079</v>
      </c>
      <c r="B1330" s="14" t="s">
        <v>42</v>
      </c>
      <c r="C1330" s="14" t="s">
        <v>43</v>
      </c>
      <c r="D1330" s="14" t="s">
        <v>44</v>
      </c>
      <c r="E1330" s="14" t="s">
        <v>64</v>
      </c>
      <c r="F1330" s="14" t="s">
        <v>94</v>
      </c>
      <c r="G1330" s="14" t="s">
        <v>95</v>
      </c>
      <c r="H1330" s="0" t="n">
        <v>3</v>
      </c>
      <c r="I1330" s="16" t="n">
        <v>93.15</v>
      </c>
      <c r="J1330" s="16" t="n">
        <v>42</v>
      </c>
      <c r="K1330" s="16" t="n">
        <f aca="false">H1330*I1330</f>
        <v>279.45</v>
      </c>
      <c r="L1330" s="16" t="n">
        <f aca="false">H1330*J1330</f>
        <v>126</v>
      </c>
      <c r="M1330" s="16" t="n">
        <f aca="false">K1330-L1330</f>
        <v>153.45</v>
      </c>
      <c r="N1330" s="17" t="n">
        <f aca="false">IFERROR(M1330/K1330,0)</f>
        <v>0.549114331723028</v>
      </c>
    </row>
    <row r="1331" customFormat="false" ht="15" hidden="false" customHeight="false" outlineLevel="0" collapsed="false">
      <c r="A1331" s="15" t="n">
        <v>46079</v>
      </c>
      <c r="B1331" s="14" t="s">
        <v>42</v>
      </c>
      <c r="C1331" s="14" t="s">
        <v>43</v>
      </c>
      <c r="D1331" s="14" t="s">
        <v>44</v>
      </c>
      <c r="E1331" s="14" t="s">
        <v>53</v>
      </c>
      <c r="F1331" s="14" t="s">
        <v>84</v>
      </c>
      <c r="G1331" s="14" t="s">
        <v>85</v>
      </c>
      <c r="H1331" s="0" t="n">
        <v>3</v>
      </c>
      <c r="I1331" s="16" t="n">
        <v>24.6</v>
      </c>
      <c r="J1331" s="16" t="n">
        <v>9</v>
      </c>
      <c r="K1331" s="16" t="n">
        <f aca="false">H1331*I1331</f>
        <v>73.8</v>
      </c>
      <c r="L1331" s="16" t="n">
        <f aca="false">H1331*J1331</f>
        <v>27</v>
      </c>
      <c r="M1331" s="16" t="n">
        <f aca="false">K1331-L1331</f>
        <v>46.8</v>
      </c>
      <c r="N1331" s="17" t="n">
        <f aca="false">IFERROR(M1331/K1331,0)</f>
        <v>0.634146341463415</v>
      </c>
    </row>
    <row r="1332" customFormat="false" ht="15" hidden="false" customHeight="false" outlineLevel="0" collapsed="false">
      <c r="A1332" s="15" t="n">
        <v>46079</v>
      </c>
      <c r="B1332" s="14" t="s">
        <v>42</v>
      </c>
      <c r="C1332" s="14" t="s">
        <v>43</v>
      </c>
      <c r="D1332" s="14" t="s">
        <v>44</v>
      </c>
      <c r="E1332" s="14" t="s">
        <v>45</v>
      </c>
      <c r="F1332" s="14" t="s">
        <v>46</v>
      </c>
      <c r="G1332" s="14" t="s">
        <v>47</v>
      </c>
      <c r="H1332" s="0" t="n">
        <v>2</v>
      </c>
      <c r="I1332" s="16" t="n">
        <v>44.88</v>
      </c>
      <c r="J1332" s="16" t="n">
        <v>18</v>
      </c>
      <c r="K1332" s="16" t="n">
        <f aca="false">H1332*I1332</f>
        <v>89.76</v>
      </c>
      <c r="L1332" s="16" t="n">
        <f aca="false">H1332*J1332</f>
        <v>36</v>
      </c>
      <c r="M1332" s="16" t="n">
        <f aca="false">K1332-L1332</f>
        <v>53.76</v>
      </c>
      <c r="N1332" s="17" t="n">
        <f aca="false">IFERROR(M1332/K1332,0)</f>
        <v>0.598930481283423</v>
      </c>
    </row>
    <row r="1333" customFormat="false" ht="15" hidden="false" customHeight="false" outlineLevel="0" collapsed="false">
      <c r="A1333" s="15" t="n">
        <v>46079</v>
      </c>
      <c r="B1333" s="14" t="s">
        <v>50</v>
      </c>
      <c r="C1333" s="14" t="s">
        <v>51</v>
      </c>
      <c r="D1333" s="14" t="s">
        <v>52</v>
      </c>
      <c r="E1333" s="14" t="s">
        <v>53</v>
      </c>
      <c r="F1333" s="14" t="s">
        <v>84</v>
      </c>
      <c r="G1333" s="14" t="s">
        <v>85</v>
      </c>
      <c r="H1333" s="0" t="n">
        <v>7</v>
      </c>
      <c r="I1333" s="16" t="n">
        <v>24.54</v>
      </c>
      <c r="J1333" s="16" t="n">
        <v>9</v>
      </c>
      <c r="K1333" s="16" t="n">
        <f aca="false">H1333*I1333</f>
        <v>171.78</v>
      </c>
      <c r="L1333" s="16" t="n">
        <f aca="false">H1333*J1333</f>
        <v>63</v>
      </c>
      <c r="M1333" s="16" t="n">
        <f aca="false">K1333-L1333</f>
        <v>108.78</v>
      </c>
      <c r="N1333" s="17" t="n">
        <f aca="false">IFERROR(M1333/K1333,0)</f>
        <v>0.633251833740831</v>
      </c>
    </row>
    <row r="1334" customFormat="false" ht="15" hidden="false" customHeight="false" outlineLevel="0" collapsed="false">
      <c r="A1334" s="15" t="n">
        <v>46079</v>
      </c>
      <c r="B1334" s="14" t="s">
        <v>50</v>
      </c>
      <c r="C1334" s="14" t="s">
        <v>51</v>
      </c>
      <c r="D1334" s="14" t="s">
        <v>52</v>
      </c>
      <c r="E1334" s="14" t="s">
        <v>53</v>
      </c>
      <c r="F1334" s="14" t="s">
        <v>84</v>
      </c>
      <c r="G1334" s="14" t="s">
        <v>85</v>
      </c>
      <c r="H1334" s="0" t="n">
        <v>3</v>
      </c>
      <c r="I1334" s="16" t="n">
        <v>23.42</v>
      </c>
      <c r="J1334" s="16" t="n">
        <v>9</v>
      </c>
      <c r="K1334" s="16" t="n">
        <f aca="false">H1334*I1334</f>
        <v>70.26</v>
      </c>
      <c r="L1334" s="16" t="n">
        <f aca="false">H1334*J1334</f>
        <v>27</v>
      </c>
      <c r="M1334" s="16" t="n">
        <f aca="false">K1334-L1334</f>
        <v>43.26</v>
      </c>
      <c r="N1334" s="17" t="n">
        <f aca="false">IFERROR(M1334/K1334,0)</f>
        <v>0.615713065755764</v>
      </c>
    </row>
    <row r="1335" customFormat="false" ht="15" hidden="false" customHeight="false" outlineLevel="0" collapsed="false">
      <c r="A1335" s="15" t="n">
        <v>46079</v>
      </c>
      <c r="B1335" s="14" t="s">
        <v>50</v>
      </c>
      <c r="C1335" s="14" t="s">
        <v>51</v>
      </c>
      <c r="D1335" s="14" t="s">
        <v>52</v>
      </c>
      <c r="E1335" s="14" t="s">
        <v>76</v>
      </c>
      <c r="F1335" s="14" t="s">
        <v>79</v>
      </c>
      <c r="G1335" s="14" t="s">
        <v>80</v>
      </c>
      <c r="H1335" s="0" t="n">
        <v>5</v>
      </c>
      <c r="I1335" s="16" t="n">
        <v>29.41</v>
      </c>
      <c r="J1335" s="16" t="n">
        <v>11</v>
      </c>
      <c r="K1335" s="16" t="n">
        <f aca="false">H1335*I1335</f>
        <v>147.05</v>
      </c>
      <c r="L1335" s="16" t="n">
        <f aca="false">H1335*J1335</f>
        <v>55</v>
      </c>
      <c r="M1335" s="16" t="n">
        <f aca="false">K1335-L1335</f>
        <v>92.05</v>
      </c>
      <c r="N1335" s="17" t="n">
        <f aca="false">IFERROR(M1335/K1335,0)</f>
        <v>0.625977558653519</v>
      </c>
    </row>
    <row r="1336" customFormat="false" ht="15" hidden="false" customHeight="false" outlineLevel="0" collapsed="false">
      <c r="A1336" s="15" t="n">
        <v>46079</v>
      </c>
      <c r="B1336" s="14" t="s">
        <v>50</v>
      </c>
      <c r="C1336" s="14" t="s">
        <v>51</v>
      </c>
      <c r="D1336" s="14" t="s">
        <v>52</v>
      </c>
      <c r="E1336" s="14" t="s">
        <v>45</v>
      </c>
      <c r="F1336" s="14" t="s">
        <v>48</v>
      </c>
      <c r="G1336" s="14" t="s">
        <v>49</v>
      </c>
      <c r="H1336" s="0" t="n">
        <v>3</v>
      </c>
      <c r="I1336" s="16" t="n">
        <v>65.08</v>
      </c>
      <c r="J1336" s="16" t="n">
        <v>27.5</v>
      </c>
      <c r="K1336" s="16" t="n">
        <f aca="false">H1336*I1336</f>
        <v>195.24</v>
      </c>
      <c r="L1336" s="16" t="n">
        <f aca="false">H1336*J1336</f>
        <v>82.5</v>
      </c>
      <c r="M1336" s="16" t="n">
        <f aca="false">K1336-L1336</f>
        <v>112.74</v>
      </c>
      <c r="N1336" s="17" t="n">
        <f aca="false">IFERROR(M1336/K1336,0)</f>
        <v>0.577443146896128</v>
      </c>
    </row>
    <row r="1337" customFormat="false" ht="15" hidden="false" customHeight="false" outlineLevel="0" collapsed="false">
      <c r="A1337" s="15" t="n">
        <v>46079</v>
      </c>
      <c r="B1337" s="14" t="s">
        <v>50</v>
      </c>
      <c r="C1337" s="14" t="s">
        <v>51</v>
      </c>
      <c r="D1337" s="14" t="s">
        <v>52</v>
      </c>
      <c r="E1337" s="14" t="s">
        <v>64</v>
      </c>
      <c r="F1337" s="14" t="s">
        <v>94</v>
      </c>
      <c r="G1337" s="14" t="s">
        <v>95</v>
      </c>
      <c r="H1337" s="0" t="n">
        <v>7</v>
      </c>
      <c r="I1337" s="16" t="n">
        <v>96.99</v>
      </c>
      <c r="J1337" s="16" t="n">
        <v>42</v>
      </c>
      <c r="K1337" s="16" t="n">
        <f aca="false">H1337*I1337</f>
        <v>678.93</v>
      </c>
      <c r="L1337" s="16" t="n">
        <f aca="false">H1337*J1337</f>
        <v>294</v>
      </c>
      <c r="M1337" s="16" t="n">
        <f aca="false">K1337-L1337</f>
        <v>384.93</v>
      </c>
      <c r="N1337" s="17" t="n">
        <f aca="false">IFERROR(M1337/K1337,0)</f>
        <v>0.566965666563563</v>
      </c>
    </row>
    <row r="1338" customFormat="false" ht="15" hidden="false" customHeight="false" outlineLevel="0" collapsed="false">
      <c r="A1338" s="15" t="n">
        <v>46079</v>
      </c>
      <c r="B1338" s="14" t="s">
        <v>50</v>
      </c>
      <c r="C1338" s="14" t="s">
        <v>51</v>
      </c>
      <c r="D1338" s="14" t="s">
        <v>52</v>
      </c>
      <c r="E1338" s="14" t="s">
        <v>56</v>
      </c>
      <c r="F1338" s="14" t="s">
        <v>86</v>
      </c>
      <c r="G1338" s="14" t="s">
        <v>87</v>
      </c>
      <c r="H1338" s="0" t="n">
        <v>8</v>
      </c>
      <c r="I1338" s="16" t="n">
        <v>14.62</v>
      </c>
      <c r="J1338" s="16" t="n">
        <v>5</v>
      </c>
      <c r="K1338" s="16" t="n">
        <f aca="false">H1338*I1338</f>
        <v>116.96</v>
      </c>
      <c r="L1338" s="16" t="n">
        <f aca="false">H1338*J1338</f>
        <v>40</v>
      </c>
      <c r="M1338" s="16" t="n">
        <f aca="false">K1338-L1338</f>
        <v>76.96</v>
      </c>
      <c r="N1338" s="17" t="n">
        <f aca="false">IFERROR(M1338/K1338,0)</f>
        <v>0.658002735978112</v>
      </c>
    </row>
    <row r="1339" customFormat="false" ht="15" hidden="false" customHeight="false" outlineLevel="0" collapsed="false">
      <c r="A1339" s="15" t="n">
        <v>46079</v>
      </c>
      <c r="B1339" s="14" t="s">
        <v>59</v>
      </c>
      <c r="C1339" s="14" t="s">
        <v>60</v>
      </c>
      <c r="D1339" s="14" t="s">
        <v>61</v>
      </c>
      <c r="E1339" s="14" t="s">
        <v>64</v>
      </c>
      <c r="F1339" s="14" t="s">
        <v>94</v>
      </c>
      <c r="G1339" s="14" t="s">
        <v>95</v>
      </c>
      <c r="H1339" s="0" t="n">
        <v>2</v>
      </c>
      <c r="I1339" s="16" t="n">
        <v>95.28</v>
      </c>
      <c r="J1339" s="16" t="n">
        <v>42</v>
      </c>
      <c r="K1339" s="16" t="n">
        <f aca="false">H1339*I1339</f>
        <v>190.56</v>
      </c>
      <c r="L1339" s="16" t="n">
        <f aca="false">H1339*J1339</f>
        <v>84</v>
      </c>
      <c r="M1339" s="16" t="n">
        <f aca="false">K1339-L1339</f>
        <v>106.56</v>
      </c>
      <c r="N1339" s="17" t="n">
        <f aca="false">IFERROR(M1339/K1339,0)</f>
        <v>0.55919395465995</v>
      </c>
    </row>
    <row r="1340" customFormat="false" ht="15" hidden="false" customHeight="false" outlineLevel="0" collapsed="false">
      <c r="A1340" s="15" t="n">
        <v>46079</v>
      </c>
      <c r="B1340" s="14" t="s">
        <v>59</v>
      </c>
      <c r="C1340" s="14" t="s">
        <v>60</v>
      </c>
      <c r="D1340" s="14" t="s">
        <v>61</v>
      </c>
      <c r="E1340" s="14" t="s">
        <v>64</v>
      </c>
      <c r="F1340" s="14" t="s">
        <v>65</v>
      </c>
      <c r="G1340" s="14" t="s">
        <v>66</v>
      </c>
      <c r="H1340" s="0" t="n">
        <v>4</v>
      </c>
      <c r="I1340" s="16" t="n">
        <v>78.54</v>
      </c>
      <c r="J1340" s="16" t="n">
        <v>34</v>
      </c>
      <c r="K1340" s="16" t="n">
        <f aca="false">H1340*I1340</f>
        <v>314.16</v>
      </c>
      <c r="L1340" s="16" t="n">
        <f aca="false">H1340*J1340</f>
        <v>136</v>
      </c>
      <c r="M1340" s="16" t="n">
        <f aca="false">K1340-L1340</f>
        <v>178.16</v>
      </c>
      <c r="N1340" s="17" t="n">
        <f aca="false">IFERROR(M1340/K1340,0)</f>
        <v>0.567099567099567</v>
      </c>
    </row>
    <row r="1341" customFormat="false" ht="15" hidden="false" customHeight="false" outlineLevel="0" collapsed="false">
      <c r="A1341" s="15" t="n">
        <v>46079</v>
      </c>
      <c r="B1341" s="14" t="s">
        <v>59</v>
      </c>
      <c r="C1341" s="14" t="s">
        <v>60</v>
      </c>
      <c r="D1341" s="14" t="s">
        <v>61</v>
      </c>
      <c r="E1341" s="14" t="s">
        <v>64</v>
      </c>
      <c r="F1341" s="14" t="s">
        <v>90</v>
      </c>
      <c r="G1341" s="14" t="s">
        <v>91</v>
      </c>
      <c r="H1341" s="0" t="n">
        <v>4</v>
      </c>
      <c r="I1341" s="16" t="n">
        <v>11.96</v>
      </c>
      <c r="J1341" s="16" t="n">
        <v>3.5</v>
      </c>
      <c r="K1341" s="16" t="n">
        <f aca="false">H1341*I1341</f>
        <v>47.84</v>
      </c>
      <c r="L1341" s="16" t="n">
        <f aca="false">H1341*J1341</f>
        <v>14</v>
      </c>
      <c r="M1341" s="16" t="n">
        <f aca="false">K1341-L1341</f>
        <v>33.84</v>
      </c>
      <c r="N1341" s="17" t="n">
        <f aca="false">IFERROR(M1341/K1341,0)</f>
        <v>0.707357859531773</v>
      </c>
    </row>
    <row r="1342" customFormat="false" ht="15" hidden="false" customHeight="false" outlineLevel="0" collapsed="false">
      <c r="A1342" s="15" t="n">
        <v>46079</v>
      </c>
      <c r="B1342" s="14" t="s">
        <v>59</v>
      </c>
      <c r="C1342" s="14" t="s">
        <v>60</v>
      </c>
      <c r="D1342" s="14" t="s">
        <v>61</v>
      </c>
      <c r="E1342" s="14" t="s">
        <v>45</v>
      </c>
      <c r="F1342" s="14" t="s">
        <v>48</v>
      </c>
      <c r="G1342" s="14" t="s">
        <v>49</v>
      </c>
      <c r="H1342" s="0" t="n">
        <v>5</v>
      </c>
      <c r="I1342" s="16" t="n">
        <v>67.76</v>
      </c>
      <c r="J1342" s="16" t="n">
        <v>27.5</v>
      </c>
      <c r="K1342" s="16" t="n">
        <f aca="false">H1342*I1342</f>
        <v>338.8</v>
      </c>
      <c r="L1342" s="16" t="n">
        <f aca="false">H1342*J1342</f>
        <v>137.5</v>
      </c>
      <c r="M1342" s="16" t="n">
        <f aca="false">K1342-L1342</f>
        <v>201.3</v>
      </c>
      <c r="N1342" s="17" t="n">
        <f aca="false">IFERROR(M1342/K1342,0)</f>
        <v>0.594155844155844</v>
      </c>
    </row>
    <row r="1343" customFormat="false" ht="15" hidden="false" customHeight="false" outlineLevel="0" collapsed="false">
      <c r="A1343" s="15" t="n">
        <v>46079</v>
      </c>
      <c r="B1343" s="14" t="s">
        <v>59</v>
      </c>
      <c r="C1343" s="14" t="s">
        <v>60</v>
      </c>
      <c r="D1343" s="14" t="s">
        <v>61</v>
      </c>
      <c r="E1343" s="14" t="s">
        <v>64</v>
      </c>
      <c r="F1343" s="14" t="s">
        <v>94</v>
      </c>
      <c r="G1343" s="14" t="s">
        <v>95</v>
      </c>
      <c r="H1343" s="0" t="n">
        <v>4</v>
      </c>
      <c r="I1343" s="16" t="n">
        <v>93.22</v>
      </c>
      <c r="J1343" s="16" t="n">
        <v>42</v>
      </c>
      <c r="K1343" s="16" t="n">
        <f aca="false">H1343*I1343</f>
        <v>372.88</v>
      </c>
      <c r="L1343" s="16" t="n">
        <f aca="false">H1343*J1343</f>
        <v>168</v>
      </c>
      <c r="M1343" s="16" t="n">
        <f aca="false">K1343-L1343</f>
        <v>204.88</v>
      </c>
      <c r="N1343" s="17" t="n">
        <f aca="false">IFERROR(M1343/K1343,0)</f>
        <v>0.54945290710148</v>
      </c>
    </row>
    <row r="1344" customFormat="false" ht="15" hidden="false" customHeight="false" outlineLevel="0" collapsed="false">
      <c r="A1344" s="15" t="n">
        <v>46079</v>
      </c>
      <c r="B1344" s="14" t="s">
        <v>69</v>
      </c>
      <c r="C1344" s="14" t="s">
        <v>70</v>
      </c>
      <c r="D1344" s="14" t="s">
        <v>71</v>
      </c>
      <c r="E1344" s="14" t="s">
        <v>76</v>
      </c>
      <c r="F1344" s="14" t="s">
        <v>100</v>
      </c>
      <c r="G1344" s="14" t="s">
        <v>101</v>
      </c>
      <c r="H1344" s="0" t="n">
        <v>6</v>
      </c>
      <c r="I1344" s="16" t="n">
        <v>15.71</v>
      </c>
      <c r="J1344" s="16" t="n">
        <v>5.5</v>
      </c>
      <c r="K1344" s="16" t="n">
        <f aca="false">H1344*I1344</f>
        <v>94.26</v>
      </c>
      <c r="L1344" s="16" t="n">
        <f aca="false">H1344*J1344</f>
        <v>33</v>
      </c>
      <c r="M1344" s="16" t="n">
        <f aca="false">K1344-L1344</f>
        <v>61.26</v>
      </c>
      <c r="N1344" s="17" t="n">
        <f aca="false">IFERROR(M1344/K1344,0)</f>
        <v>0.649904519414386</v>
      </c>
    </row>
    <row r="1345" customFormat="false" ht="15" hidden="false" customHeight="false" outlineLevel="0" collapsed="false">
      <c r="A1345" s="15" t="n">
        <v>46079</v>
      </c>
      <c r="B1345" s="14" t="s">
        <v>69</v>
      </c>
      <c r="C1345" s="14" t="s">
        <v>70</v>
      </c>
      <c r="D1345" s="14" t="s">
        <v>71</v>
      </c>
      <c r="E1345" s="14" t="s">
        <v>53</v>
      </c>
      <c r="F1345" s="14" t="s">
        <v>54</v>
      </c>
      <c r="G1345" s="14" t="s">
        <v>55</v>
      </c>
      <c r="H1345" s="0" t="n">
        <v>4</v>
      </c>
      <c r="I1345" s="16" t="n">
        <v>53.58</v>
      </c>
      <c r="J1345" s="16" t="n">
        <v>22</v>
      </c>
      <c r="K1345" s="16" t="n">
        <f aca="false">H1345*I1345</f>
        <v>214.32</v>
      </c>
      <c r="L1345" s="16" t="n">
        <f aca="false">H1345*J1345</f>
        <v>88</v>
      </c>
      <c r="M1345" s="16" t="n">
        <f aca="false">K1345-L1345</f>
        <v>126.32</v>
      </c>
      <c r="N1345" s="17" t="n">
        <f aca="false">IFERROR(M1345/K1345,0)</f>
        <v>0.589399029488615</v>
      </c>
    </row>
    <row r="1346" customFormat="false" ht="15" hidden="false" customHeight="false" outlineLevel="0" collapsed="false">
      <c r="A1346" s="15" t="n">
        <v>46079</v>
      </c>
      <c r="B1346" s="14" t="s">
        <v>81</v>
      </c>
      <c r="C1346" s="14" t="s">
        <v>82</v>
      </c>
      <c r="D1346" s="14" t="s">
        <v>83</v>
      </c>
      <c r="E1346" s="14" t="s">
        <v>76</v>
      </c>
      <c r="F1346" s="14" t="s">
        <v>79</v>
      </c>
      <c r="G1346" s="14" t="s">
        <v>80</v>
      </c>
      <c r="H1346" s="0" t="n">
        <v>1</v>
      </c>
      <c r="I1346" s="16" t="n">
        <v>29.6</v>
      </c>
      <c r="J1346" s="16" t="n">
        <v>11</v>
      </c>
      <c r="K1346" s="16" t="n">
        <f aca="false">H1346*I1346</f>
        <v>29.6</v>
      </c>
      <c r="L1346" s="16" t="n">
        <f aca="false">H1346*J1346</f>
        <v>11</v>
      </c>
      <c r="M1346" s="16" t="n">
        <f aca="false">K1346-L1346</f>
        <v>18.6</v>
      </c>
      <c r="N1346" s="17" t="n">
        <f aca="false">IFERROR(M1346/K1346,0)</f>
        <v>0.628378378378378</v>
      </c>
    </row>
    <row r="1347" customFormat="false" ht="15" hidden="false" customHeight="false" outlineLevel="0" collapsed="false">
      <c r="A1347" s="15" t="n">
        <v>46079</v>
      </c>
      <c r="B1347" s="14" t="s">
        <v>81</v>
      </c>
      <c r="C1347" s="14" t="s">
        <v>82</v>
      </c>
      <c r="D1347" s="14" t="s">
        <v>83</v>
      </c>
      <c r="E1347" s="14" t="s">
        <v>45</v>
      </c>
      <c r="F1347" s="14" t="s">
        <v>72</v>
      </c>
      <c r="G1347" s="14" t="s">
        <v>73</v>
      </c>
      <c r="H1347" s="0" t="n">
        <v>1</v>
      </c>
      <c r="I1347" s="16" t="n">
        <v>50.03</v>
      </c>
      <c r="J1347" s="16" t="n">
        <v>21</v>
      </c>
      <c r="K1347" s="16" t="n">
        <f aca="false">H1347*I1347</f>
        <v>50.03</v>
      </c>
      <c r="L1347" s="16" t="n">
        <f aca="false">H1347*J1347</f>
        <v>21</v>
      </c>
      <c r="M1347" s="16" t="n">
        <f aca="false">K1347-L1347</f>
        <v>29.03</v>
      </c>
      <c r="N1347" s="17" t="n">
        <f aca="false">IFERROR(M1347/K1347,0)</f>
        <v>0.580251848890666</v>
      </c>
    </row>
    <row r="1348" customFormat="false" ht="15" hidden="false" customHeight="false" outlineLevel="0" collapsed="false">
      <c r="A1348" s="15" t="n">
        <v>46079</v>
      </c>
      <c r="B1348" s="14" t="s">
        <v>81</v>
      </c>
      <c r="C1348" s="14" t="s">
        <v>82</v>
      </c>
      <c r="D1348" s="14" t="s">
        <v>83</v>
      </c>
      <c r="E1348" s="14" t="s">
        <v>64</v>
      </c>
      <c r="F1348" s="14" t="s">
        <v>94</v>
      </c>
      <c r="G1348" s="14" t="s">
        <v>95</v>
      </c>
      <c r="H1348" s="0" t="n">
        <v>2</v>
      </c>
      <c r="I1348" s="16" t="n">
        <v>96.82</v>
      </c>
      <c r="J1348" s="16" t="n">
        <v>42</v>
      </c>
      <c r="K1348" s="16" t="n">
        <f aca="false">H1348*I1348</f>
        <v>193.64</v>
      </c>
      <c r="L1348" s="16" t="n">
        <f aca="false">H1348*J1348</f>
        <v>84</v>
      </c>
      <c r="M1348" s="16" t="n">
        <f aca="false">K1348-L1348</f>
        <v>109.64</v>
      </c>
      <c r="N1348" s="17" t="n">
        <f aca="false">IFERROR(M1348/K1348,0)</f>
        <v>0.566205329477381</v>
      </c>
    </row>
    <row r="1349" customFormat="false" ht="15" hidden="false" customHeight="false" outlineLevel="0" collapsed="false">
      <c r="A1349" s="15" t="n">
        <v>46079</v>
      </c>
      <c r="B1349" s="14" t="s">
        <v>88</v>
      </c>
      <c r="C1349" s="14" t="s">
        <v>89</v>
      </c>
      <c r="D1349" s="14" t="s">
        <v>44</v>
      </c>
      <c r="E1349" s="14" t="s">
        <v>53</v>
      </c>
      <c r="F1349" s="14" t="s">
        <v>74</v>
      </c>
      <c r="G1349" s="14" t="s">
        <v>75</v>
      </c>
      <c r="H1349" s="0" t="n">
        <v>1</v>
      </c>
      <c r="I1349" s="16" t="n">
        <v>86.29</v>
      </c>
      <c r="J1349" s="16" t="n">
        <v>38</v>
      </c>
      <c r="K1349" s="16" t="n">
        <f aca="false">H1349*I1349</f>
        <v>86.29</v>
      </c>
      <c r="L1349" s="16" t="n">
        <f aca="false">H1349*J1349</f>
        <v>38</v>
      </c>
      <c r="M1349" s="16" t="n">
        <f aca="false">K1349-L1349</f>
        <v>48.29</v>
      </c>
      <c r="N1349" s="17" t="n">
        <f aca="false">IFERROR(M1349/K1349,0)</f>
        <v>0.55962452196083</v>
      </c>
    </row>
    <row r="1350" customFormat="false" ht="15" hidden="false" customHeight="false" outlineLevel="0" collapsed="false">
      <c r="A1350" s="15" t="n">
        <v>46079</v>
      </c>
      <c r="B1350" s="14" t="s">
        <v>88</v>
      </c>
      <c r="C1350" s="14" t="s">
        <v>89</v>
      </c>
      <c r="D1350" s="14" t="s">
        <v>44</v>
      </c>
      <c r="E1350" s="14" t="s">
        <v>45</v>
      </c>
      <c r="F1350" s="14" t="s">
        <v>62</v>
      </c>
      <c r="G1350" s="14" t="s">
        <v>63</v>
      </c>
      <c r="H1350" s="0" t="n">
        <v>2</v>
      </c>
      <c r="I1350" s="16" t="n">
        <v>17.58</v>
      </c>
      <c r="J1350" s="16" t="n">
        <v>6.5</v>
      </c>
      <c r="K1350" s="16" t="n">
        <f aca="false">H1350*I1350</f>
        <v>35.16</v>
      </c>
      <c r="L1350" s="16" t="n">
        <f aca="false">H1350*J1350</f>
        <v>13</v>
      </c>
      <c r="M1350" s="16" t="n">
        <f aca="false">K1350-L1350</f>
        <v>22.16</v>
      </c>
      <c r="N1350" s="17" t="n">
        <f aca="false">IFERROR(M1350/K1350,0)</f>
        <v>0.630261660978385</v>
      </c>
    </row>
    <row r="1351" customFormat="false" ht="15" hidden="false" customHeight="false" outlineLevel="0" collapsed="false">
      <c r="A1351" s="15" t="n">
        <v>46079</v>
      </c>
      <c r="B1351" s="14" t="s">
        <v>88</v>
      </c>
      <c r="C1351" s="14" t="s">
        <v>89</v>
      </c>
      <c r="D1351" s="14" t="s">
        <v>44</v>
      </c>
      <c r="E1351" s="14" t="s">
        <v>45</v>
      </c>
      <c r="F1351" s="14" t="s">
        <v>48</v>
      </c>
      <c r="G1351" s="14" t="s">
        <v>49</v>
      </c>
      <c r="H1351" s="0" t="n">
        <v>3</v>
      </c>
      <c r="I1351" s="16" t="n">
        <v>64.61</v>
      </c>
      <c r="J1351" s="16" t="n">
        <v>27.5</v>
      </c>
      <c r="K1351" s="16" t="n">
        <f aca="false">H1351*I1351</f>
        <v>193.83</v>
      </c>
      <c r="L1351" s="16" t="n">
        <f aca="false">H1351*J1351</f>
        <v>82.5</v>
      </c>
      <c r="M1351" s="16" t="n">
        <f aca="false">K1351-L1351</f>
        <v>111.33</v>
      </c>
      <c r="N1351" s="17" t="n">
        <f aca="false">IFERROR(M1351/K1351,0)</f>
        <v>0.574369292679152</v>
      </c>
    </row>
    <row r="1352" customFormat="false" ht="15" hidden="false" customHeight="false" outlineLevel="0" collapsed="false">
      <c r="A1352" s="15" t="n">
        <v>46079</v>
      </c>
      <c r="B1352" s="14" t="s">
        <v>88</v>
      </c>
      <c r="C1352" s="14" t="s">
        <v>89</v>
      </c>
      <c r="D1352" s="14" t="s">
        <v>44</v>
      </c>
      <c r="E1352" s="14" t="s">
        <v>56</v>
      </c>
      <c r="F1352" s="14" t="s">
        <v>86</v>
      </c>
      <c r="G1352" s="14" t="s">
        <v>87</v>
      </c>
      <c r="H1352" s="0" t="n">
        <v>2</v>
      </c>
      <c r="I1352" s="16" t="n">
        <v>14.63</v>
      </c>
      <c r="J1352" s="16" t="n">
        <v>5</v>
      </c>
      <c r="K1352" s="16" t="n">
        <f aca="false">H1352*I1352</f>
        <v>29.26</v>
      </c>
      <c r="L1352" s="16" t="n">
        <f aca="false">H1352*J1352</f>
        <v>10</v>
      </c>
      <c r="M1352" s="16" t="n">
        <f aca="false">K1352-L1352</f>
        <v>19.26</v>
      </c>
      <c r="N1352" s="17" t="n">
        <f aca="false">IFERROR(M1352/K1352,0)</f>
        <v>0.658236500341764</v>
      </c>
    </row>
    <row r="1353" customFormat="false" ht="15" hidden="false" customHeight="false" outlineLevel="0" collapsed="false">
      <c r="A1353" s="15" t="n">
        <v>46080</v>
      </c>
      <c r="B1353" s="14" t="s">
        <v>42</v>
      </c>
      <c r="C1353" s="14" t="s">
        <v>43</v>
      </c>
      <c r="D1353" s="14" t="s">
        <v>44</v>
      </c>
      <c r="E1353" s="14" t="s">
        <v>76</v>
      </c>
      <c r="F1353" s="14" t="s">
        <v>100</v>
      </c>
      <c r="G1353" s="14" t="s">
        <v>101</v>
      </c>
      <c r="H1353" s="0" t="n">
        <v>2</v>
      </c>
      <c r="I1353" s="16" t="n">
        <v>15.54</v>
      </c>
      <c r="J1353" s="16" t="n">
        <v>5.5</v>
      </c>
      <c r="K1353" s="16" t="n">
        <f aca="false">H1353*I1353</f>
        <v>31.08</v>
      </c>
      <c r="L1353" s="16" t="n">
        <f aca="false">H1353*J1353</f>
        <v>11</v>
      </c>
      <c r="M1353" s="16" t="n">
        <f aca="false">K1353-L1353</f>
        <v>20.08</v>
      </c>
      <c r="N1353" s="17" t="n">
        <f aca="false">IFERROR(M1353/K1353,0)</f>
        <v>0.646074646074646</v>
      </c>
    </row>
    <row r="1354" customFormat="false" ht="15" hidden="false" customHeight="false" outlineLevel="0" collapsed="false">
      <c r="A1354" s="15" t="n">
        <v>46080</v>
      </c>
      <c r="B1354" s="14" t="s">
        <v>42</v>
      </c>
      <c r="C1354" s="14" t="s">
        <v>43</v>
      </c>
      <c r="D1354" s="14" t="s">
        <v>44</v>
      </c>
      <c r="E1354" s="14" t="s">
        <v>76</v>
      </c>
      <c r="F1354" s="14" t="s">
        <v>100</v>
      </c>
      <c r="G1354" s="14" t="s">
        <v>101</v>
      </c>
      <c r="H1354" s="0" t="n">
        <v>7</v>
      </c>
      <c r="I1354" s="16" t="n">
        <v>15.05</v>
      </c>
      <c r="J1354" s="16" t="n">
        <v>5.5</v>
      </c>
      <c r="K1354" s="16" t="n">
        <f aca="false">H1354*I1354</f>
        <v>105.35</v>
      </c>
      <c r="L1354" s="16" t="n">
        <f aca="false">H1354*J1354</f>
        <v>38.5</v>
      </c>
      <c r="M1354" s="16" t="n">
        <f aca="false">K1354-L1354</f>
        <v>66.85</v>
      </c>
      <c r="N1354" s="17" t="n">
        <f aca="false">IFERROR(M1354/K1354,0)</f>
        <v>0.634551495016611</v>
      </c>
    </row>
    <row r="1355" customFormat="false" ht="15" hidden="false" customHeight="false" outlineLevel="0" collapsed="false">
      <c r="A1355" s="15" t="n">
        <v>46080</v>
      </c>
      <c r="B1355" s="14" t="s">
        <v>42</v>
      </c>
      <c r="C1355" s="14" t="s">
        <v>43</v>
      </c>
      <c r="D1355" s="14" t="s">
        <v>44</v>
      </c>
      <c r="E1355" s="14" t="s">
        <v>45</v>
      </c>
      <c r="F1355" s="14" t="s">
        <v>46</v>
      </c>
      <c r="G1355" s="14" t="s">
        <v>47</v>
      </c>
      <c r="H1355" s="0" t="n">
        <v>1</v>
      </c>
      <c r="I1355" s="16" t="n">
        <v>42.78</v>
      </c>
      <c r="J1355" s="16" t="n">
        <v>18</v>
      </c>
      <c r="K1355" s="16" t="n">
        <f aca="false">H1355*I1355</f>
        <v>42.78</v>
      </c>
      <c r="L1355" s="16" t="n">
        <f aca="false">H1355*J1355</f>
        <v>18</v>
      </c>
      <c r="M1355" s="16" t="n">
        <f aca="false">K1355-L1355</f>
        <v>24.78</v>
      </c>
      <c r="N1355" s="17" t="n">
        <f aca="false">IFERROR(M1355/K1355,0)</f>
        <v>0.579242636746143</v>
      </c>
    </row>
    <row r="1356" customFormat="false" ht="15" hidden="false" customHeight="false" outlineLevel="0" collapsed="false">
      <c r="A1356" s="15" t="n">
        <v>46080</v>
      </c>
      <c r="B1356" s="14" t="s">
        <v>42</v>
      </c>
      <c r="C1356" s="14" t="s">
        <v>43</v>
      </c>
      <c r="D1356" s="14" t="s">
        <v>44</v>
      </c>
      <c r="E1356" s="14" t="s">
        <v>76</v>
      </c>
      <c r="F1356" s="14" t="s">
        <v>79</v>
      </c>
      <c r="G1356" s="14" t="s">
        <v>80</v>
      </c>
      <c r="H1356" s="0" t="n">
        <v>6</v>
      </c>
      <c r="I1356" s="16" t="n">
        <v>29.89</v>
      </c>
      <c r="J1356" s="16" t="n">
        <v>11</v>
      </c>
      <c r="K1356" s="16" t="n">
        <f aca="false">H1356*I1356</f>
        <v>179.34</v>
      </c>
      <c r="L1356" s="16" t="n">
        <f aca="false">H1356*J1356</f>
        <v>66</v>
      </c>
      <c r="M1356" s="16" t="n">
        <f aca="false">K1356-L1356</f>
        <v>113.34</v>
      </c>
      <c r="N1356" s="17" t="n">
        <f aca="false">IFERROR(M1356/K1356,0)</f>
        <v>0.631983941117431</v>
      </c>
    </row>
    <row r="1357" customFormat="false" ht="15" hidden="false" customHeight="false" outlineLevel="0" collapsed="false">
      <c r="A1357" s="15" t="n">
        <v>46080</v>
      </c>
      <c r="B1357" s="14" t="s">
        <v>50</v>
      </c>
      <c r="C1357" s="14" t="s">
        <v>51</v>
      </c>
      <c r="D1357" s="14" t="s">
        <v>52</v>
      </c>
      <c r="E1357" s="14" t="s">
        <v>53</v>
      </c>
      <c r="F1357" s="14" t="s">
        <v>84</v>
      </c>
      <c r="G1357" s="14" t="s">
        <v>85</v>
      </c>
      <c r="H1357" s="0" t="n">
        <v>2</v>
      </c>
      <c r="I1357" s="16" t="n">
        <v>23.98</v>
      </c>
      <c r="J1357" s="16" t="n">
        <v>9</v>
      </c>
      <c r="K1357" s="16" t="n">
        <f aca="false">H1357*I1357</f>
        <v>47.96</v>
      </c>
      <c r="L1357" s="16" t="n">
        <f aca="false">H1357*J1357</f>
        <v>18</v>
      </c>
      <c r="M1357" s="16" t="n">
        <f aca="false">K1357-L1357</f>
        <v>29.96</v>
      </c>
      <c r="N1357" s="17" t="n">
        <f aca="false">IFERROR(M1357/K1357,0)</f>
        <v>0.624687239366139</v>
      </c>
    </row>
    <row r="1358" customFormat="false" ht="15" hidden="false" customHeight="false" outlineLevel="0" collapsed="false">
      <c r="A1358" s="15" t="n">
        <v>46080</v>
      </c>
      <c r="B1358" s="14" t="s">
        <v>50</v>
      </c>
      <c r="C1358" s="14" t="s">
        <v>51</v>
      </c>
      <c r="D1358" s="14" t="s">
        <v>52</v>
      </c>
      <c r="E1358" s="14" t="s">
        <v>53</v>
      </c>
      <c r="F1358" s="14" t="s">
        <v>84</v>
      </c>
      <c r="G1358" s="14" t="s">
        <v>85</v>
      </c>
      <c r="H1358" s="0" t="n">
        <v>3</v>
      </c>
      <c r="I1358" s="16" t="n">
        <v>24.29</v>
      </c>
      <c r="J1358" s="16" t="n">
        <v>9</v>
      </c>
      <c r="K1358" s="16" t="n">
        <f aca="false">H1358*I1358</f>
        <v>72.87</v>
      </c>
      <c r="L1358" s="16" t="n">
        <f aca="false">H1358*J1358</f>
        <v>27</v>
      </c>
      <c r="M1358" s="16" t="n">
        <f aca="false">K1358-L1358</f>
        <v>45.87</v>
      </c>
      <c r="N1358" s="17" t="n">
        <f aca="false">IFERROR(M1358/K1358,0)</f>
        <v>0.629477151090984</v>
      </c>
    </row>
    <row r="1359" customFormat="false" ht="15" hidden="false" customHeight="false" outlineLevel="0" collapsed="false">
      <c r="A1359" s="15" t="n">
        <v>46080</v>
      </c>
      <c r="B1359" s="14" t="s">
        <v>50</v>
      </c>
      <c r="C1359" s="14" t="s">
        <v>51</v>
      </c>
      <c r="D1359" s="14" t="s">
        <v>52</v>
      </c>
      <c r="E1359" s="14" t="s">
        <v>45</v>
      </c>
      <c r="F1359" s="14" t="s">
        <v>62</v>
      </c>
      <c r="G1359" s="14" t="s">
        <v>63</v>
      </c>
      <c r="H1359" s="0" t="n">
        <v>7</v>
      </c>
      <c r="I1359" s="16" t="n">
        <v>16.87</v>
      </c>
      <c r="J1359" s="16" t="n">
        <v>6.5</v>
      </c>
      <c r="K1359" s="16" t="n">
        <f aca="false">H1359*I1359</f>
        <v>118.09</v>
      </c>
      <c r="L1359" s="16" t="n">
        <f aca="false">H1359*J1359</f>
        <v>45.5</v>
      </c>
      <c r="M1359" s="16" t="n">
        <f aca="false">K1359-L1359</f>
        <v>72.59</v>
      </c>
      <c r="N1359" s="17" t="n">
        <f aca="false">IFERROR(M1359/K1359,0)</f>
        <v>0.61470065204505</v>
      </c>
    </row>
    <row r="1360" customFormat="false" ht="15" hidden="false" customHeight="false" outlineLevel="0" collapsed="false">
      <c r="A1360" s="15" t="n">
        <v>46080</v>
      </c>
      <c r="B1360" s="14" t="s">
        <v>50</v>
      </c>
      <c r="C1360" s="14" t="s">
        <v>51</v>
      </c>
      <c r="D1360" s="14" t="s">
        <v>52</v>
      </c>
      <c r="E1360" s="14" t="s">
        <v>45</v>
      </c>
      <c r="F1360" s="14" t="s">
        <v>72</v>
      </c>
      <c r="G1360" s="14" t="s">
        <v>73</v>
      </c>
      <c r="H1360" s="0" t="n">
        <v>5</v>
      </c>
      <c r="I1360" s="16" t="n">
        <v>48.27</v>
      </c>
      <c r="J1360" s="16" t="n">
        <v>21</v>
      </c>
      <c r="K1360" s="16" t="n">
        <f aca="false">H1360*I1360</f>
        <v>241.35</v>
      </c>
      <c r="L1360" s="16" t="n">
        <f aca="false">H1360*J1360</f>
        <v>105</v>
      </c>
      <c r="M1360" s="16" t="n">
        <f aca="false">K1360-L1360</f>
        <v>136.35</v>
      </c>
      <c r="N1360" s="17" t="n">
        <f aca="false">IFERROR(M1360/K1360,0)</f>
        <v>0.564947172156619</v>
      </c>
    </row>
    <row r="1361" customFormat="false" ht="15" hidden="false" customHeight="false" outlineLevel="0" collapsed="false">
      <c r="A1361" s="15" t="n">
        <v>46080</v>
      </c>
      <c r="B1361" s="14" t="s">
        <v>59</v>
      </c>
      <c r="C1361" s="14" t="s">
        <v>60</v>
      </c>
      <c r="D1361" s="14" t="s">
        <v>61</v>
      </c>
      <c r="E1361" s="14" t="s">
        <v>45</v>
      </c>
      <c r="F1361" s="14" t="s">
        <v>46</v>
      </c>
      <c r="G1361" s="14" t="s">
        <v>47</v>
      </c>
      <c r="H1361" s="0" t="n">
        <v>6</v>
      </c>
      <c r="I1361" s="16" t="n">
        <v>41.47</v>
      </c>
      <c r="J1361" s="16" t="n">
        <v>18</v>
      </c>
      <c r="K1361" s="16" t="n">
        <f aca="false">H1361*I1361</f>
        <v>248.82</v>
      </c>
      <c r="L1361" s="16" t="n">
        <f aca="false">H1361*J1361</f>
        <v>108</v>
      </c>
      <c r="M1361" s="16" t="n">
        <f aca="false">K1361-L1361</f>
        <v>140.82</v>
      </c>
      <c r="N1361" s="17" t="n">
        <f aca="false">IFERROR(M1361/K1361,0)</f>
        <v>0.565951290089221</v>
      </c>
    </row>
    <row r="1362" customFormat="false" ht="15" hidden="false" customHeight="false" outlineLevel="0" collapsed="false">
      <c r="A1362" s="15" t="n">
        <v>46080</v>
      </c>
      <c r="B1362" s="14" t="s">
        <v>59</v>
      </c>
      <c r="C1362" s="14" t="s">
        <v>60</v>
      </c>
      <c r="D1362" s="14" t="s">
        <v>61</v>
      </c>
      <c r="E1362" s="14" t="s">
        <v>64</v>
      </c>
      <c r="F1362" s="14" t="s">
        <v>96</v>
      </c>
      <c r="G1362" s="14" t="s">
        <v>97</v>
      </c>
      <c r="H1362" s="0" t="n">
        <v>1</v>
      </c>
      <c r="I1362" s="16" t="n">
        <v>58.68</v>
      </c>
      <c r="J1362" s="16" t="n">
        <v>24</v>
      </c>
      <c r="K1362" s="16" t="n">
        <f aca="false">H1362*I1362</f>
        <v>58.68</v>
      </c>
      <c r="L1362" s="16" t="n">
        <f aca="false">H1362*J1362</f>
        <v>24</v>
      </c>
      <c r="M1362" s="16" t="n">
        <f aca="false">K1362-L1362</f>
        <v>34.68</v>
      </c>
      <c r="N1362" s="17" t="n">
        <f aca="false">IFERROR(M1362/K1362,0)</f>
        <v>0.591002044989775</v>
      </c>
    </row>
    <row r="1363" customFormat="false" ht="15" hidden="false" customHeight="false" outlineLevel="0" collapsed="false">
      <c r="A1363" s="15" t="n">
        <v>46080</v>
      </c>
      <c r="B1363" s="14" t="s">
        <v>69</v>
      </c>
      <c r="C1363" s="14" t="s">
        <v>70</v>
      </c>
      <c r="D1363" s="14" t="s">
        <v>71</v>
      </c>
      <c r="E1363" s="14" t="s">
        <v>76</v>
      </c>
      <c r="F1363" s="14" t="s">
        <v>77</v>
      </c>
      <c r="G1363" s="14" t="s">
        <v>78</v>
      </c>
      <c r="H1363" s="0" t="n">
        <v>5</v>
      </c>
      <c r="I1363" s="16" t="n">
        <v>41.68</v>
      </c>
      <c r="J1363" s="16" t="n">
        <v>15</v>
      </c>
      <c r="K1363" s="16" t="n">
        <f aca="false">H1363*I1363</f>
        <v>208.4</v>
      </c>
      <c r="L1363" s="16" t="n">
        <f aca="false">H1363*J1363</f>
        <v>75</v>
      </c>
      <c r="M1363" s="16" t="n">
        <f aca="false">K1363-L1363</f>
        <v>133.4</v>
      </c>
      <c r="N1363" s="17" t="n">
        <f aca="false">IFERROR(M1363/K1363,0)</f>
        <v>0.640115163147793</v>
      </c>
    </row>
    <row r="1364" customFormat="false" ht="15" hidden="false" customHeight="false" outlineLevel="0" collapsed="false">
      <c r="A1364" s="15" t="n">
        <v>46080</v>
      </c>
      <c r="B1364" s="14" t="s">
        <v>69</v>
      </c>
      <c r="C1364" s="14" t="s">
        <v>70</v>
      </c>
      <c r="D1364" s="14" t="s">
        <v>71</v>
      </c>
      <c r="E1364" s="14" t="s">
        <v>56</v>
      </c>
      <c r="F1364" s="14" t="s">
        <v>98</v>
      </c>
      <c r="G1364" s="14" t="s">
        <v>99</v>
      </c>
      <c r="H1364" s="0" t="n">
        <v>7</v>
      </c>
      <c r="I1364" s="16" t="n">
        <v>21.08</v>
      </c>
      <c r="J1364" s="16" t="n">
        <v>8</v>
      </c>
      <c r="K1364" s="16" t="n">
        <f aca="false">H1364*I1364</f>
        <v>147.56</v>
      </c>
      <c r="L1364" s="16" t="n">
        <f aca="false">H1364*J1364</f>
        <v>56</v>
      </c>
      <c r="M1364" s="16" t="n">
        <f aca="false">K1364-L1364</f>
        <v>91.56</v>
      </c>
      <c r="N1364" s="17" t="n">
        <f aca="false">IFERROR(M1364/K1364,0)</f>
        <v>0.620493358633776</v>
      </c>
    </row>
    <row r="1365" customFormat="false" ht="15" hidden="false" customHeight="false" outlineLevel="0" collapsed="false">
      <c r="A1365" s="15" t="n">
        <v>46080</v>
      </c>
      <c r="B1365" s="14" t="s">
        <v>69</v>
      </c>
      <c r="C1365" s="14" t="s">
        <v>70</v>
      </c>
      <c r="D1365" s="14" t="s">
        <v>71</v>
      </c>
      <c r="E1365" s="14" t="s">
        <v>64</v>
      </c>
      <c r="F1365" s="14" t="s">
        <v>65</v>
      </c>
      <c r="G1365" s="14" t="s">
        <v>66</v>
      </c>
      <c r="H1365" s="0" t="n">
        <v>3</v>
      </c>
      <c r="I1365" s="16" t="n">
        <v>72.7</v>
      </c>
      <c r="J1365" s="16" t="n">
        <v>34</v>
      </c>
      <c r="K1365" s="16" t="n">
        <f aca="false">H1365*I1365</f>
        <v>218.1</v>
      </c>
      <c r="L1365" s="16" t="n">
        <f aca="false">H1365*J1365</f>
        <v>102</v>
      </c>
      <c r="M1365" s="16" t="n">
        <f aca="false">K1365-L1365</f>
        <v>116.1</v>
      </c>
      <c r="N1365" s="17" t="n">
        <f aca="false">IFERROR(M1365/K1365,0)</f>
        <v>0.53232462173315</v>
      </c>
    </row>
    <row r="1366" customFormat="false" ht="15" hidden="false" customHeight="false" outlineLevel="0" collapsed="false">
      <c r="A1366" s="15" t="n">
        <v>46080</v>
      </c>
      <c r="B1366" s="14" t="s">
        <v>69</v>
      </c>
      <c r="C1366" s="14" t="s">
        <v>70</v>
      </c>
      <c r="D1366" s="14" t="s">
        <v>71</v>
      </c>
      <c r="E1366" s="14" t="s">
        <v>64</v>
      </c>
      <c r="F1366" s="14" t="s">
        <v>65</v>
      </c>
      <c r="G1366" s="14" t="s">
        <v>66</v>
      </c>
      <c r="H1366" s="0" t="n">
        <v>4</v>
      </c>
      <c r="I1366" s="16" t="n">
        <v>74.79</v>
      </c>
      <c r="J1366" s="16" t="n">
        <v>34</v>
      </c>
      <c r="K1366" s="16" t="n">
        <f aca="false">H1366*I1366</f>
        <v>299.16</v>
      </c>
      <c r="L1366" s="16" t="n">
        <f aca="false">H1366*J1366</f>
        <v>136</v>
      </c>
      <c r="M1366" s="16" t="n">
        <f aca="false">K1366-L1366</f>
        <v>163.16</v>
      </c>
      <c r="N1366" s="17" t="n">
        <f aca="false">IFERROR(M1366/K1366,0)</f>
        <v>0.545393769220484</v>
      </c>
    </row>
    <row r="1367" customFormat="false" ht="15" hidden="false" customHeight="false" outlineLevel="0" collapsed="false">
      <c r="A1367" s="15" t="n">
        <v>46080</v>
      </c>
      <c r="B1367" s="14" t="s">
        <v>69</v>
      </c>
      <c r="C1367" s="14" t="s">
        <v>70</v>
      </c>
      <c r="D1367" s="14" t="s">
        <v>71</v>
      </c>
      <c r="E1367" s="14" t="s">
        <v>76</v>
      </c>
      <c r="F1367" s="14" t="s">
        <v>100</v>
      </c>
      <c r="G1367" s="14" t="s">
        <v>101</v>
      </c>
      <c r="H1367" s="0" t="n">
        <v>1</v>
      </c>
      <c r="I1367" s="16" t="n">
        <v>15.53</v>
      </c>
      <c r="J1367" s="16" t="n">
        <v>5.5</v>
      </c>
      <c r="K1367" s="16" t="n">
        <f aca="false">H1367*I1367</f>
        <v>15.53</v>
      </c>
      <c r="L1367" s="16" t="n">
        <f aca="false">H1367*J1367</f>
        <v>5.5</v>
      </c>
      <c r="M1367" s="16" t="n">
        <f aca="false">K1367-L1367</f>
        <v>10.03</v>
      </c>
      <c r="N1367" s="17" t="n">
        <f aca="false">IFERROR(M1367/K1367,0)</f>
        <v>0.645846748229234</v>
      </c>
    </row>
    <row r="1368" customFormat="false" ht="15" hidden="false" customHeight="false" outlineLevel="0" collapsed="false">
      <c r="A1368" s="15" t="n">
        <v>46080</v>
      </c>
      <c r="B1368" s="14" t="s">
        <v>81</v>
      </c>
      <c r="C1368" s="14" t="s">
        <v>82</v>
      </c>
      <c r="D1368" s="14" t="s">
        <v>83</v>
      </c>
      <c r="E1368" s="14" t="s">
        <v>76</v>
      </c>
      <c r="F1368" s="14" t="s">
        <v>102</v>
      </c>
      <c r="G1368" s="14" t="s">
        <v>103</v>
      </c>
      <c r="H1368" s="0" t="n">
        <v>1</v>
      </c>
      <c r="I1368" s="16" t="n">
        <v>23.7</v>
      </c>
      <c r="J1368" s="16" t="n">
        <v>8.5</v>
      </c>
      <c r="K1368" s="16" t="n">
        <f aca="false">H1368*I1368</f>
        <v>23.7</v>
      </c>
      <c r="L1368" s="16" t="n">
        <f aca="false">H1368*J1368</f>
        <v>8.5</v>
      </c>
      <c r="M1368" s="16" t="n">
        <f aca="false">K1368-L1368</f>
        <v>15.2</v>
      </c>
      <c r="N1368" s="17" t="n">
        <f aca="false">IFERROR(M1368/K1368,0)</f>
        <v>0.641350210970464</v>
      </c>
    </row>
    <row r="1369" customFormat="false" ht="15" hidden="false" customHeight="false" outlineLevel="0" collapsed="false">
      <c r="A1369" s="15" t="n">
        <v>46080</v>
      </c>
      <c r="B1369" s="14" t="s">
        <v>81</v>
      </c>
      <c r="C1369" s="14" t="s">
        <v>82</v>
      </c>
      <c r="D1369" s="14" t="s">
        <v>83</v>
      </c>
      <c r="E1369" s="14" t="s">
        <v>76</v>
      </c>
      <c r="F1369" s="14" t="s">
        <v>77</v>
      </c>
      <c r="G1369" s="14" t="s">
        <v>78</v>
      </c>
      <c r="H1369" s="0" t="n">
        <v>2</v>
      </c>
      <c r="I1369" s="16" t="n">
        <v>40.5</v>
      </c>
      <c r="J1369" s="16" t="n">
        <v>15</v>
      </c>
      <c r="K1369" s="16" t="n">
        <f aca="false">H1369*I1369</f>
        <v>81</v>
      </c>
      <c r="L1369" s="16" t="n">
        <f aca="false">H1369*J1369</f>
        <v>30</v>
      </c>
      <c r="M1369" s="16" t="n">
        <f aca="false">K1369-L1369</f>
        <v>51</v>
      </c>
      <c r="N1369" s="17" t="n">
        <f aca="false">IFERROR(M1369/K1369,0)</f>
        <v>0.62962962962963</v>
      </c>
    </row>
    <row r="1370" customFormat="false" ht="15" hidden="false" customHeight="false" outlineLevel="0" collapsed="false">
      <c r="A1370" s="15" t="n">
        <v>46080</v>
      </c>
      <c r="B1370" s="14" t="s">
        <v>88</v>
      </c>
      <c r="C1370" s="14" t="s">
        <v>89</v>
      </c>
      <c r="D1370" s="14" t="s">
        <v>44</v>
      </c>
      <c r="E1370" s="14" t="s">
        <v>53</v>
      </c>
      <c r="F1370" s="14" t="s">
        <v>92</v>
      </c>
      <c r="G1370" s="14" t="s">
        <v>93</v>
      </c>
      <c r="H1370" s="0" t="n">
        <v>6</v>
      </c>
      <c r="I1370" s="16" t="n">
        <v>119.01</v>
      </c>
      <c r="J1370" s="16" t="n">
        <v>52</v>
      </c>
      <c r="K1370" s="16" t="n">
        <f aca="false">H1370*I1370</f>
        <v>714.06</v>
      </c>
      <c r="L1370" s="16" t="n">
        <f aca="false">H1370*J1370</f>
        <v>312</v>
      </c>
      <c r="M1370" s="16" t="n">
        <f aca="false">K1370-L1370</f>
        <v>402.06</v>
      </c>
      <c r="N1370" s="17" t="n">
        <f aca="false">IFERROR(M1370/K1370,0)</f>
        <v>0.563061927569112</v>
      </c>
    </row>
    <row r="1371" customFormat="false" ht="15" hidden="false" customHeight="false" outlineLevel="0" collapsed="false">
      <c r="A1371" s="15" t="n">
        <v>46080</v>
      </c>
      <c r="B1371" s="14" t="s">
        <v>88</v>
      </c>
      <c r="C1371" s="14" t="s">
        <v>89</v>
      </c>
      <c r="D1371" s="14" t="s">
        <v>44</v>
      </c>
      <c r="E1371" s="14" t="s">
        <v>76</v>
      </c>
      <c r="F1371" s="14" t="s">
        <v>100</v>
      </c>
      <c r="G1371" s="14" t="s">
        <v>101</v>
      </c>
      <c r="H1371" s="0" t="n">
        <v>2</v>
      </c>
      <c r="I1371" s="16" t="n">
        <v>15.85</v>
      </c>
      <c r="J1371" s="16" t="n">
        <v>5.5</v>
      </c>
      <c r="K1371" s="16" t="n">
        <f aca="false">H1371*I1371</f>
        <v>31.7</v>
      </c>
      <c r="L1371" s="16" t="n">
        <f aca="false">H1371*J1371</f>
        <v>11</v>
      </c>
      <c r="M1371" s="16" t="n">
        <f aca="false">K1371-L1371</f>
        <v>20.7</v>
      </c>
      <c r="N1371" s="17" t="n">
        <f aca="false">IFERROR(M1371/K1371,0)</f>
        <v>0.652996845425867</v>
      </c>
    </row>
    <row r="1372" customFormat="false" ht="15" hidden="false" customHeight="false" outlineLevel="0" collapsed="false">
      <c r="A1372" s="15" t="n">
        <v>46080</v>
      </c>
      <c r="B1372" s="14" t="s">
        <v>88</v>
      </c>
      <c r="C1372" s="14" t="s">
        <v>89</v>
      </c>
      <c r="D1372" s="14" t="s">
        <v>44</v>
      </c>
      <c r="E1372" s="14" t="s">
        <v>64</v>
      </c>
      <c r="F1372" s="14" t="s">
        <v>96</v>
      </c>
      <c r="G1372" s="14" t="s">
        <v>97</v>
      </c>
      <c r="H1372" s="0" t="n">
        <v>3</v>
      </c>
      <c r="I1372" s="16" t="n">
        <v>54.45</v>
      </c>
      <c r="J1372" s="16" t="n">
        <v>24</v>
      </c>
      <c r="K1372" s="16" t="n">
        <f aca="false">H1372*I1372</f>
        <v>163.35</v>
      </c>
      <c r="L1372" s="16" t="n">
        <f aca="false">H1372*J1372</f>
        <v>72</v>
      </c>
      <c r="M1372" s="16" t="n">
        <f aca="false">K1372-L1372</f>
        <v>91.35</v>
      </c>
      <c r="N1372" s="17" t="n">
        <f aca="false">IFERROR(M1372/K1372,0)</f>
        <v>0.559228650137741</v>
      </c>
    </row>
    <row r="1373" customFormat="false" ht="15" hidden="false" customHeight="false" outlineLevel="0" collapsed="false">
      <c r="A1373" s="15" t="n">
        <v>46080</v>
      </c>
      <c r="B1373" s="14" t="s">
        <v>88</v>
      </c>
      <c r="C1373" s="14" t="s">
        <v>89</v>
      </c>
      <c r="D1373" s="14" t="s">
        <v>44</v>
      </c>
      <c r="E1373" s="14" t="s">
        <v>45</v>
      </c>
      <c r="F1373" s="14" t="s">
        <v>62</v>
      </c>
      <c r="G1373" s="14" t="s">
        <v>63</v>
      </c>
      <c r="H1373" s="0" t="n">
        <v>8</v>
      </c>
      <c r="I1373" s="16" t="n">
        <v>17.12</v>
      </c>
      <c r="J1373" s="16" t="n">
        <v>6.5</v>
      </c>
      <c r="K1373" s="16" t="n">
        <f aca="false">H1373*I1373</f>
        <v>136.96</v>
      </c>
      <c r="L1373" s="16" t="n">
        <f aca="false">H1373*J1373</f>
        <v>52</v>
      </c>
      <c r="M1373" s="16" t="n">
        <f aca="false">K1373-L1373</f>
        <v>84.96</v>
      </c>
      <c r="N1373" s="17" t="n">
        <f aca="false">IFERROR(M1373/K1373,0)</f>
        <v>0.620327102803738</v>
      </c>
    </row>
    <row r="1374" customFormat="false" ht="15" hidden="false" customHeight="false" outlineLevel="0" collapsed="false">
      <c r="A1374" s="15" t="n">
        <v>46080</v>
      </c>
      <c r="B1374" s="14" t="s">
        <v>88</v>
      </c>
      <c r="C1374" s="14" t="s">
        <v>89</v>
      </c>
      <c r="D1374" s="14" t="s">
        <v>44</v>
      </c>
      <c r="E1374" s="14" t="s">
        <v>56</v>
      </c>
      <c r="F1374" s="14" t="s">
        <v>67</v>
      </c>
      <c r="G1374" s="14" t="s">
        <v>68</v>
      </c>
      <c r="H1374" s="0" t="n">
        <v>8</v>
      </c>
      <c r="I1374" s="16" t="n">
        <v>36.58</v>
      </c>
      <c r="J1374" s="16" t="n">
        <v>15</v>
      </c>
      <c r="K1374" s="16" t="n">
        <f aca="false">H1374*I1374</f>
        <v>292.64</v>
      </c>
      <c r="L1374" s="16" t="n">
        <f aca="false">H1374*J1374</f>
        <v>120</v>
      </c>
      <c r="M1374" s="16" t="n">
        <f aca="false">K1374-L1374</f>
        <v>172.64</v>
      </c>
      <c r="N1374" s="17" t="n">
        <f aca="false">IFERROR(M1374/K1374,0)</f>
        <v>0.589939857845817</v>
      </c>
    </row>
    <row r="1375" customFormat="false" ht="15" hidden="false" customHeight="false" outlineLevel="0" collapsed="false">
      <c r="A1375" s="15" t="n">
        <v>46081</v>
      </c>
      <c r="B1375" s="14" t="s">
        <v>42</v>
      </c>
      <c r="C1375" s="14" t="s">
        <v>43</v>
      </c>
      <c r="D1375" s="14" t="s">
        <v>44</v>
      </c>
      <c r="E1375" s="14" t="s">
        <v>45</v>
      </c>
      <c r="F1375" s="14" t="s">
        <v>48</v>
      </c>
      <c r="G1375" s="14" t="s">
        <v>49</v>
      </c>
      <c r="H1375" s="0" t="n">
        <v>9</v>
      </c>
      <c r="I1375" s="16" t="n">
        <v>62.86</v>
      </c>
      <c r="J1375" s="16" t="n">
        <v>27.5</v>
      </c>
      <c r="K1375" s="16" t="n">
        <f aca="false">H1375*I1375</f>
        <v>565.74</v>
      </c>
      <c r="L1375" s="16" t="n">
        <f aca="false">H1375*J1375</f>
        <v>247.5</v>
      </c>
      <c r="M1375" s="16" t="n">
        <f aca="false">K1375-L1375</f>
        <v>318.24</v>
      </c>
      <c r="N1375" s="17" t="n">
        <f aca="false">IFERROR(M1375/K1375,0)</f>
        <v>0.562519885459752</v>
      </c>
    </row>
    <row r="1376" customFormat="false" ht="15" hidden="false" customHeight="false" outlineLevel="0" collapsed="false">
      <c r="A1376" s="15" t="n">
        <v>46081</v>
      </c>
      <c r="B1376" s="14" t="s">
        <v>42</v>
      </c>
      <c r="C1376" s="14" t="s">
        <v>43</v>
      </c>
      <c r="D1376" s="14" t="s">
        <v>44</v>
      </c>
      <c r="E1376" s="14" t="s">
        <v>45</v>
      </c>
      <c r="F1376" s="14" t="s">
        <v>72</v>
      </c>
      <c r="G1376" s="14" t="s">
        <v>73</v>
      </c>
      <c r="H1376" s="0" t="n">
        <v>3</v>
      </c>
      <c r="I1376" s="16" t="n">
        <v>48.72</v>
      </c>
      <c r="J1376" s="16" t="n">
        <v>21</v>
      </c>
      <c r="K1376" s="16" t="n">
        <f aca="false">H1376*I1376</f>
        <v>146.16</v>
      </c>
      <c r="L1376" s="16" t="n">
        <f aca="false">H1376*J1376</f>
        <v>63</v>
      </c>
      <c r="M1376" s="16" t="n">
        <f aca="false">K1376-L1376</f>
        <v>83.16</v>
      </c>
      <c r="N1376" s="17" t="n">
        <f aca="false">IFERROR(M1376/K1376,0)</f>
        <v>0.568965517241379</v>
      </c>
    </row>
    <row r="1377" customFormat="false" ht="15" hidden="false" customHeight="false" outlineLevel="0" collapsed="false">
      <c r="A1377" s="15" t="n">
        <v>46081</v>
      </c>
      <c r="B1377" s="14" t="s">
        <v>42</v>
      </c>
      <c r="C1377" s="14" t="s">
        <v>43</v>
      </c>
      <c r="D1377" s="14" t="s">
        <v>44</v>
      </c>
      <c r="E1377" s="14" t="s">
        <v>56</v>
      </c>
      <c r="F1377" s="14" t="s">
        <v>57</v>
      </c>
      <c r="G1377" s="14" t="s">
        <v>58</v>
      </c>
      <c r="H1377" s="0" t="n">
        <v>5</v>
      </c>
      <c r="I1377" s="16" t="n">
        <v>26.44</v>
      </c>
      <c r="J1377" s="16" t="n">
        <v>10</v>
      </c>
      <c r="K1377" s="16" t="n">
        <f aca="false">H1377*I1377</f>
        <v>132.2</v>
      </c>
      <c r="L1377" s="16" t="n">
        <f aca="false">H1377*J1377</f>
        <v>50</v>
      </c>
      <c r="M1377" s="16" t="n">
        <f aca="false">K1377-L1377</f>
        <v>82.2</v>
      </c>
      <c r="N1377" s="17" t="n">
        <f aca="false">IFERROR(M1377/K1377,0)</f>
        <v>0.62178517397882</v>
      </c>
    </row>
    <row r="1378" customFormat="false" ht="15" hidden="false" customHeight="false" outlineLevel="0" collapsed="false">
      <c r="A1378" s="15" t="n">
        <v>46081</v>
      </c>
      <c r="B1378" s="14" t="s">
        <v>42</v>
      </c>
      <c r="C1378" s="14" t="s">
        <v>43</v>
      </c>
      <c r="D1378" s="14" t="s">
        <v>44</v>
      </c>
      <c r="E1378" s="14" t="s">
        <v>53</v>
      </c>
      <c r="F1378" s="14" t="s">
        <v>74</v>
      </c>
      <c r="G1378" s="14" t="s">
        <v>75</v>
      </c>
      <c r="H1378" s="0" t="n">
        <v>1</v>
      </c>
      <c r="I1378" s="16" t="n">
        <v>87.12</v>
      </c>
      <c r="J1378" s="16" t="n">
        <v>38</v>
      </c>
      <c r="K1378" s="16" t="n">
        <f aca="false">H1378*I1378</f>
        <v>87.12</v>
      </c>
      <c r="L1378" s="16" t="n">
        <f aca="false">H1378*J1378</f>
        <v>38</v>
      </c>
      <c r="M1378" s="16" t="n">
        <f aca="false">K1378-L1378</f>
        <v>49.12</v>
      </c>
      <c r="N1378" s="17" t="n">
        <f aca="false">IFERROR(M1378/K1378,0)</f>
        <v>0.563820018365473</v>
      </c>
    </row>
    <row r="1379" customFormat="false" ht="15" hidden="false" customHeight="false" outlineLevel="0" collapsed="false">
      <c r="A1379" s="15" t="n">
        <v>46081</v>
      </c>
      <c r="B1379" s="14" t="s">
        <v>42</v>
      </c>
      <c r="C1379" s="14" t="s">
        <v>43</v>
      </c>
      <c r="D1379" s="14" t="s">
        <v>44</v>
      </c>
      <c r="E1379" s="14" t="s">
        <v>64</v>
      </c>
      <c r="F1379" s="14" t="s">
        <v>65</v>
      </c>
      <c r="G1379" s="14" t="s">
        <v>66</v>
      </c>
      <c r="H1379" s="0" t="n">
        <v>10</v>
      </c>
      <c r="I1379" s="16" t="n">
        <v>78.41</v>
      </c>
      <c r="J1379" s="16" t="n">
        <v>34</v>
      </c>
      <c r="K1379" s="16" t="n">
        <f aca="false">H1379*I1379</f>
        <v>784.1</v>
      </c>
      <c r="L1379" s="16" t="n">
        <f aca="false">H1379*J1379</f>
        <v>340</v>
      </c>
      <c r="M1379" s="16" t="n">
        <f aca="false">K1379-L1379</f>
        <v>444.1</v>
      </c>
      <c r="N1379" s="17" t="n">
        <f aca="false">IFERROR(M1379/K1379,0)</f>
        <v>0.566381839051141</v>
      </c>
    </row>
    <row r="1380" customFormat="false" ht="15" hidden="false" customHeight="false" outlineLevel="0" collapsed="false">
      <c r="A1380" s="15" t="n">
        <v>46081</v>
      </c>
      <c r="B1380" s="14" t="s">
        <v>50</v>
      </c>
      <c r="C1380" s="14" t="s">
        <v>51</v>
      </c>
      <c r="D1380" s="14" t="s">
        <v>52</v>
      </c>
      <c r="E1380" s="14" t="s">
        <v>45</v>
      </c>
      <c r="F1380" s="14" t="s">
        <v>62</v>
      </c>
      <c r="G1380" s="14" t="s">
        <v>63</v>
      </c>
      <c r="H1380" s="0" t="n">
        <v>4</v>
      </c>
      <c r="I1380" s="16" t="n">
        <v>16.58</v>
      </c>
      <c r="J1380" s="16" t="n">
        <v>6.5</v>
      </c>
      <c r="K1380" s="16" t="n">
        <f aca="false">H1380*I1380</f>
        <v>66.32</v>
      </c>
      <c r="L1380" s="16" t="n">
        <f aca="false">H1380*J1380</f>
        <v>26</v>
      </c>
      <c r="M1380" s="16" t="n">
        <f aca="false">K1380-L1380</f>
        <v>40.32</v>
      </c>
      <c r="N1380" s="17" t="n">
        <f aca="false">IFERROR(M1380/K1380,0)</f>
        <v>0.607961399276236</v>
      </c>
    </row>
    <row r="1381" customFormat="false" ht="15" hidden="false" customHeight="false" outlineLevel="0" collapsed="false">
      <c r="A1381" s="15" t="n">
        <v>46081</v>
      </c>
      <c r="B1381" s="14" t="s">
        <v>50</v>
      </c>
      <c r="C1381" s="14" t="s">
        <v>51</v>
      </c>
      <c r="D1381" s="14" t="s">
        <v>52</v>
      </c>
      <c r="E1381" s="14" t="s">
        <v>45</v>
      </c>
      <c r="F1381" s="14" t="s">
        <v>46</v>
      </c>
      <c r="G1381" s="14" t="s">
        <v>47</v>
      </c>
      <c r="H1381" s="0" t="n">
        <v>3</v>
      </c>
      <c r="I1381" s="16" t="n">
        <v>43.04</v>
      </c>
      <c r="J1381" s="16" t="n">
        <v>18</v>
      </c>
      <c r="K1381" s="16" t="n">
        <f aca="false">H1381*I1381</f>
        <v>129.12</v>
      </c>
      <c r="L1381" s="16" t="n">
        <f aca="false">H1381*J1381</f>
        <v>54</v>
      </c>
      <c r="M1381" s="16" t="n">
        <f aca="false">K1381-L1381</f>
        <v>75.12</v>
      </c>
      <c r="N1381" s="17" t="n">
        <f aca="false">IFERROR(M1381/K1381,0)</f>
        <v>0.5817843866171</v>
      </c>
    </row>
    <row r="1382" customFormat="false" ht="15" hidden="false" customHeight="false" outlineLevel="0" collapsed="false">
      <c r="A1382" s="15" t="n">
        <v>46081</v>
      </c>
      <c r="B1382" s="14" t="s">
        <v>50</v>
      </c>
      <c r="C1382" s="14" t="s">
        <v>51</v>
      </c>
      <c r="D1382" s="14" t="s">
        <v>52</v>
      </c>
      <c r="E1382" s="14" t="s">
        <v>53</v>
      </c>
      <c r="F1382" s="14" t="s">
        <v>74</v>
      </c>
      <c r="G1382" s="14" t="s">
        <v>75</v>
      </c>
      <c r="H1382" s="0" t="n">
        <v>2</v>
      </c>
      <c r="I1382" s="16" t="n">
        <v>82.69</v>
      </c>
      <c r="J1382" s="16" t="n">
        <v>38</v>
      </c>
      <c r="K1382" s="16" t="n">
        <f aca="false">H1382*I1382</f>
        <v>165.38</v>
      </c>
      <c r="L1382" s="16" t="n">
        <f aca="false">H1382*J1382</f>
        <v>76</v>
      </c>
      <c r="M1382" s="16" t="n">
        <f aca="false">K1382-L1382</f>
        <v>89.38</v>
      </c>
      <c r="N1382" s="17" t="n">
        <f aca="false">IFERROR(M1382/K1382,0)</f>
        <v>0.540452291691861</v>
      </c>
    </row>
    <row r="1383" customFormat="false" ht="15" hidden="false" customHeight="false" outlineLevel="0" collapsed="false">
      <c r="A1383" s="15" t="n">
        <v>46081</v>
      </c>
      <c r="B1383" s="14" t="s">
        <v>50</v>
      </c>
      <c r="C1383" s="14" t="s">
        <v>51</v>
      </c>
      <c r="D1383" s="14" t="s">
        <v>52</v>
      </c>
      <c r="E1383" s="14" t="s">
        <v>56</v>
      </c>
      <c r="F1383" s="14" t="s">
        <v>86</v>
      </c>
      <c r="G1383" s="14" t="s">
        <v>87</v>
      </c>
      <c r="H1383" s="0" t="n">
        <v>3</v>
      </c>
      <c r="I1383" s="16" t="n">
        <v>14.77</v>
      </c>
      <c r="J1383" s="16" t="n">
        <v>5</v>
      </c>
      <c r="K1383" s="16" t="n">
        <f aca="false">H1383*I1383</f>
        <v>44.31</v>
      </c>
      <c r="L1383" s="16" t="n">
        <f aca="false">H1383*J1383</f>
        <v>15</v>
      </c>
      <c r="M1383" s="16" t="n">
        <f aca="false">K1383-L1383</f>
        <v>29.31</v>
      </c>
      <c r="N1383" s="17" t="n">
        <f aca="false">IFERROR(M1383/K1383,0)</f>
        <v>0.6614759647935</v>
      </c>
    </row>
    <row r="1384" customFormat="false" ht="15" hidden="false" customHeight="false" outlineLevel="0" collapsed="false">
      <c r="A1384" s="15" t="n">
        <v>46081</v>
      </c>
      <c r="B1384" s="14" t="s">
        <v>50</v>
      </c>
      <c r="C1384" s="14" t="s">
        <v>51</v>
      </c>
      <c r="D1384" s="14" t="s">
        <v>52</v>
      </c>
      <c r="E1384" s="14" t="s">
        <v>64</v>
      </c>
      <c r="F1384" s="14" t="s">
        <v>94</v>
      </c>
      <c r="G1384" s="14" t="s">
        <v>95</v>
      </c>
      <c r="H1384" s="0" t="n">
        <v>8</v>
      </c>
      <c r="I1384" s="16" t="n">
        <v>93.65</v>
      </c>
      <c r="J1384" s="16" t="n">
        <v>42</v>
      </c>
      <c r="K1384" s="16" t="n">
        <f aca="false">H1384*I1384</f>
        <v>749.2</v>
      </c>
      <c r="L1384" s="16" t="n">
        <f aca="false">H1384*J1384</f>
        <v>336</v>
      </c>
      <c r="M1384" s="16" t="n">
        <f aca="false">K1384-L1384</f>
        <v>413.2</v>
      </c>
      <c r="N1384" s="17" t="n">
        <f aca="false">IFERROR(M1384/K1384,0)</f>
        <v>0.551521623064602</v>
      </c>
    </row>
    <row r="1385" customFormat="false" ht="15" hidden="false" customHeight="false" outlineLevel="0" collapsed="false">
      <c r="A1385" s="15" t="n">
        <v>46081</v>
      </c>
      <c r="B1385" s="14" t="s">
        <v>50</v>
      </c>
      <c r="C1385" s="14" t="s">
        <v>51</v>
      </c>
      <c r="D1385" s="14" t="s">
        <v>52</v>
      </c>
      <c r="E1385" s="14" t="s">
        <v>56</v>
      </c>
      <c r="F1385" s="14" t="s">
        <v>86</v>
      </c>
      <c r="G1385" s="14" t="s">
        <v>87</v>
      </c>
      <c r="H1385" s="0" t="n">
        <v>9</v>
      </c>
      <c r="I1385" s="16" t="n">
        <v>14.8</v>
      </c>
      <c r="J1385" s="16" t="n">
        <v>5</v>
      </c>
      <c r="K1385" s="16" t="n">
        <f aca="false">H1385*I1385</f>
        <v>133.2</v>
      </c>
      <c r="L1385" s="16" t="n">
        <f aca="false">H1385*J1385</f>
        <v>45</v>
      </c>
      <c r="M1385" s="16" t="n">
        <f aca="false">K1385-L1385</f>
        <v>88.2</v>
      </c>
      <c r="N1385" s="17" t="n">
        <f aca="false">IFERROR(M1385/K1385,0)</f>
        <v>0.662162162162162</v>
      </c>
    </row>
    <row r="1386" customFormat="false" ht="15" hidden="false" customHeight="false" outlineLevel="0" collapsed="false">
      <c r="A1386" s="15" t="n">
        <v>46081</v>
      </c>
      <c r="B1386" s="14" t="s">
        <v>59</v>
      </c>
      <c r="C1386" s="14" t="s">
        <v>60</v>
      </c>
      <c r="D1386" s="14" t="s">
        <v>61</v>
      </c>
      <c r="E1386" s="14" t="s">
        <v>45</v>
      </c>
      <c r="F1386" s="14" t="s">
        <v>62</v>
      </c>
      <c r="G1386" s="14" t="s">
        <v>63</v>
      </c>
      <c r="H1386" s="0" t="n">
        <v>6</v>
      </c>
      <c r="I1386" s="16" t="n">
        <v>16.65</v>
      </c>
      <c r="J1386" s="16" t="n">
        <v>6.5</v>
      </c>
      <c r="K1386" s="16" t="n">
        <f aca="false">H1386*I1386</f>
        <v>99.9</v>
      </c>
      <c r="L1386" s="16" t="n">
        <f aca="false">H1386*J1386</f>
        <v>39</v>
      </c>
      <c r="M1386" s="16" t="n">
        <f aca="false">K1386-L1386</f>
        <v>60.9</v>
      </c>
      <c r="N1386" s="17" t="n">
        <f aca="false">IFERROR(M1386/K1386,0)</f>
        <v>0.60960960960961</v>
      </c>
    </row>
    <row r="1387" customFormat="false" ht="15" hidden="false" customHeight="false" outlineLevel="0" collapsed="false">
      <c r="A1387" s="15" t="n">
        <v>46081</v>
      </c>
      <c r="B1387" s="14" t="s">
        <v>59</v>
      </c>
      <c r="C1387" s="14" t="s">
        <v>60</v>
      </c>
      <c r="D1387" s="14" t="s">
        <v>61</v>
      </c>
      <c r="E1387" s="14" t="s">
        <v>76</v>
      </c>
      <c r="F1387" s="14" t="s">
        <v>77</v>
      </c>
      <c r="G1387" s="14" t="s">
        <v>78</v>
      </c>
      <c r="H1387" s="0" t="n">
        <v>7</v>
      </c>
      <c r="I1387" s="16" t="n">
        <v>39.2</v>
      </c>
      <c r="J1387" s="16" t="n">
        <v>15</v>
      </c>
      <c r="K1387" s="16" t="n">
        <f aca="false">H1387*I1387</f>
        <v>274.4</v>
      </c>
      <c r="L1387" s="16" t="n">
        <f aca="false">H1387*J1387</f>
        <v>105</v>
      </c>
      <c r="M1387" s="16" t="n">
        <f aca="false">K1387-L1387</f>
        <v>169.4</v>
      </c>
      <c r="N1387" s="17" t="n">
        <f aca="false">IFERROR(M1387/K1387,0)</f>
        <v>0.61734693877551</v>
      </c>
    </row>
    <row r="1388" customFormat="false" ht="15" hidden="false" customHeight="false" outlineLevel="0" collapsed="false">
      <c r="A1388" s="15" t="n">
        <v>46081</v>
      </c>
      <c r="B1388" s="14" t="s">
        <v>59</v>
      </c>
      <c r="C1388" s="14" t="s">
        <v>60</v>
      </c>
      <c r="D1388" s="14" t="s">
        <v>61</v>
      </c>
      <c r="E1388" s="14" t="s">
        <v>76</v>
      </c>
      <c r="F1388" s="14" t="s">
        <v>77</v>
      </c>
      <c r="G1388" s="14" t="s">
        <v>78</v>
      </c>
      <c r="H1388" s="0" t="n">
        <v>8</v>
      </c>
      <c r="I1388" s="16" t="n">
        <v>39.46</v>
      </c>
      <c r="J1388" s="16" t="n">
        <v>15</v>
      </c>
      <c r="K1388" s="16" t="n">
        <f aca="false">H1388*I1388</f>
        <v>315.68</v>
      </c>
      <c r="L1388" s="16" t="n">
        <f aca="false">H1388*J1388</f>
        <v>120</v>
      </c>
      <c r="M1388" s="16" t="n">
        <f aca="false">K1388-L1388</f>
        <v>195.68</v>
      </c>
      <c r="N1388" s="17" t="n">
        <f aca="false">IFERROR(M1388/K1388,0)</f>
        <v>0.619868220983274</v>
      </c>
    </row>
    <row r="1389" customFormat="false" ht="15" hidden="false" customHeight="false" outlineLevel="0" collapsed="false">
      <c r="A1389" s="15" t="n">
        <v>46081</v>
      </c>
      <c r="B1389" s="14" t="s">
        <v>69</v>
      </c>
      <c r="C1389" s="14" t="s">
        <v>70</v>
      </c>
      <c r="D1389" s="14" t="s">
        <v>71</v>
      </c>
      <c r="E1389" s="14" t="s">
        <v>45</v>
      </c>
      <c r="F1389" s="14" t="s">
        <v>62</v>
      </c>
      <c r="G1389" s="14" t="s">
        <v>63</v>
      </c>
      <c r="H1389" s="0" t="n">
        <v>2</v>
      </c>
      <c r="I1389" s="16" t="n">
        <v>17.7</v>
      </c>
      <c r="J1389" s="16" t="n">
        <v>6.5</v>
      </c>
      <c r="K1389" s="16" t="n">
        <f aca="false">H1389*I1389</f>
        <v>35.4</v>
      </c>
      <c r="L1389" s="16" t="n">
        <f aca="false">H1389*J1389</f>
        <v>13</v>
      </c>
      <c r="M1389" s="16" t="n">
        <f aca="false">K1389-L1389</f>
        <v>22.4</v>
      </c>
      <c r="N1389" s="17" t="n">
        <f aca="false">IFERROR(M1389/K1389,0)</f>
        <v>0.632768361581921</v>
      </c>
    </row>
    <row r="1390" customFormat="false" ht="15" hidden="false" customHeight="false" outlineLevel="0" collapsed="false">
      <c r="A1390" s="15" t="n">
        <v>46081</v>
      </c>
      <c r="B1390" s="14" t="s">
        <v>69</v>
      </c>
      <c r="C1390" s="14" t="s">
        <v>70</v>
      </c>
      <c r="D1390" s="14" t="s">
        <v>71</v>
      </c>
      <c r="E1390" s="14" t="s">
        <v>56</v>
      </c>
      <c r="F1390" s="14" t="s">
        <v>57</v>
      </c>
      <c r="G1390" s="14" t="s">
        <v>58</v>
      </c>
      <c r="H1390" s="0" t="n">
        <v>3</v>
      </c>
      <c r="I1390" s="16" t="n">
        <v>24.87</v>
      </c>
      <c r="J1390" s="16" t="n">
        <v>10</v>
      </c>
      <c r="K1390" s="16" t="n">
        <f aca="false">H1390*I1390</f>
        <v>74.61</v>
      </c>
      <c r="L1390" s="16" t="n">
        <f aca="false">H1390*J1390</f>
        <v>30</v>
      </c>
      <c r="M1390" s="16" t="n">
        <f aca="false">K1390-L1390</f>
        <v>44.61</v>
      </c>
      <c r="N1390" s="17" t="n">
        <f aca="false">IFERROR(M1390/K1390,0)</f>
        <v>0.597909127462807</v>
      </c>
    </row>
    <row r="1391" customFormat="false" ht="15" hidden="false" customHeight="false" outlineLevel="0" collapsed="false">
      <c r="A1391" s="15" t="n">
        <v>46081</v>
      </c>
      <c r="B1391" s="14" t="s">
        <v>69</v>
      </c>
      <c r="C1391" s="14" t="s">
        <v>70</v>
      </c>
      <c r="D1391" s="14" t="s">
        <v>71</v>
      </c>
      <c r="E1391" s="14" t="s">
        <v>64</v>
      </c>
      <c r="F1391" s="14" t="s">
        <v>65</v>
      </c>
      <c r="G1391" s="14" t="s">
        <v>66</v>
      </c>
      <c r="H1391" s="0" t="n">
        <v>1</v>
      </c>
      <c r="I1391" s="16" t="n">
        <v>72.73</v>
      </c>
      <c r="J1391" s="16" t="n">
        <v>34</v>
      </c>
      <c r="K1391" s="16" t="n">
        <f aca="false">H1391*I1391</f>
        <v>72.73</v>
      </c>
      <c r="L1391" s="16" t="n">
        <f aca="false">H1391*J1391</f>
        <v>34</v>
      </c>
      <c r="M1391" s="16" t="n">
        <f aca="false">K1391-L1391</f>
        <v>38.73</v>
      </c>
      <c r="N1391" s="17" t="n">
        <f aca="false">IFERROR(M1391/K1391,0)</f>
        <v>0.532517530592603</v>
      </c>
    </row>
    <row r="1392" customFormat="false" ht="15" hidden="false" customHeight="false" outlineLevel="0" collapsed="false">
      <c r="A1392" s="15" t="n">
        <v>46081</v>
      </c>
      <c r="B1392" s="14" t="s">
        <v>69</v>
      </c>
      <c r="C1392" s="14" t="s">
        <v>70</v>
      </c>
      <c r="D1392" s="14" t="s">
        <v>71</v>
      </c>
      <c r="E1392" s="14" t="s">
        <v>45</v>
      </c>
      <c r="F1392" s="14" t="s">
        <v>46</v>
      </c>
      <c r="G1392" s="14" t="s">
        <v>47</v>
      </c>
      <c r="H1392" s="0" t="n">
        <v>7</v>
      </c>
      <c r="I1392" s="16" t="n">
        <v>43.9</v>
      </c>
      <c r="J1392" s="16" t="n">
        <v>18</v>
      </c>
      <c r="K1392" s="16" t="n">
        <f aca="false">H1392*I1392</f>
        <v>307.3</v>
      </c>
      <c r="L1392" s="16" t="n">
        <f aca="false">H1392*J1392</f>
        <v>126</v>
      </c>
      <c r="M1392" s="16" t="n">
        <f aca="false">K1392-L1392</f>
        <v>181.3</v>
      </c>
      <c r="N1392" s="17" t="n">
        <f aca="false">IFERROR(M1392/K1392,0)</f>
        <v>0.58997722095672</v>
      </c>
    </row>
    <row r="1393" customFormat="false" ht="15" hidden="false" customHeight="false" outlineLevel="0" collapsed="false">
      <c r="A1393" s="15" t="n">
        <v>46081</v>
      </c>
      <c r="B1393" s="14" t="s">
        <v>69</v>
      </c>
      <c r="C1393" s="14" t="s">
        <v>70</v>
      </c>
      <c r="D1393" s="14" t="s">
        <v>71</v>
      </c>
      <c r="E1393" s="14" t="s">
        <v>64</v>
      </c>
      <c r="F1393" s="14" t="s">
        <v>96</v>
      </c>
      <c r="G1393" s="14" t="s">
        <v>97</v>
      </c>
      <c r="H1393" s="0" t="n">
        <v>3</v>
      </c>
      <c r="I1393" s="16" t="n">
        <v>54.96</v>
      </c>
      <c r="J1393" s="16" t="n">
        <v>24</v>
      </c>
      <c r="K1393" s="16" t="n">
        <f aca="false">H1393*I1393</f>
        <v>164.88</v>
      </c>
      <c r="L1393" s="16" t="n">
        <f aca="false">H1393*J1393</f>
        <v>72</v>
      </c>
      <c r="M1393" s="16" t="n">
        <f aca="false">K1393-L1393</f>
        <v>92.88</v>
      </c>
      <c r="N1393" s="17" t="n">
        <f aca="false">IFERROR(M1393/K1393,0)</f>
        <v>0.563318777292576</v>
      </c>
    </row>
    <row r="1394" customFormat="false" ht="15" hidden="false" customHeight="false" outlineLevel="0" collapsed="false">
      <c r="A1394" s="15" t="n">
        <v>46081</v>
      </c>
      <c r="B1394" s="14" t="s">
        <v>69</v>
      </c>
      <c r="C1394" s="14" t="s">
        <v>70</v>
      </c>
      <c r="D1394" s="14" t="s">
        <v>71</v>
      </c>
      <c r="E1394" s="14" t="s">
        <v>76</v>
      </c>
      <c r="F1394" s="14" t="s">
        <v>100</v>
      </c>
      <c r="G1394" s="14" t="s">
        <v>101</v>
      </c>
      <c r="H1394" s="0" t="n">
        <v>7</v>
      </c>
      <c r="I1394" s="16" t="n">
        <v>15.03</v>
      </c>
      <c r="J1394" s="16" t="n">
        <v>5.5</v>
      </c>
      <c r="K1394" s="16" t="n">
        <f aca="false">H1394*I1394</f>
        <v>105.21</v>
      </c>
      <c r="L1394" s="16" t="n">
        <f aca="false">H1394*J1394</f>
        <v>38.5</v>
      </c>
      <c r="M1394" s="16" t="n">
        <f aca="false">K1394-L1394</f>
        <v>66.71</v>
      </c>
      <c r="N1394" s="17" t="n">
        <f aca="false">IFERROR(M1394/K1394,0)</f>
        <v>0.634065202927478</v>
      </c>
    </row>
    <row r="1395" customFormat="false" ht="15" hidden="false" customHeight="false" outlineLevel="0" collapsed="false">
      <c r="A1395" s="15" t="n">
        <v>46081</v>
      </c>
      <c r="B1395" s="14" t="s">
        <v>81</v>
      </c>
      <c r="C1395" s="14" t="s">
        <v>82</v>
      </c>
      <c r="D1395" s="14" t="s">
        <v>83</v>
      </c>
      <c r="E1395" s="14" t="s">
        <v>56</v>
      </c>
      <c r="F1395" s="14" t="s">
        <v>98</v>
      </c>
      <c r="G1395" s="14" t="s">
        <v>99</v>
      </c>
      <c r="H1395" s="0" t="n">
        <v>3</v>
      </c>
      <c r="I1395" s="16" t="n">
        <v>21.5</v>
      </c>
      <c r="J1395" s="16" t="n">
        <v>8</v>
      </c>
      <c r="K1395" s="16" t="n">
        <f aca="false">H1395*I1395</f>
        <v>64.5</v>
      </c>
      <c r="L1395" s="16" t="n">
        <f aca="false">H1395*J1395</f>
        <v>24</v>
      </c>
      <c r="M1395" s="16" t="n">
        <f aca="false">K1395-L1395</f>
        <v>40.5</v>
      </c>
      <c r="N1395" s="17" t="n">
        <f aca="false">IFERROR(M1395/K1395,0)</f>
        <v>0.627906976744186</v>
      </c>
    </row>
    <row r="1396" customFormat="false" ht="15" hidden="false" customHeight="false" outlineLevel="0" collapsed="false">
      <c r="A1396" s="15" t="n">
        <v>46081</v>
      </c>
      <c r="B1396" s="14" t="s">
        <v>81</v>
      </c>
      <c r="C1396" s="14" t="s">
        <v>82</v>
      </c>
      <c r="D1396" s="14" t="s">
        <v>83</v>
      </c>
      <c r="E1396" s="14" t="s">
        <v>56</v>
      </c>
      <c r="F1396" s="14" t="s">
        <v>98</v>
      </c>
      <c r="G1396" s="14" t="s">
        <v>99</v>
      </c>
      <c r="H1396" s="0" t="n">
        <v>5</v>
      </c>
      <c r="I1396" s="16" t="n">
        <v>20.85</v>
      </c>
      <c r="J1396" s="16" t="n">
        <v>8</v>
      </c>
      <c r="K1396" s="16" t="n">
        <f aca="false">H1396*I1396</f>
        <v>104.25</v>
      </c>
      <c r="L1396" s="16" t="n">
        <f aca="false">H1396*J1396</f>
        <v>40</v>
      </c>
      <c r="M1396" s="16" t="n">
        <f aca="false">K1396-L1396</f>
        <v>64.25</v>
      </c>
      <c r="N1396" s="17" t="n">
        <f aca="false">IFERROR(M1396/K1396,0)</f>
        <v>0.616306954436451</v>
      </c>
    </row>
    <row r="1397" customFormat="false" ht="15" hidden="false" customHeight="false" outlineLevel="0" collapsed="false">
      <c r="A1397" s="15" t="n">
        <v>46081</v>
      </c>
      <c r="B1397" s="14" t="s">
        <v>81</v>
      </c>
      <c r="C1397" s="14" t="s">
        <v>82</v>
      </c>
      <c r="D1397" s="14" t="s">
        <v>83</v>
      </c>
      <c r="E1397" s="14" t="s">
        <v>45</v>
      </c>
      <c r="F1397" s="14" t="s">
        <v>62</v>
      </c>
      <c r="G1397" s="14" t="s">
        <v>63</v>
      </c>
      <c r="H1397" s="0" t="n">
        <v>3</v>
      </c>
      <c r="I1397" s="16" t="n">
        <v>16.73</v>
      </c>
      <c r="J1397" s="16" t="n">
        <v>6.5</v>
      </c>
      <c r="K1397" s="16" t="n">
        <f aca="false">H1397*I1397</f>
        <v>50.19</v>
      </c>
      <c r="L1397" s="16" t="n">
        <f aca="false">H1397*J1397</f>
        <v>19.5</v>
      </c>
      <c r="M1397" s="16" t="n">
        <f aca="false">K1397-L1397</f>
        <v>30.69</v>
      </c>
      <c r="N1397" s="17" t="n">
        <f aca="false">IFERROR(M1397/K1397,0)</f>
        <v>0.611476389719068</v>
      </c>
    </row>
    <row r="1398" customFormat="false" ht="15" hidden="false" customHeight="false" outlineLevel="0" collapsed="false">
      <c r="A1398" s="15" t="n">
        <v>46081</v>
      </c>
      <c r="B1398" s="14" t="s">
        <v>88</v>
      </c>
      <c r="C1398" s="14" t="s">
        <v>89</v>
      </c>
      <c r="D1398" s="14" t="s">
        <v>44</v>
      </c>
      <c r="E1398" s="14" t="s">
        <v>45</v>
      </c>
      <c r="F1398" s="14" t="s">
        <v>46</v>
      </c>
      <c r="G1398" s="14" t="s">
        <v>47</v>
      </c>
      <c r="H1398" s="0" t="n">
        <v>5</v>
      </c>
      <c r="I1398" s="16" t="n">
        <v>43.07</v>
      </c>
      <c r="J1398" s="16" t="n">
        <v>18</v>
      </c>
      <c r="K1398" s="16" t="n">
        <f aca="false">H1398*I1398</f>
        <v>215.35</v>
      </c>
      <c r="L1398" s="16" t="n">
        <f aca="false">H1398*J1398</f>
        <v>90</v>
      </c>
      <c r="M1398" s="16" t="n">
        <f aca="false">K1398-L1398</f>
        <v>125.35</v>
      </c>
      <c r="N1398" s="17" t="n">
        <f aca="false">IFERROR(M1398/K1398,0)</f>
        <v>0.582075690736011</v>
      </c>
    </row>
    <row r="1399" customFormat="false" ht="15" hidden="false" customHeight="false" outlineLevel="0" collapsed="false">
      <c r="A1399" s="15" t="n">
        <v>46081</v>
      </c>
      <c r="B1399" s="14" t="s">
        <v>88</v>
      </c>
      <c r="C1399" s="14" t="s">
        <v>89</v>
      </c>
      <c r="D1399" s="14" t="s">
        <v>44</v>
      </c>
      <c r="E1399" s="14" t="s">
        <v>53</v>
      </c>
      <c r="F1399" s="14" t="s">
        <v>92</v>
      </c>
      <c r="G1399" s="14" t="s">
        <v>93</v>
      </c>
      <c r="H1399" s="0" t="n">
        <v>1</v>
      </c>
      <c r="I1399" s="16" t="n">
        <v>112.26</v>
      </c>
      <c r="J1399" s="16" t="n">
        <v>52</v>
      </c>
      <c r="K1399" s="16" t="n">
        <f aca="false">H1399*I1399</f>
        <v>112.26</v>
      </c>
      <c r="L1399" s="16" t="n">
        <f aca="false">H1399*J1399</f>
        <v>52</v>
      </c>
      <c r="M1399" s="16" t="n">
        <f aca="false">K1399-L1399</f>
        <v>60.26</v>
      </c>
      <c r="N1399" s="17" t="n">
        <f aca="false">IFERROR(M1399/K1399,0)</f>
        <v>0.536789595581685</v>
      </c>
    </row>
    <row r="1400" customFormat="false" ht="15" hidden="false" customHeight="false" outlineLevel="0" collapsed="false">
      <c r="A1400" s="15" t="n">
        <v>46081</v>
      </c>
      <c r="B1400" s="14" t="s">
        <v>88</v>
      </c>
      <c r="C1400" s="14" t="s">
        <v>89</v>
      </c>
      <c r="D1400" s="14" t="s">
        <v>44</v>
      </c>
      <c r="E1400" s="14" t="s">
        <v>53</v>
      </c>
      <c r="F1400" s="14" t="s">
        <v>84</v>
      </c>
      <c r="G1400" s="14" t="s">
        <v>85</v>
      </c>
      <c r="H1400" s="0" t="n">
        <v>9</v>
      </c>
      <c r="I1400" s="16" t="n">
        <v>23.35</v>
      </c>
      <c r="J1400" s="16" t="n">
        <v>9</v>
      </c>
      <c r="K1400" s="16" t="n">
        <f aca="false">H1400*I1400</f>
        <v>210.15</v>
      </c>
      <c r="L1400" s="16" t="n">
        <f aca="false">H1400*J1400</f>
        <v>81</v>
      </c>
      <c r="M1400" s="16" t="n">
        <f aca="false">K1400-L1400</f>
        <v>129.15</v>
      </c>
      <c r="N1400" s="17" t="n">
        <f aca="false">IFERROR(M1400/K1400,0)</f>
        <v>0.614561027837259</v>
      </c>
    </row>
    <row r="1401" customFormat="false" ht="15" hidden="false" customHeight="false" outlineLevel="0" collapsed="false">
      <c r="A1401" s="15" t="n">
        <v>46081</v>
      </c>
      <c r="B1401" s="14" t="s">
        <v>88</v>
      </c>
      <c r="C1401" s="14" t="s">
        <v>89</v>
      </c>
      <c r="D1401" s="14" t="s">
        <v>44</v>
      </c>
      <c r="E1401" s="14" t="s">
        <v>45</v>
      </c>
      <c r="F1401" s="14" t="s">
        <v>48</v>
      </c>
      <c r="G1401" s="14" t="s">
        <v>49</v>
      </c>
      <c r="H1401" s="0" t="n">
        <v>7</v>
      </c>
      <c r="I1401" s="16" t="n">
        <v>64.11</v>
      </c>
      <c r="J1401" s="16" t="n">
        <v>27.5</v>
      </c>
      <c r="K1401" s="16" t="n">
        <f aca="false">H1401*I1401</f>
        <v>448.77</v>
      </c>
      <c r="L1401" s="16" t="n">
        <f aca="false">H1401*J1401</f>
        <v>192.5</v>
      </c>
      <c r="M1401" s="16" t="n">
        <f aca="false">K1401-L1401</f>
        <v>256.27</v>
      </c>
      <c r="N1401" s="17" t="n">
        <f aca="false">IFERROR(M1401/K1401,0)</f>
        <v>0.571049758228046</v>
      </c>
    </row>
    <row r="1402" customFormat="false" ht="15" hidden="false" customHeight="false" outlineLevel="0" collapsed="false">
      <c r="A1402" s="15" t="n">
        <v>46081</v>
      </c>
      <c r="B1402" s="14" t="s">
        <v>88</v>
      </c>
      <c r="C1402" s="14" t="s">
        <v>89</v>
      </c>
      <c r="D1402" s="14" t="s">
        <v>44</v>
      </c>
      <c r="E1402" s="14" t="s">
        <v>64</v>
      </c>
      <c r="F1402" s="14" t="s">
        <v>94</v>
      </c>
      <c r="G1402" s="14" t="s">
        <v>95</v>
      </c>
      <c r="H1402" s="0" t="n">
        <v>6</v>
      </c>
      <c r="I1402" s="16" t="n">
        <v>95.97</v>
      </c>
      <c r="J1402" s="16" t="n">
        <v>42</v>
      </c>
      <c r="K1402" s="16" t="n">
        <f aca="false">H1402*I1402</f>
        <v>575.82</v>
      </c>
      <c r="L1402" s="16" t="n">
        <f aca="false">H1402*J1402</f>
        <v>252</v>
      </c>
      <c r="M1402" s="16" t="n">
        <f aca="false">K1402-L1402</f>
        <v>323.82</v>
      </c>
      <c r="N1402" s="17" t="n">
        <f aca="false">IFERROR(M1402/K1402,0)</f>
        <v>0.562363238512035</v>
      </c>
    </row>
    <row r="1403" customFormat="false" ht="15" hidden="false" customHeight="false" outlineLevel="0" collapsed="false">
      <c r="A1403" s="15" t="n">
        <v>46081</v>
      </c>
      <c r="B1403" s="14" t="s">
        <v>88</v>
      </c>
      <c r="C1403" s="14" t="s">
        <v>89</v>
      </c>
      <c r="D1403" s="14" t="s">
        <v>44</v>
      </c>
      <c r="E1403" s="14" t="s">
        <v>64</v>
      </c>
      <c r="F1403" s="14" t="s">
        <v>65</v>
      </c>
      <c r="G1403" s="14" t="s">
        <v>66</v>
      </c>
      <c r="H1403" s="0" t="n">
        <v>2</v>
      </c>
      <c r="I1403" s="16" t="n">
        <v>77.36</v>
      </c>
      <c r="J1403" s="16" t="n">
        <v>34</v>
      </c>
      <c r="K1403" s="16" t="n">
        <f aca="false">H1403*I1403</f>
        <v>154.72</v>
      </c>
      <c r="L1403" s="16" t="n">
        <f aca="false">H1403*J1403</f>
        <v>68</v>
      </c>
      <c r="M1403" s="16" t="n">
        <f aca="false">K1403-L1403</f>
        <v>86.72</v>
      </c>
      <c r="N1403" s="17" t="n">
        <f aca="false">IFERROR(M1403/K1403,0)</f>
        <v>0.560496380558428</v>
      </c>
    </row>
    <row r="1404" customFormat="false" ht="15" hidden="false" customHeight="false" outlineLevel="0" collapsed="false">
      <c r="A1404" s="15" t="n">
        <v>46082</v>
      </c>
      <c r="B1404" s="14" t="s">
        <v>42</v>
      </c>
      <c r="C1404" s="14" t="s">
        <v>43</v>
      </c>
      <c r="D1404" s="14" t="s">
        <v>44</v>
      </c>
      <c r="E1404" s="14" t="s">
        <v>53</v>
      </c>
      <c r="F1404" s="14" t="s">
        <v>54</v>
      </c>
      <c r="G1404" s="14" t="s">
        <v>55</v>
      </c>
      <c r="H1404" s="0" t="n">
        <v>2</v>
      </c>
      <c r="I1404" s="16" t="n">
        <v>52.73</v>
      </c>
      <c r="J1404" s="16" t="n">
        <v>22</v>
      </c>
      <c r="K1404" s="16" t="n">
        <f aca="false">H1404*I1404</f>
        <v>105.46</v>
      </c>
      <c r="L1404" s="16" t="n">
        <f aca="false">H1404*J1404</f>
        <v>44</v>
      </c>
      <c r="M1404" s="16" t="n">
        <f aca="false">K1404-L1404</f>
        <v>61.46</v>
      </c>
      <c r="N1404" s="17" t="n">
        <f aca="false">IFERROR(M1404/K1404,0)</f>
        <v>0.582780201024085</v>
      </c>
    </row>
    <row r="1405" customFormat="false" ht="15" hidden="false" customHeight="false" outlineLevel="0" collapsed="false">
      <c r="A1405" s="15" t="n">
        <v>46082</v>
      </c>
      <c r="B1405" s="14" t="s">
        <v>42</v>
      </c>
      <c r="C1405" s="14" t="s">
        <v>43</v>
      </c>
      <c r="D1405" s="14" t="s">
        <v>44</v>
      </c>
      <c r="E1405" s="14" t="s">
        <v>45</v>
      </c>
      <c r="F1405" s="14" t="s">
        <v>48</v>
      </c>
      <c r="G1405" s="14" t="s">
        <v>49</v>
      </c>
      <c r="H1405" s="0" t="n">
        <v>7</v>
      </c>
      <c r="I1405" s="16" t="n">
        <v>66.48</v>
      </c>
      <c r="J1405" s="16" t="n">
        <v>27.5</v>
      </c>
      <c r="K1405" s="16" t="n">
        <f aca="false">H1405*I1405</f>
        <v>465.36</v>
      </c>
      <c r="L1405" s="16" t="n">
        <f aca="false">H1405*J1405</f>
        <v>192.5</v>
      </c>
      <c r="M1405" s="16" t="n">
        <f aca="false">K1405-L1405</f>
        <v>272.86</v>
      </c>
      <c r="N1405" s="17" t="n">
        <f aca="false">IFERROR(M1405/K1405,0)</f>
        <v>0.586341756919374</v>
      </c>
    </row>
    <row r="1406" customFormat="false" ht="15" hidden="false" customHeight="false" outlineLevel="0" collapsed="false">
      <c r="A1406" s="15" t="n">
        <v>46082</v>
      </c>
      <c r="B1406" s="14" t="s">
        <v>42</v>
      </c>
      <c r="C1406" s="14" t="s">
        <v>43</v>
      </c>
      <c r="D1406" s="14" t="s">
        <v>44</v>
      </c>
      <c r="E1406" s="14" t="s">
        <v>56</v>
      </c>
      <c r="F1406" s="14" t="s">
        <v>67</v>
      </c>
      <c r="G1406" s="14" t="s">
        <v>68</v>
      </c>
      <c r="H1406" s="0" t="n">
        <v>12</v>
      </c>
      <c r="I1406" s="16" t="n">
        <v>35.56</v>
      </c>
      <c r="J1406" s="16" t="n">
        <v>15</v>
      </c>
      <c r="K1406" s="16" t="n">
        <f aca="false">H1406*I1406</f>
        <v>426.72</v>
      </c>
      <c r="L1406" s="16" t="n">
        <f aca="false">H1406*J1406</f>
        <v>180</v>
      </c>
      <c r="M1406" s="16" t="n">
        <f aca="false">K1406-L1406</f>
        <v>246.72</v>
      </c>
      <c r="N1406" s="17" t="n">
        <f aca="false">IFERROR(M1406/K1406,0)</f>
        <v>0.578177727784027</v>
      </c>
    </row>
    <row r="1407" customFormat="false" ht="15" hidden="false" customHeight="false" outlineLevel="0" collapsed="false">
      <c r="A1407" s="15" t="n">
        <v>46082</v>
      </c>
      <c r="B1407" s="14" t="s">
        <v>42</v>
      </c>
      <c r="C1407" s="14" t="s">
        <v>43</v>
      </c>
      <c r="D1407" s="14" t="s">
        <v>44</v>
      </c>
      <c r="E1407" s="14" t="s">
        <v>76</v>
      </c>
      <c r="F1407" s="14" t="s">
        <v>77</v>
      </c>
      <c r="G1407" s="14" t="s">
        <v>78</v>
      </c>
      <c r="H1407" s="0" t="n">
        <v>3</v>
      </c>
      <c r="I1407" s="16" t="n">
        <v>39.74</v>
      </c>
      <c r="J1407" s="16" t="n">
        <v>15</v>
      </c>
      <c r="K1407" s="16" t="n">
        <f aca="false">H1407*I1407</f>
        <v>119.22</v>
      </c>
      <c r="L1407" s="16" t="n">
        <f aca="false">H1407*J1407</f>
        <v>45</v>
      </c>
      <c r="M1407" s="16" t="n">
        <f aca="false">K1407-L1407</f>
        <v>74.22</v>
      </c>
      <c r="N1407" s="17" t="n">
        <f aca="false">IFERROR(M1407/K1407,0)</f>
        <v>0.622546552591847</v>
      </c>
    </row>
    <row r="1408" customFormat="false" ht="15" hidden="false" customHeight="false" outlineLevel="0" collapsed="false">
      <c r="A1408" s="15" t="n">
        <v>46082</v>
      </c>
      <c r="B1408" s="14" t="s">
        <v>42</v>
      </c>
      <c r="C1408" s="14" t="s">
        <v>43</v>
      </c>
      <c r="D1408" s="14" t="s">
        <v>44</v>
      </c>
      <c r="E1408" s="14" t="s">
        <v>45</v>
      </c>
      <c r="F1408" s="14" t="s">
        <v>62</v>
      </c>
      <c r="G1408" s="14" t="s">
        <v>63</v>
      </c>
      <c r="H1408" s="0" t="n">
        <v>13</v>
      </c>
      <c r="I1408" s="16" t="n">
        <v>17.81</v>
      </c>
      <c r="J1408" s="16" t="n">
        <v>6.5</v>
      </c>
      <c r="K1408" s="16" t="n">
        <f aca="false">H1408*I1408</f>
        <v>231.53</v>
      </c>
      <c r="L1408" s="16" t="n">
        <f aca="false">H1408*J1408</f>
        <v>84.5</v>
      </c>
      <c r="M1408" s="16" t="n">
        <f aca="false">K1408-L1408</f>
        <v>147.03</v>
      </c>
      <c r="N1408" s="17" t="n">
        <f aca="false">IFERROR(M1408/K1408,0)</f>
        <v>0.635036496350365</v>
      </c>
    </row>
    <row r="1409" customFormat="false" ht="15" hidden="false" customHeight="false" outlineLevel="0" collapsed="false">
      <c r="A1409" s="15" t="n">
        <v>46082</v>
      </c>
      <c r="B1409" s="14" t="s">
        <v>42</v>
      </c>
      <c r="C1409" s="14" t="s">
        <v>43</v>
      </c>
      <c r="D1409" s="14" t="s">
        <v>44</v>
      </c>
      <c r="E1409" s="14" t="s">
        <v>64</v>
      </c>
      <c r="F1409" s="14" t="s">
        <v>96</v>
      </c>
      <c r="G1409" s="14" t="s">
        <v>97</v>
      </c>
      <c r="H1409" s="0" t="n">
        <v>3</v>
      </c>
      <c r="I1409" s="16" t="n">
        <v>56.5</v>
      </c>
      <c r="J1409" s="16" t="n">
        <v>24</v>
      </c>
      <c r="K1409" s="16" t="n">
        <f aca="false">H1409*I1409</f>
        <v>169.5</v>
      </c>
      <c r="L1409" s="16" t="n">
        <f aca="false">H1409*J1409</f>
        <v>72</v>
      </c>
      <c r="M1409" s="16" t="n">
        <f aca="false">K1409-L1409</f>
        <v>97.5</v>
      </c>
      <c r="N1409" s="17" t="n">
        <f aca="false">IFERROR(M1409/K1409,0)</f>
        <v>0.575221238938053</v>
      </c>
    </row>
    <row r="1410" customFormat="false" ht="15" hidden="false" customHeight="false" outlineLevel="0" collapsed="false">
      <c r="A1410" s="15" t="n">
        <v>46082</v>
      </c>
      <c r="B1410" s="14" t="s">
        <v>50</v>
      </c>
      <c r="C1410" s="14" t="s">
        <v>51</v>
      </c>
      <c r="D1410" s="14" t="s">
        <v>52</v>
      </c>
      <c r="E1410" s="14" t="s">
        <v>45</v>
      </c>
      <c r="F1410" s="14" t="s">
        <v>72</v>
      </c>
      <c r="G1410" s="14" t="s">
        <v>73</v>
      </c>
      <c r="H1410" s="0" t="n">
        <v>5</v>
      </c>
      <c r="I1410" s="16" t="n">
        <v>48.74</v>
      </c>
      <c r="J1410" s="16" t="n">
        <v>21</v>
      </c>
      <c r="K1410" s="16" t="n">
        <f aca="false">H1410*I1410</f>
        <v>243.7</v>
      </c>
      <c r="L1410" s="16" t="n">
        <f aca="false">H1410*J1410</f>
        <v>105</v>
      </c>
      <c r="M1410" s="16" t="n">
        <f aca="false">K1410-L1410</f>
        <v>138.7</v>
      </c>
      <c r="N1410" s="17" t="n">
        <f aca="false">IFERROR(M1410/K1410,0)</f>
        <v>0.569142388182191</v>
      </c>
    </row>
    <row r="1411" customFormat="false" ht="15" hidden="false" customHeight="false" outlineLevel="0" collapsed="false">
      <c r="A1411" s="15" t="n">
        <v>46082</v>
      </c>
      <c r="B1411" s="14" t="s">
        <v>50</v>
      </c>
      <c r="C1411" s="14" t="s">
        <v>51</v>
      </c>
      <c r="D1411" s="14" t="s">
        <v>52</v>
      </c>
      <c r="E1411" s="14" t="s">
        <v>56</v>
      </c>
      <c r="F1411" s="14" t="s">
        <v>57</v>
      </c>
      <c r="G1411" s="14" t="s">
        <v>58</v>
      </c>
      <c r="H1411" s="0" t="n">
        <v>5</v>
      </c>
      <c r="I1411" s="16" t="n">
        <v>25.68</v>
      </c>
      <c r="J1411" s="16" t="n">
        <v>10</v>
      </c>
      <c r="K1411" s="16" t="n">
        <f aca="false">H1411*I1411</f>
        <v>128.4</v>
      </c>
      <c r="L1411" s="16" t="n">
        <f aca="false">H1411*J1411</f>
        <v>50</v>
      </c>
      <c r="M1411" s="16" t="n">
        <f aca="false">K1411-L1411</f>
        <v>78.4</v>
      </c>
      <c r="N1411" s="17" t="n">
        <f aca="false">IFERROR(M1411/K1411,0)</f>
        <v>0.610591900311527</v>
      </c>
    </row>
    <row r="1412" customFormat="false" ht="15" hidden="false" customHeight="false" outlineLevel="0" collapsed="false">
      <c r="A1412" s="15" t="n">
        <v>46082</v>
      </c>
      <c r="B1412" s="14" t="s">
        <v>50</v>
      </c>
      <c r="C1412" s="14" t="s">
        <v>51</v>
      </c>
      <c r="D1412" s="14" t="s">
        <v>52</v>
      </c>
      <c r="E1412" s="14" t="s">
        <v>53</v>
      </c>
      <c r="F1412" s="14" t="s">
        <v>84</v>
      </c>
      <c r="G1412" s="14" t="s">
        <v>85</v>
      </c>
      <c r="H1412" s="0" t="n">
        <v>6</v>
      </c>
      <c r="I1412" s="16" t="n">
        <v>24.26</v>
      </c>
      <c r="J1412" s="16" t="n">
        <v>9</v>
      </c>
      <c r="K1412" s="16" t="n">
        <f aca="false">H1412*I1412</f>
        <v>145.56</v>
      </c>
      <c r="L1412" s="16" t="n">
        <f aca="false">H1412*J1412</f>
        <v>54</v>
      </c>
      <c r="M1412" s="16" t="n">
        <f aca="false">K1412-L1412</f>
        <v>91.56</v>
      </c>
      <c r="N1412" s="17" t="n">
        <f aca="false">IFERROR(M1412/K1412,0)</f>
        <v>0.629018961253092</v>
      </c>
    </row>
    <row r="1413" customFormat="false" ht="15" hidden="false" customHeight="false" outlineLevel="0" collapsed="false">
      <c r="A1413" s="15" t="n">
        <v>46082</v>
      </c>
      <c r="B1413" s="14" t="s">
        <v>50</v>
      </c>
      <c r="C1413" s="14" t="s">
        <v>51</v>
      </c>
      <c r="D1413" s="14" t="s">
        <v>52</v>
      </c>
      <c r="E1413" s="14" t="s">
        <v>76</v>
      </c>
      <c r="F1413" s="14" t="s">
        <v>77</v>
      </c>
      <c r="G1413" s="14" t="s">
        <v>78</v>
      </c>
      <c r="H1413" s="0" t="n">
        <v>9</v>
      </c>
      <c r="I1413" s="16" t="n">
        <v>39.07</v>
      </c>
      <c r="J1413" s="16" t="n">
        <v>15</v>
      </c>
      <c r="K1413" s="16" t="n">
        <f aca="false">H1413*I1413</f>
        <v>351.63</v>
      </c>
      <c r="L1413" s="16" t="n">
        <f aca="false">H1413*J1413</f>
        <v>135</v>
      </c>
      <c r="M1413" s="16" t="n">
        <f aca="false">K1413-L1413</f>
        <v>216.63</v>
      </c>
      <c r="N1413" s="17" t="n">
        <f aca="false">IFERROR(M1413/K1413,0)</f>
        <v>0.616073713846941</v>
      </c>
    </row>
    <row r="1414" customFormat="false" ht="15" hidden="false" customHeight="false" outlineLevel="0" collapsed="false">
      <c r="A1414" s="15" t="n">
        <v>46082</v>
      </c>
      <c r="B1414" s="14" t="s">
        <v>50</v>
      </c>
      <c r="C1414" s="14" t="s">
        <v>51</v>
      </c>
      <c r="D1414" s="14" t="s">
        <v>52</v>
      </c>
      <c r="E1414" s="14" t="s">
        <v>56</v>
      </c>
      <c r="F1414" s="14" t="s">
        <v>98</v>
      </c>
      <c r="G1414" s="14" t="s">
        <v>99</v>
      </c>
      <c r="H1414" s="0" t="n">
        <v>8</v>
      </c>
      <c r="I1414" s="16" t="n">
        <v>20.48</v>
      </c>
      <c r="J1414" s="16" t="n">
        <v>8</v>
      </c>
      <c r="K1414" s="16" t="n">
        <f aca="false">H1414*I1414</f>
        <v>163.84</v>
      </c>
      <c r="L1414" s="16" t="n">
        <f aca="false">H1414*J1414</f>
        <v>64</v>
      </c>
      <c r="M1414" s="16" t="n">
        <f aca="false">K1414-L1414</f>
        <v>99.84</v>
      </c>
      <c r="N1414" s="17" t="n">
        <f aca="false">IFERROR(M1414/K1414,0)</f>
        <v>0.609375</v>
      </c>
    </row>
    <row r="1415" customFormat="false" ht="15" hidden="false" customHeight="false" outlineLevel="0" collapsed="false">
      <c r="A1415" s="15" t="n">
        <v>46082</v>
      </c>
      <c r="B1415" s="14" t="s">
        <v>59</v>
      </c>
      <c r="C1415" s="14" t="s">
        <v>60</v>
      </c>
      <c r="D1415" s="14" t="s">
        <v>61</v>
      </c>
      <c r="E1415" s="14" t="s">
        <v>64</v>
      </c>
      <c r="F1415" s="14" t="s">
        <v>90</v>
      </c>
      <c r="G1415" s="14" t="s">
        <v>91</v>
      </c>
      <c r="H1415" s="0" t="n">
        <v>3</v>
      </c>
      <c r="I1415" s="16" t="n">
        <v>11.77</v>
      </c>
      <c r="J1415" s="16" t="n">
        <v>3.5</v>
      </c>
      <c r="K1415" s="16" t="n">
        <f aca="false">H1415*I1415</f>
        <v>35.31</v>
      </c>
      <c r="L1415" s="16" t="n">
        <f aca="false">H1415*J1415</f>
        <v>10.5</v>
      </c>
      <c r="M1415" s="16" t="n">
        <f aca="false">K1415-L1415</f>
        <v>24.81</v>
      </c>
      <c r="N1415" s="17" t="n">
        <f aca="false">IFERROR(M1415/K1415,0)</f>
        <v>0.702633814783348</v>
      </c>
    </row>
    <row r="1416" customFormat="false" ht="15" hidden="false" customHeight="false" outlineLevel="0" collapsed="false">
      <c r="A1416" s="15" t="n">
        <v>46082</v>
      </c>
      <c r="B1416" s="14" t="s">
        <v>59</v>
      </c>
      <c r="C1416" s="14" t="s">
        <v>60</v>
      </c>
      <c r="D1416" s="14" t="s">
        <v>61</v>
      </c>
      <c r="E1416" s="14" t="s">
        <v>53</v>
      </c>
      <c r="F1416" s="14" t="s">
        <v>92</v>
      </c>
      <c r="G1416" s="14" t="s">
        <v>93</v>
      </c>
      <c r="H1416" s="0" t="n">
        <v>3</v>
      </c>
      <c r="I1416" s="16" t="n">
        <v>117.98</v>
      </c>
      <c r="J1416" s="16" t="n">
        <v>52</v>
      </c>
      <c r="K1416" s="16" t="n">
        <f aca="false">H1416*I1416</f>
        <v>353.94</v>
      </c>
      <c r="L1416" s="16" t="n">
        <f aca="false">H1416*J1416</f>
        <v>156</v>
      </c>
      <c r="M1416" s="16" t="n">
        <f aca="false">K1416-L1416</f>
        <v>197.94</v>
      </c>
      <c r="N1416" s="17" t="n">
        <f aca="false">IFERROR(M1416/K1416,0)</f>
        <v>0.559247330055942</v>
      </c>
    </row>
    <row r="1417" customFormat="false" ht="15" hidden="false" customHeight="false" outlineLevel="0" collapsed="false">
      <c r="A1417" s="15" t="n">
        <v>46082</v>
      </c>
      <c r="B1417" s="14" t="s">
        <v>59</v>
      </c>
      <c r="C1417" s="14" t="s">
        <v>60</v>
      </c>
      <c r="D1417" s="14" t="s">
        <v>61</v>
      </c>
      <c r="E1417" s="14" t="s">
        <v>56</v>
      </c>
      <c r="F1417" s="14" t="s">
        <v>86</v>
      </c>
      <c r="G1417" s="14" t="s">
        <v>87</v>
      </c>
      <c r="H1417" s="0" t="n">
        <v>5</v>
      </c>
      <c r="I1417" s="16" t="n">
        <v>13.9</v>
      </c>
      <c r="J1417" s="16" t="n">
        <v>5</v>
      </c>
      <c r="K1417" s="16" t="n">
        <f aca="false">H1417*I1417</f>
        <v>69.5</v>
      </c>
      <c r="L1417" s="16" t="n">
        <f aca="false">H1417*J1417</f>
        <v>25</v>
      </c>
      <c r="M1417" s="16" t="n">
        <f aca="false">K1417-L1417</f>
        <v>44.5</v>
      </c>
      <c r="N1417" s="17" t="n">
        <f aca="false">IFERROR(M1417/K1417,0)</f>
        <v>0.640287769784173</v>
      </c>
    </row>
    <row r="1418" customFormat="false" ht="15" hidden="false" customHeight="false" outlineLevel="0" collapsed="false">
      <c r="A1418" s="15" t="n">
        <v>46082</v>
      </c>
      <c r="B1418" s="14" t="s">
        <v>59</v>
      </c>
      <c r="C1418" s="14" t="s">
        <v>60</v>
      </c>
      <c r="D1418" s="14" t="s">
        <v>61</v>
      </c>
      <c r="E1418" s="14" t="s">
        <v>56</v>
      </c>
      <c r="F1418" s="14" t="s">
        <v>57</v>
      </c>
      <c r="G1418" s="14" t="s">
        <v>58</v>
      </c>
      <c r="H1418" s="0" t="n">
        <v>5</v>
      </c>
      <c r="I1418" s="16" t="n">
        <v>26.12</v>
      </c>
      <c r="J1418" s="16" t="n">
        <v>10</v>
      </c>
      <c r="K1418" s="16" t="n">
        <f aca="false">H1418*I1418</f>
        <v>130.6</v>
      </c>
      <c r="L1418" s="16" t="n">
        <f aca="false">H1418*J1418</f>
        <v>50</v>
      </c>
      <c r="M1418" s="16" t="n">
        <f aca="false">K1418-L1418</f>
        <v>80.6</v>
      </c>
      <c r="N1418" s="17" t="n">
        <f aca="false">IFERROR(M1418/K1418,0)</f>
        <v>0.617151607963247</v>
      </c>
    </row>
    <row r="1419" customFormat="false" ht="15" hidden="false" customHeight="false" outlineLevel="0" collapsed="false">
      <c r="A1419" s="15" t="n">
        <v>46082</v>
      </c>
      <c r="B1419" s="14" t="s">
        <v>59</v>
      </c>
      <c r="C1419" s="14" t="s">
        <v>60</v>
      </c>
      <c r="D1419" s="14" t="s">
        <v>61</v>
      </c>
      <c r="E1419" s="14" t="s">
        <v>64</v>
      </c>
      <c r="F1419" s="14" t="s">
        <v>94</v>
      </c>
      <c r="G1419" s="14" t="s">
        <v>95</v>
      </c>
      <c r="H1419" s="0" t="n">
        <v>1</v>
      </c>
      <c r="I1419" s="16" t="n">
        <v>96.86</v>
      </c>
      <c r="J1419" s="16" t="n">
        <v>42</v>
      </c>
      <c r="K1419" s="16" t="n">
        <f aca="false">H1419*I1419</f>
        <v>96.86</v>
      </c>
      <c r="L1419" s="16" t="n">
        <f aca="false">H1419*J1419</f>
        <v>42</v>
      </c>
      <c r="M1419" s="16" t="n">
        <f aca="false">K1419-L1419</f>
        <v>54.86</v>
      </c>
      <c r="N1419" s="17" t="n">
        <f aca="false">IFERROR(M1419/K1419,0)</f>
        <v>0.566384472434442</v>
      </c>
    </row>
    <row r="1420" customFormat="false" ht="15" hidden="false" customHeight="false" outlineLevel="0" collapsed="false">
      <c r="A1420" s="15" t="n">
        <v>46082</v>
      </c>
      <c r="B1420" s="14" t="s">
        <v>69</v>
      </c>
      <c r="C1420" s="14" t="s">
        <v>70</v>
      </c>
      <c r="D1420" s="14" t="s">
        <v>71</v>
      </c>
      <c r="E1420" s="14" t="s">
        <v>53</v>
      </c>
      <c r="F1420" s="14" t="s">
        <v>92</v>
      </c>
      <c r="G1420" s="14" t="s">
        <v>93</v>
      </c>
      <c r="H1420" s="0" t="n">
        <v>7</v>
      </c>
      <c r="I1420" s="16" t="n">
        <v>115.96</v>
      </c>
      <c r="J1420" s="16" t="n">
        <v>52</v>
      </c>
      <c r="K1420" s="16" t="n">
        <f aca="false">H1420*I1420</f>
        <v>811.72</v>
      </c>
      <c r="L1420" s="16" t="n">
        <f aca="false">H1420*J1420</f>
        <v>364</v>
      </c>
      <c r="M1420" s="16" t="n">
        <f aca="false">K1420-L1420</f>
        <v>447.72</v>
      </c>
      <c r="N1420" s="17" t="n">
        <f aca="false">IFERROR(M1420/K1420,0)</f>
        <v>0.551569506726457</v>
      </c>
    </row>
    <row r="1421" customFormat="false" ht="15" hidden="false" customHeight="false" outlineLevel="0" collapsed="false">
      <c r="A1421" s="15" t="n">
        <v>46082</v>
      </c>
      <c r="B1421" s="14" t="s">
        <v>69</v>
      </c>
      <c r="C1421" s="14" t="s">
        <v>70</v>
      </c>
      <c r="D1421" s="14" t="s">
        <v>71</v>
      </c>
      <c r="E1421" s="14" t="s">
        <v>56</v>
      </c>
      <c r="F1421" s="14" t="s">
        <v>86</v>
      </c>
      <c r="G1421" s="14" t="s">
        <v>87</v>
      </c>
      <c r="H1421" s="0" t="n">
        <v>1</v>
      </c>
      <c r="I1421" s="16" t="n">
        <v>14.3</v>
      </c>
      <c r="J1421" s="16" t="n">
        <v>5</v>
      </c>
      <c r="K1421" s="16" t="n">
        <f aca="false">H1421*I1421</f>
        <v>14.3</v>
      </c>
      <c r="L1421" s="16" t="n">
        <f aca="false">H1421*J1421</f>
        <v>5</v>
      </c>
      <c r="M1421" s="16" t="n">
        <f aca="false">K1421-L1421</f>
        <v>9.3</v>
      </c>
      <c r="N1421" s="17" t="n">
        <f aca="false">IFERROR(M1421/K1421,0)</f>
        <v>0.65034965034965</v>
      </c>
    </row>
    <row r="1422" customFormat="false" ht="15" hidden="false" customHeight="false" outlineLevel="0" collapsed="false">
      <c r="A1422" s="15" t="n">
        <v>46082</v>
      </c>
      <c r="B1422" s="14" t="s">
        <v>69</v>
      </c>
      <c r="C1422" s="14" t="s">
        <v>70</v>
      </c>
      <c r="D1422" s="14" t="s">
        <v>71</v>
      </c>
      <c r="E1422" s="14" t="s">
        <v>45</v>
      </c>
      <c r="F1422" s="14" t="s">
        <v>48</v>
      </c>
      <c r="G1422" s="14" t="s">
        <v>49</v>
      </c>
      <c r="H1422" s="0" t="n">
        <v>9</v>
      </c>
      <c r="I1422" s="16" t="n">
        <v>66.55</v>
      </c>
      <c r="J1422" s="16" t="n">
        <v>27.5</v>
      </c>
      <c r="K1422" s="16" t="n">
        <f aca="false">H1422*I1422</f>
        <v>598.95</v>
      </c>
      <c r="L1422" s="16" t="n">
        <f aca="false">H1422*J1422</f>
        <v>247.5</v>
      </c>
      <c r="M1422" s="16" t="n">
        <f aca="false">K1422-L1422</f>
        <v>351.45</v>
      </c>
      <c r="N1422" s="17" t="n">
        <f aca="false">IFERROR(M1422/K1422,0)</f>
        <v>0.586776859504132</v>
      </c>
    </row>
    <row r="1423" customFormat="false" ht="15" hidden="false" customHeight="false" outlineLevel="0" collapsed="false">
      <c r="A1423" s="15" t="n">
        <v>46082</v>
      </c>
      <c r="B1423" s="14" t="s">
        <v>81</v>
      </c>
      <c r="C1423" s="14" t="s">
        <v>82</v>
      </c>
      <c r="D1423" s="14" t="s">
        <v>83</v>
      </c>
      <c r="E1423" s="14" t="s">
        <v>45</v>
      </c>
      <c r="F1423" s="14" t="s">
        <v>72</v>
      </c>
      <c r="G1423" s="14" t="s">
        <v>73</v>
      </c>
      <c r="H1423" s="0" t="n">
        <v>7</v>
      </c>
      <c r="I1423" s="16" t="n">
        <v>49.83</v>
      </c>
      <c r="J1423" s="16" t="n">
        <v>21</v>
      </c>
      <c r="K1423" s="16" t="n">
        <f aca="false">H1423*I1423</f>
        <v>348.81</v>
      </c>
      <c r="L1423" s="16" t="n">
        <f aca="false">H1423*J1423</f>
        <v>147</v>
      </c>
      <c r="M1423" s="16" t="n">
        <f aca="false">K1423-L1423</f>
        <v>201.81</v>
      </c>
      <c r="N1423" s="17" t="n">
        <f aca="false">IFERROR(M1423/K1423,0)</f>
        <v>0.578567128236002</v>
      </c>
    </row>
    <row r="1424" customFormat="false" ht="15" hidden="false" customHeight="false" outlineLevel="0" collapsed="false">
      <c r="A1424" s="15" t="n">
        <v>46082</v>
      </c>
      <c r="B1424" s="14" t="s">
        <v>81</v>
      </c>
      <c r="C1424" s="14" t="s">
        <v>82</v>
      </c>
      <c r="D1424" s="14" t="s">
        <v>83</v>
      </c>
      <c r="E1424" s="14" t="s">
        <v>45</v>
      </c>
      <c r="F1424" s="14" t="s">
        <v>72</v>
      </c>
      <c r="G1424" s="14" t="s">
        <v>73</v>
      </c>
      <c r="H1424" s="0" t="n">
        <v>8</v>
      </c>
      <c r="I1424" s="16" t="n">
        <v>48.84</v>
      </c>
      <c r="J1424" s="16" t="n">
        <v>21</v>
      </c>
      <c r="K1424" s="16" t="n">
        <f aca="false">H1424*I1424</f>
        <v>390.72</v>
      </c>
      <c r="L1424" s="16" t="n">
        <f aca="false">H1424*J1424</f>
        <v>168</v>
      </c>
      <c r="M1424" s="16" t="n">
        <f aca="false">K1424-L1424</f>
        <v>222.72</v>
      </c>
      <c r="N1424" s="17" t="n">
        <f aca="false">IFERROR(M1424/K1424,0)</f>
        <v>0.57002457002457</v>
      </c>
    </row>
    <row r="1425" customFormat="false" ht="15" hidden="false" customHeight="false" outlineLevel="0" collapsed="false">
      <c r="A1425" s="15" t="n">
        <v>46082</v>
      </c>
      <c r="B1425" s="14" t="s">
        <v>81</v>
      </c>
      <c r="C1425" s="14" t="s">
        <v>82</v>
      </c>
      <c r="D1425" s="14" t="s">
        <v>83</v>
      </c>
      <c r="E1425" s="14" t="s">
        <v>56</v>
      </c>
      <c r="F1425" s="14" t="s">
        <v>98</v>
      </c>
      <c r="G1425" s="14" t="s">
        <v>99</v>
      </c>
      <c r="H1425" s="0" t="n">
        <v>7</v>
      </c>
      <c r="I1425" s="16" t="n">
        <v>21.91</v>
      </c>
      <c r="J1425" s="16" t="n">
        <v>8</v>
      </c>
      <c r="K1425" s="16" t="n">
        <f aca="false">H1425*I1425</f>
        <v>153.37</v>
      </c>
      <c r="L1425" s="16" t="n">
        <f aca="false">H1425*J1425</f>
        <v>56</v>
      </c>
      <c r="M1425" s="16" t="n">
        <f aca="false">K1425-L1425</f>
        <v>97.37</v>
      </c>
      <c r="N1425" s="17" t="n">
        <f aca="false">IFERROR(M1425/K1425,0)</f>
        <v>0.634869922409859</v>
      </c>
    </row>
    <row r="1426" customFormat="false" ht="15" hidden="false" customHeight="false" outlineLevel="0" collapsed="false">
      <c r="A1426" s="15" t="n">
        <v>46082</v>
      </c>
      <c r="B1426" s="14" t="s">
        <v>81</v>
      </c>
      <c r="C1426" s="14" t="s">
        <v>82</v>
      </c>
      <c r="D1426" s="14" t="s">
        <v>83</v>
      </c>
      <c r="E1426" s="14" t="s">
        <v>53</v>
      </c>
      <c r="F1426" s="14" t="s">
        <v>92</v>
      </c>
      <c r="G1426" s="14" t="s">
        <v>93</v>
      </c>
      <c r="H1426" s="0" t="n">
        <v>5</v>
      </c>
      <c r="I1426" s="16" t="n">
        <v>112.69</v>
      </c>
      <c r="J1426" s="16" t="n">
        <v>52</v>
      </c>
      <c r="K1426" s="16" t="n">
        <f aca="false">H1426*I1426</f>
        <v>563.45</v>
      </c>
      <c r="L1426" s="16" t="n">
        <f aca="false">H1426*J1426</f>
        <v>260</v>
      </c>
      <c r="M1426" s="16" t="n">
        <f aca="false">K1426-L1426</f>
        <v>303.45</v>
      </c>
      <c r="N1426" s="17" t="n">
        <f aca="false">IFERROR(M1426/K1426,0)</f>
        <v>0.538557103558435</v>
      </c>
    </row>
    <row r="1427" customFormat="false" ht="15" hidden="false" customHeight="false" outlineLevel="0" collapsed="false">
      <c r="A1427" s="15" t="n">
        <v>46082</v>
      </c>
      <c r="B1427" s="14" t="s">
        <v>81</v>
      </c>
      <c r="C1427" s="14" t="s">
        <v>82</v>
      </c>
      <c r="D1427" s="14" t="s">
        <v>83</v>
      </c>
      <c r="E1427" s="14" t="s">
        <v>45</v>
      </c>
      <c r="F1427" s="14" t="s">
        <v>48</v>
      </c>
      <c r="G1427" s="14" t="s">
        <v>49</v>
      </c>
      <c r="H1427" s="0" t="n">
        <v>8</v>
      </c>
      <c r="I1427" s="16" t="n">
        <v>66.2</v>
      </c>
      <c r="J1427" s="16" t="n">
        <v>27.5</v>
      </c>
      <c r="K1427" s="16" t="n">
        <f aca="false">H1427*I1427</f>
        <v>529.6</v>
      </c>
      <c r="L1427" s="16" t="n">
        <f aca="false">H1427*J1427</f>
        <v>220</v>
      </c>
      <c r="M1427" s="16" t="n">
        <f aca="false">K1427-L1427</f>
        <v>309.6</v>
      </c>
      <c r="N1427" s="17" t="n">
        <f aca="false">IFERROR(M1427/K1427,0)</f>
        <v>0.584592145015106</v>
      </c>
    </row>
    <row r="1428" customFormat="false" ht="15" hidden="false" customHeight="false" outlineLevel="0" collapsed="false">
      <c r="A1428" s="15" t="n">
        <v>46082</v>
      </c>
      <c r="B1428" s="14" t="s">
        <v>81</v>
      </c>
      <c r="C1428" s="14" t="s">
        <v>82</v>
      </c>
      <c r="D1428" s="14" t="s">
        <v>83</v>
      </c>
      <c r="E1428" s="14" t="s">
        <v>53</v>
      </c>
      <c r="F1428" s="14" t="s">
        <v>84</v>
      </c>
      <c r="G1428" s="14" t="s">
        <v>85</v>
      </c>
      <c r="H1428" s="0" t="n">
        <v>1</v>
      </c>
      <c r="I1428" s="16" t="n">
        <v>24.95</v>
      </c>
      <c r="J1428" s="16" t="n">
        <v>9</v>
      </c>
      <c r="K1428" s="16" t="n">
        <f aca="false">H1428*I1428</f>
        <v>24.95</v>
      </c>
      <c r="L1428" s="16" t="n">
        <f aca="false">H1428*J1428</f>
        <v>9</v>
      </c>
      <c r="M1428" s="16" t="n">
        <f aca="false">K1428-L1428</f>
        <v>15.95</v>
      </c>
      <c r="N1428" s="17" t="n">
        <f aca="false">IFERROR(M1428/K1428,0)</f>
        <v>0.639278557114228</v>
      </c>
    </row>
    <row r="1429" customFormat="false" ht="15" hidden="false" customHeight="false" outlineLevel="0" collapsed="false">
      <c r="A1429" s="15" t="n">
        <v>46082</v>
      </c>
      <c r="B1429" s="14" t="s">
        <v>88</v>
      </c>
      <c r="C1429" s="14" t="s">
        <v>89</v>
      </c>
      <c r="D1429" s="14" t="s">
        <v>44</v>
      </c>
      <c r="E1429" s="14" t="s">
        <v>53</v>
      </c>
      <c r="F1429" s="14" t="s">
        <v>84</v>
      </c>
      <c r="G1429" s="14" t="s">
        <v>85</v>
      </c>
      <c r="H1429" s="0" t="n">
        <v>4</v>
      </c>
      <c r="I1429" s="16" t="n">
        <v>24.58</v>
      </c>
      <c r="J1429" s="16" t="n">
        <v>9</v>
      </c>
      <c r="K1429" s="16" t="n">
        <f aca="false">H1429*I1429</f>
        <v>98.32</v>
      </c>
      <c r="L1429" s="16" t="n">
        <f aca="false">H1429*J1429</f>
        <v>36</v>
      </c>
      <c r="M1429" s="16" t="n">
        <f aca="false">K1429-L1429</f>
        <v>62.32</v>
      </c>
      <c r="N1429" s="17" t="n">
        <f aca="false">IFERROR(M1429/K1429,0)</f>
        <v>0.633848657445077</v>
      </c>
    </row>
    <row r="1430" customFormat="false" ht="15" hidden="false" customHeight="false" outlineLevel="0" collapsed="false">
      <c r="A1430" s="15" t="n">
        <v>46082</v>
      </c>
      <c r="B1430" s="14" t="s">
        <v>88</v>
      </c>
      <c r="C1430" s="14" t="s">
        <v>89</v>
      </c>
      <c r="D1430" s="14" t="s">
        <v>44</v>
      </c>
      <c r="E1430" s="14" t="s">
        <v>76</v>
      </c>
      <c r="F1430" s="14" t="s">
        <v>100</v>
      </c>
      <c r="G1430" s="14" t="s">
        <v>101</v>
      </c>
      <c r="H1430" s="0" t="n">
        <v>1</v>
      </c>
      <c r="I1430" s="16" t="n">
        <v>15.82</v>
      </c>
      <c r="J1430" s="16" t="n">
        <v>5.5</v>
      </c>
      <c r="K1430" s="16" t="n">
        <f aca="false">H1430*I1430</f>
        <v>15.82</v>
      </c>
      <c r="L1430" s="16" t="n">
        <f aca="false">H1430*J1430</f>
        <v>5.5</v>
      </c>
      <c r="M1430" s="16" t="n">
        <f aca="false">K1430-L1430</f>
        <v>10.32</v>
      </c>
      <c r="N1430" s="17" t="n">
        <f aca="false">IFERROR(M1430/K1430,0)</f>
        <v>0.652338811630847</v>
      </c>
    </row>
    <row r="1431" customFormat="false" ht="15" hidden="false" customHeight="false" outlineLevel="0" collapsed="false">
      <c r="A1431" s="15" t="n">
        <v>46082</v>
      </c>
      <c r="B1431" s="14" t="s">
        <v>88</v>
      </c>
      <c r="C1431" s="14" t="s">
        <v>89</v>
      </c>
      <c r="D1431" s="14" t="s">
        <v>44</v>
      </c>
      <c r="E1431" s="14" t="s">
        <v>45</v>
      </c>
      <c r="F1431" s="14" t="s">
        <v>72</v>
      </c>
      <c r="G1431" s="14" t="s">
        <v>73</v>
      </c>
      <c r="H1431" s="0" t="n">
        <v>9</v>
      </c>
      <c r="I1431" s="16" t="n">
        <v>50.05</v>
      </c>
      <c r="J1431" s="16" t="n">
        <v>21</v>
      </c>
      <c r="K1431" s="16" t="n">
        <f aca="false">H1431*I1431</f>
        <v>450.45</v>
      </c>
      <c r="L1431" s="16" t="n">
        <f aca="false">H1431*J1431</f>
        <v>189</v>
      </c>
      <c r="M1431" s="16" t="n">
        <f aca="false">K1431-L1431</f>
        <v>261.45</v>
      </c>
      <c r="N1431" s="17" t="n">
        <f aca="false">IFERROR(M1431/K1431,0)</f>
        <v>0.58041958041958</v>
      </c>
    </row>
    <row r="1432" customFormat="false" ht="15" hidden="false" customHeight="false" outlineLevel="0" collapsed="false">
      <c r="A1432" s="15" t="n">
        <v>46082</v>
      </c>
      <c r="B1432" s="14" t="s">
        <v>88</v>
      </c>
      <c r="C1432" s="14" t="s">
        <v>89</v>
      </c>
      <c r="D1432" s="14" t="s">
        <v>44</v>
      </c>
      <c r="E1432" s="14" t="s">
        <v>76</v>
      </c>
      <c r="F1432" s="14" t="s">
        <v>100</v>
      </c>
      <c r="G1432" s="14" t="s">
        <v>101</v>
      </c>
      <c r="H1432" s="0" t="n">
        <v>7</v>
      </c>
      <c r="I1432" s="16" t="n">
        <v>15.61</v>
      </c>
      <c r="J1432" s="16" t="n">
        <v>5.5</v>
      </c>
      <c r="K1432" s="16" t="n">
        <f aca="false">H1432*I1432</f>
        <v>109.27</v>
      </c>
      <c r="L1432" s="16" t="n">
        <f aca="false">H1432*J1432</f>
        <v>38.5</v>
      </c>
      <c r="M1432" s="16" t="n">
        <f aca="false">K1432-L1432</f>
        <v>70.77</v>
      </c>
      <c r="N1432" s="17" t="n">
        <f aca="false">IFERROR(M1432/K1432,0)</f>
        <v>0.647661755285074</v>
      </c>
    </row>
    <row r="1433" customFormat="false" ht="15" hidden="false" customHeight="false" outlineLevel="0" collapsed="false">
      <c r="A1433" s="15" t="n">
        <v>46082</v>
      </c>
      <c r="B1433" s="14" t="s">
        <v>88</v>
      </c>
      <c r="C1433" s="14" t="s">
        <v>89</v>
      </c>
      <c r="D1433" s="14" t="s">
        <v>44</v>
      </c>
      <c r="E1433" s="14" t="s">
        <v>56</v>
      </c>
      <c r="F1433" s="14" t="s">
        <v>86</v>
      </c>
      <c r="G1433" s="14" t="s">
        <v>87</v>
      </c>
      <c r="H1433" s="0" t="n">
        <v>3</v>
      </c>
      <c r="I1433" s="16" t="n">
        <v>14.54</v>
      </c>
      <c r="J1433" s="16" t="n">
        <v>5</v>
      </c>
      <c r="K1433" s="16" t="n">
        <f aca="false">H1433*I1433</f>
        <v>43.62</v>
      </c>
      <c r="L1433" s="16" t="n">
        <f aca="false">H1433*J1433</f>
        <v>15</v>
      </c>
      <c r="M1433" s="16" t="n">
        <f aca="false">K1433-L1433</f>
        <v>28.62</v>
      </c>
      <c r="N1433" s="17" t="n">
        <f aca="false">IFERROR(M1433/K1433,0)</f>
        <v>0.656121045392022</v>
      </c>
    </row>
    <row r="1434" customFormat="false" ht="15" hidden="false" customHeight="false" outlineLevel="0" collapsed="false">
      <c r="A1434" s="15" t="n">
        <v>46083</v>
      </c>
      <c r="B1434" s="14" t="s">
        <v>42</v>
      </c>
      <c r="C1434" s="14" t="s">
        <v>43</v>
      </c>
      <c r="D1434" s="14" t="s">
        <v>44</v>
      </c>
      <c r="E1434" s="14" t="s">
        <v>45</v>
      </c>
      <c r="F1434" s="14" t="s">
        <v>46</v>
      </c>
      <c r="G1434" s="14" t="s">
        <v>47</v>
      </c>
      <c r="H1434" s="0" t="n">
        <v>1</v>
      </c>
      <c r="I1434" s="16" t="n">
        <v>41.8</v>
      </c>
      <c r="J1434" s="16" t="n">
        <v>18</v>
      </c>
      <c r="K1434" s="16" t="n">
        <f aca="false">H1434*I1434</f>
        <v>41.8</v>
      </c>
      <c r="L1434" s="16" t="n">
        <f aca="false">H1434*J1434</f>
        <v>18</v>
      </c>
      <c r="M1434" s="16" t="n">
        <f aca="false">K1434-L1434</f>
        <v>23.8</v>
      </c>
      <c r="N1434" s="17" t="n">
        <f aca="false">IFERROR(M1434/K1434,0)</f>
        <v>0.569377990430622</v>
      </c>
    </row>
    <row r="1435" customFormat="false" ht="15" hidden="false" customHeight="false" outlineLevel="0" collapsed="false">
      <c r="A1435" s="15" t="n">
        <v>46083</v>
      </c>
      <c r="B1435" s="14" t="s">
        <v>42</v>
      </c>
      <c r="C1435" s="14" t="s">
        <v>43</v>
      </c>
      <c r="D1435" s="14" t="s">
        <v>44</v>
      </c>
      <c r="E1435" s="14" t="s">
        <v>76</v>
      </c>
      <c r="F1435" s="14" t="s">
        <v>100</v>
      </c>
      <c r="G1435" s="14" t="s">
        <v>101</v>
      </c>
      <c r="H1435" s="0" t="n">
        <v>1</v>
      </c>
      <c r="I1435" s="16" t="n">
        <v>15.19</v>
      </c>
      <c r="J1435" s="16" t="n">
        <v>5.5</v>
      </c>
      <c r="K1435" s="16" t="n">
        <f aca="false">H1435*I1435</f>
        <v>15.19</v>
      </c>
      <c r="L1435" s="16" t="n">
        <f aca="false">H1435*J1435</f>
        <v>5.5</v>
      </c>
      <c r="M1435" s="16" t="n">
        <f aca="false">K1435-L1435</f>
        <v>9.69</v>
      </c>
      <c r="N1435" s="17" t="n">
        <f aca="false">IFERROR(M1435/K1435,0)</f>
        <v>0.637919684002633</v>
      </c>
    </row>
    <row r="1436" customFormat="false" ht="15" hidden="false" customHeight="false" outlineLevel="0" collapsed="false">
      <c r="A1436" s="15" t="n">
        <v>46083</v>
      </c>
      <c r="B1436" s="14" t="s">
        <v>42</v>
      </c>
      <c r="C1436" s="14" t="s">
        <v>43</v>
      </c>
      <c r="D1436" s="14" t="s">
        <v>44</v>
      </c>
      <c r="E1436" s="14" t="s">
        <v>53</v>
      </c>
      <c r="F1436" s="14" t="s">
        <v>74</v>
      </c>
      <c r="G1436" s="14" t="s">
        <v>75</v>
      </c>
      <c r="H1436" s="0" t="n">
        <v>5</v>
      </c>
      <c r="I1436" s="16" t="n">
        <v>82.87</v>
      </c>
      <c r="J1436" s="16" t="n">
        <v>38</v>
      </c>
      <c r="K1436" s="16" t="n">
        <f aca="false">H1436*I1436</f>
        <v>414.35</v>
      </c>
      <c r="L1436" s="16" t="n">
        <f aca="false">H1436*J1436</f>
        <v>190</v>
      </c>
      <c r="M1436" s="16" t="n">
        <f aca="false">K1436-L1436</f>
        <v>224.35</v>
      </c>
      <c r="N1436" s="17" t="n">
        <f aca="false">IFERROR(M1436/K1436,0)</f>
        <v>0.541450464583082</v>
      </c>
    </row>
    <row r="1437" customFormat="false" ht="15" hidden="false" customHeight="false" outlineLevel="0" collapsed="false">
      <c r="A1437" s="15" t="n">
        <v>46083</v>
      </c>
      <c r="B1437" s="14" t="s">
        <v>42</v>
      </c>
      <c r="C1437" s="14" t="s">
        <v>43</v>
      </c>
      <c r="D1437" s="14" t="s">
        <v>44</v>
      </c>
      <c r="E1437" s="14" t="s">
        <v>76</v>
      </c>
      <c r="F1437" s="14" t="s">
        <v>77</v>
      </c>
      <c r="G1437" s="14" t="s">
        <v>78</v>
      </c>
      <c r="H1437" s="0" t="n">
        <v>3</v>
      </c>
      <c r="I1437" s="16" t="n">
        <v>40.82</v>
      </c>
      <c r="J1437" s="16" t="n">
        <v>15</v>
      </c>
      <c r="K1437" s="16" t="n">
        <f aca="false">H1437*I1437</f>
        <v>122.46</v>
      </c>
      <c r="L1437" s="16" t="n">
        <f aca="false">H1437*J1437</f>
        <v>45</v>
      </c>
      <c r="M1437" s="16" t="n">
        <f aca="false">K1437-L1437</f>
        <v>77.46</v>
      </c>
      <c r="N1437" s="17" t="n">
        <f aca="false">IFERROR(M1437/K1437,0)</f>
        <v>0.632533072023518</v>
      </c>
    </row>
    <row r="1438" customFormat="false" ht="15" hidden="false" customHeight="false" outlineLevel="0" collapsed="false">
      <c r="A1438" s="15" t="n">
        <v>46083</v>
      </c>
      <c r="B1438" s="14" t="s">
        <v>50</v>
      </c>
      <c r="C1438" s="14" t="s">
        <v>51</v>
      </c>
      <c r="D1438" s="14" t="s">
        <v>52</v>
      </c>
      <c r="E1438" s="14" t="s">
        <v>53</v>
      </c>
      <c r="F1438" s="14" t="s">
        <v>54</v>
      </c>
      <c r="G1438" s="14" t="s">
        <v>55</v>
      </c>
      <c r="H1438" s="0" t="n">
        <v>7</v>
      </c>
      <c r="I1438" s="16" t="n">
        <v>52.15</v>
      </c>
      <c r="J1438" s="16" t="n">
        <v>22</v>
      </c>
      <c r="K1438" s="16" t="n">
        <f aca="false">H1438*I1438</f>
        <v>365.05</v>
      </c>
      <c r="L1438" s="16" t="n">
        <f aca="false">H1438*J1438</f>
        <v>154</v>
      </c>
      <c r="M1438" s="16" t="n">
        <f aca="false">K1438-L1438</f>
        <v>211.05</v>
      </c>
      <c r="N1438" s="17" t="n">
        <f aca="false">IFERROR(M1438/K1438,0)</f>
        <v>0.578139980824545</v>
      </c>
    </row>
    <row r="1439" customFormat="false" ht="15" hidden="false" customHeight="false" outlineLevel="0" collapsed="false">
      <c r="A1439" s="15" t="n">
        <v>46083</v>
      </c>
      <c r="B1439" s="14" t="s">
        <v>50</v>
      </c>
      <c r="C1439" s="14" t="s">
        <v>51</v>
      </c>
      <c r="D1439" s="14" t="s">
        <v>52</v>
      </c>
      <c r="E1439" s="14" t="s">
        <v>76</v>
      </c>
      <c r="F1439" s="14" t="s">
        <v>100</v>
      </c>
      <c r="G1439" s="14" t="s">
        <v>101</v>
      </c>
      <c r="H1439" s="0" t="n">
        <v>6</v>
      </c>
      <c r="I1439" s="16" t="n">
        <v>14.79</v>
      </c>
      <c r="J1439" s="16" t="n">
        <v>5.5</v>
      </c>
      <c r="K1439" s="16" t="n">
        <f aca="false">H1439*I1439</f>
        <v>88.74</v>
      </c>
      <c r="L1439" s="16" t="n">
        <f aca="false">H1439*J1439</f>
        <v>33</v>
      </c>
      <c r="M1439" s="16" t="n">
        <f aca="false">K1439-L1439</f>
        <v>55.74</v>
      </c>
      <c r="N1439" s="17" t="n">
        <f aca="false">IFERROR(M1439/K1439,0)</f>
        <v>0.628127112914131</v>
      </c>
    </row>
    <row r="1440" customFormat="false" ht="15" hidden="false" customHeight="false" outlineLevel="0" collapsed="false">
      <c r="A1440" s="15" t="n">
        <v>46083</v>
      </c>
      <c r="B1440" s="14" t="s">
        <v>50</v>
      </c>
      <c r="C1440" s="14" t="s">
        <v>51</v>
      </c>
      <c r="D1440" s="14" t="s">
        <v>52</v>
      </c>
      <c r="E1440" s="14" t="s">
        <v>76</v>
      </c>
      <c r="F1440" s="14" t="s">
        <v>102</v>
      </c>
      <c r="G1440" s="14" t="s">
        <v>103</v>
      </c>
      <c r="H1440" s="0" t="n">
        <v>9</v>
      </c>
      <c r="I1440" s="16" t="n">
        <v>23.01</v>
      </c>
      <c r="J1440" s="16" t="n">
        <v>8.5</v>
      </c>
      <c r="K1440" s="16" t="n">
        <f aca="false">H1440*I1440</f>
        <v>207.09</v>
      </c>
      <c r="L1440" s="16" t="n">
        <f aca="false">H1440*J1440</f>
        <v>76.5</v>
      </c>
      <c r="M1440" s="16" t="n">
        <f aca="false">K1440-L1440</f>
        <v>130.59</v>
      </c>
      <c r="N1440" s="17" t="n">
        <f aca="false">IFERROR(M1440/K1440,0)</f>
        <v>0.630595393307258</v>
      </c>
    </row>
    <row r="1441" customFormat="false" ht="15" hidden="false" customHeight="false" outlineLevel="0" collapsed="false">
      <c r="A1441" s="15" t="n">
        <v>46083</v>
      </c>
      <c r="B1441" s="14" t="s">
        <v>50</v>
      </c>
      <c r="C1441" s="14" t="s">
        <v>51</v>
      </c>
      <c r="D1441" s="14" t="s">
        <v>52</v>
      </c>
      <c r="E1441" s="14" t="s">
        <v>56</v>
      </c>
      <c r="F1441" s="14" t="s">
        <v>98</v>
      </c>
      <c r="G1441" s="14" t="s">
        <v>99</v>
      </c>
      <c r="H1441" s="0" t="n">
        <v>10</v>
      </c>
      <c r="I1441" s="16" t="n">
        <v>21.49</v>
      </c>
      <c r="J1441" s="16" t="n">
        <v>8</v>
      </c>
      <c r="K1441" s="16" t="n">
        <f aca="false">H1441*I1441</f>
        <v>214.9</v>
      </c>
      <c r="L1441" s="16" t="n">
        <f aca="false">H1441*J1441</f>
        <v>80</v>
      </c>
      <c r="M1441" s="16" t="n">
        <f aca="false">K1441-L1441</f>
        <v>134.9</v>
      </c>
      <c r="N1441" s="17" t="n">
        <f aca="false">IFERROR(M1441/K1441,0)</f>
        <v>0.627733829688227</v>
      </c>
    </row>
    <row r="1442" customFormat="false" ht="15" hidden="false" customHeight="false" outlineLevel="0" collapsed="false">
      <c r="A1442" s="15" t="n">
        <v>46083</v>
      </c>
      <c r="B1442" s="14" t="s">
        <v>50</v>
      </c>
      <c r="C1442" s="14" t="s">
        <v>51</v>
      </c>
      <c r="D1442" s="14" t="s">
        <v>52</v>
      </c>
      <c r="E1442" s="14" t="s">
        <v>56</v>
      </c>
      <c r="F1442" s="14" t="s">
        <v>67</v>
      </c>
      <c r="G1442" s="14" t="s">
        <v>68</v>
      </c>
      <c r="H1442" s="0" t="n">
        <v>10</v>
      </c>
      <c r="I1442" s="16" t="n">
        <v>36.85</v>
      </c>
      <c r="J1442" s="16" t="n">
        <v>15</v>
      </c>
      <c r="K1442" s="16" t="n">
        <f aca="false">H1442*I1442</f>
        <v>368.5</v>
      </c>
      <c r="L1442" s="16" t="n">
        <f aca="false">H1442*J1442</f>
        <v>150</v>
      </c>
      <c r="M1442" s="16" t="n">
        <f aca="false">K1442-L1442</f>
        <v>218.5</v>
      </c>
      <c r="N1442" s="17" t="n">
        <f aca="false">IFERROR(M1442/K1442,0)</f>
        <v>0.592944369063772</v>
      </c>
    </row>
    <row r="1443" customFormat="false" ht="15" hidden="false" customHeight="false" outlineLevel="0" collapsed="false">
      <c r="A1443" s="15" t="n">
        <v>46083</v>
      </c>
      <c r="B1443" s="14" t="s">
        <v>50</v>
      </c>
      <c r="C1443" s="14" t="s">
        <v>51</v>
      </c>
      <c r="D1443" s="14" t="s">
        <v>52</v>
      </c>
      <c r="E1443" s="14" t="s">
        <v>45</v>
      </c>
      <c r="F1443" s="14" t="s">
        <v>62</v>
      </c>
      <c r="G1443" s="14" t="s">
        <v>63</v>
      </c>
      <c r="H1443" s="0" t="n">
        <v>10</v>
      </c>
      <c r="I1443" s="16" t="n">
        <v>16.69</v>
      </c>
      <c r="J1443" s="16" t="n">
        <v>6.5</v>
      </c>
      <c r="K1443" s="16" t="n">
        <f aca="false">H1443*I1443</f>
        <v>166.9</v>
      </c>
      <c r="L1443" s="16" t="n">
        <f aca="false">H1443*J1443</f>
        <v>65</v>
      </c>
      <c r="M1443" s="16" t="n">
        <f aca="false">K1443-L1443</f>
        <v>101.9</v>
      </c>
      <c r="N1443" s="17" t="n">
        <f aca="false">IFERROR(M1443/K1443,0)</f>
        <v>0.610545236668664</v>
      </c>
    </row>
    <row r="1444" customFormat="false" ht="15" hidden="false" customHeight="false" outlineLevel="0" collapsed="false">
      <c r="A1444" s="15" t="n">
        <v>46083</v>
      </c>
      <c r="B1444" s="14" t="s">
        <v>59</v>
      </c>
      <c r="C1444" s="14" t="s">
        <v>60</v>
      </c>
      <c r="D1444" s="14" t="s">
        <v>61</v>
      </c>
      <c r="E1444" s="14" t="s">
        <v>53</v>
      </c>
      <c r="F1444" s="14" t="s">
        <v>92</v>
      </c>
      <c r="G1444" s="14" t="s">
        <v>93</v>
      </c>
      <c r="H1444" s="0" t="n">
        <v>2</v>
      </c>
      <c r="I1444" s="16" t="n">
        <v>111.45</v>
      </c>
      <c r="J1444" s="16" t="n">
        <v>52</v>
      </c>
      <c r="K1444" s="16" t="n">
        <f aca="false">H1444*I1444</f>
        <v>222.9</v>
      </c>
      <c r="L1444" s="16" t="n">
        <f aca="false">H1444*J1444</f>
        <v>104</v>
      </c>
      <c r="M1444" s="16" t="n">
        <f aca="false">K1444-L1444</f>
        <v>118.9</v>
      </c>
      <c r="N1444" s="17" t="n">
        <f aca="false">IFERROR(M1444/K1444,0)</f>
        <v>0.533423059668013</v>
      </c>
    </row>
    <row r="1445" customFormat="false" ht="15" hidden="false" customHeight="false" outlineLevel="0" collapsed="false">
      <c r="A1445" s="15" t="n">
        <v>46083</v>
      </c>
      <c r="B1445" s="14" t="s">
        <v>59</v>
      </c>
      <c r="C1445" s="14" t="s">
        <v>60</v>
      </c>
      <c r="D1445" s="14" t="s">
        <v>61</v>
      </c>
      <c r="E1445" s="14" t="s">
        <v>76</v>
      </c>
      <c r="F1445" s="14" t="s">
        <v>79</v>
      </c>
      <c r="G1445" s="14" t="s">
        <v>80</v>
      </c>
      <c r="H1445" s="0" t="n">
        <v>3</v>
      </c>
      <c r="I1445" s="16" t="n">
        <v>28.79</v>
      </c>
      <c r="J1445" s="16" t="n">
        <v>11</v>
      </c>
      <c r="K1445" s="16" t="n">
        <f aca="false">H1445*I1445</f>
        <v>86.37</v>
      </c>
      <c r="L1445" s="16" t="n">
        <f aca="false">H1445*J1445</f>
        <v>33</v>
      </c>
      <c r="M1445" s="16" t="n">
        <f aca="false">K1445-L1445</f>
        <v>53.37</v>
      </c>
      <c r="N1445" s="17" t="n">
        <f aca="false">IFERROR(M1445/K1445,0)</f>
        <v>0.617922889892324</v>
      </c>
    </row>
    <row r="1446" customFormat="false" ht="15" hidden="false" customHeight="false" outlineLevel="0" collapsed="false">
      <c r="A1446" s="15" t="n">
        <v>46083</v>
      </c>
      <c r="B1446" s="14" t="s">
        <v>59</v>
      </c>
      <c r="C1446" s="14" t="s">
        <v>60</v>
      </c>
      <c r="D1446" s="14" t="s">
        <v>61</v>
      </c>
      <c r="E1446" s="14" t="s">
        <v>53</v>
      </c>
      <c r="F1446" s="14" t="s">
        <v>74</v>
      </c>
      <c r="G1446" s="14" t="s">
        <v>75</v>
      </c>
      <c r="H1446" s="0" t="n">
        <v>4</v>
      </c>
      <c r="I1446" s="16" t="n">
        <v>84.85</v>
      </c>
      <c r="J1446" s="16" t="n">
        <v>38</v>
      </c>
      <c r="K1446" s="16" t="n">
        <f aca="false">H1446*I1446</f>
        <v>339.4</v>
      </c>
      <c r="L1446" s="16" t="n">
        <f aca="false">H1446*J1446</f>
        <v>152</v>
      </c>
      <c r="M1446" s="16" t="n">
        <f aca="false">K1446-L1446</f>
        <v>187.4</v>
      </c>
      <c r="N1446" s="17" t="n">
        <f aca="false">IFERROR(M1446/K1446,0)</f>
        <v>0.552150854449028</v>
      </c>
    </row>
    <row r="1447" customFormat="false" ht="15" hidden="false" customHeight="false" outlineLevel="0" collapsed="false">
      <c r="A1447" s="15" t="n">
        <v>46083</v>
      </c>
      <c r="B1447" s="14" t="s">
        <v>59</v>
      </c>
      <c r="C1447" s="14" t="s">
        <v>60</v>
      </c>
      <c r="D1447" s="14" t="s">
        <v>61</v>
      </c>
      <c r="E1447" s="14" t="s">
        <v>56</v>
      </c>
      <c r="F1447" s="14" t="s">
        <v>86</v>
      </c>
      <c r="G1447" s="14" t="s">
        <v>87</v>
      </c>
      <c r="H1447" s="0" t="n">
        <v>8</v>
      </c>
      <c r="I1447" s="16" t="n">
        <v>14.22</v>
      </c>
      <c r="J1447" s="16" t="n">
        <v>5</v>
      </c>
      <c r="K1447" s="16" t="n">
        <f aca="false">H1447*I1447</f>
        <v>113.76</v>
      </c>
      <c r="L1447" s="16" t="n">
        <f aca="false">H1447*J1447</f>
        <v>40</v>
      </c>
      <c r="M1447" s="16" t="n">
        <f aca="false">K1447-L1447</f>
        <v>73.76</v>
      </c>
      <c r="N1447" s="17" t="n">
        <f aca="false">IFERROR(M1447/K1447,0)</f>
        <v>0.648382559774965</v>
      </c>
    </row>
    <row r="1448" customFormat="false" ht="15" hidden="false" customHeight="false" outlineLevel="0" collapsed="false">
      <c r="A1448" s="15" t="n">
        <v>46083</v>
      </c>
      <c r="B1448" s="14" t="s">
        <v>59</v>
      </c>
      <c r="C1448" s="14" t="s">
        <v>60</v>
      </c>
      <c r="D1448" s="14" t="s">
        <v>61</v>
      </c>
      <c r="E1448" s="14" t="s">
        <v>64</v>
      </c>
      <c r="F1448" s="14" t="s">
        <v>65</v>
      </c>
      <c r="G1448" s="14" t="s">
        <v>66</v>
      </c>
      <c r="H1448" s="0" t="n">
        <v>4</v>
      </c>
      <c r="I1448" s="16" t="n">
        <v>73.87</v>
      </c>
      <c r="J1448" s="16" t="n">
        <v>34</v>
      </c>
      <c r="K1448" s="16" t="n">
        <f aca="false">H1448*I1448</f>
        <v>295.48</v>
      </c>
      <c r="L1448" s="16" t="n">
        <f aca="false">H1448*J1448</f>
        <v>136</v>
      </c>
      <c r="M1448" s="16" t="n">
        <f aca="false">K1448-L1448</f>
        <v>159.48</v>
      </c>
      <c r="N1448" s="17" t="n">
        <f aca="false">IFERROR(M1448/K1448,0)</f>
        <v>0.539731961554082</v>
      </c>
    </row>
    <row r="1449" customFormat="false" ht="15" hidden="false" customHeight="false" outlineLevel="0" collapsed="false">
      <c r="A1449" s="15" t="n">
        <v>46083</v>
      </c>
      <c r="B1449" s="14" t="s">
        <v>69</v>
      </c>
      <c r="C1449" s="14" t="s">
        <v>70</v>
      </c>
      <c r="D1449" s="14" t="s">
        <v>71</v>
      </c>
      <c r="E1449" s="14" t="s">
        <v>53</v>
      </c>
      <c r="F1449" s="14" t="s">
        <v>92</v>
      </c>
      <c r="G1449" s="14" t="s">
        <v>93</v>
      </c>
      <c r="H1449" s="0" t="n">
        <v>6</v>
      </c>
      <c r="I1449" s="16" t="n">
        <v>115.96</v>
      </c>
      <c r="J1449" s="16" t="n">
        <v>52</v>
      </c>
      <c r="K1449" s="16" t="n">
        <f aca="false">H1449*I1449</f>
        <v>695.76</v>
      </c>
      <c r="L1449" s="16" t="n">
        <f aca="false">H1449*J1449</f>
        <v>312</v>
      </c>
      <c r="M1449" s="16" t="n">
        <f aca="false">K1449-L1449</f>
        <v>383.76</v>
      </c>
      <c r="N1449" s="17" t="n">
        <f aca="false">IFERROR(M1449/K1449,0)</f>
        <v>0.551569506726457</v>
      </c>
    </row>
    <row r="1450" customFormat="false" ht="15" hidden="false" customHeight="false" outlineLevel="0" collapsed="false">
      <c r="A1450" s="15" t="n">
        <v>46083</v>
      </c>
      <c r="B1450" s="14" t="s">
        <v>69</v>
      </c>
      <c r="C1450" s="14" t="s">
        <v>70</v>
      </c>
      <c r="D1450" s="14" t="s">
        <v>71</v>
      </c>
      <c r="E1450" s="14" t="s">
        <v>76</v>
      </c>
      <c r="F1450" s="14" t="s">
        <v>100</v>
      </c>
      <c r="G1450" s="14" t="s">
        <v>101</v>
      </c>
      <c r="H1450" s="0" t="n">
        <v>7</v>
      </c>
      <c r="I1450" s="16" t="n">
        <v>15.31</v>
      </c>
      <c r="J1450" s="16" t="n">
        <v>5.5</v>
      </c>
      <c r="K1450" s="16" t="n">
        <f aca="false">H1450*I1450</f>
        <v>107.17</v>
      </c>
      <c r="L1450" s="16" t="n">
        <f aca="false">H1450*J1450</f>
        <v>38.5</v>
      </c>
      <c r="M1450" s="16" t="n">
        <f aca="false">K1450-L1450</f>
        <v>68.67</v>
      </c>
      <c r="N1450" s="17" t="n">
        <f aca="false">IFERROR(M1450/K1450,0)</f>
        <v>0.640757674722404</v>
      </c>
    </row>
    <row r="1451" customFormat="false" ht="15" hidden="false" customHeight="false" outlineLevel="0" collapsed="false">
      <c r="A1451" s="15" t="n">
        <v>46083</v>
      </c>
      <c r="B1451" s="14" t="s">
        <v>81</v>
      </c>
      <c r="C1451" s="14" t="s">
        <v>82</v>
      </c>
      <c r="D1451" s="14" t="s">
        <v>83</v>
      </c>
      <c r="E1451" s="14" t="s">
        <v>53</v>
      </c>
      <c r="F1451" s="14" t="s">
        <v>92</v>
      </c>
      <c r="G1451" s="14" t="s">
        <v>93</v>
      </c>
      <c r="H1451" s="0" t="n">
        <v>2</v>
      </c>
      <c r="I1451" s="16" t="n">
        <v>117.98</v>
      </c>
      <c r="J1451" s="16" t="n">
        <v>52</v>
      </c>
      <c r="K1451" s="16" t="n">
        <f aca="false">H1451*I1451</f>
        <v>235.96</v>
      </c>
      <c r="L1451" s="16" t="n">
        <f aca="false">H1451*J1451</f>
        <v>104</v>
      </c>
      <c r="M1451" s="16" t="n">
        <f aca="false">K1451-L1451</f>
        <v>131.96</v>
      </c>
      <c r="N1451" s="17" t="n">
        <f aca="false">IFERROR(M1451/K1451,0)</f>
        <v>0.559247330055942</v>
      </c>
    </row>
    <row r="1452" customFormat="false" ht="15" hidden="false" customHeight="false" outlineLevel="0" collapsed="false">
      <c r="A1452" s="15" t="n">
        <v>46083</v>
      </c>
      <c r="B1452" s="14" t="s">
        <v>81</v>
      </c>
      <c r="C1452" s="14" t="s">
        <v>82</v>
      </c>
      <c r="D1452" s="14" t="s">
        <v>83</v>
      </c>
      <c r="E1452" s="14" t="s">
        <v>53</v>
      </c>
      <c r="F1452" s="14" t="s">
        <v>84</v>
      </c>
      <c r="G1452" s="14" t="s">
        <v>85</v>
      </c>
      <c r="H1452" s="0" t="n">
        <v>4</v>
      </c>
      <c r="I1452" s="16" t="n">
        <v>24.94</v>
      </c>
      <c r="J1452" s="16" t="n">
        <v>9</v>
      </c>
      <c r="K1452" s="16" t="n">
        <f aca="false">H1452*I1452</f>
        <v>99.76</v>
      </c>
      <c r="L1452" s="16" t="n">
        <f aca="false">H1452*J1452</f>
        <v>36</v>
      </c>
      <c r="M1452" s="16" t="n">
        <f aca="false">K1452-L1452</f>
        <v>63.76</v>
      </c>
      <c r="N1452" s="17" t="n">
        <f aca="false">IFERROR(M1452/K1452,0)</f>
        <v>0.639133921411387</v>
      </c>
    </row>
    <row r="1453" customFormat="false" ht="15" hidden="false" customHeight="false" outlineLevel="0" collapsed="false">
      <c r="A1453" s="15" t="n">
        <v>46083</v>
      </c>
      <c r="B1453" s="14" t="s">
        <v>81</v>
      </c>
      <c r="C1453" s="14" t="s">
        <v>82</v>
      </c>
      <c r="D1453" s="14" t="s">
        <v>83</v>
      </c>
      <c r="E1453" s="14" t="s">
        <v>45</v>
      </c>
      <c r="F1453" s="14" t="s">
        <v>62</v>
      </c>
      <c r="G1453" s="14" t="s">
        <v>63</v>
      </c>
      <c r="H1453" s="0" t="n">
        <v>5</v>
      </c>
      <c r="I1453" s="16" t="n">
        <v>16.97</v>
      </c>
      <c r="J1453" s="16" t="n">
        <v>6.5</v>
      </c>
      <c r="K1453" s="16" t="n">
        <f aca="false">H1453*I1453</f>
        <v>84.85</v>
      </c>
      <c r="L1453" s="16" t="n">
        <f aca="false">H1453*J1453</f>
        <v>32.5</v>
      </c>
      <c r="M1453" s="16" t="n">
        <f aca="false">K1453-L1453</f>
        <v>52.35</v>
      </c>
      <c r="N1453" s="17" t="n">
        <f aca="false">IFERROR(M1453/K1453,0)</f>
        <v>0.616971125515616</v>
      </c>
    </row>
    <row r="1454" customFormat="false" ht="15" hidden="false" customHeight="false" outlineLevel="0" collapsed="false">
      <c r="A1454" s="15" t="n">
        <v>46083</v>
      </c>
      <c r="B1454" s="14" t="s">
        <v>81</v>
      </c>
      <c r="C1454" s="14" t="s">
        <v>82</v>
      </c>
      <c r="D1454" s="14" t="s">
        <v>83</v>
      </c>
      <c r="E1454" s="14" t="s">
        <v>53</v>
      </c>
      <c r="F1454" s="14" t="s">
        <v>54</v>
      </c>
      <c r="G1454" s="14" t="s">
        <v>55</v>
      </c>
      <c r="H1454" s="0" t="n">
        <v>4</v>
      </c>
      <c r="I1454" s="16" t="n">
        <v>51.4</v>
      </c>
      <c r="J1454" s="16" t="n">
        <v>22</v>
      </c>
      <c r="K1454" s="16" t="n">
        <f aca="false">H1454*I1454</f>
        <v>205.6</v>
      </c>
      <c r="L1454" s="16" t="n">
        <f aca="false">H1454*J1454</f>
        <v>88</v>
      </c>
      <c r="M1454" s="16" t="n">
        <f aca="false">K1454-L1454</f>
        <v>117.6</v>
      </c>
      <c r="N1454" s="17" t="n">
        <f aca="false">IFERROR(M1454/K1454,0)</f>
        <v>0.571984435797665</v>
      </c>
    </row>
    <row r="1455" customFormat="false" ht="15" hidden="false" customHeight="false" outlineLevel="0" collapsed="false">
      <c r="A1455" s="15" t="n">
        <v>46083</v>
      </c>
      <c r="B1455" s="14" t="s">
        <v>81</v>
      </c>
      <c r="C1455" s="14" t="s">
        <v>82</v>
      </c>
      <c r="D1455" s="14" t="s">
        <v>83</v>
      </c>
      <c r="E1455" s="14" t="s">
        <v>53</v>
      </c>
      <c r="F1455" s="14" t="s">
        <v>54</v>
      </c>
      <c r="G1455" s="14" t="s">
        <v>55</v>
      </c>
      <c r="H1455" s="0" t="n">
        <v>2</v>
      </c>
      <c r="I1455" s="16" t="n">
        <v>51.65</v>
      </c>
      <c r="J1455" s="16" t="n">
        <v>22</v>
      </c>
      <c r="K1455" s="16" t="n">
        <f aca="false">H1455*I1455</f>
        <v>103.3</v>
      </c>
      <c r="L1455" s="16" t="n">
        <f aca="false">H1455*J1455</f>
        <v>44</v>
      </c>
      <c r="M1455" s="16" t="n">
        <f aca="false">K1455-L1455</f>
        <v>59.3</v>
      </c>
      <c r="N1455" s="17" t="n">
        <f aca="false">IFERROR(M1455/K1455,0)</f>
        <v>0.57405614714424</v>
      </c>
    </row>
    <row r="1456" customFormat="false" ht="15" hidden="false" customHeight="false" outlineLevel="0" collapsed="false">
      <c r="A1456" s="15" t="n">
        <v>46083</v>
      </c>
      <c r="B1456" s="14" t="s">
        <v>81</v>
      </c>
      <c r="C1456" s="14" t="s">
        <v>82</v>
      </c>
      <c r="D1456" s="14" t="s">
        <v>83</v>
      </c>
      <c r="E1456" s="14" t="s">
        <v>45</v>
      </c>
      <c r="F1456" s="14" t="s">
        <v>46</v>
      </c>
      <c r="G1456" s="14" t="s">
        <v>47</v>
      </c>
      <c r="H1456" s="0" t="n">
        <v>2</v>
      </c>
      <c r="I1456" s="16" t="n">
        <v>42.99</v>
      </c>
      <c r="J1456" s="16" t="n">
        <v>18</v>
      </c>
      <c r="K1456" s="16" t="n">
        <f aca="false">H1456*I1456</f>
        <v>85.98</v>
      </c>
      <c r="L1456" s="16" t="n">
        <f aca="false">H1456*J1456</f>
        <v>36</v>
      </c>
      <c r="M1456" s="16" t="n">
        <f aca="false">K1456-L1456</f>
        <v>49.98</v>
      </c>
      <c r="N1456" s="17" t="n">
        <f aca="false">IFERROR(M1456/K1456,0)</f>
        <v>0.581297976273552</v>
      </c>
    </row>
    <row r="1457" customFormat="false" ht="15" hidden="false" customHeight="false" outlineLevel="0" collapsed="false">
      <c r="A1457" s="15" t="n">
        <v>46083</v>
      </c>
      <c r="B1457" s="14" t="s">
        <v>88</v>
      </c>
      <c r="C1457" s="14" t="s">
        <v>89</v>
      </c>
      <c r="D1457" s="14" t="s">
        <v>44</v>
      </c>
      <c r="E1457" s="14" t="s">
        <v>53</v>
      </c>
      <c r="F1457" s="14" t="s">
        <v>54</v>
      </c>
      <c r="G1457" s="14" t="s">
        <v>55</v>
      </c>
      <c r="H1457" s="0" t="n">
        <v>1</v>
      </c>
      <c r="I1457" s="16" t="n">
        <v>53.53</v>
      </c>
      <c r="J1457" s="16" t="n">
        <v>22</v>
      </c>
      <c r="K1457" s="16" t="n">
        <f aca="false">H1457*I1457</f>
        <v>53.53</v>
      </c>
      <c r="L1457" s="16" t="n">
        <f aca="false">H1457*J1457</f>
        <v>22</v>
      </c>
      <c r="M1457" s="16" t="n">
        <f aca="false">K1457-L1457</f>
        <v>31.53</v>
      </c>
      <c r="N1457" s="17" t="n">
        <f aca="false">IFERROR(M1457/K1457,0)</f>
        <v>0.589015505324117</v>
      </c>
    </row>
    <row r="1458" customFormat="false" ht="15" hidden="false" customHeight="false" outlineLevel="0" collapsed="false">
      <c r="A1458" s="15" t="n">
        <v>46083</v>
      </c>
      <c r="B1458" s="14" t="s">
        <v>88</v>
      </c>
      <c r="C1458" s="14" t="s">
        <v>89</v>
      </c>
      <c r="D1458" s="14" t="s">
        <v>44</v>
      </c>
      <c r="E1458" s="14" t="s">
        <v>76</v>
      </c>
      <c r="F1458" s="14" t="s">
        <v>77</v>
      </c>
      <c r="G1458" s="14" t="s">
        <v>78</v>
      </c>
      <c r="H1458" s="0" t="n">
        <v>6</v>
      </c>
      <c r="I1458" s="16" t="n">
        <v>40.15</v>
      </c>
      <c r="J1458" s="16" t="n">
        <v>15</v>
      </c>
      <c r="K1458" s="16" t="n">
        <f aca="false">H1458*I1458</f>
        <v>240.9</v>
      </c>
      <c r="L1458" s="16" t="n">
        <f aca="false">H1458*J1458</f>
        <v>90</v>
      </c>
      <c r="M1458" s="16" t="n">
        <f aca="false">K1458-L1458</f>
        <v>150.9</v>
      </c>
      <c r="N1458" s="17" t="n">
        <f aca="false">IFERROR(M1458/K1458,0)</f>
        <v>0.62640099626401</v>
      </c>
    </row>
    <row r="1459" customFormat="false" ht="15" hidden="false" customHeight="false" outlineLevel="0" collapsed="false">
      <c r="A1459" s="15" t="n">
        <v>46083</v>
      </c>
      <c r="B1459" s="14" t="s">
        <v>88</v>
      </c>
      <c r="C1459" s="14" t="s">
        <v>89</v>
      </c>
      <c r="D1459" s="14" t="s">
        <v>44</v>
      </c>
      <c r="E1459" s="14" t="s">
        <v>53</v>
      </c>
      <c r="F1459" s="14" t="s">
        <v>92</v>
      </c>
      <c r="G1459" s="14" t="s">
        <v>93</v>
      </c>
      <c r="H1459" s="0" t="n">
        <v>2</v>
      </c>
      <c r="I1459" s="16" t="n">
        <v>119.24</v>
      </c>
      <c r="J1459" s="16" t="n">
        <v>52</v>
      </c>
      <c r="K1459" s="16" t="n">
        <f aca="false">H1459*I1459</f>
        <v>238.48</v>
      </c>
      <c r="L1459" s="16" t="n">
        <f aca="false">H1459*J1459</f>
        <v>104</v>
      </c>
      <c r="M1459" s="16" t="n">
        <f aca="false">K1459-L1459</f>
        <v>134.48</v>
      </c>
      <c r="N1459" s="17" t="n">
        <f aca="false">IFERROR(M1459/K1459,0)</f>
        <v>0.56390472995639</v>
      </c>
    </row>
    <row r="1460" customFormat="false" ht="15" hidden="false" customHeight="false" outlineLevel="0" collapsed="false">
      <c r="A1460" s="15" t="n">
        <v>46083</v>
      </c>
      <c r="B1460" s="14" t="s">
        <v>88</v>
      </c>
      <c r="C1460" s="14" t="s">
        <v>89</v>
      </c>
      <c r="D1460" s="14" t="s">
        <v>44</v>
      </c>
      <c r="E1460" s="14" t="s">
        <v>64</v>
      </c>
      <c r="F1460" s="14" t="s">
        <v>90</v>
      </c>
      <c r="G1460" s="14" t="s">
        <v>91</v>
      </c>
      <c r="H1460" s="0" t="n">
        <v>3</v>
      </c>
      <c r="I1460" s="16" t="n">
        <v>11.95</v>
      </c>
      <c r="J1460" s="16" t="n">
        <v>3.5</v>
      </c>
      <c r="K1460" s="16" t="n">
        <f aca="false">H1460*I1460</f>
        <v>35.85</v>
      </c>
      <c r="L1460" s="16" t="n">
        <f aca="false">H1460*J1460</f>
        <v>10.5</v>
      </c>
      <c r="M1460" s="16" t="n">
        <f aca="false">K1460-L1460</f>
        <v>25.35</v>
      </c>
      <c r="N1460" s="17" t="n">
        <f aca="false">IFERROR(M1460/K1460,0)</f>
        <v>0.707112970711297</v>
      </c>
    </row>
    <row r="1461" customFormat="false" ht="15" hidden="false" customHeight="false" outlineLevel="0" collapsed="false">
      <c r="A1461" s="15" t="n">
        <v>46084</v>
      </c>
      <c r="B1461" s="14" t="s">
        <v>42</v>
      </c>
      <c r="C1461" s="14" t="s">
        <v>43</v>
      </c>
      <c r="D1461" s="14" t="s">
        <v>44</v>
      </c>
      <c r="E1461" s="14" t="s">
        <v>53</v>
      </c>
      <c r="F1461" s="14" t="s">
        <v>74</v>
      </c>
      <c r="G1461" s="14" t="s">
        <v>75</v>
      </c>
      <c r="H1461" s="0" t="n">
        <v>8</v>
      </c>
      <c r="I1461" s="16" t="n">
        <v>86.49</v>
      </c>
      <c r="J1461" s="16" t="n">
        <v>38</v>
      </c>
      <c r="K1461" s="16" t="n">
        <f aca="false">H1461*I1461</f>
        <v>691.92</v>
      </c>
      <c r="L1461" s="16" t="n">
        <f aca="false">H1461*J1461</f>
        <v>304</v>
      </c>
      <c r="M1461" s="16" t="n">
        <f aca="false">K1461-L1461</f>
        <v>387.92</v>
      </c>
      <c r="N1461" s="17" t="n">
        <f aca="false">IFERROR(M1461/K1461,0)</f>
        <v>0.560642848884264</v>
      </c>
    </row>
    <row r="1462" customFormat="false" ht="15" hidden="false" customHeight="false" outlineLevel="0" collapsed="false">
      <c r="A1462" s="15" t="n">
        <v>46084</v>
      </c>
      <c r="B1462" s="14" t="s">
        <v>42</v>
      </c>
      <c r="C1462" s="14" t="s">
        <v>43</v>
      </c>
      <c r="D1462" s="14" t="s">
        <v>44</v>
      </c>
      <c r="E1462" s="14" t="s">
        <v>76</v>
      </c>
      <c r="F1462" s="14" t="s">
        <v>100</v>
      </c>
      <c r="G1462" s="14" t="s">
        <v>101</v>
      </c>
      <c r="H1462" s="0" t="n">
        <v>6</v>
      </c>
      <c r="I1462" s="16" t="n">
        <v>15.96</v>
      </c>
      <c r="J1462" s="16" t="n">
        <v>5.5</v>
      </c>
      <c r="K1462" s="16" t="n">
        <f aca="false">H1462*I1462</f>
        <v>95.76</v>
      </c>
      <c r="L1462" s="16" t="n">
        <f aca="false">H1462*J1462</f>
        <v>33</v>
      </c>
      <c r="M1462" s="16" t="n">
        <f aca="false">K1462-L1462</f>
        <v>62.76</v>
      </c>
      <c r="N1462" s="17" t="n">
        <f aca="false">IFERROR(M1462/K1462,0)</f>
        <v>0.655388471177945</v>
      </c>
    </row>
    <row r="1463" customFormat="false" ht="15" hidden="false" customHeight="false" outlineLevel="0" collapsed="false">
      <c r="A1463" s="15" t="n">
        <v>46084</v>
      </c>
      <c r="B1463" s="14" t="s">
        <v>42</v>
      </c>
      <c r="C1463" s="14" t="s">
        <v>43</v>
      </c>
      <c r="D1463" s="14" t="s">
        <v>44</v>
      </c>
      <c r="E1463" s="14" t="s">
        <v>56</v>
      </c>
      <c r="F1463" s="14" t="s">
        <v>86</v>
      </c>
      <c r="G1463" s="14" t="s">
        <v>87</v>
      </c>
      <c r="H1463" s="0" t="n">
        <v>11</v>
      </c>
      <c r="I1463" s="16" t="n">
        <v>14.21</v>
      </c>
      <c r="J1463" s="16" t="n">
        <v>5</v>
      </c>
      <c r="K1463" s="16" t="n">
        <f aca="false">H1463*I1463</f>
        <v>156.31</v>
      </c>
      <c r="L1463" s="16" t="n">
        <f aca="false">H1463*J1463</f>
        <v>55</v>
      </c>
      <c r="M1463" s="16" t="n">
        <f aca="false">K1463-L1463</f>
        <v>101.31</v>
      </c>
      <c r="N1463" s="17" t="n">
        <f aca="false">IFERROR(M1463/K1463,0)</f>
        <v>0.648135116115412</v>
      </c>
    </row>
    <row r="1464" customFormat="false" ht="15" hidden="false" customHeight="false" outlineLevel="0" collapsed="false">
      <c r="A1464" s="15" t="n">
        <v>46084</v>
      </c>
      <c r="B1464" s="14" t="s">
        <v>42</v>
      </c>
      <c r="C1464" s="14" t="s">
        <v>43</v>
      </c>
      <c r="D1464" s="14" t="s">
        <v>44</v>
      </c>
      <c r="E1464" s="14" t="s">
        <v>45</v>
      </c>
      <c r="F1464" s="14" t="s">
        <v>72</v>
      </c>
      <c r="G1464" s="14" t="s">
        <v>73</v>
      </c>
      <c r="H1464" s="0" t="n">
        <v>1</v>
      </c>
      <c r="I1464" s="16" t="n">
        <v>48.42</v>
      </c>
      <c r="J1464" s="16" t="n">
        <v>21</v>
      </c>
      <c r="K1464" s="16" t="n">
        <f aca="false">H1464*I1464</f>
        <v>48.42</v>
      </c>
      <c r="L1464" s="16" t="n">
        <f aca="false">H1464*J1464</f>
        <v>21</v>
      </c>
      <c r="M1464" s="16" t="n">
        <f aca="false">K1464-L1464</f>
        <v>27.42</v>
      </c>
      <c r="N1464" s="17" t="n">
        <f aca="false">IFERROR(M1464/K1464,0)</f>
        <v>0.566294919454771</v>
      </c>
    </row>
    <row r="1465" customFormat="false" ht="15" hidden="false" customHeight="false" outlineLevel="0" collapsed="false">
      <c r="A1465" s="15" t="n">
        <v>46084</v>
      </c>
      <c r="B1465" s="14" t="s">
        <v>50</v>
      </c>
      <c r="C1465" s="14" t="s">
        <v>51</v>
      </c>
      <c r="D1465" s="14" t="s">
        <v>52</v>
      </c>
      <c r="E1465" s="14" t="s">
        <v>45</v>
      </c>
      <c r="F1465" s="14" t="s">
        <v>46</v>
      </c>
      <c r="G1465" s="14" t="s">
        <v>47</v>
      </c>
      <c r="H1465" s="0" t="n">
        <v>1</v>
      </c>
      <c r="I1465" s="16" t="n">
        <v>42.85</v>
      </c>
      <c r="J1465" s="16" t="n">
        <v>18</v>
      </c>
      <c r="K1465" s="16" t="n">
        <f aca="false">H1465*I1465</f>
        <v>42.85</v>
      </c>
      <c r="L1465" s="16" t="n">
        <f aca="false">H1465*J1465</f>
        <v>18</v>
      </c>
      <c r="M1465" s="16" t="n">
        <f aca="false">K1465-L1465</f>
        <v>24.85</v>
      </c>
      <c r="N1465" s="17" t="n">
        <f aca="false">IFERROR(M1465/K1465,0)</f>
        <v>0.579929988331389</v>
      </c>
    </row>
    <row r="1466" customFormat="false" ht="15" hidden="false" customHeight="false" outlineLevel="0" collapsed="false">
      <c r="A1466" s="15" t="n">
        <v>46084</v>
      </c>
      <c r="B1466" s="14" t="s">
        <v>50</v>
      </c>
      <c r="C1466" s="14" t="s">
        <v>51</v>
      </c>
      <c r="D1466" s="14" t="s">
        <v>52</v>
      </c>
      <c r="E1466" s="14" t="s">
        <v>53</v>
      </c>
      <c r="F1466" s="14" t="s">
        <v>84</v>
      </c>
      <c r="G1466" s="14" t="s">
        <v>85</v>
      </c>
      <c r="H1466" s="0" t="n">
        <v>7</v>
      </c>
      <c r="I1466" s="16" t="n">
        <v>23.18</v>
      </c>
      <c r="J1466" s="16" t="n">
        <v>9</v>
      </c>
      <c r="K1466" s="16" t="n">
        <f aca="false">H1466*I1466</f>
        <v>162.26</v>
      </c>
      <c r="L1466" s="16" t="n">
        <f aca="false">H1466*J1466</f>
        <v>63</v>
      </c>
      <c r="M1466" s="16" t="n">
        <f aca="false">K1466-L1466</f>
        <v>99.26</v>
      </c>
      <c r="N1466" s="17" t="n">
        <f aca="false">IFERROR(M1466/K1466,0)</f>
        <v>0.611734253666954</v>
      </c>
    </row>
    <row r="1467" customFormat="false" ht="15" hidden="false" customHeight="false" outlineLevel="0" collapsed="false">
      <c r="A1467" s="15" t="n">
        <v>46084</v>
      </c>
      <c r="B1467" s="14" t="s">
        <v>50</v>
      </c>
      <c r="C1467" s="14" t="s">
        <v>51</v>
      </c>
      <c r="D1467" s="14" t="s">
        <v>52</v>
      </c>
      <c r="E1467" s="14" t="s">
        <v>45</v>
      </c>
      <c r="F1467" s="14" t="s">
        <v>62</v>
      </c>
      <c r="G1467" s="14" t="s">
        <v>63</v>
      </c>
      <c r="H1467" s="0" t="n">
        <v>5</v>
      </c>
      <c r="I1467" s="16" t="n">
        <v>17.69</v>
      </c>
      <c r="J1467" s="16" t="n">
        <v>6.5</v>
      </c>
      <c r="K1467" s="16" t="n">
        <f aca="false">H1467*I1467</f>
        <v>88.45</v>
      </c>
      <c r="L1467" s="16" t="n">
        <f aca="false">H1467*J1467</f>
        <v>32.5</v>
      </c>
      <c r="M1467" s="16" t="n">
        <f aca="false">K1467-L1467</f>
        <v>55.95</v>
      </c>
      <c r="N1467" s="17" t="n">
        <f aca="false">IFERROR(M1467/K1467,0)</f>
        <v>0.63256076879593</v>
      </c>
    </row>
    <row r="1468" customFormat="false" ht="15" hidden="false" customHeight="false" outlineLevel="0" collapsed="false">
      <c r="A1468" s="15" t="n">
        <v>46084</v>
      </c>
      <c r="B1468" s="14" t="s">
        <v>50</v>
      </c>
      <c r="C1468" s="14" t="s">
        <v>51</v>
      </c>
      <c r="D1468" s="14" t="s">
        <v>52</v>
      </c>
      <c r="E1468" s="14" t="s">
        <v>76</v>
      </c>
      <c r="F1468" s="14" t="s">
        <v>77</v>
      </c>
      <c r="G1468" s="14" t="s">
        <v>78</v>
      </c>
      <c r="H1468" s="0" t="n">
        <v>1</v>
      </c>
      <c r="I1468" s="16" t="n">
        <v>38.92</v>
      </c>
      <c r="J1468" s="16" t="n">
        <v>15</v>
      </c>
      <c r="K1468" s="16" t="n">
        <f aca="false">H1468*I1468</f>
        <v>38.92</v>
      </c>
      <c r="L1468" s="16" t="n">
        <f aca="false">H1468*J1468</f>
        <v>15</v>
      </c>
      <c r="M1468" s="16" t="n">
        <f aca="false">K1468-L1468</f>
        <v>23.92</v>
      </c>
      <c r="N1468" s="17" t="n">
        <f aca="false">IFERROR(M1468/K1468,0)</f>
        <v>0.614594039054471</v>
      </c>
    </row>
    <row r="1469" customFormat="false" ht="15" hidden="false" customHeight="false" outlineLevel="0" collapsed="false">
      <c r="A1469" s="15" t="n">
        <v>46084</v>
      </c>
      <c r="B1469" s="14" t="s">
        <v>50</v>
      </c>
      <c r="C1469" s="14" t="s">
        <v>51</v>
      </c>
      <c r="D1469" s="14" t="s">
        <v>52</v>
      </c>
      <c r="E1469" s="14" t="s">
        <v>64</v>
      </c>
      <c r="F1469" s="14" t="s">
        <v>65</v>
      </c>
      <c r="G1469" s="14" t="s">
        <v>66</v>
      </c>
      <c r="H1469" s="0" t="n">
        <v>7</v>
      </c>
      <c r="I1469" s="16" t="n">
        <v>73.91</v>
      </c>
      <c r="J1469" s="16" t="n">
        <v>34</v>
      </c>
      <c r="K1469" s="16" t="n">
        <f aca="false">H1469*I1469</f>
        <v>517.37</v>
      </c>
      <c r="L1469" s="16" t="n">
        <f aca="false">H1469*J1469</f>
        <v>238</v>
      </c>
      <c r="M1469" s="16" t="n">
        <f aca="false">K1469-L1469</f>
        <v>279.37</v>
      </c>
      <c r="N1469" s="17" t="n">
        <f aca="false">IFERROR(M1469/K1469,0)</f>
        <v>0.539981058043567</v>
      </c>
    </row>
    <row r="1470" customFormat="false" ht="15" hidden="false" customHeight="false" outlineLevel="0" collapsed="false">
      <c r="A1470" s="15" t="n">
        <v>46084</v>
      </c>
      <c r="B1470" s="14" t="s">
        <v>50</v>
      </c>
      <c r="C1470" s="14" t="s">
        <v>51</v>
      </c>
      <c r="D1470" s="14" t="s">
        <v>52</v>
      </c>
      <c r="E1470" s="14" t="s">
        <v>76</v>
      </c>
      <c r="F1470" s="14" t="s">
        <v>79</v>
      </c>
      <c r="G1470" s="14" t="s">
        <v>80</v>
      </c>
      <c r="H1470" s="0" t="n">
        <v>7</v>
      </c>
      <c r="I1470" s="16" t="n">
        <v>28.55</v>
      </c>
      <c r="J1470" s="16" t="n">
        <v>11</v>
      </c>
      <c r="K1470" s="16" t="n">
        <f aca="false">H1470*I1470</f>
        <v>199.85</v>
      </c>
      <c r="L1470" s="16" t="n">
        <f aca="false">H1470*J1470</f>
        <v>77</v>
      </c>
      <c r="M1470" s="16" t="n">
        <f aca="false">K1470-L1470</f>
        <v>122.85</v>
      </c>
      <c r="N1470" s="17" t="n">
        <f aca="false">IFERROR(M1470/K1470,0)</f>
        <v>0.614711033274956</v>
      </c>
    </row>
    <row r="1471" customFormat="false" ht="15" hidden="false" customHeight="false" outlineLevel="0" collapsed="false">
      <c r="A1471" s="15" t="n">
        <v>46084</v>
      </c>
      <c r="B1471" s="14" t="s">
        <v>59</v>
      </c>
      <c r="C1471" s="14" t="s">
        <v>60</v>
      </c>
      <c r="D1471" s="14" t="s">
        <v>61</v>
      </c>
      <c r="E1471" s="14" t="s">
        <v>76</v>
      </c>
      <c r="F1471" s="14" t="s">
        <v>100</v>
      </c>
      <c r="G1471" s="14" t="s">
        <v>101</v>
      </c>
      <c r="H1471" s="0" t="n">
        <v>5</v>
      </c>
      <c r="I1471" s="16" t="n">
        <v>14.74</v>
      </c>
      <c r="J1471" s="16" t="n">
        <v>5.5</v>
      </c>
      <c r="K1471" s="16" t="n">
        <f aca="false">H1471*I1471</f>
        <v>73.7</v>
      </c>
      <c r="L1471" s="16" t="n">
        <f aca="false">H1471*J1471</f>
        <v>27.5</v>
      </c>
      <c r="M1471" s="16" t="n">
        <f aca="false">K1471-L1471</f>
        <v>46.2</v>
      </c>
      <c r="N1471" s="17" t="n">
        <f aca="false">IFERROR(M1471/K1471,0)</f>
        <v>0.626865671641791</v>
      </c>
    </row>
    <row r="1472" customFormat="false" ht="15" hidden="false" customHeight="false" outlineLevel="0" collapsed="false">
      <c r="A1472" s="15" t="n">
        <v>46084</v>
      </c>
      <c r="B1472" s="14" t="s">
        <v>59</v>
      </c>
      <c r="C1472" s="14" t="s">
        <v>60</v>
      </c>
      <c r="D1472" s="14" t="s">
        <v>61</v>
      </c>
      <c r="E1472" s="14" t="s">
        <v>76</v>
      </c>
      <c r="F1472" s="14" t="s">
        <v>102</v>
      </c>
      <c r="G1472" s="14" t="s">
        <v>103</v>
      </c>
      <c r="H1472" s="0" t="n">
        <v>4</v>
      </c>
      <c r="I1472" s="16" t="n">
        <v>23.96</v>
      </c>
      <c r="J1472" s="16" t="n">
        <v>8.5</v>
      </c>
      <c r="K1472" s="16" t="n">
        <f aca="false">H1472*I1472</f>
        <v>95.84</v>
      </c>
      <c r="L1472" s="16" t="n">
        <f aca="false">H1472*J1472</f>
        <v>34</v>
      </c>
      <c r="M1472" s="16" t="n">
        <f aca="false">K1472-L1472</f>
        <v>61.84</v>
      </c>
      <c r="N1472" s="17" t="n">
        <f aca="false">IFERROR(M1472/K1472,0)</f>
        <v>0.645242070116861</v>
      </c>
    </row>
    <row r="1473" customFormat="false" ht="15" hidden="false" customHeight="false" outlineLevel="0" collapsed="false">
      <c r="A1473" s="15" t="n">
        <v>46084</v>
      </c>
      <c r="B1473" s="14" t="s">
        <v>59</v>
      </c>
      <c r="C1473" s="14" t="s">
        <v>60</v>
      </c>
      <c r="D1473" s="14" t="s">
        <v>61</v>
      </c>
      <c r="E1473" s="14" t="s">
        <v>56</v>
      </c>
      <c r="F1473" s="14" t="s">
        <v>98</v>
      </c>
      <c r="G1473" s="14" t="s">
        <v>99</v>
      </c>
      <c r="H1473" s="0" t="n">
        <v>4</v>
      </c>
      <c r="I1473" s="16" t="n">
        <v>21.52</v>
      </c>
      <c r="J1473" s="16" t="n">
        <v>8</v>
      </c>
      <c r="K1473" s="16" t="n">
        <f aca="false">H1473*I1473</f>
        <v>86.08</v>
      </c>
      <c r="L1473" s="16" t="n">
        <f aca="false">H1473*J1473</f>
        <v>32</v>
      </c>
      <c r="M1473" s="16" t="n">
        <f aca="false">K1473-L1473</f>
        <v>54.08</v>
      </c>
      <c r="N1473" s="17" t="n">
        <f aca="false">IFERROR(M1473/K1473,0)</f>
        <v>0.628252788104089</v>
      </c>
    </row>
    <row r="1474" customFormat="false" ht="15" hidden="false" customHeight="false" outlineLevel="0" collapsed="false">
      <c r="A1474" s="15" t="n">
        <v>46084</v>
      </c>
      <c r="B1474" s="14" t="s">
        <v>59</v>
      </c>
      <c r="C1474" s="14" t="s">
        <v>60</v>
      </c>
      <c r="D1474" s="14" t="s">
        <v>61</v>
      </c>
      <c r="E1474" s="14" t="s">
        <v>64</v>
      </c>
      <c r="F1474" s="14" t="s">
        <v>90</v>
      </c>
      <c r="G1474" s="14" t="s">
        <v>91</v>
      </c>
      <c r="H1474" s="0" t="n">
        <v>6</v>
      </c>
      <c r="I1474" s="16" t="n">
        <v>11.32</v>
      </c>
      <c r="J1474" s="16" t="n">
        <v>3.5</v>
      </c>
      <c r="K1474" s="16" t="n">
        <f aca="false">H1474*I1474</f>
        <v>67.92</v>
      </c>
      <c r="L1474" s="16" t="n">
        <f aca="false">H1474*J1474</f>
        <v>21</v>
      </c>
      <c r="M1474" s="16" t="n">
        <f aca="false">K1474-L1474</f>
        <v>46.92</v>
      </c>
      <c r="N1474" s="17" t="n">
        <f aca="false">IFERROR(M1474/K1474,0)</f>
        <v>0.690812720848057</v>
      </c>
    </row>
    <row r="1475" customFormat="false" ht="15" hidden="false" customHeight="false" outlineLevel="0" collapsed="false">
      <c r="A1475" s="15" t="n">
        <v>46084</v>
      </c>
      <c r="B1475" s="14" t="s">
        <v>59</v>
      </c>
      <c r="C1475" s="14" t="s">
        <v>60</v>
      </c>
      <c r="D1475" s="14" t="s">
        <v>61</v>
      </c>
      <c r="E1475" s="14" t="s">
        <v>64</v>
      </c>
      <c r="F1475" s="14" t="s">
        <v>90</v>
      </c>
      <c r="G1475" s="14" t="s">
        <v>91</v>
      </c>
      <c r="H1475" s="0" t="n">
        <v>2</v>
      </c>
      <c r="I1475" s="16" t="n">
        <v>11.84</v>
      </c>
      <c r="J1475" s="16" t="n">
        <v>3.5</v>
      </c>
      <c r="K1475" s="16" t="n">
        <f aca="false">H1475*I1475</f>
        <v>23.68</v>
      </c>
      <c r="L1475" s="16" t="n">
        <f aca="false">H1475*J1475</f>
        <v>7</v>
      </c>
      <c r="M1475" s="16" t="n">
        <f aca="false">K1475-L1475</f>
        <v>16.68</v>
      </c>
      <c r="N1475" s="17" t="n">
        <f aca="false">IFERROR(M1475/K1475,0)</f>
        <v>0.704391891891892</v>
      </c>
    </row>
    <row r="1476" customFormat="false" ht="15" hidden="false" customHeight="false" outlineLevel="0" collapsed="false">
      <c r="A1476" s="15" t="n">
        <v>46084</v>
      </c>
      <c r="B1476" s="14" t="s">
        <v>69</v>
      </c>
      <c r="C1476" s="14" t="s">
        <v>70</v>
      </c>
      <c r="D1476" s="14" t="s">
        <v>71</v>
      </c>
      <c r="E1476" s="14" t="s">
        <v>45</v>
      </c>
      <c r="F1476" s="14" t="s">
        <v>62</v>
      </c>
      <c r="G1476" s="14" t="s">
        <v>63</v>
      </c>
      <c r="H1476" s="0" t="n">
        <v>4</v>
      </c>
      <c r="I1476" s="16" t="n">
        <v>17</v>
      </c>
      <c r="J1476" s="16" t="n">
        <v>6.5</v>
      </c>
      <c r="K1476" s="16" t="n">
        <f aca="false">H1476*I1476</f>
        <v>68</v>
      </c>
      <c r="L1476" s="16" t="n">
        <f aca="false">H1476*J1476</f>
        <v>26</v>
      </c>
      <c r="M1476" s="16" t="n">
        <f aca="false">K1476-L1476</f>
        <v>42</v>
      </c>
      <c r="N1476" s="17" t="n">
        <f aca="false">IFERROR(M1476/K1476,0)</f>
        <v>0.617647058823529</v>
      </c>
    </row>
    <row r="1477" customFormat="false" ht="15" hidden="false" customHeight="false" outlineLevel="0" collapsed="false">
      <c r="A1477" s="15" t="n">
        <v>46084</v>
      </c>
      <c r="B1477" s="14" t="s">
        <v>69</v>
      </c>
      <c r="C1477" s="14" t="s">
        <v>70</v>
      </c>
      <c r="D1477" s="14" t="s">
        <v>71</v>
      </c>
      <c r="E1477" s="14" t="s">
        <v>56</v>
      </c>
      <c r="F1477" s="14" t="s">
        <v>67</v>
      </c>
      <c r="G1477" s="14" t="s">
        <v>68</v>
      </c>
      <c r="H1477" s="0" t="n">
        <v>2</v>
      </c>
      <c r="I1477" s="16" t="n">
        <v>37.8</v>
      </c>
      <c r="J1477" s="16" t="n">
        <v>15</v>
      </c>
      <c r="K1477" s="16" t="n">
        <f aca="false">H1477*I1477</f>
        <v>75.6</v>
      </c>
      <c r="L1477" s="16" t="n">
        <f aca="false">H1477*J1477</f>
        <v>30</v>
      </c>
      <c r="M1477" s="16" t="n">
        <f aca="false">K1477-L1477</f>
        <v>45.6</v>
      </c>
      <c r="N1477" s="17" t="n">
        <f aca="false">IFERROR(M1477/K1477,0)</f>
        <v>0.603174603174603</v>
      </c>
    </row>
    <row r="1478" customFormat="false" ht="15" hidden="false" customHeight="false" outlineLevel="0" collapsed="false">
      <c r="A1478" s="15" t="n">
        <v>46084</v>
      </c>
      <c r="B1478" s="14" t="s">
        <v>69</v>
      </c>
      <c r="C1478" s="14" t="s">
        <v>70</v>
      </c>
      <c r="D1478" s="14" t="s">
        <v>71</v>
      </c>
      <c r="E1478" s="14" t="s">
        <v>56</v>
      </c>
      <c r="F1478" s="14" t="s">
        <v>57</v>
      </c>
      <c r="G1478" s="14" t="s">
        <v>58</v>
      </c>
      <c r="H1478" s="0" t="n">
        <v>2</v>
      </c>
      <c r="I1478" s="16" t="n">
        <v>24.85</v>
      </c>
      <c r="J1478" s="16" t="n">
        <v>10</v>
      </c>
      <c r="K1478" s="16" t="n">
        <f aca="false">H1478*I1478</f>
        <v>49.7</v>
      </c>
      <c r="L1478" s="16" t="n">
        <f aca="false">H1478*J1478</f>
        <v>20</v>
      </c>
      <c r="M1478" s="16" t="n">
        <f aca="false">K1478-L1478</f>
        <v>29.7</v>
      </c>
      <c r="N1478" s="17" t="n">
        <f aca="false">IFERROR(M1478/K1478,0)</f>
        <v>0.597585513078471</v>
      </c>
    </row>
    <row r="1479" customFormat="false" ht="15" hidden="false" customHeight="false" outlineLevel="0" collapsed="false">
      <c r="A1479" s="15" t="n">
        <v>46084</v>
      </c>
      <c r="B1479" s="14" t="s">
        <v>69</v>
      </c>
      <c r="C1479" s="14" t="s">
        <v>70</v>
      </c>
      <c r="D1479" s="14" t="s">
        <v>71</v>
      </c>
      <c r="E1479" s="14" t="s">
        <v>76</v>
      </c>
      <c r="F1479" s="14" t="s">
        <v>100</v>
      </c>
      <c r="G1479" s="14" t="s">
        <v>101</v>
      </c>
      <c r="H1479" s="0" t="n">
        <v>3</v>
      </c>
      <c r="I1479" s="16" t="n">
        <v>15.43</v>
      </c>
      <c r="J1479" s="16" t="n">
        <v>5.5</v>
      </c>
      <c r="K1479" s="16" t="n">
        <f aca="false">H1479*I1479</f>
        <v>46.29</v>
      </c>
      <c r="L1479" s="16" t="n">
        <f aca="false">H1479*J1479</f>
        <v>16.5</v>
      </c>
      <c r="M1479" s="16" t="n">
        <f aca="false">K1479-L1479</f>
        <v>29.79</v>
      </c>
      <c r="N1479" s="17" t="n">
        <f aca="false">IFERROR(M1479/K1479,0)</f>
        <v>0.643551523007129</v>
      </c>
    </row>
    <row r="1480" customFormat="false" ht="15" hidden="false" customHeight="false" outlineLevel="0" collapsed="false">
      <c r="A1480" s="15" t="n">
        <v>46084</v>
      </c>
      <c r="B1480" s="14" t="s">
        <v>69</v>
      </c>
      <c r="C1480" s="14" t="s">
        <v>70</v>
      </c>
      <c r="D1480" s="14" t="s">
        <v>71</v>
      </c>
      <c r="E1480" s="14" t="s">
        <v>56</v>
      </c>
      <c r="F1480" s="14" t="s">
        <v>86</v>
      </c>
      <c r="G1480" s="14" t="s">
        <v>87</v>
      </c>
      <c r="H1480" s="0" t="n">
        <v>4</v>
      </c>
      <c r="I1480" s="16" t="n">
        <v>14.02</v>
      </c>
      <c r="J1480" s="16" t="n">
        <v>5</v>
      </c>
      <c r="K1480" s="16" t="n">
        <f aca="false">H1480*I1480</f>
        <v>56.08</v>
      </c>
      <c r="L1480" s="16" t="n">
        <f aca="false">H1480*J1480</f>
        <v>20</v>
      </c>
      <c r="M1480" s="16" t="n">
        <f aca="false">K1480-L1480</f>
        <v>36.08</v>
      </c>
      <c r="N1480" s="17" t="n">
        <f aca="false">IFERROR(M1480/K1480,0)</f>
        <v>0.643366619115549</v>
      </c>
    </row>
    <row r="1481" customFormat="false" ht="15" hidden="false" customHeight="false" outlineLevel="0" collapsed="false">
      <c r="A1481" s="15" t="n">
        <v>46084</v>
      </c>
      <c r="B1481" s="14" t="s">
        <v>69</v>
      </c>
      <c r="C1481" s="14" t="s">
        <v>70</v>
      </c>
      <c r="D1481" s="14" t="s">
        <v>71</v>
      </c>
      <c r="E1481" s="14" t="s">
        <v>64</v>
      </c>
      <c r="F1481" s="14" t="s">
        <v>94</v>
      </c>
      <c r="G1481" s="14" t="s">
        <v>95</v>
      </c>
      <c r="H1481" s="0" t="n">
        <v>6</v>
      </c>
      <c r="I1481" s="16" t="n">
        <v>91.41</v>
      </c>
      <c r="J1481" s="16" t="n">
        <v>42</v>
      </c>
      <c r="K1481" s="16" t="n">
        <f aca="false">H1481*I1481</f>
        <v>548.46</v>
      </c>
      <c r="L1481" s="16" t="n">
        <f aca="false">H1481*J1481</f>
        <v>252</v>
      </c>
      <c r="M1481" s="16" t="n">
        <f aca="false">K1481-L1481</f>
        <v>296.46</v>
      </c>
      <c r="N1481" s="17" t="n">
        <f aca="false">IFERROR(M1481/K1481,0)</f>
        <v>0.54053167049557</v>
      </c>
    </row>
    <row r="1482" customFormat="false" ht="15" hidden="false" customHeight="false" outlineLevel="0" collapsed="false">
      <c r="A1482" s="15" t="n">
        <v>46084</v>
      </c>
      <c r="B1482" s="14" t="s">
        <v>81</v>
      </c>
      <c r="C1482" s="14" t="s">
        <v>82</v>
      </c>
      <c r="D1482" s="14" t="s">
        <v>83</v>
      </c>
      <c r="E1482" s="14" t="s">
        <v>56</v>
      </c>
      <c r="F1482" s="14" t="s">
        <v>67</v>
      </c>
      <c r="G1482" s="14" t="s">
        <v>68</v>
      </c>
      <c r="H1482" s="0" t="n">
        <v>6</v>
      </c>
      <c r="I1482" s="16" t="n">
        <v>36.66</v>
      </c>
      <c r="J1482" s="16" t="n">
        <v>15</v>
      </c>
      <c r="K1482" s="16" t="n">
        <f aca="false">H1482*I1482</f>
        <v>219.96</v>
      </c>
      <c r="L1482" s="16" t="n">
        <f aca="false">H1482*J1482</f>
        <v>90</v>
      </c>
      <c r="M1482" s="16" t="n">
        <f aca="false">K1482-L1482</f>
        <v>129.96</v>
      </c>
      <c r="N1482" s="17" t="n">
        <f aca="false">IFERROR(M1482/K1482,0)</f>
        <v>0.590834697217676</v>
      </c>
    </row>
    <row r="1483" customFormat="false" ht="15" hidden="false" customHeight="false" outlineLevel="0" collapsed="false">
      <c r="A1483" s="15" t="n">
        <v>46084</v>
      </c>
      <c r="B1483" s="14" t="s">
        <v>81</v>
      </c>
      <c r="C1483" s="14" t="s">
        <v>82</v>
      </c>
      <c r="D1483" s="14" t="s">
        <v>83</v>
      </c>
      <c r="E1483" s="14" t="s">
        <v>64</v>
      </c>
      <c r="F1483" s="14" t="s">
        <v>96</v>
      </c>
      <c r="G1483" s="14" t="s">
        <v>97</v>
      </c>
      <c r="H1483" s="0" t="n">
        <v>1</v>
      </c>
      <c r="I1483" s="16" t="n">
        <v>58.01</v>
      </c>
      <c r="J1483" s="16" t="n">
        <v>24</v>
      </c>
      <c r="K1483" s="16" t="n">
        <f aca="false">H1483*I1483</f>
        <v>58.01</v>
      </c>
      <c r="L1483" s="16" t="n">
        <f aca="false">H1483*J1483</f>
        <v>24</v>
      </c>
      <c r="M1483" s="16" t="n">
        <f aca="false">K1483-L1483</f>
        <v>34.01</v>
      </c>
      <c r="N1483" s="17" t="n">
        <f aca="false">IFERROR(M1483/K1483,0)</f>
        <v>0.586278227891743</v>
      </c>
    </row>
    <row r="1484" customFormat="false" ht="15" hidden="false" customHeight="false" outlineLevel="0" collapsed="false">
      <c r="A1484" s="15" t="n">
        <v>46084</v>
      </c>
      <c r="B1484" s="14" t="s">
        <v>81</v>
      </c>
      <c r="C1484" s="14" t="s">
        <v>82</v>
      </c>
      <c r="D1484" s="14" t="s">
        <v>83</v>
      </c>
      <c r="E1484" s="14" t="s">
        <v>53</v>
      </c>
      <c r="F1484" s="14" t="s">
        <v>92</v>
      </c>
      <c r="G1484" s="14" t="s">
        <v>93</v>
      </c>
      <c r="H1484" s="0" t="n">
        <v>4</v>
      </c>
      <c r="I1484" s="16" t="n">
        <v>119.58</v>
      </c>
      <c r="J1484" s="16" t="n">
        <v>52</v>
      </c>
      <c r="K1484" s="16" t="n">
        <f aca="false">H1484*I1484</f>
        <v>478.32</v>
      </c>
      <c r="L1484" s="16" t="n">
        <f aca="false">H1484*J1484</f>
        <v>208</v>
      </c>
      <c r="M1484" s="16" t="n">
        <f aca="false">K1484-L1484</f>
        <v>270.32</v>
      </c>
      <c r="N1484" s="17" t="n">
        <f aca="false">IFERROR(M1484/K1484,0)</f>
        <v>0.565144673022245</v>
      </c>
    </row>
    <row r="1485" customFormat="false" ht="15" hidden="false" customHeight="false" outlineLevel="0" collapsed="false">
      <c r="A1485" s="15" t="n">
        <v>46084</v>
      </c>
      <c r="B1485" s="14" t="s">
        <v>81</v>
      </c>
      <c r="C1485" s="14" t="s">
        <v>82</v>
      </c>
      <c r="D1485" s="14" t="s">
        <v>83</v>
      </c>
      <c r="E1485" s="14" t="s">
        <v>64</v>
      </c>
      <c r="F1485" s="14" t="s">
        <v>65</v>
      </c>
      <c r="G1485" s="14" t="s">
        <v>66</v>
      </c>
      <c r="H1485" s="0" t="n">
        <v>3</v>
      </c>
      <c r="I1485" s="16" t="n">
        <v>75.32</v>
      </c>
      <c r="J1485" s="16" t="n">
        <v>34</v>
      </c>
      <c r="K1485" s="16" t="n">
        <f aca="false">H1485*I1485</f>
        <v>225.96</v>
      </c>
      <c r="L1485" s="16" t="n">
        <f aca="false">H1485*J1485</f>
        <v>102</v>
      </c>
      <c r="M1485" s="16" t="n">
        <f aca="false">K1485-L1485</f>
        <v>123.96</v>
      </c>
      <c r="N1485" s="17" t="n">
        <f aca="false">IFERROR(M1485/K1485,0)</f>
        <v>0.548592671269251</v>
      </c>
    </row>
    <row r="1486" customFormat="false" ht="15" hidden="false" customHeight="false" outlineLevel="0" collapsed="false">
      <c r="A1486" s="15" t="n">
        <v>46084</v>
      </c>
      <c r="B1486" s="14" t="s">
        <v>88</v>
      </c>
      <c r="C1486" s="14" t="s">
        <v>89</v>
      </c>
      <c r="D1486" s="14" t="s">
        <v>44</v>
      </c>
      <c r="E1486" s="14" t="s">
        <v>53</v>
      </c>
      <c r="F1486" s="14" t="s">
        <v>74</v>
      </c>
      <c r="G1486" s="14" t="s">
        <v>75</v>
      </c>
      <c r="H1486" s="0" t="n">
        <v>2</v>
      </c>
      <c r="I1486" s="16" t="n">
        <v>87.32</v>
      </c>
      <c r="J1486" s="16" t="n">
        <v>38</v>
      </c>
      <c r="K1486" s="16" t="n">
        <f aca="false">H1486*I1486</f>
        <v>174.64</v>
      </c>
      <c r="L1486" s="16" t="n">
        <f aca="false">H1486*J1486</f>
        <v>76</v>
      </c>
      <c r="M1486" s="16" t="n">
        <f aca="false">K1486-L1486</f>
        <v>98.64</v>
      </c>
      <c r="N1486" s="17" t="n">
        <f aca="false">IFERROR(M1486/K1486,0)</f>
        <v>0.56481905634448</v>
      </c>
    </row>
    <row r="1487" customFormat="false" ht="15" hidden="false" customHeight="false" outlineLevel="0" collapsed="false">
      <c r="A1487" s="15" t="n">
        <v>46084</v>
      </c>
      <c r="B1487" s="14" t="s">
        <v>88</v>
      </c>
      <c r="C1487" s="14" t="s">
        <v>89</v>
      </c>
      <c r="D1487" s="14" t="s">
        <v>44</v>
      </c>
      <c r="E1487" s="14" t="s">
        <v>64</v>
      </c>
      <c r="F1487" s="14" t="s">
        <v>65</v>
      </c>
      <c r="G1487" s="14" t="s">
        <v>66</v>
      </c>
      <c r="H1487" s="0" t="n">
        <v>6</v>
      </c>
      <c r="I1487" s="16" t="n">
        <v>76.35</v>
      </c>
      <c r="J1487" s="16" t="n">
        <v>34</v>
      </c>
      <c r="K1487" s="16" t="n">
        <f aca="false">H1487*I1487</f>
        <v>458.1</v>
      </c>
      <c r="L1487" s="16" t="n">
        <f aca="false">H1487*J1487</f>
        <v>204</v>
      </c>
      <c r="M1487" s="16" t="n">
        <f aca="false">K1487-L1487</f>
        <v>254.1</v>
      </c>
      <c r="N1487" s="17" t="n">
        <f aca="false">IFERROR(M1487/K1487,0)</f>
        <v>0.554682383759005</v>
      </c>
    </row>
    <row r="1488" customFormat="false" ht="15" hidden="false" customHeight="false" outlineLevel="0" collapsed="false">
      <c r="A1488" s="15" t="n">
        <v>46084</v>
      </c>
      <c r="B1488" s="14" t="s">
        <v>88</v>
      </c>
      <c r="C1488" s="14" t="s">
        <v>89</v>
      </c>
      <c r="D1488" s="14" t="s">
        <v>44</v>
      </c>
      <c r="E1488" s="14" t="s">
        <v>56</v>
      </c>
      <c r="F1488" s="14" t="s">
        <v>57</v>
      </c>
      <c r="G1488" s="14" t="s">
        <v>58</v>
      </c>
      <c r="H1488" s="0" t="n">
        <v>6</v>
      </c>
      <c r="I1488" s="16" t="n">
        <v>26.2</v>
      </c>
      <c r="J1488" s="16" t="n">
        <v>10</v>
      </c>
      <c r="K1488" s="16" t="n">
        <f aca="false">H1488*I1488</f>
        <v>157.2</v>
      </c>
      <c r="L1488" s="16" t="n">
        <f aca="false">H1488*J1488</f>
        <v>60</v>
      </c>
      <c r="M1488" s="16" t="n">
        <f aca="false">K1488-L1488</f>
        <v>97.2</v>
      </c>
      <c r="N1488" s="17" t="n">
        <f aca="false">IFERROR(M1488/K1488,0)</f>
        <v>0.618320610687023</v>
      </c>
    </row>
    <row r="1489" customFormat="false" ht="15" hidden="false" customHeight="false" outlineLevel="0" collapsed="false">
      <c r="A1489" s="15" t="n">
        <v>46084</v>
      </c>
      <c r="B1489" s="14" t="s">
        <v>88</v>
      </c>
      <c r="C1489" s="14" t="s">
        <v>89</v>
      </c>
      <c r="D1489" s="14" t="s">
        <v>44</v>
      </c>
      <c r="E1489" s="14" t="s">
        <v>64</v>
      </c>
      <c r="F1489" s="14" t="s">
        <v>65</v>
      </c>
      <c r="G1489" s="14" t="s">
        <v>66</v>
      </c>
      <c r="H1489" s="0" t="n">
        <v>6</v>
      </c>
      <c r="I1489" s="16" t="n">
        <v>75.92</v>
      </c>
      <c r="J1489" s="16" t="n">
        <v>34</v>
      </c>
      <c r="K1489" s="16" t="n">
        <f aca="false">H1489*I1489</f>
        <v>455.52</v>
      </c>
      <c r="L1489" s="16" t="n">
        <f aca="false">H1489*J1489</f>
        <v>204</v>
      </c>
      <c r="M1489" s="16" t="n">
        <f aca="false">K1489-L1489</f>
        <v>251.52</v>
      </c>
      <c r="N1489" s="17" t="n">
        <f aca="false">IFERROR(M1489/K1489,0)</f>
        <v>0.552160168598525</v>
      </c>
    </row>
    <row r="1490" customFormat="false" ht="15" hidden="false" customHeight="false" outlineLevel="0" collapsed="false">
      <c r="A1490" s="15" t="n">
        <v>46084</v>
      </c>
      <c r="B1490" s="14" t="s">
        <v>88</v>
      </c>
      <c r="C1490" s="14" t="s">
        <v>89</v>
      </c>
      <c r="D1490" s="14" t="s">
        <v>44</v>
      </c>
      <c r="E1490" s="14" t="s">
        <v>56</v>
      </c>
      <c r="F1490" s="14" t="s">
        <v>98</v>
      </c>
      <c r="G1490" s="14" t="s">
        <v>99</v>
      </c>
      <c r="H1490" s="0" t="n">
        <v>6</v>
      </c>
      <c r="I1490" s="16" t="n">
        <v>20.53</v>
      </c>
      <c r="J1490" s="16" t="n">
        <v>8</v>
      </c>
      <c r="K1490" s="16" t="n">
        <f aca="false">H1490*I1490</f>
        <v>123.18</v>
      </c>
      <c r="L1490" s="16" t="n">
        <f aca="false">H1490*J1490</f>
        <v>48</v>
      </c>
      <c r="M1490" s="16" t="n">
        <f aca="false">K1490-L1490</f>
        <v>75.18</v>
      </c>
      <c r="N1490" s="17" t="n">
        <f aca="false">IFERROR(M1490/K1490,0)</f>
        <v>0.610326351680468</v>
      </c>
    </row>
    <row r="1491" customFormat="false" ht="15" hidden="false" customHeight="false" outlineLevel="0" collapsed="false">
      <c r="A1491" s="15" t="n">
        <v>46085</v>
      </c>
      <c r="B1491" s="14" t="s">
        <v>42</v>
      </c>
      <c r="C1491" s="14" t="s">
        <v>43</v>
      </c>
      <c r="D1491" s="14" t="s">
        <v>44</v>
      </c>
      <c r="E1491" s="14" t="s">
        <v>53</v>
      </c>
      <c r="F1491" s="14" t="s">
        <v>92</v>
      </c>
      <c r="G1491" s="14" t="s">
        <v>93</v>
      </c>
      <c r="H1491" s="0" t="n">
        <v>10</v>
      </c>
      <c r="I1491" s="16" t="n">
        <v>118.83</v>
      </c>
      <c r="J1491" s="16" t="n">
        <v>52</v>
      </c>
      <c r="K1491" s="16" t="n">
        <f aca="false">H1491*I1491</f>
        <v>1188.3</v>
      </c>
      <c r="L1491" s="16" t="n">
        <f aca="false">H1491*J1491</f>
        <v>520</v>
      </c>
      <c r="M1491" s="16" t="n">
        <f aca="false">K1491-L1491</f>
        <v>668.3</v>
      </c>
      <c r="N1491" s="17" t="n">
        <f aca="false">IFERROR(M1491/K1491,0)</f>
        <v>0.562400067323067</v>
      </c>
    </row>
    <row r="1492" customFormat="false" ht="15" hidden="false" customHeight="false" outlineLevel="0" collapsed="false">
      <c r="A1492" s="15" t="n">
        <v>46085</v>
      </c>
      <c r="B1492" s="14" t="s">
        <v>42</v>
      </c>
      <c r="C1492" s="14" t="s">
        <v>43</v>
      </c>
      <c r="D1492" s="14" t="s">
        <v>44</v>
      </c>
      <c r="E1492" s="14" t="s">
        <v>53</v>
      </c>
      <c r="F1492" s="14" t="s">
        <v>92</v>
      </c>
      <c r="G1492" s="14" t="s">
        <v>93</v>
      </c>
      <c r="H1492" s="0" t="n">
        <v>4</v>
      </c>
      <c r="I1492" s="16" t="n">
        <v>110.91</v>
      </c>
      <c r="J1492" s="16" t="n">
        <v>52</v>
      </c>
      <c r="K1492" s="16" t="n">
        <f aca="false">H1492*I1492</f>
        <v>443.64</v>
      </c>
      <c r="L1492" s="16" t="n">
        <f aca="false">H1492*J1492</f>
        <v>208</v>
      </c>
      <c r="M1492" s="16" t="n">
        <f aca="false">K1492-L1492</f>
        <v>235.64</v>
      </c>
      <c r="N1492" s="17" t="n">
        <f aca="false">IFERROR(M1492/K1492,0)</f>
        <v>0.531151384005049</v>
      </c>
    </row>
    <row r="1493" customFormat="false" ht="15" hidden="false" customHeight="false" outlineLevel="0" collapsed="false">
      <c r="A1493" s="15" t="n">
        <v>46085</v>
      </c>
      <c r="B1493" s="14" t="s">
        <v>50</v>
      </c>
      <c r="C1493" s="14" t="s">
        <v>51</v>
      </c>
      <c r="D1493" s="14" t="s">
        <v>52</v>
      </c>
      <c r="E1493" s="14" t="s">
        <v>64</v>
      </c>
      <c r="F1493" s="14" t="s">
        <v>94</v>
      </c>
      <c r="G1493" s="14" t="s">
        <v>95</v>
      </c>
      <c r="H1493" s="0" t="n">
        <v>1</v>
      </c>
      <c r="I1493" s="16" t="n">
        <v>93.38</v>
      </c>
      <c r="J1493" s="16" t="n">
        <v>42</v>
      </c>
      <c r="K1493" s="16" t="n">
        <f aca="false">H1493*I1493</f>
        <v>93.38</v>
      </c>
      <c r="L1493" s="16" t="n">
        <f aca="false">H1493*J1493</f>
        <v>42</v>
      </c>
      <c r="M1493" s="16" t="n">
        <f aca="false">K1493-L1493</f>
        <v>51.38</v>
      </c>
      <c r="N1493" s="17" t="n">
        <f aca="false">IFERROR(M1493/K1493,0)</f>
        <v>0.550224887556222</v>
      </c>
    </row>
    <row r="1494" customFormat="false" ht="15" hidden="false" customHeight="false" outlineLevel="0" collapsed="false">
      <c r="A1494" s="15" t="n">
        <v>46085</v>
      </c>
      <c r="B1494" s="14" t="s">
        <v>50</v>
      </c>
      <c r="C1494" s="14" t="s">
        <v>51</v>
      </c>
      <c r="D1494" s="14" t="s">
        <v>52</v>
      </c>
      <c r="E1494" s="14" t="s">
        <v>56</v>
      </c>
      <c r="F1494" s="14" t="s">
        <v>98</v>
      </c>
      <c r="G1494" s="14" t="s">
        <v>99</v>
      </c>
      <c r="H1494" s="0" t="n">
        <v>5</v>
      </c>
      <c r="I1494" s="16" t="n">
        <v>21.59</v>
      </c>
      <c r="J1494" s="16" t="n">
        <v>8</v>
      </c>
      <c r="K1494" s="16" t="n">
        <f aca="false">H1494*I1494</f>
        <v>107.95</v>
      </c>
      <c r="L1494" s="16" t="n">
        <f aca="false">H1494*J1494</f>
        <v>40</v>
      </c>
      <c r="M1494" s="16" t="n">
        <f aca="false">K1494-L1494</f>
        <v>67.95</v>
      </c>
      <c r="N1494" s="17" t="n">
        <f aca="false">IFERROR(M1494/K1494,0)</f>
        <v>0.629458082445577</v>
      </c>
    </row>
    <row r="1495" customFormat="false" ht="15" hidden="false" customHeight="false" outlineLevel="0" collapsed="false">
      <c r="A1495" s="15" t="n">
        <v>46085</v>
      </c>
      <c r="B1495" s="14" t="s">
        <v>50</v>
      </c>
      <c r="C1495" s="14" t="s">
        <v>51</v>
      </c>
      <c r="D1495" s="14" t="s">
        <v>52</v>
      </c>
      <c r="E1495" s="14" t="s">
        <v>53</v>
      </c>
      <c r="F1495" s="14" t="s">
        <v>74</v>
      </c>
      <c r="G1495" s="14" t="s">
        <v>75</v>
      </c>
      <c r="H1495" s="0" t="n">
        <v>3</v>
      </c>
      <c r="I1495" s="16" t="n">
        <v>85.75</v>
      </c>
      <c r="J1495" s="16" t="n">
        <v>38</v>
      </c>
      <c r="K1495" s="16" t="n">
        <f aca="false">H1495*I1495</f>
        <v>257.25</v>
      </c>
      <c r="L1495" s="16" t="n">
        <f aca="false">H1495*J1495</f>
        <v>114</v>
      </c>
      <c r="M1495" s="16" t="n">
        <f aca="false">K1495-L1495</f>
        <v>143.25</v>
      </c>
      <c r="N1495" s="17" t="n">
        <f aca="false">IFERROR(M1495/K1495,0)</f>
        <v>0.556851311953353</v>
      </c>
    </row>
    <row r="1496" customFormat="false" ht="15" hidden="false" customHeight="false" outlineLevel="0" collapsed="false">
      <c r="A1496" s="15" t="n">
        <v>46085</v>
      </c>
      <c r="B1496" s="14" t="s">
        <v>50</v>
      </c>
      <c r="C1496" s="14" t="s">
        <v>51</v>
      </c>
      <c r="D1496" s="14" t="s">
        <v>52</v>
      </c>
      <c r="E1496" s="14" t="s">
        <v>76</v>
      </c>
      <c r="F1496" s="14" t="s">
        <v>102</v>
      </c>
      <c r="G1496" s="14" t="s">
        <v>103</v>
      </c>
      <c r="H1496" s="0" t="n">
        <v>6</v>
      </c>
      <c r="I1496" s="16" t="n">
        <v>23.4</v>
      </c>
      <c r="J1496" s="16" t="n">
        <v>8.5</v>
      </c>
      <c r="K1496" s="16" t="n">
        <f aca="false">H1496*I1496</f>
        <v>140.4</v>
      </c>
      <c r="L1496" s="16" t="n">
        <f aca="false">H1496*J1496</f>
        <v>51</v>
      </c>
      <c r="M1496" s="16" t="n">
        <f aca="false">K1496-L1496</f>
        <v>89.4</v>
      </c>
      <c r="N1496" s="17" t="n">
        <f aca="false">IFERROR(M1496/K1496,0)</f>
        <v>0.636752136752137</v>
      </c>
    </row>
    <row r="1497" customFormat="false" ht="15" hidden="false" customHeight="false" outlineLevel="0" collapsed="false">
      <c r="A1497" s="15" t="n">
        <v>46085</v>
      </c>
      <c r="B1497" s="14" t="s">
        <v>59</v>
      </c>
      <c r="C1497" s="14" t="s">
        <v>60</v>
      </c>
      <c r="D1497" s="14" t="s">
        <v>61</v>
      </c>
      <c r="E1497" s="14" t="s">
        <v>45</v>
      </c>
      <c r="F1497" s="14" t="s">
        <v>46</v>
      </c>
      <c r="G1497" s="14" t="s">
        <v>47</v>
      </c>
      <c r="H1497" s="0" t="n">
        <v>3</v>
      </c>
      <c r="I1497" s="16" t="n">
        <v>41.45</v>
      </c>
      <c r="J1497" s="16" t="n">
        <v>18</v>
      </c>
      <c r="K1497" s="16" t="n">
        <f aca="false">H1497*I1497</f>
        <v>124.35</v>
      </c>
      <c r="L1497" s="16" t="n">
        <f aca="false">H1497*J1497</f>
        <v>54</v>
      </c>
      <c r="M1497" s="16" t="n">
        <f aca="false">K1497-L1497</f>
        <v>70.35</v>
      </c>
      <c r="N1497" s="17" t="n">
        <f aca="false">IFERROR(M1497/K1497,0)</f>
        <v>0.565741857659831</v>
      </c>
    </row>
    <row r="1498" customFormat="false" ht="15" hidden="false" customHeight="false" outlineLevel="0" collapsed="false">
      <c r="A1498" s="15" t="n">
        <v>46085</v>
      </c>
      <c r="B1498" s="14" t="s">
        <v>59</v>
      </c>
      <c r="C1498" s="14" t="s">
        <v>60</v>
      </c>
      <c r="D1498" s="14" t="s">
        <v>61</v>
      </c>
      <c r="E1498" s="14" t="s">
        <v>56</v>
      </c>
      <c r="F1498" s="14" t="s">
        <v>67</v>
      </c>
      <c r="G1498" s="14" t="s">
        <v>68</v>
      </c>
      <c r="H1498" s="0" t="n">
        <v>6</v>
      </c>
      <c r="I1498" s="16" t="n">
        <v>37.33</v>
      </c>
      <c r="J1498" s="16" t="n">
        <v>15</v>
      </c>
      <c r="K1498" s="16" t="n">
        <f aca="false">H1498*I1498</f>
        <v>223.98</v>
      </c>
      <c r="L1498" s="16" t="n">
        <f aca="false">H1498*J1498</f>
        <v>90</v>
      </c>
      <c r="M1498" s="16" t="n">
        <f aca="false">K1498-L1498</f>
        <v>133.98</v>
      </c>
      <c r="N1498" s="17" t="n">
        <f aca="false">IFERROR(M1498/K1498,0)</f>
        <v>0.598178408786499</v>
      </c>
    </row>
    <row r="1499" customFormat="false" ht="15" hidden="false" customHeight="false" outlineLevel="0" collapsed="false">
      <c r="A1499" s="15" t="n">
        <v>46085</v>
      </c>
      <c r="B1499" s="14" t="s">
        <v>59</v>
      </c>
      <c r="C1499" s="14" t="s">
        <v>60</v>
      </c>
      <c r="D1499" s="14" t="s">
        <v>61</v>
      </c>
      <c r="E1499" s="14" t="s">
        <v>64</v>
      </c>
      <c r="F1499" s="14" t="s">
        <v>94</v>
      </c>
      <c r="G1499" s="14" t="s">
        <v>95</v>
      </c>
      <c r="H1499" s="0" t="n">
        <v>2</v>
      </c>
      <c r="I1499" s="16" t="n">
        <v>91.89</v>
      </c>
      <c r="J1499" s="16" t="n">
        <v>42</v>
      </c>
      <c r="K1499" s="16" t="n">
        <f aca="false">H1499*I1499</f>
        <v>183.78</v>
      </c>
      <c r="L1499" s="16" t="n">
        <f aca="false">H1499*J1499</f>
        <v>84</v>
      </c>
      <c r="M1499" s="16" t="n">
        <f aca="false">K1499-L1499</f>
        <v>99.78</v>
      </c>
      <c r="N1499" s="17" t="n">
        <f aca="false">IFERROR(M1499/K1499,0)</f>
        <v>0.542931766242246</v>
      </c>
    </row>
    <row r="1500" customFormat="false" ht="15" hidden="false" customHeight="false" outlineLevel="0" collapsed="false">
      <c r="A1500" s="15" t="n">
        <v>46085</v>
      </c>
      <c r="B1500" s="14" t="s">
        <v>59</v>
      </c>
      <c r="C1500" s="14" t="s">
        <v>60</v>
      </c>
      <c r="D1500" s="14" t="s">
        <v>61</v>
      </c>
      <c r="E1500" s="14" t="s">
        <v>53</v>
      </c>
      <c r="F1500" s="14" t="s">
        <v>54</v>
      </c>
      <c r="G1500" s="14" t="s">
        <v>55</v>
      </c>
      <c r="H1500" s="0" t="n">
        <v>4</v>
      </c>
      <c r="I1500" s="16" t="n">
        <v>54.1</v>
      </c>
      <c r="J1500" s="16" t="n">
        <v>22</v>
      </c>
      <c r="K1500" s="16" t="n">
        <f aca="false">H1500*I1500</f>
        <v>216.4</v>
      </c>
      <c r="L1500" s="16" t="n">
        <f aca="false">H1500*J1500</f>
        <v>88</v>
      </c>
      <c r="M1500" s="16" t="n">
        <f aca="false">K1500-L1500</f>
        <v>128.4</v>
      </c>
      <c r="N1500" s="17" t="n">
        <f aca="false">IFERROR(M1500/K1500,0)</f>
        <v>0.593345656192237</v>
      </c>
    </row>
    <row r="1501" customFormat="false" ht="15" hidden="false" customHeight="false" outlineLevel="0" collapsed="false">
      <c r="A1501" s="15" t="n">
        <v>46085</v>
      </c>
      <c r="B1501" s="14" t="s">
        <v>69</v>
      </c>
      <c r="C1501" s="14" t="s">
        <v>70</v>
      </c>
      <c r="D1501" s="14" t="s">
        <v>71</v>
      </c>
      <c r="E1501" s="14" t="s">
        <v>56</v>
      </c>
      <c r="F1501" s="14" t="s">
        <v>98</v>
      </c>
      <c r="G1501" s="14" t="s">
        <v>99</v>
      </c>
      <c r="H1501" s="0" t="n">
        <v>6</v>
      </c>
      <c r="I1501" s="16" t="n">
        <v>21.05</v>
      </c>
      <c r="J1501" s="16" t="n">
        <v>8</v>
      </c>
      <c r="K1501" s="16" t="n">
        <f aca="false">H1501*I1501</f>
        <v>126.3</v>
      </c>
      <c r="L1501" s="16" t="n">
        <f aca="false">H1501*J1501</f>
        <v>48</v>
      </c>
      <c r="M1501" s="16" t="n">
        <f aca="false">K1501-L1501</f>
        <v>78.3</v>
      </c>
      <c r="N1501" s="17" t="n">
        <f aca="false">IFERROR(M1501/K1501,0)</f>
        <v>0.619952494061758</v>
      </c>
    </row>
    <row r="1502" customFormat="false" ht="15" hidden="false" customHeight="false" outlineLevel="0" collapsed="false">
      <c r="A1502" s="15" t="n">
        <v>46085</v>
      </c>
      <c r="B1502" s="14" t="s">
        <v>69</v>
      </c>
      <c r="C1502" s="14" t="s">
        <v>70</v>
      </c>
      <c r="D1502" s="14" t="s">
        <v>71</v>
      </c>
      <c r="E1502" s="14" t="s">
        <v>45</v>
      </c>
      <c r="F1502" s="14" t="s">
        <v>48</v>
      </c>
      <c r="G1502" s="14" t="s">
        <v>49</v>
      </c>
      <c r="H1502" s="0" t="n">
        <v>3</v>
      </c>
      <c r="I1502" s="16" t="n">
        <v>67.58</v>
      </c>
      <c r="J1502" s="16" t="n">
        <v>27.5</v>
      </c>
      <c r="K1502" s="16" t="n">
        <f aca="false">H1502*I1502</f>
        <v>202.74</v>
      </c>
      <c r="L1502" s="16" t="n">
        <f aca="false">H1502*J1502</f>
        <v>82.5</v>
      </c>
      <c r="M1502" s="16" t="n">
        <f aca="false">K1502-L1502</f>
        <v>120.24</v>
      </c>
      <c r="N1502" s="17" t="n">
        <f aca="false">IFERROR(M1502/K1502,0)</f>
        <v>0.593074874223143</v>
      </c>
    </row>
    <row r="1503" customFormat="false" ht="15" hidden="false" customHeight="false" outlineLevel="0" collapsed="false">
      <c r="A1503" s="15" t="n">
        <v>46085</v>
      </c>
      <c r="B1503" s="14" t="s">
        <v>69</v>
      </c>
      <c r="C1503" s="14" t="s">
        <v>70</v>
      </c>
      <c r="D1503" s="14" t="s">
        <v>71</v>
      </c>
      <c r="E1503" s="14" t="s">
        <v>64</v>
      </c>
      <c r="F1503" s="14" t="s">
        <v>94</v>
      </c>
      <c r="G1503" s="14" t="s">
        <v>95</v>
      </c>
      <c r="H1503" s="0" t="n">
        <v>4</v>
      </c>
      <c r="I1503" s="16" t="n">
        <v>96.55</v>
      </c>
      <c r="J1503" s="16" t="n">
        <v>42</v>
      </c>
      <c r="K1503" s="16" t="n">
        <f aca="false">H1503*I1503</f>
        <v>386.2</v>
      </c>
      <c r="L1503" s="16" t="n">
        <f aca="false">H1503*J1503</f>
        <v>168</v>
      </c>
      <c r="M1503" s="16" t="n">
        <f aca="false">K1503-L1503</f>
        <v>218.2</v>
      </c>
      <c r="N1503" s="17" t="n">
        <f aca="false">IFERROR(M1503/K1503,0)</f>
        <v>0.564992232004143</v>
      </c>
    </row>
    <row r="1504" customFormat="false" ht="15" hidden="false" customHeight="false" outlineLevel="0" collapsed="false">
      <c r="A1504" s="15" t="n">
        <v>46085</v>
      </c>
      <c r="B1504" s="14" t="s">
        <v>69</v>
      </c>
      <c r="C1504" s="14" t="s">
        <v>70</v>
      </c>
      <c r="D1504" s="14" t="s">
        <v>71</v>
      </c>
      <c r="E1504" s="14" t="s">
        <v>53</v>
      </c>
      <c r="F1504" s="14" t="s">
        <v>84</v>
      </c>
      <c r="G1504" s="14" t="s">
        <v>85</v>
      </c>
      <c r="H1504" s="0" t="n">
        <v>5</v>
      </c>
      <c r="I1504" s="16" t="n">
        <v>23.34</v>
      </c>
      <c r="J1504" s="16" t="n">
        <v>9</v>
      </c>
      <c r="K1504" s="16" t="n">
        <f aca="false">H1504*I1504</f>
        <v>116.7</v>
      </c>
      <c r="L1504" s="16" t="n">
        <f aca="false">H1504*J1504</f>
        <v>45</v>
      </c>
      <c r="M1504" s="16" t="n">
        <f aca="false">K1504-L1504</f>
        <v>71.7</v>
      </c>
      <c r="N1504" s="17" t="n">
        <f aca="false">IFERROR(M1504/K1504,0)</f>
        <v>0.61439588688946</v>
      </c>
    </row>
    <row r="1505" customFormat="false" ht="15" hidden="false" customHeight="false" outlineLevel="0" collapsed="false">
      <c r="A1505" s="15" t="n">
        <v>46085</v>
      </c>
      <c r="B1505" s="14" t="s">
        <v>69</v>
      </c>
      <c r="C1505" s="14" t="s">
        <v>70</v>
      </c>
      <c r="D1505" s="14" t="s">
        <v>71</v>
      </c>
      <c r="E1505" s="14" t="s">
        <v>76</v>
      </c>
      <c r="F1505" s="14" t="s">
        <v>79</v>
      </c>
      <c r="G1505" s="14" t="s">
        <v>80</v>
      </c>
      <c r="H1505" s="0" t="n">
        <v>2</v>
      </c>
      <c r="I1505" s="16" t="n">
        <v>28.13</v>
      </c>
      <c r="J1505" s="16" t="n">
        <v>11</v>
      </c>
      <c r="K1505" s="16" t="n">
        <f aca="false">H1505*I1505</f>
        <v>56.26</v>
      </c>
      <c r="L1505" s="16" t="n">
        <f aca="false">H1505*J1505</f>
        <v>22</v>
      </c>
      <c r="M1505" s="16" t="n">
        <f aca="false">K1505-L1505</f>
        <v>34.26</v>
      </c>
      <c r="N1505" s="17" t="n">
        <f aca="false">IFERROR(M1505/K1505,0)</f>
        <v>0.608958407394241</v>
      </c>
    </row>
    <row r="1506" customFormat="false" ht="15" hidden="false" customHeight="false" outlineLevel="0" collapsed="false">
      <c r="A1506" s="15" t="n">
        <v>46085</v>
      </c>
      <c r="B1506" s="14" t="s">
        <v>69</v>
      </c>
      <c r="C1506" s="14" t="s">
        <v>70</v>
      </c>
      <c r="D1506" s="14" t="s">
        <v>71</v>
      </c>
      <c r="E1506" s="14" t="s">
        <v>53</v>
      </c>
      <c r="F1506" s="14" t="s">
        <v>54</v>
      </c>
      <c r="G1506" s="14" t="s">
        <v>55</v>
      </c>
      <c r="H1506" s="0" t="n">
        <v>4</v>
      </c>
      <c r="I1506" s="16" t="n">
        <v>51.15</v>
      </c>
      <c r="J1506" s="16" t="n">
        <v>22</v>
      </c>
      <c r="K1506" s="16" t="n">
        <f aca="false">H1506*I1506</f>
        <v>204.6</v>
      </c>
      <c r="L1506" s="16" t="n">
        <f aca="false">H1506*J1506</f>
        <v>88</v>
      </c>
      <c r="M1506" s="16" t="n">
        <f aca="false">K1506-L1506</f>
        <v>116.6</v>
      </c>
      <c r="N1506" s="17" t="n">
        <f aca="false">IFERROR(M1506/K1506,0)</f>
        <v>0.56989247311828</v>
      </c>
    </row>
    <row r="1507" customFormat="false" ht="15" hidden="false" customHeight="false" outlineLevel="0" collapsed="false">
      <c r="A1507" s="15" t="n">
        <v>46085</v>
      </c>
      <c r="B1507" s="14" t="s">
        <v>81</v>
      </c>
      <c r="C1507" s="14" t="s">
        <v>82</v>
      </c>
      <c r="D1507" s="14" t="s">
        <v>83</v>
      </c>
      <c r="E1507" s="14" t="s">
        <v>45</v>
      </c>
      <c r="F1507" s="14" t="s">
        <v>72</v>
      </c>
      <c r="G1507" s="14" t="s">
        <v>73</v>
      </c>
      <c r="H1507" s="0" t="n">
        <v>2</v>
      </c>
      <c r="I1507" s="16" t="n">
        <v>48.16</v>
      </c>
      <c r="J1507" s="16" t="n">
        <v>21</v>
      </c>
      <c r="K1507" s="16" t="n">
        <f aca="false">H1507*I1507</f>
        <v>96.32</v>
      </c>
      <c r="L1507" s="16" t="n">
        <f aca="false">H1507*J1507</f>
        <v>42</v>
      </c>
      <c r="M1507" s="16" t="n">
        <f aca="false">K1507-L1507</f>
        <v>54.32</v>
      </c>
      <c r="N1507" s="17" t="n">
        <f aca="false">IFERROR(M1507/K1507,0)</f>
        <v>0.563953488372093</v>
      </c>
    </row>
    <row r="1508" customFormat="false" ht="15" hidden="false" customHeight="false" outlineLevel="0" collapsed="false">
      <c r="A1508" s="15" t="n">
        <v>46085</v>
      </c>
      <c r="B1508" s="14" t="s">
        <v>81</v>
      </c>
      <c r="C1508" s="14" t="s">
        <v>82</v>
      </c>
      <c r="D1508" s="14" t="s">
        <v>83</v>
      </c>
      <c r="E1508" s="14" t="s">
        <v>64</v>
      </c>
      <c r="F1508" s="14" t="s">
        <v>90</v>
      </c>
      <c r="G1508" s="14" t="s">
        <v>91</v>
      </c>
      <c r="H1508" s="0" t="n">
        <v>1</v>
      </c>
      <c r="I1508" s="16" t="n">
        <v>11.23</v>
      </c>
      <c r="J1508" s="16" t="n">
        <v>3.5</v>
      </c>
      <c r="K1508" s="16" t="n">
        <f aca="false">H1508*I1508</f>
        <v>11.23</v>
      </c>
      <c r="L1508" s="16" t="n">
        <f aca="false">H1508*J1508</f>
        <v>3.5</v>
      </c>
      <c r="M1508" s="16" t="n">
        <f aca="false">K1508-L1508</f>
        <v>7.73</v>
      </c>
      <c r="N1508" s="17" t="n">
        <f aca="false">IFERROR(M1508/K1508,0)</f>
        <v>0.68833481745325</v>
      </c>
    </row>
    <row r="1509" customFormat="false" ht="15" hidden="false" customHeight="false" outlineLevel="0" collapsed="false">
      <c r="A1509" s="15" t="n">
        <v>46085</v>
      </c>
      <c r="B1509" s="14" t="s">
        <v>81</v>
      </c>
      <c r="C1509" s="14" t="s">
        <v>82</v>
      </c>
      <c r="D1509" s="14" t="s">
        <v>83</v>
      </c>
      <c r="E1509" s="14" t="s">
        <v>45</v>
      </c>
      <c r="F1509" s="14" t="s">
        <v>48</v>
      </c>
      <c r="G1509" s="14" t="s">
        <v>49</v>
      </c>
      <c r="H1509" s="0" t="n">
        <v>7</v>
      </c>
      <c r="I1509" s="16" t="n">
        <v>63.21</v>
      </c>
      <c r="J1509" s="16" t="n">
        <v>27.5</v>
      </c>
      <c r="K1509" s="16" t="n">
        <f aca="false">H1509*I1509</f>
        <v>442.47</v>
      </c>
      <c r="L1509" s="16" t="n">
        <f aca="false">H1509*J1509</f>
        <v>192.5</v>
      </c>
      <c r="M1509" s="16" t="n">
        <f aca="false">K1509-L1509</f>
        <v>249.97</v>
      </c>
      <c r="N1509" s="17" t="n">
        <f aca="false">IFERROR(M1509/K1509,0)</f>
        <v>0.564942255972156</v>
      </c>
    </row>
    <row r="1510" customFormat="false" ht="15" hidden="false" customHeight="false" outlineLevel="0" collapsed="false">
      <c r="A1510" s="15" t="n">
        <v>46085</v>
      </c>
      <c r="B1510" s="14" t="s">
        <v>88</v>
      </c>
      <c r="C1510" s="14" t="s">
        <v>89</v>
      </c>
      <c r="D1510" s="14" t="s">
        <v>44</v>
      </c>
      <c r="E1510" s="14" t="s">
        <v>45</v>
      </c>
      <c r="F1510" s="14" t="s">
        <v>48</v>
      </c>
      <c r="G1510" s="14" t="s">
        <v>49</v>
      </c>
      <c r="H1510" s="0" t="n">
        <v>6</v>
      </c>
      <c r="I1510" s="16" t="n">
        <v>66.19</v>
      </c>
      <c r="J1510" s="16" t="n">
        <v>27.5</v>
      </c>
      <c r="K1510" s="16" t="n">
        <f aca="false">H1510*I1510</f>
        <v>397.14</v>
      </c>
      <c r="L1510" s="16" t="n">
        <f aca="false">H1510*J1510</f>
        <v>165</v>
      </c>
      <c r="M1510" s="16" t="n">
        <f aca="false">K1510-L1510</f>
        <v>232.14</v>
      </c>
      <c r="N1510" s="17" t="n">
        <f aca="false">IFERROR(M1510/K1510,0)</f>
        <v>0.58452938510349</v>
      </c>
    </row>
    <row r="1511" customFormat="false" ht="15" hidden="false" customHeight="false" outlineLevel="0" collapsed="false">
      <c r="A1511" s="15" t="n">
        <v>46085</v>
      </c>
      <c r="B1511" s="14" t="s">
        <v>88</v>
      </c>
      <c r="C1511" s="14" t="s">
        <v>89</v>
      </c>
      <c r="D1511" s="14" t="s">
        <v>44</v>
      </c>
      <c r="E1511" s="14" t="s">
        <v>45</v>
      </c>
      <c r="F1511" s="14" t="s">
        <v>48</v>
      </c>
      <c r="G1511" s="14" t="s">
        <v>49</v>
      </c>
      <c r="H1511" s="0" t="n">
        <v>5</v>
      </c>
      <c r="I1511" s="16" t="n">
        <v>65.76</v>
      </c>
      <c r="J1511" s="16" t="n">
        <v>27.5</v>
      </c>
      <c r="K1511" s="16" t="n">
        <f aca="false">H1511*I1511</f>
        <v>328.8</v>
      </c>
      <c r="L1511" s="16" t="n">
        <f aca="false">H1511*J1511</f>
        <v>137.5</v>
      </c>
      <c r="M1511" s="16" t="n">
        <f aca="false">K1511-L1511</f>
        <v>191.3</v>
      </c>
      <c r="N1511" s="17" t="n">
        <f aca="false">IFERROR(M1511/K1511,0)</f>
        <v>0.581812652068127</v>
      </c>
    </row>
    <row r="1512" customFormat="false" ht="15" hidden="false" customHeight="false" outlineLevel="0" collapsed="false">
      <c r="A1512" s="15" t="n">
        <v>46085</v>
      </c>
      <c r="B1512" s="14" t="s">
        <v>88</v>
      </c>
      <c r="C1512" s="14" t="s">
        <v>89</v>
      </c>
      <c r="D1512" s="14" t="s">
        <v>44</v>
      </c>
      <c r="E1512" s="14" t="s">
        <v>53</v>
      </c>
      <c r="F1512" s="14" t="s">
        <v>54</v>
      </c>
      <c r="G1512" s="14" t="s">
        <v>55</v>
      </c>
      <c r="H1512" s="0" t="n">
        <v>6</v>
      </c>
      <c r="I1512" s="16" t="n">
        <v>50.73</v>
      </c>
      <c r="J1512" s="16" t="n">
        <v>22</v>
      </c>
      <c r="K1512" s="16" t="n">
        <f aca="false">H1512*I1512</f>
        <v>304.38</v>
      </c>
      <c r="L1512" s="16" t="n">
        <f aca="false">H1512*J1512</f>
        <v>132</v>
      </c>
      <c r="M1512" s="16" t="n">
        <f aca="false">K1512-L1512</f>
        <v>172.38</v>
      </c>
      <c r="N1512" s="17" t="n">
        <f aca="false">IFERROR(M1512/K1512,0)</f>
        <v>0.566331559235167</v>
      </c>
    </row>
    <row r="1513" customFormat="false" ht="15" hidden="false" customHeight="false" outlineLevel="0" collapsed="false">
      <c r="A1513" s="15" t="n">
        <v>46085</v>
      </c>
      <c r="B1513" s="14" t="s">
        <v>88</v>
      </c>
      <c r="C1513" s="14" t="s">
        <v>89</v>
      </c>
      <c r="D1513" s="14" t="s">
        <v>44</v>
      </c>
      <c r="E1513" s="14" t="s">
        <v>53</v>
      </c>
      <c r="F1513" s="14" t="s">
        <v>92</v>
      </c>
      <c r="G1513" s="14" t="s">
        <v>93</v>
      </c>
      <c r="H1513" s="0" t="n">
        <v>6</v>
      </c>
      <c r="I1513" s="16" t="n">
        <v>113.78</v>
      </c>
      <c r="J1513" s="16" t="n">
        <v>52</v>
      </c>
      <c r="K1513" s="16" t="n">
        <f aca="false">H1513*I1513</f>
        <v>682.68</v>
      </c>
      <c r="L1513" s="16" t="n">
        <f aca="false">H1513*J1513</f>
        <v>312</v>
      </c>
      <c r="M1513" s="16" t="n">
        <f aca="false">K1513-L1513</f>
        <v>370.68</v>
      </c>
      <c r="N1513" s="17" t="n">
        <f aca="false">IFERROR(M1513/K1513,0)</f>
        <v>0.542977676217262</v>
      </c>
    </row>
    <row r="1514" customFormat="false" ht="15" hidden="false" customHeight="false" outlineLevel="0" collapsed="false">
      <c r="A1514" s="15" t="n">
        <v>46086</v>
      </c>
      <c r="B1514" s="14" t="s">
        <v>42</v>
      </c>
      <c r="C1514" s="14" t="s">
        <v>43</v>
      </c>
      <c r="D1514" s="14" t="s">
        <v>44</v>
      </c>
      <c r="E1514" s="14" t="s">
        <v>56</v>
      </c>
      <c r="F1514" s="14" t="s">
        <v>86</v>
      </c>
      <c r="G1514" s="14" t="s">
        <v>87</v>
      </c>
      <c r="H1514" s="0" t="n">
        <v>3</v>
      </c>
      <c r="I1514" s="16" t="n">
        <v>13.92</v>
      </c>
      <c r="J1514" s="16" t="n">
        <v>5</v>
      </c>
      <c r="K1514" s="16" t="n">
        <f aca="false">H1514*I1514</f>
        <v>41.76</v>
      </c>
      <c r="L1514" s="16" t="n">
        <f aca="false">H1514*J1514</f>
        <v>15</v>
      </c>
      <c r="M1514" s="16" t="n">
        <f aca="false">K1514-L1514</f>
        <v>26.76</v>
      </c>
      <c r="N1514" s="17" t="n">
        <f aca="false">IFERROR(M1514/K1514,0)</f>
        <v>0.640804597701149</v>
      </c>
    </row>
    <row r="1515" customFormat="false" ht="15" hidden="false" customHeight="false" outlineLevel="0" collapsed="false">
      <c r="A1515" s="15" t="n">
        <v>46086</v>
      </c>
      <c r="B1515" s="14" t="s">
        <v>42</v>
      </c>
      <c r="C1515" s="14" t="s">
        <v>43</v>
      </c>
      <c r="D1515" s="14" t="s">
        <v>44</v>
      </c>
      <c r="E1515" s="14" t="s">
        <v>56</v>
      </c>
      <c r="F1515" s="14" t="s">
        <v>98</v>
      </c>
      <c r="G1515" s="14" t="s">
        <v>99</v>
      </c>
      <c r="H1515" s="0" t="n">
        <v>5</v>
      </c>
      <c r="I1515" s="16" t="n">
        <v>21.5</v>
      </c>
      <c r="J1515" s="16" t="n">
        <v>8</v>
      </c>
      <c r="K1515" s="16" t="n">
        <f aca="false">H1515*I1515</f>
        <v>107.5</v>
      </c>
      <c r="L1515" s="16" t="n">
        <f aca="false">H1515*J1515</f>
        <v>40</v>
      </c>
      <c r="M1515" s="16" t="n">
        <f aca="false">K1515-L1515</f>
        <v>67.5</v>
      </c>
      <c r="N1515" s="17" t="n">
        <f aca="false">IFERROR(M1515/K1515,0)</f>
        <v>0.627906976744186</v>
      </c>
    </row>
    <row r="1516" customFormat="false" ht="15" hidden="false" customHeight="false" outlineLevel="0" collapsed="false">
      <c r="A1516" s="15" t="n">
        <v>46086</v>
      </c>
      <c r="B1516" s="14" t="s">
        <v>42</v>
      </c>
      <c r="C1516" s="14" t="s">
        <v>43</v>
      </c>
      <c r="D1516" s="14" t="s">
        <v>44</v>
      </c>
      <c r="E1516" s="14" t="s">
        <v>76</v>
      </c>
      <c r="F1516" s="14" t="s">
        <v>77</v>
      </c>
      <c r="G1516" s="14" t="s">
        <v>78</v>
      </c>
      <c r="H1516" s="0" t="n">
        <v>1</v>
      </c>
      <c r="I1516" s="16" t="n">
        <v>41.91</v>
      </c>
      <c r="J1516" s="16" t="n">
        <v>15</v>
      </c>
      <c r="K1516" s="16" t="n">
        <f aca="false">H1516*I1516</f>
        <v>41.91</v>
      </c>
      <c r="L1516" s="16" t="n">
        <f aca="false">H1516*J1516</f>
        <v>15</v>
      </c>
      <c r="M1516" s="16" t="n">
        <f aca="false">K1516-L1516</f>
        <v>26.91</v>
      </c>
      <c r="N1516" s="17" t="n">
        <f aca="false">IFERROR(M1516/K1516,0)</f>
        <v>0.642090193271296</v>
      </c>
    </row>
    <row r="1517" customFormat="false" ht="15" hidden="false" customHeight="false" outlineLevel="0" collapsed="false">
      <c r="A1517" s="15" t="n">
        <v>46086</v>
      </c>
      <c r="B1517" s="14" t="s">
        <v>42</v>
      </c>
      <c r="C1517" s="14" t="s">
        <v>43</v>
      </c>
      <c r="D1517" s="14" t="s">
        <v>44</v>
      </c>
      <c r="E1517" s="14" t="s">
        <v>45</v>
      </c>
      <c r="F1517" s="14" t="s">
        <v>62</v>
      </c>
      <c r="G1517" s="14" t="s">
        <v>63</v>
      </c>
      <c r="H1517" s="0" t="n">
        <v>11</v>
      </c>
      <c r="I1517" s="16" t="n">
        <v>17.09</v>
      </c>
      <c r="J1517" s="16" t="n">
        <v>6.5</v>
      </c>
      <c r="K1517" s="16" t="n">
        <f aca="false">H1517*I1517</f>
        <v>187.99</v>
      </c>
      <c r="L1517" s="16" t="n">
        <f aca="false">H1517*J1517</f>
        <v>71.5</v>
      </c>
      <c r="M1517" s="16" t="n">
        <f aca="false">K1517-L1517</f>
        <v>116.49</v>
      </c>
      <c r="N1517" s="17" t="n">
        <f aca="false">IFERROR(M1517/K1517,0)</f>
        <v>0.619660620245758</v>
      </c>
    </row>
    <row r="1518" customFormat="false" ht="15" hidden="false" customHeight="false" outlineLevel="0" collapsed="false">
      <c r="A1518" s="15" t="n">
        <v>46086</v>
      </c>
      <c r="B1518" s="14" t="s">
        <v>42</v>
      </c>
      <c r="C1518" s="14" t="s">
        <v>43</v>
      </c>
      <c r="D1518" s="14" t="s">
        <v>44</v>
      </c>
      <c r="E1518" s="14" t="s">
        <v>56</v>
      </c>
      <c r="F1518" s="14" t="s">
        <v>86</v>
      </c>
      <c r="G1518" s="14" t="s">
        <v>87</v>
      </c>
      <c r="H1518" s="0" t="n">
        <v>11</v>
      </c>
      <c r="I1518" s="16" t="n">
        <v>14.61</v>
      </c>
      <c r="J1518" s="16" t="n">
        <v>5</v>
      </c>
      <c r="K1518" s="16" t="n">
        <f aca="false">H1518*I1518</f>
        <v>160.71</v>
      </c>
      <c r="L1518" s="16" t="n">
        <f aca="false">H1518*J1518</f>
        <v>55</v>
      </c>
      <c r="M1518" s="16" t="n">
        <f aca="false">K1518-L1518</f>
        <v>105.71</v>
      </c>
      <c r="N1518" s="17" t="n">
        <f aca="false">IFERROR(M1518/K1518,0)</f>
        <v>0.657768651608487</v>
      </c>
    </row>
    <row r="1519" customFormat="false" ht="15" hidden="false" customHeight="false" outlineLevel="0" collapsed="false">
      <c r="A1519" s="15" t="n">
        <v>46086</v>
      </c>
      <c r="B1519" s="14" t="s">
        <v>42</v>
      </c>
      <c r="C1519" s="14" t="s">
        <v>43</v>
      </c>
      <c r="D1519" s="14" t="s">
        <v>44</v>
      </c>
      <c r="E1519" s="14" t="s">
        <v>45</v>
      </c>
      <c r="F1519" s="14" t="s">
        <v>62</v>
      </c>
      <c r="G1519" s="14" t="s">
        <v>63</v>
      </c>
      <c r="H1519" s="0" t="n">
        <v>9</v>
      </c>
      <c r="I1519" s="16" t="n">
        <v>17.97</v>
      </c>
      <c r="J1519" s="16" t="n">
        <v>6.5</v>
      </c>
      <c r="K1519" s="16" t="n">
        <f aca="false">H1519*I1519</f>
        <v>161.73</v>
      </c>
      <c r="L1519" s="16" t="n">
        <f aca="false">H1519*J1519</f>
        <v>58.5</v>
      </c>
      <c r="M1519" s="16" t="n">
        <f aca="false">K1519-L1519</f>
        <v>103.23</v>
      </c>
      <c r="N1519" s="17" t="n">
        <f aca="false">IFERROR(M1519/K1519,0)</f>
        <v>0.638286032276016</v>
      </c>
    </row>
    <row r="1520" customFormat="false" ht="15" hidden="false" customHeight="false" outlineLevel="0" collapsed="false">
      <c r="A1520" s="15" t="n">
        <v>46086</v>
      </c>
      <c r="B1520" s="14" t="s">
        <v>50</v>
      </c>
      <c r="C1520" s="14" t="s">
        <v>51</v>
      </c>
      <c r="D1520" s="14" t="s">
        <v>52</v>
      </c>
      <c r="E1520" s="14" t="s">
        <v>53</v>
      </c>
      <c r="F1520" s="14" t="s">
        <v>54</v>
      </c>
      <c r="G1520" s="14" t="s">
        <v>55</v>
      </c>
      <c r="H1520" s="0" t="n">
        <v>8</v>
      </c>
      <c r="I1520" s="16" t="n">
        <v>51.1</v>
      </c>
      <c r="J1520" s="16" t="n">
        <v>22</v>
      </c>
      <c r="K1520" s="16" t="n">
        <f aca="false">H1520*I1520</f>
        <v>408.8</v>
      </c>
      <c r="L1520" s="16" t="n">
        <f aca="false">H1520*J1520</f>
        <v>176</v>
      </c>
      <c r="M1520" s="16" t="n">
        <f aca="false">K1520-L1520</f>
        <v>232.8</v>
      </c>
      <c r="N1520" s="17" t="n">
        <f aca="false">IFERROR(M1520/K1520,0)</f>
        <v>0.569471624266145</v>
      </c>
    </row>
    <row r="1521" customFormat="false" ht="15" hidden="false" customHeight="false" outlineLevel="0" collapsed="false">
      <c r="A1521" s="15" t="n">
        <v>46086</v>
      </c>
      <c r="B1521" s="14" t="s">
        <v>50</v>
      </c>
      <c r="C1521" s="14" t="s">
        <v>51</v>
      </c>
      <c r="D1521" s="14" t="s">
        <v>52</v>
      </c>
      <c r="E1521" s="14" t="s">
        <v>76</v>
      </c>
      <c r="F1521" s="14" t="s">
        <v>79</v>
      </c>
      <c r="G1521" s="14" t="s">
        <v>80</v>
      </c>
      <c r="H1521" s="0" t="n">
        <v>9</v>
      </c>
      <c r="I1521" s="16" t="n">
        <v>27.86</v>
      </c>
      <c r="J1521" s="16" t="n">
        <v>11</v>
      </c>
      <c r="K1521" s="16" t="n">
        <f aca="false">H1521*I1521</f>
        <v>250.74</v>
      </c>
      <c r="L1521" s="16" t="n">
        <f aca="false">H1521*J1521</f>
        <v>99</v>
      </c>
      <c r="M1521" s="16" t="n">
        <f aca="false">K1521-L1521</f>
        <v>151.74</v>
      </c>
      <c r="N1521" s="17" t="n">
        <f aca="false">IFERROR(M1521/K1521,0)</f>
        <v>0.605168700646088</v>
      </c>
    </row>
    <row r="1522" customFormat="false" ht="15" hidden="false" customHeight="false" outlineLevel="0" collapsed="false">
      <c r="A1522" s="15" t="n">
        <v>46086</v>
      </c>
      <c r="B1522" s="14" t="s">
        <v>50</v>
      </c>
      <c r="C1522" s="14" t="s">
        <v>51</v>
      </c>
      <c r="D1522" s="14" t="s">
        <v>52</v>
      </c>
      <c r="E1522" s="14" t="s">
        <v>53</v>
      </c>
      <c r="F1522" s="14" t="s">
        <v>84</v>
      </c>
      <c r="G1522" s="14" t="s">
        <v>85</v>
      </c>
      <c r="H1522" s="0" t="n">
        <v>7</v>
      </c>
      <c r="I1522" s="16" t="n">
        <v>24.41</v>
      </c>
      <c r="J1522" s="16" t="n">
        <v>9</v>
      </c>
      <c r="K1522" s="16" t="n">
        <f aca="false">H1522*I1522</f>
        <v>170.87</v>
      </c>
      <c r="L1522" s="16" t="n">
        <f aca="false">H1522*J1522</f>
        <v>63</v>
      </c>
      <c r="M1522" s="16" t="n">
        <f aca="false">K1522-L1522</f>
        <v>107.87</v>
      </c>
      <c r="N1522" s="17" t="n">
        <f aca="false">IFERROR(M1522/K1522,0)</f>
        <v>0.631298648095043</v>
      </c>
    </row>
    <row r="1523" customFormat="false" ht="15" hidden="false" customHeight="false" outlineLevel="0" collapsed="false">
      <c r="A1523" s="15" t="n">
        <v>46086</v>
      </c>
      <c r="B1523" s="14" t="s">
        <v>50</v>
      </c>
      <c r="C1523" s="14" t="s">
        <v>51</v>
      </c>
      <c r="D1523" s="14" t="s">
        <v>52</v>
      </c>
      <c r="E1523" s="14" t="s">
        <v>56</v>
      </c>
      <c r="F1523" s="14" t="s">
        <v>98</v>
      </c>
      <c r="G1523" s="14" t="s">
        <v>99</v>
      </c>
      <c r="H1523" s="0" t="n">
        <v>2</v>
      </c>
      <c r="I1523" s="16" t="n">
        <v>20.82</v>
      </c>
      <c r="J1523" s="16" t="n">
        <v>8</v>
      </c>
      <c r="K1523" s="16" t="n">
        <f aca="false">H1523*I1523</f>
        <v>41.64</v>
      </c>
      <c r="L1523" s="16" t="n">
        <f aca="false">H1523*J1523</f>
        <v>16</v>
      </c>
      <c r="M1523" s="16" t="n">
        <f aca="false">K1523-L1523</f>
        <v>25.64</v>
      </c>
      <c r="N1523" s="17" t="n">
        <f aca="false">IFERROR(M1523/K1523,0)</f>
        <v>0.615754082612872</v>
      </c>
    </row>
    <row r="1524" customFormat="false" ht="15" hidden="false" customHeight="false" outlineLevel="0" collapsed="false">
      <c r="A1524" s="15" t="n">
        <v>46086</v>
      </c>
      <c r="B1524" s="14" t="s">
        <v>50</v>
      </c>
      <c r="C1524" s="14" t="s">
        <v>51</v>
      </c>
      <c r="D1524" s="14" t="s">
        <v>52</v>
      </c>
      <c r="E1524" s="14" t="s">
        <v>45</v>
      </c>
      <c r="F1524" s="14" t="s">
        <v>72</v>
      </c>
      <c r="G1524" s="14" t="s">
        <v>73</v>
      </c>
      <c r="H1524" s="0" t="n">
        <v>6</v>
      </c>
      <c r="I1524" s="16" t="n">
        <v>49.74</v>
      </c>
      <c r="J1524" s="16" t="n">
        <v>21</v>
      </c>
      <c r="K1524" s="16" t="n">
        <f aca="false">H1524*I1524</f>
        <v>298.44</v>
      </c>
      <c r="L1524" s="16" t="n">
        <f aca="false">H1524*J1524</f>
        <v>126</v>
      </c>
      <c r="M1524" s="16" t="n">
        <f aca="false">K1524-L1524</f>
        <v>172.44</v>
      </c>
      <c r="N1524" s="17" t="n">
        <f aca="false">IFERROR(M1524/K1524,0)</f>
        <v>0.577804583835947</v>
      </c>
    </row>
    <row r="1525" customFormat="false" ht="15" hidden="false" customHeight="false" outlineLevel="0" collapsed="false">
      <c r="A1525" s="15" t="n">
        <v>46086</v>
      </c>
      <c r="B1525" s="14" t="s">
        <v>59</v>
      </c>
      <c r="C1525" s="14" t="s">
        <v>60</v>
      </c>
      <c r="D1525" s="14" t="s">
        <v>61</v>
      </c>
      <c r="E1525" s="14" t="s">
        <v>64</v>
      </c>
      <c r="F1525" s="14" t="s">
        <v>96</v>
      </c>
      <c r="G1525" s="14" t="s">
        <v>97</v>
      </c>
      <c r="H1525" s="0" t="n">
        <v>6</v>
      </c>
      <c r="I1525" s="16" t="n">
        <v>55.65</v>
      </c>
      <c r="J1525" s="16" t="n">
        <v>24</v>
      </c>
      <c r="K1525" s="16" t="n">
        <f aca="false">H1525*I1525</f>
        <v>333.9</v>
      </c>
      <c r="L1525" s="16" t="n">
        <f aca="false">H1525*J1525</f>
        <v>144</v>
      </c>
      <c r="M1525" s="16" t="n">
        <f aca="false">K1525-L1525</f>
        <v>189.9</v>
      </c>
      <c r="N1525" s="17" t="n">
        <f aca="false">IFERROR(M1525/K1525,0)</f>
        <v>0.568733153638814</v>
      </c>
    </row>
    <row r="1526" customFormat="false" ht="15" hidden="false" customHeight="false" outlineLevel="0" collapsed="false">
      <c r="A1526" s="15" t="n">
        <v>46086</v>
      </c>
      <c r="B1526" s="14" t="s">
        <v>59</v>
      </c>
      <c r="C1526" s="14" t="s">
        <v>60</v>
      </c>
      <c r="D1526" s="14" t="s">
        <v>61</v>
      </c>
      <c r="E1526" s="14" t="s">
        <v>64</v>
      </c>
      <c r="F1526" s="14" t="s">
        <v>96</v>
      </c>
      <c r="G1526" s="14" t="s">
        <v>97</v>
      </c>
      <c r="H1526" s="0" t="n">
        <v>2</v>
      </c>
      <c r="I1526" s="16" t="n">
        <v>58.5</v>
      </c>
      <c r="J1526" s="16" t="n">
        <v>24</v>
      </c>
      <c r="K1526" s="16" t="n">
        <f aca="false">H1526*I1526</f>
        <v>117</v>
      </c>
      <c r="L1526" s="16" t="n">
        <f aca="false">H1526*J1526</f>
        <v>48</v>
      </c>
      <c r="M1526" s="16" t="n">
        <f aca="false">K1526-L1526</f>
        <v>69</v>
      </c>
      <c r="N1526" s="17" t="n">
        <f aca="false">IFERROR(M1526/K1526,0)</f>
        <v>0.58974358974359</v>
      </c>
    </row>
    <row r="1527" customFormat="false" ht="15" hidden="false" customHeight="false" outlineLevel="0" collapsed="false">
      <c r="A1527" s="15" t="n">
        <v>46086</v>
      </c>
      <c r="B1527" s="14" t="s">
        <v>59</v>
      </c>
      <c r="C1527" s="14" t="s">
        <v>60</v>
      </c>
      <c r="D1527" s="14" t="s">
        <v>61</v>
      </c>
      <c r="E1527" s="14" t="s">
        <v>64</v>
      </c>
      <c r="F1527" s="14" t="s">
        <v>94</v>
      </c>
      <c r="G1527" s="14" t="s">
        <v>95</v>
      </c>
      <c r="H1527" s="0" t="n">
        <v>2</v>
      </c>
      <c r="I1527" s="16" t="n">
        <v>91.18</v>
      </c>
      <c r="J1527" s="16" t="n">
        <v>42</v>
      </c>
      <c r="K1527" s="16" t="n">
        <f aca="false">H1527*I1527</f>
        <v>182.36</v>
      </c>
      <c r="L1527" s="16" t="n">
        <f aca="false">H1527*J1527</f>
        <v>84</v>
      </c>
      <c r="M1527" s="16" t="n">
        <f aca="false">K1527-L1527</f>
        <v>98.36</v>
      </c>
      <c r="N1527" s="17" t="n">
        <f aca="false">IFERROR(M1527/K1527,0)</f>
        <v>0.539372669445054</v>
      </c>
    </row>
    <row r="1528" customFormat="false" ht="15" hidden="false" customHeight="false" outlineLevel="0" collapsed="false">
      <c r="A1528" s="15" t="n">
        <v>46086</v>
      </c>
      <c r="B1528" s="14" t="s">
        <v>59</v>
      </c>
      <c r="C1528" s="14" t="s">
        <v>60</v>
      </c>
      <c r="D1528" s="14" t="s">
        <v>61</v>
      </c>
      <c r="E1528" s="14" t="s">
        <v>64</v>
      </c>
      <c r="F1528" s="14" t="s">
        <v>65</v>
      </c>
      <c r="G1528" s="14" t="s">
        <v>66</v>
      </c>
      <c r="H1528" s="0" t="n">
        <v>6</v>
      </c>
      <c r="I1528" s="16" t="n">
        <v>75.45</v>
      </c>
      <c r="J1528" s="16" t="n">
        <v>34</v>
      </c>
      <c r="K1528" s="16" t="n">
        <f aca="false">H1528*I1528</f>
        <v>452.7</v>
      </c>
      <c r="L1528" s="16" t="n">
        <f aca="false">H1528*J1528</f>
        <v>204</v>
      </c>
      <c r="M1528" s="16" t="n">
        <f aca="false">K1528-L1528</f>
        <v>248.7</v>
      </c>
      <c r="N1528" s="17" t="n">
        <f aca="false">IFERROR(M1528/K1528,0)</f>
        <v>0.549370444002651</v>
      </c>
    </row>
    <row r="1529" customFormat="false" ht="15" hidden="false" customHeight="false" outlineLevel="0" collapsed="false">
      <c r="A1529" s="15" t="n">
        <v>46086</v>
      </c>
      <c r="B1529" s="14" t="s">
        <v>69</v>
      </c>
      <c r="C1529" s="14" t="s">
        <v>70</v>
      </c>
      <c r="D1529" s="14" t="s">
        <v>71</v>
      </c>
      <c r="E1529" s="14" t="s">
        <v>45</v>
      </c>
      <c r="F1529" s="14" t="s">
        <v>62</v>
      </c>
      <c r="G1529" s="14" t="s">
        <v>63</v>
      </c>
      <c r="H1529" s="0" t="n">
        <v>7</v>
      </c>
      <c r="I1529" s="16" t="n">
        <v>17.14</v>
      </c>
      <c r="J1529" s="16" t="n">
        <v>6.5</v>
      </c>
      <c r="K1529" s="16" t="n">
        <f aca="false">H1529*I1529</f>
        <v>119.98</v>
      </c>
      <c r="L1529" s="16" t="n">
        <f aca="false">H1529*J1529</f>
        <v>45.5</v>
      </c>
      <c r="M1529" s="16" t="n">
        <f aca="false">K1529-L1529</f>
        <v>74.48</v>
      </c>
      <c r="N1529" s="17" t="n">
        <f aca="false">IFERROR(M1529/K1529,0)</f>
        <v>0.620770128354726</v>
      </c>
    </row>
    <row r="1530" customFormat="false" ht="15" hidden="false" customHeight="false" outlineLevel="0" collapsed="false">
      <c r="A1530" s="15" t="n">
        <v>46086</v>
      </c>
      <c r="B1530" s="14" t="s">
        <v>69</v>
      </c>
      <c r="C1530" s="14" t="s">
        <v>70</v>
      </c>
      <c r="D1530" s="14" t="s">
        <v>71</v>
      </c>
      <c r="E1530" s="14" t="s">
        <v>56</v>
      </c>
      <c r="F1530" s="14" t="s">
        <v>98</v>
      </c>
      <c r="G1530" s="14" t="s">
        <v>99</v>
      </c>
      <c r="H1530" s="0" t="n">
        <v>3</v>
      </c>
      <c r="I1530" s="16" t="n">
        <v>20.35</v>
      </c>
      <c r="J1530" s="16" t="n">
        <v>8</v>
      </c>
      <c r="K1530" s="16" t="n">
        <f aca="false">H1530*I1530</f>
        <v>61.05</v>
      </c>
      <c r="L1530" s="16" t="n">
        <f aca="false">H1530*J1530</f>
        <v>24</v>
      </c>
      <c r="M1530" s="16" t="n">
        <f aca="false">K1530-L1530</f>
        <v>37.05</v>
      </c>
      <c r="N1530" s="17" t="n">
        <f aca="false">IFERROR(M1530/K1530,0)</f>
        <v>0.606879606879607</v>
      </c>
    </row>
    <row r="1531" customFormat="false" ht="15" hidden="false" customHeight="false" outlineLevel="0" collapsed="false">
      <c r="A1531" s="15" t="n">
        <v>46086</v>
      </c>
      <c r="B1531" s="14" t="s">
        <v>81</v>
      </c>
      <c r="C1531" s="14" t="s">
        <v>82</v>
      </c>
      <c r="D1531" s="14" t="s">
        <v>83</v>
      </c>
      <c r="E1531" s="14" t="s">
        <v>76</v>
      </c>
      <c r="F1531" s="14" t="s">
        <v>77</v>
      </c>
      <c r="G1531" s="14" t="s">
        <v>78</v>
      </c>
      <c r="H1531" s="0" t="n">
        <v>5</v>
      </c>
      <c r="I1531" s="16" t="n">
        <v>39.05</v>
      </c>
      <c r="J1531" s="16" t="n">
        <v>15</v>
      </c>
      <c r="K1531" s="16" t="n">
        <f aca="false">H1531*I1531</f>
        <v>195.25</v>
      </c>
      <c r="L1531" s="16" t="n">
        <f aca="false">H1531*J1531</f>
        <v>75</v>
      </c>
      <c r="M1531" s="16" t="n">
        <f aca="false">K1531-L1531</f>
        <v>120.25</v>
      </c>
      <c r="N1531" s="17" t="n">
        <f aca="false">IFERROR(M1531/K1531,0)</f>
        <v>0.615877080665813</v>
      </c>
    </row>
    <row r="1532" customFormat="false" ht="15" hidden="false" customHeight="false" outlineLevel="0" collapsed="false">
      <c r="A1532" s="15" t="n">
        <v>46086</v>
      </c>
      <c r="B1532" s="14" t="s">
        <v>81</v>
      </c>
      <c r="C1532" s="14" t="s">
        <v>82</v>
      </c>
      <c r="D1532" s="14" t="s">
        <v>83</v>
      </c>
      <c r="E1532" s="14" t="s">
        <v>64</v>
      </c>
      <c r="F1532" s="14" t="s">
        <v>90</v>
      </c>
      <c r="G1532" s="14" t="s">
        <v>91</v>
      </c>
      <c r="H1532" s="0" t="n">
        <v>3</v>
      </c>
      <c r="I1532" s="16" t="n">
        <v>11.77</v>
      </c>
      <c r="J1532" s="16" t="n">
        <v>3.5</v>
      </c>
      <c r="K1532" s="16" t="n">
        <f aca="false">H1532*I1532</f>
        <v>35.31</v>
      </c>
      <c r="L1532" s="16" t="n">
        <f aca="false">H1532*J1532</f>
        <v>10.5</v>
      </c>
      <c r="M1532" s="16" t="n">
        <f aca="false">K1532-L1532</f>
        <v>24.81</v>
      </c>
      <c r="N1532" s="17" t="n">
        <f aca="false">IFERROR(M1532/K1532,0)</f>
        <v>0.702633814783348</v>
      </c>
    </row>
    <row r="1533" customFormat="false" ht="15" hidden="false" customHeight="false" outlineLevel="0" collapsed="false">
      <c r="A1533" s="15" t="n">
        <v>46086</v>
      </c>
      <c r="B1533" s="14" t="s">
        <v>81</v>
      </c>
      <c r="C1533" s="14" t="s">
        <v>82</v>
      </c>
      <c r="D1533" s="14" t="s">
        <v>83</v>
      </c>
      <c r="E1533" s="14" t="s">
        <v>56</v>
      </c>
      <c r="F1533" s="14" t="s">
        <v>67</v>
      </c>
      <c r="G1533" s="14" t="s">
        <v>68</v>
      </c>
      <c r="H1533" s="0" t="n">
        <v>6</v>
      </c>
      <c r="I1533" s="16" t="n">
        <v>36.04</v>
      </c>
      <c r="J1533" s="16" t="n">
        <v>15</v>
      </c>
      <c r="K1533" s="16" t="n">
        <f aca="false">H1533*I1533</f>
        <v>216.24</v>
      </c>
      <c r="L1533" s="16" t="n">
        <f aca="false">H1533*J1533</f>
        <v>90</v>
      </c>
      <c r="M1533" s="16" t="n">
        <f aca="false">K1533-L1533</f>
        <v>126.24</v>
      </c>
      <c r="N1533" s="17" t="n">
        <f aca="false">IFERROR(M1533/K1533,0)</f>
        <v>0.583795782463929</v>
      </c>
    </row>
    <row r="1534" customFormat="false" ht="15" hidden="false" customHeight="false" outlineLevel="0" collapsed="false">
      <c r="A1534" s="15" t="n">
        <v>46086</v>
      </c>
      <c r="B1534" s="14" t="s">
        <v>88</v>
      </c>
      <c r="C1534" s="14" t="s">
        <v>89</v>
      </c>
      <c r="D1534" s="14" t="s">
        <v>44</v>
      </c>
      <c r="E1534" s="14" t="s">
        <v>64</v>
      </c>
      <c r="F1534" s="14" t="s">
        <v>90</v>
      </c>
      <c r="G1534" s="14" t="s">
        <v>91</v>
      </c>
      <c r="H1534" s="0" t="n">
        <v>5</v>
      </c>
      <c r="I1534" s="16" t="n">
        <v>11.18</v>
      </c>
      <c r="J1534" s="16" t="n">
        <v>3.5</v>
      </c>
      <c r="K1534" s="16" t="n">
        <f aca="false">H1534*I1534</f>
        <v>55.9</v>
      </c>
      <c r="L1534" s="16" t="n">
        <f aca="false">H1534*J1534</f>
        <v>17.5</v>
      </c>
      <c r="M1534" s="16" t="n">
        <f aca="false">K1534-L1534</f>
        <v>38.4</v>
      </c>
      <c r="N1534" s="17" t="n">
        <f aca="false">IFERROR(M1534/K1534,0)</f>
        <v>0.686940966010733</v>
      </c>
    </row>
    <row r="1535" customFormat="false" ht="15" hidden="false" customHeight="false" outlineLevel="0" collapsed="false">
      <c r="A1535" s="15" t="n">
        <v>46086</v>
      </c>
      <c r="B1535" s="14" t="s">
        <v>88</v>
      </c>
      <c r="C1535" s="14" t="s">
        <v>89</v>
      </c>
      <c r="D1535" s="14" t="s">
        <v>44</v>
      </c>
      <c r="E1535" s="14" t="s">
        <v>64</v>
      </c>
      <c r="F1535" s="14" t="s">
        <v>65</v>
      </c>
      <c r="G1535" s="14" t="s">
        <v>66</v>
      </c>
      <c r="H1535" s="0" t="n">
        <v>2</v>
      </c>
      <c r="I1535" s="16" t="n">
        <v>74.26</v>
      </c>
      <c r="J1535" s="16" t="n">
        <v>34</v>
      </c>
      <c r="K1535" s="16" t="n">
        <f aca="false">H1535*I1535</f>
        <v>148.52</v>
      </c>
      <c r="L1535" s="16" t="n">
        <f aca="false">H1535*J1535</f>
        <v>68</v>
      </c>
      <c r="M1535" s="16" t="n">
        <f aca="false">K1535-L1535</f>
        <v>80.52</v>
      </c>
      <c r="N1535" s="17" t="n">
        <f aca="false">IFERROR(M1535/K1535,0)</f>
        <v>0.54214920549421</v>
      </c>
    </row>
    <row r="1536" customFormat="false" ht="15" hidden="false" customHeight="false" outlineLevel="0" collapsed="false">
      <c r="A1536" s="15" t="n">
        <v>46086</v>
      </c>
      <c r="B1536" s="14" t="s">
        <v>88</v>
      </c>
      <c r="C1536" s="14" t="s">
        <v>89</v>
      </c>
      <c r="D1536" s="14" t="s">
        <v>44</v>
      </c>
      <c r="E1536" s="14" t="s">
        <v>64</v>
      </c>
      <c r="F1536" s="14" t="s">
        <v>96</v>
      </c>
      <c r="G1536" s="14" t="s">
        <v>97</v>
      </c>
      <c r="H1536" s="0" t="n">
        <v>3</v>
      </c>
      <c r="I1536" s="16" t="n">
        <v>54.42</v>
      </c>
      <c r="J1536" s="16" t="n">
        <v>24</v>
      </c>
      <c r="K1536" s="16" t="n">
        <f aca="false">H1536*I1536</f>
        <v>163.26</v>
      </c>
      <c r="L1536" s="16" t="n">
        <f aca="false">H1536*J1536</f>
        <v>72</v>
      </c>
      <c r="M1536" s="16" t="n">
        <f aca="false">K1536-L1536</f>
        <v>91.26</v>
      </c>
      <c r="N1536" s="17" t="n">
        <f aca="false">IFERROR(M1536/K1536,0)</f>
        <v>0.558985667034179</v>
      </c>
    </row>
    <row r="1537" customFormat="false" ht="15" hidden="false" customHeight="false" outlineLevel="0" collapsed="false">
      <c r="A1537" s="15" t="n">
        <v>46086</v>
      </c>
      <c r="B1537" s="14" t="s">
        <v>88</v>
      </c>
      <c r="C1537" s="14" t="s">
        <v>89</v>
      </c>
      <c r="D1537" s="14" t="s">
        <v>44</v>
      </c>
      <c r="E1537" s="14" t="s">
        <v>45</v>
      </c>
      <c r="F1537" s="14" t="s">
        <v>48</v>
      </c>
      <c r="G1537" s="14" t="s">
        <v>49</v>
      </c>
      <c r="H1537" s="0" t="n">
        <v>9</v>
      </c>
      <c r="I1537" s="16" t="n">
        <v>66.25</v>
      </c>
      <c r="J1537" s="16" t="n">
        <v>27.5</v>
      </c>
      <c r="K1537" s="16" t="n">
        <f aca="false">H1537*I1537</f>
        <v>596.25</v>
      </c>
      <c r="L1537" s="16" t="n">
        <f aca="false">H1537*J1537</f>
        <v>247.5</v>
      </c>
      <c r="M1537" s="16" t="n">
        <f aca="false">K1537-L1537</f>
        <v>348.75</v>
      </c>
      <c r="N1537" s="17" t="n">
        <f aca="false">IFERROR(M1537/K1537,0)</f>
        <v>0.584905660377359</v>
      </c>
    </row>
    <row r="1538" customFormat="false" ht="15" hidden="false" customHeight="false" outlineLevel="0" collapsed="false">
      <c r="A1538" s="15" t="n">
        <v>46086</v>
      </c>
      <c r="B1538" s="14" t="s">
        <v>88</v>
      </c>
      <c r="C1538" s="14" t="s">
        <v>89</v>
      </c>
      <c r="D1538" s="14" t="s">
        <v>44</v>
      </c>
      <c r="E1538" s="14" t="s">
        <v>53</v>
      </c>
      <c r="F1538" s="14" t="s">
        <v>84</v>
      </c>
      <c r="G1538" s="14" t="s">
        <v>85</v>
      </c>
      <c r="H1538" s="0" t="n">
        <v>6</v>
      </c>
      <c r="I1538" s="16" t="n">
        <v>23.31</v>
      </c>
      <c r="J1538" s="16" t="n">
        <v>9</v>
      </c>
      <c r="K1538" s="16" t="n">
        <f aca="false">H1538*I1538</f>
        <v>139.86</v>
      </c>
      <c r="L1538" s="16" t="n">
        <f aca="false">H1538*J1538</f>
        <v>54</v>
      </c>
      <c r="M1538" s="16" t="n">
        <f aca="false">K1538-L1538</f>
        <v>85.86</v>
      </c>
      <c r="N1538" s="17" t="n">
        <f aca="false">IFERROR(M1538/K1538,0)</f>
        <v>0.613899613899614</v>
      </c>
    </row>
    <row r="1539" customFormat="false" ht="15" hidden="false" customHeight="false" outlineLevel="0" collapsed="false">
      <c r="A1539" s="15" t="n">
        <v>46086</v>
      </c>
      <c r="B1539" s="14" t="s">
        <v>88</v>
      </c>
      <c r="C1539" s="14" t="s">
        <v>89</v>
      </c>
      <c r="D1539" s="14" t="s">
        <v>44</v>
      </c>
      <c r="E1539" s="14" t="s">
        <v>56</v>
      </c>
      <c r="F1539" s="14" t="s">
        <v>98</v>
      </c>
      <c r="G1539" s="14" t="s">
        <v>99</v>
      </c>
      <c r="H1539" s="0" t="n">
        <v>2</v>
      </c>
      <c r="I1539" s="16" t="n">
        <v>21.4</v>
      </c>
      <c r="J1539" s="16" t="n">
        <v>8</v>
      </c>
      <c r="K1539" s="16" t="n">
        <f aca="false">H1539*I1539</f>
        <v>42.8</v>
      </c>
      <c r="L1539" s="16" t="n">
        <f aca="false">H1539*J1539</f>
        <v>16</v>
      </c>
      <c r="M1539" s="16" t="n">
        <f aca="false">K1539-L1539</f>
        <v>26.8</v>
      </c>
      <c r="N1539" s="17" t="n">
        <f aca="false">IFERROR(M1539/K1539,0)</f>
        <v>0.626168224299065</v>
      </c>
    </row>
    <row r="1540" customFormat="false" ht="15" hidden="false" customHeight="false" outlineLevel="0" collapsed="false">
      <c r="A1540" s="15" t="n">
        <v>46087</v>
      </c>
      <c r="B1540" s="14" t="s">
        <v>42</v>
      </c>
      <c r="C1540" s="14" t="s">
        <v>43</v>
      </c>
      <c r="D1540" s="14" t="s">
        <v>44</v>
      </c>
      <c r="E1540" s="14" t="s">
        <v>64</v>
      </c>
      <c r="F1540" s="14" t="s">
        <v>90</v>
      </c>
      <c r="G1540" s="14" t="s">
        <v>91</v>
      </c>
      <c r="H1540" s="0" t="n">
        <v>5</v>
      </c>
      <c r="I1540" s="16" t="n">
        <v>11.32</v>
      </c>
      <c r="J1540" s="16" t="n">
        <v>3.5</v>
      </c>
      <c r="K1540" s="16" t="n">
        <f aca="false">H1540*I1540</f>
        <v>56.6</v>
      </c>
      <c r="L1540" s="16" t="n">
        <f aca="false">H1540*J1540</f>
        <v>17.5</v>
      </c>
      <c r="M1540" s="16" t="n">
        <f aca="false">K1540-L1540</f>
        <v>39.1</v>
      </c>
      <c r="N1540" s="17" t="n">
        <f aca="false">IFERROR(M1540/K1540,0)</f>
        <v>0.690812720848057</v>
      </c>
    </row>
    <row r="1541" customFormat="false" ht="15" hidden="false" customHeight="false" outlineLevel="0" collapsed="false">
      <c r="A1541" s="15" t="n">
        <v>46087</v>
      </c>
      <c r="B1541" s="14" t="s">
        <v>42</v>
      </c>
      <c r="C1541" s="14" t="s">
        <v>43</v>
      </c>
      <c r="D1541" s="14" t="s">
        <v>44</v>
      </c>
      <c r="E1541" s="14" t="s">
        <v>64</v>
      </c>
      <c r="F1541" s="14" t="s">
        <v>90</v>
      </c>
      <c r="G1541" s="14" t="s">
        <v>91</v>
      </c>
      <c r="H1541" s="0" t="n">
        <v>6</v>
      </c>
      <c r="I1541" s="16" t="n">
        <v>11.56</v>
      </c>
      <c r="J1541" s="16" t="n">
        <v>3.5</v>
      </c>
      <c r="K1541" s="16" t="n">
        <f aca="false">H1541*I1541</f>
        <v>69.36</v>
      </c>
      <c r="L1541" s="16" t="n">
        <f aca="false">H1541*J1541</f>
        <v>21</v>
      </c>
      <c r="M1541" s="16" t="n">
        <f aca="false">K1541-L1541</f>
        <v>48.36</v>
      </c>
      <c r="N1541" s="17" t="n">
        <f aca="false">IFERROR(M1541/K1541,0)</f>
        <v>0.697231833910035</v>
      </c>
    </row>
    <row r="1542" customFormat="false" ht="15" hidden="false" customHeight="false" outlineLevel="0" collapsed="false">
      <c r="A1542" s="15" t="n">
        <v>46087</v>
      </c>
      <c r="B1542" s="14" t="s">
        <v>42</v>
      </c>
      <c r="C1542" s="14" t="s">
        <v>43</v>
      </c>
      <c r="D1542" s="14" t="s">
        <v>44</v>
      </c>
      <c r="E1542" s="14" t="s">
        <v>56</v>
      </c>
      <c r="F1542" s="14" t="s">
        <v>98</v>
      </c>
      <c r="G1542" s="14" t="s">
        <v>99</v>
      </c>
      <c r="H1542" s="0" t="n">
        <v>1</v>
      </c>
      <c r="I1542" s="16" t="n">
        <v>21.98</v>
      </c>
      <c r="J1542" s="16" t="n">
        <v>8</v>
      </c>
      <c r="K1542" s="16" t="n">
        <f aca="false">H1542*I1542</f>
        <v>21.98</v>
      </c>
      <c r="L1542" s="16" t="n">
        <f aca="false">H1542*J1542</f>
        <v>8</v>
      </c>
      <c r="M1542" s="16" t="n">
        <f aca="false">K1542-L1542</f>
        <v>13.98</v>
      </c>
      <c r="N1542" s="17" t="n">
        <f aca="false">IFERROR(M1542/K1542,0)</f>
        <v>0.636032757051865</v>
      </c>
    </row>
    <row r="1543" customFormat="false" ht="15" hidden="false" customHeight="false" outlineLevel="0" collapsed="false">
      <c r="A1543" s="15" t="n">
        <v>46087</v>
      </c>
      <c r="B1543" s="14" t="s">
        <v>42</v>
      </c>
      <c r="C1543" s="14" t="s">
        <v>43</v>
      </c>
      <c r="D1543" s="14" t="s">
        <v>44</v>
      </c>
      <c r="E1543" s="14" t="s">
        <v>45</v>
      </c>
      <c r="F1543" s="14" t="s">
        <v>72</v>
      </c>
      <c r="G1543" s="14" t="s">
        <v>73</v>
      </c>
      <c r="H1543" s="0" t="n">
        <v>11</v>
      </c>
      <c r="I1543" s="16" t="n">
        <v>49.15</v>
      </c>
      <c r="J1543" s="16" t="n">
        <v>21</v>
      </c>
      <c r="K1543" s="16" t="n">
        <f aca="false">H1543*I1543</f>
        <v>540.65</v>
      </c>
      <c r="L1543" s="16" t="n">
        <f aca="false">H1543*J1543</f>
        <v>231</v>
      </c>
      <c r="M1543" s="16" t="n">
        <f aca="false">K1543-L1543</f>
        <v>309.65</v>
      </c>
      <c r="N1543" s="17" t="n">
        <f aca="false">IFERROR(M1543/K1543,0)</f>
        <v>0.572736520854527</v>
      </c>
    </row>
    <row r="1544" customFormat="false" ht="15" hidden="false" customHeight="false" outlineLevel="0" collapsed="false">
      <c r="A1544" s="15" t="n">
        <v>46087</v>
      </c>
      <c r="B1544" s="14" t="s">
        <v>42</v>
      </c>
      <c r="C1544" s="14" t="s">
        <v>43</v>
      </c>
      <c r="D1544" s="14" t="s">
        <v>44</v>
      </c>
      <c r="E1544" s="14" t="s">
        <v>64</v>
      </c>
      <c r="F1544" s="14" t="s">
        <v>90</v>
      </c>
      <c r="G1544" s="14" t="s">
        <v>91</v>
      </c>
      <c r="H1544" s="0" t="n">
        <v>9</v>
      </c>
      <c r="I1544" s="16" t="n">
        <v>11.07</v>
      </c>
      <c r="J1544" s="16" t="n">
        <v>3.5</v>
      </c>
      <c r="K1544" s="16" t="n">
        <f aca="false">H1544*I1544</f>
        <v>99.63</v>
      </c>
      <c r="L1544" s="16" t="n">
        <f aca="false">H1544*J1544</f>
        <v>31.5</v>
      </c>
      <c r="M1544" s="16" t="n">
        <f aca="false">K1544-L1544</f>
        <v>68.13</v>
      </c>
      <c r="N1544" s="17" t="n">
        <f aca="false">IFERROR(M1544/K1544,0)</f>
        <v>0.68383017163505</v>
      </c>
    </row>
    <row r="1545" customFormat="false" ht="15" hidden="false" customHeight="false" outlineLevel="0" collapsed="false">
      <c r="A1545" s="15" t="n">
        <v>46087</v>
      </c>
      <c r="B1545" s="14" t="s">
        <v>42</v>
      </c>
      <c r="C1545" s="14" t="s">
        <v>43</v>
      </c>
      <c r="D1545" s="14" t="s">
        <v>44</v>
      </c>
      <c r="E1545" s="14" t="s">
        <v>53</v>
      </c>
      <c r="F1545" s="14" t="s">
        <v>92</v>
      </c>
      <c r="G1545" s="14" t="s">
        <v>93</v>
      </c>
      <c r="H1545" s="0" t="n">
        <v>4</v>
      </c>
      <c r="I1545" s="16" t="n">
        <v>115.12</v>
      </c>
      <c r="J1545" s="16" t="n">
        <v>52</v>
      </c>
      <c r="K1545" s="16" t="n">
        <f aca="false">H1545*I1545</f>
        <v>460.48</v>
      </c>
      <c r="L1545" s="16" t="n">
        <f aca="false">H1545*J1545</f>
        <v>208</v>
      </c>
      <c r="M1545" s="16" t="n">
        <f aca="false">K1545-L1545</f>
        <v>252.48</v>
      </c>
      <c r="N1545" s="17" t="n">
        <f aca="false">IFERROR(M1545/K1545,0)</f>
        <v>0.548297428769979</v>
      </c>
    </row>
    <row r="1546" customFormat="false" ht="15" hidden="false" customHeight="false" outlineLevel="0" collapsed="false">
      <c r="A1546" s="15" t="n">
        <v>46087</v>
      </c>
      <c r="B1546" s="14" t="s">
        <v>50</v>
      </c>
      <c r="C1546" s="14" t="s">
        <v>51</v>
      </c>
      <c r="D1546" s="14" t="s">
        <v>52</v>
      </c>
      <c r="E1546" s="14" t="s">
        <v>76</v>
      </c>
      <c r="F1546" s="14" t="s">
        <v>100</v>
      </c>
      <c r="G1546" s="14" t="s">
        <v>101</v>
      </c>
      <c r="H1546" s="0" t="n">
        <v>9</v>
      </c>
      <c r="I1546" s="16" t="n">
        <v>15.7</v>
      </c>
      <c r="J1546" s="16" t="n">
        <v>5.5</v>
      </c>
      <c r="K1546" s="16" t="n">
        <f aca="false">H1546*I1546</f>
        <v>141.3</v>
      </c>
      <c r="L1546" s="16" t="n">
        <f aca="false">H1546*J1546</f>
        <v>49.5</v>
      </c>
      <c r="M1546" s="16" t="n">
        <f aca="false">K1546-L1546</f>
        <v>91.8</v>
      </c>
      <c r="N1546" s="17" t="n">
        <f aca="false">IFERROR(M1546/K1546,0)</f>
        <v>0.64968152866242</v>
      </c>
    </row>
    <row r="1547" customFormat="false" ht="15" hidden="false" customHeight="false" outlineLevel="0" collapsed="false">
      <c r="A1547" s="15" t="n">
        <v>46087</v>
      </c>
      <c r="B1547" s="14" t="s">
        <v>50</v>
      </c>
      <c r="C1547" s="14" t="s">
        <v>51</v>
      </c>
      <c r="D1547" s="14" t="s">
        <v>52</v>
      </c>
      <c r="E1547" s="14" t="s">
        <v>56</v>
      </c>
      <c r="F1547" s="14" t="s">
        <v>57</v>
      </c>
      <c r="G1547" s="14" t="s">
        <v>58</v>
      </c>
      <c r="H1547" s="0" t="n">
        <v>10</v>
      </c>
      <c r="I1547" s="16" t="n">
        <v>25.87</v>
      </c>
      <c r="J1547" s="16" t="n">
        <v>10</v>
      </c>
      <c r="K1547" s="16" t="n">
        <f aca="false">H1547*I1547</f>
        <v>258.7</v>
      </c>
      <c r="L1547" s="16" t="n">
        <f aca="false">H1547*J1547</f>
        <v>100</v>
      </c>
      <c r="M1547" s="16" t="n">
        <f aca="false">K1547-L1547</f>
        <v>158.7</v>
      </c>
      <c r="N1547" s="17" t="n">
        <f aca="false">IFERROR(M1547/K1547,0)</f>
        <v>0.613451874758408</v>
      </c>
    </row>
    <row r="1548" customFormat="false" ht="15" hidden="false" customHeight="false" outlineLevel="0" collapsed="false">
      <c r="A1548" s="15" t="n">
        <v>46087</v>
      </c>
      <c r="B1548" s="14" t="s">
        <v>50</v>
      </c>
      <c r="C1548" s="14" t="s">
        <v>51</v>
      </c>
      <c r="D1548" s="14" t="s">
        <v>52</v>
      </c>
      <c r="E1548" s="14" t="s">
        <v>53</v>
      </c>
      <c r="F1548" s="14" t="s">
        <v>74</v>
      </c>
      <c r="G1548" s="14" t="s">
        <v>75</v>
      </c>
      <c r="H1548" s="0" t="n">
        <v>8</v>
      </c>
      <c r="I1548" s="16" t="n">
        <v>83.76</v>
      </c>
      <c r="J1548" s="16" t="n">
        <v>38</v>
      </c>
      <c r="K1548" s="16" t="n">
        <f aca="false">H1548*I1548</f>
        <v>670.08</v>
      </c>
      <c r="L1548" s="16" t="n">
        <f aca="false">H1548*J1548</f>
        <v>304</v>
      </c>
      <c r="M1548" s="16" t="n">
        <f aca="false">K1548-L1548</f>
        <v>366.08</v>
      </c>
      <c r="N1548" s="17" t="n">
        <f aca="false">IFERROR(M1548/K1548,0)</f>
        <v>0.546322827125119</v>
      </c>
    </row>
    <row r="1549" customFormat="false" ht="15" hidden="false" customHeight="false" outlineLevel="0" collapsed="false">
      <c r="A1549" s="15" t="n">
        <v>46087</v>
      </c>
      <c r="B1549" s="14" t="s">
        <v>59</v>
      </c>
      <c r="C1549" s="14" t="s">
        <v>60</v>
      </c>
      <c r="D1549" s="14" t="s">
        <v>61</v>
      </c>
      <c r="E1549" s="14" t="s">
        <v>64</v>
      </c>
      <c r="F1549" s="14" t="s">
        <v>94</v>
      </c>
      <c r="G1549" s="14" t="s">
        <v>95</v>
      </c>
      <c r="H1549" s="0" t="n">
        <v>4</v>
      </c>
      <c r="I1549" s="16" t="n">
        <v>93.62</v>
      </c>
      <c r="J1549" s="16" t="n">
        <v>42</v>
      </c>
      <c r="K1549" s="16" t="n">
        <f aca="false">H1549*I1549</f>
        <v>374.48</v>
      </c>
      <c r="L1549" s="16" t="n">
        <f aca="false">H1549*J1549</f>
        <v>168</v>
      </c>
      <c r="M1549" s="16" t="n">
        <f aca="false">K1549-L1549</f>
        <v>206.48</v>
      </c>
      <c r="N1549" s="17" t="n">
        <f aca="false">IFERROR(M1549/K1549,0)</f>
        <v>0.551377910702841</v>
      </c>
    </row>
    <row r="1550" customFormat="false" ht="15" hidden="false" customHeight="false" outlineLevel="0" collapsed="false">
      <c r="A1550" s="15" t="n">
        <v>46087</v>
      </c>
      <c r="B1550" s="14" t="s">
        <v>59</v>
      </c>
      <c r="C1550" s="14" t="s">
        <v>60</v>
      </c>
      <c r="D1550" s="14" t="s">
        <v>61</v>
      </c>
      <c r="E1550" s="14" t="s">
        <v>45</v>
      </c>
      <c r="F1550" s="14" t="s">
        <v>48</v>
      </c>
      <c r="G1550" s="14" t="s">
        <v>49</v>
      </c>
      <c r="H1550" s="0" t="n">
        <v>3</v>
      </c>
      <c r="I1550" s="16" t="n">
        <v>67.11</v>
      </c>
      <c r="J1550" s="16" t="n">
        <v>27.5</v>
      </c>
      <c r="K1550" s="16" t="n">
        <f aca="false">H1550*I1550</f>
        <v>201.33</v>
      </c>
      <c r="L1550" s="16" t="n">
        <f aca="false">H1550*J1550</f>
        <v>82.5</v>
      </c>
      <c r="M1550" s="16" t="n">
        <f aca="false">K1550-L1550</f>
        <v>118.83</v>
      </c>
      <c r="N1550" s="17" t="n">
        <f aca="false">IFERROR(M1550/K1550,0)</f>
        <v>0.590225003725227</v>
      </c>
    </row>
    <row r="1551" customFormat="false" ht="15" hidden="false" customHeight="false" outlineLevel="0" collapsed="false">
      <c r="A1551" s="15" t="n">
        <v>46087</v>
      </c>
      <c r="B1551" s="14" t="s">
        <v>59</v>
      </c>
      <c r="C1551" s="14" t="s">
        <v>60</v>
      </c>
      <c r="D1551" s="14" t="s">
        <v>61</v>
      </c>
      <c r="E1551" s="14" t="s">
        <v>76</v>
      </c>
      <c r="F1551" s="14" t="s">
        <v>79</v>
      </c>
      <c r="G1551" s="14" t="s">
        <v>80</v>
      </c>
      <c r="H1551" s="0" t="n">
        <v>5</v>
      </c>
      <c r="I1551" s="16" t="n">
        <v>28.51</v>
      </c>
      <c r="J1551" s="16" t="n">
        <v>11</v>
      </c>
      <c r="K1551" s="16" t="n">
        <f aca="false">H1551*I1551</f>
        <v>142.55</v>
      </c>
      <c r="L1551" s="16" t="n">
        <f aca="false">H1551*J1551</f>
        <v>55</v>
      </c>
      <c r="M1551" s="16" t="n">
        <f aca="false">K1551-L1551</f>
        <v>87.55</v>
      </c>
      <c r="N1551" s="17" t="n">
        <f aca="false">IFERROR(M1551/K1551,0)</f>
        <v>0.614170466502982</v>
      </c>
    </row>
    <row r="1552" customFormat="false" ht="15" hidden="false" customHeight="false" outlineLevel="0" collapsed="false">
      <c r="A1552" s="15" t="n">
        <v>46087</v>
      </c>
      <c r="B1552" s="14" t="s">
        <v>59</v>
      </c>
      <c r="C1552" s="14" t="s">
        <v>60</v>
      </c>
      <c r="D1552" s="14" t="s">
        <v>61</v>
      </c>
      <c r="E1552" s="14" t="s">
        <v>64</v>
      </c>
      <c r="F1552" s="14" t="s">
        <v>94</v>
      </c>
      <c r="G1552" s="14" t="s">
        <v>95</v>
      </c>
      <c r="H1552" s="0" t="n">
        <v>5</v>
      </c>
      <c r="I1552" s="16" t="n">
        <v>94.34</v>
      </c>
      <c r="J1552" s="16" t="n">
        <v>42</v>
      </c>
      <c r="K1552" s="16" t="n">
        <f aca="false">H1552*I1552</f>
        <v>471.7</v>
      </c>
      <c r="L1552" s="16" t="n">
        <f aca="false">H1552*J1552</f>
        <v>210</v>
      </c>
      <c r="M1552" s="16" t="n">
        <f aca="false">K1552-L1552</f>
        <v>261.7</v>
      </c>
      <c r="N1552" s="17" t="n">
        <f aca="false">IFERROR(M1552/K1552,0)</f>
        <v>0.554801780792877</v>
      </c>
    </row>
    <row r="1553" customFormat="false" ht="15" hidden="false" customHeight="false" outlineLevel="0" collapsed="false">
      <c r="A1553" s="15" t="n">
        <v>46087</v>
      </c>
      <c r="B1553" s="14" t="s">
        <v>59</v>
      </c>
      <c r="C1553" s="14" t="s">
        <v>60</v>
      </c>
      <c r="D1553" s="14" t="s">
        <v>61</v>
      </c>
      <c r="E1553" s="14" t="s">
        <v>45</v>
      </c>
      <c r="F1553" s="14" t="s">
        <v>62</v>
      </c>
      <c r="G1553" s="14" t="s">
        <v>63</v>
      </c>
      <c r="H1553" s="0" t="n">
        <v>4</v>
      </c>
      <c r="I1553" s="16" t="n">
        <v>16.9</v>
      </c>
      <c r="J1553" s="16" t="n">
        <v>6.5</v>
      </c>
      <c r="K1553" s="16" t="n">
        <f aca="false">H1553*I1553</f>
        <v>67.6</v>
      </c>
      <c r="L1553" s="16" t="n">
        <f aca="false">H1553*J1553</f>
        <v>26</v>
      </c>
      <c r="M1553" s="16" t="n">
        <f aca="false">K1553-L1553</f>
        <v>41.6</v>
      </c>
      <c r="N1553" s="17" t="n">
        <f aca="false">IFERROR(M1553/K1553,0)</f>
        <v>0.615384615384615</v>
      </c>
    </row>
    <row r="1554" customFormat="false" ht="15" hidden="false" customHeight="false" outlineLevel="0" collapsed="false">
      <c r="A1554" s="15" t="n">
        <v>46087</v>
      </c>
      <c r="B1554" s="14" t="s">
        <v>59</v>
      </c>
      <c r="C1554" s="14" t="s">
        <v>60</v>
      </c>
      <c r="D1554" s="14" t="s">
        <v>61</v>
      </c>
      <c r="E1554" s="14" t="s">
        <v>76</v>
      </c>
      <c r="F1554" s="14" t="s">
        <v>79</v>
      </c>
      <c r="G1554" s="14" t="s">
        <v>80</v>
      </c>
      <c r="H1554" s="0" t="n">
        <v>2</v>
      </c>
      <c r="I1554" s="16" t="n">
        <v>29.69</v>
      </c>
      <c r="J1554" s="16" t="n">
        <v>11</v>
      </c>
      <c r="K1554" s="16" t="n">
        <f aca="false">H1554*I1554</f>
        <v>59.38</v>
      </c>
      <c r="L1554" s="16" t="n">
        <f aca="false">H1554*J1554</f>
        <v>22</v>
      </c>
      <c r="M1554" s="16" t="n">
        <f aca="false">K1554-L1554</f>
        <v>37.38</v>
      </c>
      <c r="N1554" s="17" t="n">
        <f aca="false">IFERROR(M1554/K1554,0)</f>
        <v>0.629504883799259</v>
      </c>
    </row>
    <row r="1555" customFormat="false" ht="15" hidden="false" customHeight="false" outlineLevel="0" collapsed="false">
      <c r="A1555" s="15" t="n">
        <v>46087</v>
      </c>
      <c r="B1555" s="14" t="s">
        <v>69</v>
      </c>
      <c r="C1555" s="14" t="s">
        <v>70</v>
      </c>
      <c r="D1555" s="14" t="s">
        <v>71</v>
      </c>
      <c r="E1555" s="14" t="s">
        <v>76</v>
      </c>
      <c r="F1555" s="14" t="s">
        <v>77</v>
      </c>
      <c r="G1555" s="14" t="s">
        <v>78</v>
      </c>
      <c r="H1555" s="0" t="n">
        <v>1</v>
      </c>
      <c r="I1555" s="16" t="n">
        <v>40.45</v>
      </c>
      <c r="J1555" s="16" t="n">
        <v>15</v>
      </c>
      <c r="K1555" s="16" t="n">
        <f aca="false">H1555*I1555</f>
        <v>40.45</v>
      </c>
      <c r="L1555" s="16" t="n">
        <f aca="false">H1555*J1555</f>
        <v>15</v>
      </c>
      <c r="M1555" s="16" t="n">
        <f aca="false">K1555-L1555</f>
        <v>25.45</v>
      </c>
      <c r="N1555" s="17" t="n">
        <f aca="false">IFERROR(M1555/K1555,0)</f>
        <v>0.629171817058096</v>
      </c>
    </row>
    <row r="1556" customFormat="false" ht="15" hidden="false" customHeight="false" outlineLevel="0" collapsed="false">
      <c r="A1556" s="15" t="n">
        <v>46087</v>
      </c>
      <c r="B1556" s="14" t="s">
        <v>69</v>
      </c>
      <c r="C1556" s="14" t="s">
        <v>70</v>
      </c>
      <c r="D1556" s="14" t="s">
        <v>71</v>
      </c>
      <c r="E1556" s="14" t="s">
        <v>45</v>
      </c>
      <c r="F1556" s="14" t="s">
        <v>72</v>
      </c>
      <c r="G1556" s="14" t="s">
        <v>73</v>
      </c>
      <c r="H1556" s="0" t="n">
        <v>7</v>
      </c>
      <c r="I1556" s="16" t="n">
        <v>50.2</v>
      </c>
      <c r="J1556" s="16" t="n">
        <v>21</v>
      </c>
      <c r="K1556" s="16" t="n">
        <f aca="false">H1556*I1556</f>
        <v>351.4</v>
      </c>
      <c r="L1556" s="16" t="n">
        <f aca="false">H1556*J1556</f>
        <v>147</v>
      </c>
      <c r="M1556" s="16" t="n">
        <f aca="false">K1556-L1556</f>
        <v>204.4</v>
      </c>
      <c r="N1556" s="17" t="n">
        <f aca="false">IFERROR(M1556/K1556,0)</f>
        <v>0.581673306772908</v>
      </c>
    </row>
    <row r="1557" customFormat="false" ht="15" hidden="false" customHeight="false" outlineLevel="0" collapsed="false">
      <c r="A1557" s="15" t="n">
        <v>46087</v>
      </c>
      <c r="B1557" s="14" t="s">
        <v>81</v>
      </c>
      <c r="C1557" s="14" t="s">
        <v>82</v>
      </c>
      <c r="D1557" s="14" t="s">
        <v>83</v>
      </c>
      <c r="E1557" s="14" t="s">
        <v>76</v>
      </c>
      <c r="F1557" s="14" t="s">
        <v>79</v>
      </c>
      <c r="G1557" s="14" t="s">
        <v>80</v>
      </c>
      <c r="H1557" s="0" t="n">
        <v>6</v>
      </c>
      <c r="I1557" s="16" t="n">
        <v>29.01</v>
      </c>
      <c r="J1557" s="16" t="n">
        <v>11</v>
      </c>
      <c r="K1557" s="16" t="n">
        <f aca="false">H1557*I1557</f>
        <v>174.06</v>
      </c>
      <c r="L1557" s="16" t="n">
        <f aca="false">H1557*J1557</f>
        <v>66</v>
      </c>
      <c r="M1557" s="16" t="n">
        <f aca="false">K1557-L1557</f>
        <v>108.06</v>
      </c>
      <c r="N1557" s="17" t="n">
        <f aca="false">IFERROR(M1557/K1557,0)</f>
        <v>0.620820406756291</v>
      </c>
    </row>
    <row r="1558" customFormat="false" ht="15" hidden="false" customHeight="false" outlineLevel="0" collapsed="false">
      <c r="A1558" s="15" t="n">
        <v>46087</v>
      </c>
      <c r="B1558" s="14" t="s">
        <v>81</v>
      </c>
      <c r="C1558" s="14" t="s">
        <v>82</v>
      </c>
      <c r="D1558" s="14" t="s">
        <v>83</v>
      </c>
      <c r="E1558" s="14" t="s">
        <v>76</v>
      </c>
      <c r="F1558" s="14" t="s">
        <v>100</v>
      </c>
      <c r="G1558" s="14" t="s">
        <v>101</v>
      </c>
      <c r="H1558" s="0" t="n">
        <v>5</v>
      </c>
      <c r="I1558" s="16" t="n">
        <v>15.13</v>
      </c>
      <c r="J1558" s="16" t="n">
        <v>5.5</v>
      </c>
      <c r="K1558" s="16" t="n">
        <f aca="false">H1558*I1558</f>
        <v>75.65</v>
      </c>
      <c r="L1558" s="16" t="n">
        <f aca="false">H1558*J1558</f>
        <v>27.5</v>
      </c>
      <c r="M1558" s="16" t="n">
        <f aca="false">K1558-L1558</f>
        <v>48.15</v>
      </c>
      <c r="N1558" s="17" t="n">
        <f aca="false">IFERROR(M1558/K1558,0)</f>
        <v>0.636483807005948</v>
      </c>
    </row>
    <row r="1559" customFormat="false" ht="15" hidden="false" customHeight="false" outlineLevel="0" collapsed="false">
      <c r="A1559" s="15" t="n">
        <v>46087</v>
      </c>
      <c r="B1559" s="14" t="s">
        <v>81</v>
      </c>
      <c r="C1559" s="14" t="s">
        <v>82</v>
      </c>
      <c r="D1559" s="14" t="s">
        <v>83</v>
      </c>
      <c r="E1559" s="14" t="s">
        <v>45</v>
      </c>
      <c r="F1559" s="14" t="s">
        <v>72</v>
      </c>
      <c r="G1559" s="14" t="s">
        <v>73</v>
      </c>
      <c r="H1559" s="0" t="n">
        <v>2</v>
      </c>
      <c r="I1559" s="16" t="n">
        <v>50.71</v>
      </c>
      <c r="J1559" s="16" t="n">
        <v>21</v>
      </c>
      <c r="K1559" s="16" t="n">
        <f aca="false">H1559*I1559</f>
        <v>101.42</v>
      </c>
      <c r="L1559" s="16" t="n">
        <f aca="false">H1559*J1559</f>
        <v>42</v>
      </c>
      <c r="M1559" s="16" t="n">
        <f aca="false">K1559-L1559</f>
        <v>59.42</v>
      </c>
      <c r="N1559" s="17" t="n">
        <f aca="false">IFERROR(M1559/K1559,0)</f>
        <v>0.585880496943404</v>
      </c>
    </row>
    <row r="1560" customFormat="false" ht="15" hidden="false" customHeight="false" outlineLevel="0" collapsed="false">
      <c r="A1560" s="15" t="n">
        <v>46087</v>
      </c>
      <c r="B1560" s="14" t="s">
        <v>81</v>
      </c>
      <c r="C1560" s="14" t="s">
        <v>82</v>
      </c>
      <c r="D1560" s="14" t="s">
        <v>83</v>
      </c>
      <c r="E1560" s="14" t="s">
        <v>53</v>
      </c>
      <c r="F1560" s="14" t="s">
        <v>92</v>
      </c>
      <c r="G1560" s="14" t="s">
        <v>93</v>
      </c>
      <c r="H1560" s="0" t="n">
        <v>6</v>
      </c>
      <c r="I1560" s="16" t="n">
        <v>115.23</v>
      </c>
      <c r="J1560" s="16" t="n">
        <v>52</v>
      </c>
      <c r="K1560" s="16" t="n">
        <f aca="false">H1560*I1560</f>
        <v>691.38</v>
      </c>
      <c r="L1560" s="16" t="n">
        <f aca="false">H1560*J1560</f>
        <v>312</v>
      </c>
      <c r="M1560" s="16" t="n">
        <f aca="false">K1560-L1560</f>
        <v>379.38</v>
      </c>
      <c r="N1560" s="17" t="n">
        <f aca="false">IFERROR(M1560/K1560,0)</f>
        <v>0.548728629697127</v>
      </c>
    </row>
    <row r="1561" customFormat="false" ht="15" hidden="false" customHeight="false" outlineLevel="0" collapsed="false">
      <c r="A1561" s="15" t="n">
        <v>46087</v>
      </c>
      <c r="B1561" s="14" t="s">
        <v>81</v>
      </c>
      <c r="C1561" s="14" t="s">
        <v>82</v>
      </c>
      <c r="D1561" s="14" t="s">
        <v>83</v>
      </c>
      <c r="E1561" s="14" t="s">
        <v>76</v>
      </c>
      <c r="F1561" s="14" t="s">
        <v>77</v>
      </c>
      <c r="G1561" s="14" t="s">
        <v>78</v>
      </c>
      <c r="H1561" s="0" t="n">
        <v>4</v>
      </c>
      <c r="I1561" s="16" t="n">
        <v>39.86</v>
      </c>
      <c r="J1561" s="16" t="n">
        <v>15</v>
      </c>
      <c r="K1561" s="16" t="n">
        <f aca="false">H1561*I1561</f>
        <v>159.44</v>
      </c>
      <c r="L1561" s="16" t="n">
        <f aca="false">H1561*J1561</f>
        <v>60</v>
      </c>
      <c r="M1561" s="16" t="n">
        <f aca="false">K1561-L1561</f>
        <v>99.44</v>
      </c>
      <c r="N1561" s="17" t="n">
        <f aca="false">IFERROR(M1561/K1561,0)</f>
        <v>0.623682890115404</v>
      </c>
    </row>
    <row r="1562" customFormat="false" ht="15" hidden="false" customHeight="false" outlineLevel="0" collapsed="false">
      <c r="A1562" s="15" t="n">
        <v>46087</v>
      </c>
      <c r="B1562" s="14" t="s">
        <v>88</v>
      </c>
      <c r="C1562" s="14" t="s">
        <v>89</v>
      </c>
      <c r="D1562" s="14" t="s">
        <v>44</v>
      </c>
      <c r="E1562" s="14" t="s">
        <v>53</v>
      </c>
      <c r="F1562" s="14" t="s">
        <v>84</v>
      </c>
      <c r="G1562" s="14" t="s">
        <v>85</v>
      </c>
      <c r="H1562" s="0" t="n">
        <v>2</v>
      </c>
      <c r="I1562" s="16" t="n">
        <v>24.68</v>
      </c>
      <c r="J1562" s="16" t="n">
        <v>9</v>
      </c>
      <c r="K1562" s="16" t="n">
        <f aca="false">H1562*I1562</f>
        <v>49.36</v>
      </c>
      <c r="L1562" s="16" t="n">
        <f aca="false">H1562*J1562</f>
        <v>18</v>
      </c>
      <c r="M1562" s="16" t="n">
        <f aca="false">K1562-L1562</f>
        <v>31.36</v>
      </c>
      <c r="N1562" s="17" t="n">
        <f aca="false">IFERROR(M1562/K1562,0)</f>
        <v>0.635332252836305</v>
      </c>
    </row>
    <row r="1563" customFormat="false" ht="15" hidden="false" customHeight="false" outlineLevel="0" collapsed="false">
      <c r="A1563" s="15" t="n">
        <v>46087</v>
      </c>
      <c r="B1563" s="14" t="s">
        <v>88</v>
      </c>
      <c r="C1563" s="14" t="s">
        <v>89</v>
      </c>
      <c r="D1563" s="14" t="s">
        <v>44</v>
      </c>
      <c r="E1563" s="14" t="s">
        <v>56</v>
      </c>
      <c r="F1563" s="14" t="s">
        <v>86</v>
      </c>
      <c r="G1563" s="14" t="s">
        <v>87</v>
      </c>
      <c r="H1563" s="0" t="n">
        <v>6</v>
      </c>
      <c r="I1563" s="16" t="n">
        <v>14.12</v>
      </c>
      <c r="J1563" s="16" t="n">
        <v>5</v>
      </c>
      <c r="K1563" s="16" t="n">
        <f aca="false">H1563*I1563</f>
        <v>84.72</v>
      </c>
      <c r="L1563" s="16" t="n">
        <f aca="false">H1563*J1563</f>
        <v>30</v>
      </c>
      <c r="M1563" s="16" t="n">
        <f aca="false">K1563-L1563</f>
        <v>54.72</v>
      </c>
      <c r="N1563" s="17" t="n">
        <f aca="false">IFERROR(M1563/K1563,0)</f>
        <v>0.645892351274788</v>
      </c>
    </row>
    <row r="1564" customFormat="false" ht="15" hidden="false" customHeight="false" outlineLevel="0" collapsed="false">
      <c r="A1564" s="15" t="n">
        <v>46087</v>
      </c>
      <c r="B1564" s="14" t="s">
        <v>88</v>
      </c>
      <c r="C1564" s="14" t="s">
        <v>89</v>
      </c>
      <c r="D1564" s="14" t="s">
        <v>44</v>
      </c>
      <c r="E1564" s="14" t="s">
        <v>76</v>
      </c>
      <c r="F1564" s="14" t="s">
        <v>100</v>
      </c>
      <c r="G1564" s="14" t="s">
        <v>101</v>
      </c>
      <c r="H1564" s="0" t="n">
        <v>4</v>
      </c>
      <c r="I1564" s="16" t="n">
        <v>15.52</v>
      </c>
      <c r="J1564" s="16" t="n">
        <v>5.5</v>
      </c>
      <c r="K1564" s="16" t="n">
        <f aca="false">H1564*I1564</f>
        <v>62.08</v>
      </c>
      <c r="L1564" s="16" t="n">
        <f aca="false">H1564*J1564</f>
        <v>22</v>
      </c>
      <c r="M1564" s="16" t="n">
        <f aca="false">K1564-L1564</f>
        <v>40.08</v>
      </c>
      <c r="N1564" s="17" t="n">
        <f aca="false">IFERROR(M1564/K1564,0)</f>
        <v>0.645618556701031</v>
      </c>
    </row>
    <row r="1565" customFormat="false" ht="15" hidden="false" customHeight="false" outlineLevel="0" collapsed="false">
      <c r="A1565" s="15" t="n">
        <v>46087</v>
      </c>
      <c r="B1565" s="14" t="s">
        <v>88</v>
      </c>
      <c r="C1565" s="14" t="s">
        <v>89</v>
      </c>
      <c r="D1565" s="14" t="s">
        <v>44</v>
      </c>
      <c r="E1565" s="14" t="s">
        <v>45</v>
      </c>
      <c r="F1565" s="14" t="s">
        <v>48</v>
      </c>
      <c r="G1565" s="14" t="s">
        <v>49</v>
      </c>
      <c r="H1565" s="0" t="n">
        <v>7</v>
      </c>
      <c r="I1565" s="16" t="n">
        <v>64.05</v>
      </c>
      <c r="J1565" s="16" t="n">
        <v>27.5</v>
      </c>
      <c r="K1565" s="16" t="n">
        <f aca="false">H1565*I1565</f>
        <v>448.35</v>
      </c>
      <c r="L1565" s="16" t="n">
        <f aca="false">H1565*J1565</f>
        <v>192.5</v>
      </c>
      <c r="M1565" s="16" t="n">
        <f aca="false">K1565-L1565</f>
        <v>255.85</v>
      </c>
      <c r="N1565" s="17" t="n">
        <f aca="false">IFERROR(M1565/K1565,0)</f>
        <v>0.570647931303669</v>
      </c>
    </row>
    <row r="1566" customFormat="false" ht="15" hidden="false" customHeight="false" outlineLevel="0" collapsed="false">
      <c r="A1566" s="15" t="n">
        <v>46087</v>
      </c>
      <c r="B1566" s="14" t="s">
        <v>88</v>
      </c>
      <c r="C1566" s="14" t="s">
        <v>89</v>
      </c>
      <c r="D1566" s="14" t="s">
        <v>44</v>
      </c>
      <c r="E1566" s="14" t="s">
        <v>56</v>
      </c>
      <c r="F1566" s="14" t="s">
        <v>57</v>
      </c>
      <c r="G1566" s="14" t="s">
        <v>58</v>
      </c>
      <c r="H1566" s="0" t="n">
        <v>8</v>
      </c>
      <c r="I1566" s="16" t="n">
        <v>25.29</v>
      </c>
      <c r="J1566" s="16" t="n">
        <v>10</v>
      </c>
      <c r="K1566" s="16" t="n">
        <f aca="false">H1566*I1566</f>
        <v>202.32</v>
      </c>
      <c r="L1566" s="16" t="n">
        <f aca="false">H1566*J1566</f>
        <v>80</v>
      </c>
      <c r="M1566" s="16" t="n">
        <f aca="false">K1566-L1566</f>
        <v>122.32</v>
      </c>
      <c r="N1566" s="17" t="n">
        <f aca="false">IFERROR(M1566/K1566,0)</f>
        <v>0.604586793198893</v>
      </c>
    </row>
    <row r="1567" customFormat="false" ht="15" hidden="false" customHeight="false" outlineLevel="0" collapsed="false">
      <c r="A1567" s="15" t="n">
        <v>46088</v>
      </c>
      <c r="B1567" s="14" t="s">
        <v>42</v>
      </c>
      <c r="C1567" s="14" t="s">
        <v>43</v>
      </c>
      <c r="D1567" s="14" t="s">
        <v>44</v>
      </c>
      <c r="E1567" s="14" t="s">
        <v>76</v>
      </c>
      <c r="F1567" s="14" t="s">
        <v>102</v>
      </c>
      <c r="G1567" s="14" t="s">
        <v>103</v>
      </c>
      <c r="H1567" s="0" t="n">
        <v>11</v>
      </c>
      <c r="I1567" s="16" t="n">
        <v>23.35</v>
      </c>
      <c r="J1567" s="16" t="n">
        <v>8.5</v>
      </c>
      <c r="K1567" s="16" t="n">
        <f aca="false">H1567*I1567</f>
        <v>256.85</v>
      </c>
      <c r="L1567" s="16" t="n">
        <f aca="false">H1567*J1567</f>
        <v>93.5</v>
      </c>
      <c r="M1567" s="16" t="n">
        <f aca="false">K1567-L1567</f>
        <v>163.35</v>
      </c>
      <c r="N1567" s="17" t="n">
        <f aca="false">IFERROR(M1567/K1567,0)</f>
        <v>0.635974304068523</v>
      </c>
    </row>
    <row r="1568" customFormat="false" ht="15" hidden="false" customHeight="false" outlineLevel="0" collapsed="false">
      <c r="A1568" s="15" t="n">
        <v>46088</v>
      </c>
      <c r="B1568" s="14" t="s">
        <v>42</v>
      </c>
      <c r="C1568" s="14" t="s">
        <v>43</v>
      </c>
      <c r="D1568" s="14" t="s">
        <v>44</v>
      </c>
      <c r="E1568" s="14" t="s">
        <v>76</v>
      </c>
      <c r="F1568" s="14" t="s">
        <v>77</v>
      </c>
      <c r="G1568" s="14" t="s">
        <v>78</v>
      </c>
      <c r="H1568" s="0" t="n">
        <v>11</v>
      </c>
      <c r="I1568" s="16" t="n">
        <v>39.99</v>
      </c>
      <c r="J1568" s="16" t="n">
        <v>15</v>
      </c>
      <c r="K1568" s="16" t="n">
        <f aca="false">H1568*I1568</f>
        <v>439.89</v>
      </c>
      <c r="L1568" s="16" t="n">
        <f aca="false">H1568*J1568</f>
        <v>165</v>
      </c>
      <c r="M1568" s="16" t="n">
        <f aca="false">K1568-L1568</f>
        <v>274.89</v>
      </c>
      <c r="N1568" s="17" t="n">
        <f aca="false">IFERROR(M1568/K1568,0)</f>
        <v>0.624906226556639</v>
      </c>
    </row>
    <row r="1569" customFormat="false" ht="15" hidden="false" customHeight="false" outlineLevel="0" collapsed="false">
      <c r="A1569" s="15" t="n">
        <v>46088</v>
      </c>
      <c r="B1569" s="14" t="s">
        <v>50</v>
      </c>
      <c r="C1569" s="14" t="s">
        <v>51</v>
      </c>
      <c r="D1569" s="14" t="s">
        <v>52</v>
      </c>
      <c r="E1569" s="14" t="s">
        <v>56</v>
      </c>
      <c r="F1569" s="14" t="s">
        <v>57</v>
      </c>
      <c r="G1569" s="14" t="s">
        <v>58</v>
      </c>
      <c r="H1569" s="0" t="n">
        <v>5</v>
      </c>
      <c r="I1569" s="16" t="n">
        <v>26.74</v>
      </c>
      <c r="J1569" s="16" t="n">
        <v>10</v>
      </c>
      <c r="K1569" s="16" t="n">
        <f aca="false">H1569*I1569</f>
        <v>133.7</v>
      </c>
      <c r="L1569" s="16" t="n">
        <f aca="false">H1569*J1569</f>
        <v>50</v>
      </c>
      <c r="M1569" s="16" t="n">
        <f aca="false">K1569-L1569</f>
        <v>83.7</v>
      </c>
      <c r="N1569" s="17" t="n">
        <f aca="false">IFERROR(M1569/K1569,0)</f>
        <v>0.62602842183994</v>
      </c>
    </row>
    <row r="1570" customFormat="false" ht="15" hidden="false" customHeight="false" outlineLevel="0" collapsed="false">
      <c r="A1570" s="15" t="n">
        <v>46088</v>
      </c>
      <c r="B1570" s="14" t="s">
        <v>50</v>
      </c>
      <c r="C1570" s="14" t="s">
        <v>51</v>
      </c>
      <c r="D1570" s="14" t="s">
        <v>52</v>
      </c>
      <c r="E1570" s="14" t="s">
        <v>56</v>
      </c>
      <c r="F1570" s="14" t="s">
        <v>86</v>
      </c>
      <c r="G1570" s="14" t="s">
        <v>87</v>
      </c>
      <c r="H1570" s="0" t="n">
        <v>12</v>
      </c>
      <c r="I1570" s="16" t="n">
        <v>14.06</v>
      </c>
      <c r="J1570" s="16" t="n">
        <v>5</v>
      </c>
      <c r="K1570" s="16" t="n">
        <f aca="false">H1570*I1570</f>
        <v>168.72</v>
      </c>
      <c r="L1570" s="16" t="n">
        <f aca="false">H1570*J1570</f>
        <v>60</v>
      </c>
      <c r="M1570" s="16" t="n">
        <f aca="false">K1570-L1570</f>
        <v>108.72</v>
      </c>
      <c r="N1570" s="17" t="n">
        <f aca="false">IFERROR(M1570/K1570,0)</f>
        <v>0.644381223328592</v>
      </c>
    </row>
    <row r="1571" customFormat="false" ht="15" hidden="false" customHeight="false" outlineLevel="0" collapsed="false">
      <c r="A1571" s="15" t="n">
        <v>46088</v>
      </c>
      <c r="B1571" s="14" t="s">
        <v>50</v>
      </c>
      <c r="C1571" s="14" t="s">
        <v>51</v>
      </c>
      <c r="D1571" s="14" t="s">
        <v>52</v>
      </c>
      <c r="E1571" s="14" t="s">
        <v>64</v>
      </c>
      <c r="F1571" s="14" t="s">
        <v>94</v>
      </c>
      <c r="G1571" s="14" t="s">
        <v>95</v>
      </c>
      <c r="H1571" s="0" t="n">
        <v>9</v>
      </c>
      <c r="I1571" s="16" t="n">
        <v>98.48</v>
      </c>
      <c r="J1571" s="16" t="n">
        <v>42</v>
      </c>
      <c r="K1571" s="16" t="n">
        <f aca="false">H1571*I1571</f>
        <v>886.32</v>
      </c>
      <c r="L1571" s="16" t="n">
        <f aca="false">H1571*J1571</f>
        <v>378</v>
      </c>
      <c r="M1571" s="16" t="n">
        <f aca="false">K1571-L1571</f>
        <v>508.32</v>
      </c>
      <c r="N1571" s="17" t="n">
        <f aca="false">IFERROR(M1571/K1571,0)</f>
        <v>0.573517465475223</v>
      </c>
    </row>
    <row r="1572" customFormat="false" ht="15" hidden="false" customHeight="false" outlineLevel="0" collapsed="false">
      <c r="A1572" s="15" t="n">
        <v>46088</v>
      </c>
      <c r="B1572" s="14" t="s">
        <v>50</v>
      </c>
      <c r="C1572" s="14" t="s">
        <v>51</v>
      </c>
      <c r="D1572" s="14" t="s">
        <v>52</v>
      </c>
      <c r="E1572" s="14" t="s">
        <v>45</v>
      </c>
      <c r="F1572" s="14" t="s">
        <v>62</v>
      </c>
      <c r="G1572" s="14" t="s">
        <v>63</v>
      </c>
      <c r="H1572" s="0" t="n">
        <v>9</v>
      </c>
      <c r="I1572" s="16" t="n">
        <v>17.23</v>
      </c>
      <c r="J1572" s="16" t="n">
        <v>6.5</v>
      </c>
      <c r="K1572" s="16" t="n">
        <f aca="false">H1572*I1572</f>
        <v>155.07</v>
      </c>
      <c r="L1572" s="16" t="n">
        <f aca="false">H1572*J1572</f>
        <v>58.5</v>
      </c>
      <c r="M1572" s="16" t="n">
        <f aca="false">K1572-L1572</f>
        <v>96.57</v>
      </c>
      <c r="N1572" s="17" t="n">
        <f aca="false">IFERROR(M1572/K1572,0)</f>
        <v>0.622751015670342</v>
      </c>
    </row>
    <row r="1573" customFormat="false" ht="15" hidden="false" customHeight="false" outlineLevel="0" collapsed="false">
      <c r="A1573" s="15" t="n">
        <v>46088</v>
      </c>
      <c r="B1573" s="14" t="s">
        <v>50</v>
      </c>
      <c r="C1573" s="14" t="s">
        <v>51</v>
      </c>
      <c r="D1573" s="14" t="s">
        <v>52</v>
      </c>
      <c r="E1573" s="14" t="s">
        <v>53</v>
      </c>
      <c r="F1573" s="14" t="s">
        <v>54</v>
      </c>
      <c r="G1573" s="14" t="s">
        <v>55</v>
      </c>
      <c r="H1573" s="0" t="n">
        <v>7</v>
      </c>
      <c r="I1573" s="16" t="n">
        <v>54.31</v>
      </c>
      <c r="J1573" s="16" t="n">
        <v>22</v>
      </c>
      <c r="K1573" s="16" t="n">
        <f aca="false">H1573*I1573</f>
        <v>380.17</v>
      </c>
      <c r="L1573" s="16" t="n">
        <f aca="false">H1573*J1573</f>
        <v>154</v>
      </c>
      <c r="M1573" s="16" t="n">
        <f aca="false">K1573-L1573</f>
        <v>226.17</v>
      </c>
      <c r="N1573" s="17" t="n">
        <f aca="false">IFERROR(M1573/K1573,0)</f>
        <v>0.594918062971828</v>
      </c>
    </row>
    <row r="1574" customFormat="false" ht="15" hidden="false" customHeight="false" outlineLevel="0" collapsed="false">
      <c r="A1574" s="15" t="n">
        <v>46088</v>
      </c>
      <c r="B1574" s="14" t="s">
        <v>50</v>
      </c>
      <c r="C1574" s="14" t="s">
        <v>51</v>
      </c>
      <c r="D1574" s="14" t="s">
        <v>52</v>
      </c>
      <c r="E1574" s="14" t="s">
        <v>64</v>
      </c>
      <c r="F1574" s="14" t="s">
        <v>94</v>
      </c>
      <c r="G1574" s="14" t="s">
        <v>95</v>
      </c>
      <c r="H1574" s="0" t="n">
        <v>3</v>
      </c>
      <c r="I1574" s="16" t="n">
        <v>96.1</v>
      </c>
      <c r="J1574" s="16" t="n">
        <v>42</v>
      </c>
      <c r="K1574" s="16" t="n">
        <f aca="false">H1574*I1574</f>
        <v>288.3</v>
      </c>
      <c r="L1574" s="16" t="n">
        <f aca="false">H1574*J1574</f>
        <v>126</v>
      </c>
      <c r="M1574" s="16" t="n">
        <f aca="false">K1574-L1574</f>
        <v>162.3</v>
      </c>
      <c r="N1574" s="17" t="n">
        <f aca="false">IFERROR(M1574/K1574,0)</f>
        <v>0.562955254942768</v>
      </c>
    </row>
    <row r="1575" customFormat="false" ht="15" hidden="false" customHeight="false" outlineLevel="0" collapsed="false">
      <c r="A1575" s="15" t="n">
        <v>46088</v>
      </c>
      <c r="B1575" s="14" t="s">
        <v>59</v>
      </c>
      <c r="C1575" s="14" t="s">
        <v>60</v>
      </c>
      <c r="D1575" s="14" t="s">
        <v>61</v>
      </c>
      <c r="E1575" s="14" t="s">
        <v>76</v>
      </c>
      <c r="F1575" s="14" t="s">
        <v>102</v>
      </c>
      <c r="G1575" s="14" t="s">
        <v>103</v>
      </c>
      <c r="H1575" s="0" t="n">
        <v>3</v>
      </c>
      <c r="I1575" s="16" t="n">
        <v>22.57</v>
      </c>
      <c r="J1575" s="16" t="n">
        <v>8.5</v>
      </c>
      <c r="K1575" s="16" t="n">
        <f aca="false">H1575*I1575</f>
        <v>67.71</v>
      </c>
      <c r="L1575" s="16" t="n">
        <f aca="false">H1575*J1575</f>
        <v>25.5</v>
      </c>
      <c r="M1575" s="16" t="n">
        <f aca="false">K1575-L1575</f>
        <v>42.21</v>
      </c>
      <c r="N1575" s="17" t="n">
        <f aca="false">IFERROR(M1575/K1575,0)</f>
        <v>0.623393885688968</v>
      </c>
    </row>
    <row r="1576" customFormat="false" ht="15" hidden="false" customHeight="false" outlineLevel="0" collapsed="false">
      <c r="A1576" s="15" t="n">
        <v>46088</v>
      </c>
      <c r="B1576" s="14" t="s">
        <v>59</v>
      </c>
      <c r="C1576" s="14" t="s">
        <v>60</v>
      </c>
      <c r="D1576" s="14" t="s">
        <v>61</v>
      </c>
      <c r="E1576" s="14" t="s">
        <v>56</v>
      </c>
      <c r="F1576" s="14" t="s">
        <v>86</v>
      </c>
      <c r="G1576" s="14" t="s">
        <v>87</v>
      </c>
      <c r="H1576" s="0" t="n">
        <v>8</v>
      </c>
      <c r="I1576" s="16" t="n">
        <v>14.09</v>
      </c>
      <c r="J1576" s="16" t="n">
        <v>5</v>
      </c>
      <c r="K1576" s="16" t="n">
        <f aca="false">H1576*I1576</f>
        <v>112.72</v>
      </c>
      <c r="L1576" s="16" t="n">
        <f aca="false">H1576*J1576</f>
        <v>40</v>
      </c>
      <c r="M1576" s="16" t="n">
        <f aca="false">K1576-L1576</f>
        <v>72.72</v>
      </c>
      <c r="N1576" s="17" t="n">
        <f aca="false">IFERROR(M1576/K1576,0)</f>
        <v>0.64513839602555</v>
      </c>
    </row>
    <row r="1577" customFormat="false" ht="15" hidden="false" customHeight="false" outlineLevel="0" collapsed="false">
      <c r="A1577" s="15" t="n">
        <v>46088</v>
      </c>
      <c r="B1577" s="14" t="s">
        <v>59</v>
      </c>
      <c r="C1577" s="14" t="s">
        <v>60</v>
      </c>
      <c r="D1577" s="14" t="s">
        <v>61</v>
      </c>
      <c r="E1577" s="14" t="s">
        <v>53</v>
      </c>
      <c r="F1577" s="14" t="s">
        <v>54</v>
      </c>
      <c r="G1577" s="14" t="s">
        <v>55</v>
      </c>
      <c r="H1577" s="0" t="n">
        <v>1</v>
      </c>
      <c r="I1577" s="16" t="n">
        <v>51.68</v>
      </c>
      <c r="J1577" s="16" t="n">
        <v>22</v>
      </c>
      <c r="K1577" s="16" t="n">
        <f aca="false">H1577*I1577</f>
        <v>51.68</v>
      </c>
      <c r="L1577" s="16" t="n">
        <f aca="false">H1577*J1577</f>
        <v>22</v>
      </c>
      <c r="M1577" s="16" t="n">
        <f aca="false">K1577-L1577</f>
        <v>29.68</v>
      </c>
      <c r="N1577" s="17" t="n">
        <f aca="false">IFERROR(M1577/K1577,0)</f>
        <v>0.574303405572755</v>
      </c>
    </row>
    <row r="1578" customFormat="false" ht="15" hidden="false" customHeight="false" outlineLevel="0" collapsed="false">
      <c r="A1578" s="15" t="n">
        <v>46088</v>
      </c>
      <c r="B1578" s="14" t="s">
        <v>59</v>
      </c>
      <c r="C1578" s="14" t="s">
        <v>60</v>
      </c>
      <c r="D1578" s="14" t="s">
        <v>61</v>
      </c>
      <c r="E1578" s="14" t="s">
        <v>76</v>
      </c>
      <c r="F1578" s="14" t="s">
        <v>100</v>
      </c>
      <c r="G1578" s="14" t="s">
        <v>101</v>
      </c>
      <c r="H1578" s="0" t="n">
        <v>9</v>
      </c>
      <c r="I1578" s="16" t="n">
        <v>15.44</v>
      </c>
      <c r="J1578" s="16" t="n">
        <v>5.5</v>
      </c>
      <c r="K1578" s="16" t="n">
        <f aca="false">H1578*I1578</f>
        <v>138.96</v>
      </c>
      <c r="L1578" s="16" t="n">
        <f aca="false">H1578*J1578</f>
        <v>49.5</v>
      </c>
      <c r="M1578" s="16" t="n">
        <f aca="false">K1578-L1578</f>
        <v>89.46</v>
      </c>
      <c r="N1578" s="17" t="n">
        <f aca="false">IFERROR(M1578/K1578,0)</f>
        <v>0.643782383419689</v>
      </c>
    </row>
    <row r="1579" customFormat="false" ht="15" hidden="false" customHeight="false" outlineLevel="0" collapsed="false">
      <c r="A1579" s="15" t="n">
        <v>46088</v>
      </c>
      <c r="B1579" s="14" t="s">
        <v>59</v>
      </c>
      <c r="C1579" s="14" t="s">
        <v>60</v>
      </c>
      <c r="D1579" s="14" t="s">
        <v>61</v>
      </c>
      <c r="E1579" s="14" t="s">
        <v>64</v>
      </c>
      <c r="F1579" s="14" t="s">
        <v>90</v>
      </c>
      <c r="G1579" s="14" t="s">
        <v>91</v>
      </c>
      <c r="H1579" s="0" t="n">
        <v>1</v>
      </c>
      <c r="I1579" s="16" t="n">
        <v>11.23</v>
      </c>
      <c r="J1579" s="16" t="n">
        <v>3.5</v>
      </c>
      <c r="K1579" s="16" t="n">
        <f aca="false">H1579*I1579</f>
        <v>11.23</v>
      </c>
      <c r="L1579" s="16" t="n">
        <f aca="false">H1579*J1579</f>
        <v>3.5</v>
      </c>
      <c r="M1579" s="16" t="n">
        <f aca="false">K1579-L1579</f>
        <v>7.73</v>
      </c>
      <c r="N1579" s="17" t="n">
        <f aca="false">IFERROR(M1579/K1579,0)</f>
        <v>0.68833481745325</v>
      </c>
    </row>
    <row r="1580" customFormat="false" ht="15" hidden="false" customHeight="false" outlineLevel="0" collapsed="false">
      <c r="A1580" s="15" t="n">
        <v>46088</v>
      </c>
      <c r="B1580" s="14" t="s">
        <v>69</v>
      </c>
      <c r="C1580" s="14" t="s">
        <v>70</v>
      </c>
      <c r="D1580" s="14" t="s">
        <v>71</v>
      </c>
      <c r="E1580" s="14" t="s">
        <v>53</v>
      </c>
      <c r="F1580" s="14" t="s">
        <v>74</v>
      </c>
      <c r="G1580" s="14" t="s">
        <v>75</v>
      </c>
      <c r="H1580" s="0" t="n">
        <v>5</v>
      </c>
      <c r="I1580" s="16" t="n">
        <v>87.5</v>
      </c>
      <c r="J1580" s="16" t="n">
        <v>38</v>
      </c>
      <c r="K1580" s="16" t="n">
        <f aca="false">H1580*I1580</f>
        <v>437.5</v>
      </c>
      <c r="L1580" s="16" t="n">
        <f aca="false">H1580*J1580</f>
        <v>190</v>
      </c>
      <c r="M1580" s="16" t="n">
        <f aca="false">K1580-L1580</f>
        <v>247.5</v>
      </c>
      <c r="N1580" s="17" t="n">
        <f aca="false">IFERROR(M1580/K1580,0)</f>
        <v>0.565714285714286</v>
      </c>
    </row>
    <row r="1581" customFormat="false" ht="15" hidden="false" customHeight="false" outlineLevel="0" collapsed="false">
      <c r="A1581" s="15" t="n">
        <v>46088</v>
      </c>
      <c r="B1581" s="14" t="s">
        <v>69</v>
      </c>
      <c r="C1581" s="14" t="s">
        <v>70</v>
      </c>
      <c r="D1581" s="14" t="s">
        <v>71</v>
      </c>
      <c r="E1581" s="14" t="s">
        <v>76</v>
      </c>
      <c r="F1581" s="14" t="s">
        <v>77</v>
      </c>
      <c r="G1581" s="14" t="s">
        <v>78</v>
      </c>
      <c r="H1581" s="0" t="n">
        <v>1</v>
      </c>
      <c r="I1581" s="16" t="n">
        <v>41.88</v>
      </c>
      <c r="J1581" s="16" t="n">
        <v>15</v>
      </c>
      <c r="K1581" s="16" t="n">
        <f aca="false">H1581*I1581</f>
        <v>41.88</v>
      </c>
      <c r="L1581" s="16" t="n">
        <f aca="false">H1581*J1581</f>
        <v>15</v>
      </c>
      <c r="M1581" s="16" t="n">
        <f aca="false">K1581-L1581</f>
        <v>26.88</v>
      </c>
      <c r="N1581" s="17" t="n">
        <f aca="false">IFERROR(M1581/K1581,0)</f>
        <v>0.641833810888252</v>
      </c>
    </row>
    <row r="1582" customFormat="false" ht="15" hidden="false" customHeight="false" outlineLevel="0" collapsed="false">
      <c r="A1582" s="15" t="n">
        <v>46088</v>
      </c>
      <c r="B1582" s="14" t="s">
        <v>69</v>
      </c>
      <c r="C1582" s="14" t="s">
        <v>70</v>
      </c>
      <c r="D1582" s="14" t="s">
        <v>71</v>
      </c>
      <c r="E1582" s="14" t="s">
        <v>64</v>
      </c>
      <c r="F1582" s="14" t="s">
        <v>65</v>
      </c>
      <c r="G1582" s="14" t="s">
        <v>66</v>
      </c>
      <c r="H1582" s="0" t="n">
        <v>1</v>
      </c>
      <c r="I1582" s="16" t="n">
        <v>78.11</v>
      </c>
      <c r="J1582" s="16" t="n">
        <v>34</v>
      </c>
      <c r="K1582" s="16" t="n">
        <f aca="false">H1582*I1582</f>
        <v>78.11</v>
      </c>
      <c r="L1582" s="16" t="n">
        <f aca="false">H1582*J1582</f>
        <v>34</v>
      </c>
      <c r="M1582" s="16" t="n">
        <f aca="false">K1582-L1582</f>
        <v>44.11</v>
      </c>
      <c r="N1582" s="17" t="n">
        <f aca="false">IFERROR(M1582/K1582,0)</f>
        <v>0.564716425553706</v>
      </c>
    </row>
    <row r="1583" customFormat="false" ht="15" hidden="false" customHeight="false" outlineLevel="0" collapsed="false">
      <c r="A1583" s="15" t="n">
        <v>46088</v>
      </c>
      <c r="B1583" s="14" t="s">
        <v>69</v>
      </c>
      <c r="C1583" s="14" t="s">
        <v>70</v>
      </c>
      <c r="D1583" s="14" t="s">
        <v>71</v>
      </c>
      <c r="E1583" s="14" t="s">
        <v>45</v>
      </c>
      <c r="F1583" s="14" t="s">
        <v>46</v>
      </c>
      <c r="G1583" s="14" t="s">
        <v>47</v>
      </c>
      <c r="H1583" s="0" t="n">
        <v>6</v>
      </c>
      <c r="I1583" s="16" t="n">
        <v>44.52</v>
      </c>
      <c r="J1583" s="16" t="n">
        <v>18</v>
      </c>
      <c r="K1583" s="16" t="n">
        <f aca="false">H1583*I1583</f>
        <v>267.12</v>
      </c>
      <c r="L1583" s="16" t="n">
        <f aca="false">H1583*J1583</f>
        <v>108</v>
      </c>
      <c r="M1583" s="16" t="n">
        <f aca="false">K1583-L1583</f>
        <v>159.12</v>
      </c>
      <c r="N1583" s="17" t="n">
        <f aca="false">IFERROR(M1583/K1583,0)</f>
        <v>0.595687331536388</v>
      </c>
    </row>
    <row r="1584" customFormat="false" ht="15" hidden="false" customHeight="false" outlineLevel="0" collapsed="false">
      <c r="A1584" s="15" t="n">
        <v>46088</v>
      </c>
      <c r="B1584" s="14" t="s">
        <v>81</v>
      </c>
      <c r="C1584" s="14" t="s">
        <v>82</v>
      </c>
      <c r="D1584" s="14" t="s">
        <v>83</v>
      </c>
      <c r="E1584" s="14" t="s">
        <v>76</v>
      </c>
      <c r="F1584" s="14" t="s">
        <v>79</v>
      </c>
      <c r="G1584" s="14" t="s">
        <v>80</v>
      </c>
      <c r="H1584" s="0" t="n">
        <v>7</v>
      </c>
      <c r="I1584" s="16" t="n">
        <v>29.86</v>
      </c>
      <c r="J1584" s="16" t="n">
        <v>11</v>
      </c>
      <c r="K1584" s="16" t="n">
        <f aca="false">H1584*I1584</f>
        <v>209.02</v>
      </c>
      <c r="L1584" s="16" t="n">
        <f aca="false">H1584*J1584</f>
        <v>77</v>
      </c>
      <c r="M1584" s="16" t="n">
        <f aca="false">K1584-L1584</f>
        <v>132.02</v>
      </c>
      <c r="N1584" s="17" t="n">
        <f aca="false">IFERROR(M1584/K1584,0)</f>
        <v>0.631614199598125</v>
      </c>
    </row>
    <row r="1585" customFormat="false" ht="15" hidden="false" customHeight="false" outlineLevel="0" collapsed="false">
      <c r="A1585" s="15" t="n">
        <v>46088</v>
      </c>
      <c r="B1585" s="14" t="s">
        <v>81</v>
      </c>
      <c r="C1585" s="14" t="s">
        <v>82</v>
      </c>
      <c r="D1585" s="14" t="s">
        <v>83</v>
      </c>
      <c r="E1585" s="14" t="s">
        <v>53</v>
      </c>
      <c r="F1585" s="14" t="s">
        <v>54</v>
      </c>
      <c r="G1585" s="14" t="s">
        <v>55</v>
      </c>
      <c r="H1585" s="0" t="n">
        <v>2</v>
      </c>
      <c r="I1585" s="16" t="n">
        <v>53.11</v>
      </c>
      <c r="J1585" s="16" t="n">
        <v>22</v>
      </c>
      <c r="K1585" s="16" t="n">
        <f aca="false">H1585*I1585</f>
        <v>106.22</v>
      </c>
      <c r="L1585" s="16" t="n">
        <f aca="false">H1585*J1585</f>
        <v>44</v>
      </c>
      <c r="M1585" s="16" t="n">
        <f aca="false">K1585-L1585</f>
        <v>62.22</v>
      </c>
      <c r="N1585" s="17" t="n">
        <f aca="false">IFERROR(M1585/K1585,0)</f>
        <v>0.585765392581435</v>
      </c>
    </row>
    <row r="1586" customFormat="false" ht="15" hidden="false" customHeight="false" outlineLevel="0" collapsed="false">
      <c r="A1586" s="15" t="n">
        <v>46088</v>
      </c>
      <c r="B1586" s="14" t="s">
        <v>81</v>
      </c>
      <c r="C1586" s="14" t="s">
        <v>82</v>
      </c>
      <c r="D1586" s="14" t="s">
        <v>83</v>
      </c>
      <c r="E1586" s="14" t="s">
        <v>56</v>
      </c>
      <c r="F1586" s="14" t="s">
        <v>98</v>
      </c>
      <c r="G1586" s="14" t="s">
        <v>99</v>
      </c>
      <c r="H1586" s="0" t="n">
        <v>5</v>
      </c>
      <c r="I1586" s="16" t="n">
        <v>21.11</v>
      </c>
      <c r="J1586" s="16" t="n">
        <v>8</v>
      </c>
      <c r="K1586" s="16" t="n">
        <f aca="false">H1586*I1586</f>
        <v>105.55</v>
      </c>
      <c r="L1586" s="16" t="n">
        <f aca="false">H1586*J1586</f>
        <v>40</v>
      </c>
      <c r="M1586" s="16" t="n">
        <f aca="false">K1586-L1586</f>
        <v>65.55</v>
      </c>
      <c r="N1586" s="17" t="n">
        <f aca="false">IFERROR(M1586/K1586,0)</f>
        <v>0.621032685930839</v>
      </c>
    </row>
    <row r="1587" customFormat="false" ht="15" hidden="false" customHeight="false" outlineLevel="0" collapsed="false">
      <c r="A1587" s="15" t="n">
        <v>46088</v>
      </c>
      <c r="B1587" s="14" t="s">
        <v>81</v>
      </c>
      <c r="C1587" s="14" t="s">
        <v>82</v>
      </c>
      <c r="D1587" s="14" t="s">
        <v>83</v>
      </c>
      <c r="E1587" s="14" t="s">
        <v>45</v>
      </c>
      <c r="F1587" s="14" t="s">
        <v>62</v>
      </c>
      <c r="G1587" s="14" t="s">
        <v>63</v>
      </c>
      <c r="H1587" s="0" t="n">
        <v>2</v>
      </c>
      <c r="I1587" s="16" t="n">
        <v>17.67</v>
      </c>
      <c r="J1587" s="16" t="n">
        <v>6.5</v>
      </c>
      <c r="K1587" s="16" t="n">
        <f aca="false">H1587*I1587</f>
        <v>35.34</v>
      </c>
      <c r="L1587" s="16" t="n">
        <f aca="false">H1587*J1587</f>
        <v>13</v>
      </c>
      <c r="M1587" s="16" t="n">
        <f aca="false">K1587-L1587</f>
        <v>22.34</v>
      </c>
      <c r="N1587" s="17" t="n">
        <f aca="false">IFERROR(M1587/K1587,0)</f>
        <v>0.632144878324845</v>
      </c>
    </row>
    <row r="1588" customFormat="false" ht="15" hidden="false" customHeight="false" outlineLevel="0" collapsed="false">
      <c r="A1588" s="15" t="n">
        <v>46088</v>
      </c>
      <c r="B1588" s="14" t="s">
        <v>81</v>
      </c>
      <c r="C1588" s="14" t="s">
        <v>82</v>
      </c>
      <c r="D1588" s="14" t="s">
        <v>83</v>
      </c>
      <c r="E1588" s="14" t="s">
        <v>76</v>
      </c>
      <c r="F1588" s="14" t="s">
        <v>102</v>
      </c>
      <c r="G1588" s="14" t="s">
        <v>103</v>
      </c>
      <c r="H1588" s="0" t="n">
        <v>7</v>
      </c>
      <c r="I1588" s="16" t="n">
        <v>23.63</v>
      </c>
      <c r="J1588" s="16" t="n">
        <v>8.5</v>
      </c>
      <c r="K1588" s="16" t="n">
        <f aca="false">H1588*I1588</f>
        <v>165.41</v>
      </c>
      <c r="L1588" s="16" t="n">
        <f aca="false">H1588*J1588</f>
        <v>59.5</v>
      </c>
      <c r="M1588" s="16" t="n">
        <f aca="false">K1588-L1588</f>
        <v>105.91</v>
      </c>
      <c r="N1588" s="17" t="n">
        <f aca="false">IFERROR(M1588/K1588,0)</f>
        <v>0.640287769784173</v>
      </c>
    </row>
    <row r="1589" customFormat="false" ht="15" hidden="false" customHeight="false" outlineLevel="0" collapsed="false">
      <c r="A1589" s="15" t="n">
        <v>46088</v>
      </c>
      <c r="B1589" s="14" t="s">
        <v>88</v>
      </c>
      <c r="C1589" s="14" t="s">
        <v>89</v>
      </c>
      <c r="D1589" s="14" t="s">
        <v>44</v>
      </c>
      <c r="E1589" s="14" t="s">
        <v>64</v>
      </c>
      <c r="F1589" s="14" t="s">
        <v>96</v>
      </c>
      <c r="G1589" s="14" t="s">
        <v>97</v>
      </c>
      <c r="H1589" s="0" t="n">
        <v>4</v>
      </c>
      <c r="I1589" s="16" t="n">
        <v>54.78</v>
      </c>
      <c r="J1589" s="16" t="n">
        <v>24</v>
      </c>
      <c r="K1589" s="16" t="n">
        <f aca="false">H1589*I1589</f>
        <v>219.12</v>
      </c>
      <c r="L1589" s="16" t="n">
        <f aca="false">H1589*J1589</f>
        <v>96</v>
      </c>
      <c r="M1589" s="16" t="n">
        <f aca="false">K1589-L1589</f>
        <v>123.12</v>
      </c>
      <c r="N1589" s="17" t="n">
        <f aca="false">IFERROR(M1589/K1589,0)</f>
        <v>0.561883899233297</v>
      </c>
    </row>
    <row r="1590" customFormat="false" ht="15" hidden="false" customHeight="false" outlineLevel="0" collapsed="false">
      <c r="A1590" s="15" t="n">
        <v>46088</v>
      </c>
      <c r="B1590" s="14" t="s">
        <v>88</v>
      </c>
      <c r="C1590" s="14" t="s">
        <v>89</v>
      </c>
      <c r="D1590" s="14" t="s">
        <v>44</v>
      </c>
      <c r="E1590" s="14" t="s">
        <v>53</v>
      </c>
      <c r="F1590" s="14" t="s">
        <v>92</v>
      </c>
      <c r="G1590" s="14" t="s">
        <v>93</v>
      </c>
      <c r="H1590" s="0" t="n">
        <v>10</v>
      </c>
      <c r="I1590" s="16" t="n">
        <v>114.32</v>
      </c>
      <c r="J1590" s="16" t="n">
        <v>52</v>
      </c>
      <c r="K1590" s="16" t="n">
        <f aca="false">H1590*I1590</f>
        <v>1143.2</v>
      </c>
      <c r="L1590" s="16" t="n">
        <f aca="false">H1590*J1590</f>
        <v>520</v>
      </c>
      <c r="M1590" s="16" t="n">
        <f aca="false">K1590-L1590</f>
        <v>623.2</v>
      </c>
      <c r="N1590" s="17" t="n">
        <f aca="false">IFERROR(M1590/K1590,0)</f>
        <v>0.545136459062281</v>
      </c>
    </row>
    <row r="1591" customFormat="false" ht="15" hidden="false" customHeight="false" outlineLevel="0" collapsed="false">
      <c r="A1591" s="15" t="n">
        <v>46088</v>
      </c>
      <c r="B1591" s="14" t="s">
        <v>88</v>
      </c>
      <c r="C1591" s="14" t="s">
        <v>89</v>
      </c>
      <c r="D1591" s="14" t="s">
        <v>44</v>
      </c>
      <c r="E1591" s="14" t="s">
        <v>56</v>
      </c>
      <c r="F1591" s="14" t="s">
        <v>98</v>
      </c>
      <c r="G1591" s="14" t="s">
        <v>99</v>
      </c>
      <c r="H1591" s="0" t="n">
        <v>11</v>
      </c>
      <c r="I1591" s="16" t="n">
        <v>21.18</v>
      </c>
      <c r="J1591" s="16" t="n">
        <v>8</v>
      </c>
      <c r="K1591" s="16" t="n">
        <f aca="false">H1591*I1591</f>
        <v>232.98</v>
      </c>
      <c r="L1591" s="16" t="n">
        <f aca="false">H1591*J1591</f>
        <v>88</v>
      </c>
      <c r="M1591" s="16" t="n">
        <f aca="false">K1591-L1591</f>
        <v>144.98</v>
      </c>
      <c r="N1591" s="17" t="n">
        <f aca="false">IFERROR(M1591/K1591,0)</f>
        <v>0.622285174693107</v>
      </c>
    </row>
    <row r="1592" customFormat="false" ht="15" hidden="false" customHeight="false" outlineLevel="0" collapsed="false">
      <c r="A1592" s="15" t="n">
        <v>46089</v>
      </c>
      <c r="B1592" s="14" t="s">
        <v>42</v>
      </c>
      <c r="C1592" s="14" t="s">
        <v>43</v>
      </c>
      <c r="D1592" s="14" t="s">
        <v>44</v>
      </c>
      <c r="E1592" s="14" t="s">
        <v>76</v>
      </c>
      <c r="F1592" s="14" t="s">
        <v>100</v>
      </c>
      <c r="G1592" s="14" t="s">
        <v>101</v>
      </c>
      <c r="H1592" s="0" t="n">
        <v>13</v>
      </c>
      <c r="I1592" s="16" t="n">
        <v>15.59</v>
      </c>
      <c r="J1592" s="16" t="n">
        <v>5.5</v>
      </c>
      <c r="K1592" s="16" t="n">
        <f aca="false">H1592*I1592</f>
        <v>202.67</v>
      </c>
      <c r="L1592" s="16" t="n">
        <f aca="false">H1592*J1592</f>
        <v>71.5</v>
      </c>
      <c r="M1592" s="16" t="n">
        <f aca="false">K1592-L1592</f>
        <v>131.17</v>
      </c>
      <c r="N1592" s="17" t="n">
        <f aca="false">IFERROR(M1592/K1592,0)</f>
        <v>0.647209749839641</v>
      </c>
    </row>
    <row r="1593" customFormat="false" ht="15" hidden="false" customHeight="false" outlineLevel="0" collapsed="false">
      <c r="A1593" s="15" t="n">
        <v>46089</v>
      </c>
      <c r="B1593" s="14" t="s">
        <v>42</v>
      </c>
      <c r="C1593" s="14" t="s">
        <v>43</v>
      </c>
      <c r="D1593" s="14" t="s">
        <v>44</v>
      </c>
      <c r="E1593" s="14" t="s">
        <v>76</v>
      </c>
      <c r="F1593" s="14" t="s">
        <v>77</v>
      </c>
      <c r="G1593" s="14" t="s">
        <v>78</v>
      </c>
      <c r="H1593" s="0" t="n">
        <v>10</v>
      </c>
      <c r="I1593" s="16" t="n">
        <v>40.24</v>
      </c>
      <c r="J1593" s="16" t="n">
        <v>15</v>
      </c>
      <c r="K1593" s="16" t="n">
        <f aca="false">H1593*I1593</f>
        <v>402.4</v>
      </c>
      <c r="L1593" s="16" t="n">
        <f aca="false">H1593*J1593</f>
        <v>150</v>
      </c>
      <c r="M1593" s="16" t="n">
        <f aca="false">K1593-L1593</f>
        <v>252.4</v>
      </c>
      <c r="N1593" s="17" t="n">
        <f aca="false">IFERROR(M1593/K1593,0)</f>
        <v>0.627236580516899</v>
      </c>
    </row>
    <row r="1594" customFormat="false" ht="15" hidden="false" customHeight="false" outlineLevel="0" collapsed="false">
      <c r="A1594" s="15" t="n">
        <v>46089</v>
      </c>
      <c r="B1594" s="14" t="s">
        <v>50</v>
      </c>
      <c r="C1594" s="14" t="s">
        <v>51</v>
      </c>
      <c r="D1594" s="14" t="s">
        <v>52</v>
      </c>
      <c r="E1594" s="14" t="s">
        <v>76</v>
      </c>
      <c r="F1594" s="14" t="s">
        <v>79</v>
      </c>
      <c r="G1594" s="14" t="s">
        <v>80</v>
      </c>
      <c r="H1594" s="0" t="n">
        <v>1</v>
      </c>
      <c r="I1594" s="16" t="n">
        <v>29.62</v>
      </c>
      <c r="J1594" s="16" t="n">
        <v>11</v>
      </c>
      <c r="K1594" s="16" t="n">
        <f aca="false">H1594*I1594</f>
        <v>29.62</v>
      </c>
      <c r="L1594" s="16" t="n">
        <f aca="false">H1594*J1594</f>
        <v>11</v>
      </c>
      <c r="M1594" s="16" t="n">
        <f aca="false">K1594-L1594</f>
        <v>18.62</v>
      </c>
      <c r="N1594" s="17" t="n">
        <f aca="false">IFERROR(M1594/K1594,0)</f>
        <v>0.62862930452397</v>
      </c>
    </row>
    <row r="1595" customFormat="false" ht="15" hidden="false" customHeight="false" outlineLevel="0" collapsed="false">
      <c r="A1595" s="15" t="n">
        <v>46089</v>
      </c>
      <c r="B1595" s="14" t="s">
        <v>50</v>
      </c>
      <c r="C1595" s="14" t="s">
        <v>51</v>
      </c>
      <c r="D1595" s="14" t="s">
        <v>52</v>
      </c>
      <c r="E1595" s="14" t="s">
        <v>45</v>
      </c>
      <c r="F1595" s="14" t="s">
        <v>62</v>
      </c>
      <c r="G1595" s="14" t="s">
        <v>63</v>
      </c>
      <c r="H1595" s="0" t="n">
        <v>8</v>
      </c>
      <c r="I1595" s="16" t="n">
        <v>17.36</v>
      </c>
      <c r="J1595" s="16" t="n">
        <v>6.5</v>
      </c>
      <c r="K1595" s="16" t="n">
        <f aca="false">H1595*I1595</f>
        <v>138.88</v>
      </c>
      <c r="L1595" s="16" t="n">
        <f aca="false">H1595*J1595</f>
        <v>52</v>
      </c>
      <c r="M1595" s="16" t="n">
        <f aca="false">K1595-L1595</f>
        <v>86.88</v>
      </c>
      <c r="N1595" s="17" t="n">
        <f aca="false">IFERROR(M1595/K1595,0)</f>
        <v>0.625576036866359</v>
      </c>
    </row>
    <row r="1596" customFormat="false" ht="15" hidden="false" customHeight="false" outlineLevel="0" collapsed="false">
      <c r="A1596" s="15" t="n">
        <v>46089</v>
      </c>
      <c r="B1596" s="14" t="s">
        <v>50</v>
      </c>
      <c r="C1596" s="14" t="s">
        <v>51</v>
      </c>
      <c r="D1596" s="14" t="s">
        <v>52</v>
      </c>
      <c r="E1596" s="14" t="s">
        <v>76</v>
      </c>
      <c r="F1596" s="14" t="s">
        <v>102</v>
      </c>
      <c r="G1596" s="14" t="s">
        <v>103</v>
      </c>
      <c r="H1596" s="0" t="n">
        <v>3</v>
      </c>
      <c r="I1596" s="16" t="n">
        <v>23.11</v>
      </c>
      <c r="J1596" s="16" t="n">
        <v>8.5</v>
      </c>
      <c r="K1596" s="16" t="n">
        <f aca="false">H1596*I1596</f>
        <v>69.33</v>
      </c>
      <c r="L1596" s="16" t="n">
        <f aca="false">H1596*J1596</f>
        <v>25.5</v>
      </c>
      <c r="M1596" s="16" t="n">
        <f aca="false">K1596-L1596</f>
        <v>43.83</v>
      </c>
      <c r="N1596" s="17" t="n">
        <f aca="false">IFERROR(M1596/K1596,0)</f>
        <v>0.632193855473821</v>
      </c>
    </row>
    <row r="1597" customFormat="false" ht="15" hidden="false" customHeight="false" outlineLevel="0" collapsed="false">
      <c r="A1597" s="15" t="n">
        <v>46089</v>
      </c>
      <c r="B1597" s="14" t="s">
        <v>50</v>
      </c>
      <c r="C1597" s="14" t="s">
        <v>51</v>
      </c>
      <c r="D1597" s="14" t="s">
        <v>52</v>
      </c>
      <c r="E1597" s="14" t="s">
        <v>53</v>
      </c>
      <c r="F1597" s="14" t="s">
        <v>84</v>
      </c>
      <c r="G1597" s="14" t="s">
        <v>85</v>
      </c>
      <c r="H1597" s="0" t="n">
        <v>10</v>
      </c>
      <c r="I1597" s="16" t="n">
        <v>23.02</v>
      </c>
      <c r="J1597" s="16" t="n">
        <v>9</v>
      </c>
      <c r="K1597" s="16" t="n">
        <f aca="false">H1597*I1597</f>
        <v>230.2</v>
      </c>
      <c r="L1597" s="16" t="n">
        <f aca="false">H1597*J1597</f>
        <v>90</v>
      </c>
      <c r="M1597" s="16" t="n">
        <f aca="false">K1597-L1597</f>
        <v>140.2</v>
      </c>
      <c r="N1597" s="17" t="n">
        <f aca="false">IFERROR(M1597/K1597,0)</f>
        <v>0.609035621198957</v>
      </c>
    </row>
    <row r="1598" customFormat="false" ht="15" hidden="false" customHeight="false" outlineLevel="0" collapsed="false">
      <c r="A1598" s="15" t="n">
        <v>46089</v>
      </c>
      <c r="B1598" s="14" t="s">
        <v>59</v>
      </c>
      <c r="C1598" s="14" t="s">
        <v>60</v>
      </c>
      <c r="D1598" s="14" t="s">
        <v>61</v>
      </c>
      <c r="E1598" s="14" t="s">
        <v>76</v>
      </c>
      <c r="F1598" s="14" t="s">
        <v>102</v>
      </c>
      <c r="G1598" s="14" t="s">
        <v>103</v>
      </c>
      <c r="H1598" s="0" t="n">
        <v>2</v>
      </c>
      <c r="I1598" s="16" t="n">
        <v>23.88</v>
      </c>
      <c r="J1598" s="16" t="n">
        <v>8.5</v>
      </c>
      <c r="K1598" s="16" t="n">
        <f aca="false">H1598*I1598</f>
        <v>47.76</v>
      </c>
      <c r="L1598" s="16" t="n">
        <f aca="false">H1598*J1598</f>
        <v>17</v>
      </c>
      <c r="M1598" s="16" t="n">
        <f aca="false">K1598-L1598</f>
        <v>30.76</v>
      </c>
      <c r="N1598" s="17" t="n">
        <f aca="false">IFERROR(M1598/K1598,0)</f>
        <v>0.644053601340034</v>
      </c>
    </row>
    <row r="1599" customFormat="false" ht="15" hidden="false" customHeight="false" outlineLevel="0" collapsed="false">
      <c r="A1599" s="15" t="n">
        <v>46089</v>
      </c>
      <c r="B1599" s="14" t="s">
        <v>59</v>
      </c>
      <c r="C1599" s="14" t="s">
        <v>60</v>
      </c>
      <c r="D1599" s="14" t="s">
        <v>61</v>
      </c>
      <c r="E1599" s="14" t="s">
        <v>53</v>
      </c>
      <c r="F1599" s="14" t="s">
        <v>92</v>
      </c>
      <c r="G1599" s="14" t="s">
        <v>93</v>
      </c>
      <c r="H1599" s="0" t="n">
        <v>4</v>
      </c>
      <c r="I1599" s="16" t="n">
        <v>118.65</v>
      </c>
      <c r="J1599" s="16" t="n">
        <v>52</v>
      </c>
      <c r="K1599" s="16" t="n">
        <f aca="false">H1599*I1599</f>
        <v>474.6</v>
      </c>
      <c r="L1599" s="16" t="n">
        <f aca="false">H1599*J1599</f>
        <v>208</v>
      </c>
      <c r="M1599" s="16" t="n">
        <f aca="false">K1599-L1599</f>
        <v>266.6</v>
      </c>
      <c r="N1599" s="17" t="n">
        <f aca="false">IFERROR(M1599/K1599,0)</f>
        <v>0.561736198904341</v>
      </c>
    </row>
    <row r="1600" customFormat="false" ht="15" hidden="false" customHeight="false" outlineLevel="0" collapsed="false">
      <c r="A1600" s="15" t="n">
        <v>46089</v>
      </c>
      <c r="B1600" s="14" t="s">
        <v>59</v>
      </c>
      <c r="C1600" s="14" t="s">
        <v>60</v>
      </c>
      <c r="D1600" s="14" t="s">
        <v>61</v>
      </c>
      <c r="E1600" s="14" t="s">
        <v>53</v>
      </c>
      <c r="F1600" s="14" t="s">
        <v>84</v>
      </c>
      <c r="G1600" s="14" t="s">
        <v>85</v>
      </c>
      <c r="H1600" s="0" t="n">
        <v>7</v>
      </c>
      <c r="I1600" s="16" t="n">
        <v>24.76</v>
      </c>
      <c r="J1600" s="16" t="n">
        <v>9</v>
      </c>
      <c r="K1600" s="16" t="n">
        <f aca="false">H1600*I1600</f>
        <v>173.32</v>
      </c>
      <c r="L1600" s="16" t="n">
        <f aca="false">H1600*J1600</f>
        <v>63</v>
      </c>
      <c r="M1600" s="16" t="n">
        <f aca="false">K1600-L1600</f>
        <v>110.32</v>
      </c>
      <c r="N1600" s="17" t="n">
        <f aca="false">IFERROR(M1600/K1600,0)</f>
        <v>0.636510500807755</v>
      </c>
    </row>
    <row r="1601" customFormat="false" ht="15" hidden="false" customHeight="false" outlineLevel="0" collapsed="false">
      <c r="A1601" s="15" t="n">
        <v>46089</v>
      </c>
      <c r="B1601" s="14" t="s">
        <v>59</v>
      </c>
      <c r="C1601" s="14" t="s">
        <v>60</v>
      </c>
      <c r="D1601" s="14" t="s">
        <v>61</v>
      </c>
      <c r="E1601" s="14" t="s">
        <v>64</v>
      </c>
      <c r="F1601" s="14" t="s">
        <v>65</v>
      </c>
      <c r="G1601" s="14" t="s">
        <v>66</v>
      </c>
      <c r="H1601" s="0" t="n">
        <v>5</v>
      </c>
      <c r="I1601" s="16" t="n">
        <v>78.16</v>
      </c>
      <c r="J1601" s="16" t="n">
        <v>34</v>
      </c>
      <c r="K1601" s="16" t="n">
        <f aca="false">H1601*I1601</f>
        <v>390.8</v>
      </c>
      <c r="L1601" s="16" t="n">
        <f aca="false">H1601*J1601</f>
        <v>170</v>
      </c>
      <c r="M1601" s="16" t="n">
        <f aca="false">K1601-L1601</f>
        <v>220.8</v>
      </c>
      <c r="N1601" s="17" t="n">
        <f aca="false">IFERROR(M1601/K1601,0)</f>
        <v>0.564994882292733</v>
      </c>
    </row>
    <row r="1602" customFormat="false" ht="15" hidden="false" customHeight="false" outlineLevel="0" collapsed="false">
      <c r="A1602" s="15" t="n">
        <v>46089</v>
      </c>
      <c r="B1602" s="14" t="s">
        <v>59</v>
      </c>
      <c r="C1602" s="14" t="s">
        <v>60</v>
      </c>
      <c r="D1602" s="14" t="s">
        <v>61</v>
      </c>
      <c r="E1602" s="14" t="s">
        <v>64</v>
      </c>
      <c r="F1602" s="14" t="s">
        <v>90</v>
      </c>
      <c r="G1602" s="14" t="s">
        <v>91</v>
      </c>
      <c r="H1602" s="0" t="n">
        <v>7</v>
      </c>
      <c r="I1602" s="16" t="n">
        <v>11.93</v>
      </c>
      <c r="J1602" s="16" t="n">
        <v>3.5</v>
      </c>
      <c r="K1602" s="16" t="n">
        <f aca="false">H1602*I1602</f>
        <v>83.51</v>
      </c>
      <c r="L1602" s="16" t="n">
        <f aca="false">H1602*J1602</f>
        <v>24.5</v>
      </c>
      <c r="M1602" s="16" t="n">
        <f aca="false">K1602-L1602</f>
        <v>59.01</v>
      </c>
      <c r="N1602" s="17" t="n">
        <f aca="false">IFERROR(M1602/K1602,0)</f>
        <v>0.706621961441744</v>
      </c>
    </row>
    <row r="1603" customFormat="false" ht="15" hidden="false" customHeight="false" outlineLevel="0" collapsed="false">
      <c r="A1603" s="15" t="n">
        <v>46089</v>
      </c>
      <c r="B1603" s="14" t="s">
        <v>69</v>
      </c>
      <c r="C1603" s="14" t="s">
        <v>70</v>
      </c>
      <c r="D1603" s="14" t="s">
        <v>71</v>
      </c>
      <c r="E1603" s="14" t="s">
        <v>64</v>
      </c>
      <c r="F1603" s="14" t="s">
        <v>65</v>
      </c>
      <c r="G1603" s="14" t="s">
        <v>66</v>
      </c>
      <c r="H1603" s="0" t="n">
        <v>3</v>
      </c>
      <c r="I1603" s="16" t="n">
        <v>77.09</v>
      </c>
      <c r="J1603" s="16" t="n">
        <v>34</v>
      </c>
      <c r="K1603" s="16" t="n">
        <f aca="false">H1603*I1603</f>
        <v>231.27</v>
      </c>
      <c r="L1603" s="16" t="n">
        <f aca="false">H1603*J1603</f>
        <v>102</v>
      </c>
      <c r="M1603" s="16" t="n">
        <f aca="false">K1603-L1603</f>
        <v>129.27</v>
      </c>
      <c r="N1603" s="17" t="n">
        <f aca="false">IFERROR(M1603/K1603,0)</f>
        <v>0.558957063172915</v>
      </c>
    </row>
    <row r="1604" customFormat="false" ht="15" hidden="false" customHeight="false" outlineLevel="0" collapsed="false">
      <c r="A1604" s="15" t="n">
        <v>46089</v>
      </c>
      <c r="B1604" s="14" t="s">
        <v>69</v>
      </c>
      <c r="C1604" s="14" t="s">
        <v>70</v>
      </c>
      <c r="D1604" s="14" t="s">
        <v>71</v>
      </c>
      <c r="E1604" s="14" t="s">
        <v>56</v>
      </c>
      <c r="F1604" s="14" t="s">
        <v>98</v>
      </c>
      <c r="G1604" s="14" t="s">
        <v>99</v>
      </c>
      <c r="H1604" s="0" t="n">
        <v>7</v>
      </c>
      <c r="I1604" s="16" t="n">
        <v>20.98</v>
      </c>
      <c r="J1604" s="16" t="n">
        <v>8</v>
      </c>
      <c r="K1604" s="16" t="n">
        <f aca="false">H1604*I1604</f>
        <v>146.86</v>
      </c>
      <c r="L1604" s="16" t="n">
        <f aca="false">H1604*J1604</f>
        <v>56</v>
      </c>
      <c r="M1604" s="16" t="n">
        <f aca="false">K1604-L1604</f>
        <v>90.86</v>
      </c>
      <c r="N1604" s="17" t="n">
        <f aca="false">IFERROR(M1604/K1604,0)</f>
        <v>0.618684461391802</v>
      </c>
    </row>
    <row r="1605" customFormat="false" ht="15" hidden="false" customHeight="false" outlineLevel="0" collapsed="false">
      <c r="A1605" s="15" t="n">
        <v>46089</v>
      </c>
      <c r="B1605" s="14" t="s">
        <v>69</v>
      </c>
      <c r="C1605" s="14" t="s">
        <v>70</v>
      </c>
      <c r="D1605" s="14" t="s">
        <v>71</v>
      </c>
      <c r="E1605" s="14" t="s">
        <v>56</v>
      </c>
      <c r="F1605" s="14" t="s">
        <v>67</v>
      </c>
      <c r="G1605" s="14" t="s">
        <v>68</v>
      </c>
      <c r="H1605" s="0" t="n">
        <v>9</v>
      </c>
      <c r="I1605" s="16" t="n">
        <v>37.07</v>
      </c>
      <c r="J1605" s="16" t="n">
        <v>15</v>
      </c>
      <c r="K1605" s="16" t="n">
        <f aca="false">H1605*I1605</f>
        <v>333.63</v>
      </c>
      <c r="L1605" s="16" t="n">
        <f aca="false">H1605*J1605</f>
        <v>135</v>
      </c>
      <c r="M1605" s="16" t="n">
        <f aca="false">K1605-L1605</f>
        <v>198.63</v>
      </c>
      <c r="N1605" s="17" t="n">
        <f aca="false">IFERROR(M1605/K1605,0)</f>
        <v>0.595360129484759</v>
      </c>
    </row>
    <row r="1606" customFormat="false" ht="15" hidden="false" customHeight="false" outlineLevel="0" collapsed="false">
      <c r="A1606" s="15" t="n">
        <v>46089</v>
      </c>
      <c r="B1606" s="14" t="s">
        <v>69</v>
      </c>
      <c r="C1606" s="14" t="s">
        <v>70</v>
      </c>
      <c r="D1606" s="14" t="s">
        <v>71</v>
      </c>
      <c r="E1606" s="14" t="s">
        <v>45</v>
      </c>
      <c r="F1606" s="14" t="s">
        <v>62</v>
      </c>
      <c r="G1606" s="14" t="s">
        <v>63</v>
      </c>
      <c r="H1606" s="0" t="n">
        <v>9</v>
      </c>
      <c r="I1606" s="16" t="n">
        <v>17.7</v>
      </c>
      <c r="J1606" s="16" t="n">
        <v>6.5</v>
      </c>
      <c r="K1606" s="16" t="n">
        <f aca="false">H1606*I1606</f>
        <v>159.3</v>
      </c>
      <c r="L1606" s="16" t="n">
        <f aca="false">H1606*J1606</f>
        <v>58.5</v>
      </c>
      <c r="M1606" s="16" t="n">
        <f aca="false">K1606-L1606</f>
        <v>100.8</v>
      </c>
      <c r="N1606" s="17" t="n">
        <f aca="false">IFERROR(M1606/K1606,0)</f>
        <v>0.632768361581921</v>
      </c>
    </row>
    <row r="1607" customFormat="false" ht="15" hidden="false" customHeight="false" outlineLevel="0" collapsed="false">
      <c r="A1607" s="15" t="n">
        <v>46089</v>
      </c>
      <c r="B1607" s="14" t="s">
        <v>81</v>
      </c>
      <c r="C1607" s="14" t="s">
        <v>82</v>
      </c>
      <c r="D1607" s="14" t="s">
        <v>83</v>
      </c>
      <c r="E1607" s="14" t="s">
        <v>45</v>
      </c>
      <c r="F1607" s="14" t="s">
        <v>72</v>
      </c>
      <c r="G1607" s="14" t="s">
        <v>73</v>
      </c>
      <c r="H1607" s="0" t="n">
        <v>4</v>
      </c>
      <c r="I1607" s="16" t="n">
        <v>50.45</v>
      </c>
      <c r="J1607" s="16" t="n">
        <v>21</v>
      </c>
      <c r="K1607" s="16" t="n">
        <f aca="false">H1607*I1607</f>
        <v>201.8</v>
      </c>
      <c r="L1607" s="16" t="n">
        <f aca="false">H1607*J1607</f>
        <v>84</v>
      </c>
      <c r="M1607" s="16" t="n">
        <f aca="false">K1607-L1607</f>
        <v>117.8</v>
      </c>
      <c r="N1607" s="17" t="n">
        <f aca="false">IFERROR(M1607/K1607,0)</f>
        <v>0.583746283448959</v>
      </c>
    </row>
    <row r="1608" customFormat="false" ht="15" hidden="false" customHeight="false" outlineLevel="0" collapsed="false">
      <c r="A1608" s="15" t="n">
        <v>46089</v>
      </c>
      <c r="B1608" s="14" t="s">
        <v>81</v>
      </c>
      <c r="C1608" s="14" t="s">
        <v>82</v>
      </c>
      <c r="D1608" s="14" t="s">
        <v>83</v>
      </c>
      <c r="E1608" s="14" t="s">
        <v>76</v>
      </c>
      <c r="F1608" s="14" t="s">
        <v>79</v>
      </c>
      <c r="G1608" s="14" t="s">
        <v>80</v>
      </c>
      <c r="H1608" s="0" t="n">
        <v>2</v>
      </c>
      <c r="I1608" s="16" t="n">
        <v>27.98</v>
      </c>
      <c r="J1608" s="16" t="n">
        <v>11</v>
      </c>
      <c r="K1608" s="16" t="n">
        <f aca="false">H1608*I1608</f>
        <v>55.96</v>
      </c>
      <c r="L1608" s="16" t="n">
        <f aca="false">H1608*J1608</f>
        <v>22</v>
      </c>
      <c r="M1608" s="16" t="n">
        <f aca="false">K1608-L1608</f>
        <v>33.96</v>
      </c>
      <c r="N1608" s="17" t="n">
        <f aca="false">IFERROR(M1608/K1608,0)</f>
        <v>0.60686204431737</v>
      </c>
    </row>
    <row r="1609" customFormat="false" ht="15" hidden="false" customHeight="false" outlineLevel="0" collapsed="false">
      <c r="A1609" s="15" t="n">
        <v>46089</v>
      </c>
      <c r="B1609" s="14" t="s">
        <v>81</v>
      </c>
      <c r="C1609" s="14" t="s">
        <v>82</v>
      </c>
      <c r="D1609" s="14" t="s">
        <v>83</v>
      </c>
      <c r="E1609" s="14" t="s">
        <v>56</v>
      </c>
      <c r="F1609" s="14" t="s">
        <v>86</v>
      </c>
      <c r="G1609" s="14" t="s">
        <v>87</v>
      </c>
      <c r="H1609" s="0" t="n">
        <v>7</v>
      </c>
      <c r="I1609" s="16" t="n">
        <v>14.75</v>
      </c>
      <c r="J1609" s="16" t="n">
        <v>5</v>
      </c>
      <c r="K1609" s="16" t="n">
        <f aca="false">H1609*I1609</f>
        <v>103.25</v>
      </c>
      <c r="L1609" s="16" t="n">
        <f aca="false">H1609*J1609</f>
        <v>35</v>
      </c>
      <c r="M1609" s="16" t="n">
        <f aca="false">K1609-L1609</f>
        <v>68.25</v>
      </c>
      <c r="N1609" s="17" t="n">
        <f aca="false">IFERROR(M1609/K1609,0)</f>
        <v>0.661016949152542</v>
      </c>
    </row>
    <row r="1610" customFormat="false" ht="15" hidden="false" customHeight="false" outlineLevel="0" collapsed="false">
      <c r="A1610" s="15" t="n">
        <v>46089</v>
      </c>
      <c r="B1610" s="14" t="s">
        <v>88</v>
      </c>
      <c r="C1610" s="14" t="s">
        <v>89</v>
      </c>
      <c r="D1610" s="14" t="s">
        <v>44</v>
      </c>
      <c r="E1610" s="14" t="s">
        <v>64</v>
      </c>
      <c r="F1610" s="14" t="s">
        <v>90</v>
      </c>
      <c r="G1610" s="14" t="s">
        <v>91</v>
      </c>
      <c r="H1610" s="0" t="n">
        <v>4</v>
      </c>
      <c r="I1610" s="16" t="n">
        <v>11.29</v>
      </c>
      <c r="J1610" s="16" t="n">
        <v>3.5</v>
      </c>
      <c r="K1610" s="16" t="n">
        <f aca="false">H1610*I1610</f>
        <v>45.16</v>
      </c>
      <c r="L1610" s="16" t="n">
        <f aca="false">H1610*J1610</f>
        <v>14</v>
      </c>
      <c r="M1610" s="16" t="n">
        <f aca="false">K1610-L1610</f>
        <v>31.16</v>
      </c>
      <c r="N1610" s="17" t="n">
        <f aca="false">IFERROR(M1610/K1610,0)</f>
        <v>0.689991142604074</v>
      </c>
    </row>
    <row r="1611" customFormat="false" ht="15" hidden="false" customHeight="false" outlineLevel="0" collapsed="false">
      <c r="A1611" s="15" t="n">
        <v>46089</v>
      </c>
      <c r="B1611" s="14" t="s">
        <v>88</v>
      </c>
      <c r="C1611" s="14" t="s">
        <v>89</v>
      </c>
      <c r="D1611" s="14" t="s">
        <v>44</v>
      </c>
      <c r="E1611" s="14" t="s">
        <v>56</v>
      </c>
      <c r="F1611" s="14" t="s">
        <v>67</v>
      </c>
      <c r="G1611" s="14" t="s">
        <v>68</v>
      </c>
      <c r="H1611" s="0" t="n">
        <v>7</v>
      </c>
      <c r="I1611" s="16" t="n">
        <v>35.56</v>
      </c>
      <c r="J1611" s="16" t="n">
        <v>15</v>
      </c>
      <c r="K1611" s="16" t="n">
        <f aca="false">H1611*I1611</f>
        <v>248.92</v>
      </c>
      <c r="L1611" s="16" t="n">
        <f aca="false">H1611*J1611</f>
        <v>105</v>
      </c>
      <c r="M1611" s="16" t="n">
        <f aca="false">K1611-L1611</f>
        <v>143.92</v>
      </c>
      <c r="N1611" s="17" t="n">
        <f aca="false">IFERROR(M1611/K1611,0)</f>
        <v>0.578177727784027</v>
      </c>
    </row>
    <row r="1612" customFormat="false" ht="15" hidden="false" customHeight="false" outlineLevel="0" collapsed="false">
      <c r="A1612" s="15" t="n">
        <v>46089</v>
      </c>
      <c r="B1612" s="14" t="s">
        <v>88</v>
      </c>
      <c r="C1612" s="14" t="s">
        <v>89</v>
      </c>
      <c r="D1612" s="14" t="s">
        <v>44</v>
      </c>
      <c r="E1612" s="14" t="s">
        <v>64</v>
      </c>
      <c r="F1612" s="14" t="s">
        <v>94</v>
      </c>
      <c r="G1612" s="14" t="s">
        <v>95</v>
      </c>
      <c r="H1612" s="0" t="n">
        <v>4</v>
      </c>
      <c r="I1612" s="16" t="n">
        <v>94.2</v>
      </c>
      <c r="J1612" s="16" t="n">
        <v>42</v>
      </c>
      <c r="K1612" s="16" t="n">
        <f aca="false">H1612*I1612</f>
        <v>376.8</v>
      </c>
      <c r="L1612" s="16" t="n">
        <f aca="false">H1612*J1612</f>
        <v>168</v>
      </c>
      <c r="M1612" s="16" t="n">
        <f aca="false">K1612-L1612</f>
        <v>208.8</v>
      </c>
      <c r="N1612" s="17" t="n">
        <f aca="false">IFERROR(M1612/K1612,0)</f>
        <v>0.554140127388535</v>
      </c>
    </row>
    <row r="1613" customFormat="false" ht="15" hidden="false" customHeight="false" outlineLevel="0" collapsed="false">
      <c r="A1613" s="15" t="n">
        <v>46089</v>
      </c>
      <c r="B1613" s="14" t="s">
        <v>88</v>
      </c>
      <c r="C1613" s="14" t="s">
        <v>89</v>
      </c>
      <c r="D1613" s="14" t="s">
        <v>44</v>
      </c>
      <c r="E1613" s="14" t="s">
        <v>64</v>
      </c>
      <c r="F1613" s="14" t="s">
        <v>96</v>
      </c>
      <c r="G1613" s="14" t="s">
        <v>97</v>
      </c>
      <c r="H1613" s="0" t="n">
        <v>1</v>
      </c>
      <c r="I1613" s="16" t="n">
        <v>58.76</v>
      </c>
      <c r="J1613" s="16" t="n">
        <v>24</v>
      </c>
      <c r="K1613" s="16" t="n">
        <f aca="false">H1613*I1613</f>
        <v>58.76</v>
      </c>
      <c r="L1613" s="16" t="n">
        <f aca="false">H1613*J1613</f>
        <v>24</v>
      </c>
      <c r="M1613" s="16" t="n">
        <f aca="false">K1613-L1613</f>
        <v>34.76</v>
      </c>
      <c r="N1613" s="17" t="n">
        <f aca="false">IFERROR(M1613/K1613,0)</f>
        <v>0.591558883594282</v>
      </c>
    </row>
    <row r="1614" customFormat="false" ht="15" hidden="false" customHeight="false" outlineLevel="0" collapsed="false">
      <c r="A1614" s="15" t="n">
        <v>46090</v>
      </c>
      <c r="B1614" s="14" t="s">
        <v>42</v>
      </c>
      <c r="C1614" s="14" t="s">
        <v>43</v>
      </c>
      <c r="D1614" s="14" t="s">
        <v>44</v>
      </c>
      <c r="E1614" s="14" t="s">
        <v>56</v>
      </c>
      <c r="F1614" s="14" t="s">
        <v>86</v>
      </c>
      <c r="G1614" s="14" t="s">
        <v>87</v>
      </c>
      <c r="H1614" s="0" t="n">
        <v>3</v>
      </c>
      <c r="I1614" s="16" t="n">
        <v>14.97</v>
      </c>
      <c r="J1614" s="16" t="n">
        <v>5</v>
      </c>
      <c r="K1614" s="16" t="n">
        <f aca="false">H1614*I1614</f>
        <v>44.91</v>
      </c>
      <c r="L1614" s="16" t="n">
        <f aca="false">H1614*J1614</f>
        <v>15</v>
      </c>
      <c r="M1614" s="16" t="n">
        <f aca="false">K1614-L1614</f>
        <v>29.91</v>
      </c>
      <c r="N1614" s="17" t="n">
        <f aca="false">IFERROR(M1614/K1614,0)</f>
        <v>0.665998663994656</v>
      </c>
    </row>
    <row r="1615" customFormat="false" ht="15" hidden="false" customHeight="false" outlineLevel="0" collapsed="false">
      <c r="A1615" s="15" t="n">
        <v>46090</v>
      </c>
      <c r="B1615" s="14" t="s">
        <v>42</v>
      </c>
      <c r="C1615" s="14" t="s">
        <v>43</v>
      </c>
      <c r="D1615" s="14" t="s">
        <v>44</v>
      </c>
      <c r="E1615" s="14" t="s">
        <v>53</v>
      </c>
      <c r="F1615" s="14" t="s">
        <v>92</v>
      </c>
      <c r="G1615" s="14" t="s">
        <v>93</v>
      </c>
      <c r="H1615" s="0" t="n">
        <v>4</v>
      </c>
      <c r="I1615" s="16" t="n">
        <v>110.88</v>
      </c>
      <c r="J1615" s="16" t="n">
        <v>52</v>
      </c>
      <c r="K1615" s="16" t="n">
        <f aca="false">H1615*I1615</f>
        <v>443.52</v>
      </c>
      <c r="L1615" s="16" t="n">
        <f aca="false">H1615*J1615</f>
        <v>208</v>
      </c>
      <c r="M1615" s="16" t="n">
        <f aca="false">K1615-L1615</f>
        <v>235.52</v>
      </c>
      <c r="N1615" s="17" t="n">
        <f aca="false">IFERROR(M1615/K1615,0)</f>
        <v>0.531024531024531</v>
      </c>
    </row>
    <row r="1616" customFormat="false" ht="15" hidden="false" customHeight="false" outlineLevel="0" collapsed="false">
      <c r="A1616" s="15" t="n">
        <v>46090</v>
      </c>
      <c r="B1616" s="14" t="s">
        <v>42</v>
      </c>
      <c r="C1616" s="14" t="s">
        <v>43</v>
      </c>
      <c r="D1616" s="14" t="s">
        <v>44</v>
      </c>
      <c r="E1616" s="14" t="s">
        <v>56</v>
      </c>
      <c r="F1616" s="14" t="s">
        <v>57</v>
      </c>
      <c r="G1616" s="14" t="s">
        <v>58</v>
      </c>
      <c r="H1616" s="0" t="n">
        <v>7</v>
      </c>
      <c r="I1616" s="16" t="n">
        <v>25.16</v>
      </c>
      <c r="J1616" s="16" t="n">
        <v>10</v>
      </c>
      <c r="K1616" s="16" t="n">
        <f aca="false">H1616*I1616</f>
        <v>176.12</v>
      </c>
      <c r="L1616" s="16" t="n">
        <f aca="false">H1616*J1616</f>
        <v>70</v>
      </c>
      <c r="M1616" s="16" t="n">
        <f aca="false">K1616-L1616</f>
        <v>106.12</v>
      </c>
      <c r="N1616" s="17" t="n">
        <f aca="false">IFERROR(M1616/K1616,0)</f>
        <v>0.602543720190779</v>
      </c>
    </row>
    <row r="1617" customFormat="false" ht="15" hidden="false" customHeight="false" outlineLevel="0" collapsed="false">
      <c r="A1617" s="15" t="n">
        <v>46090</v>
      </c>
      <c r="B1617" s="14" t="s">
        <v>42</v>
      </c>
      <c r="C1617" s="14" t="s">
        <v>43</v>
      </c>
      <c r="D1617" s="14" t="s">
        <v>44</v>
      </c>
      <c r="E1617" s="14" t="s">
        <v>76</v>
      </c>
      <c r="F1617" s="14" t="s">
        <v>77</v>
      </c>
      <c r="G1617" s="14" t="s">
        <v>78</v>
      </c>
      <c r="H1617" s="0" t="n">
        <v>3</v>
      </c>
      <c r="I1617" s="16" t="n">
        <v>38.69</v>
      </c>
      <c r="J1617" s="16" t="n">
        <v>15</v>
      </c>
      <c r="K1617" s="16" t="n">
        <f aca="false">H1617*I1617</f>
        <v>116.07</v>
      </c>
      <c r="L1617" s="16" t="n">
        <f aca="false">H1617*J1617</f>
        <v>45</v>
      </c>
      <c r="M1617" s="16" t="n">
        <f aca="false">K1617-L1617</f>
        <v>71.07</v>
      </c>
      <c r="N1617" s="17" t="n">
        <f aca="false">IFERROR(M1617/K1617,0)</f>
        <v>0.612302920651331</v>
      </c>
    </row>
    <row r="1618" customFormat="false" ht="15" hidden="false" customHeight="false" outlineLevel="0" collapsed="false">
      <c r="A1618" s="15" t="n">
        <v>46090</v>
      </c>
      <c r="B1618" s="14" t="s">
        <v>42</v>
      </c>
      <c r="C1618" s="14" t="s">
        <v>43</v>
      </c>
      <c r="D1618" s="14" t="s">
        <v>44</v>
      </c>
      <c r="E1618" s="14" t="s">
        <v>56</v>
      </c>
      <c r="F1618" s="14" t="s">
        <v>57</v>
      </c>
      <c r="G1618" s="14" t="s">
        <v>58</v>
      </c>
      <c r="H1618" s="0" t="n">
        <v>11</v>
      </c>
      <c r="I1618" s="16" t="n">
        <v>26.63</v>
      </c>
      <c r="J1618" s="16" t="n">
        <v>10</v>
      </c>
      <c r="K1618" s="16" t="n">
        <f aca="false">H1618*I1618</f>
        <v>292.93</v>
      </c>
      <c r="L1618" s="16" t="n">
        <f aca="false">H1618*J1618</f>
        <v>110</v>
      </c>
      <c r="M1618" s="16" t="n">
        <f aca="false">K1618-L1618</f>
        <v>182.93</v>
      </c>
      <c r="N1618" s="17" t="n">
        <f aca="false">IFERROR(M1618/K1618,0)</f>
        <v>0.624483665039429</v>
      </c>
    </row>
    <row r="1619" customFormat="false" ht="15" hidden="false" customHeight="false" outlineLevel="0" collapsed="false">
      <c r="A1619" s="15" t="n">
        <v>46090</v>
      </c>
      <c r="B1619" s="14" t="s">
        <v>42</v>
      </c>
      <c r="C1619" s="14" t="s">
        <v>43</v>
      </c>
      <c r="D1619" s="14" t="s">
        <v>44</v>
      </c>
      <c r="E1619" s="14" t="s">
        <v>64</v>
      </c>
      <c r="F1619" s="14" t="s">
        <v>65</v>
      </c>
      <c r="G1619" s="14" t="s">
        <v>66</v>
      </c>
      <c r="H1619" s="0" t="n">
        <v>5</v>
      </c>
      <c r="I1619" s="16" t="n">
        <v>77.19</v>
      </c>
      <c r="J1619" s="16" t="n">
        <v>34</v>
      </c>
      <c r="K1619" s="16" t="n">
        <f aca="false">H1619*I1619</f>
        <v>385.95</v>
      </c>
      <c r="L1619" s="16" t="n">
        <f aca="false">H1619*J1619</f>
        <v>170</v>
      </c>
      <c r="M1619" s="16" t="n">
        <f aca="false">K1619-L1619</f>
        <v>215.95</v>
      </c>
      <c r="N1619" s="17" t="n">
        <f aca="false">IFERROR(M1619/K1619,0)</f>
        <v>0.559528436325949</v>
      </c>
    </row>
    <row r="1620" customFormat="false" ht="15" hidden="false" customHeight="false" outlineLevel="0" collapsed="false">
      <c r="A1620" s="15" t="n">
        <v>46090</v>
      </c>
      <c r="B1620" s="14" t="s">
        <v>50</v>
      </c>
      <c r="C1620" s="14" t="s">
        <v>51</v>
      </c>
      <c r="D1620" s="14" t="s">
        <v>52</v>
      </c>
      <c r="E1620" s="14" t="s">
        <v>76</v>
      </c>
      <c r="F1620" s="14" t="s">
        <v>102</v>
      </c>
      <c r="G1620" s="14" t="s">
        <v>103</v>
      </c>
      <c r="H1620" s="0" t="n">
        <v>9</v>
      </c>
      <c r="I1620" s="16" t="n">
        <v>22.81</v>
      </c>
      <c r="J1620" s="16" t="n">
        <v>8.5</v>
      </c>
      <c r="K1620" s="16" t="n">
        <f aca="false">H1620*I1620</f>
        <v>205.29</v>
      </c>
      <c r="L1620" s="16" t="n">
        <f aca="false">H1620*J1620</f>
        <v>76.5</v>
      </c>
      <c r="M1620" s="16" t="n">
        <f aca="false">K1620-L1620</f>
        <v>128.79</v>
      </c>
      <c r="N1620" s="17" t="n">
        <f aca="false">IFERROR(M1620/K1620,0)</f>
        <v>0.627356422621657</v>
      </c>
    </row>
    <row r="1621" customFormat="false" ht="15" hidden="false" customHeight="false" outlineLevel="0" collapsed="false">
      <c r="A1621" s="15" t="n">
        <v>46090</v>
      </c>
      <c r="B1621" s="14" t="s">
        <v>50</v>
      </c>
      <c r="C1621" s="14" t="s">
        <v>51</v>
      </c>
      <c r="D1621" s="14" t="s">
        <v>52</v>
      </c>
      <c r="E1621" s="14" t="s">
        <v>64</v>
      </c>
      <c r="F1621" s="14" t="s">
        <v>96</v>
      </c>
      <c r="G1621" s="14" t="s">
        <v>97</v>
      </c>
      <c r="H1621" s="0" t="n">
        <v>4</v>
      </c>
      <c r="I1621" s="16" t="n">
        <v>58.98</v>
      </c>
      <c r="J1621" s="16" t="n">
        <v>24</v>
      </c>
      <c r="K1621" s="16" t="n">
        <f aca="false">H1621*I1621</f>
        <v>235.92</v>
      </c>
      <c r="L1621" s="16" t="n">
        <f aca="false">H1621*J1621</f>
        <v>96</v>
      </c>
      <c r="M1621" s="16" t="n">
        <f aca="false">K1621-L1621</f>
        <v>139.92</v>
      </c>
      <c r="N1621" s="17" t="n">
        <f aca="false">IFERROR(M1621/K1621,0)</f>
        <v>0.593082400813835</v>
      </c>
    </row>
    <row r="1622" customFormat="false" ht="15" hidden="false" customHeight="false" outlineLevel="0" collapsed="false">
      <c r="A1622" s="15" t="n">
        <v>46090</v>
      </c>
      <c r="B1622" s="14" t="s">
        <v>50</v>
      </c>
      <c r="C1622" s="14" t="s">
        <v>51</v>
      </c>
      <c r="D1622" s="14" t="s">
        <v>52</v>
      </c>
      <c r="E1622" s="14" t="s">
        <v>76</v>
      </c>
      <c r="F1622" s="14" t="s">
        <v>77</v>
      </c>
      <c r="G1622" s="14" t="s">
        <v>78</v>
      </c>
      <c r="H1622" s="0" t="n">
        <v>8</v>
      </c>
      <c r="I1622" s="16" t="n">
        <v>39.25</v>
      </c>
      <c r="J1622" s="16" t="n">
        <v>15</v>
      </c>
      <c r="K1622" s="16" t="n">
        <f aca="false">H1622*I1622</f>
        <v>314</v>
      </c>
      <c r="L1622" s="16" t="n">
        <f aca="false">H1622*J1622</f>
        <v>120</v>
      </c>
      <c r="M1622" s="16" t="n">
        <f aca="false">K1622-L1622</f>
        <v>194</v>
      </c>
      <c r="N1622" s="17" t="n">
        <f aca="false">IFERROR(M1622/K1622,0)</f>
        <v>0.617834394904459</v>
      </c>
    </row>
    <row r="1623" customFormat="false" ht="15" hidden="false" customHeight="false" outlineLevel="0" collapsed="false">
      <c r="A1623" s="15" t="n">
        <v>46090</v>
      </c>
      <c r="B1623" s="14" t="s">
        <v>59</v>
      </c>
      <c r="C1623" s="14" t="s">
        <v>60</v>
      </c>
      <c r="D1623" s="14" t="s">
        <v>61</v>
      </c>
      <c r="E1623" s="14" t="s">
        <v>45</v>
      </c>
      <c r="F1623" s="14" t="s">
        <v>46</v>
      </c>
      <c r="G1623" s="14" t="s">
        <v>47</v>
      </c>
      <c r="H1623" s="0" t="n">
        <v>5</v>
      </c>
      <c r="I1623" s="16" t="n">
        <v>42.25</v>
      </c>
      <c r="J1623" s="16" t="n">
        <v>18</v>
      </c>
      <c r="K1623" s="16" t="n">
        <f aca="false">H1623*I1623</f>
        <v>211.25</v>
      </c>
      <c r="L1623" s="16" t="n">
        <f aca="false">H1623*J1623</f>
        <v>90</v>
      </c>
      <c r="M1623" s="16" t="n">
        <f aca="false">K1623-L1623</f>
        <v>121.25</v>
      </c>
      <c r="N1623" s="17" t="n">
        <f aca="false">IFERROR(M1623/K1623,0)</f>
        <v>0.57396449704142</v>
      </c>
    </row>
    <row r="1624" customFormat="false" ht="15" hidden="false" customHeight="false" outlineLevel="0" collapsed="false">
      <c r="A1624" s="15" t="n">
        <v>46090</v>
      </c>
      <c r="B1624" s="14" t="s">
        <v>59</v>
      </c>
      <c r="C1624" s="14" t="s">
        <v>60</v>
      </c>
      <c r="D1624" s="14" t="s">
        <v>61</v>
      </c>
      <c r="E1624" s="14" t="s">
        <v>64</v>
      </c>
      <c r="F1624" s="14" t="s">
        <v>96</v>
      </c>
      <c r="G1624" s="14" t="s">
        <v>97</v>
      </c>
      <c r="H1624" s="0" t="n">
        <v>5</v>
      </c>
      <c r="I1624" s="16" t="n">
        <v>57.03</v>
      </c>
      <c r="J1624" s="16" t="n">
        <v>24</v>
      </c>
      <c r="K1624" s="16" t="n">
        <f aca="false">H1624*I1624</f>
        <v>285.15</v>
      </c>
      <c r="L1624" s="16" t="n">
        <f aca="false">H1624*J1624</f>
        <v>120</v>
      </c>
      <c r="M1624" s="16" t="n">
        <f aca="false">K1624-L1624</f>
        <v>165.15</v>
      </c>
      <c r="N1624" s="17" t="n">
        <f aca="false">IFERROR(M1624/K1624,0)</f>
        <v>0.579168858495529</v>
      </c>
    </row>
    <row r="1625" customFormat="false" ht="15" hidden="false" customHeight="false" outlineLevel="0" collapsed="false">
      <c r="A1625" s="15" t="n">
        <v>46090</v>
      </c>
      <c r="B1625" s="14" t="s">
        <v>59</v>
      </c>
      <c r="C1625" s="14" t="s">
        <v>60</v>
      </c>
      <c r="D1625" s="14" t="s">
        <v>61</v>
      </c>
      <c r="E1625" s="14" t="s">
        <v>64</v>
      </c>
      <c r="F1625" s="14" t="s">
        <v>65</v>
      </c>
      <c r="G1625" s="14" t="s">
        <v>66</v>
      </c>
      <c r="H1625" s="0" t="n">
        <v>1</v>
      </c>
      <c r="I1625" s="16" t="n">
        <v>75.64</v>
      </c>
      <c r="J1625" s="16" t="n">
        <v>34</v>
      </c>
      <c r="K1625" s="16" t="n">
        <f aca="false">H1625*I1625</f>
        <v>75.64</v>
      </c>
      <c r="L1625" s="16" t="n">
        <f aca="false">H1625*J1625</f>
        <v>34</v>
      </c>
      <c r="M1625" s="16" t="n">
        <f aca="false">K1625-L1625</f>
        <v>41.64</v>
      </c>
      <c r="N1625" s="17" t="n">
        <f aca="false">IFERROR(M1625/K1625,0)</f>
        <v>0.550502379693284</v>
      </c>
    </row>
    <row r="1626" customFormat="false" ht="15" hidden="false" customHeight="false" outlineLevel="0" collapsed="false">
      <c r="A1626" s="15" t="n">
        <v>46090</v>
      </c>
      <c r="B1626" s="14" t="s">
        <v>69</v>
      </c>
      <c r="C1626" s="14" t="s">
        <v>70</v>
      </c>
      <c r="D1626" s="14" t="s">
        <v>71</v>
      </c>
      <c r="E1626" s="14" t="s">
        <v>64</v>
      </c>
      <c r="F1626" s="14" t="s">
        <v>96</v>
      </c>
      <c r="G1626" s="14" t="s">
        <v>97</v>
      </c>
      <c r="H1626" s="0" t="n">
        <v>5</v>
      </c>
      <c r="I1626" s="16" t="n">
        <v>57.62</v>
      </c>
      <c r="J1626" s="16" t="n">
        <v>24</v>
      </c>
      <c r="K1626" s="16" t="n">
        <f aca="false">H1626*I1626</f>
        <v>288.1</v>
      </c>
      <c r="L1626" s="16" t="n">
        <f aca="false">H1626*J1626</f>
        <v>120</v>
      </c>
      <c r="M1626" s="16" t="n">
        <f aca="false">K1626-L1626</f>
        <v>168.1</v>
      </c>
      <c r="N1626" s="17" t="n">
        <f aca="false">IFERROR(M1626/K1626,0)</f>
        <v>0.583477959041999</v>
      </c>
    </row>
    <row r="1627" customFormat="false" ht="15" hidden="false" customHeight="false" outlineLevel="0" collapsed="false">
      <c r="A1627" s="15" t="n">
        <v>46090</v>
      </c>
      <c r="B1627" s="14" t="s">
        <v>69</v>
      </c>
      <c r="C1627" s="14" t="s">
        <v>70</v>
      </c>
      <c r="D1627" s="14" t="s">
        <v>71</v>
      </c>
      <c r="E1627" s="14" t="s">
        <v>56</v>
      </c>
      <c r="F1627" s="14" t="s">
        <v>67</v>
      </c>
      <c r="G1627" s="14" t="s">
        <v>68</v>
      </c>
      <c r="H1627" s="0" t="n">
        <v>2</v>
      </c>
      <c r="I1627" s="16" t="n">
        <v>35.25</v>
      </c>
      <c r="J1627" s="16" t="n">
        <v>15</v>
      </c>
      <c r="K1627" s="16" t="n">
        <f aca="false">H1627*I1627</f>
        <v>70.5</v>
      </c>
      <c r="L1627" s="16" t="n">
        <f aca="false">H1627*J1627</f>
        <v>30</v>
      </c>
      <c r="M1627" s="16" t="n">
        <f aca="false">K1627-L1627</f>
        <v>40.5</v>
      </c>
      <c r="N1627" s="17" t="n">
        <f aca="false">IFERROR(M1627/K1627,0)</f>
        <v>0.574468085106383</v>
      </c>
    </row>
    <row r="1628" customFormat="false" ht="15" hidden="false" customHeight="false" outlineLevel="0" collapsed="false">
      <c r="A1628" s="15" t="n">
        <v>46090</v>
      </c>
      <c r="B1628" s="14" t="s">
        <v>69</v>
      </c>
      <c r="C1628" s="14" t="s">
        <v>70</v>
      </c>
      <c r="D1628" s="14" t="s">
        <v>71</v>
      </c>
      <c r="E1628" s="14" t="s">
        <v>45</v>
      </c>
      <c r="F1628" s="14" t="s">
        <v>48</v>
      </c>
      <c r="G1628" s="14" t="s">
        <v>49</v>
      </c>
      <c r="H1628" s="0" t="n">
        <v>6</v>
      </c>
      <c r="I1628" s="16" t="n">
        <v>67.62</v>
      </c>
      <c r="J1628" s="16" t="n">
        <v>27.5</v>
      </c>
      <c r="K1628" s="16" t="n">
        <f aca="false">H1628*I1628</f>
        <v>405.72</v>
      </c>
      <c r="L1628" s="16" t="n">
        <f aca="false">H1628*J1628</f>
        <v>165</v>
      </c>
      <c r="M1628" s="16" t="n">
        <f aca="false">K1628-L1628</f>
        <v>240.72</v>
      </c>
      <c r="N1628" s="17" t="n">
        <f aca="false">IFERROR(M1628/K1628,0)</f>
        <v>0.593315587104407</v>
      </c>
    </row>
    <row r="1629" customFormat="false" ht="15" hidden="false" customHeight="false" outlineLevel="0" collapsed="false">
      <c r="A1629" s="15" t="n">
        <v>46090</v>
      </c>
      <c r="B1629" s="14" t="s">
        <v>69</v>
      </c>
      <c r="C1629" s="14" t="s">
        <v>70</v>
      </c>
      <c r="D1629" s="14" t="s">
        <v>71</v>
      </c>
      <c r="E1629" s="14" t="s">
        <v>64</v>
      </c>
      <c r="F1629" s="14" t="s">
        <v>94</v>
      </c>
      <c r="G1629" s="14" t="s">
        <v>95</v>
      </c>
      <c r="H1629" s="0" t="n">
        <v>1</v>
      </c>
      <c r="I1629" s="16" t="n">
        <v>91.12</v>
      </c>
      <c r="J1629" s="16" t="n">
        <v>42</v>
      </c>
      <c r="K1629" s="16" t="n">
        <f aca="false">H1629*I1629</f>
        <v>91.12</v>
      </c>
      <c r="L1629" s="16" t="n">
        <f aca="false">H1629*J1629</f>
        <v>42</v>
      </c>
      <c r="M1629" s="16" t="n">
        <f aca="false">K1629-L1629</f>
        <v>49.12</v>
      </c>
      <c r="N1629" s="17" t="n">
        <f aca="false">IFERROR(M1629/K1629,0)</f>
        <v>0.539069359086918</v>
      </c>
    </row>
    <row r="1630" customFormat="false" ht="15" hidden="false" customHeight="false" outlineLevel="0" collapsed="false">
      <c r="A1630" s="15" t="n">
        <v>46090</v>
      </c>
      <c r="B1630" s="14" t="s">
        <v>81</v>
      </c>
      <c r="C1630" s="14" t="s">
        <v>82</v>
      </c>
      <c r="D1630" s="14" t="s">
        <v>83</v>
      </c>
      <c r="E1630" s="14" t="s">
        <v>56</v>
      </c>
      <c r="F1630" s="14" t="s">
        <v>57</v>
      </c>
      <c r="G1630" s="14" t="s">
        <v>58</v>
      </c>
      <c r="H1630" s="0" t="n">
        <v>4</v>
      </c>
      <c r="I1630" s="16" t="n">
        <v>26.95</v>
      </c>
      <c r="J1630" s="16" t="n">
        <v>10</v>
      </c>
      <c r="K1630" s="16" t="n">
        <f aca="false">H1630*I1630</f>
        <v>107.8</v>
      </c>
      <c r="L1630" s="16" t="n">
        <f aca="false">H1630*J1630</f>
        <v>40</v>
      </c>
      <c r="M1630" s="16" t="n">
        <f aca="false">K1630-L1630</f>
        <v>67.8</v>
      </c>
      <c r="N1630" s="17" t="n">
        <f aca="false">IFERROR(M1630/K1630,0)</f>
        <v>0.628942486085343</v>
      </c>
    </row>
    <row r="1631" customFormat="false" ht="15" hidden="false" customHeight="false" outlineLevel="0" collapsed="false">
      <c r="A1631" s="15" t="n">
        <v>46090</v>
      </c>
      <c r="B1631" s="14" t="s">
        <v>81</v>
      </c>
      <c r="C1631" s="14" t="s">
        <v>82</v>
      </c>
      <c r="D1631" s="14" t="s">
        <v>83</v>
      </c>
      <c r="E1631" s="14" t="s">
        <v>76</v>
      </c>
      <c r="F1631" s="14" t="s">
        <v>77</v>
      </c>
      <c r="G1631" s="14" t="s">
        <v>78</v>
      </c>
      <c r="H1631" s="0" t="n">
        <v>1</v>
      </c>
      <c r="I1631" s="16" t="n">
        <v>40.59</v>
      </c>
      <c r="J1631" s="16" t="n">
        <v>15</v>
      </c>
      <c r="K1631" s="16" t="n">
        <f aca="false">H1631*I1631</f>
        <v>40.59</v>
      </c>
      <c r="L1631" s="16" t="n">
        <f aca="false">H1631*J1631</f>
        <v>15</v>
      </c>
      <c r="M1631" s="16" t="n">
        <f aca="false">K1631-L1631</f>
        <v>25.59</v>
      </c>
      <c r="N1631" s="17" t="n">
        <f aca="false">IFERROR(M1631/K1631,0)</f>
        <v>0.630450849963045</v>
      </c>
    </row>
    <row r="1632" customFormat="false" ht="15" hidden="false" customHeight="false" outlineLevel="0" collapsed="false">
      <c r="A1632" s="15" t="n">
        <v>46090</v>
      </c>
      <c r="B1632" s="14" t="s">
        <v>81</v>
      </c>
      <c r="C1632" s="14" t="s">
        <v>82</v>
      </c>
      <c r="D1632" s="14" t="s">
        <v>83</v>
      </c>
      <c r="E1632" s="14" t="s">
        <v>76</v>
      </c>
      <c r="F1632" s="14" t="s">
        <v>77</v>
      </c>
      <c r="G1632" s="14" t="s">
        <v>78</v>
      </c>
      <c r="H1632" s="0" t="n">
        <v>6</v>
      </c>
      <c r="I1632" s="16" t="n">
        <v>41.77</v>
      </c>
      <c r="J1632" s="16" t="n">
        <v>15</v>
      </c>
      <c r="K1632" s="16" t="n">
        <f aca="false">H1632*I1632</f>
        <v>250.62</v>
      </c>
      <c r="L1632" s="16" t="n">
        <f aca="false">H1632*J1632</f>
        <v>90</v>
      </c>
      <c r="M1632" s="16" t="n">
        <f aca="false">K1632-L1632</f>
        <v>160.62</v>
      </c>
      <c r="N1632" s="17" t="n">
        <f aca="false">IFERROR(M1632/K1632,0)</f>
        <v>0.640890591333493</v>
      </c>
    </row>
    <row r="1633" customFormat="false" ht="15" hidden="false" customHeight="false" outlineLevel="0" collapsed="false">
      <c r="A1633" s="15" t="n">
        <v>46090</v>
      </c>
      <c r="B1633" s="14" t="s">
        <v>81</v>
      </c>
      <c r="C1633" s="14" t="s">
        <v>82</v>
      </c>
      <c r="D1633" s="14" t="s">
        <v>83</v>
      </c>
      <c r="E1633" s="14" t="s">
        <v>64</v>
      </c>
      <c r="F1633" s="14" t="s">
        <v>96</v>
      </c>
      <c r="G1633" s="14" t="s">
        <v>97</v>
      </c>
      <c r="H1633" s="0" t="n">
        <v>1</v>
      </c>
      <c r="I1633" s="16" t="n">
        <v>55.78</v>
      </c>
      <c r="J1633" s="16" t="n">
        <v>24</v>
      </c>
      <c r="K1633" s="16" t="n">
        <f aca="false">H1633*I1633</f>
        <v>55.78</v>
      </c>
      <c r="L1633" s="16" t="n">
        <f aca="false">H1633*J1633</f>
        <v>24</v>
      </c>
      <c r="M1633" s="16" t="n">
        <f aca="false">K1633-L1633</f>
        <v>31.78</v>
      </c>
      <c r="N1633" s="17" t="n">
        <f aca="false">IFERROR(M1633/K1633,0)</f>
        <v>0.569738257439943</v>
      </c>
    </row>
    <row r="1634" customFormat="false" ht="15" hidden="false" customHeight="false" outlineLevel="0" collapsed="false">
      <c r="A1634" s="15" t="n">
        <v>46090</v>
      </c>
      <c r="B1634" s="14" t="s">
        <v>81</v>
      </c>
      <c r="C1634" s="14" t="s">
        <v>82</v>
      </c>
      <c r="D1634" s="14" t="s">
        <v>83</v>
      </c>
      <c r="E1634" s="14" t="s">
        <v>56</v>
      </c>
      <c r="F1634" s="14" t="s">
        <v>57</v>
      </c>
      <c r="G1634" s="14" t="s">
        <v>58</v>
      </c>
      <c r="H1634" s="0" t="n">
        <v>2</v>
      </c>
      <c r="I1634" s="16" t="n">
        <v>25.4</v>
      </c>
      <c r="J1634" s="16" t="n">
        <v>10</v>
      </c>
      <c r="K1634" s="16" t="n">
        <f aca="false">H1634*I1634</f>
        <v>50.8</v>
      </c>
      <c r="L1634" s="16" t="n">
        <f aca="false">H1634*J1634</f>
        <v>20</v>
      </c>
      <c r="M1634" s="16" t="n">
        <f aca="false">K1634-L1634</f>
        <v>30.8</v>
      </c>
      <c r="N1634" s="17" t="n">
        <f aca="false">IFERROR(M1634/K1634,0)</f>
        <v>0.606299212598425</v>
      </c>
    </row>
    <row r="1635" customFormat="false" ht="15" hidden="false" customHeight="false" outlineLevel="0" collapsed="false">
      <c r="A1635" s="15" t="n">
        <v>46090</v>
      </c>
      <c r="B1635" s="14" t="s">
        <v>81</v>
      </c>
      <c r="C1635" s="14" t="s">
        <v>82</v>
      </c>
      <c r="D1635" s="14" t="s">
        <v>83</v>
      </c>
      <c r="E1635" s="14" t="s">
        <v>76</v>
      </c>
      <c r="F1635" s="14" t="s">
        <v>79</v>
      </c>
      <c r="G1635" s="14" t="s">
        <v>80</v>
      </c>
      <c r="H1635" s="0" t="n">
        <v>2</v>
      </c>
      <c r="I1635" s="16" t="n">
        <v>28.8</v>
      </c>
      <c r="J1635" s="16" t="n">
        <v>11</v>
      </c>
      <c r="K1635" s="16" t="n">
        <f aca="false">H1635*I1635</f>
        <v>57.6</v>
      </c>
      <c r="L1635" s="16" t="n">
        <f aca="false">H1635*J1635</f>
        <v>22</v>
      </c>
      <c r="M1635" s="16" t="n">
        <f aca="false">K1635-L1635</f>
        <v>35.6</v>
      </c>
      <c r="N1635" s="17" t="n">
        <f aca="false">IFERROR(M1635/K1635,0)</f>
        <v>0.618055555555556</v>
      </c>
    </row>
    <row r="1636" customFormat="false" ht="15" hidden="false" customHeight="false" outlineLevel="0" collapsed="false">
      <c r="A1636" s="15" t="n">
        <v>46090</v>
      </c>
      <c r="B1636" s="14" t="s">
        <v>88</v>
      </c>
      <c r="C1636" s="14" t="s">
        <v>89</v>
      </c>
      <c r="D1636" s="14" t="s">
        <v>44</v>
      </c>
      <c r="E1636" s="14" t="s">
        <v>76</v>
      </c>
      <c r="F1636" s="14" t="s">
        <v>100</v>
      </c>
      <c r="G1636" s="14" t="s">
        <v>101</v>
      </c>
      <c r="H1636" s="0" t="n">
        <v>5</v>
      </c>
      <c r="I1636" s="16" t="n">
        <v>15.88</v>
      </c>
      <c r="J1636" s="16" t="n">
        <v>5.5</v>
      </c>
      <c r="K1636" s="16" t="n">
        <f aca="false">H1636*I1636</f>
        <v>79.4</v>
      </c>
      <c r="L1636" s="16" t="n">
        <f aca="false">H1636*J1636</f>
        <v>27.5</v>
      </c>
      <c r="M1636" s="16" t="n">
        <f aca="false">K1636-L1636</f>
        <v>51.9</v>
      </c>
      <c r="N1636" s="17" t="n">
        <f aca="false">IFERROR(M1636/K1636,0)</f>
        <v>0.653652392947103</v>
      </c>
    </row>
    <row r="1637" customFormat="false" ht="15" hidden="false" customHeight="false" outlineLevel="0" collapsed="false">
      <c r="A1637" s="15" t="n">
        <v>46090</v>
      </c>
      <c r="B1637" s="14" t="s">
        <v>88</v>
      </c>
      <c r="C1637" s="14" t="s">
        <v>89</v>
      </c>
      <c r="D1637" s="14" t="s">
        <v>44</v>
      </c>
      <c r="E1637" s="14" t="s">
        <v>76</v>
      </c>
      <c r="F1637" s="14" t="s">
        <v>102</v>
      </c>
      <c r="G1637" s="14" t="s">
        <v>103</v>
      </c>
      <c r="H1637" s="0" t="n">
        <v>6</v>
      </c>
      <c r="I1637" s="16" t="n">
        <v>22.92</v>
      </c>
      <c r="J1637" s="16" t="n">
        <v>8.5</v>
      </c>
      <c r="K1637" s="16" t="n">
        <f aca="false">H1637*I1637</f>
        <v>137.52</v>
      </c>
      <c r="L1637" s="16" t="n">
        <f aca="false">H1637*J1637</f>
        <v>51</v>
      </c>
      <c r="M1637" s="16" t="n">
        <f aca="false">K1637-L1637</f>
        <v>86.52</v>
      </c>
      <c r="N1637" s="17" t="n">
        <f aca="false">IFERROR(M1637/K1637,0)</f>
        <v>0.629144851657941</v>
      </c>
    </row>
    <row r="1638" customFormat="false" ht="15" hidden="false" customHeight="false" outlineLevel="0" collapsed="false">
      <c r="A1638" s="15" t="n">
        <v>46090</v>
      </c>
      <c r="B1638" s="14" t="s">
        <v>88</v>
      </c>
      <c r="C1638" s="14" t="s">
        <v>89</v>
      </c>
      <c r="D1638" s="14" t="s">
        <v>44</v>
      </c>
      <c r="E1638" s="14" t="s">
        <v>53</v>
      </c>
      <c r="F1638" s="14" t="s">
        <v>92</v>
      </c>
      <c r="G1638" s="14" t="s">
        <v>93</v>
      </c>
      <c r="H1638" s="0" t="n">
        <v>8</v>
      </c>
      <c r="I1638" s="16" t="n">
        <v>117.73</v>
      </c>
      <c r="J1638" s="16" t="n">
        <v>52</v>
      </c>
      <c r="K1638" s="16" t="n">
        <f aca="false">H1638*I1638</f>
        <v>941.84</v>
      </c>
      <c r="L1638" s="16" t="n">
        <f aca="false">H1638*J1638</f>
        <v>416</v>
      </c>
      <c r="M1638" s="16" t="n">
        <f aca="false">K1638-L1638</f>
        <v>525.84</v>
      </c>
      <c r="N1638" s="17" t="n">
        <f aca="false">IFERROR(M1638/K1638,0)</f>
        <v>0.558311390469719</v>
      </c>
    </row>
    <row r="1639" customFormat="false" ht="15" hidden="false" customHeight="false" outlineLevel="0" collapsed="false">
      <c r="A1639" s="15" t="n">
        <v>46090</v>
      </c>
      <c r="B1639" s="14" t="s">
        <v>88</v>
      </c>
      <c r="C1639" s="14" t="s">
        <v>89</v>
      </c>
      <c r="D1639" s="14" t="s">
        <v>44</v>
      </c>
      <c r="E1639" s="14" t="s">
        <v>53</v>
      </c>
      <c r="F1639" s="14" t="s">
        <v>84</v>
      </c>
      <c r="G1639" s="14" t="s">
        <v>85</v>
      </c>
      <c r="H1639" s="0" t="n">
        <v>1</v>
      </c>
      <c r="I1639" s="16" t="n">
        <v>23.38</v>
      </c>
      <c r="J1639" s="16" t="n">
        <v>9</v>
      </c>
      <c r="K1639" s="16" t="n">
        <f aca="false">H1639*I1639</f>
        <v>23.38</v>
      </c>
      <c r="L1639" s="16" t="n">
        <f aca="false">H1639*J1639</f>
        <v>9</v>
      </c>
      <c r="M1639" s="16" t="n">
        <f aca="false">K1639-L1639</f>
        <v>14.38</v>
      </c>
      <c r="N1639" s="17" t="n">
        <f aca="false">IFERROR(M1639/K1639,0)</f>
        <v>0.615055603079555</v>
      </c>
    </row>
    <row r="1640" customFormat="false" ht="15" hidden="false" customHeight="false" outlineLevel="0" collapsed="false">
      <c r="A1640" s="15" t="n">
        <v>46091</v>
      </c>
      <c r="B1640" s="14" t="s">
        <v>42</v>
      </c>
      <c r="C1640" s="14" t="s">
        <v>43</v>
      </c>
      <c r="D1640" s="14" t="s">
        <v>44</v>
      </c>
      <c r="E1640" s="14" t="s">
        <v>53</v>
      </c>
      <c r="F1640" s="14" t="s">
        <v>54</v>
      </c>
      <c r="G1640" s="14" t="s">
        <v>55</v>
      </c>
      <c r="H1640" s="0" t="n">
        <v>1</v>
      </c>
      <c r="I1640" s="16" t="n">
        <v>52.67</v>
      </c>
      <c r="J1640" s="16" t="n">
        <v>22</v>
      </c>
      <c r="K1640" s="16" t="n">
        <f aca="false">H1640*I1640</f>
        <v>52.67</v>
      </c>
      <c r="L1640" s="16" t="n">
        <f aca="false">H1640*J1640</f>
        <v>22</v>
      </c>
      <c r="M1640" s="16" t="n">
        <f aca="false">K1640-L1640</f>
        <v>30.67</v>
      </c>
      <c r="N1640" s="17" t="n">
        <f aca="false">IFERROR(M1640/K1640,0)</f>
        <v>0.582304917410291</v>
      </c>
    </row>
    <row r="1641" customFormat="false" ht="15" hidden="false" customHeight="false" outlineLevel="0" collapsed="false">
      <c r="A1641" s="15" t="n">
        <v>46091</v>
      </c>
      <c r="B1641" s="14" t="s">
        <v>42</v>
      </c>
      <c r="C1641" s="14" t="s">
        <v>43</v>
      </c>
      <c r="D1641" s="14" t="s">
        <v>44</v>
      </c>
      <c r="E1641" s="14" t="s">
        <v>53</v>
      </c>
      <c r="F1641" s="14" t="s">
        <v>84</v>
      </c>
      <c r="G1641" s="14" t="s">
        <v>85</v>
      </c>
      <c r="H1641" s="0" t="n">
        <v>9</v>
      </c>
      <c r="I1641" s="16" t="n">
        <v>23.23</v>
      </c>
      <c r="J1641" s="16" t="n">
        <v>9</v>
      </c>
      <c r="K1641" s="16" t="n">
        <f aca="false">H1641*I1641</f>
        <v>209.07</v>
      </c>
      <c r="L1641" s="16" t="n">
        <f aca="false">H1641*J1641</f>
        <v>81</v>
      </c>
      <c r="M1641" s="16" t="n">
        <f aca="false">K1641-L1641</f>
        <v>128.07</v>
      </c>
      <c r="N1641" s="17" t="n">
        <f aca="false">IFERROR(M1641/K1641,0)</f>
        <v>0.612569952647439</v>
      </c>
    </row>
    <row r="1642" customFormat="false" ht="15" hidden="false" customHeight="false" outlineLevel="0" collapsed="false">
      <c r="A1642" s="15" t="n">
        <v>46091</v>
      </c>
      <c r="B1642" s="14" t="s">
        <v>50</v>
      </c>
      <c r="C1642" s="14" t="s">
        <v>51</v>
      </c>
      <c r="D1642" s="14" t="s">
        <v>52</v>
      </c>
      <c r="E1642" s="14" t="s">
        <v>45</v>
      </c>
      <c r="F1642" s="14" t="s">
        <v>72</v>
      </c>
      <c r="G1642" s="14" t="s">
        <v>73</v>
      </c>
      <c r="H1642" s="0" t="n">
        <v>8</v>
      </c>
      <c r="I1642" s="16" t="n">
        <v>51.95</v>
      </c>
      <c r="J1642" s="16" t="n">
        <v>21</v>
      </c>
      <c r="K1642" s="16" t="n">
        <f aca="false">H1642*I1642</f>
        <v>415.6</v>
      </c>
      <c r="L1642" s="16" t="n">
        <f aca="false">H1642*J1642</f>
        <v>168</v>
      </c>
      <c r="M1642" s="16" t="n">
        <f aca="false">K1642-L1642</f>
        <v>247.6</v>
      </c>
      <c r="N1642" s="17" t="n">
        <f aca="false">IFERROR(M1642/K1642,0)</f>
        <v>0.595765158806545</v>
      </c>
    </row>
    <row r="1643" customFormat="false" ht="15" hidden="false" customHeight="false" outlineLevel="0" collapsed="false">
      <c r="A1643" s="15" t="n">
        <v>46091</v>
      </c>
      <c r="B1643" s="14" t="s">
        <v>50</v>
      </c>
      <c r="C1643" s="14" t="s">
        <v>51</v>
      </c>
      <c r="D1643" s="14" t="s">
        <v>52</v>
      </c>
      <c r="E1643" s="14" t="s">
        <v>56</v>
      </c>
      <c r="F1643" s="14" t="s">
        <v>57</v>
      </c>
      <c r="G1643" s="14" t="s">
        <v>58</v>
      </c>
      <c r="H1643" s="0" t="n">
        <v>10</v>
      </c>
      <c r="I1643" s="16" t="n">
        <v>25.9</v>
      </c>
      <c r="J1643" s="16" t="n">
        <v>10</v>
      </c>
      <c r="K1643" s="16" t="n">
        <f aca="false">H1643*I1643</f>
        <v>259</v>
      </c>
      <c r="L1643" s="16" t="n">
        <f aca="false">H1643*J1643</f>
        <v>100</v>
      </c>
      <c r="M1643" s="16" t="n">
        <f aca="false">K1643-L1643</f>
        <v>159</v>
      </c>
      <c r="N1643" s="17" t="n">
        <f aca="false">IFERROR(M1643/K1643,0)</f>
        <v>0.613899613899614</v>
      </c>
    </row>
    <row r="1644" customFormat="false" ht="15" hidden="false" customHeight="false" outlineLevel="0" collapsed="false">
      <c r="A1644" s="15" t="n">
        <v>46091</v>
      </c>
      <c r="B1644" s="14" t="s">
        <v>50</v>
      </c>
      <c r="C1644" s="14" t="s">
        <v>51</v>
      </c>
      <c r="D1644" s="14" t="s">
        <v>52</v>
      </c>
      <c r="E1644" s="14" t="s">
        <v>53</v>
      </c>
      <c r="F1644" s="14" t="s">
        <v>74</v>
      </c>
      <c r="G1644" s="14" t="s">
        <v>75</v>
      </c>
      <c r="H1644" s="0" t="n">
        <v>7</v>
      </c>
      <c r="I1644" s="16" t="n">
        <v>82.55</v>
      </c>
      <c r="J1644" s="16" t="n">
        <v>38</v>
      </c>
      <c r="K1644" s="16" t="n">
        <f aca="false">H1644*I1644</f>
        <v>577.85</v>
      </c>
      <c r="L1644" s="16" t="n">
        <f aca="false">H1644*J1644</f>
        <v>266</v>
      </c>
      <c r="M1644" s="16" t="n">
        <f aca="false">K1644-L1644</f>
        <v>311.85</v>
      </c>
      <c r="N1644" s="17" t="n">
        <f aca="false">IFERROR(M1644/K1644,0)</f>
        <v>0.539672925499697</v>
      </c>
    </row>
    <row r="1645" customFormat="false" ht="15" hidden="false" customHeight="false" outlineLevel="0" collapsed="false">
      <c r="A1645" s="15" t="n">
        <v>46091</v>
      </c>
      <c r="B1645" s="14" t="s">
        <v>50</v>
      </c>
      <c r="C1645" s="14" t="s">
        <v>51</v>
      </c>
      <c r="D1645" s="14" t="s">
        <v>52</v>
      </c>
      <c r="E1645" s="14" t="s">
        <v>76</v>
      </c>
      <c r="F1645" s="14" t="s">
        <v>77</v>
      </c>
      <c r="G1645" s="14" t="s">
        <v>78</v>
      </c>
      <c r="H1645" s="0" t="n">
        <v>3</v>
      </c>
      <c r="I1645" s="16" t="n">
        <v>41.16</v>
      </c>
      <c r="J1645" s="16" t="n">
        <v>15</v>
      </c>
      <c r="K1645" s="16" t="n">
        <f aca="false">H1645*I1645</f>
        <v>123.48</v>
      </c>
      <c r="L1645" s="16" t="n">
        <f aca="false">H1645*J1645</f>
        <v>45</v>
      </c>
      <c r="M1645" s="16" t="n">
        <f aca="false">K1645-L1645</f>
        <v>78.48</v>
      </c>
      <c r="N1645" s="17" t="n">
        <f aca="false">IFERROR(M1645/K1645,0)</f>
        <v>0.635568513119534</v>
      </c>
    </row>
    <row r="1646" customFormat="false" ht="15" hidden="false" customHeight="false" outlineLevel="0" collapsed="false">
      <c r="A1646" s="15" t="n">
        <v>46091</v>
      </c>
      <c r="B1646" s="14" t="s">
        <v>50</v>
      </c>
      <c r="C1646" s="14" t="s">
        <v>51</v>
      </c>
      <c r="D1646" s="14" t="s">
        <v>52</v>
      </c>
      <c r="E1646" s="14" t="s">
        <v>76</v>
      </c>
      <c r="F1646" s="14" t="s">
        <v>77</v>
      </c>
      <c r="G1646" s="14" t="s">
        <v>78</v>
      </c>
      <c r="H1646" s="0" t="n">
        <v>1</v>
      </c>
      <c r="I1646" s="16" t="n">
        <v>40.41</v>
      </c>
      <c r="J1646" s="16" t="n">
        <v>15</v>
      </c>
      <c r="K1646" s="16" t="n">
        <f aca="false">H1646*I1646</f>
        <v>40.41</v>
      </c>
      <c r="L1646" s="16" t="n">
        <f aca="false">H1646*J1646</f>
        <v>15</v>
      </c>
      <c r="M1646" s="16" t="n">
        <f aca="false">K1646-L1646</f>
        <v>25.41</v>
      </c>
      <c r="N1646" s="17" t="n">
        <f aca="false">IFERROR(M1646/K1646,0)</f>
        <v>0.628804751299183</v>
      </c>
    </row>
    <row r="1647" customFormat="false" ht="15" hidden="false" customHeight="false" outlineLevel="0" collapsed="false">
      <c r="A1647" s="15" t="n">
        <v>46091</v>
      </c>
      <c r="B1647" s="14" t="s">
        <v>59</v>
      </c>
      <c r="C1647" s="14" t="s">
        <v>60</v>
      </c>
      <c r="D1647" s="14" t="s">
        <v>61</v>
      </c>
      <c r="E1647" s="14" t="s">
        <v>53</v>
      </c>
      <c r="F1647" s="14" t="s">
        <v>84</v>
      </c>
      <c r="G1647" s="14" t="s">
        <v>85</v>
      </c>
      <c r="H1647" s="0" t="n">
        <v>2</v>
      </c>
      <c r="I1647" s="16" t="n">
        <v>23.49</v>
      </c>
      <c r="J1647" s="16" t="n">
        <v>9</v>
      </c>
      <c r="K1647" s="16" t="n">
        <f aca="false">H1647*I1647</f>
        <v>46.98</v>
      </c>
      <c r="L1647" s="16" t="n">
        <f aca="false">H1647*J1647</f>
        <v>18</v>
      </c>
      <c r="M1647" s="16" t="n">
        <f aca="false">K1647-L1647</f>
        <v>28.98</v>
      </c>
      <c r="N1647" s="17" t="n">
        <f aca="false">IFERROR(M1647/K1647,0)</f>
        <v>0.616858237547893</v>
      </c>
    </row>
    <row r="1648" customFormat="false" ht="15" hidden="false" customHeight="false" outlineLevel="0" collapsed="false">
      <c r="A1648" s="15" t="n">
        <v>46091</v>
      </c>
      <c r="B1648" s="14" t="s">
        <v>59</v>
      </c>
      <c r="C1648" s="14" t="s">
        <v>60</v>
      </c>
      <c r="D1648" s="14" t="s">
        <v>61</v>
      </c>
      <c r="E1648" s="14" t="s">
        <v>64</v>
      </c>
      <c r="F1648" s="14" t="s">
        <v>65</v>
      </c>
      <c r="G1648" s="14" t="s">
        <v>66</v>
      </c>
      <c r="H1648" s="0" t="n">
        <v>5</v>
      </c>
      <c r="I1648" s="16" t="n">
        <v>72.84</v>
      </c>
      <c r="J1648" s="16" t="n">
        <v>34</v>
      </c>
      <c r="K1648" s="16" t="n">
        <f aca="false">H1648*I1648</f>
        <v>364.2</v>
      </c>
      <c r="L1648" s="16" t="n">
        <f aca="false">H1648*J1648</f>
        <v>170</v>
      </c>
      <c r="M1648" s="16" t="n">
        <f aca="false">K1648-L1648</f>
        <v>194.2</v>
      </c>
      <c r="N1648" s="17" t="n">
        <f aca="false">IFERROR(M1648/K1648,0)</f>
        <v>0.533223503569467</v>
      </c>
    </row>
    <row r="1649" customFormat="false" ht="15" hidden="false" customHeight="false" outlineLevel="0" collapsed="false">
      <c r="A1649" s="15" t="n">
        <v>46091</v>
      </c>
      <c r="B1649" s="14" t="s">
        <v>59</v>
      </c>
      <c r="C1649" s="14" t="s">
        <v>60</v>
      </c>
      <c r="D1649" s="14" t="s">
        <v>61</v>
      </c>
      <c r="E1649" s="14" t="s">
        <v>45</v>
      </c>
      <c r="F1649" s="14" t="s">
        <v>72</v>
      </c>
      <c r="G1649" s="14" t="s">
        <v>73</v>
      </c>
      <c r="H1649" s="0" t="n">
        <v>6</v>
      </c>
      <c r="I1649" s="16" t="n">
        <v>50.3</v>
      </c>
      <c r="J1649" s="16" t="n">
        <v>21</v>
      </c>
      <c r="K1649" s="16" t="n">
        <f aca="false">H1649*I1649</f>
        <v>301.8</v>
      </c>
      <c r="L1649" s="16" t="n">
        <f aca="false">H1649*J1649</f>
        <v>126</v>
      </c>
      <c r="M1649" s="16" t="n">
        <f aca="false">K1649-L1649</f>
        <v>175.8</v>
      </c>
      <c r="N1649" s="17" t="n">
        <f aca="false">IFERROR(M1649/K1649,0)</f>
        <v>0.582504970178926</v>
      </c>
    </row>
    <row r="1650" customFormat="false" ht="15" hidden="false" customHeight="false" outlineLevel="0" collapsed="false">
      <c r="A1650" s="15" t="n">
        <v>46091</v>
      </c>
      <c r="B1650" s="14" t="s">
        <v>59</v>
      </c>
      <c r="C1650" s="14" t="s">
        <v>60</v>
      </c>
      <c r="D1650" s="14" t="s">
        <v>61</v>
      </c>
      <c r="E1650" s="14" t="s">
        <v>45</v>
      </c>
      <c r="F1650" s="14" t="s">
        <v>46</v>
      </c>
      <c r="G1650" s="14" t="s">
        <v>47</v>
      </c>
      <c r="H1650" s="0" t="n">
        <v>3</v>
      </c>
      <c r="I1650" s="16" t="n">
        <v>41.5</v>
      </c>
      <c r="J1650" s="16" t="n">
        <v>18</v>
      </c>
      <c r="K1650" s="16" t="n">
        <f aca="false">H1650*I1650</f>
        <v>124.5</v>
      </c>
      <c r="L1650" s="16" t="n">
        <f aca="false">H1650*J1650</f>
        <v>54</v>
      </c>
      <c r="M1650" s="16" t="n">
        <f aca="false">K1650-L1650</f>
        <v>70.5</v>
      </c>
      <c r="N1650" s="17" t="n">
        <f aca="false">IFERROR(M1650/K1650,0)</f>
        <v>0.566265060240964</v>
      </c>
    </row>
    <row r="1651" customFormat="false" ht="15" hidden="false" customHeight="false" outlineLevel="0" collapsed="false">
      <c r="A1651" s="15" t="n">
        <v>46091</v>
      </c>
      <c r="B1651" s="14" t="s">
        <v>59</v>
      </c>
      <c r="C1651" s="14" t="s">
        <v>60</v>
      </c>
      <c r="D1651" s="14" t="s">
        <v>61</v>
      </c>
      <c r="E1651" s="14" t="s">
        <v>64</v>
      </c>
      <c r="F1651" s="14" t="s">
        <v>90</v>
      </c>
      <c r="G1651" s="14" t="s">
        <v>91</v>
      </c>
      <c r="H1651" s="0" t="n">
        <v>6</v>
      </c>
      <c r="I1651" s="16" t="n">
        <v>11.64</v>
      </c>
      <c r="J1651" s="16" t="n">
        <v>3.5</v>
      </c>
      <c r="K1651" s="16" t="n">
        <f aca="false">H1651*I1651</f>
        <v>69.84</v>
      </c>
      <c r="L1651" s="16" t="n">
        <f aca="false">H1651*J1651</f>
        <v>21</v>
      </c>
      <c r="M1651" s="16" t="n">
        <f aca="false">K1651-L1651</f>
        <v>48.84</v>
      </c>
      <c r="N1651" s="17" t="n">
        <f aca="false">IFERROR(M1651/K1651,0)</f>
        <v>0.699312714776632</v>
      </c>
    </row>
    <row r="1652" customFormat="false" ht="15" hidden="false" customHeight="false" outlineLevel="0" collapsed="false">
      <c r="A1652" s="15" t="n">
        <v>46091</v>
      </c>
      <c r="B1652" s="14" t="s">
        <v>59</v>
      </c>
      <c r="C1652" s="14" t="s">
        <v>60</v>
      </c>
      <c r="D1652" s="14" t="s">
        <v>61</v>
      </c>
      <c r="E1652" s="14" t="s">
        <v>76</v>
      </c>
      <c r="F1652" s="14" t="s">
        <v>79</v>
      </c>
      <c r="G1652" s="14" t="s">
        <v>80</v>
      </c>
      <c r="H1652" s="0" t="n">
        <v>5</v>
      </c>
      <c r="I1652" s="16" t="n">
        <v>29.93</v>
      </c>
      <c r="J1652" s="16" t="n">
        <v>11</v>
      </c>
      <c r="K1652" s="16" t="n">
        <f aca="false">H1652*I1652</f>
        <v>149.65</v>
      </c>
      <c r="L1652" s="16" t="n">
        <f aca="false">H1652*J1652</f>
        <v>55</v>
      </c>
      <c r="M1652" s="16" t="n">
        <f aca="false">K1652-L1652</f>
        <v>94.65</v>
      </c>
      <c r="N1652" s="17" t="n">
        <f aca="false">IFERROR(M1652/K1652,0)</f>
        <v>0.632475776812563</v>
      </c>
    </row>
    <row r="1653" customFormat="false" ht="15" hidden="false" customHeight="false" outlineLevel="0" collapsed="false">
      <c r="A1653" s="15" t="n">
        <v>46091</v>
      </c>
      <c r="B1653" s="14" t="s">
        <v>69</v>
      </c>
      <c r="C1653" s="14" t="s">
        <v>70</v>
      </c>
      <c r="D1653" s="14" t="s">
        <v>71</v>
      </c>
      <c r="E1653" s="14" t="s">
        <v>64</v>
      </c>
      <c r="F1653" s="14" t="s">
        <v>94</v>
      </c>
      <c r="G1653" s="14" t="s">
        <v>95</v>
      </c>
      <c r="H1653" s="0" t="n">
        <v>2</v>
      </c>
      <c r="I1653" s="16" t="n">
        <v>92.75</v>
      </c>
      <c r="J1653" s="16" t="n">
        <v>42</v>
      </c>
      <c r="K1653" s="16" t="n">
        <f aca="false">H1653*I1653</f>
        <v>185.5</v>
      </c>
      <c r="L1653" s="16" t="n">
        <f aca="false">H1653*J1653</f>
        <v>84</v>
      </c>
      <c r="M1653" s="16" t="n">
        <f aca="false">K1653-L1653</f>
        <v>101.5</v>
      </c>
      <c r="N1653" s="17" t="n">
        <f aca="false">IFERROR(M1653/K1653,0)</f>
        <v>0.547169811320755</v>
      </c>
    </row>
    <row r="1654" customFormat="false" ht="15" hidden="false" customHeight="false" outlineLevel="0" collapsed="false">
      <c r="A1654" s="15" t="n">
        <v>46091</v>
      </c>
      <c r="B1654" s="14" t="s">
        <v>69</v>
      </c>
      <c r="C1654" s="14" t="s">
        <v>70</v>
      </c>
      <c r="D1654" s="14" t="s">
        <v>71</v>
      </c>
      <c r="E1654" s="14" t="s">
        <v>45</v>
      </c>
      <c r="F1654" s="14" t="s">
        <v>46</v>
      </c>
      <c r="G1654" s="14" t="s">
        <v>47</v>
      </c>
      <c r="H1654" s="0" t="n">
        <v>6</v>
      </c>
      <c r="I1654" s="16" t="n">
        <v>44.27</v>
      </c>
      <c r="J1654" s="16" t="n">
        <v>18</v>
      </c>
      <c r="K1654" s="16" t="n">
        <f aca="false">H1654*I1654</f>
        <v>265.62</v>
      </c>
      <c r="L1654" s="16" t="n">
        <f aca="false">H1654*J1654</f>
        <v>108</v>
      </c>
      <c r="M1654" s="16" t="n">
        <f aca="false">K1654-L1654</f>
        <v>157.62</v>
      </c>
      <c r="N1654" s="17" t="n">
        <f aca="false">IFERROR(M1654/K1654,0)</f>
        <v>0.59340411113621</v>
      </c>
    </row>
    <row r="1655" customFormat="false" ht="15" hidden="false" customHeight="false" outlineLevel="0" collapsed="false">
      <c r="A1655" s="15" t="n">
        <v>46091</v>
      </c>
      <c r="B1655" s="14" t="s">
        <v>69</v>
      </c>
      <c r="C1655" s="14" t="s">
        <v>70</v>
      </c>
      <c r="D1655" s="14" t="s">
        <v>71</v>
      </c>
      <c r="E1655" s="14" t="s">
        <v>45</v>
      </c>
      <c r="F1655" s="14" t="s">
        <v>72</v>
      </c>
      <c r="G1655" s="14" t="s">
        <v>73</v>
      </c>
      <c r="H1655" s="0" t="n">
        <v>2</v>
      </c>
      <c r="I1655" s="16" t="n">
        <v>49.5</v>
      </c>
      <c r="J1655" s="16" t="n">
        <v>21</v>
      </c>
      <c r="K1655" s="16" t="n">
        <f aca="false">H1655*I1655</f>
        <v>99</v>
      </c>
      <c r="L1655" s="16" t="n">
        <f aca="false">H1655*J1655</f>
        <v>42</v>
      </c>
      <c r="M1655" s="16" t="n">
        <f aca="false">K1655-L1655</f>
        <v>57</v>
      </c>
      <c r="N1655" s="17" t="n">
        <f aca="false">IFERROR(M1655/K1655,0)</f>
        <v>0.575757575757576</v>
      </c>
    </row>
    <row r="1656" customFormat="false" ht="15" hidden="false" customHeight="false" outlineLevel="0" collapsed="false">
      <c r="A1656" s="15" t="n">
        <v>46091</v>
      </c>
      <c r="B1656" s="14" t="s">
        <v>69</v>
      </c>
      <c r="C1656" s="14" t="s">
        <v>70</v>
      </c>
      <c r="D1656" s="14" t="s">
        <v>71</v>
      </c>
      <c r="E1656" s="14" t="s">
        <v>53</v>
      </c>
      <c r="F1656" s="14" t="s">
        <v>54</v>
      </c>
      <c r="G1656" s="14" t="s">
        <v>55</v>
      </c>
      <c r="H1656" s="0" t="n">
        <v>6</v>
      </c>
      <c r="I1656" s="16" t="n">
        <v>50.99</v>
      </c>
      <c r="J1656" s="16" t="n">
        <v>22</v>
      </c>
      <c r="K1656" s="16" t="n">
        <f aca="false">H1656*I1656</f>
        <v>305.94</v>
      </c>
      <c r="L1656" s="16" t="n">
        <f aca="false">H1656*J1656</f>
        <v>132</v>
      </c>
      <c r="M1656" s="16" t="n">
        <f aca="false">K1656-L1656</f>
        <v>173.94</v>
      </c>
      <c r="N1656" s="17" t="n">
        <f aca="false">IFERROR(M1656/K1656,0)</f>
        <v>0.568542851539518</v>
      </c>
    </row>
    <row r="1657" customFormat="false" ht="15" hidden="false" customHeight="false" outlineLevel="0" collapsed="false">
      <c r="A1657" s="15" t="n">
        <v>46091</v>
      </c>
      <c r="B1657" s="14" t="s">
        <v>69</v>
      </c>
      <c r="C1657" s="14" t="s">
        <v>70</v>
      </c>
      <c r="D1657" s="14" t="s">
        <v>71</v>
      </c>
      <c r="E1657" s="14" t="s">
        <v>53</v>
      </c>
      <c r="F1657" s="14" t="s">
        <v>54</v>
      </c>
      <c r="G1657" s="14" t="s">
        <v>55</v>
      </c>
      <c r="H1657" s="0" t="n">
        <v>6</v>
      </c>
      <c r="I1657" s="16" t="n">
        <v>54.03</v>
      </c>
      <c r="J1657" s="16" t="n">
        <v>22</v>
      </c>
      <c r="K1657" s="16" t="n">
        <f aca="false">H1657*I1657</f>
        <v>324.18</v>
      </c>
      <c r="L1657" s="16" t="n">
        <f aca="false">H1657*J1657</f>
        <v>132</v>
      </c>
      <c r="M1657" s="16" t="n">
        <f aca="false">K1657-L1657</f>
        <v>192.18</v>
      </c>
      <c r="N1657" s="17" t="n">
        <f aca="false">IFERROR(M1657/K1657,0)</f>
        <v>0.592818804367944</v>
      </c>
    </row>
    <row r="1658" customFormat="false" ht="15" hidden="false" customHeight="false" outlineLevel="0" collapsed="false">
      <c r="A1658" s="15" t="n">
        <v>46091</v>
      </c>
      <c r="B1658" s="14" t="s">
        <v>69</v>
      </c>
      <c r="C1658" s="14" t="s">
        <v>70</v>
      </c>
      <c r="D1658" s="14" t="s">
        <v>71</v>
      </c>
      <c r="E1658" s="14" t="s">
        <v>76</v>
      </c>
      <c r="F1658" s="14" t="s">
        <v>77</v>
      </c>
      <c r="G1658" s="14" t="s">
        <v>78</v>
      </c>
      <c r="H1658" s="0" t="n">
        <v>2</v>
      </c>
      <c r="I1658" s="16" t="n">
        <v>39.64</v>
      </c>
      <c r="J1658" s="16" t="n">
        <v>15</v>
      </c>
      <c r="K1658" s="16" t="n">
        <f aca="false">H1658*I1658</f>
        <v>79.28</v>
      </c>
      <c r="L1658" s="16" t="n">
        <f aca="false">H1658*J1658</f>
        <v>30</v>
      </c>
      <c r="M1658" s="16" t="n">
        <f aca="false">K1658-L1658</f>
        <v>49.28</v>
      </c>
      <c r="N1658" s="17" t="n">
        <f aca="false">IFERROR(M1658/K1658,0)</f>
        <v>0.621594349142281</v>
      </c>
    </row>
    <row r="1659" customFormat="false" ht="15" hidden="false" customHeight="false" outlineLevel="0" collapsed="false">
      <c r="A1659" s="15" t="n">
        <v>46091</v>
      </c>
      <c r="B1659" s="14" t="s">
        <v>81</v>
      </c>
      <c r="C1659" s="14" t="s">
        <v>82</v>
      </c>
      <c r="D1659" s="14" t="s">
        <v>83</v>
      </c>
      <c r="E1659" s="14" t="s">
        <v>76</v>
      </c>
      <c r="F1659" s="14" t="s">
        <v>77</v>
      </c>
      <c r="G1659" s="14" t="s">
        <v>78</v>
      </c>
      <c r="H1659" s="0" t="n">
        <v>4</v>
      </c>
      <c r="I1659" s="16" t="n">
        <v>40.88</v>
      </c>
      <c r="J1659" s="16" t="n">
        <v>15</v>
      </c>
      <c r="K1659" s="16" t="n">
        <f aca="false">H1659*I1659</f>
        <v>163.52</v>
      </c>
      <c r="L1659" s="16" t="n">
        <f aca="false">H1659*J1659</f>
        <v>60</v>
      </c>
      <c r="M1659" s="16" t="n">
        <f aca="false">K1659-L1659</f>
        <v>103.52</v>
      </c>
      <c r="N1659" s="17" t="n">
        <f aca="false">IFERROR(M1659/K1659,0)</f>
        <v>0.63307240704501</v>
      </c>
    </row>
    <row r="1660" customFormat="false" ht="15" hidden="false" customHeight="false" outlineLevel="0" collapsed="false">
      <c r="A1660" s="15" t="n">
        <v>46091</v>
      </c>
      <c r="B1660" s="14" t="s">
        <v>81</v>
      </c>
      <c r="C1660" s="14" t="s">
        <v>82</v>
      </c>
      <c r="D1660" s="14" t="s">
        <v>83</v>
      </c>
      <c r="E1660" s="14" t="s">
        <v>76</v>
      </c>
      <c r="F1660" s="14" t="s">
        <v>77</v>
      </c>
      <c r="G1660" s="14" t="s">
        <v>78</v>
      </c>
      <c r="H1660" s="0" t="n">
        <v>6</v>
      </c>
      <c r="I1660" s="16" t="n">
        <v>40.14</v>
      </c>
      <c r="J1660" s="16" t="n">
        <v>15</v>
      </c>
      <c r="K1660" s="16" t="n">
        <f aca="false">H1660*I1660</f>
        <v>240.84</v>
      </c>
      <c r="L1660" s="16" t="n">
        <f aca="false">H1660*J1660</f>
        <v>90</v>
      </c>
      <c r="M1660" s="16" t="n">
        <f aca="false">K1660-L1660</f>
        <v>150.84</v>
      </c>
      <c r="N1660" s="17" t="n">
        <f aca="false">IFERROR(M1660/K1660,0)</f>
        <v>0.626307922272048</v>
      </c>
    </row>
    <row r="1661" customFormat="false" ht="15" hidden="false" customHeight="false" outlineLevel="0" collapsed="false">
      <c r="A1661" s="15" t="n">
        <v>46091</v>
      </c>
      <c r="B1661" s="14" t="s">
        <v>81</v>
      </c>
      <c r="C1661" s="14" t="s">
        <v>82</v>
      </c>
      <c r="D1661" s="14" t="s">
        <v>83</v>
      </c>
      <c r="E1661" s="14" t="s">
        <v>64</v>
      </c>
      <c r="F1661" s="14" t="s">
        <v>90</v>
      </c>
      <c r="G1661" s="14" t="s">
        <v>91</v>
      </c>
      <c r="H1661" s="0" t="n">
        <v>3</v>
      </c>
      <c r="I1661" s="16" t="n">
        <v>11.58</v>
      </c>
      <c r="J1661" s="16" t="n">
        <v>3.5</v>
      </c>
      <c r="K1661" s="16" t="n">
        <f aca="false">H1661*I1661</f>
        <v>34.74</v>
      </c>
      <c r="L1661" s="16" t="n">
        <f aca="false">H1661*J1661</f>
        <v>10.5</v>
      </c>
      <c r="M1661" s="16" t="n">
        <f aca="false">K1661-L1661</f>
        <v>24.24</v>
      </c>
      <c r="N1661" s="17" t="n">
        <f aca="false">IFERROR(M1661/K1661,0)</f>
        <v>0.697754749568221</v>
      </c>
    </row>
    <row r="1662" customFormat="false" ht="15" hidden="false" customHeight="false" outlineLevel="0" collapsed="false">
      <c r="A1662" s="15" t="n">
        <v>46091</v>
      </c>
      <c r="B1662" s="14" t="s">
        <v>81</v>
      </c>
      <c r="C1662" s="14" t="s">
        <v>82</v>
      </c>
      <c r="D1662" s="14" t="s">
        <v>83</v>
      </c>
      <c r="E1662" s="14" t="s">
        <v>64</v>
      </c>
      <c r="F1662" s="14" t="s">
        <v>65</v>
      </c>
      <c r="G1662" s="14" t="s">
        <v>66</v>
      </c>
      <c r="H1662" s="0" t="n">
        <v>5</v>
      </c>
      <c r="I1662" s="16" t="n">
        <v>77.81</v>
      </c>
      <c r="J1662" s="16" t="n">
        <v>34</v>
      </c>
      <c r="K1662" s="16" t="n">
        <f aca="false">H1662*I1662</f>
        <v>389.05</v>
      </c>
      <c r="L1662" s="16" t="n">
        <f aca="false">H1662*J1662</f>
        <v>170</v>
      </c>
      <c r="M1662" s="16" t="n">
        <f aca="false">K1662-L1662</f>
        <v>219.05</v>
      </c>
      <c r="N1662" s="17" t="n">
        <f aca="false">IFERROR(M1662/K1662,0)</f>
        <v>0.563038169901041</v>
      </c>
    </row>
    <row r="1663" customFormat="false" ht="15" hidden="false" customHeight="false" outlineLevel="0" collapsed="false">
      <c r="A1663" s="15" t="n">
        <v>46091</v>
      </c>
      <c r="B1663" s="14" t="s">
        <v>81</v>
      </c>
      <c r="C1663" s="14" t="s">
        <v>82</v>
      </c>
      <c r="D1663" s="14" t="s">
        <v>83</v>
      </c>
      <c r="E1663" s="14" t="s">
        <v>56</v>
      </c>
      <c r="F1663" s="14" t="s">
        <v>86</v>
      </c>
      <c r="G1663" s="14" t="s">
        <v>87</v>
      </c>
      <c r="H1663" s="0" t="n">
        <v>6</v>
      </c>
      <c r="I1663" s="16" t="n">
        <v>14.56</v>
      </c>
      <c r="J1663" s="16" t="n">
        <v>5</v>
      </c>
      <c r="K1663" s="16" t="n">
        <f aca="false">H1663*I1663</f>
        <v>87.36</v>
      </c>
      <c r="L1663" s="16" t="n">
        <f aca="false">H1663*J1663</f>
        <v>30</v>
      </c>
      <c r="M1663" s="16" t="n">
        <f aca="false">K1663-L1663</f>
        <v>57.36</v>
      </c>
      <c r="N1663" s="17" t="n">
        <f aca="false">IFERROR(M1663/K1663,0)</f>
        <v>0.656593406593407</v>
      </c>
    </row>
    <row r="1664" customFormat="false" ht="15" hidden="false" customHeight="false" outlineLevel="0" collapsed="false">
      <c r="A1664" s="15" t="n">
        <v>46091</v>
      </c>
      <c r="B1664" s="14" t="s">
        <v>88</v>
      </c>
      <c r="C1664" s="14" t="s">
        <v>89</v>
      </c>
      <c r="D1664" s="14" t="s">
        <v>44</v>
      </c>
      <c r="E1664" s="14" t="s">
        <v>45</v>
      </c>
      <c r="F1664" s="14" t="s">
        <v>46</v>
      </c>
      <c r="G1664" s="14" t="s">
        <v>47</v>
      </c>
      <c r="H1664" s="0" t="n">
        <v>9</v>
      </c>
      <c r="I1664" s="16" t="n">
        <v>43.84</v>
      </c>
      <c r="J1664" s="16" t="n">
        <v>18</v>
      </c>
      <c r="K1664" s="16" t="n">
        <f aca="false">H1664*I1664</f>
        <v>394.56</v>
      </c>
      <c r="L1664" s="16" t="n">
        <f aca="false">H1664*J1664</f>
        <v>162</v>
      </c>
      <c r="M1664" s="16" t="n">
        <f aca="false">K1664-L1664</f>
        <v>232.56</v>
      </c>
      <c r="N1664" s="17" t="n">
        <f aca="false">IFERROR(M1664/K1664,0)</f>
        <v>0.589416058394161</v>
      </c>
    </row>
    <row r="1665" customFormat="false" ht="15" hidden="false" customHeight="false" outlineLevel="0" collapsed="false">
      <c r="A1665" s="15" t="n">
        <v>46091</v>
      </c>
      <c r="B1665" s="14" t="s">
        <v>88</v>
      </c>
      <c r="C1665" s="14" t="s">
        <v>89</v>
      </c>
      <c r="D1665" s="14" t="s">
        <v>44</v>
      </c>
      <c r="E1665" s="14" t="s">
        <v>53</v>
      </c>
      <c r="F1665" s="14" t="s">
        <v>84</v>
      </c>
      <c r="G1665" s="14" t="s">
        <v>85</v>
      </c>
      <c r="H1665" s="0" t="n">
        <v>2</v>
      </c>
      <c r="I1665" s="16" t="n">
        <v>23.58</v>
      </c>
      <c r="J1665" s="16" t="n">
        <v>9</v>
      </c>
      <c r="K1665" s="16" t="n">
        <f aca="false">H1665*I1665</f>
        <v>47.16</v>
      </c>
      <c r="L1665" s="16" t="n">
        <f aca="false">H1665*J1665</f>
        <v>18</v>
      </c>
      <c r="M1665" s="16" t="n">
        <f aca="false">K1665-L1665</f>
        <v>29.16</v>
      </c>
      <c r="N1665" s="17" t="n">
        <f aca="false">IFERROR(M1665/K1665,0)</f>
        <v>0.618320610687023</v>
      </c>
    </row>
    <row r="1666" customFormat="false" ht="15" hidden="false" customHeight="false" outlineLevel="0" collapsed="false">
      <c r="A1666" s="15" t="n">
        <v>46092</v>
      </c>
      <c r="B1666" s="14" t="s">
        <v>42</v>
      </c>
      <c r="C1666" s="14" t="s">
        <v>43</v>
      </c>
      <c r="D1666" s="14" t="s">
        <v>44</v>
      </c>
      <c r="E1666" s="14" t="s">
        <v>45</v>
      </c>
      <c r="F1666" s="14" t="s">
        <v>72</v>
      </c>
      <c r="G1666" s="14" t="s">
        <v>73</v>
      </c>
      <c r="H1666" s="0" t="n">
        <v>7</v>
      </c>
      <c r="I1666" s="16" t="n">
        <v>48.46</v>
      </c>
      <c r="J1666" s="16" t="n">
        <v>21</v>
      </c>
      <c r="K1666" s="16" t="n">
        <f aca="false">H1666*I1666</f>
        <v>339.22</v>
      </c>
      <c r="L1666" s="16" t="n">
        <f aca="false">H1666*J1666</f>
        <v>147</v>
      </c>
      <c r="M1666" s="16" t="n">
        <f aca="false">K1666-L1666</f>
        <v>192.22</v>
      </c>
      <c r="N1666" s="17" t="n">
        <f aca="false">IFERROR(M1666/K1666,0)</f>
        <v>0.566652909616178</v>
      </c>
    </row>
    <row r="1667" customFormat="false" ht="15" hidden="false" customHeight="false" outlineLevel="0" collapsed="false">
      <c r="A1667" s="15" t="n">
        <v>46092</v>
      </c>
      <c r="B1667" s="14" t="s">
        <v>42</v>
      </c>
      <c r="C1667" s="14" t="s">
        <v>43</v>
      </c>
      <c r="D1667" s="14" t="s">
        <v>44</v>
      </c>
      <c r="E1667" s="14" t="s">
        <v>53</v>
      </c>
      <c r="F1667" s="14" t="s">
        <v>92</v>
      </c>
      <c r="G1667" s="14" t="s">
        <v>93</v>
      </c>
      <c r="H1667" s="0" t="n">
        <v>5</v>
      </c>
      <c r="I1667" s="16" t="n">
        <v>115.42</v>
      </c>
      <c r="J1667" s="16" t="n">
        <v>52</v>
      </c>
      <c r="K1667" s="16" t="n">
        <f aca="false">H1667*I1667</f>
        <v>577.1</v>
      </c>
      <c r="L1667" s="16" t="n">
        <f aca="false">H1667*J1667</f>
        <v>260</v>
      </c>
      <c r="M1667" s="16" t="n">
        <f aca="false">K1667-L1667</f>
        <v>317.1</v>
      </c>
      <c r="N1667" s="17" t="n">
        <f aca="false">IFERROR(M1667/K1667,0)</f>
        <v>0.549471495408075</v>
      </c>
    </row>
    <row r="1668" customFormat="false" ht="15" hidden="false" customHeight="false" outlineLevel="0" collapsed="false">
      <c r="A1668" s="15" t="n">
        <v>46092</v>
      </c>
      <c r="B1668" s="14" t="s">
        <v>42</v>
      </c>
      <c r="C1668" s="14" t="s">
        <v>43</v>
      </c>
      <c r="D1668" s="14" t="s">
        <v>44</v>
      </c>
      <c r="E1668" s="14" t="s">
        <v>76</v>
      </c>
      <c r="F1668" s="14" t="s">
        <v>79</v>
      </c>
      <c r="G1668" s="14" t="s">
        <v>80</v>
      </c>
      <c r="H1668" s="0" t="n">
        <v>3</v>
      </c>
      <c r="I1668" s="16" t="n">
        <v>29.8</v>
      </c>
      <c r="J1668" s="16" t="n">
        <v>11</v>
      </c>
      <c r="K1668" s="16" t="n">
        <f aca="false">H1668*I1668</f>
        <v>89.4</v>
      </c>
      <c r="L1668" s="16" t="n">
        <f aca="false">H1668*J1668</f>
        <v>33</v>
      </c>
      <c r="M1668" s="16" t="n">
        <f aca="false">K1668-L1668</f>
        <v>56.4</v>
      </c>
      <c r="N1668" s="17" t="n">
        <f aca="false">IFERROR(M1668/K1668,0)</f>
        <v>0.630872483221477</v>
      </c>
    </row>
    <row r="1669" customFormat="false" ht="15" hidden="false" customHeight="false" outlineLevel="0" collapsed="false">
      <c r="A1669" s="15" t="n">
        <v>46092</v>
      </c>
      <c r="B1669" s="14" t="s">
        <v>42</v>
      </c>
      <c r="C1669" s="14" t="s">
        <v>43</v>
      </c>
      <c r="D1669" s="14" t="s">
        <v>44</v>
      </c>
      <c r="E1669" s="14" t="s">
        <v>56</v>
      </c>
      <c r="F1669" s="14" t="s">
        <v>98</v>
      </c>
      <c r="G1669" s="14" t="s">
        <v>99</v>
      </c>
      <c r="H1669" s="0" t="n">
        <v>10</v>
      </c>
      <c r="I1669" s="16" t="n">
        <v>20.97</v>
      </c>
      <c r="J1669" s="16" t="n">
        <v>8</v>
      </c>
      <c r="K1669" s="16" t="n">
        <f aca="false">H1669*I1669</f>
        <v>209.7</v>
      </c>
      <c r="L1669" s="16" t="n">
        <f aca="false">H1669*J1669</f>
        <v>80</v>
      </c>
      <c r="M1669" s="16" t="n">
        <f aca="false">K1669-L1669</f>
        <v>129.7</v>
      </c>
      <c r="N1669" s="17" t="n">
        <f aca="false">IFERROR(M1669/K1669,0)</f>
        <v>0.618502622794468</v>
      </c>
    </row>
    <row r="1670" customFormat="false" ht="15" hidden="false" customHeight="false" outlineLevel="0" collapsed="false">
      <c r="A1670" s="15" t="n">
        <v>46092</v>
      </c>
      <c r="B1670" s="14" t="s">
        <v>42</v>
      </c>
      <c r="C1670" s="14" t="s">
        <v>43</v>
      </c>
      <c r="D1670" s="14" t="s">
        <v>44</v>
      </c>
      <c r="E1670" s="14" t="s">
        <v>64</v>
      </c>
      <c r="F1670" s="14" t="s">
        <v>94</v>
      </c>
      <c r="G1670" s="14" t="s">
        <v>95</v>
      </c>
      <c r="H1670" s="0" t="n">
        <v>7</v>
      </c>
      <c r="I1670" s="16" t="n">
        <v>93.1</v>
      </c>
      <c r="J1670" s="16" t="n">
        <v>42</v>
      </c>
      <c r="K1670" s="16" t="n">
        <f aca="false">H1670*I1670</f>
        <v>651.7</v>
      </c>
      <c r="L1670" s="16" t="n">
        <f aca="false">H1670*J1670</f>
        <v>294</v>
      </c>
      <c r="M1670" s="16" t="n">
        <f aca="false">K1670-L1670</f>
        <v>357.7</v>
      </c>
      <c r="N1670" s="17" t="n">
        <f aca="false">IFERROR(M1670/K1670,0)</f>
        <v>0.548872180451128</v>
      </c>
    </row>
    <row r="1671" customFormat="false" ht="15" hidden="false" customHeight="false" outlineLevel="0" collapsed="false">
      <c r="A1671" s="15" t="n">
        <v>46092</v>
      </c>
      <c r="B1671" s="14" t="s">
        <v>50</v>
      </c>
      <c r="C1671" s="14" t="s">
        <v>51</v>
      </c>
      <c r="D1671" s="14" t="s">
        <v>52</v>
      </c>
      <c r="E1671" s="14" t="s">
        <v>56</v>
      </c>
      <c r="F1671" s="14" t="s">
        <v>98</v>
      </c>
      <c r="G1671" s="14" t="s">
        <v>99</v>
      </c>
      <c r="H1671" s="0" t="n">
        <v>2</v>
      </c>
      <c r="I1671" s="16" t="n">
        <v>21.54</v>
      </c>
      <c r="J1671" s="16" t="n">
        <v>8</v>
      </c>
      <c r="K1671" s="16" t="n">
        <f aca="false">H1671*I1671</f>
        <v>43.08</v>
      </c>
      <c r="L1671" s="16" t="n">
        <f aca="false">H1671*J1671</f>
        <v>16</v>
      </c>
      <c r="M1671" s="16" t="n">
        <f aca="false">K1671-L1671</f>
        <v>27.08</v>
      </c>
      <c r="N1671" s="17" t="n">
        <f aca="false">IFERROR(M1671/K1671,0)</f>
        <v>0.628597957288765</v>
      </c>
    </row>
    <row r="1672" customFormat="false" ht="15" hidden="false" customHeight="false" outlineLevel="0" collapsed="false">
      <c r="A1672" s="15" t="n">
        <v>46092</v>
      </c>
      <c r="B1672" s="14" t="s">
        <v>50</v>
      </c>
      <c r="C1672" s="14" t="s">
        <v>51</v>
      </c>
      <c r="D1672" s="14" t="s">
        <v>52</v>
      </c>
      <c r="E1672" s="14" t="s">
        <v>64</v>
      </c>
      <c r="F1672" s="14" t="s">
        <v>96</v>
      </c>
      <c r="G1672" s="14" t="s">
        <v>97</v>
      </c>
      <c r="H1672" s="0" t="n">
        <v>3</v>
      </c>
      <c r="I1672" s="16" t="n">
        <v>58.26</v>
      </c>
      <c r="J1672" s="16" t="n">
        <v>24</v>
      </c>
      <c r="K1672" s="16" t="n">
        <f aca="false">H1672*I1672</f>
        <v>174.78</v>
      </c>
      <c r="L1672" s="16" t="n">
        <f aca="false">H1672*J1672</f>
        <v>72</v>
      </c>
      <c r="M1672" s="16" t="n">
        <f aca="false">K1672-L1672</f>
        <v>102.78</v>
      </c>
      <c r="N1672" s="17" t="n">
        <f aca="false">IFERROR(M1672/K1672,0)</f>
        <v>0.588053553038105</v>
      </c>
    </row>
    <row r="1673" customFormat="false" ht="15" hidden="false" customHeight="false" outlineLevel="0" collapsed="false">
      <c r="A1673" s="15" t="n">
        <v>46092</v>
      </c>
      <c r="B1673" s="14" t="s">
        <v>59</v>
      </c>
      <c r="C1673" s="14" t="s">
        <v>60</v>
      </c>
      <c r="D1673" s="14" t="s">
        <v>61</v>
      </c>
      <c r="E1673" s="14" t="s">
        <v>45</v>
      </c>
      <c r="F1673" s="14" t="s">
        <v>72</v>
      </c>
      <c r="G1673" s="14" t="s">
        <v>73</v>
      </c>
      <c r="H1673" s="0" t="n">
        <v>5</v>
      </c>
      <c r="I1673" s="16" t="n">
        <v>49.15</v>
      </c>
      <c r="J1673" s="16" t="n">
        <v>21</v>
      </c>
      <c r="K1673" s="16" t="n">
        <f aca="false">H1673*I1673</f>
        <v>245.75</v>
      </c>
      <c r="L1673" s="16" t="n">
        <f aca="false">H1673*J1673</f>
        <v>105</v>
      </c>
      <c r="M1673" s="16" t="n">
        <f aca="false">K1673-L1673</f>
        <v>140.75</v>
      </c>
      <c r="N1673" s="17" t="n">
        <f aca="false">IFERROR(M1673/K1673,0)</f>
        <v>0.572736520854527</v>
      </c>
    </row>
    <row r="1674" customFormat="false" ht="15" hidden="false" customHeight="false" outlineLevel="0" collapsed="false">
      <c r="A1674" s="15" t="n">
        <v>46092</v>
      </c>
      <c r="B1674" s="14" t="s">
        <v>59</v>
      </c>
      <c r="C1674" s="14" t="s">
        <v>60</v>
      </c>
      <c r="D1674" s="14" t="s">
        <v>61</v>
      </c>
      <c r="E1674" s="14" t="s">
        <v>64</v>
      </c>
      <c r="F1674" s="14" t="s">
        <v>90</v>
      </c>
      <c r="G1674" s="14" t="s">
        <v>91</v>
      </c>
      <c r="H1674" s="0" t="n">
        <v>4</v>
      </c>
      <c r="I1674" s="16" t="n">
        <v>11.37</v>
      </c>
      <c r="J1674" s="16" t="n">
        <v>3.5</v>
      </c>
      <c r="K1674" s="16" t="n">
        <f aca="false">H1674*I1674</f>
        <v>45.48</v>
      </c>
      <c r="L1674" s="16" t="n">
        <f aca="false">H1674*J1674</f>
        <v>14</v>
      </c>
      <c r="M1674" s="16" t="n">
        <f aca="false">K1674-L1674</f>
        <v>31.48</v>
      </c>
      <c r="N1674" s="17" t="n">
        <f aca="false">IFERROR(M1674/K1674,0)</f>
        <v>0.692172383465259</v>
      </c>
    </row>
    <row r="1675" customFormat="false" ht="15" hidden="false" customHeight="false" outlineLevel="0" collapsed="false">
      <c r="A1675" s="15" t="n">
        <v>46092</v>
      </c>
      <c r="B1675" s="14" t="s">
        <v>69</v>
      </c>
      <c r="C1675" s="14" t="s">
        <v>70</v>
      </c>
      <c r="D1675" s="14" t="s">
        <v>71</v>
      </c>
      <c r="E1675" s="14" t="s">
        <v>53</v>
      </c>
      <c r="F1675" s="14" t="s">
        <v>54</v>
      </c>
      <c r="G1675" s="14" t="s">
        <v>55</v>
      </c>
      <c r="H1675" s="0" t="n">
        <v>2</v>
      </c>
      <c r="I1675" s="16" t="n">
        <v>53.89</v>
      </c>
      <c r="J1675" s="16" t="n">
        <v>22</v>
      </c>
      <c r="K1675" s="16" t="n">
        <f aca="false">H1675*I1675</f>
        <v>107.78</v>
      </c>
      <c r="L1675" s="16" t="n">
        <f aca="false">H1675*J1675</f>
        <v>44</v>
      </c>
      <c r="M1675" s="16" t="n">
        <f aca="false">K1675-L1675</f>
        <v>63.78</v>
      </c>
      <c r="N1675" s="17" t="n">
        <f aca="false">IFERROR(M1675/K1675,0)</f>
        <v>0.591760994618668</v>
      </c>
    </row>
    <row r="1676" customFormat="false" ht="15" hidden="false" customHeight="false" outlineLevel="0" collapsed="false">
      <c r="A1676" s="15" t="n">
        <v>46092</v>
      </c>
      <c r="B1676" s="14" t="s">
        <v>69</v>
      </c>
      <c r="C1676" s="14" t="s">
        <v>70</v>
      </c>
      <c r="D1676" s="14" t="s">
        <v>71</v>
      </c>
      <c r="E1676" s="14" t="s">
        <v>56</v>
      </c>
      <c r="F1676" s="14" t="s">
        <v>67</v>
      </c>
      <c r="G1676" s="14" t="s">
        <v>68</v>
      </c>
      <c r="H1676" s="0" t="n">
        <v>2</v>
      </c>
      <c r="I1676" s="16" t="n">
        <v>36.28</v>
      </c>
      <c r="J1676" s="16" t="n">
        <v>15</v>
      </c>
      <c r="K1676" s="16" t="n">
        <f aca="false">H1676*I1676</f>
        <v>72.56</v>
      </c>
      <c r="L1676" s="16" t="n">
        <f aca="false">H1676*J1676</f>
        <v>30</v>
      </c>
      <c r="M1676" s="16" t="n">
        <f aca="false">K1676-L1676</f>
        <v>42.56</v>
      </c>
      <c r="N1676" s="17" t="n">
        <f aca="false">IFERROR(M1676/K1676,0)</f>
        <v>0.586549062844542</v>
      </c>
    </row>
    <row r="1677" customFormat="false" ht="15" hidden="false" customHeight="false" outlineLevel="0" collapsed="false">
      <c r="A1677" s="15" t="n">
        <v>46092</v>
      </c>
      <c r="B1677" s="14" t="s">
        <v>69</v>
      </c>
      <c r="C1677" s="14" t="s">
        <v>70</v>
      </c>
      <c r="D1677" s="14" t="s">
        <v>71</v>
      </c>
      <c r="E1677" s="14" t="s">
        <v>45</v>
      </c>
      <c r="F1677" s="14" t="s">
        <v>48</v>
      </c>
      <c r="G1677" s="14" t="s">
        <v>49</v>
      </c>
      <c r="H1677" s="0" t="n">
        <v>7</v>
      </c>
      <c r="I1677" s="16" t="n">
        <v>63.19</v>
      </c>
      <c r="J1677" s="16" t="n">
        <v>27.5</v>
      </c>
      <c r="K1677" s="16" t="n">
        <f aca="false">H1677*I1677</f>
        <v>442.33</v>
      </c>
      <c r="L1677" s="16" t="n">
        <f aca="false">H1677*J1677</f>
        <v>192.5</v>
      </c>
      <c r="M1677" s="16" t="n">
        <f aca="false">K1677-L1677</f>
        <v>249.83</v>
      </c>
      <c r="N1677" s="17" t="n">
        <f aca="false">IFERROR(M1677/K1677,0)</f>
        <v>0.564804557683178</v>
      </c>
    </row>
    <row r="1678" customFormat="false" ht="15" hidden="false" customHeight="false" outlineLevel="0" collapsed="false">
      <c r="A1678" s="15" t="n">
        <v>46092</v>
      </c>
      <c r="B1678" s="14" t="s">
        <v>81</v>
      </c>
      <c r="C1678" s="14" t="s">
        <v>82</v>
      </c>
      <c r="D1678" s="14" t="s">
        <v>83</v>
      </c>
      <c r="E1678" s="14" t="s">
        <v>64</v>
      </c>
      <c r="F1678" s="14" t="s">
        <v>90</v>
      </c>
      <c r="G1678" s="14" t="s">
        <v>91</v>
      </c>
      <c r="H1678" s="0" t="n">
        <v>5</v>
      </c>
      <c r="I1678" s="16" t="n">
        <v>11.87</v>
      </c>
      <c r="J1678" s="16" t="n">
        <v>3.5</v>
      </c>
      <c r="K1678" s="16" t="n">
        <f aca="false">H1678*I1678</f>
        <v>59.35</v>
      </c>
      <c r="L1678" s="16" t="n">
        <f aca="false">H1678*J1678</f>
        <v>17.5</v>
      </c>
      <c r="M1678" s="16" t="n">
        <f aca="false">K1678-L1678</f>
        <v>41.85</v>
      </c>
      <c r="N1678" s="17" t="n">
        <f aca="false">IFERROR(M1678/K1678,0)</f>
        <v>0.70513900589722</v>
      </c>
    </row>
    <row r="1679" customFormat="false" ht="15" hidden="false" customHeight="false" outlineLevel="0" collapsed="false">
      <c r="A1679" s="15" t="n">
        <v>46092</v>
      </c>
      <c r="B1679" s="14" t="s">
        <v>81</v>
      </c>
      <c r="C1679" s="14" t="s">
        <v>82</v>
      </c>
      <c r="D1679" s="14" t="s">
        <v>83</v>
      </c>
      <c r="E1679" s="14" t="s">
        <v>56</v>
      </c>
      <c r="F1679" s="14" t="s">
        <v>57</v>
      </c>
      <c r="G1679" s="14" t="s">
        <v>58</v>
      </c>
      <c r="H1679" s="0" t="n">
        <v>4</v>
      </c>
      <c r="I1679" s="16" t="n">
        <v>26.18</v>
      </c>
      <c r="J1679" s="16" t="n">
        <v>10</v>
      </c>
      <c r="K1679" s="16" t="n">
        <f aca="false">H1679*I1679</f>
        <v>104.72</v>
      </c>
      <c r="L1679" s="16" t="n">
        <f aca="false">H1679*J1679</f>
        <v>40</v>
      </c>
      <c r="M1679" s="16" t="n">
        <f aca="false">K1679-L1679</f>
        <v>64.72</v>
      </c>
      <c r="N1679" s="17" t="n">
        <f aca="false">IFERROR(M1679/K1679,0)</f>
        <v>0.618029029793736</v>
      </c>
    </row>
    <row r="1680" customFormat="false" ht="15" hidden="false" customHeight="false" outlineLevel="0" collapsed="false">
      <c r="A1680" s="15" t="n">
        <v>46092</v>
      </c>
      <c r="B1680" s="14" t="s">
        <v>81</v>
      </c>
      <c r="C1680" s="14" t="s">
        <v>82</v>
      </c>
      <c r="D1680" s="14" t="s">
        <v>83</v>
      </c>
      <c r="E1680" s="14" t="s">
        <v>56</v>
      </c>
      <c r="F1680" s="14" t="s">
        <v>67</v>
      </c>
      <c r="G1680" s="14" t="s">
        <v>68</v>
      </c>
      <c r="H1680" s="0" t="n">
        <v>6</v>
      </c>
      <c r="I1680" s="16" t="n">
        <v>37.41</v>
      </c>
      <c r="J1680" s="16" t="n">
        <v>15</v>
      </c>
      <c r="K1680" s="16" t="n">
        <f aca="false">H1680*I1680</f>
        <v>224.46</v>
      </c>
      <c r="L1680" s="16" t="n">
        <f aca="false">H1680*J1680</f>
        <v>90</v>
      </c>
      <c r="M1680" s="16" t="n">
        <f aca="false">K1680-L1680</f>
        <v>134.46</v>
      </c>
      <c r="N1680" s="17" t="n">
        <f aca="false">IFERROR(M1680/K1680,0)</f>
        <v>0.599037690457097</v>
      </c>
    </row>
    <row r="1681" customFormat="false" ht="15" hidden="false" customHeight="false" outlineLevel="0" collapsed="false">
      <c r="A1681" s="15" t="n">
        <v>46092</v>
      </c>
      <c r="B1681" s="14" t="s">
        <v>88</v>
      </c>
      <c r="C1681" s="14" t="s">
        <v>89</v>
      </c>
      <c r="D1681" s="14" t="s">
        <v>44</v>
      </c>
      <c r="E1681" s="14" t="s">
        <v>53</v>
      </c>
      <c r="F1681" s="14" t="s">
        <v>54</v>
      </c>
      <c r="G1681" s="14" t="s">
        <v>55</v>
      </c>
      <c r="H1681" s="0" t="n">
        <v>1</v>
      </c>
      <c r="I1681" s="16" t="n">
        <v>51.44</v>
      </c>
      <c r="J1681" s="16" t="n">
        <v>22</v>
      </c>
      <c r="K1681" s="16" t="n">
        <f aca="false">H1681*I1681</f>
        <v>51.44</v>
      </c>
      <c r="L1681" s="16" t="n">
        <f aca="false">H1681*J1681</f>
        <v>22</v>
      </c>
      <c r="M1681" s="16" t="n">
        <f aca="false">K1681-L1681</f>
        <v>29.44</v>
      </c>
      <c r="N1681" s="17" t="n">
        <f aca="false">IFERROR(M1681/K1681,0)</f>
        <v>0.572317262830482</v>
      </c>
    </row>
    <row r="1682" customFormat="false" ht="15" hidden="false" customHeight="false" outlineLevel="0" collapsed="false">
      <c r="A1682" s="15" t="n">
        <v>46092</v>
      </c>
      <c r="B1682" s="14" t="s">
        <v>88</v>
      </c>
      <c r="C1682" s="14" t="s">
        <v>89</v>
      </c>
      <c r="D1682" s="14" t="s">
        <v>44</v>
      </c>
      <c r="E1682" s="14" t="s">
        <v>45</v>
      </c>
      <c r="F1682" s="14" t="s">
        <v>62</v>
      </c>
      <c r="G1682" s="14" t="s">
        <v>63</v>
      </c>
      <c r="H1682" s="0" t="n">
        <v>1</v>
      </c>
      <c r="I1682" s="16" t="n">
        <v>16.86</v>
      </c>
      <c r="J1682" s="16" t="n">
        <v>6.5</v>
      </c>
      <c r="K1682" s="16" t="n">
        <f aca="false">H1682*I1682</f>
        <v>16.86</v>
      </c>
      <c r="L1682" s="16" t="n">
        <f aca="false">H1682*J1682</f>
        <v>6.5</v>
      </c>
      <c r="M1682" s="16" t="n">
        <f aca="false">K1682-L1682</f>
        <v>10.36</v>
      </c>
      <c r="N1682" s="17" t="n">
        <f aca="false">IFERROR(M1682/K1682,0)</f>
        <v>0.614472123368921</v>
      </c>
    </row>
    <row r="1683" customFormat="false" ht="15" hidden="false" customHeight="false" outlineLevel="0" collapsed="false">
      <c r="A1683" s="15" t="n">
        <v>46093</v>
      </c>
      <c r="B1683" s="14" t="s">
        <v>42</v>
      </c>
      <c r="C1683" s="14" t="s">
        <v>43</v>
      </c>
      <c r="D1683" s="14" t="s">
        <v>44</v>
      </c>
      <c r="E1683" s="14" t="s">
        <v>53</v>
      </c>
      <c r="F1683" s="14" t="s">
        <v>84</v>
      </c>
      <c r="G1683" s="14" t="s">
        <v>85</v>
      </c>
      <c r="H1683" s="0" t="n">
        <v>5</v>
      </c>
      <c r="I1683" s="16" t="n">
        <v>23.17</v>
      </c>
      <c r="J1683" s="16" t="n">
        <v>9</v>
      </c>
      <c r="K1683" s="16" t="n">
        <f aca="false">H1683*I1683</f>
        <v>115.85</v>
      </c>
      <c r="L1683" s="16" t="n">
        <f aca="false">H1683*J1683</f>
        <v>45</v>
      </c>
      <c r="M1683" s="16" t="n">
        <f aca="false">K1683-L1683</f>
        <v>70.85</v>
      </c>
      <c r="N1683" s="17" t="n">
        <f aca="false">IFERROR(M1683/K1683,0)</f>
        <v>0.611566681053086</v>
      </c>
    </row>
    <row r="1684" customFormat="false" ht="15" hidden="false" customHeight="false" outlineLevel="0" collapsed="false">
      <c r="A1684" s="15" t="n">
        <v>46093</v>
      </c>
      <c r="B1684" s="14" t="s">
        <v>42</v>
      </c>
      <c r="C1684" s="14" t="s">
        <v>43</v>
      </c>
      <c r="D1684" s="14" t="s">
        <v>44</v>
      </c>
      <c r="E1684" s="14" t="s">
        <v>64</v>
      </c>
      <c r="F1684" s="14" t="s">
        <v>96</v>
      </c>
      <c r="G1684" s="14" t="s">
        <v>97</v>
      </c>
      <c r="H1684" s="0" t="n">
        <v>9</v>
      </c>
      <c r="I1684" s="16" t="n">
        <v>56.27</v>
      </c>
      <c r="J1684" s="16" t="n">
        <v>24</v>
      </c>
      <c r="K1684" s="16" t="n">
        <f aca="false">H1684*I1684</f>
        <v>506.43</v>
      </c>
      <c r="L1684" s="16" t="n">
        <f aca="false">H1684*J1684</f>
        <v>216</v>
      </c>
      <c r="M1684" s="16" t="n">
        <f aca="false">K1684-L1684</f>
        <v>290.43</v>
      </c>
      <c r="N1684" s="17" t="n">
        <f aca="false">IFERROR(M1684/K1684,0)</f>
        <v>0.573484983117114</v>
      </c>
    </row>
    <row r="1685" customFormat="false" ht="15" hidden="false" customHeight="false" outlineLevel="0" collapsed="false">
      <c r="A1685" s="15" t="n">
        <v>46093</v>
      </c>
      <c r="B1685" s="14" t="s">
        <v>42</v>
      </c>
      <c r="C1685" s="14" t="s">
        <v>43</v>
      </c>
      <c r="D1685" s="14" t="s">
        <v>44</v>
      </c>
      <c r="E1685" s="14" t="s">
        <v>45</v>
      </c>
      <c r="F1685" s="14" t="s">
        <v>62</v>
      </c>
      <c r="G1685" s="14" t="s">
        <v>63</v>
      </c>
      <c r="H1685" s="0" t="n">
        <v>4</v>
      </c>
      <c r="I1685" s="16" t="n">
        <v>17.62</v>
      </c>
      <c r="J1685" s="16" t="n">
        <v>6.5</v>
      </c>
      <c r="K1685" s="16" t="n">
        <f aca="false">H1685*I1685</f>
        <v>70.48</v>
      </c>
      <c r="L1685" s="16" t="n">
        <f aca="false">H1685*J1685</f>
        <v>26</v>
      </c>
      <c r="M1685" s="16" t="n">
        <f aca="false">K1685-L1685</f>
        <v>44.48</v>
      </c>
      <c r="N1685" s="17" t="n">
        <f aca="false">IFERROR(M1685/K1685,0)</f>
        <v>0.631101021566402</v>
      </c>
    </row>
    <row r="1686" customFormat="false" ht="15" hidden="false" customHeight="false" outlineLevel="0" collapsed="false">
      <c r="A1686" s="15" t="n">
        <v>46093</v>
      </c>
      <c r="B1686" s="14" t="s">
        <v>50</v>
      </c>
      <c r="C1686" s="14" t="s">
        <v>51</v>
      </c>
      <c r="D1686" s="14" t="s">
        <v>52</v>
      </c>
      <c r="E1686" s="14" t="s">
        <v>64</v>
      </c>
      <c r="F1686" s="14" t="s">
        <v>90</v>
      </c>
      <c r="G1686" s="14" t="s">
        <v>91</v>
      </c>
      <c r="H1686" s="0" t="n">
        <v>1</v>
      </c>
      <c r="I1686" s="16" t="n">
        <v>11.87</v>
      </c>
      <c r="J1686" s="16" t="n">
        <v>3.5</v>
      </c>
      <c r="K1686" s="16" t="n">
        <f aca="false">H1686*I1686</f>
        <v>11.87</v>
      </c>
      <c r="L1686" s="16" t="n">
        <f aca="false">H1686*J1686</f>
        <v>3.5</v>
      </c>
      <c r="M1686" s="16" t="n">
        <f aca="false">K1686-L1686</f>
        <v>8.37</v>
      </c>
      <c r="N1686" s="17" t="n">
        <f aca="false">IFERROR(M1686/K1686,0)</f>
        <v>0.70513900589722</v>
      </c>
    </row>
    <row r="1687" customFormat="false" ht="15" hidden="false" customHeight="false" outlineLevel="0" collapsed="false">
      <c r="A1687" s="15" t="n">
        <v>46093</v>
      </c>
      <c r="B1687" s="14" t="s">
        <v>50</v>
      </c>
      <c r="C1687" s="14" t="s">
        <v>51</v>
      </c>
      <c r="D1687" s="14" t="s">
        <v>52</v>
      </c>
      <c r="E1687" s="14" t="s">
        <v>56</v>
      </c>
      <c r="F1687" s="14" t="s">
        <v>86</v>
      </c>
      <c r="G1687" s="14" t="s">
        <v>87</v>
      </c>
      <c r="H1687" s="0" t="n">
        <v>5</v>
      </c>
      <c r="I1687" s="16" t="n">
        <v>14.15</v>
      </c>
      <c r="J1687" s="16" t="n">
        <v>5</v>
      </c>
      <c r="K1687" s="16" t="n">
        <f aca="false">H1687*I1687</f>
        <v>70.75</v>
      </c>
      <c r="L1687" s="16" t="n">
        <f aca="false">H1687*J1687</f>
        <v>25</v>
      </c>
      <c r="M1687" s="16" t="n">
        <f aca="false">K1687-L1687</f>
        <v>45.75</v>
      </c>
      <c r="N1687" s="17" t="n">
        <f aca="false">IFERROR(M1687/K1687,0)</f>
        <v>0.646643109540636</v>
      </c>
    </row>
    <row r="1688" customFormat="false" ht="15" hidden="false" customHeight="false" outlineLevel="0" collapsed="false">
      <c r="A1688" s="15" t="n">
        <v>46093</v>
      </c>
      <c r="B1688" s="14" t="s">
        <v>50</v>
      </c>
      <c r="C1688" s="14" t="s">
        <v>51</v>
      </c>
      <c r="D1688" s="14" t="s">
        <v>52</v>
      </c>
      <c r="E1688" s="14" t="s">
        <v>64</v>
      </c>
      <c r="F1688" s="14" t="s">
        <v>65</v>
      </c>
      <c r="G1688" s="14" t="s">
        <v>66</v>
      </c>
      <c r="H1688" s="0" t="n">
        <v>6</v>
      </c>
      <c r="I1688" s="16" t="n">
        <v>72.73</v>
      </c>
      <c r="J1688" s="16" t="n">
        <v>34</v>
      </c>
      <c r="K1688" s="16" t="n">
        <f aca="false">H1688*I1688</f>
        <v>436.38</v>
      </c>
      <c r="L1688" s="16" t="n">
        <f aca="false">H1688*J1688</f>
        <v>204</v>
      </c>
      <c r="M1688" s="16" t="n">
        <f aca="false">K1688-L1688</f>
        <v>232.38</v>
      </c>
      <c r="N1688" s="17" t="n">
        <f aca="false">IFERROR(M1688/K1688,0)</f>
        <v>0.532517530592603</v>
      </c>
    </row>
    <row r="1689" customFormat="false" ht="15" hidden="false" customHeight="false" outlineLevel="0" collapsed="false">
      <c r="A1689" s="15" t="n">
        <v>46093</v>
      </c>
      <c r="B1689" s="14" t="s">
        <v>50</v>
      </c>
      <c r="C1689" s="14" t="s">
        <v>51</v>
      </c>
      <c r="D1689" s="14" t="s">
        <v>52</v>
      </c>
      <c r="E1689" s="14" t="s">
        <v>64</v>
      </c>
      <c r="F1689" s="14" t="s">
        <v>90</v>
      </c>
      <c r="G1689" s="14" t="s">
        <v>91</v>
      </c>
      <c r="H1689" s="0" t="n">
        <v>8</v>
      </c>
      <c r="I1689" s="16" t="n">
        <v>11.75</v>
      </c>
      <c r="J1689" s="16" t="n">
        <v>3.5</v>
      </c>
      <c r="K1689" s="16" t="n">
        <f aca="false">H1689*I1689</f>
        <v>94</v>
      </c>
      <c r="L1689" s="16" t="n">
        <f aca="false">H1689*J1689</f>
        <v>28</v>
      </c>
      <c r="M1689" s="16" t="n">
        <f aca="false">K1689-L1689</f>
        <v>66</v>
      </c>
      <c r="N1689" s="17" t="n">
        <f aca="false">IFERROR(M1689/K1689,0)</f>
        <v>0.702127659574468</v>
      </c>
    </row>
    <row r="1690" customFormat="false" ht="15" hidden="false" customHeight="false" outlineLevel="0" collapsed="false">
      <c r="A1690" s="15" t="n">
        <v>46093</v>
      </c>
      <c r="B1690" s="14" t="s">
        <v>50</v>
      </c>
      <c r="C1690" s="14" t="s">
        <v>51</v>
      </c>
      <c r="D1690" s="14" t="s">
        <v>52</v>
      </c>
      <c r="E1690" s="14" t="s">
        <v>56</v>
      </c>
      <c r="F1690" s="14" t="s">
        <v>67</v>
      </c>
      <c r="G1690" s="14" t="s">
        <v>68</v>
      </c>
      <c r="H1690" s="0" t="n">
        <v>1</v>
      </c>
      <c r="I1690" s="16" t="n">
        <v>36.44</v>
      </c>
      <c r="J1690" s="16" t="n">
        <v>15</v>
      </c>
      <c r="K1690" s="16" t="n">
        <f aca="false">H1690*I1690</f>
        <v>36.44</v>
      </c>
      <c r="L1690" s="16" t="n">
        <f aca="false">H1690*J1690</f>
        <v>15</v>
      </c>
      <c r="M1690" s="16" t="n">
        <f aca="false">K1690-L1690</f>
        <v>21.44</v>
      </c>
      <c r="N1690" s="17" t="n">
        <f aca="false">IFERROR(M1690/K1690,0)</f>
        <v>0.588364434687157</v>
      </c>
    </row>
    <row r="1691" customFormat="false" ht="15" hidden="false" customHeight="false" outlineLevel="0" collapsed="false">
      <c r="A1691" s="15" t="n">
        <v>46093</v>
      </c>
      <c r="B1691" s="14" t="s">
        <v>59</v>
      </c>
      <c r="C1691" s="14" t="s">
        <v>60</v>
      </c>
      <c r="D1691" s="14" t="s">
        <v>61</v>
      </c>
      <c r="E1691" s="14" t="s">
        <v>56</v>
      </c>
      <c r="F1691" s="14" t="s">
        <v>57</v>
      </c>
      <c r="G1691" s="14" t="s">
        <v>58</v>
      </c>
      <c r="H1691" s="0" t="n">
        <v>4</v>
      </c>
      <c r="I1691" s="16" t="n">
        <v>26.38</v>
      </c>
      <c r="J1691" s="16" t="n">
        <v>10</v>
      </c>
      <c r="K1691" s="16" t="n">
        <f aca="false">H1691*I1691</f>
        <v>105.52</v>
      </c>
      <c r="L1691" s="16" t="n">
        <f aca="false">H1691*J1691</f>
        <v>40</v>
      </c>
      <c r="M1691" s="16" t="n">
        <f aca="false">K1691-L1691</f>
        <v>65.52</v>
      </c>
      <c r="N1691" s="17" t="n">
        <f aca="false">IFERROR(M1691/K1691,0)</f>
        <v>0.620924943138742</v>
      </c>
    </row>
    <row r="1692" customFormat="false" ht="15" hidden="false" customHeight="false" outlineLevel="0" collapsed="false">
      <c r="A1692" s="15" t="n">
        <v>46093</v>
      </c>
      <c r="B1692" s="14" t="s">
        <v>59</v>
      </c>
      <c r="C1692" s="14" t="s">
        <v>60</v>
      </c>
      <c r="D1692" s="14" t="s">
        <v>61</v>
      </c>
      <c r="E1692" s="14" t="s">
        <v>56</v>
      </c>
      <c r="F1692" s="14" t="s">
        <v>98</v>
      </c>
      <c r="G1692" s="14" t="s">
        <v>99</v>
      </c>
      <c r="H1692" s="0" t="n">
        <v>7</v>
      </c>
      <c r="I1692" s="16" t="n">
        <v>21.25</v>
      </c>
      <c r="J1692" s="16" t="n">
        <v>8</v>
      </c>
      <c r="K1692" s="16" t="n">
        <f aca="false">H1692*I1692</f>
        <v>148.75</v>
      </c>
      <c r="L1692" s="16" t="n">
        <f aca="false">H1692*J1692</f>
        <v>56</v>
      </c>
      <c r="M1692" s="16" t="n">
        <f aca="false">K1692-L1692</f>
        <v>92.75</v>
      </c>
      <c r="N1692" s="17" t="n">
        <f aca="false">IFERROR(M1692/K1692,0)</f>
        <v>0.623529411764706</v>
      </c>
    </row>
    <row r="1693" customFormat="false" ht="15" hidden="false" customHeight="false" outlineLevel="0" collapsed="false">
      <c r="A1693" s="15" t="n">
        <v>46093</v>
      </c>
      <c r="B1693" s="14" t="s">
        <v>59</v>
      </c>
      <c r="C1693" s="14" t="s">
        <v>60</v>
      </c>
      <c r="D1693" s="14" t="s">
        <v>61</v>
      </c>
      <c r="E1693" s="14" t="s">
        <v>56</v>
      </c>
      <c r="F1693" s="14" t="s">
        <v>98</v>
      </c>
      <c r="G1693" s="14" t="s">
        <v>99</v>
      </c>
      <c r="H1693" s="0" t="n">
        <v>5</v>
      </c>
      <c r="I1693" s="16" t="n">
        <v>21.81</v>
      </c>
      <c r="J1693" s="16" t="n">
        <v>8</v>
      </c>
      <c r="K1693" s="16" t="n">
        <f aca="false">H1693*I1693</f>
        <v>109.05</v>
      </c>
      <c r="L1693" s="16" t="n">
        <f aca="false">H1693*J1693</f>
        <v>40</v>
      </c>
      <c r="M1693" s="16" t="n">
        <f aca="false">K1693-L1693</f>
        <v>69.05</v>
      </c>
      <c r="N1693" s="17" t="n">
        <f aca="false">IFERROR(M1693/K1693,0)</f>
        <v>0.63319578175149</v>
      </c>
    </row>
    <row r="1694" customFormat="false" ht="15" hidden="false" customHeight="false" outlineLevel="0" collapsed="false">
      <c r="A1694" s="15" t="n">
        <v>46093</v>
      </c>
      <c r="B1694" s="14" t="s">
        <v>59</v>
      </c>
      <c r="C1694" s="14" t="s">
        <v>60</v>
      </c>
      <c r="D1694" s="14" t="s">
        <v>61</v>
      </c>
      <c r="E1694" s="14" t="s">
        <v>64</v>
      </c>
      <c r="F1694" s="14" t="s">
        <v>90</v>
      </c>
      <c r="G1694" s="14" t="s">
        <v>91</v>
      </c>
      <c r="H1694" s="0" t="n">
        <v>2</v>
      </c>
      <c r="I1694" s="16" t="n">
        <v>11.51</v>
      </c>
      <c r="J1694" s="16" t="n">
        <v>3.5</v>
      </c>
      <c r="K1694" s="16" t="n">
        <f aca="false">H1694*I1694</f>
        <v>23.02</v>
      </c>
      <c r="L1694" s="16" t="n">
        <f aca="false">H1694*J1694</f>
        <v>7</v>
      </c>
      <c r="M1694" s="16" t="n">
        <f aca="false">K1694-L1694</f>
        <v>16.02</v>
      </c>
      <c r="N1694" s="17" t="n">
        <f aca="false">IFERROR(M1694/K1694,0)</f>
        <v>0.695916594265856</v>
      </c>
    </row>
    <row r="1695" customFormat="false" ht="15" hidden="false" customHeight="false" outlineLevel="0" collapsed="false">
      <c r="A1695" s="15" t="n">
        <v>46093</v>
      </c>
      <c r="B1695" s="14" t="s">
        <v>59</v>
      </c>
      <c r="C1695" s="14" t="s">
        <v>60</v>
      </c>
      <c r="D1695" s="14" t="s">
        <v>61</v>
      </c>
      <c r="E1695" s="14" t="s">
        <v>76</v>
      </c>
      <c r="F1695" s="14" t="s">
        <v>100</v>
      </c>
      <c r="G1695" s="14" t="s">
        <v>101</v>
      </c>
      <c r="H1695" s="0" t="n">
        <v>6</v>
      </c>
      <c r="I1695" s="16" t="n">
        <v>14.75</v>
      </c>
      <c r="J1695" s="16" t="n">
        <v>5.5</v>
      </c>
      <c r="K1695" s="16" t="n">
        <f aca="false">H1695*I1695</f>
        <v>88.5</v>
      </c>
      <c r="L1695" s="16" t="n">
        <f aca="false">H1695*J1695</f>
        <v>33</v>
      </c>
      <c r="M1695" s="16" t="n">
        <f aca="false">K1695-L1695</f>
        <v>55.5</v>
      </c>
      <c r="N1695" s="17" t="n">
        <f aca="false">IFERROR(M1695/K1695,0)</f>
        <v>0.627118644067797</v>
      </c>
    </row>
    <row r="1696" customFormat="false" ht="15" hidden="false" customHeight="false" outlineLevel="0" collapsed="false">
      <c r="A1696" s="15" t="n">
        <v>46093</v>
      </c>
      <c r="B1696" s="14" t="s">
        <v>69</v>
      </c>
      <c r="C1696" s="14" t="s">
        <v>70</v>
      </c>
      <c r="D1696" s="14" t="s">
        <v>71</v>
      </c>
      <c r="E1696" s="14" t="s">
        <v>53</v>
      </c>
      <c r="F1696" s="14" t="s">
        <v>84</v>
      </c>
      <c r="G1696" s="14" t="s">
        <v>85</v>
      </c>
      <c r="H1696" s="0" t="n">
        <v>5</v>
      </c>
      <c r="I1696" s="16" t="n">
        <v>23.88</v>
      </c>
      <c r="J1696" s="16" t="n">
        <v>9</v>
      </c>
      <c r="K1696" s="16" t="n">
        <f aca="false">H1696*I1696</f>
        <v>119.4</v>
      </c>
      <c r="L1696" s="16" t="n">
        <f aca="false">H1696*J1696</f>
        <v>45</v>
      </c>
      <c r="M1696" s="16" t="n">
        <f aca="false">K1696-L1696</f>
        <v>74.4</v>
      </c>
      <c r="N1696" s="17" t="n">
        <f aca="false">IFERROR(M1696/K1696,0)</f>
        <v>0.623115577889447</v>
      </c>
    </row>
    <row r="1697" customFormat="false" ht="15" hidden="false" customHeight="false" outlineLevel="0" collapsed="false">
      <c r="A1697" s="15" t="n">
        <v>46093</v>
      </c>
      <c r="B1697" s="14" t="s">
        <v>69</v>
      </c>
      <c r="C1697" s="14" t="s">
        <v>70</v>
      </c>
      <c r="D1697" s="14" t="s">
        <v>71</v>
      </c>
      <c r="E1697" s="14" t="s">
        <v>56</v>
      </c>
      <c r="F1697" s="14" t="s">
        <v>86</v>
      </c>
      <c r="G1697" s="14" t="s">
        <v>87</v>
      </c>
      <c r="H1697" s="0" t="n">
        <v>5</v>
      </c>
      <c r="I1697" s="16" t="n">
        <v>14.91</v>
      </c>
      <c r="J1697" s="16" t="n">
        <v>5</v>
      </c>
      <c r="K1697" s="16" t="n">
        <f aca="false">H1697*I1697</f>
        <v>74.55</v>
      </c>
      <c r="L1697" s="16" t="n">
        <f aca="false">H1697*J1697</f>
        <v>25</v>
      </c>
      <c r="M1697" s="16" t="n">
        <f aca="false">K1697-L1697</f>
        <v>49.55</v>
      </c>
      <c r="N1697" s="17" t="n">
        <f aca="false">IFERROR(M1697/K1697,0)</f>
        <v>0.664654594232059</v>
      </c>
    </row>
    <row r="1698" customFormat="false" ht="15" hidden="false" customHeight="false" outlineLevel="0" collapsed="false">
      <c r="A1698" s="15" t="n">
        <v>46093</v>
      </c>
      <c r="B1698" s="14" t="s">
        <v>69</v>
      </c>
      <c r="C1698" s="14" t="s">
        <v>70</v>
      </c>
      <c r="D1698" s="14" t="s">
        <v>71</v>
      </c>
      <c r="E1698" s="14" t="s">
        <v>64</v>
      </c>
      <c r="F1698" s="14" t="s">
        <v>96</v>
      </c>
      <c r="G1698" s="14" t="s">
        <v>97</v>
      </c>
      <c r="H1698" s="0" t="n">
        <v>4</v>
      </c>
      <c r="I1698" s="16" t="n">
        <v>57.69</v>
      </c>
      <c r="J1698" s="16" t="n">
        <v>24</v>
      </c>
      <c r="K1698" s="16" t="n">
        <f aca="false">H1698*I1698</f>
        <v>230.76</v>
      </c>
      <c r="L1698" s="16" t="n">
        <f aca="false">H1698*J1698</f>
        <v>96</v>
      </c>
      <c r="M1698" s="16" t="n">
        <f aca="false">K1698-L1698</f>
        <v>134.76</v>
      </c>
      <c r="N1698" s="17" t="n">
        <f aca="false">IFERROR(M1698/K1698,0)</f>
        <v>0.583983359334373</v>
      </c>
    </row>
    <row r="1699" customFormat="false" ht="15" hidden="false" customHeight="false" outlineLevel="0" collapsed="false">
      <c r="A1699" s="15" t="n">
        <v>46093</v>
      </c>
      <c r="B1699" s="14" t="s">
        <v>69</v>
      </c>
      <c r="C1699" s="14" t="s">
        <v>70</v>
      </c>
      <c r="D1699" s="14" t="s">
        <v>71</v>
      </c>
      <c r="E1699" s="14" t="s">
        <v>64</v>
      </c>
      <c r="F1699" s="14" t="s">
        <v>90</v>
      </c>
      <c r="G1699" s="14" t="s">
        <v>91</v>
      </c>
      <c r="H1699" s="0" t="n">
        <v>5</v>
      </c>
      <c r="I1699" s="16" t="n">
        <v>11.8</v>
      </c>
      <c r="J1699" s="16" t="n">
        <v>3.5</v>
      </c>
      <c r="K1699" s="16" t="n">
        <f aca="false">H1699*I1699</f>
        <v>59</v>
      </c>
      <c r="L1699" s="16" t="n">
        <f aca="false">H1699*J1699</f>
        <v>17.5</v>
      </c>
      <c r="M1699" s="16" t="n">
        <f aca="false">K1699-L1699</f>
        <v>41.5</v>
      </c>
      <c r="N1699" s="17" t="n">
        <f aca="false">IFERROR(M1699/K1699,0)</f>
        <v>0.703389830508475</v>
      </c>
    </row>
    <row r="1700" customFormat="false" ht="15" hidden="false" customHeight="false" outlineLevel="0" collapsed="false">
      <c r="A1700" s="15" t="n">
        <v>46093</v>
      </c>
      <c r="B1700" s="14" t="s">
        <v>81</v>
      </c>
      <c r="C1700" s="14" t="s">
        <v>82</v>
      </c>
      <c r="D1700" s="14" t="s">
        <v>83</v>
      </c>
      <c r="E1700" s="14" t="s">
        <v>56</v>
      </c>
      <c r="F1700" s="14" t="s">
        <v>86</v>
      </c>
      <c r="G1700" s="14" t="s">
        <v>87</v>
      </c>
      <c r="H1700" s="0" t="n">
        <v>4</v>
      </c>
      <c r="I1700" s="16" t="n">
        <v>14.63</v>
      </c>
      <c r="J1700" s="16" t="n">
        <v>5</v>
      </c>
      <c r="K1700" s="16" t="n">
        <f aca="false">H1700*I1700</f>
        <v>58.52</v>
      </c>
      <c r="L1700" s="16" t="n">
        <f aca="false">H1700*J1700</f>
        <v>20</v>
      </c>
      <c r="M1700" s="16" t="n">
        <f aca="false">K1700-L1700</f>
        <v>38.52</v>
      </c>
      <c r="N1700" s="17" t="n">
        <f aca="false">IFERROR(M1700/K1700,0)</f>
        <v>0.658236500341764</v>
      </c>
    </row>
    <row r="1701" customFormat="false" ht="15" hidden="false" customHeight="false" outlineLevel="0" collapsed="false">
      <c r="A1701" s="15" t="n">
        <v>46093</v>
      </c>
      <c r="B1701" s="14" t="s">
        <v>81</v>
      </c>
      <c r="C1701" s="14" t="s">
        <v>82</v>
      </c>
      <c r="D1701" s="14" t="s">
        <v>83</v>
      </c>
      <c r="E1701" s="14" t="s">
        <v>45</v>
      </c>
      <c r="F1701" s="14" t="s">
        <v>72</v>
      </c>
      <c r="G1701" s="14" t="s">
        <v>73</v>
      </c>
      <c r="H1701" s="0" t="n">
        <v>2</v>
      </c>
      <c r="I1701" s="16" t="n">
        <v>48.56</v>
      </c>
      <c r="J1701" s="16" t="n">
        <v>21</v>
      </c>
      <c r="K1701" s="16" t="n">
        <f aca="false">H1701*I1701</f>
        <v>97.12</v>
      </c>
      <c r="L1701" s="16" t="n">
        <f aca="false">H1701*J1701</f>
        <v>42</v>
      </c>
      <c r="M1701" s="16" t="n">
        <f aca="false">K1701-L1701</f>
        <v>55.12</v>
      </c>
      <c r="N1701" s="17" t="n">
        <f aca="false">IFERROR(M1701/K1701,0)</f>
        <v>0.567545304777595</v>
      </c>
    </row>
    <row r="1702" customFormat="false" ht="15" hidden="false" customHeight="false" outlineLevel="0" collapsed="false">
      <c r="A1702" s="15" t="n">
        <v>46093</v>
      </c>
      <c r="B1702" s="14" t="s">
        <v>81</v>
      </c>
      <c r="C1702" s="14" t="s">
        <v>82</v>
      </c>
      <c r="D1702" s="14" t="s">
        <v>83</v>
      </c>
      <c r="E1702" s="14" t="s">
        <v>53</v>
      </c>
      <c r="F1702" s="14" t="s">
        <v>84</v>
      </c>
      <c r="G1702" s="14" t="s">
        <v>85</v>
      </c>
      <c r="H1702" s="0" t="n">
        <v>2</v>
      </c>
      <c r="I1702" s="16" t="n">
        <v>24.59</v>
      </c>
      <c r="J1702" s="16" t="n">
        <v>9</v>
      </c>
      <c r="K1702" s="16" t="n">
        <f aca="false">H1702*I1702</f>
        <v>49.18</v>
      </c>
      <c r="L1702" s="16" t="n">
        <f aca="false">H1702*J1702</f>
        <v>18</v>
      </c>
      <c r="M1702" s="16" t="n">
        <f aca="false">K1702-L1702</f>
        <v>31.18</v>
      </c>
      <c r="N1702" s="17" t="n">
        <f aca="false">IFERROR(M1702/K1702,0)</f>
        <v>0.633997559983733</v>
      </c>
    </row>
    <row r="1703" customFormat="false" ht="15" hidden="false" customHeight="false" outlineLevel="0" collapsed="false">
      <c r="A1703" s="15" t="n">
        <v>46093</v>
      </c>
      <c r="B1703" s="14" t="s">
        <v>88</v>
      </c>
      <c r="C1703" s="14" t="s">
        <v>89</v>
      </c>
      <c r="D1703" s="14" t="s">
        <v>44</v>
      </c>
      <c r="E1703" s="14" t="s">
        <v>76</v>
      </c>
      <c r="F1703" s="14" t="s">
        <v>77</v>
      </c>
      <c r="G1703" s="14" t="s">
        <v>78</v>
      </c>
      <c r="H1703" s="0" t="n">
        <v>4</v>
      </c>
      <c r="I1703" s="16" t="n">
        <v>40.51</v>
      </c>
      <c r="J1703" s="16" t="n">
        <v>15</v>
      </c>
      <c r="K1703" s="16" t="n">
        <f aca="false">H1703*I1703</f>
        <v>162.04</v>
      </c>
      <c r="L1703" s="16" t="n">
        <f aca="false">H1703*J1703</f>
        <v>60</v>
      </c>
      <c r="M1703" s="16" t="n">
        <f aca="false">K1703-L1703</f>
        <v>102.04</v>
      </c>
      <c r="N1703" s="17" t="n">
        <f aca="false">IFERROR(M1703/K1703,0)</f>
        <v>0.629721056529252</v>
      </c>
    </row>
    <row r="1704" customFormat="false" ht="15" hidden="false" customHeight="false" outlineLevel="0" collapsed="false">
      <c r="A1704" s="15" t="n">
        <v>46093</v>
      </c>
      <c r="B1704" s="14" t="s">
        <v>88</v>
      </c>
      <c r="C1704" s="14" t="s">
        <v>89</v>
      </c>
      <c r="D1704" s="14" t="s">
        <v>44</v>
      </c>
      <c r="E1704" s="14" t="s">
        <v>45</v>
      </c>
      <c r="F1704" s="14" t="s">
        <v>46</v>
      </c>
      <c r="G1704" s="14" t="s">
        <v>47</v>
      </c>
      <c r="H1704" s="0" t="n">
        <v>6</v>
      </c>
      <c r="I1704" s="16" t="n">
        <v>42.69</v>
      </c>
      <c r="J1704" s="16" t="n">
        <v>18</v>
      </c>
      <c r="K1704" s="16" t="n">
        <f aca="false">H1704*I1704</f>
        <v>256.14</v>
      </c>
      <c r="L1704" s="16" t="n">
        <f aca="false">H1704*J1704</f>
        <v>108</v>
      </c>
      <c r="M1704" s="16" t="n">
        <f aca="false">K1704-L1704</f>
        <v>148.14</v>
      </c>
      <c r="N1704" s="17" t="n">
        <f aca="false">IFERROR(M1704/K1704,0)</f>
        <v>0.578355586788475</v>
      </c>
    </row>
    <row r="1705" customFormat="false" ht="15" hidden="false" customHeight="false" outlineLevel="0" collapsed="false">
      <c r="A1705" s="15" t="n">
        <v>46093</v>
      </c>
      <c r="B1705" s="14" t="s">
        <v>88</v>
      </c>
      <c r="C1705" s="14" t="s">
        <v>89</v>
      </c>
      <c r="D1705" s="14" t="s">
        <v>44</v>
      </c>
      <c r="E1705" s="14" t="s">
        <v>53</v>
      </c>
      <c r="F1705" s="14" t="s">
        <v>54</v>
      </c>
      <c r="G1705" s="14" t="s">
        <v>55</v>
      </c>
      <c r="H1705" s="0" t="n">
        <v>1</v>
      </c>
      <c r="I1705" s="16" t="n">
        <v>54.15</v>
      </c>
      <c r="J1705" s="16" t="n">
        <v>22</v>
      </c>
      <c r="K1705" s="16" t="n">
        <f aca="false">H1705*I1705</f>
        <v>54.15</v>
      </c>
      <c r="L1705" s="16" t="n">
        <f aca="false">H1705*J1705</f>
        <v>22</v>
      </c>
      <c r="M1705" s="16" t="n">
        <f aca="false">K1705-L1705</f>
        <v>32.15</v>
      </c>
      <c r="N1705" s="17" t="n">
        <f aca="false">IFERROR(M1705/K1705,0)</f>
        <v>0.593721144967682</v>
      </c>
    </row>
    <row r="1706" customFormat="false" ht="15" hidden="false" customHeight="false" outlineLevel="0" collapsed="false">
      <c r="A1706" s="15" t="n">
        <v>46093</v>
      </c>
      <c r="B1706" s="14" t="s">
        <v>88</v>
      </c>
      <c r="C1706" s="14" t="s">
        <v>89</v>
      </c>
      <c r="D1706" s="14" t="s">
        <v>44</v>
      </c>
      <c r="E1706" s="14" t="s">
        <v>76</v>
      </c>
      <c r="F1706" s="14" t="s">
        <v>100</v>
      </c>
      <c r="G1706" s="14" t="s">
        <v>101</v>
      </c>
      <c r="H1706" s="0" t="n">
        <v>2</v>
      </c>
      <c r="I1706" s="16" t="n">
        <v>15.51</v>
      </c>
      <c r="J1706" s="16" t="n">
        <v>5.5</v>
      </c>
      <c r="K1706" s="16" t="n">
        <f aca="false">H1706*I1706</f>
        <v>31.02</v>
      </c>
      <c r="L1706" s="16" t="n">
        <f aca="false">H1706*J1706</f>
        <v>11</v>
      </c>
      <c r="M1706" s="16" t="n">
        <f aca="false">K1706-L1706</f>
        <v>20.02</v>
      </c>
      <c r="N1706" s="17" t="n">
        <f aca="false">IFERROR(M1706/K1706,0)</f>
        <v>0.645390070921986</v>
      </c>
    </row>
    <row r="1707" customFormat="false" ht="15" hidden="false" customHeight="false" outlineLevel="0" collapsed="false">
      <c r="A1707" s="15" t="n">
        <v>46093</v>
      </c>
      <c r="B1707" s="14" t="s">
        <v>88</v>
      </c>
      <c r="C1707" s="14" t="s">
        <v>89</v>
      </c>
      <c r="D1707" s="14" t="s">
        <v>44</v>
      </c>
      <c r="E1707" s="14" t="s">
        <v>45</v>
      </c>
      <c r="F1707" s="14" t="s">
        <v>62</v>
      </c>
      <c r="G1707" s="14" t="s">
        <v>63</v>
      </c>
      <c r="H1707" s="0" t="n">
        <v>9</v>
      </c>
      <c r="I1707" s="16" t="n">
        <v>16.93</v>
      </c>
      <c r="J1707" s="16" t="n">
        <v>6.5</v>
      </c>
      <c r="K1707" s="16" t="n">
        <f aca="false">H1707*I1707</f>
        <v>152.37</v>
      </c>
      <c r="L1707" s="16" t="n">
        <f aca="false">H1707*J1707</f>
        <v>58.5</v>
      </c>
      <c r="M1707" s="16" t="n">
        <f aca="false">K1707-L1707</f>
        <v>93.87</v>
      </c>
      <c r="N1707" s="17" t="n">
        <f aca="false">IFERROR(M1707/K1707,0)</f>
        <v>0.616066154754873</v>
      </c>
    </row>
    <row r="1708" customFormat="false" ht="15" hidden="false" customHeight="false" outlineLevel="0" collapsed="false">
      <c r="A1708" s="15" t="n">
        <v>46094</v>
      </c>
      <c r="B1708" s="14" t="s">
        <v>42</v>
      </c>
      <c r="C1708" s="14" t="s">
        <v>43</v>
      </c>
      <c r="D1708" s="14" t="s">
        <v>44</v>
      </c>
      <c r="E1708" s="14" t="s">
        <v>76</v>
      </c>
      <c r="F1708" s="14" t="s">
        <v>79</v>
      </c>
      <c r="G1708" s="14" t="s">
        <v>80</v>
      </c>
      <c r="H1708" s="0" t="n">
        <v>6</v>
      </c>
      <c r="I1708" s="16" t="n">
        <v>29.75</v>
      </c>
      <c r="J1708" s="16" t="n">
        <v>11</v>
      </c>
      <c r="K1708" s="16" t="n">
        <f aca="false">H1708*I1708</f>
        <v>178.5</v>
      </c>
      <c r="L1708" s="16" t="n">
        <f aca="false">H1708*J1708</f>
        <v>66</v>
      </c>
      <c r="M1708" s="16" t="n">
        <f aca="false">K1708-L1708</f>
        <v>112.5</v>
      </c>
      <c r="N1708" s="17" t="n">
        <f aca="false">IFERROR(M1708/K1708,0)</f>
        <v>0.630252100840336</v>
      </c>
    </row>
    <row r="1709" customFormat="false" ht="15" hidden="false" customHeight="false" outlineLevel="0" collapsed="false">
      <c r="A1709" s="15" t="n">
        <v>46094</v>
      </c>
      <c r="B1709" s="14" t="s">
        <v>42</v>
      </c>
      <c r="C1709" s="14" t="s">
        <v>43</v>
      </c>
      <c r="D1709" s="14" t="s">
        <v>44</v>
      </c>
      <c r="E1709" s="14" t="s">
        <v>56</v>
      </c>
      <c r="F1709" s="14" t="s">
        <v>98</v>
      </c>
      <c r="G1709" s="14" t="s">
        <v>99</v>
      </c>
      <c r="H1709" s="0" t="n">
        <v>1</v>
      </c>
      <c r="I1709" s="16" t="n">
        <v>21.87</v>
      </c>
      <c r="J1709" s="16" t="n">
        <v>8</v>
      </c>
      <c r="K1709" s="16" t="n">
        <f aca="false">H1709*I1709</f>
        <v>21.87</v>
      </c>
      <c r="L1709" s="16" t="n">
        <f aca="false">H1709*J1709</f>
        <v>8</v>
      </c>
      <c r="M1709" s="16" t="n">
        <f aca="false">K1709-L1709</f>
        <v>13.87</v>
      </c>
      <c r="N1709" s="17" t="n">
        <f aca="false">IFERROR(M1709/K1709,0)</f>
        <v>0.634202103337906</v>
      </c>
    </row>
    <row r="1710" customFormat="false" ht="15" hidden="false" customHeight="false" outlineLevel="0" collapsed="false">
      <c r="A1710" s="15" t="n">
        <v>46094</v>
      </c>
      <c r="B1710" s="14" t="s">
        <v>42</v>
      </c>
      <c r="C1710" s="14" t="s">
        <v>43</v>
      </c>
      <c r="D1710" s="14" t="s">
        <v>44</v>
      </c>
      <c r="E1710" s="14" t="s">
        <v>64</v>
      </c>
      <c r="F1710" s="14" t="s">
        <v>90</v>
      </c>
      <c r="G1710" s="14" t="s">
        <v>91</v>
      </c>
      <c r="H1710" s="0" t="n">
        <v>2</v>
      </c>
      <c r="I1710" s="16" t="n">
        <v>11.98</v>
      </c>
      <c r="J1710" s="16" t="n">
        <v>3.5</v>
      </c>
      <c r="K1710" s="16" t="n">
        <f aca="false">H1710*I1710</f>
        <v>23.96</v>
      </c>
      <c r="L1710" s="16" t="n">
        <f aca="false">H1710*J1710</f>
        <v>7</v>
      </c>
      <c r="M1710" s="16" t="n">
        <f aca="false">K1710-L1710</f>
        <v>16.96</v>
      </c>
      <c r="N1710" s="17" t="n">
        <f aca="false">IFERROR(M1710/K1710,0)</f>
        <v>0.707846410684474</v>
      </c>
    </row>
    <row r="1711" customFormat="false" ht="15" hidden="false" customHeight="false" outlineLevel="0" collapsed="false">
      <c r="A1711" s="15" t="n">
        <v>46094</v>
      </c>
      <c r="B1711" s="14" t="s">
        <v>42</v>
      </c>
      <c r="C1711" s="14" t="s">
        <v>43</v>
      </c>
      <c r="D1711" s="14" t="s">
        <v>44</v>
      </c>
      <c r="E1711" s="14" t="s">
        <v>56</v>
      </c>
      <c r="F1711" s="14" t="s">
        <v>98</v>
      </c>
      <c r="G1711" s="14" t="s">
        <v>99</v>
      </c>
      <c r="H1711" s="0" t="n">
        <v>1</v>
      </c>
      <c r="I1711" s="16" t="n">
        <v>21.13</v>
      </c>
      <c r="J1711" s="16" t="n">
        <v>8</v>
      </c>
      <c r="K1711" s="16" t="n">
        <f aca="false">H1711*I1711</f>
        <v>21.13</v>
      </c>
      <c r="L1711" s="16" t="n">
        <f aca="false">H1711*J1711</f>
        <v>8</v>
      </c>
      <c r="M1711" s="16" t="n">
        <f aca="false">K1711-L1711</f>
        <v>13.13</v>
      </c>
      <c r="N1711" s="17" t="n">
        <f aca="false">IFERROR(M1711/K1711,0)</f>
        <v>0.621391386654046</v>
      </c>
    </row>
    <row r="1712" customFormat="false" ht="15" hidden="false" customHeight="false" outlineLevel="0" collapsed="false">
      <c r="A1712" s="15" t="n">
        <v>46094</v>
      </c>
      <c r="B1712" s="14" t="s">
        <v>50</v>
      </c>
      <c r="C1712" s="14" t="s">
        <v>51</v>
      </c>
      <c r="D1712" s="14" t="s">
        <v>52</v>
      </c>
      <c r="E1712" s="14" t="s">
        <v>45</v>
      </c>
      <c r="F1712" s="14" t="s">
        <v>62</v>
      </c>
      <c r="G1712" s="14" t="s">
        <v>63</v>
      </c>
      <c r="H1712" s="0" t="n">
        <v>8</v>
      </c>
      <c r="I1712" s="16" t="n">
        <v>16.79</v>
      </c>
      <c r="J1712" s="16" t="n">
        <v>6.5</v>
      </c>
      <c r="K1712" s="16" t="n">
        <f aca="false">H1712*I1712</f>
        <v>134.32</v>
      </c>
      <c r="L1712" s="16" t="n">
        <f aca="false">H1712*J1712</f>
        <v>52</v>
      </c>
      <c r="M1712" s="16" t="n">
        <f aca="false">K1712-L1712</f>
        <v>82.32</v>
      </c>
      <c r="N1712" s="17" t="n">
        <f aca="false">IFERROR(M1712/K1712,0)</f>
        <v>0.612864800476474</v>
      </c>
    </row>
    <row r="1713" customFormat="false" ht="15" hidden="false" customHeight="false" outlineLevel="0" collapsed="false">
      <c r="A1713" s="15" t="n">
        <v>46094</v>
      </c>
      <c r="B1713" s="14" t="s">
        <v>50</v>
      </c>
      <c r="C1713" s="14" t="s">
        <v>51</v>
      </c>
      <c r="D1713" s="14" t="s">
        <v>52</v>
      </c>
      <c r="E1713" s="14" t="s">
        <v>76</v>
      </c>
      <c r="F1713" s="14" t="s">
        <v>100</v>
      </c>
      <c r="G1713" s="14" t="s">
        <v>101</v>
      </c>
      <c r="H1713" s="0" t="n">
        <v>9</v>
      </c>
      <c r="I1713" s="16" t="n">
        <v>15.66</v>
      </c>
      <c r="J1713" s="16" t="n">
        <v>5.5</v>
      </c>
      <c r="K1713" s="16" t="n">
        <f aca="false">H1713*I1713</f>
        <v>140.94</v>
      </c>
      <c r="L1713" s="16" t="n">
        <f aca="false">H1713*J1713</f>
        <v>49.5</v>
      </c>
      <c r="M1713" s="16" t="n">
        <f aca="false">K1713-L1713</f>
        <v>91.44</v>
      </c>
      <c r="N1713" s="17" t="n">
        <f aca="false">IFERROR(M1713/K1713,0)</f>
        <v>0.648786717752235</v>
      </c>
    </row>
    <row r="1714" customFormat="false" ht="15" hidden="false" customHeight="false" outlineLevel="0" collapsed="false">
      <c r="A1714" s="15" t="n">
        <v>46094</v>
      </c>
      <c r="B1714" s="14" t="s">
        <v>50</v>
      </c>
      <c r="C1714" s="14" t="s">
        <v>51</v>
      </c>
      <c r="D1714" s="14" t="s">
        <v>52</v>
      </c>
      <c r="E1714" s="14" t="s">
        <v>45</v>
      </c>
      <c r="F1714" s="14" t="s">
        <v>62</v>
      </c>
      <c r="G1714" s="14" t="s">
        <v>63</v>
      </c>
      <c r="H1714" s="0" t="n">
        <v>8</v>
      </c>
      <c r="I1714" s="16" t="n">
        <v>17.04</v>
      </c>
      <c r="J1714" s="16" t="n">
        <v>6.5</v>
      </c>
      <c r="K1714" s="16" t="n">
        <f aca="false">H1714*I1714</f>
        <v>136.32</v>
      </c>
      <c r="L1714" s="16" t="n">
        <f aca="false">H1714*J1714</f>
        <v>52</v>
      </c>
      <c r="M1714" s="16" t="n">
        <f aca="false">K1714-L1714</f>
        <v>84.32</v>
      </c>
      <c r="N1714" s="17" t="n">
        <f aca="false">IFERROR(M1714/K1714,0)</f>
        <v>0.618544600938967</v>
      </c>
    </row>
    <row r="1715" customFormat="false" ht="15" hidden="false" customHeight="false" outlineLevel="0" collapsed="false">
      <c r="A1715" s="15" t="n">
        <v>46094</v>
      </c>
      <c r="B1715" s="14" t="s">
        <v>59</v>
      </c>
      <c r="C1715" s="14" t="s">
        <v>60</v>
      </c>
      <c r="D1715" s="14" t="s">
        <v>61</v>
      </c>
      <c r="E1715" s="14" t="s">
        <v>45</v>
      </c>
      <c r="F1715" s="14" t="s">
        <v>62</v>
      </c>
      <c r="G1715" s="14" t="s">
        <v>63</v>
      </c>
      <c r="H1715" s="0" t="n">
        <v>8</v>
      </c>
      <c r="I1715" s="16" t="n">
        <v>17.96</v>
      </c>
      <c r="J1715" s="16" t="n">
        <v>6.5</v>
      </c>
      <c r="K1715" s="16" t="n">
        <f aca="false">H1715*I1715</f>
        <v>143.68</v>
      </c>
      <c r="L1715" s="16" t="n">
        <f aca="false">H1715*J1715</f>
        <v>52</v>
      </c>
      <c r="M1715" s="16" t="n">
        <f aca="false">K1715-L1715</f>
        <v>91.68</v>
      </c>
      <c r="N1715" s="17" t="n">
        <f aca="false">IFERROR(M1715/K1715,0)</f>
        <v>0.638084632516704</v>
      </c>
    </row>
    <row r="1716" customFormat="false" ht="15" hidden="false" customHeight="false" outlineLevel="0" collapsed="false">
      <c r="A1716" s="15" t="n">
        <v>46094</v>
      </c>
      <c r="B1716" s="14" t="s">
        <v>59</v>
      </c>
      <c r="C1716" s="14" t="s">
        <v>60</v>
      </c>
      <c r="D1716" s="14" t="s">
        <v>61</v>
      </c>
      <c r="E1716" s="14" t="s">
        <v>45</v>
      </c>
      <c r="F1716" s="14" t="s">
        <v>62</v>
      </c>
      <c r="G1716" s="14" t="s">
        <v>63</v>
      </c>
      <c r="H1716" s="0" t="n">
        <v>8</v>
      </c>
      <c r="I1716" s="16" t="n">
        <v>17.05</v>
      </c>
      <c r="J1716" s="16" t="n">
        <v>6.5</v>
      </c>
      <c r="K1716" s="16" t="n">
        <f aca="false">H1716*I1716</f>
        <v>136.4</v>
      </c>
      <c r="L1716" s="16" t="n">
        <f aca="false">H1716*J1716</f>
        <v>52</v>
      </c>
      <c r="M1716" s="16" t="n">
        <f aca="false">K1716-L1716</f>
        <v>84.4</v>
      </c>
      <c r="N1716" s="17" t="n">
        <f aca="false">IFERROR(M1716/K1716,0)</f>
        <v>0.618768328445748</v>
      </c>
    </row>
    <row r="1717" customFormat="false" ht="15" hidden="false" customHeight="false" outlineLevel="0" collapsed="false">
      <c r="A1717" s="15" t="n">
        <v>46094</v>
      </c>
      <c r="B1717" s="14" t="s">
        <v>59</v>
      </c>
      <c r="C1717" s="14" t="s">
        <v>60</v>
      </c>
      <c r="D1717" s="14" t="s">
        <v>61</v>
      </c>
      <c r="E1717" s="14" t="s">
        <v>56</v>
      </c>
      <c r="F1717" s="14" t="s">
        <v>86</v>
      </c>
      <c r="G1717" s="14" t="s">
        <v>87</v>
      </c>
      <c r="H1717" s="0" t="n">
        <v>2</v>
      </c>
      <c r="I1717" s="16" t="n">
        <v>14.12</v>
      </c>
      <c r="J1717" s="16" t="n">
        <v>5</v>
      </c>
      <c r="K1717" s="16" t="n">
        <f aca="false">H1717*I1717</f>
        <v>28.24</v>
      </c>
      <c r="L1717" s="16" t="n">
        <f aca="false">H1717*J1717</f>
        <v>10</v>
      </c>
      <c r="M1717" s="16" t="n">
        <f aca="false">K1717-L1717</f>
        <v>18.24</v>
      </c>
      <c r="N1717" s="17" t="n">
        <f aca="false">IFERROR(M1717/K1717,0)</f>
        <v>0.645892351274788</v>
      </c>
    </row>
    <row r="1718" customFormat="false" ht="15" hidden="false" customHeight="false" outlineLevel="0" collapsed="false">
      <c r="A1718" s="15" t="n">
        <v>46094</v>
      </c>
      <c r="B1718" s="14" t="s">
        <v>69</v>
      </c>
      <c r="C1718" s="14" t="s">
        <v>70</v>
      </c>
      <c r="D1718" s="14" t="s">
        <v>71</v>
      </c>
      <c r="E1718" s="14" t="s">
        <v>76</v>
      </c>
      <c r="F1718" s="14" t="s">
        <v>77</v>
      </c>
      <c r="G1718" s="14" t="s">
        <v>78</v>
      </c>
      <c r="H1718" s="0" t="n">
        <v>3</v>
      </c>
      <c r="I1718" s="16" t="n">
        <v>41.17</v>
      </c>
      <c r="J1718" s="16" t="n">
        <v>15</v>
      </c>
      <c r="K1718" s="16" t="n">
        <f aca="false">H1718*I1718</f>
        <v>123.51</v>
      </c>
      <c r="L1718" s="16" t="n">
        <f aca="false">H1718*J1718</f>
        <v>45</v>
      </c>
      <c r="M1718" s="16" t="n">
        <f aca="false">K1718-L1718</f>
        <v>78.51</v>
      </c>
      <c r="N1718" s="17" t="n">
        <f aca="false">IFERROR(M1718/K1718,0)</f>
        <v>0.635657031819286</v>
      </c>
    </row>
    <row r="1719" customFormat="false" ht="15" hidden="false" customHeight="false" outlineLevel="0" collapsed="false">
      <c r="A1719" s="15" t="n">
        <v>46094</v>
      </c>
      <c r="B1719" s="14" t="s">
        <v>69</v>
      </c>
      <c r="C1719" s="14" t="s">
        <v>70</v>
      </c>
      <c r="D1719" s="14" t="s">
        <v>71</v>
      </c>
      <c r="E1719" s="14" t="s">
        <v>56</v>
      </c>
      <c r="F1719" s="14" t="s">
        <v>57</v>
      </c>
      <c r="G1719" s="14" t="s">
        <v>58</v>
      </c>
      <c r="H1719" s="0" t="n">
        <v>4</v>
      </c>
      <c r="I1719" s="16" t="n">
        <v>25.14</v>
      </c>
      <c r="J1719" s="16" t="n">
        <v>10</v>
      </c>
      <c r="K1719" s="16" t="n">
        <f aca="false">H1719*I1719</f>
        <v>100.56</v>
      </c>
      <c r="L1719" s="16" t="n">
        <f aca="false">H1719*J1719</f>
        <v>40</v>
      </c>
      <c r="M1719" s="16" t="n">
        <f aca="false">K1719-L1719</f>
        <v>60.56</v>
      </c>
      <c r="N1719" s="17" t="n">
        <f aca="false">IFERROR(M1719/K1719,0)</f>
        <v>0.602227525855211</v>
      </c>
    </row>
    <row r="1720" customFormat="false" ht="15" hidden="false" customHeight="false" outlineLevel="0" collapsed="false">
      <c r="A1720" s="15" t="n">
        <v>46094</v>
      </c>
      <c r="B1720" s="14" t="s">
        <v>69</v>
      </c>
      <c r="C1720" s="14" t="s">
        <v>70</v>
      </c>
      <c r="D1720" s="14" t="s">
        <v>71</v>
      </c>
      <c r="E1720" s="14" t="s">
        <v>64</v>
      </c>
      <c r="F1720" s="14" t="s">
        <v>90</v>
      </c>
      <c r="G1720" s="14" t="s">
        <v>91</v>
      </c>
      <c r="H1720" s="0" t="n">
        <v>5</v>
      </c>
      <c r="I1720" s="16" t="n">
        <v>11.9</v>
      </c>
      <c r="J1720" s="16" t="n">
        <v>3.5</v>
      </c>
      <c r="K1720" s="16" t="n">
        <f aca="false">H1720*I1720</f>
        <v>59.5</v>
      </c>
      <c r="L1720" s="16" t="n">
        <f aca="false">H1720*J1720</f>
        <v>17.5</v>
      </c>
      <c r="M1720" s="16" t="n">
        <f aca="false">K1720-L1720</f>
        <v>42</v>
      </c>
      <c r="N1720" s="17" t="n">
        <f aca="false">IFERROR(M1720/K1720,0)</f>
        <v>0.705882352941177</v>
      </c>
    </row>
    <row r="1721" customFormat="false" ht="15" hidden="false" customHeight="false" outlineLevel="0" collapsed="false">
      <c r="A1721" s="15" t="n">
        <v>46094</v>
      </c>
      <c r="B1721" s="14" t="s">
        <v>69</v>
      </c>
      <c r="C1721" s="14" t="s">
        <v>70</v>
      </c>
      <c r="D1721" s="14" t="s">
        <v>71</v>
      </c>
      <c r="E1721" s="14" t="s">
        <v>56</v>
      </c>
      <c r="F1721" s="14" t="s">
        <v>67</v>
      </c>
      <c r="G1721" s="14" t="s">
        <v>68</v>
      </c>
      <c r="H1721" s="0" t="n">
        <v>1</v>
      </c>
      <c r="I1721" s="16" t="n">
        <v>36.31</v>
      </c>
      <c r="J1721" s="16" t="n">
        <v>15</v>
      </c>
      <c r="K1721" s="16" t="n">
        <f aca="false">H1721*I1721</f>
        <v>36.31</v>
      </c>
      <c r="L1721" s="16" t="n">
        <f aca="false">H1721*J1721</f>
        <v>15</v>
      </c>
      <c r="M1721" s="16" t="n">
        <f aca="false">K1721-L1721</f>
        <v>21.31</v>
      </c>
      <c r="N1721" s="17" t="n">
        <f aca="false">IFERROR(M1721/K1721,0)</f>
        <v>0.586890663729</v>
      </c>
    </row>
    <row r="1722" customFormat="false" ht="15" hidden="false" customHeight="false" outlineLevel="0" collapsed="false">
      <c r="A1722" s="15" t="n">
        <v>46094</v>
      </c>
      <c r="B1722" s="14" t="s">
        <v>69</v>
      </c>
      <c r="C1722" s="14" t="s">
        <v>70</v>
      </c>
      <c r="D1722" s="14" t="s">
        <v>71</v>
      </c>
      <c r="E1722" s="14" t="s">
        <v>45</v>
      </c>
      <c r="F1722" s="14" t="s">
        <v>48</v>
      </c>
      <c r="G1722" s="14" t="s">
        <v>49</v>
      </c>
      <c r="H1722" s="0" t="n">
        <v>2</v>
      </c>
      <c r="I1722" s="16" t="n">
        <v>64.4</v>
      </c>
      <c r="J1722" s="16" t="n">
        <v>27.5</v>
      </c>
      <c r="K1722" s="16" t="n">
        <f aca="false">H1722*I1722</f>
        <v>128.8</v>
      </c>
      <c r="L1722" s="16" t="n">
        <f aca="false">H1722*J1722</f>
        <v>55</v>
      </c>
      <c r="M1722" s="16" t="n">
        <f aca="false">K1722-L1722</f>
        <v>73.8</v>
      </c>
      <c r="N1722" s="17" t="n">
        <f aca="false">IFERROR(M1722/K1722,0)</f>
        <v>0.572981366459627</v>
      </c>
    </row>
    <row r="1723" customFormat="false" ht="15" hidden="false" customHeight="false" outlineLevel="0" collapsed="false">
      <c r="A1723" s="15" t="n">
        <v>46094</v>
      </c>
      <c r="B1723" s="14" t="s">
        <v>81</v>
      </c>
      <c r="C1723" s="14" t="s">
        <v>82</v>
      </c>
      <c r="D1723" s="14" t="s">
        <v>83</v>
      </c>
      <c r="E1723" s="14" t="s">
        <v>53</v>
      </c>
      <c r="F1723" s="14" t="s">
        <v>84</v>
      </c>
      <c r="G1723" s="14" t="s">
        <v>85</v>
      </c>
      <c r="H1723" s="0" t="n">
        <v>1</v>
      </c>
      <c r="I1723" s="16" t="n">
        <v>23.79</v>
      </c>
      <c r="J1723" s="16" t="n">
        <v>9</v>
      </c>
      <c r="K1723" s="16" t="n">
        <f aca="false">H1723*I1723</f>
        <v>23.79</v>
      </c>
      <c r="L1723" s="16" t="n">
        <f aca="false">H1723*J1723</f>
        <v>9</v>
      </c>
      <c r="M1723" s="16" t="n">
        <f aca="false">K1723-L1723</f>
        <v>14.79</v>
      </c>
      <c r="N1723" s="17" t="n">
        <f aca="false">IFERROR(M1723/K1723,0)</f>
        <v>0.621689785624212</v>
      </c>
    </row>
    <row r="1724" customFormat="false" ht="15" hidden="false" customHeight="false" outlineLevel="0" collapsed="false">
      <c r="A1724" s="15" t="n">
        <v>46094</v>
      </c>
      <c r="B1724" s="14" t="s">
        <v>81</v>
      </c>
      <c r="C1724" s="14" t="s">
        <v>82</v>
      </c>
      <c r="D1724" s="14" t="s">
        <v>83</v>
      </c>
      <c r="E1724" s="14" t="s">
        <v>45</v>
      </c>
      <c r="F1724" s="14" t="s">
        <v>62</v>
      </c>
      <c r="G1724" s="14" t="s">
        <v>63</v>
      </c>
      <c r="H1724" s="0" t="n">
        <v>1</v>
      </c>
      <c r="I1724" s="16" t="n">
        <v>17.97</v>
      </c>
      <c r="J1724" s="16" t="n">
        <v>6.5</v>
      </c>
      <c r="K1724" s="16" t="n">
        <f aca="false">H1724*I1724</f>
        <v>17.97</v>
      </c>
      <c r="L1724" s="16" t="n">
        <f aca="false">H1724*J1724</f>
        <v>6.5</v>
      </c>
      <c r="M1724" s="16" t="n">
        <f aca="false">K1724-L1724</f>
        <v>11.47</v>
      </c>
      <c r="N1724" s="17" t="n">
        <f aca="false">IFERROR(M1724/K1724,0)</f>
        <v>0.638286032276016</v>
      </c>
    </row>
    <row r="1725" customFormat="false" ht="15" hidden="false" customHeight="false" outlineLevel="0" collapsed="false">
      <c r="A1725" s="15" t="n">
        <v>46094</v>
      </c>
      <c r="B1725" s="14" t="s">
        <v>81</v>
      </c>
      <c r="C1725" s="14" t="s">
        <v>82</v>
      </c>
      <c r="D1725" s="14" t="s">
        <v>83</v>
      </c>
      <c r="E1725" s="14" t="s">
        <v>56</v>
      </c>
      <c r="F1725" s="14" t="s">
        <v>67</v>
      </c>
      <c r="G1725" s="14" t="s">
        <v>68</v>
      </c>
      <c r="H1725" s="0" t="n">
        <v>6</v>
      </c>
      <c r="I1725" s="16" t="n">
        <v>36.18</v>
      </c>
      <c r="J1725" s="16" t="n">
        <v>15</v>
      </c>
      <c r="K1725" s="16" t="n">
        <f aca="false">H1725*I1725</f>
        <v>217.08</v>
      </c>
      <c r="L1725" s="16" t="n">
        <f aca="false">H1725*J1725</f>
        <v>90</v>
      </c>
      <c r="M1725" s="16" t="n">
        <f aca="false">K1725-L1725</f>
        <v>127.08</v>
      </c>
      <c r="N1725" s="17" t="n">
        <f aca="false">IFERROR(M1725/K1725,0)</f>
        <v>0.585406301824212</v>
      </c>
    </row>
    <row r="1726" customFormat="false" ht="15" hidden="false" customHeight="false" outlineLevel="0" collapsed="false">
      <c r="A1726" s="15" t="n">
        <v>46094</v>
      </c>
      <c r="B1726" s="14" t="s">
        <v>81</v>
      </c>
      <c r="C1726" s="14" t="s">
        <v>82</v>
      </c>
      <c r="D1726" s="14" t="s">
        <v>83</v>
      </c>
      <c r="E1726" s="14" t="s">
        <v>56</v>
      </c>
      <c r="F1726" s="14" t="s">
        <v>67</v>
      </c>
      <c r="G1726" s="14" t="s">
        <v>68</v>
      </c>
      <c r="H1726" s="0" t="n">
        <v>5</v>
      </c>
      <c r="I1726" s="16" t="n">
        <v>37.72</v>
      </c>
      <c r="J1726" s="16" t="n">
        <v>15</v>
      </c>
      <c r="K1726" s="16" t="n">
        <f aca="false">H1726*I1726</f>
        <v>188.6</v>
      </c>
      <c r="L1726" s="16" t="n">
        <f aca="false">H1726*J1726</f>
        <v>75</v>
      </c>
      <c r="M1726" s="16" t="n">
        <f aca="false">K1726-L1726</f>
        <v>113.6</v>
      </c>
      <c r="N1726" s="17" t="n">
        <f aca="false">IFERROR(M1726/K1726,0)</f>
        <v>0.602332979851538</v>
      </c>
    </row>
    <row r="1727" customFormat="false" ht="15" hidden="false" customHeight="false" outlineLevel="0" collapsed="false">
      <c r="A1727" s="15" t="n">
        <v>46094</v>
      </c>
      <c r="B1727" s="14" t="s">
        <v>81</v>
      </c>
      <c r="C1727" s="14" t="s">
        <v>82</v>
      </c>
      <c r="D1727" s="14" t="s">
        <v>83</v>
      </c>
      <c r="E1727" s="14" t="s">
        <v>45</v>
      </c>
      <c r="F1727" s="14" t="s">
        <v>46</v>
      </c>
      <c r="G1727" s="14" t="s">
        <v>47</v>
      </c>
      <c r="H1727" s="0" t="n">
        <v>2</v>
      </c>
      <c r="I1727" s="16" t="n">
        <v>43.92</v>
      </c>
      <c r="J1727" s="16" t="n">
        <v>18</v>
      </c>
      <c r="K1727" s="16" t="n">
        <f aca="false">H1727*I1727</f>
        <v>87.84</v>
      </c>
      <c r="L1727" s="16" t="n">
        <f aca="false">H1727*J1727</f>
        <v>36</v>
      </c>
      <c r="M1727" s="16" t="n">
        <f aca="false">K1727-L1727</f>
        <v>51.84</v>
      </c>
      <c r="N1727" s="17" t="n">
        <f aca="false">IFERROR(M1727/K1727,0)</f>
        <v>0.59016393442623</v>
      </c>
    </row>
    <row r="1728" customFormat="false" ht="15" hidden="false" customHeight="false" outlineLevel="0" collapsed="false">
      <c r="A1728" s="15" t="n">
        <v>46094</v>
      </c>
      <c r="B1728" s="14" t="s">
        <v>88</v>
      </c>
      <c r="C1728" s="14" t="s">
        <v>89</v>
      </c>
      <c r="D1728" s="14" t="s">
        <v>44</v>
      </c>
      <c r="E1728" s="14" t="s">
        <v>53</v>
      </c>
      <c r="F1728" s="14" t="s">
        <v>84</v>
      </c>
      <c r="G1728" s="14" t="s">
        <v>85</v>
      </c>
      <c r="H1728" s="0" t="n">
        <v>6</v>
      </c>
      <c r="I1728" s="16" t="n">
        <v>24.78</v>
      </c>
      <c r="J1728" s="16" t="n">
        <v>9</v>
      </c>
      <c r="K1728" s="16" t="n">
        <f aca="false">H1728*I1728</f>
        <v>148.68</v>
      </c>
      <c r="L1728" s="16" t="n">
        <f aca="false">H1728*J1728</f>
        <v>54</v>
      </c>
      <c r="M1728" s="16" t="n">
        <f aca="false">K1728-L1728</f>
        <v>94.68</v>
      </c>
      <c r="N1728" s="17" t="n">
        <f aca="false">IFERROR(M1728/K1728,0)</f>
        <v>0.63680387409201</v>
      </c>
    </row>
    <row r="1729" customFormat="false" ht="15" hidden="false" customHeight="false" outlineLevel="0" collapsed="false">
      <c r="A1729" s="15" t="n">
        <v>46094</v>
      </c>
      <c r="B1729" s="14" t="s">
        <v>88</v>
      </c>
      <c r="C1729" s="14" t="s">
        <v>89</v>
      </c>
      <c r="D1729" s="14" t="s">
        <v>44</v>
      </c>
      <c r="E1729" s="14" t="s">
        <v>64</v>
      </c>
      <c r="F1729" s="14" t="s">
        <v>96</v>
      </c>
      <c r="G1729" s="14" t="s">
        <v>97</v>
      </c>
      <c r="H1729" s="0" t="n">
        <v>5</v>
      </c>
      <c r="I1729" s="16" t="n">
        <v>54.68</v>
      </c>
      <c r="J1729" s="16" t="n">
        <v>24</v>
      </c>
      <c r="K1729" s="16" t="n">
        <f aca="false">H1729*I1729</f>
        <v>273.4</v>
      </c>
      <c r="L1729" s="16" t="n">
        <f aca="false">H1729*J1729</f>
        <v>120</v>
      </c>
      <c r="M1729" s="16" t="n">
        <f aca="false">K1729-L1729</f>
        <v>153.4</v>
      </c>
      <c r="N1729" s="17" t="n">
        <f aca="false">IFERROR(M1729/K1729,0)</f>
        <v>0.561082662765179</v>
      </c>
    </row>
    <row r="1730" customFormat="false" ht="15" hidden="false" customHeight="false" outlineLevel="0" collapsed="false">
      <c r="A1730" s="15" t="n">
        <v>46094</v>
      </c>
      <c r="B1730" s="14" t="s">
        <v>88</v>
      </c>
      <c r="C1730" s="14" t="s">
        <v>89</v>
      </c>
      <c r="D1730" s="14" t="s">
        <v>44</v>
      </c>
      <c r="E1730" s="14" t="s">
        <v>56</v>
      </c>
      <c r="F1730" s="14" t="s">
        <v>67</v>
      </c>
      <c r="G1730" s="14" t="s">
        <v>68</v>
      </c>
      <c r="H1730" s="0" t="n">
        <v>8</v>
      </c>
      <c r="I1730" s="16" t="n">
        <v>37.16</v>
      </c>
      <c r="J1730" s="16" t="n">
        <v>15</v>
      </c>
      <c r="K1730" s="16" t="n">
        <f aca="false">H1730*I1730</f>
        <v>297.28</v>
      </c>
      <c r="L1730" s="16" t="n">
        <f aca="false">H1730*J1730</f>
        <v>120</v>
      </c>
      <c r="M1730" s="16" t="n">
        <f aca="false">K1730-L1730</f>
        <v>177.28</v>
      </c>
      <c r="N1730" s="17" t="n">
        <f aca="false">IFERROR(M1730/K1730,0)</f>
        <v>0.596340150699677</v>
      </c>
    </row>
    <row r="1731" customFormat="false" ht="15" hidden="false" customHeight="false" outlineLevel="0" collapsed="false">
      <c r="A1731" s="15" t="n">
        <v>46094</v>
      </c>
      <c r="B1731" s="14" t="s">
        <v>88</v>
      </c>
      <c r="C1731" s="14" t="s">
        <v>89</v>
      </c>
      <c r="D1731" s="14" t="s">
        <v>44</v>
      </c>
      <c r="E1731" s="14" t="s">
        <v>53</v>
      </c>
      <c r="F1731" s="14" t="s">
        <v>92</v>
      </c>
      <c r="G1731" s="14" t="s">
        <v>93</v>
      </c>
      <c r="H1731" s="0" t="n">
        <v>4</v>
      </c>
      <c r="I1731" s="16" t="n">
        <v>111.29</v>
      </c>
      <c r="J1731" s="16" t="n">
        <v>52</v>
      </c>
      <c r="K1731" s="16" t="n">
        <f aca="false">H1731*I1731</f>
        <v>445.16</v>
      </c>
      <c r="L1731" s="16" t="n">
        <f aca="false">H1731*J1731</f>
        <v>208</v>
      </c>
      <c r="M1731" s="16" t="n">
        <f aca="false">K1731-L1731</f>
        <v>237.16</v>
      </c>
      <c r="N1731" s="17" t="n">
        <f aca="false">IFERROR(M1731/K1731,0)</f>
        <v>0.532752268847156</v>
      </c>
    </row>
    <row r="1732" customFormat="false" ht="15" hidden="false" customHeight="false" outlineLevel="0" collapsed="false">
      <c r="A1732" s="15" t="n">
        <v>46094</v>
      </c>
      <c r="B1732" s="14" t="s">
        <v>88</v>
      </c>
      <c r="C1732" s="14" t="s">
        <v>89</v>
      </c>
      <c r="D1732" s="14" t="s">
        <v>44</v>
      </c>
      <c r="E1732" s="14" t="s">
        <v>56</v>
      </c>
      <c r="F1732" s="14" t="s">
        <v>67</v>
      </c>
      <c r="G1732" s="14" t="s">
        <v>68</v>
      </c>
      <c r="H1732" s="0" t="n">
        <v>7</v>
      </c>
      <c r="I1732" s="16" t="n">
        <v>37.26</v>
      </c>
      <c r="J1732" s="16" t="n">
        <v>15</v>
      </c>
      <c r="K1732" s="16" t="n">
        <f aca="false">H1732*I1732</f>
        <v>260.82</v>
      </c>
      <c r="L1732" s="16" t="n">
        <f aca="false">H1732*J1732</f>
        <v>105</v>
      </c>
      <c r="M1732" s="16" t="n">
        <f aca="false">K1732-L1732</f>
        <v>155.82</v>
      </c>
      <c r="N1732" s="17" t="n">
        <f aca="false">IFERROR(M1732/K1732,0)</f>
        <v>0.597423510466989</v>
      </c>
    </row>
    <row r="1733" customFormat="false" ht="15" hidden="false" customHeight="false" outlineLevel="0" collapsed="false">
      <c r="A1733" s="15" t="n">
        <v>46095</v>
      </c>
      <c r="B1733" s="14" t="s">
        <v>42</v>
      </c>
      <c r="C1733" s="14" t="s">
        <v>43</v>
      </c>
      <c r="D1733" s="14" t="s">
        <v>44</v>
      </c>
      <c r="E1733" s="14" t="s">
        <v>45</v>
      </c>
      <c r="F1733" s="14" t="s">
        <v>48</v>
      </c>
      <c r="G1733" s="14" t="s">
        <v>49</v>
      </c>
      <c r="H1733" s="0" t="n">
        <v>9</v>
      </c>
      <c r="I1733" s="16" t="n">
        <v>63.87</v>
      </c>
      <c r="J1733" s="16" t="n">
        <v>27.5</v>
      </c>
      <c r="K1733" s="16" t="n">
        <f aca="false">H1733*I1733</f>
        <v>574.83</v>
      </c>
      <c r="L1733" s="16" t="n">
        <f aca="false">H1733*J1733</f>
        <v>247.5</v>
      </c>
      <c r="M1733" s="16" t="n">
        <f aca="false">K1733-L1733</f>
        <v>327.33</v>
      </c>
      <c r="N1733" s="17" t="n">
        <f aca="false">IFERROR(M1733/K1733,0)</f>
        <v>0.569437920776577</v>
      </c>
    </row>
    <row r="1734" customFormat="false" ht="15" hidden="false" customHeight="false" outlineLevel="0" collapsed="false">
      <c r="A1734" s="15" t="n">
        <v>46095</v>
      </c>
      <c r="B1734" s="14" t="s">
        <v>42</v>
      </c>
      <c r="C1734" s="14" t="s">
        <v>43</v>
      </c>
      <c r="D1734" s="14" t="s">
        <v>44</v>
      </c>
      <c r="E1734" s="14" t="s">
        <v>76</v>
      </c>
      <c r="F1734" s="14" t="s">
        <v>100</v>
      </c>
      <c r="G1734" s="14" t="s">
        <v>101</v>
      </c>
      <c r="H1734" s="0" t="n">
        <v>3</v>
      </c>
      <c r="I1734" s="16" t="n">
        <v>15.66</v>
      </c>
      <c r="J1734" s="16" t="n">
        <v>5.5</v>
      </c>
      <c r="K1734" s="16" t="n">
        <f aca="false">H1734*I1734</f>
        <v>46.98</v>
      </c>
      <c r="L1734" s="16" t="n">
        <f aca="false">H1734*J1734</f>
        <v>16.5</v>
      </c>
      <c r="M1734" s="16" t="n">
        <f aca="false">K1734-L1734</f>
        <v>30.48</v>
      </c>
      <c r="N1734" s="17" t="n">
        <f aca="false">IFERROR(M1734/K1734,0)</f>
        <v>0.648786717752235</v>
      </c>
    </row>
    <row r="1735" customFormat="false" ht="15" hidden="false" customHeight="false" outlineLevel="0" collapsed="false">
      <c r="A1735" s="15" t="n">
        <v>46095</v>
      </c>
      <c r="B1735" s="14" t="s">
        <v>42</v>
      </c>
      <c r="C1735" s="14" t="s">
        <v>43</v>
      </c>
      <c r="D1735" s="14" t="s">
        <v>44</v>
      </c>
      <c r="E1735" s="14" t="s">
        <v>76</v>
      </c>
      <c r="F1735" s="14" t="s">
        <v>102</v>
      </c>
      <c r="G1735" s="14" t="s">
        <v>103</v>
      </c>
      <c r="H1735" s="0" t="n">
        <v>10</v>
      </c>
      <c r="I1735" s="16" t="n">
        <v>22.32</v>
      </c>
      <c r="J1735" s="16" t="n">
        <v>8.5</v>
      </c>
      <c r="K1735" s="16" t="n">
        <f aca="false">H1735*I1735</f>
        <v>223.2</v>
      </c>
      <c r="L1735" s="16" t="n">
        <f aca="false">H1735*J1735</f>
        <v>85</v>
      </c>
      <c r="M1735" s="16" t="n">
        <f aca="false">K1735-L1735</f>
        <v>138.2</v>
      </c>
      <c r="N1735" s="17" t="n">
        <f aca="false">IFERROR(M1735/K1735,0)</f>
        <v>0.619175627240143</v>
      </c>
    </row>
    <row r="1736" customFormat="false" ht="15" hidden="false" customHeight="false" outlineLevel="0" collapsed="false">
      <c r="A1736" s="15" t="n">
        <v>46095</v>
      </c>
      <c r="B1736" s="14" t="s">
        <v>50</v>
      </c>
      <c r="C1736" s="14" t="s">
        <v>51</v>
      </c>
      <c r="D1736" s="14" t="s">
        <v>52</v>
      </c>
      <c r="E1736" s="14" t="s">
        <v>64</v>
      </c>
      <c r="F1736" s="14" t="s">
        <v>94</v>
      </c>
      <c r="G1736" s="14" t="s">
        <v>95</v>
      </c>
      <c r="H1736" s="0" t="n">
        <v>1</v>
      </c>
      <c r="I1736" s="16" t="n">
        <v>94.67</v>
      </c>
      <c r="J1736" s="16" t="n">
        <v>42</v>
      </c>
      <c r="K1736" s="16" t="n">
        <f aca="false">H1736*I1736</f>
        <v>94.67</v>
      </c>
      <c r="L1736" s="16" t="n">
        <f aca="false">H1736*J1736</f>
        <v>42</v>
      </c>
      <c r="M1736" s="16" t="n">
        <f aca="false">K1736-L1736</f>
        <v>52.67</v>
      </c>
      <c r="N1736" s="17" t="n">
        <f aca="false">IFERROR(M1736/K1736,0)</f>
        <v>0.556353649519383</v>
      </c>
    </row>
    <row r="1737" customFormat="false" ht="15" hidden="false" customHeight="false" outlineLevel="0" collapsed="false">
      <c r="A1737" s="15" t="n">
        <v>46095</v>
      </c>
      <c r="B1737" s="14" t="s">
        <v>50</v>
      </c>
      <c r="C1737" s="14" t="s">
        <v>51</v>
      </c>
      <c r="D1737" s="14" t="s">
        <v>52</v>
      </c>
      <c r="E1737" s="14" t="s">
        <v>53</v>
      </c>
      <c r="F1737" s="14" t="s">
        <v>54</v>
      </c>
      <c r="G1737" s="14" t="s">
        <v>55</v>
      </c>
      <c r="H1737" s="0" t="n">
        <v>9</v>
      </c>
      <c r="I1737" s="16" t="n">
        <v>51.92</v>
      </c>
      <c r="J1737" s="16" t="n">
        <v>22</v>
      </c>
      <c r="K1737" s="16" t="n">
        <f aca="false">H1737*I1737</f>
        <v>467.28</v>
      </c>
      <c r="L1737" s="16" t="n">
        <f aca="false">H1737*J1737</f>
        <v>198</v>
      </c>
      <c r="M1737" s="16" t="n">
        <f aca="false">K1737-L1737</f>
        <v>269.28</v>
      </c>
      <c r="N1737" s="17" t="n">
        <f aca="false">IFERROR(M1737/K1737,0)</f>
        <v>0.576271186440678</v>
      </c>
    </row>
    <row r="1738" customFormat="false" ht="15" hidden="false" customHeight="false" outlineLevel="0" collapsed="false">
      <c r="A1738" s="15" t="n">
        <v>46095</v>
      </c>
      <c r="B1738" s="14" t="s">
        <v>59</v>
      </c>
      <c r="C1738" s="14" t="s">
        <v>60</v>
      </c>
      <c r="D1738" s="14" t="s">
        <v>61</v>
      </c>
      <c r="E1738" s="14" t="s">
        <v>53</v>
      </c>
      <c r="F1738" s="14" t="s">
        <v>84</v>
      </c>
      <c r="G1738" s="14" t="s">
        <v>85</v>
      </c>
      <c r="H1738" s="0" t="n">
        <v>4</v>
      </c>
      <c r="I1738" s="16" t="n">
        <v>23.21</v>
      </c>
      <c r="J1738" s="16" t="n">
        <v>9</v>
      </c>
      <c r="K1738" s="16" t="n">
        <f aca="false">H1738*I1738</f>
        <v>92.84</v>
      </c>
      <c r="L1738" s="16" t="n">
        <f aca="false">H1738*J1738</f>
        <v>36</v>
      </c>
      <c r="M1738" s="16" t="n">
        <f aca="false">K1738-L1738</f>
        <v>56.84</v>
      </c>
      <c r="N1738" s="17" t="n">
        <f aca="false">IFERROR(M1738/K1738,0)</f>
        <v>0.6122361051271</v>
      </c>
    </row>
    <row r="1739" customFormat="false" ht="15" hidden="false" customHeight="false" outlineLevel="0" collapsed="false">
      <c r="A1739" s="15" t="n">
        <v>46095</v>
      </c>
      <c r="B1739" s="14" t="s">
        <v>59</v>
      </c>
      <c r="C1739" s="14" t="s">
        <v>60</v>
      </c>
      <c r="D1739" s="14" t="s">
        <v>61</v>
      </c>
      <c r="E1739" s="14" t="s">
        <v>56</v>
      </c>
      <c r="F1739" s="14" t="s">
        <v>86</v>
      </c>
      <c r="G1739" s="14" t="s">
        <v>87</v>
      </c>
      <c r="H1739" s="0" t="n">
        <v>7</v>
      </c>
      <c r="I1739" s="16" t="n">
        <v>14.35</v>
      </c>
      <c r="J1739" s="16" t="n">
        <v>5</v>
      </c>
      <c r="K1739" s="16" t="n">
        <f aca="false">H1739*I1739</f>
        <v>100.45</v>
      </c>
      <c r="L1739" s="16" t="n">
        <f aca="false">H1739*J1739</f>
        <v>35</v>
      </c>
      <c r="M1739" s="16" t="n">
        <f aca="false">K1739-L1739</f>
        <v>65.45</v>
      </c>
      <c r="N1739" s="17" t="n">
        <f aca="false">IFERROR(M1739/K1739,0)</f>
        <v>0.651567944250871</v>
      </c>
    </row>
    <row r="1740" customFormat="false" ht="15" hidden="false" customHeight="false" outlineLevel="0" collapsed="false">
      <c r="A1740" s="15" t="n">
        <v>46095</v>
      </c>
      <c r="B1740" s="14" t="s">
        <v>59</v>
      </c>
      <c r="C1740" s="14" t="s">
        <v>60</v>
      </c>
      <c r="D1740" s="14" t="s">
        <v>61</v>
      </c>
      <c r="E1740" s="14" t="s">
        <v>53</v>
      </c>
      <c r="F1740" s="14" t="s">
        <v>84</v>
      </c>
      <c r="G1740" s="14" t="s">
        <v>85</v>
      </c>
      <c r="H1740" s="0" t="n">
        <v>8</v>
      </c>
      <c r="I1740" s="16" t="n">
        <v>23.16</v>
      </c>
      <c r="J1740" s="16" t="n">
        <v>9</v>
      </c>
      <c r="K1740" s="16" t="n">
        <f aca="false">H1740*I1740</f>
        <v>185.28</v>
      </c>
      <c r="L1740" s="16" t="n">
        <f aca="false">H1740*J1740</f>
        <v>72</v>
      </c>
      <c r="M1740" s="16" t="n">
        <f aca="false">K1740-L1740</f>
        <v>113.28</v>
      </c>
      <c r="N1740" s="17" t="n">
        <f aca="false">IFERROR(M1740/K1740,0)</f>
        <v>0.61139896373057</v>
      </c>
    </row>
    <row r="1741" customFormat="false" ht="15" hidden="false" customHeight="false" outlineLevel="0" collapsed="false">
      <c r="A1741" s="15" t="n">
        <v>46095</v>
      </c>
      <c r="B1741" s="14" t="s">
        <v>59</v>
      </c>
      <c r="C1741" s="14" t="s">
        <v>60</v>
      </c>
      <c r="D1741" s="14" t="s">
        <v>61</v>
      </c>
      <c r="E1741" s="14" t="s">
        <v>45</v>
      </c>
      <c r="F1741" s="14" t="s">
        <v>72</v>
      </c>
      <c r="G1741" s="14" t="s">
        <v>73</v>
      </c>
      <c r="H1741" s="0" t="n">
        <v>4</v>
      </c>
      <c r="I1741" s="16" t="n">
        <v>49.82</v>
      </c>
      <c r="J1741" s="16" t="n">
        <v>21</v>
      </c>
      <c r="K1741" s="16" t="n">
        <f aca="false">H1741*I1741</f>
        <v>199.28</v>
      </c>
      <c r="L1741" s="16" t="n">
        <f aca="false">H1741*J1741</f>
        <v>84</v>
      </c>
      <c r="M1741" s="16" t="n">
        <f aca="false">K1741-L1741</f>
        <v>115.28</v>
      </c>
      <c r="N1741" s="17" t="n">
        <f aca="false">IFERROR(M1741/K1741,0)</f>
        <v>0.578482537133681</v>
      </c>
    </row>
    <row r="1742" customFormat="false" ht="15" hidden="false" customHeight="false" outlineLevel="0" collapsed="false">
      <c r="A1742" s="15" t="n">
        <v>46095</v>
      </c>
      <c r="B1742" s="14" t="s">
        <v>59</v>
      </c>
      <c r="C1742" s="14" t="s">
        <v>60</v>
      </c>
      <c r="D1742" s="14" t="s">
        <v>61</v>
      </c>
      <c r="E1742" s="14" t="s">
        <v>64</v>
      </c>
      <c r="F1742" s="14" t="s">
        <v>65</v>
      </c>
      <c r="G1742" s="14" t="s">
        <v>66</v>
      </c>
      <c r="H1742" s="0" t="n">
        <v>6</v>
      </c>
      <c r="I1742" s="16" t="n">
        <v>76.96</v>
      </c>
      <c r="J1742" s="16" t="n">
        <v>34</v>
      </c>
      <c r="K1742" s="16" t="n">
        <f aca="false">H1742*I1742</f>
        <v>461.76</v>
      </c>
      <c r="L1742" s="16" t="n">
        <f aca="false">H1742*J1742</f>
        <v>204</v>
      </c>
      <c r="M1742" s="16" t="n">
        <f aca="false">K1742-L1742</f>
        <v>257.76</v>
      </c>
      <c r="N1742" s="17" t="n">
        <f aca="false">IFERROR(M1742/K1742,0)</f>
        <v>0.558212058212058</v>
      </c>
    </row>
    <row r="1743" customFormat="false" ht="15" hidden="false" customHeight="false" outlineLevel="0" collapsed="false">
      <c r="A1743" s="15" t="n">
        <v>46095</v>
      </c>
      <c r="B1743" s="14" t="s">
        <v>59</v>
      </c>
      <c r="C1743" s="14" t="s">
        <v>60</v>
      </c>
      <c r="D1743" s="14" t="s">
        <v>61</v>
      </c>
      <c r="E1743" s="14" t="s">
        <v>64</v>
      </c>
      <c r="F1743" s="14" t="s">
        <v>90</v>
      </c>
      <c r="G1743" s="14" t="s">
        <v>91</v>
      </c>
      <c r="H1743" s="0" t="n">
        <v>5</v>
      </c>
      <c r="I1743" s="16" t="n">
        <v>11.6</v>
      </c>
      <c r="J1743" s="16" t="n">
        <v>3.5</v>
      </c>
      <c r="K1743" s="16" t="n">
        <f aca="false">H1743*I1743</f>
        <v>58</v>
      </c>
      <c r="L1743" s="16" t="n">
        <f aca="false">H1743*J1743</f>
        <v>17.5</v>
      </c>
      <c r="M1743" s="16" t="n">
        <f aca="false">K1743-L1743</f>
        <v>40.5</v>
      </c>
      <c r="N1743" s="17" t="n">
        <f aca="false">IFERROR(M1743/K1743,0)</f>
        <v>0.698275862068966</v>
      </c>
    </row>
    <row r="1744" customFormat="false" ht="15" hidden="false" customHeight="false" outlineLevel="0" collapsed="false">
      <c r="A1744" s="15" t="n">
        <v>46095</v>
      </c>
      <c r="B1744" s="14" t="s">
        <v>69</v>
      </c>
      <c r="C1744" s="14" t="s">
        <v>70</v>
      </c>
      <c r="D1744" s="14" t="s">
        <v>71</v>
      </c>
      <c r="E1744" s="14" t="s">
        <v>64</v>
      </c>
      <c r="F1744" s="14" t="s">
        <v>90</v>
      </c>
      <c r="G1744" s="14" t="s">
        <v>91</v>
      </c>
      <c r="H1744" s="0" t="n">
        <v>7</v>
      </c>
      <c r="I1744" s="16" t="n">
        <v>11.83</v>
      </c>
      <c r="J1744" s="16" t="n">
        <v>3.5</v>
      </c>
      <c r="K1744" s="16" t="n">
        <f aca="false">H1744*I1744</f>
        <v>82.81</v>
      </c>
      <c r="L1744" s="16" t="n">
        <f aca="false">H1744*J1744</f>
        <v>24.5</v>
      </c>
      <c r="M1744" s="16" t="n">
        <f aca="false">K1744-L1744</f>
        <v>58.31</v>
      </c>
      <c r="N1744" s="17" t="n">
        <f aca="false">IFERROR(M1744/K1744,0)</f>
        <v>0.70414201183432</v>
      </c>
    </row>
    <row r="1745" customFormat="false" ht="15" hidden="false" customHeight="false" outlineLevel="0" collapsed="false">
      <c r="A1745" s="15" t="n">
        <v>46095</v>
      </c>
      <c r="B1745" s="14" t="s">
        <v>69</v>
      </c>
      <c r="C1745" s="14" t="s">
        <v>70</v>
      </c>
      <c r="D1745" s="14" t="s">
        <v>71</v>
      </c>
      <c r="E1745" s="14" t="s">
        <v>53</v>
      </c>
      <c r="F1745" s="14" t="s">
        <v>54</v>
      </c>
      <c r="G1745" s="14" t="s">
        <v>55</v>
      </c>
      <c r="H1745" s="0" t="n">
        <v>8</v>
      </c>
      <c r="I1745" s="16" t="n">
        <v>53.73</v>
      </c>
      <c r="J1745" s="16" t="n">
        <v>22</v>
      </c>
      <c r="K1745" s="16" t="n">
        <f aca="false">H1745*I1745</f>
        <v>429.84</v>
      </c>
      <c r="L1745" s="16" t="n">
        <f aca="false">H1745*J1745</f>
        <v>176</v>
      </c>
      <c r="M1745" s="16" t="n">
        <f aca="false">K1745-L1745</f>
        <v>253.84</v>
      </c>
      <c r="N1745" s="17" t="n">
        <f aca="false">IFERROR(M1745/K1745,0)</f>
        <v>0.590545319188535</v>
      </c>
    </row>
    <row r="1746" customFormat="false" ht="15" hidden="false" customHeight="false" outlineLevel="0" collapsed="false">
      <c r="A1746" s="15" t="n">
        <v>46095</v>
      </c>
      <c r="B1746" s="14" t="s">
        <v>69</v>
      </c>
      <c r="C1746" s="14" t="s">
        <v>70</v>
      </c>
      <c r="D1746" s="14" t="s">
        <v>71</v>
      </c>
      <c r="E1746" s="14" t="s">
        <v>53</v>
      </c>
      <c r="F1746" s="14" t="s">
        <v>74</v>
      </c>
      <c r="G1746" s="14" t="s">
        <v>75</v>
      </c>
      <c r="H1746" s="0" t="n">
        <v>4</v>
      </c>
      <c r="I1746" s="16" t="n">
        <v>85.12</v>
      </c>
      <c r="J1746" s="16" t="n">
        <v>38</v>
      </c>
      <c r="K1746" s="16" t="n">
        <f aca="false">H1746*I1746</f>
        <v>340.48</v>
      </c>
      <c r="L1746" s="16" t="n">
        <f aca="false">H1746*J1746</f>
        <v>152</v>
      </c>
      <c r="M1746" s="16" t="n">
        <f aca="false">K1746-L1746</f>
        <v>188.48</v>
      </c>
      <c r="N1746" s="17" t="n">
        <f aca="false">IFERROR(M1746/K1746,0)</f>
        <v>0.553571428571429</v>
      </c>
    </row>
    <row r="1747" customFormat="false" ht="15" hidden="false" customHeight="false" outlineLevel="0" collapsed="false">
      <c r="A1747" s="15" t="n">
        <v>46095</v>
      </c>
      <c r="B1747" s="14" t="s">
        <v>69</v>
      </c>
      <c r="C1747" s="14" t="s">
        <v>70</v>
      </c>
      <c r="D1747" s="14" t="s">
        <v>71</v>
      </c>
      <c r="E1747" s="14" t="s">
        <v>45</v>
      </c>
      <c r="F1747" s="14" t="s">
        <v>62</v>
      </c>
      <c r="G1747" s="14" t="s">
        <v>63</v>
      </c>
      <c r="H1747" s="0" t="n">
        <v>7</v>
      </c>
      <c r="I1747" s="16" t="n">
        <v>17.89</v>
      </c>
      <c r="J1747" s="16" t="n">
        <v>6.5</v>
      </c>
      <c r="K1747" s="16" t="n">
        <f aca="false">H1747*I1747</f>
        <v>125.23</v>
      </c>
      <c r="L1747" s="16" t="n">
        <f aca="false">H1747*J1747</f>
        <v>45.5</v>
      </c>
      <c r="M1747" s="16" t="n">
        <f aca="false">K1747-L1747</f>
        <v>79.73</v>
      </c>
      <c r="N1747" s="17" t="n">
        <f aca="false">IFERROR(M1747/K1747,0)</f>
        <v>0.636668529904975</v>
      </c>
    </row>
    <row r="1748" customFormat="false" ht="15" hidden="false" customHeight="false" outlineLevel="0" collapsed="false">
      <c r="A1748" s="15" t="n">
        <v>46095</v>
      </c>
      <c r="B1748" s="14" t="s">
        <v>69</v>
      </c>
      <c r="C1748" s="14" t="s">
        <v>70</v>
      </c>
      <c r="D1748" s="14" t="s">
        <v>71</v>
      </c>
      <c r="E1748" s="14" t="s">
        <v>45</v>
      </c>
      <c r="F1748" s="14" t="s">
        <v>72</v>
      </c>
      <c r="G1748" s="14" t="s">
        <v>73</v>
      </c>
      <c r="H1748" s="0" t="n">
        <v>2</v>
      </c>
      <c r="I1748" s="16" t="n">
        <v>48.34</v>
      </c>
      <c r="J1748" s="16" t="n">
        <v>21</v>
      </c>
      <c r="K1748" s="16" t="n">
        <f aca="false">H1748*I1748</f>
        <v>96.68</v>
      </c>
      <c r="L1748" s="16" t="n">
        <f aca="false">H1748*J1748</f>
        <v>42</v>
      </c>
      <c r="M1748" s="16" t="n">
        <f aca="false">K1748-L1748</f>
        <v>54.68</v>
      </c>
      <c r="N1748" s="17" t="n">
        <f aca="false">IFERROR(M1748/K1748,0)</f>
        <v>0.56557716177079</v>
      </c>
    </row>
    <row r="1749" customFormat="false" ht="15" hidden="false" customHeight="false" outlineLevel="0" collapsed="false">
      <c r="A1749" s="15" t="n">
        <v>46095</v>
      </c>
      <c r="B1749" s="14" t="s">
        <v>81</v>
      </c>
      <c r="C1749" s="14" t="s">
        <v>82</v>
      </c>
      <c r="D1749" s="14" t="s">
        <v>83</v>
      </c>
      <c r="E1749" s="14" t="s">
        <v>76</v>
      </c>
      <c r="F1749" s="14" t="s">
        <v>79</v>
      </c>
      <c r="G1749" s="14" t="s">
        <v>80</v>
      </c>
      <c r="H1749" s="0" t="n">
        <v>3</v>
      </c>
      <c r="I1749" s="16" t="n">
        <v>27.88</v>
      </c>
      <c r="J1749" s="16" t="n">
        <v>11</v>
      </c>
      <c r="K1749" s="16" t="n">
        <f aca="false">H1749*I1749</f>
        <v>83.64</v>
      </c>
      <c r="L1749" s="16" t="n">
        <f aca="false">H1749*J1749</f>
        <v>33</v>
      </c>
      <c r="M1749" s="16" t="n">
        <f aca="false">K1749-L1749</f>
        <v>50.64</v>
      </c>
      <c r="N1749" s="17" t="n">
        <f aca="false">IFERROR(M1749/K1749,0)</f>
        <v>0.60545193687231</v>
      </c>
    </row>
    <row r="1750" customFormat="false" ht="15" hidden="false" customHeight="false" outlineLevel="0" collapsed="false">
      <c r="A1750" s="15" t="n">
        <v>46095</v>
      </c>
      <c r="B1750" s="14" t="s">
        <v>81</v>
      </c>
      <c r="C1750" s="14" t="s">
        <v>82</v>
      </c>
      <c r="D1750" s="14" t="s">
        <v>83</v>
      </c>
      <c r="E1750" s="14" t="s">
        <v>76</v>
      </c>
      <c r="F1750" s="14" t="s">
        <v>102</v>
      </c>
      <c r="G1750" s="14" t="s">
        <v>103</v>
      </c>
      <c r="H1750" s="0" t="n">
        <v>5</v>
      </c>
      <c r="I1750" s="16" t="n">
        <v>22.64</v>
      </c>
      <c r="J1750" s="16" t="n">
        <v>8.5</v>
      </c>
      <c r="K1750" s="16" t="n">
        <f aca="false">H1750*I1750</f>
        <v>113.2</v>
      </c>
      <c r="L1750" s="16" t="n">
        <f aca="false">H1750*J1750</f>
        <v>42.5</v>
      </c>
      <c r="M1750" s="16" t="n">
        <f aca="false">K1750-L1750</f>
        <v>70.7</v>
      </c>
      <c r="N1750" s="17" t="n">
        <f aca="false">IFERROR(M1750/K1750,0)</f>
        <v>0.624558303886926</v>
      </c>
    </row>
    <row r="1751" customFormat="false" ht="15" hidden="false" customHeight="false" outlineLevel="0" collapsed="false">
      <c r="A1751" s="15" t="n">
        <v>46095</v>
      </c>
      <c r="B1751" s="14" t="s">
        <v>81</v>
      </c>
      <c r="C1751" s="14" t="s">
        <v>82</v>
      </c>
      <c r="D1751" s="14" t="s">
        <v>83</v>
      </c>
      <c r="E1751" s="14" t="s">
        <v>45</v>
      </c>
      <c r="F1751" s="14" t="s">
        <v>62</v>
      </c>
      <c r="G1751" s="14" t="s">
        <v>63</v>
      </c>
      <c r="H1751" s="0" t="n">
        <v>3</v>
      </c>
      <c r="I1751" s="16" t="n">
        <v>17.69</v>
      </c>
      <c r="J1751" s="16" t="n">
        <v>6.5</v>
      </c>
      <c r="K1751" s="16" t="n">
        <f aca="false">H1751*I1751</f>
        <v>53.07</v>
      </c>
      <c r="L1751" s="16" t="n">
        <f aca="false">H1751*J1751</f>
        <v>19.5</v>
      </c>
      <c r="M1751" s="16" t="n">
        <f aca="false">K1751-L1751</f>
        <v>33.57</v>
      </c>
      <c r="N1751" s="17" t="n">
        <f aca="false">IFERROR(M1751/K1751,0)</f>
        <v>0.63256076879593</v>
      </c>
    </row>
    <row r="1752" customFormat="false" ht="15" hidden="false" customHeight="false" outlineLevel="0" collapsed="false">
      <c r="A1752" s="15" t="n">
        <v>46095</v>
      </c>
      <c r="B1752" s="14" t="s">
        <v>81</v>
      </c>
      <c r="C1752" s="14" t="s">
        <v>82</v>
      </c>
      <c r="D1752" s="14" t="s">
        <v>83</v>
      </c>
      <c r="E1752" s="14" t="s">
        <v>64</v>
      </c>
      <c r="F1752" s="14" t="s">
        <v>65</v>
      </c>
      <c r="G1752" s="14" t="s">
        <v>66</v>
      </c>
      <c r="H1752" s="0" t="n">
        <v>4</v>
      </c>
      <c r="I1752" s="16" t="n">
        <v>78.3</v>
      </c>
      <c r="J1752" s="16" t="n">
        <v>34</v>
      </c>
      <c r="K1752" s="16" t="n">
        <f aca="false">H1752*I1752</f>
        <v>313.2</v>
      </c>
      <c r="L1752" s="16" t="n">
        <f aca="false">H1752*J1752</f>
        <v>136</v>
      </c>
      <c r="M1752" s="16" t="n">
        <f aca="false">K1752-L1752</f>
        <v>177.2</v>
      </c>
      <c r="N1752" s="17" t="n">
        <f aca="false">IFERROR(M1752/K1752,0)</f>
        <v>0.565772669220945</v>
      </c>
    </row>
    <row r="1753" customFormat="false" ht="15" hidden="false" customHeight="false" outlineLevel="0" collapsed="false">
      <c r="A1753" s="15" t="n">
        <v>46095</v>
      </c>
      <c r="B1753" s="14" t="s">
        <v>81</v>
      </c>
      <c r="C1753" s="14" t="s">
        <v>82</v>
      </c>
      <c r="D1753" s="14" t="s">
        <v>83</v>
      </c>
      <c r="E1753" s="14" t="s">
        <v>53</v>
      </c>
      <c r="F1753" s="14" t="s">
        <v>54</v>
      </c>
      <c r="G1753" s="14" t="s">
        <v>55</v>
      </c>
      <c r="H1753" s="0" t="n">
        <v>8</v>
      </c>
      <c r="I1753" s="16" t="n">
        <v>50.61</v>
      </c>
      <c r="J1753" s="16" t="n">
        <v>22</v>
      </c>
      <c r="K1753" s="16" t="n">
        <f aca="false">H1753*I1753</f>
        <v>404.88</v>
      </c>
      <c r="L1753" s="16" t="n">
        <f aca="false">H1753*J1753</f>
        <v>176</v>
      </c>
      <c r="M1753" s="16" t="n">
        <f aca="false">K1753-L1753</f>
        <v>228.88</v>
      </c>
      <c r="N1753" s="17" t="n">
        <f aca="false">IFERROR(M1753/K1753,0)</f>
        <v>0.565303299743134</v>
      </c>
    </row>
    <row r="1754" customFormat="false" ht="15" hidden="false" customHeight="false" outlineLevel="0" collapsed="false">
      <c r="A1754" s="15" t="n">
        <v>46095</v>
      </c>
      <c r="B1754" s="14" t="s">
        <v>81</v>
      </c>
      <c r="C1754" s="14" t="s">
        <v>82</v>
      </c>
      <c r="D1754" s="14" t="s">
        <v>83</v>
      </c>
      <c r="E1754" s="14" t="s">
        <v>56</v>
      </c>
      <c r="F1754" s="14" t="s">
        <v>67</v>
      </c>
      <c r="G1754" s="14" t="s">
        <v>68</v>
      </c>
      <c r="H1754" s="0" t="n">
        <v>2</v>
      </c>
      <c r="I1754" s="16" t="n">
        <v>37.61</v>
      </c>
      <c r="J1754" s="16" t="n">
        <v>15</v>
      </c>
      <c r="K1754" s="16" t="n">
        <f aca="false">H1754*I1754</f>
        <v>75.22</v>
      </c>
      <c r="L1754" s="16" t="n">
        <f aca="false">H1754*J1754</f>
        <v>30</v>
      </c>
      <c r="M1754" s="16" t="n">
        <f aca="false">K1754-L1754</f>
        <v>45.22</v>
      </c>
      <c r="N1754" s="17" t="n">
        <f aca="false">IFERROR(M1754/K1754,0)</f>
        <v>0.601169901621909</v>
      </c>
    </row>
    <row r="1755" customFormat="false" ht="15" hidden="false" customHeight="false" outlineLevel="0" collapsed="false">
      <c r="A1755" s="15" t="n">
        <v>46095</v>
      </c>
      <c r="B1755" s="14" t="s">
        <v>88</v>
      </c>
      <c r="C1755" s="14" t="s">
        <v>89</v>
      </c>
      <c r="D1755" s="14" t="s">
        <v>44</v>
      </c>
      <c r="E1755" s="14" t="s">
        <v>64</v>
      </c>
      <c r="F1755" s="14" t="s">
        <v>94</v>
      </c>
      <c r="G1755" s="14" t="s">
        <v>95</v>
      </c>
      <c r="H1755" s="0" t="n">
        <v>9</v>
      </c>
      <c r="I1755" s="16" t="n">
        <v>98.21</v>
      </c>
      <c r="J1755" s="16" t="n">
        <v>42</v>
      </c>
      <c r="K1755" s="16" t="n">
        <f aca="false">H1755*I1755</f>
        <v>883.89</v>
      </c>
      <c r="L1755" s="16" t="n">
        <f aca="false">H1755*J1755</f>
        <v>378</v>
      </c>
      <c r="M1755" s="16" t="n">
        <f aca="false">K1755-L1755</f>
        <v>505.89</v>
      </c>
      <c r="N1755" s="17" t="n">
        <f aca="false">IFERROR(M1755/K1755,0)</f>
        <v>0.572344975053457</v>
      </c>
    </row>
    <row r="1756" customFormat="false" ht="15" hidden="false" customHeight="false" outlineLevel="0" collapsed="false">
      <c r="A1756" s="15" t="n">
        <v>46095</v>
      </c>
      <c r="B1756" s="14" t="s">
        <v>88</v>
      </c>
      <c r="C1756" s="14" t="s">
        <v>89</v>
      </c>
      <c r="D1756" s="14" t="s">
        <v>44</v>
      </c>
      <c r="E1756" s="14" t="s">
        <v>64</v>
      </c>
      <c r="F1756" s="14" t="s">
        <v>90</v>
      </c>
      <c r="G1756" s="14" t="s">
        <v>91</v>
      </c>
      <c r="H1756" s="0" t="n">
        <v>4</v>
      </c>
      <c r="I1756" s="16" t="n">
        <v>11.77</v>
      </c>
      <c r="J1756" s="16" t="n">
        <v>3.5</v>
      </c>
      <c r="K1756" s="16" t="n">
        <f aca="false">H1756*I1756</f>
        <v>47.08</v>
      </c>
      <c r="L1756" s="16" t="n">
        <f aca="false">H1756*J1756</f>
        <v>14</v>
      </c>
      <c r="M1756" s="16" t="n">
        <f aca="false">K1756-L1756</f>
        <v>33.08</v>
      </c>
      <c r="N1756" s="17" t="n">
        <f aca="false">IFERROR(M1756/K1756,0)</f>
        <v>0.702633814783348</v>
      </c>
    </row>
    <row r="1757" customFormat="false" ht="15" hidden="false" customHeight="false" outlineLevel="0" collapsed="false">
      <c r="A1757" s="15" t="n">
        <v>46095</v>
      </c>
      <c r="B1757" s="14" t="s">
        <v>88</v>
      </c>
      <c r="C1757" s="14" t="s">
        <v>89</v>
      </c>
      <c r="D1757" s="14" t="s">
        <v>44</v>
      </c>
      <c r="E1757" s="14" t="s">
        <v>56</v>
      </c>
      <c r="F1757" s="14" t="s">
        <v>57</v>
      </c>
      <c r="G1757" s="14" t="s">
        <v>58</v>
      </c>
      <c r="H1757" s="0" t="n">
        <v>11</v>
      </c>
      <c r="I1757" s="16" t="n">
        <v>26.28</v>
      </c>
      <c r="J1757" s="16" t="n">
        <v>10</v>
      </c>
      <c r="K1757" s="16" t="n">
        <f aca="false">H1757*I1757</f>
        <v>289.08</v>
      </c>
      <c r="L1757" s="16" t="n">
        <f aca="false">H1757*J1757</f>
        <v>110</v>
      </c>
      <c r="M1757" s="16" t="n">
        <f aca="false">K1757-L1757</f>
        <v>179.08</v>
      </c>
      <c r="N1757" s="17" t="n">
        <f aca="false">IFERROR(M1757/K1757,0)</f>
        <v>0.619482496194825</v>
      </c>
    </row>
    <row r="1758" customFormat="false" ht="15" hidden="false" customHeight="false" outlineLevel="0" collapsed="false">
      <c r="A1758" s="15" t="n">
        <v>46095</v>
      </c>
      <c r="B1758" s="14" t="s">
        <v>88</v>
      </c>
      <c r="C1758" s="14" t="s">
        <v>89</v>
      </c>
      <c r="D1758" s="14" t="s">
        <v>44</v>
      </c>
      <c r="E1758" s="14" t="s">
        <v>53</v>
      </c>
      <c r="F1758" s="14" t="s">
        <v>92</v>
      </c>
      <c r="G1758" s="14" t="s">
        <v>93</v>
      </c>
      <c r="H1758" s="0" t="n">
        <v>3</v>
      </c>
      <c r="I1758" s="16" t="n">
        <v>118.08</v>
      </c>
      <c r="J1758" s="16" t="n">
        <v>52</v>
      </c>
      <c r="K1758" s="16" t="n">
        <f aca="false">H1758*I1758</f>
        <v>354.24</v>
      </c>
      <c r="L1758" s="16" t="n">
        <f aca="false">H1758*J1758</f>
        <v>156</v>
      </c>
      <c r="M1758" s="16" t="n">
        <f aca="false">K1758-L1758</f>
        <v>198.24</v>
      </c>
      <c r="N1758" s="17" t="n">
        <f aca="false">IFERROR(M1758/K1758,0)</f>
        <v>0.559620596205962</v>
      </c>
    </row>
    <row r="1759" customFormat="false" ht="15" hidden="false" customHeight="false" outlineLevel="0" collapsed="false">
      <c r="A1759" s="15" t="n">
        <v>46095</v>
      </c>
      <c r="B1759" s="14" t="s">
        <v>88</v>
      </c>
      <c r="C1759" s="14" t="s">
        <v>89</v>
      </c>
      <c r="D1759" s="14" t="s">
        <v>44</v>
      </c>
      <c r="E1759" s="14" t="s">
        <v>56</v>
      </c>
      <c r="F1759" s="14" t="s">
        <v>57</v>
      </c>
      <c r="G1759" s="14" t="s">
        <v>58</v>
      </c>
      <c r="H1759" s="0" t="n">
        <v>10</v>
      </c>
      <c r="I1759" s="16" t="n">
        <v>25.34</v>
      </c>
      <c r="J1759" s="16" t="n">
        <v>10</v>
      </c>
      <c r="K1759" s="16" t="n">
        <f aca="false">H1759*I1759</f>
        <v>253.4</v>
      </c>
      <c r="L1759" s="16" t="n">
        <f aca="false">H1759*J1759</f>
        <v>100</v>
      </c>
      <c r="M1759" s="16" t="n">
        <f aca="false">K1759-L1759</f>
        <v>153.4</v>
      </c>
      <c r="N1759" s="17" t="n">
        <f aca="false">IFERROR(M1759/K1759,0)</f>
        <v>0.605367008681926</v>
      </c>
    </row>
    <row r="1760" customFormat="false" ht="15" hidden="false" customHeight="false" outlineLevel="0" collapsed="false">
      <c r="A1760" s="15" t="n">
        <v>46096</v>
      </c>
      <c r="B1760" s="14" t="s">
        <v>42</v>
      </c>
      <c r="C1760" s="14" t="s">
        <v>43</v>
      </c>
      <c r="D1760" s="14" t="s">
        <v>44</v>
      </c>
      <c r="E1760" s="14" t="s">
        <v>76</v>
      </c>
      <c r="F1760" s="14" t="s">
        <v>79</v>
      </c>
      <c r="G1760" s="14" t="s">
        <v>80</v>
      </c>
      <c r="H1760" s="0" t="n">
        <v>13</v>
      </c>
      <c r="I1760" s="16" t="n">
        <v>29.37</v>
      </c>
      <c r="J1760" s="16" t="n">
        <v>11</v>
      </c>
      <c r="K1760" s="16" t="n">
        <f aca="false">H1760*I1760</f>
        <v>381.81</v>
      </c>
      <c r="L1760" s="16" t="n">
        <f aca="false">H1760*J1760</f>
        <v>143</v>
      </c>
      <c r="M1760" s="16" t="n">
        <f aca="false">K1760-L1760</f>
        <v>238.81</v>
      </c>
      <c r="N1760" s="17" t="n">
        <f aca="false">IFERROR(M1760/K1760,0)</f>
        <v>0.625468164794008</v>
      </c>
    </row>
    <row r="1761" customFormat="false" ht="15" hidden="false" customHeight="false" outlineLevel="0" collapsed="false">
      <c r="A1761" s="15" t="n">
        <v>46096</v>
      </c>
      <c r="B1761" s="14" t="s">
        <v>42</v>
      </c>
      <c r="C1761" s="14" t="s">
        <v>43</v>
      </c>
      <c r="D1761" s="14" t="s">
        <v>44</v>
      </c>
      <c r="E1761" s="14" t="s">
        <v>45</v>
      </c>
      <c r="F1761" s="14" t="s">
        <v>62</v>
      </c>
      <c r="G1761" s="14" t="s">
        <v>63</v>
      </c>
      <c r="H1761" s="0" t="n">
        <v>2</v>
      </c>
      <c r="I1761" s="16" t="n">
        <v>17.38</v>
      </c>
      <c r="J1761" s="16" t="n">
        <v>6.5</v>
      </c>
      <c r="K1761" s="16" t="n">
        <f aca="false">H1761*I1761</f>
        <v>34.76</v>
      </c>
      <c r="L1761" s="16" t="n">
        <f aca="false">H1761*J1761</f>
        <v>13</v>
      </c>
      <c r="M1761" s="16" t="n">
        <f aca="false">K1761-L1761</f>
        <v>21.76</v>
      </c>
      <c r="N1761" s="17" t="n">
        <f aca="false">IFERROR(M1761/K1761,0)</f>
        <v>0.626006904487917</v>
      </c>
    </row>
    <row r="1762" customFormat="false" ht="15" hidden="false" customHeight="false" outlineLevel="0" collapsed="false">
      <c r="A1762" s="15" t="n">
        <v>46096</v>
      </c>
      <c r="B1762" s="14" t="s">
        <v>42</v>
      </c>
      <c r="C1762" s="14" t="s">
        <v>43</v>
      </c>
      <c r="D1762" s="14" t="s">
        <v>44</v>
      </c>
      <c r="E1762" s="14" t="s">
        <v>76</v>
      </c>
      <c r="F1762" s="14" t="s">
        <v>79</v>
      </c>
      <c r="G1762" s="14" t="s">
        <v>80</v>
      </c>
      <c r="H1762" s="0" t="n">
        <v>3</v>
      </c>
      <c r="I1762" s="16" t="n">
        <v>28.06</v>
      </c>
      <c r="J1762" s="16" t="n">
        <v>11</v>
      </c>
      <c r="K1762" s="16" t="n">
        <f aca="false">H1762*I1762</f>
        <v>84.18</v>
      </c>
      <c r="L1762" s="16" t="n">
        <f aca="false">H1762*J1762</f>
        <v>33</v>
      </c>
      <c r="M1762" s="16" t="n">
        <f aca="false">K1762-L1762</f>
        <v>51.18</v>
      </c>
      <c r="N1762" s="17" t="n">
        <f aca="false">IFERROR(M1762/K1762,0)</f>
        <v>0.607982893799002</v>
      </c>
    </row>
    <row r="1763" customFormat="false" ht="15" hidden="false" customHeight="false" outlineLevel="0" collapsed="false">
      <c r="A1763" s="15" t="n">
        <v>46096</v>
      </c>
      <c r="B1763" s="14" t="s">
        <v>42</v>
      </c>
      <c r="C1763" s="14" t="s">
        <v>43</v>
      </c>
      <c r="D1763" s="14" t="s">
        <v>44</v>
      </c>
      <c r="E1763" s="14" t="s">
        <v>56</v>
      </c>
      <c r="F1763" s="14" t="s">
        <v>98</v>
      </c>
      <c r="G1763" s="14" t="s">
        <v>99</v>
      </c>
      <c r="H1763" s="0" t="n">
        <v>7</v>
      </c>
      <c r="I1763" s="16" t="n">
        <v>21.56</v>
      </c>
      <c r="J1763" s="16" t="n">
        <v>8</v>
      </c>
      <c r="K1763" s="16" t="n">
        <f aca="false">H1763*I1763</f>
        <v>150.92</v>
      </c>
      <c r="L1763" s="16" t="n">
        <f aca="false">H1763*J1763</f>
        <v>56</v>
      </c>
      <c r="M1763" s="16" t="n">
        <f aca="false">K1763-L1763</f>
        <v>94.92</v>
      </c>
      <c r="N1763" s="17" t="n">
        <f aca="false">IFERROR(M1763/K1763,0)</f>
        <v>0.628942486085343</v>
      </c>
    </row>
    <row r="1764" customFormat="false" ht="15" hidden="false" customHeight="false" outlineLevel="0" collapsed="false">
      <c r="A1764" s="15" t="n">
        <v>46096</v>
      </c>
      <c r="B1764" s="14" t="s">
        <v>42</v>
      </c>
      <c r="C1764" s="14" t="s">
        <v>43</v>
      </c>
      <c r="D1764" s="14" t="s">
        <v>44</v>
      </c>
      <c r="E1764" s="14" t="s">
        <v>56</v>
      </c>
      <c r="F1764" s="14" t="s">
        <v>98</v>
      </c>
      <c r="G1764" s="14" t="s">
        <v>99</v>
      </c>
      <c r="H1764" s="0" t="n">
        <v>3</v>
      </c>
      <c r="I1764" s="16" t="n">
        <v>21.4</v>
      </c>
      <c r="J1764" s="16" t="n">
        <v>8</v>
      </c>
      <c r="K1764" s="16" t="n">
        <f aca="false">H1764*I1764</f>
        <v>64.2</v>
      </c>
      <c r="L1764" s="16" t="n">
        <f aca="false">H1764*J1764</f>
        <v>24</v>
      </c>
      <c r="M1764" s="16" t="n">
        <f aca="false">K1764-L1764</f>
        <v>40.2</v>
      </c>
      <c r="N1764" s="17" t="n">
        <f aca="false">IFERROR(M1764/K1764,0)</f>
        <v>0.626168224299065</v>
      </c>
    </row>
    <row r="1765" customFormat="false" ht="15" hidden="false" customHeight="false" outlineLevel="0" collapsed="false">
      <c r="A1765" s="15" t="n">
        <v>46096</v>
      </c>
      <c r="B1765" s="14" t="s">
        <v>50</v>
      </c>
      <c r="C1765" s="14" t="s">
        <v>51</v>
      </c>
      <c r="D1765" s="14" t="s">
        <v>52</v>
      </c>
      <c r="E1765" s="14" t="s">
        <v>53</v>
      </c>
      <c r="F1765" s="14" t="s">
        <v>74</v>
      </c>
      <c r="G1765" s="14" t="s">
        <v>75</v>
      </c>
      <c r="H1765" s="0" t="n">
        <v>7</v>
      </c>
      <c r="I1765" s="16" t="n">
        <v>87.48</v>
      </c>
      <c r="J1765" s="16" t="n">
        <v>38</v>
      </c>
      <c r="K1765" s="16" t="n">
        <f aca="false">H1765*I1765</f>
        <v>612.36</v>
      </c>
      <c r="L1765" s="16" t="n">
        <f aca="false">H1765*J1765</f>
        <v>266</v>
      </c>
      <c r="M1765" s="16" t="n">
        <f aca="false">K1765-L1765</f>
        <v>346.36</v>
      </c>
      <c r="N1765" s="17" t="n">
        <f aca="false">IFERROR(M1765/K1765,0)</f>
        <v>0.565614997713763</v>
      </c>
    </row>
    <row r="1766" customFormat="false" ht="15" hidden="false" customHeight="false" outlineLevel="0" collapsed="false">
      <c r="A1766" s="15" t="n">
        <v>46096</v>
      </c>
      <c r="B1766" s="14" t="s">
        <v>50</v>
      </c>
      <c r="C1766" s="14" t="s">
        <v>51</v>
      </c>
      <c r="D1766" s="14" t="s">
        <v>52</v>
      </c>
      <c r="E1766" s="14" t="s">
        <v>53</v>
      </c>
      <c r="F1766" s="14" t="s">
        <v>84</v>
      </c>
      <c r="G1766" s="14" t="s">
        <v>85</v>
      </c>
      <c r="H1766" s="0" t="n">
        <v>3</v>
      </c>
      <c r="I1766" s="16" t="n">
        <v>24.61</v>
      </c>
      <c r="J1766" s="16" t="n">
        <v>9</v>
      </c>
      <c r="K1766" s="16" t="n">
        <f aca="false">H1766*I1766</f>
        <v>73.83</v>
      </c>
      <c r="L1766" s="16" t="n">
        <f aca="false">H1766*J1766</f>
        <v>27</v>
      </c>
      <c r="M1766" s="16" t="n">
        <f aca="false">K1766-L1766</f>
        <v>46.83</v>
      </c>
      <c r="N1766" s="17" t="n">
        <f aca="false">IFERROR(M1766/K1766,0)</f>
        <v>0.634295002031694</v>
      </c>
    </row>
    <row r="1767" customFormat="false" ht="15" hidden="false" customHeight="false" outlineLevel="0" collapsed="false">
      <c r="A1767" s="15" t="n">
        <v>46096</v>
      </c>
      <c r="B1767" s="14" t="s">
        <v>50</v>
      </c>
      <c r="C1767" s="14" t="s">
        <v>51</v>
      </c>
      <c r="D1767" s="14" t="s">
        <v>52</v>
      </c>
      <c r="E1767" s="14" t="s">
        <v>56</v>
      </c>
      <c r="F1767" s="14" t="s">
        <v>67</v>
      </c>
      <c r="G1767" s="14" t="s">
        <v>68</v>
      </c>
      <c r="H1767" s="0" t="n">
        <v>11</v>
      </c>
      <c r="I1767" s="16" t="n">
        <v>36.75</v>
      </c>
      <c r="J1767" s="16" t="n">
        <v>15</v>
      </c>
      <c r="K1767" s="16" t="n">
        <f aca="false">H1767*I1767</f>
        <v>404.25</v>
      </c>
      <c r="L1767" s="16" t="n">
        <f aca="false">H1767*J1767</f>
        <v>165</v>
      </c>
      <c r="M1767" s="16" t="n">
        <f aca="false">K1767-L1767</f>
        <v>239.25</v>
      </c>
      <c r="N1767" s="17" t="n">
        <f aca="false">IFERROR(M1767/K1767,0)</f>
        <v>0.591836734693878</v>
      </c>
    </row>
    <row r="1768" customFormat="false" ht="15" hidden="false" customHeight="false" outlineLevel="0" collapsed="false">
      <c r="A1768" s="15" t="n">
        <v>46096</v>
      </c>
      <c r="B1768" s="14" t="s">
        <v>50</v>
      </c>
      <c r="C1768" s="14" t="s">
        <v>51</v>
      </c>
      <c r="D1768" s="14" t="s">
        <v>52</v>
      </c>
      <c r="E1768" s="14" t="s">
        <v>64</v>
      </c>
      <c r="F1768" s="14" t="s">
        <v>65</v>
      </c>
      <c r="G1768" s="14" t="s">
        <v>66</v>
      </c>
      <c r="H1768" s="0" t="n">
        <v>8</v>
      </c>
      <c r="I1768" s="16" t="n">
        <v>75.44</v>
      </c>
      <c r="J1768" s="16" t="n">
        <v>34</v>
      </c>
      <c r="K1768" s="16" t="n">
        <f aca="false">H1768*I1768</f>
        <v>603.52</v>
      </c>
      <c r="L1768" s="16" t="n">
        <f aca="false">H1768*J1768</f>
        <v>272</v>
      </c>
      <c r="M1768" s="16" t="n">
        <f aca="false">K1768-L1768</f>
        <v>331.52</v>
      </c>
      <c r="N1768" s="17" t="n">
        <f aca="false">IFERROR(M1768/K1768,0)</f>
        <v>0.549310710498409</v>
      </c>
    </row>
    <row r="1769" customFormat="false" ht="15" hidden="false" customHeight="false" outlineLevel="0" collapsed="false">
      <c r="A1769" s="15" t="n">
        <v>46096</v>
      </c>
      <c r="B1769" s="14" t="s">
        <v>50</v>
      </c>
      <c r="C1769" s="14" t="s">
        <v>51</v>
      </c>
      <c r="D1769" s="14" t="s">
        <v>52</v>
      </c>
      <c r="E1769" s="14" t="s">
        <v>64</v>
      </c>
      <c r="F1769" s="14" t="s">
        <v>65</v>
      </c>
      <c r="G1769" s="14" t="s">
        <v>66</v>
      </c>
      <c r="H1769" s="0" t="n">
        <v>8</v>
      </c>
      <c r="I1769" s="16" t="n">
        <v>75.09</v>
      </c>
      <c r="J1769" s="16" t="n">
        <v>34</v>
      </c>
      <c r="K1769" s="16" t="n">
        <f aca="false">H1769*I1769</f>
        <v>600.72</v>
      </c>
      <c r="L1769" s="16" t="n">
        <f aca="false">H1769*J1769</f>
        <v>272</v>
      </c>
      <c r="M1769" s="16" t="n">
        <f aca="false">K1769-L1769</f>
        <v>328.72</v>
      </c>
      <c r="N1769" s="17" t="n">
        <f aca="false">IFERROR(M1769/K1769,0)</f>
        <v>0.547210014649088</v>
      </c>
    </row>
    <row r="1770" customFormat="false" ht="15" hidden="false" customHeight="false" outlineLevel="0" collapsed="false">
      <c r="A1770" s="15" t="n">
        <v>46096</v>
      </c>
      <c r="B1770" s="14" t="s">
        <v>50</v>
      </c>
      <c r="C1770" s="14" t="s">
        <v>51</v>
      </c>
      <c r="D1770" s="14" t="s">
        <v>52</v>
      </c>
      <c r="E1770" s="14" t="s">
        <v>45</v>
      </c>
      <c r="F1770" s="14" t="s">
        <v>48</v>
      </c>
      <c r="G1770" s="14" t="s">
        <v>49</v>
      </c>
      <c r="H1770" s="0" t="n">
        <v>3</v>
      </c>
      <c r="I1770" s="16" t="n">
        <v>65.51</v>
      </c>
      <c r="J1770" s="16" t="n">
        <v>27.5</v>
      </c>
      <c r="K1770" s="16" t="n">
        <f aca="false">H1770*I1770</f>
        <v>196.53</v>
      </c>
      <c r="L1770" s="16" t="n">
        <f aca="false">H1770*J1770</f>
        <v>82.5</v>
      </c>
      <c r="M1770" s="16" t="n">
        <f aca="false">K1770-L1770</f>
        <v>114.03</v>
      </c>
      <c r="N1770" s="17" t="n">
        <f aca="false">IFERROR(M1770/K1770,0)</f>
        <v>0.580216760799878</v>
      </c>
    </row>
    <row r="1771" customFormat="false" ht="15" hidden="false" customHeight="false" outlineLevel="0" collapsed="false">
      <c r="A1771" s="15" t="n">
        <v>46096</v>
      </c>
      <c r="B1771" s="14" t="s">
        <v>59</v>
      </c>
      <c r="C1771" s="14" t="s">
        <v>60</v>
      </c>
      <c r="D1771" s="14" t="s">
        <v>61</v>
      </c>
      <c r="E1771" s="14" t="s">
        <v>53</v>
      </c>
      <c r="F1771" s="14" t="s">
        <v>54</v>
      </c>
      <c r="G1771" s="14" t="s">
        <v>55</v>
      </c>
      <c r="H1771" s="0" t="n">
        <v>6</v>
      </c>
      <c r="I1771" s="16" t="n">
        <v>53.98</v>
      </c>
      <c r="J1771" s="16" t="n">
        <v>22</v>
      </c>
      <c r="K1771" s="16" t="n">
        <f aca="false">H1771*I1771</f>
        <v>323.88</v>
      </c>
      <c r="L1771" s="16" t="n">
        <f aca="false">H1771*J1771</f>
        <v>132</v>
      </c>
      <c r="M1771" s="16" t="n">
        <f aca="false">K1771-L1771</f>
        <v>191.88</v>
      </c>
      <c r="N1771" s="17" t="n">
        <f aca="false">IFERROR(M1771/K1771,0)</f>
        <v>0.592441645053724</v>
      </c>
    </row>
    <row r="1772" customFormat="false" ht="15" hidden="false" customHeight="false" outlineLevel="0" collapsed="false">
      <c r="A1772" s="15" t="n">
        <v>46096</v>
      </c>
      <c r="B1772" s="14" t="s">
        <v>59</v>
      </c>
      <c r="C1772" s="14" t="s">
        <v>60</v>
      </c>
      <c r="D1772" s="14" t="s">
        <v>61</v>
      </c>
      <c r="E1772" s="14" t="s">
        <v>53</v>
      </c>
      <c r="F1772" s="14" t="s">
        <v>92</v>
      </c>
      <c r="G1772" s="14" t="s">
        <v>93</v>
      </c>
      <c r="H1772" s="0" t="n">
        <v>8</v>
      </c>
      <c r="I1772" s="16" t="n">
        <v>116.91</v>
      </c>
      <c r="J1772" s="16" t="n">
        <v>52</v>
      </c>
      <c r="K1772" s="16" t="n">
        <f aca="false">H1772*I1772</f>
        <v>935.28</v>
      </c>
      <c r="L1772" s="16" t="n">
        <f aca="false">H1772*J1772</f>
        <v>416</v>
      </c>
      <c r="M1772" s="16" t="n">
        <f aca="false">K1772-L1772</f>
        <v>519.28</v>
      </c>
      <c r="N1772" s="17" t="n">
        <f aca="false">IFERROR(M1772/K1772,0)</f>
        <v>0.555213412026345</v>
      </c>
    </row>
    <row r="1773" customFormat="false" ht="15" hidden="false" customHeight="false" outlineLevel="0" collapsed="false">
      <c r="A1773" s="15" t="n">
        <v>46096</v>
      </c>
      <c r="B1773" s="14" t="s">
        <v>59</v>
      </c>
      <c r="C1773" s="14" t="s">
        <v>60</v>
      </c>
      <c r="D1773" s="14" t="s">
        <v>61</v>
      </c>
      <c r="E1773" s="14" t="s">
        <v>45</v>
      </c>
      <c r="F1773" s="14" t="s">
        <v>46</v>
      </c>
      <c r="G1773" s="14" t="s">
        <v>47</v>
      </c>
      <c r="H1773" s="0" t="n">
        <v>4</v>
      </c>
      <c r="I1773" s="16" t="n">
        <v>41.5</v>
      </c>
      <c r="J1773" s="16" t="n">
        <v>18</v>
      </c>
      <c r="K1773" s="16" t="n">
        <f aca="false">H1773*I1773</f>
        <v>166</v>
      </c>
      <c r="L1773" s="16" t="n">
        <f aca="false">H1773*J1773</f>
        <v>72</v>
      </c>
      <c r="M1773" s="16" t="n">
        <f aca="false">K1773-L1773</f>
        <v>94</v>
      </c>
      <c r="N1773" s="17" t="n">
        <f aca="false">IFERROR(M1773/K1773,0)</f>
        <v>0.566265060240964</v>
      </c>
    </row>
    <row r="1774" customFormat="false" ht="15" hidden="false" customHeight="false" outlineLevel="0" collapsed="false">
      <c r="A1774" s="15" t="n">
        <v>46096</v>
      </c>
      <c r="B1774" s="14" t="s">
        <v>59</v>
      </c>
      <c r="C1774" s="14" t="s">
        <v>60</v>
      </c>
      <c r="D1774" s="14" t="s">
        <v>61</v>
      </c>
      <c r="E1774" s="14" t="s">
        <v>45</v>
      </c>
      <c r="F1774" s="14" t="s">
        <v>46</v>
      </c>
      <c r="G1774" s="14" t="s">
        <v>47</v>
      </c>
      <c r="H1774" s="0" t="n">
        <v>9</v>
      </c>
      <c r="I1774" s="16" t="n">
        <v>41.76</v>
      </c>
      <c r="J1774" s="16" t="n">
        <v>18</v>
      </c>
      <c r="K1774" s="16" t="n">
        <f aca="false">H1774*I1774</f>
        <v>375.84</v>
      </c>
      <c r="L1774" s="16" t="n">
        <f aca="false">H1774*J1774</f>
        <v>162</v>
      </c>
      <c r="M1774" s="16" t="n">
        <f aca="false">K1774-L1774</f>
        <v>213.84</v>
      </c>
      <c r="N1774" s="17" t="n">
        <f aca="false">IFERROR(M1774/K1774,0)</f>
        <v>0.568965517241379</v>
      </c>
    </row>
    <row r="1775" customFormat="false" ht="15" hidden="false" customHeight="false" outlineLevel="0" collapsed="false">
      <c r="A1775" s="15" t="n">
        <v>46096</v>
      </c>
      <c r="B1775" s="14" t="s">
        <v>69</v>
      </c>
      <c r="C1775" s="14" t="s">
        <v>70</v>
      </c>
      <c r="D1775" s="14" t="s">
        <v>71</v>
      </c>
      <c r="E1775" s="14" t="s">
        <v>64</v>
      </c>
      <c r="F1775" s="14" t="s">
        <v>94</v>
      </c>
      <c r="G1775" s="14" t="s">
        <v>95</v>
      </c>
      <c r="H1775" s="0" t="n">
        <v>5</v>
      </c>
      <c r="I1775" s="16" t="n">
        <v>94.05</v>
      </c>
      <c r="J1775" s="16" t="n">
        <v>42</v>
      </c>
      <c r="K1775" s="16" t="n">
        <f aca="false">H1775*I1775</f>
        <v>470.25</v>
      </c>
      <c r="L1775" s="16" t="n">
        <f aca="false">H1775*J1775</f>
        <v>210</v>
      </c>
      <c r="M1775" s="16" t="n">
        <f aca="false">K1775-L1775</f>
        <v>260.25</v>
      </c>
      <c r="N1775" s="17" t="n">
        <f aca="false">IFERROR(M1775/K1775,0)</f>
        <v>0.553429027113238</v>
      </c>
    </row>
    <row r="1776" customFormat="false" ht="15" hidden="false" customHeight="false" outlineLevel="0" collapsed="false">
      <c r="A1776" s="15" t="n">
        <v>46096</v>
      </c>
      <c r="B1776" s="14" t="s">
        <v>69</v>
      </c>
      <c r="C1776" s="14" t="s">
        <v>70</v>
      </c>
      <c r="D1776" s="14" t="s">
        <v>71</v>
      </c>
      <c r="E1776" s="14" t="s">
        <v>45</v>
      </c>
      <c r="F1776" s="14" t="s">
        <v>48</v>
      </c>
      <c r="G1776" s="14" t="s">
        <v>49</v>
      </c>
      <c r="H1776" s="0" t="n">
        <v>5</v>
      </c>
      <c r="I1776" s="16" t="n">
        <v>63.86</v>
      </c>
      <c r="J1776" s="16" t="n">
        <v>27.5</v>
      </c>
      <c r="K1776" s="16" t="n">
        <f aca="false">H1776*I1776</f>
        <v>319.3</v>
      </c>
      <c r="L1776" s="16" t="n">
        <f aca="false">H1776*J1776</f>
        <v>137.5</v>
      </c>
      <c r="M1776" s="16" t="n">
        <f aca="false">K1776-L1776</f>
        <v>181.8</v>
      </c>
      <c r="N1776" s="17" t="n">
        <f aca="false">IFERROR(M1776/K1776,0)</f>
        <v>0.569370497964297</v>
      </c>
    </row>
    <row r="1777" customFormat="false" ht="15" hidden="false" customHeight="false" outlineLevel="0" collapsed="false">
      <c r="A1777" s="15" t="n">
        <v>46096</v>
      </c>
      <c r="B1777" s="14" t="s">
        <v>69</v>
      </c>
      <c r="C1777" s="14" t="s">
        <v>70</v>
      </c>
      <c r="D1777" s="14" t="s">
        <v>71</v>
      </c>
      <c r="E1777" s="14" t="s">
        <v>56</v>
      </c>
      <c r="F1777" s="14" t="s">
        <v>86</v>
      </c>
      <c r="G1777" s="14" t="s">
        <v>87</v>
      </c>
      <c r="H1777" s="0" t="n">
        <v>9</v>
      </c>
      <c r="I1777" s="16" t="n">
        <v>14.41</v>
      </c>
      <c r="J1777" s="16" t="n">
        <v>5</v>
      </c>
      <c r="K1777" s="16" t="n">
        <f aca="false">H1777*I1777</f>
        <v>129.69</v>
      </c>
      <c r="L1777" s="16" t="n">
        <f aca="false">H1777*J1777</f>
        <v>45</v>
      </c>
      <c r="M1777" s="16" t="n">
        <f aca="false">K1777-L1777</f>
        <v>84.69</v>
      </c>
      <c r="N1777" s="17" t="n">
        <f aca="false">IFERROR(M1777/K1777,0)</f>
        <v>0.653018736988203</v>
      </c>
    </row>
    <row r="1778" customFormat="false" ht="15" hidden="false" customHeight="false" outlineLevel="0" collapsed="false">
      <c r="A1778" s="15" t="n">
        <v>46096</v>
      </c>
      <c r="B1778" s="14" t="s">
        <v>81</v>
      </c>
      <c r="C1778" s="14" t="s">
        <v>82</v>
      </c>
      <c r="D1778" s="14" t="s">
        <v>83</v>
      </c>
      <c r="E1778" s="14" t="s">
        <v>64</v>
      </c>
      <c r="F1778" s="14" t="s">
        <v>65</v>
      </c>
      <c r="G1778" s="14" t="s">
        <v>66</v>
      </c>
      <c r="H1778" s="0" t="n">
        <v>4</v>
      </c>
      <c r="I1778" s="16" t="n">
        <v>73.06</v>
      </c>
      <c r="J1778" s="16" t="n">
        <v>34</v>
      </c>
      <c r="K1778" s="16" t="n">
        <f aca="false">H1778*I1778</f>
        <v>292.24</v>
      </c>
      <c r="L1778" s="16" t="n">
        <f aca="false">H1778*J1778</f>
        <v>136</v>
      </c>
      <c r="M1778" s="16" t="n">
        <f aca="false">K1778-L1778</f>
        <v>156.24</v>
      </c>
      <c r="N1778" s="17" t="n">
        <f aca="false">IFERROR(M1778/K1778,0)</f>
        <v>0.53462907199562</v>
      </c>
    </row>
    <row r="1779" customFormat="false" ht="15" hidden="false" customHeight="false" outlineLevel="0" collapsed="false">
      <c r="A1779" s="15" t="n">
        <v>46096</v>
      </c>
      <c r="B1779" s="14" t="s">
        <v>81</v>
      </c>
      <c r="C1779" s="14" t="s">
        <v>82</v>
      </c>
      <c r="D1779" s="14" t="s">
        <v>83</v>
      </c>
      <c r="E1779" s="14" t="s">
        <v>64</v>
      </c>
      <c r="F1779" s="14" t="s">
        <v>90</v>
      </c>
      <c r="G1779" s="14" t="s">
        <v>91</v>
      </c>
      <c r="H1779" s="0" t="n">
        <v>2</v>
      </c>
      <c r="I1779" s="16" t="n">
        <v>11.5</v>
      </c>
      <c r="J1779" s="16" t="n">
        <v>3.5</v>
      </c>
      <c r="K1779" s="16" t="n">
        <f aca="false">H1779*I1779</f>
        <v>23</v>
      </c>
      <c r="L1779" s="16" t="n">
        <f aca="false">H1779*J1779</f>
        <v>7</v>
      </c>
      <c r="M1779" s="16" t="n">
        <f aca="false">K1779-L1779</f>
        <v>16</v>
      </c>
      <c r="N1779" s="17" t="n">
        <f aca="false">IFERROR(M1779/K1779,0)</f>
        <v>0.695652173913044</v>
      </c>
    </row>
    <row r="1780" customFormat="false" ht="15" hidden="false" customHeight="false" outlineLevel="0" collapsed="false">
      <c r="A1780" s="15" t="n">
        <v>46096</v>
      </c>
      <c r="B1780" s="14" t="s">
        <v>81</v>
      </c>
      <c r="C1780" s="14" t="s">
        <v>82</v>
      </c>
      <c r="D1780" s="14" t="s">
        <v>83</v>
      </c>
      <c r="E1780" s="14" t="s">
        <v>64</v>
      </c>
      <c r="F1780" s="14" t="s">
        <v>96</v>
      </c>
      <c r="G1780" s="14" t="s">
        <v>97</v>
      </c>
      <c r="H1780" s="0" t="n">
        <v>1</v>
      </c>
      <c r="I1780" s="16" t="n">
        <v>55.55</v>
      </c>
      <c r="J1780" s="16" t="n">
        <v>24</v>
      </c>
      <c r="K1780" s="16" t="n">
        <f aca="false">H1780*I1780</f>
        <v>55.55</v>
      </c>
      <c r="L1780" s="16" t="n">
        <f aca="false">H1780*J1780</f>
        <v>24</v>
      </c>
      <c r="M1780" s="16" t="n">
        <f aca="false">K1780-L1780</f>
        <v>31.55</v>
      </c>
      <c r="N1780" s="17" t="n">
        <f aca="false">IFERROR(M1780/K1780,0)</f>
        <v>0.567956795679568</v>
      </c>
    </row>
    <row r="1781" customFormat="false" ht="15" hidden="false" customHeight="false" outlineLevel="0" collapsed="false">
      <c r="A1781" s="15" t="n">
        <v>46096</v>
      </c>
      <c r="B1781" s="14" t="s">
        <v>81</v>
      </c>
      <c r="C1781" s="14" t="s">
        <v>82</v>
      </c>
      <c r="D1781" s="14" t="s">
        <v>83</v>
      </c>
      <c r="E1781" s="14" t="s">
        <v>56</v>
      </c>
      <c r="F1781" s="14" t="s">
        <v>98</v>
      </c>
      <c r="G1781" s="14" t="s">
        <v>99</v>
      </c>
      <c r="H1781" s="0" t="n">
        <v>4</v>
      </c>
      <c r="I1781" s="16" t="n">
        <v>21.58</v>
      </c>
      <c r="J1781" s="16" t="n">
        <v>8</v>
      </c>
      <c r="K1781" s="16" t="n">
        <f aca="false">H1781*I1781</f>
        <v>86.32</v>
      </c>
      <c r="L1781" s="16" t="n">
        <f aca="false">H1781*J1781</f>
        <v>32</v>
      </c>
      <c r="M1781" s="16" t="n">
        <f aca="false">K1781-L1781</f>
        <v>54.32</v>
      </c>
      <c r="N1781" s="17" t="n">
        <f aca="false">IFERROR(M1781/K1781,0)</f>
        <v>0.629286376274328</v>
      </c>
    </row>
    <row r="1782" customFormat="false" ht="15" hidden="false" customHeight="false" outlineLevel="0" collapsed="false">
      <c r="A1782" s="15" t="n">
        <v>46096</v>
      </c>
      <c r="B1782" s="14" t="s">
        <v>81</v>
      </c>
      <c r="C1782" s="14" t="s">
        <v>82</v>
      </c>
      <c r="D1782" s="14" t="s">
        <v>83</v>
      </c>
      <c r="E1782" s="14" t="s">
        <v>53</v>
      </c>
      <c r="F1782" s="14" t="s">
        <v>92</v>
      </c>
      <c r="G1782" s="14" t="s">
        <v>93</v>
      </c>
      <c r="H1782" s="0" t="n">
        <v>7</v>
      </c>
      <c r="I1782" s="16" t="n">
        <v>114.68</v>
      </c>
      <c r="J1782" s="16" t="n">
        <v>52</v>
      </c>
      <c r="K1782" s="16" t="n">
        <f aca="false">H1782*I1782</f>
        <v>802.76</v>
      </c>
      <c r="L1782" s="16" t="n">
        <f aca="false">H1782*J1782</f>
        <v>364</v>
      </c>
      <c r="M1782" s="16" t="n">
        <f aca="false">K1782-L1782</f>
        <v>438.76</v>
      </c>
      <c r="N1782" s="17" t="n">
        <f aca="false">IFERROR(M1782/K1782,0)</f>
        <v>0.546564352982211</v>
      </c>
    </row>
    <row r="1783" customFormat="false" ht="15" hidden="false" customHeight="false" outlineLevel="0" collapsed="false">
      <c r="A1783" s="15" t="n">
        <v>46096</v>
      </c>
      <c r="B1783" s="14" t="s">
        <v>81</v>
      </c>
      <c r="C1783" s="14" t="s">
        <v>82</v>
      </c>
      <c r="D1783" s="14" t="s">
        <v>83</v>
      </c>
      <c r="E1783" s="14" t="s">
        <v>56</v>
      </c>
      <c r="F1783" s="14" t="s">
        <v>86</v>
      </c>
      <c r="G1783" s="14" t="s">
        <v>87</v>
      </c>
      <c r="H1783" s="0" t="n">
        <v>3</v>
      </c>
      <c r="I1783" s="16" t="n">
        <v>14.25</v>
      </c>
      <c r="J1783" s="16" t="n">
        <v>5</v>
      </c>
      <c r="K1783" s="16" t="n">
        <f aca="false">H1783*I1783</f>
        <v>42.75</v>
      </c>
      <c r="L1783" s="16" t="n">
        <f aca="false">H1783*J1783</f>
        <v>15</v>
      </c>
      <c r="M1783" s="16" t="n">
        <f aca="false">K1783-L1783</f>
        <v>27.75</v>
      </c>
      <c r="N1783" s="17" t="n">
        <f aca="false">IFERROR(M1783/K1783,0)</f>
        <v>0.649122807017544</v>
      </c>
    </row>
    <row r="1784" customFormat="false" ht="15" hidden="false" customHeight="false" outlineLevel="0" collapsed="false">
      <c r="A1784" s="15" t="n">
        <v>46096</v>
      </c>
      <c r="B1784" s="14" t="s">
        <v>88</v>
      </c>
      <c r="C1784" s="14" t="s">
        <v>89</v>
      </c>
      <c r="D1784" s="14" t="s">
        <v>44</v>
      </c>
      <c r="E1784" s="14" t="s">
        <v>53</v>
      </c>
      <c r="F1784" s="14" t="s">
        <v>84</v>
      </c>
      <c r="G1784" s="14" t="s">
        <v>85</v>
      </c>
      <c r="H1784" s="0" t="n">
        <v>10</v>
      </c>
      <c r="I1784" s="16" t="n">
        <v>23.08</v>
      </c>
      <c r="J1784" s="16" t="n">
        <v>9</v>
      </c>
      <c r="K1784" s="16" t="n">
        <f aca="false">H1784*I1784</f>
        <v>230.8</v>
      </c>
      <c r="L1784" s="16" t="n">
        <f aca="false">H1784*J1784</f>
        <v>90</v>
      </c>
      <c r="M1784" s="16" t="n">
        <f aca="false">K1784-L1784</f>
        <v>140.8</v>
      </c>
      <c r="N1784" s="17" t="n">
        <f aca="false">IFERROR(M1784/K1784,0)</f>
        <v>0.610051993067591</v>
      </c>
    </row>
    <row r="1785" customFormat="false" ht="15" hidden="false" customHeight="false" outlineLevel="0" collapsed="false">
      <c r="A1785" s="15" t="n">
        <v>46096</v>
      </c>
      <c r="B1785" s="14" t="s">
        <v>88</v>
      </c>
      <c r="C1785" s="14" t="s">
        <v>89</v>
      </c>
      <c r="D1785" s="14" t="s">
        <v>44</v>
      </c>
      <c r="E1785" s="14" t="s">
        <v>64</v>
      </c>
      <c r="F1785" s="14" t="s">
        <v>94</v>
      </c>
      <c r="G1785" s="14" t="s">
        <v>95</v>
      </c>
      <c r="H1785" s="0" t="n">
        <v>4</v>
      </c>
      <c r="I1785" s="16" t="n">
        <v>91.08</v>
      </c>
      <c r="J1785" s="16" t="n">
        <v>42</v>
      </c>
      <c r="K1785" s="16" t="n">
        <f aca="false">H1785*I1785</f>
        <v>364.32</v>
      </c>
      <c r="L1785" s="16" t="n">
        <f aca="false">H1785*J1785</f>
        <v>168</v>
      </c>
      <c r="M1785" s="16" t="n">
        <f aca="false">K1785-L1785</f>
        <v>196.32</v>
      </c>
      <c r="N1785" s="17" t="n">
        <f aca="false">IFERROR(M1785/K1785,0)</f>
        <v>0.538866930171278</v>
      </c>
    </row>
    <row r="1786" customFormat="false" ht="15" hidden="false" customHeight="false" outlineLevel="0" collapsed="false">
      <c r="A1786" s="15" t="n">
        <v>46096</v>
      </c>
      <c r="B1786" s="14" t="s">
        <v>88</v>
      </c>
      <c r="C1786" s="14" t="s">
        <v>89</v>
      </c>
      <c r="D1786" s="14" t="s">
        <v>44</v>
      </c>
      <c r="E1786" s="14" t="s">
        <v>64</v>
      </c>
      <c r="F1786" s="14" t="s">
        <v>94</v>
      </c>
      <c r="G1786" s="14" t="s">
        <v>95</v>
      </c>
      <c r="H1786" s="0" t="n">
        <v>6</v>
      </c>
      <c r="I1786" s="16" t="n">
        <v>97.73</v>
      </c>
      <c r="J1786" s="16" t="n">
        <v>42</v>
      </c>
      <c r="K1786" s="16" t="n">
        <f aca="false">H1786*I1786</f>
        <v>586.38</v>
      </c>
      <c r="L1786" s="16" t="n">
        <f aca="false">H1786*J1786</f>
        <v>252</v>
      </c>
      <c r="M1786" s="16" t="n">
        <f aca="false">K1786-L1786</f>
        <v>334.38</v>
      </c>
      <c r="N1786" s="17" t="n">
        <f aca="false">IFERROR(M1786/K1786,0)</f>
        <v>0.570244551314847</v>
      </c>
    </row>
    <row r="1787" customFormat="false" ht="15" hidden="false" customHeight="false" outlineLevel="0" collapsed="false">
      <c r="A1787" s="15" t="n">
        <v>46097</v>
      </c>
      <c r="B1787" s="14" t="s">
        <v>42</v>
      </c>
      <c r="C1787" s="14" t="s">
        <v>43</v>
      </c>
      <c r="D1787" s="14" t="s">
        <v>44</v>
      </c>
      <c r="E1787" s="14" t="s">
        <v>76</v>
      </c>
      <c r="F1787" s="14" t="s">
        <v>77</v>
      </c>
      <c r="G1787" s="14" t="s">
        <v>78</v>
      </c>
      <c r="H1787" s="0" t="n">
        <v>6</v>
      </c>
      <c r="I1787" s="16" t="n">
        <v>38.79</v>
      </c>
      <c r="J1787" s="16" t="n">
        <v>15</v>
      </c>
      <c r="K1787" s="16" t="n">
        <f aca="false">H1787*I1787</f>
        <v>232.74</v>
      </c>
      <c r="L1787" s="16" t="n">
        <f aca="false">H1787*J1787</f>
        <v>90</v>
      </c>
      <c r="M1787" s="16" t="n">
        <f aca="false">K1787-L1787</f>
        <v>142.74</v>
      </c>
      <c r="N1787" s="17" t="n">
        <f aca="false">IFERROR(M1787/K1787,0)</f>
        <v>0.613302397525135</v>
      </c>
    </row>
    <row r="1788" customFormat="false" ht="15" hidden="false" customHeight="false" outlineLevel="0" collapsed="false">
      <c r="A1788" s="15" t="n">
        <v>46097</v>
      </c>
      <c r="B1788" s="14" t="s">
        <v>42</v>
      </c>
      <c r="C1788" s="14" t="s">
        <v>43</v>
      </c>
      <c r="D1788" s="14" t="s">
        <v>44</v>
      </c>
      <c r="E1788" s="14" t="s">
        <v>56</v>
      </c>
      <c r="F1788" s="14" t="s">
        <v>98</v>
      </c>
      <c r="G1788" s="14" t="s">
        <v>99</v>
      </c>
      <c r="H1788" s="0" t="n">
        <v>7</v>
      </c>
      <c r="I1788" s="16" t="n">
        <v>20.4</v>
      </c>
      <c r="J1788" s="16" t="n">
        <v>8</v>
      </c>
      <c r="K1788" s="16" t="n">
        <f aca="false">H1788*I1788</f>
        <v>142.8</v>
      </c>
      <c r="L1788" s="16" t="n">
        <f aca="false">H1788*J1788</f>
        <v>56</v>
      </c>
      <c r="M1788" s="16" t="n">
        <f aca="false">K1788-L1788</f>
        <v>86.8</v>
      </c>
      <c r="N1788" s="17" t="n">
        <f aca="false">IFERROR(M1788/K1788,0)</f>
        <v>0.607843137254902</v>
      </c>
    </row>
    <row r="1789" customFormat="false" ht="15" hidden="false" customHeight="false" outlineLevel="0" collapsed="false">
      <c r="A1789" s="15" t="n">
        <v>46097</v>
      </c>
      <c r="B1789" s="14" t="s">
        <v>42</v>
      </c>
      <c r="C1789" s="14" t="s">
        <v>43</v>
      </c>
      <c r="D1789" s="14" t="s">
        <v>44</v>
      </c>
      <c r="E1789" s="14" t="s">
        <v>45</v>
      </c>
      <c r="F1789" s="14" t="s">
        <v>62</v>
      </c>
      <c r="G1789" s="14" t="s">
        <v>63</v>
      </c>
      <c r="H1789" s="0" t="n">
        <v>7</v>
      </c>
      <c r="I1789" s="16" t="n">
        <v>17.82</v>
      </c>
      <c r="J1789" s="16" t="n">
        <v>6.5</v>
      </c>
      <c r="K1789" s="16" t="n">
        <f aca="false">H1789*I1789</f>
        <v>124.74</v>
      </c>
      <c r="L1789" s="16" t="n">
        <f aca="false">H1789*J1789</f>
        <v>45.5</v>
      </c>
      <c r="M1789" s="16" t="n">
        <f aca="false">K1789-L1789</f>
        <v>79.24</v>
      </c>
      <c r="N1789" s="17" t="n">
        <f aca="false">IFERROR(M1789/K1789,0)</f>
        <v>0.635241301907969</v>
      </c>
    </row>
    <row r="1790" customFormat="false" ht="15" hidden="false" customHeight="false" outlineLevel="0" collapsed="false">
      <c r="A1790" s="15" t="n">
        <v>46097</v>
      </c>
      <c r="B1790" s="14" t="s">
        <v>42</v>
      </c>
      <c r="C1790" s="14" t="s">
        <v>43</v>
      </c>
      <c r="D1790" s="14" t="s">
        <v>44</v>
      </c>
      <c r="E1790" s="14" t="s">
        <v>53</v>
      </c>
      <c r="F1790" s="14" t="s">
        <v>92</v>
      </c>
      <c r="G1790" s="14" t="s">
        <v>93</v>
      </c>
      <c r="H1790" s="0" t="n">
        <v>8</v>
      </c>
      <c r="I1790" s="16" t="n">
        <v>116.5</v>
      </c>
      <c r="J1790" s="16" t="n">
        <v>52</v>
      </c>
      <c r="K1790" s="16" t="n">
        <f aca="false">H1790*I1790</f>
        <v>932</v>
      </c>
      <c r="L1790" s="16" t="n">
        <f aca="false">H1790*J1790</f>
        <v>416</v>
      </c>
      <c r="M1790" s="16" t="n">
        <f aca="false">K1790-L1790</f>
        <v>516</v>
      </c>
      <c r="N1790" s="17" t="n">
        <f aca="false">IFERROR(M1790/K1790,0)</f>
        <v>0.553648068669528</v>
      </c>
    </row>
    <row r="1791" customFormat="false" ht="15" hidden="false" customHeight="false" outlineLevel="0" collapsed="false">
      <c r="A1791" s="15" t="n">
        <v>46097</v>
      </c>
      <c r="B1791" s="14" t="s">
        <v>42</v>
      </c>
      <c r="C1791" s="14" t="s">
        <v>43</v>
      </c>
      <c r="D1791" s="14" t="s">
        <v>44</v>
      </c>
      <c r="E1791" s="14" t="s">
        <v>64</v>
      </c>
      <c r="F1791" s="14" t="s">
        <v>94</v>
      </c>
      <c r="G1791" s="14" t="s">
        <v>95</v>
      </c>
      <c r="H1791" s="0" t="n">
        <v>5</v>
      </c>
      <c r="I1791" s="16" t="n">
        <v>96.33</v>
      </c>
      <c r="J1791" s="16" t="n">
        <v>42</v>
      </c>
      <c r="K1791" s="16" t="n">
        <f aca="false">H1791*I1791</f>
        <v>481.65</v>
      </c>
      <c r="L1791" s="16" t="n">
        <f aca="false">H1791*J1791</f>
        <v>210</v>
      </c>
      <c r="M1791" s="16" t="n">
        <f aca="false">K1791-L1791</f>
        <v>271.65</v>
      </c>
      <c r="N1791" s="17" t="n">
        <f aca="false">IFERROR(M1791/K1791,0)</f>
        <v>0.563998754282155</v>
      </c>
    </row>
    <row r="1792" customFormat="false" ht="15" hidden="false" customHeight="false" outlineLevel="0" collapsed="false">
      <c r="A1792" s="15" t="n">
        <v>46097</v>
      </c>
      <c r="B1792" s="14" t="s">
        <v>50</v>
      </c>
      <c r="C1792" s="14" t="s">
        <v>51</v>
      </c>
      <c r="D1792" s="14" t="s">
        <v>52</v>
      </c>
      <c r="E1792" s="14" t="s">
        <v>76</v>
      </c>
      <c r="F1792" s="14" t="s">
        <v>77</v>
      </c>
      <c r="G1792" s="14" t="s">
        <v>78</v>
      </c>
      <c r="H1792" s="0" t="n">
        <v>9</v>
      </c>
      <c r="I1792" s="16" t="n">
        <v>41.86</v>
      </c>
      <c r="J1792" s="16" t="n">
        <v>15</v>
      </c>
      <c r="K1792" s="16" t="n">
        <f aca="false">H1792*I1792</f>
        <v>376.74</v>
      </c>
      <c r="L1792" s="16" t="n">
        <f aca="false">H1792*J1792</f>
        <v>135</v>
      </c>
      <c r="M1792" s="16" t="n">
        <f aca="false">K1792-L1792</f>
        <v>241.74</v>
      </c>
      <c r="N1792" s="17" t="n">
        <f aca="false">IFERROR(M1792/K1792,0)</f>
        <v>0.641662685140946</v>
      </c>
    </row>
    <row r="1793" customFormat="false" ht="15" hidden="false" customHeight="false" outlineLevel="0" collapsed="false">
      <c r="A1793" s="15" t="n">
        <v>46097</v>
      </c>
      <c r="B1793" s="14" t="s">
        <v>50</v>
      </c>
      <c r="C1793" s="14" t="s">
        <v>51</v>
      </c>
      <c r="D1793" s="14" t="s">
        <v>52</v>
      </c>
      <c r="E1793" s="14" t="s">
        <v>76</v>
      </c>
      <c r="F1793" s="14" t="s">
        <v>79</v>
      </c>
      <c r="G1793" s="14" t="s">
        <v>80</v>
      </c>
      <c r="H1793" s="0" t="n">
        <v>3</v>
      </c>
      <c r="I1793" s="16" t="n">
        <v>29.15</v>
      </c>
      <c r="J1793" s="16" t="n">
        <v>11</v>
      </c>
      <c r="K1793" s="16" t="n">
        <f aca="false">H1793*I1793</f>
        <v>87.45</v>
      </c>
      <c r="L1793" s="16" t="n">
        <f aca="false">H1793*J1793</f>
        <v>33</v>
      </c>
      <c r="M1793" s="16" t="n">
        <f aca="false">K1793-L1793</f>
        <v>54.45</v>
      </c>
      <c r="N1793" s="17" t="n">
        <f aca="false">IFERROR(M1793/K1793,0)</f>
        <v>0.622641509433962</v>
      </c>
    </row>
    <row r="1794" customFormat="false" ht="15" hidden="false" customHeight="false" outlineLevel="0" collapsed="false">
      <c r="A1794" s="15" t="n">
        <v>46097</v>
      </c>
      <c r="B1794" s="14" t="s">
        <v>50</v>
      </c>
      <c r="C1794" s="14" t="s">
        <v>51</v>
      </c>
      <c r="D1794" s="14" t="s">
        <v>52</v>
      </c>
      <c r="E1794" s="14" t="s">
        <v>45</v>
      </c>
      <c r="F1794" s="14" t="s">
        <v>72</v>
      </c>
      <c r="G1794" s="14" t="s">
        <v>73</v>
      </c>
      <c r="H1794" s="0" t="n">
        <v>1</v>
      </c>
      <c r="I1794" s="16" t="n">
        <v>51.59</v>
      </c>
      <c r="J1794" s="16" t="n">
        <v>21</v>
      </c>
      <c r="K1794" s="16" t="n">
        <f aca="false">H1794*I1794</f>
        <v>51.59</v>
      </c>
      <c r="L1794" s="16" t="n">
        <f aca="false">H1794*J1794</f>
        <v>21</v>
      </c>
      <c r="M1794" s="16" t="n">
        <f aca="false">K1794-L1794</f>
        <v>30.59</v>
      </c>
      <c r="N1794" s="17" t="n">
        <f aca="false">IFERROR(M1794/K1794,0)</f>
        <v>0.592944369063772</v>
      </c>
    </row>
    <row r="1795" customFormat="false" ht="15" hidden="false" customHeight="false" outlineLevel="0" collapsed="false">
      <c r="A1795" s="15" t="n">
        <v>46097</v>
      </c>
      <c r="B1795" s="14" t="s">
        <v>50</v>
      </c>
      <c r="C1795" s="14" t="s">
        <v>51</v>
      </c>
      <c r="D1795" s="14" t="s">
        <v>52</v>
      </c>
      <c r="E1795" s="14" t="s">
        <v>53</v>
      </c>
      <c r="F1795" s="14" t="s">
        <v>84</v>
      </c>
      <c r="G1795" s="14" t="s">
        <v>85</v>
      </c>
      <c r="H1795" s="0" t="n">
        <v>9</v>
      </c>
      <c r="I1795" s="16" t="n">
        <v>24.52</v>
      </c>
      <c r="J1795" s="16" t="n">
        <v>9</v>
      </c>
      <c r="K1795" s="16" t="n">
        <f aca="false">H1795*I1795</f>
        <v>220.68</v>
      </c>
      <c r="L1795" s="16" t="n">
        <f aca="false">H1795*J1795</f>
        <v>81</v>
      </c>
      <c r="M1795" s="16" t="n">
        <f aca="false">K1795-L1795</f>
        <v>139.68</v>
      </c>
      <c r="N1795" s="17" t="n">
        <f aca="false">IFERROR(M1795/K1795,0)</f>
        <v>0.632952691680261</v>
      </c>
    </row>
    <row r="1796" customFormat="false" ht="15" hidden="false" customHeight="false" outlineLevel="0" collapsed="false">
      <c r="A1796" s="15" t="n">
        <v>46097</v>
      </c>
      <c r="B1796" s="14" t="s">
        <v>59</v>
      </c>
      <c r="C1796" s="14" t="s">
        <v>60</v>
      </c>
      <c r="D1796" s="14" t="s">
        <v>61</v>
      </c>
      <c r="E1796" s="14" t="s">
        <v>45</v>
      </c>
      <c r="F1796" s="14" t="s">
        <v>48</v>
      </c>
      <c r="G1796" s="14" t="s">
        <v>49</v>
      </c>
      <c r="H1796" s="0" t="n">
        <v>1</v>
      </c>
      <c r="I1796" s="16" t="n">
        <v>67.42</v>
      </c>
      <c r="J1796" s="16" t="n">
        <v>27.5</v>
      </c>
      <c r="K1796" s="16" t="n">
        <f aca="false">H1796*I1796</f>
        <v>67.42</v>
      </c>
      <c r="L1796" s="16" t="n">
        <f aca="false">H1796*J1796</f>
        <v>27.5</v>
      </c>
      <c r="M1796" s="16" t="n">
        <f aca="false">K1796-L1796</f>
        <v>39.92</v>
      </c>
      <c r="N1796" s="17" t="n">
        <f aca="false">IFERROR(M1796/K1796,0)</f>
        <v>0.59210916641946</v>
      </c>
    </row>
    <row r="1797" customFormat="false" ht="15" hidden="false" customHeight="false" outlineLevel="0" collapsed="false">
      <c r="A1797" s="15" t="n">
        <v>46097</v>
      </c>
      <c r="B1797" s="14" t="s">
        <v>59</v>
      </c>
      <c r="C1797" s="14" t="s">
        <v>60</v>
      </c>
      <c r="D1797" s="14" t="s">
        <v>61</v>
      </c>
      <c r="E1797" s="14" t="s">
        <v>64</v>
      </c>
      <c r="F1797" s="14" t="s">
        <v>65</v>
      </c>
      <c r="G1797" s="14" t="s">
        <v>66</v>
      </c>
      <c r="H1797" s="0" t="n">
        <v>5</v>
      </c>
      <c r="I1797" s="16" t="n">
        <v>78.82</v>
      </c>
      <c r="J1797" s="16" t="n">
        <v>34</v>
      </c>
      <c r="K1797" s="16" t="n">
        <f aca="false">H1797*I1797</f>
        <v>394.1</v>
      </c>
      <c r="L1797" s="16" t="n">
        <f aca="false">H1797*J1797</f>
        <v>170</v>
      </c>
      <c r="M1797" s="16" t="n">
        <f aca="false">K1797-L1797</f>
        <v>224.1</v>
      </c>
      <c r="N1797" s="17" t="n">
        <f aca="false">IFERROR(M1797/K1797,0)</f>
        <v>0.568637401674702</v>
      </c>
    </row>
    <row r="1798" customFormat="false" ht="15" hidden="false" customHeight="false" outlineLevel="0" collapsed="false">
      <c r="A1798" s="15" t="n">
        <v>46097</v>
      </c>
      <c r="B1798" s="14" t="s">
        <v>59</v>
      </c>
      <c r="C1798" s="14" t="s">
        <v>60</v>
      </c>
      <c r="D1798" s="14" t="s">
        <v>61</v>
      </c>
      <c r="E1798" s="14" t="s">
        <v>64</v>
      </c>
      <c r="F1798" s="14" t="s">
        <v>94</v>
      </c>
      <c r="G1798" s="14" t="s">
        <v>95</v>
      </c>
      <c r="H1798" s="0" t="n">
        <v>6</v>
      </c>
      <c r="I1798" s="16" t="n">
        <v>92.48</v>
      </c>
      <c r="J1798" s="16" t="n">
        <v>42</v>
      </c>
      <c r="K1798" s="16" t="n">
        <f aca="false">H1798*I1798</f>
        <v>554.88</v>
      </c>
      <c r="L1798" s="16" t="n">
        <f aca="false">H1798*J1798</f>
        <v>252</v>
      </c>
      <c r="M1798" s="16" t="n">
        <f aca="false">K1798-L1798</f>
        <v>302.88</v>
      </c>
      <c r="N1798" s="17" t="n">
        <f aca="false">IFERROR(M1798/K1798,0)</f>
        <v>0.545847750865052</v>
      </c>
    </row>
    <row r="1799" customFormat="false" ht="15" hidden="false" customHeight="false" outlineLevel="0" collapsed="false">
      <c r="A1799" s="15" t="n">
        <v>46097</v>
      </c>
      <c r="B1799" s="14" t="s">
        <v>59</v>
      </c>
      <c r="C1799" s="14" t="s">
        <v>60</v>
      </c>
      <c r="D1799" s="14" t="s">
        <v>61</v>
      </c>
      <c r="E1799" s="14" t="s">
        <v>45</v>
      </c>
      <c r="F1799" s="14" t="s">
        <v>48</v>
      </c>
      <c r="G1799" s="14" t="s">
        <v>49</v>
      </c>
      <c r="H1799" s="0" t="n">
        <v>8</v>
      </c>
      <c r="I1799" s="16" t="n">
        <v>64.58</v>
      </c>
      <c r="J1799" s="16" t="n">
        <v>27.5</v>
      </c>
      <c r="K1799" s="16" t="n">
        <f aca="false">H1799*I1799</f>
        <v>516.64</v>
      </c>
      <c r="L1799" s="16" t="n">
        <f aca="false">H1799*J1799</f>
        <v>220</v>
      </c>
      <c r="M1799" s="16" t="n">
        <f aca="false">K1799-L1799</f>
        <v>296.64</v>
      </c>
      <c r="N1799" s="17" t="n">
        <f aca="false">IFERROR(M1799/K1799,0)</f>
        <v>0.574171570145556</v>
      </c>
    </row>
    <row r="1800" customFormat="false" ht="15" hidden="false" customHeight="false" outlineLevel="0" collapsed="false">
      <c r="A1800" s="15" t="n">
        <v>46097</v>
      </c>
      <c r="B1800" s="14" t="s">
        <v>59</v>
      </c>
      <c r="C1800" s="14" t="s">
        <v>60</v>
      </c>
      <c r="D1800" s="14" t="s">
        <v>61</v>
      </c>
      <c r="E1800" s="14" t="s">
        <v>53</v>
      </c>
      <c r="F1800" s="14" t="s">
        <v>84</v>
      </c>
      <c r="G1800" s="14" t="s">
        <v>85</v>
      </c>
      <c r="H1800" s="0" t="n">
        <v>1</v>
      </c>
      <c r="I1800" s="16" t="n">
        <v>23.44</v>
      </c>
      <c r="J1800" s="16" t="n">
        <v>9</v>
      </c>
      <c r="K1800" s="16" t="n">
        <f aca="false">H1800*I1800</f>
        <v>23.44</v>
      </c>
      <c r="L1800" s="16" t="n">
        <f aca="false">H1800*J1800</f>
        <v>9</v>
      </c>
      <c r="M1800" s="16" t="n">
        <f aca="false">K1800-L1800</f>
        <v>14.44</v>
      </c>
      <c r="N1800" s="17" t="n">
        <f aca="false">IFERROR(M1800/K1800,0)</f>
        <v>0.616040955631399</v>
      </c>
    </row>
    <row r="1801" customFormat="false" ht="15" hidden="false" customHeight="false" outlineLevel="0" collapsed="false">
      <c r="A1801" s="15" t="n">
        <v>46097</v>
      </c>
      <c r="B1801" s="14" t="s">
        <v>59</v>
      </c>
      <c r="C1801" s="14" t="s">
        <v>60</v>
      </c>
      <c r="D1801" s="14" t="s">
        <v>61</v>
      </c>
      <c r="E1801" s="14" t="s">
        <v>45</v>
      </c>
      <c r="F1801" s="14" t="s">
        <v>46</v>
      </c>
      <c r="G1801" s="14" t="s">
        <v>47</v>
      </c>
      <c r="H1801" s="0" t="n">
        <v>6</v>
      </c>
      <c r="I1801" s="16" t="n">
        <v>42.09</v>
      </c>
      <c r="J1801" s="16" t="n">
        <v>18</v>
      </c>
      <c r="K1801" s="16" t="n">
        <f aca="false">H1801*I1801</f>
        <v>252.54</v>
      </c>
      <c r="L1801" s="16" t="n">
        <f aca="false">H1801*J1801</f>
        <v>108</v>
      </c>
      <c r="M1801" s="16" t="n">
        <f aca="false">K1801-L1801</f>
        <v>144.54</v>
      </c>
      <c r="N1801" s="17" t="n">
        <f aca="false">IFERROR(M1801/K1801,0)</f>
        <v>0.572344975053457</v>
      </c>
    </row>
    <row r="1802" customFormat="false" ht="15" hidden="false" customHeight="false" outlineLevel="0" collapsed="false">
      <c r="A1802" s="15" t="n">
        <v>46097</v>
      </c>
      <c r="B1802" s="14" t="s">
        <v>69</v>
      </c>
      <c r="C1802" s="14" t="s">
        <v>70</v>
      </c>
      <c r="D1802" s="14" t="s">
        <v>71</v>
      </c>
      <c r="E1802" s="14" t="s">
        <v>76</v>
      </c>
      <c r="F1802" s="14" t="s">
        <v>77</v>
      </c>
      <c r="G1802" s="14" t="s">
        <v>78</v>
      </c>
      <c r="H1802" s="0" t="n">
        <v>3</v>
      </c>
      <c r="I1802" s="16" t="n">
        <v>41.93</v>
      </c>
      <c r="J1802" s="16" t="n">
        <v>15</v>
      </c>
      <c r="K1802" s="16" t="n">
        <f aca="false">H1802*I1802</f>
        <v>125.79</v>
      </c>
      <c r="L1802" s="16" t="n">
        <f aca="false">H1802*J1802</f>
        <v>45</v>
      </c>
      <c r="M1802" s="16" t="n">
        <f aca="false">K1802-L1802</f>
        <v>80.79</v>
      </c>
      <c r="N1802" s="17" t="n">
        <f aca="false">IFERROR(M1802/K1802,0)</f>
        <v>0.642260911042213</v>
      </c>
    </row>
    <row r="1803" customFormat="false" ht="15" hidden="false" customHeight="false" outlineLevel="0" collapsed="false">
      <c r="A1803" s="15" t="n">
        <v>46097</v>
      </c>
      <c r="B1803" s="14" t="s">
        <v>69</v>
      </c>
      <c r="C1803" s="14" t="s">
        <v>70</v>
      </c>
      <c r="D1803" s="14" t="s">
        <v>71</v>
      </c>
      <c r="E1803" s="14" t="s">
        <v>76</v>
      </c>
      <c r="F1803" s="14" t="s">
        <v>79</v>
      </c>
      <c r="G1803" s="14" t="s">
        <v>80</v>
      </c>
      <c r="H1803" s="0" t="n">
        <v>4</v>
      </c>
      <c r="I1803" s="16" t="n">
        <v>28.78</v>
      </c>
      <c r="J1803" s="16" t="n">
        <v>11</v>
      </c>
      <c r="K1803" s="16" t="n">
        <f aca="false">H1803*I1803</f>
        <v>115.12</v>
      </c>
      <c r="L1803" s="16" t="n">
        <f aca="false">H1803*J1803</f>
        <v>44</v>
      </c>
      <c r="M1803" s="16" t="n">
        <f aca="false">K1803-L1803</f>
        <v>71.12</v>
      </c>
      <c r="N1803" s="17" t="n">
        <f aca="false">IFERROR(M1803/K1803,0)</f>
        <v>0.617790132036136</v>
      </c>
    </row>
    <row r="1804" customFormat="false" ht="15" hidden="false" customHeight="false" outlineLevel="0" collapsed="false">
      <c r="A1804" s="15" t="n">
        <v>46097</v>
      </c>
      <c r="B1804" s="14" t="s">
        <v>69</v>
      </c>
      <c r="C1804" s="14" t="s">
        <v>70</v>
      </c>
      <c r="D1804" s="14" t="s">
        <v>71</v>
      </c>
      <c r="E1804" s="14" t="s">
        <v>56</v>
      </c>
      <c r="F1804" s="14" t="s">
        <v>86</v>
      </c>
      <c r="G1804" s="14" t="s">
        <v>87</v>
      </c>
      <c r="H1804" s="0" t="n">
        <v>1</v>
      </c>
      <c r="I1804" s="16" t="n">
        <v>14.04</v>
      </c>
      <c r="J1804" s="16" t="n">
        <v>5</v>
      </c>
      <c r="K1804" s="16" t="n">
        <f aca="false">H1804*I1804</f>
        <v>14.04</v>
      </c>
      <c r="L1804" s="16" t="n">
        <f aca="false">H1804*J1804</f>
        <v>5</v>
      </c>
      <c r="M1804" s="16" t="n">
        <f aca="false">K1804-L1804</f>
        <v>9.04</v>
      </c>
      <c r="N1804" s="17" t="n">
        <f aca="false">IFERROR(M1804/K1804,0)</f>
        <v>0.643874643874644</v>
      </c>
    </row>
    <row r="1805" customFormat="false" ht="15" hidden="false" customHeight="false" outlineLevel="0" collapsed="false">
      <c r="A1805" s="15" t="n">
        <v>46097</v>
      </c>
      <c r="B1805" s="14" t="s">
        <v>69</v>
      </c>
      <c r="C1805" s="14" t="s">
        <v>70</v>
      </c>
      <c r="D1805" s="14" t="s">
        <v>71</v>
      </c>
      <c r="E1805" s="14" t="s">
        <v>64</v>
      </c>
      <c r="F1805" s="14" t="s">
        <v>65</v>
      </c>
      <c r="G1805" s="14" t="s">
        <v>66</v>
      </c>
      <c r="H1805" s="0" t="n">
        <v>4</v>
      </c>
      <c r="I1805" s="16" t="n">
        <v>76.28</v>
      </c>
      <c r="J1805" s="16" t="n">
        <v>34</v>
      </c>
      <c r="K1805" s="16" t="n">
        <f aca="false">H1805*I1805</f>
        <v>305.12</v>
      </c>
      <c r="L1805" s="16" t="n">
        <f aca="false">H1805*J1805</f>
        <v>136</v>
      </c>
      <c r="M1805" s="16" t="n">
        <f aca="false">K1805-L1805</f>
        <v>169.12</v>
      </c>
      <c r="N1805" s="17" t="n">
        <f aca="false">IFERROR(M1805/K1805,0)</f>
        <v>0.554273728369166</v>
      </c>
    </row>
    <row r="1806" customFormat="false" ht="15" hidden="false" customHeight="false" outlineLevel="0" collapsed="false">
      <c r="A1806" s="15" t="n">
        <v>46097</v>
      </c>
      <c r="B1806" s="14" t="s">
        <v>69</v>
      </c>
      <c r="C1806" s="14" t="s">
        <v>70</v>
      </c>
      <c r="D1806" s="14" t="s">
        <v>71</v>
      </c>
      <c r="E1806" s="14" t="s">
        <v>64</v>
      </c>
      <c r="F1806" s="14" t="s">
        <v>96</v>
      </c>
      <c r="G1806" s="14" t="s">
        <v>97</v>
      </c>
      <c r="H1806" s="0" t="n">
        <v>3</v>
      </c>
      <c r="I1806" s="16" t="n">
        <v>57.39</v>
      </c>
      <c r="J1806" s="16" t="n">
        <v>24</v>
      </c>
      <c r="K1806" s="16" t="n">
        <f aca="false">H1806*I1806</f>
        <v>172.17</v>
      </c>
      <c r="L1806" s="16" t="n">
        <f aca="false">H1806*J1806</f>
        <v>72</v>
      </c>
      <c r="M1806" s="16" t="n">
        <f aca="false">K1806-L1806</f>
        <v>100.17</v>
      </c>
      <c r="N1806" s="17" t="n">
        <f aca="false">IFERROR(M1806/K1806,0)</f>
        <v>0.581808677469943</v>
      </c>
    </row>
    <row r="1807" customFormat="false" ht="15" hidden="false" customHeight="false" outlineLevel="0" collapsed="false">
      <c r="A1807" s="15" t="n">
        <v>46097</v>
      </c>
      <c r="B1807" s="14" t="s">
        <v>69</v>
      </c>
      <c r="C1807" s="14" t="s">
        <v>70</v>
      </c>
      <c r="D1807" s="14" t="s">
        <v>71</v>
      </c>
      <c r="E1807" s="14" t="s">
        <v>56</v>
      </c>
      <c r="F1807" s="14" t="s">
        <v>86</v>
      </c>
      <c r="G1807" s="14" t="s">
        <v>87</v>
      </c>
      <c r="H1807" s="0" t="n">
        <v>2</v>
      </c>
      <c r="I1807" s="16" t="n">
        <v>14.51</v>
      </c>
      <c r="J1807" s="16" t="n">
        <v>5</v>
      </c>
      <c r="K1807" s="16" t="n">
        <f aca="false">H1807*I1807</f>
        <v>29.02</v>
      </c>
      <c r="L1807" s="16" t="n">
        <f aca="false">H1807*J1807</f>
        <v>10</v>
      </c>
      <c r="M1807" s="16" t="n">
        <f aca="false">K1807-L1807</f>
        <v>19.02</v>
      </c>
      <c r="N1807" s="17" t="n">
        <f aca="false">IFERROR(M1807/K1807,0)</f>
        <v>0.655410062026189</v>
      </c>
    </row>
    <row r="1808" customFormat="false" ht="15" hidden="false" customHeight="false" outlineLevel="0" collapsed="false">
      <c r="A1808" s="15" t="n">
        <v>46097</v>
      </c>
      <c r="B1808" s="14" t="s">
        <v>81</v>
      </c>
      <c r="C1808" s="14" t="s">
        <v>82</v>
      </c>
      <c r="D1808" s="14" t="s">
        <v>83</v>
      </c>
      <c r="E1808" s="14" t="s">
        <v>53</v>
      </c>
      <c r="F1808" s="14" t="s">
        <v>92</v>
      </c>
      <c r="G1808" s="14" t="s">
        <v>93</v>
      </c>
      <c r="H1808" s="0" t="n">
        <v>3</v>
      </c>
      <c r="I1808" s="16" t="n">
        <v>118.86</v>
      </c>
      <c r="J1808" s="16" t="n">
        <v>52</v>
      </c>
      <c r="K1808" s="16" t="n">
        <f aca="false">H1808*I1808</f>
        <v>356.58</v>
      </c>
      <c r="L1808" s="16" t="n">
        <f aca="false">H1808*J1808</f>
        <v>156</v>
      </c>
      <c r="M1808" s="16" t="n">
        <f aca="false">K1808-L1808</f>
        <v>200.58</v>
      </c>
      <c r="N1808" s="17" t="n">
        <f aca="false">IFERROR(M1808/K1808,0)</f>
        <v>0.562510516574121</v>
      </c>
    </row>
    <row r="1809" customFormat="false" ht="15" hidden="false" customHeight="false" outlineLevel="0" collapsed="false">
      <c r="A1809" s="15" t="n">
        <v>46097</v>
      </c>
      <c r="B1809" s="14" t="s">
        <v>81</v>
      </c>
      <c r="C1809" s="14" t="s">
        <v>82</v>
      </c>
      <c r="D1809" s="14" t="s">
        <v>83</v>
      </c>
      <c r="E1809" s="14" t="s">
        <v>76</v>
      </c>
      <c r="F1809" s="14" t="s">
        <v>77</v>
      </c>
      <c r="G1809" s="14" t="s">
        <v>78</v>
      </c>
      <c r="H1809" s="0" t="n">
        <v>1</v>
      </c>
      <c r="I1809" s="16" t="n">
        <v>41.97</v>
      </c>
      <c r="J1809" s="16" t="n">
        <v>15</v>
      </c>
      <c r="K1809" s="16" t="n">
        <f aca="false">H1809*I1809</f>
        <v>41.97</v>
      </c>
      <c r="L1809" s="16" t="n">
        <f aca="false">H1809*J1809</f>
        <v>15</v>
      </c>
      <c r="M1809" s="16" t="n">
        <f aca="false">K1809-L1809</f>
        <v>26.97</v>
      </c>
      <c r="N1809" s="17" t="n">
        <f aca="false">IFERROR(M1809/K1809,0)</f>
        <v>0.642601858470336</v>
      </c>
    </row>
    <row r="1810" customFormat="false" ht="15" hidden="false" customHeight="false" outlineLevel="0" collapsed="false">
      <c r="A1810" s="15" t="n">
        <v>46097</v>
      </c>
      <c r="B1810" s="14" t="s">
        <v>88</v>
      </c>
      <c r="C1810" s="14" t="s">
        <v>89</v>
      </c>
      <c r="D1810" s="14" t="s">
        <v>44</v>
      </c>
      <c r="E1810" s="14" t="s">
        <v>56</v>
      </c>
      <c r="F1810" s="14" t="s">
        <v>67</v>
      </c>
      <c r="G1810" s="14" t="s">
        <v>68</v>
      </c>
      <c r="H1810" s="0" t="n">
        <v>9</v>
      </c>
      <c r="I1810" s="16" t="n">
        <v>34.97</v>
      </c>
      <c r="J1810" s="16" t="n">
        <v>15</v>
      </c>
      <c r="K1810" s="16" t="n">
        <f aca="false">H1810*I1810</f>
        <v>314.73</v>
      </c>
      <c r="L1810" s="16" t="n">
        <f aca="false">H1810*J1810</f>
        <v>135</v>
      </c>
      <c r="M1810" s="16" t="n">
        <f aca="false">K1810-L1810</f>
        <v>179.73</v>
      </c>
      <c r="N1810" s="17" t="n">
        <f aca="false">IFERROR(M1810/K1810,0)</f>
        <v>0.571060909350872</v>
      </c>
    </row>
    <row r="1811" customFormat="false" ht="15" hidden="false" customHeight="false" outlineLevel="0" collapsed="false">
      <c r="A1811" s="15" t="n">
        <v>46097</v>
      </c>
      <c r="B1811" s="14" t="s">
        <v>88</v>
      </c>
      <c r="C1811" s="14" t="s">
        <v>89</v>
      </c>
      <c r="D1811" s="14" t="s">
        <v>44</v>
      </c>
      <c r="E1811" s="14" t="s">
        <v>64</v>
      </c>
      <c r="F1811" s="14" t="s">
        <v>65</v>
      </c>
      <c r="G1811" s="14" t="s">
        <v>66</v>
      </c>
      <c r="H1811" s="0" t="n">
        <v>6</v>
      </c>
      <c r="I1811" s="16" t="n">
        <v>75.41</v>
      </c>
      <c r="J1811" s="16" t="n">
        <v>34</v>
      </c>
      <c r="K1811" s="16" t="n">
        <f aca="false">H1811*I1811</f>
        <v>452.46</v>
      </c>
      <c r="L1811" s="16" t="n">
        <f aca="false">H1811*J1811</f>
        <v>204</v>
      </c>
      <c r="M1811" s="16" t="n">
        <f aca="false">K1811-L1811</f>
        <v>248.46</v>
      </c>
      <c r="N1811" s="17" t="n">
        <f aca="false">IFERROR(M1811/K1811,0)</f>
        <v>0.549131414931707</v>
      </c>
    </row>
    <row r="1812" customFormat="false" ht="15" hidden="false" customHeight="false" outlineLevel="0" collapsed="false">
      <c r="A1812" s="15" t="n">
        <v>46097</v>
      </c>
      <c r="B1812" s="14" t="s">
        <v>88</v>
      </c>
      <c r="C1812" s="14" t="s">
        <v>89</v>
      </c>
      <c r="D1812" s="14" t="s">
        <v>44</v>
      </c>
      <c r="E1812" s="14" t="s">
        <v>64</v>
      </c>
      <c r="F1812" s="14" t="s">
        <v>94</v>
      </c>
      <c r="G1812" s="14" t="s">
        <v>95</v>
      </c>
      <c r="H1812" s="0" t="n">
        <v>2</v>
      </c>
      <c r="I1812" s="16" t="n">
        <v>96.47</v>
      </c>
      <c r="J1812" s="16" t="n">
        <v>42</v>
      </c>
      <c r="K1812" s="16" t="n">
        <f aca="false">H1812*I1812</f>
        <v>192.94</v>
      </c>
      <c r="L1812" s="16" t="n">
        <f aca="false">H1812*J1812</f>
        <v>84</v>
      </c>
      <c r="M1812" s="16" t="n">
        <f aca="false">K1812-L1812</f>
        <v>108.94</v>
      </c>
      <c r="N1812" s="17" t="n">
        <f aca="false">IFERROR(M1812/K1812,0)</f>
        <v>0.564631491655437</v>
      </c>
    </row>
    <row r="1813" customFormat="false" ht="15" hidden="false" customHeight="false" outlineLevel="0" collapsed="false">
      <c r="A1813" s="15" t="n">
        <v>46097</v>
      </c>
      <c r="B1813" s="14" t="s">
        <v>88</v>
      </c>
      <c r="C1813" s="14" t="s">
        <v>89</v>
      </c>
      <c r="D1813" s="14" t="s">
        <v>44</v>
      </c>
      <c r="E1813" s="14" t="s">
        <v>64</v>
      </c>
      <c r="F1813" s="14" t="s">
        <v>90</v>
      </c>
      <c r="G1813" s="14" t="s">
        <v>91</v>
      </c>
      <c r="H1813" s="0" t="n">
        <v>6</v>
      </c>
      <c r="I1813" s="16" t="n">
        <v>11.54</v>
      </c>
      <c r="J1813" s="16" t="n">
        <v>3.5</v>
      </c>
      <c r="K1813" s="16" t="n">
        <f aca="false">H1813*I1813</f>
        <v>69.24</v>
      </c>
      <c r="L1813" s="16" t="n">
        <f aca="false">H1813*J1813</f>
        <v>21</v>
      </c>
      <c r="M1813" s="16" t="n">
        <f aca="false">K1813-L1813</f>
        <v>48.24</v>
      </c>
      <c r="N1813" s="17" t="n">
        <f aca="false">IFERROR(M1813/K1813,0)</f>
        <v>0.696707105719237</v>
      </c>
    </row>
    <row r="1814" customFormat="false" ht="15" hidden="false" customHeight="false" outlineLevel="0" collapsed="false">
      <c r="A1814" s="15" t="n">
        <v>46097</v>
      </c>
      <c r="B1814" s="14" t="s">
        <v>88</v>
      </c>
      <c r="C1814" s="14" t="s">
        <v>89</v>
      </c>
      <c r="D1814" s="14" t="s">
        <v>44</v>
      </c>
      <c r="E1814" s="14" t="s">
        <v>45</v>
      </c>
      <c r="F1814" s="14" t="s">
        <v>62</v>
      </c>
      <c r="G1814" s="14" t="s">
        <v>63</v>
      </c>
      <c r="H1814" s="0" t="n">
        <v>1</v>
      </c>
      <c r="I1814" s="16" t="n">
        <v>16.96</v>
      </c>
      <c r="J1814" s="16" t="n">
        <v>6.5</v>
      </c>
      <c r="K1814" s="16" t="n">
        <f aca="false">H1814*I1814</f>
        <v>16.96</v>
      </c>
      <c r="L1814" s="16" t="n">
        <f aca="false">H1814*J1814</f>
        <v>6.5</v>
      </c>
      <c r="M1814" s="16" t="n">
        <f aca="false">K1814-L1814</f>
        <v>10.46</v>
      </c>
      <c r="N1814" s="17" t="n">
        <f aca="false">IFERROR(M1814/K1814,0)</f>
        <v>0.616745283018868</v>
      </c>
    </row>
    <row r="1815" customFormat="false" ht="15" hidden="false" customHeight="false" outlineLevel="0" collapsed="false">
      <c r="A1815" s="15" t="n">
        <v>46097</v>
      </c>
      <c r="B1815" s="14" t="s">
        <v>88</v>
      </c>
      <c r="C1815" s="14" t="s">
        <v>89</v>
      </c>
      <c r="D1815" s="14" t="s">
        <v>44</v>
      </c>
      <c r="E1815" s="14" t="s">
        <v>64</v>
      </c>
      <c r="F1815" s="14" t="s">
        <v>90</v>
      </c>
      <c r="G1815" s="14" t="s">
        <v>91</v>
      </c>
      <c r="H1815" s="0" t="n">
        <v>6</v>
      </c>
      <c r="I1815" s="16" t="n">
        <v>11.04</v>
      </c>
      <c r="J1815" s="16" t="n">
        <v>3.5</v>
      </c>
      <c r="K1815" s="16" t="n">
        <f aca="false">H1815*I1815</f>
        <v>66.24</v>
      </c>
      <c r="L1815" s="16" t="n">
        <f aca="false">H1815*J1815</f>
        <v>21</v>
      </c>
      <c r="M1815" s="16" t="n">
        <f aca="false">K1815-L1815</f>
        <v>45.24</v>
      </c>
      <c r="N1815" s="17" t="n">
        <f aca="false">IFERROR(M1815/K1815,0)</f>
        <v>0.682971014492754</v>
      </c>
    </row>
    <row r="1816" customFormat="false" ht="15" hidden="false" customHeight="false" outlineLevel="0" collapsed="false">
      <c r="A1816" s="15" t="n">
        <v>46098</v>
      </c>
      <c r="B1816" s="14" t="s">
        <v>42</v>
      </c>
      <c r="C1816" s="14" t="s">
        <v>43</v>
      </c>
      <c r="D1816" s="14" t="s">
        <v>44</v>
      </c>
      <c r="E1816" s="14" t="s">
        <v>76</v>
      </c>
      <c r="F1816" s="14" t="s">
        <v>79</v>
      </c>
      <c r="G1816" s="14" t="s">
        <v>80</v>
      </c>
      <c r="H1816" s="0" t="n">
        <v>1</v>
      </c>
      <c r="I1816" s="16" t="n">
        <v>29.98</v>
      </c>
      <c r="J1816" s="16" t="n">
        <v>11</v>
      </c>
      <c r="K1816" s="16" t="n">
        <f aca="false">H1816*I1816</f>
        <v>29.98</v>
      </c>
      <c r="L1816" s="16" t="n">
        <f aca="false">H1816*J1816</f>
        <v>11</v>
      </c>
      <c r="M1816" s="16" t="n">
        <f aca="false">K1816-L1816</f>
        <v>18.98</v>
      </c>
      <c r="N1816" s="17" t="n">
        <f aca="false">IFERROR(M1816/K1816,0)</f>
        <v>0.633088725817211</v>
      </c>
    </row>
    <row r="1817" customFormat="false" ht="15" hidden="false" customHeight="false" outlineLevel="0" collapsed="false">
      <c r="A1817" s="15" t="n">
        <v>46098</v>
      </c>
      <c r="B1817" s="14" t="s">
        <v>42</v>
      </c>
      <c r="C1817" s="14" t="s">
        <v>43</v>
      </c>
      <c r="D1817" s="14" t="s">
        <v>44</v>
      </c>
      <c r="E1817" s="14" t="s">
        <v>53</v>
      </c>
      <c r="F1817" s="14" t="s">
        <v>84</v>
      </c>
      <c r="G1817" s="14" t="s">
        <v>85</v>
      </c>
      <c r="H1817" s="0" t="n">
        <v>3</v>
      </c>
      <c r="I1817" s="16" t="n">
        <v>24.83</v>
      </c>
      <c r="J1817" s="16" t="n">
        <v>9</v>
      </c>
      <c r="K1817" s="16" t="n">
        <f aca="false">H1817*I1817</f>
        <v>74.49</v>
      </c>
      <c r="L1817" s="16" t="n">
        <f aca="false">H1817*J1817</f>
        <v>27</v>
      </c>
      <c r="M1817" s="16" t="n">
        <f aca="false">K1817-L1817</f>
        <v>47.49</v>
      </c>
      <c r="N1817" s="17" t="n">
        <f aca="false">IFERROR(M1817/K1817,0)</f>
        <v>0.63753523962948</v>
      </c>
    </row>
    <row r="1818" customFormat="false" ht="15" hidden="false" customHeight="false" outlineLevel="0" collapsed="false">
      <c r="A1818" s="15" t="n">
        <v>46098</v>
      </c>
      <c r="B1818" s="14" t="s">
        <v>42</v>
      </c>
      <c r="C1818" s="14" t="s">
        <v>43</v>
      </c>
      <c r="D1818" s="14" t="s">
        <v>44</v>
      </c>
      <c r="E1818" s="14" t="s">
        <v>53</v>
      </c>
      <c r="F1818" s="14" t="s">
        <v>54</v>
      </c>
      <c r="G1818" s="14" t="s">
        <v>55</v>
      </c>
      <c r="H1818" s="0" t="n">
        <v>8</v>
      </c>
      <c r="I1818" s="16" t="n">
        <v>51.97</v>
      </c>
      <c r="J1818" s="16" t="n">
        <v>22</v>
      </c>
      <c r="K1818" s="16" t="n">
        <f aca="false">H1818*I1818</f>
        <v>415.76</v>
      </c>
      <c r="L1818" s="16" t="n">
        <f aca="false">H1818*J1818</f>
        <v>176</v>
      </c>
      <c r="M1818" s="16" t="n">
        <f aca="false">K1818-L1818</f>
        <v>239.76</v>
      </c>
      <c r="N1818" s="17" t="n">
        <f aca="false">IFERROR(M1818/K1818,0)</f>
        <v>0.57667885318453</v>
      </c>
    </row>
    <row r="1819" customFormat="false" ht="15" hidden="false" customHeight="false" outlineLevel="0" collapsed="false">
      <c r="A1819" s="15" t="n">
        <v>46098</v>
      </c>
      <c r="B1819" s="14" t="s">
        <v>50</v>
      </c>
      <c r="C1819" s="14" t="s">
        <v>51</v>
      </c>
      <c r="D1819" s="14" t="s">
        <v>52</v>
      </c>
      <c r="E1819" s="14" t="s">
        <v>45</v>
      </c>
      <c r="F1819" s="14" t="s">
        <v>72</v>
      </c>
      <c r="G1819" s="14" t="s">
        <v>73</v>
      </c>
      <c r="H1819" s="0" t="n">
        <v>9</v>
      </c>
      <c r="I1819" s="16" t="n">
        <v>51.2</v>
      </c>
      <c r="J1819" s="16" t="n">
        <v>21</v>
      </c>
      <c r="K1819" s="16" t="n">
        <f aca="false">H1819*I1819</f>
        <v>460.8</v>
      </c>
      <c r="L1819" s="16" t="n">
        <f aca="false">H1819*J1819</f>
        <v>189</v>
      </c>
      <c r="M1819" s="16" t="n">
        <f aca="false">K1819-L1819</f>
        <v>271.8</v>
      </c>
      <c r="N1819" s="17" t="n">
        <f aca="false">IFERROR(M1819/K1819,0)</f>
        <v>0.58984375</v>
      </c>
    </row>
    <row r="1820" customFormat="false" ht="15" hidden="false" customHeight="false" outlineLevel="0" collapsed="false">
      <c r="A1820" s="15" t="n">
        <v>46098</v>
      </c>
      <c r="B1820" s="14" t="s">
        <v>50</v>
      </c>
      <c r="C1820" s="14" t="s">
        <v>51</v>
      </c>
      <c r="D1820" s="14" t="s">
        <v>52</v>
      </c>
      <c r="E1820" s="14" t="s">
        <v>56</v>
      </c>
      <c r="F1820" s="14" t="s">
        <v>67</v>
      </c>
      <c r="G1820" s="14" t="s">
        <v>68</v>
      </c>
      <c r="H1820" s="0" t="n">
        <v>6</v>
      </c>
      <c r="I1820" s="16" t="n">
        <v>35.71</v>
      </c>
      <c r="J1820" s="16" t="n">
        <v>15</v>
      </c>
      <c r="K1820" s="16" t="n">
        <f aca="false">H1820*I1820</f>
        <v>214.26</v>
      </c>
      <c r="L1820" s="16" t="n">
        <f aca="false">H1820*J1820</f>
        <v>90</v>
      </c>
      <c r="M1820" s="16" t="n">
        <f aca="false">K1820-L1820</f>
        <v>124.26</v>
      </c>
      <c r="N1820" s="17" t="n">
        <f aca="false">IFERROR(M1820/K1820,0)</f>
        <v>0.579949593951274</v>
      </c>
    </row>
    <row r="1821" customFormat="false" ht="15" hidden="false" customHeight="false" outlineLevel="0" collapsed="false">
      <c r="A1821" s="15" t="n">
        <v>46098</v>
      </c>
      <c r="B1821" s="14" t="s">
        <v>59</v>
      </c>
      <c r="C1821" s="14" t="s">
        <v>60</v>
      </c>
      <c r="D1821" s="14" t="s">
        <v>61</v>
      </c>
      <c r="E1821" s="14" t="s">
        <v>53</v>
      </c>
      <c r="F1821" s="14" t="s">
        <v>92</v>
      </c>
      <c r="G1821" s="14" t="s">
        <v>93</v>
      </c>
      <c r="H1821" s="0" t="n">
        <v>1</v>
      </c>
      <c r="I1821" s="16" t="n">
        <v>118.29</v>
      </c>
      <c r="J1821" s="16" t="n">
        <v>52</v>
      </c>
      <c r="K1821" s="16" t="n">
        <f aca="false">H1821*I1821</f>
        <v>118.29</v>
      </c>
      <c r="L1821" s="16" t="n">
        <f aca="false">H1821*J1821</f>
        <v>52</v>
      </c>
      <c r="M1821" s="16" t="n">
        <f aca="false">K1821-L1821</f>
        <v>66.29</v>
      </c>
      <c r="N1821" s="17" t="n">
        <f aca="false">IFERROR(M1821/K1821,0)</f>
        <v>0.560402400879195</v>
      </c>
    </row>
    <row r="1822" customFormat="false" ht="15" hidden="false" customHeight="false" outlineLevel="0" collapsed="false">
      <c r="A1822" s="15" t="n">
        <v>46098</v>
      </c>
      <c r="B1822" s="14" t="s">
        <v>59</v>
      </c>
      <c r="C1822" s="14" t="s">
        <v>60</v>
      </c>
      <c r="D1822" s="14" t="s">
        <v>61</v>
      </c>
      <c r="E1822" s="14" t="s">
        <v>56</v>
      </c>
      <c r="F1822" s="14" t="s">
        <v>86</v>
      </c>
      <c r="G1822" s="14" t="s">
        <v>87</v>
      </c>
      <c r="H1822" s="0" t="n">
        <v>2</v>
      </c>
      <c r="I1822" s="16" t="n">
        <v>14.73</v>
      </c>
      <c r="J1822" s="16" t="n">
        <v>5</v>
      </c>
      <c r="K1822" s="16" t="n">
        <f aca="false">H1822*I1822</f>
        <v>29.46</v>
      </c>
      <c r="L1822" s="16" t="n">
        <f aca="false">H1822*J1822</f>
        <v>10</v>
      </c>
      <c r="M1822" s="16" t="n">
        <f aca="false">K1822-L1822</f>
        <v>19.46</v>
      </c>
      <c r="N1822" s="17" t="n">
        <f aca="false">IFERROR(M1822/K1822,0)</f>
        <v>0.660556687033265</v>
      </c>
    </row>
    <row r="1823" customFormat="false" ht="15" hidden="false" customHeight="false" outlineLevel="0" collapsed="false">
      <c r="A1823" s="15" t="n">
        <v>46098</v>
      </c>
      <c r="B1823" s="14" t="s">
        <v>59</v>
      </c>
      <c r="C1823" s="14" t="s">
        <v>60</v>
      </c>
      <c r="D1823" s="14" t="s">
        <v>61</v>
      </c>
      <c r="E1823" s="14" t="s">
        <v>56</v>
      </c>
      <c r="F1823" s="14" t="s">
        <v>57</v>
      </c>
      <c r="G1823" s="14" t="s">
        <v>58</v>
      </c>
      <c r="H1823" s="0" t="n">
        <v>2</v>
      </c>
      <c r="I1823" s="16" t="n">
        <v>26.19</v>
      </c>
      <c r="J1823" s="16" t="n">
        <v>10</v>
      </c>
      <c r="K1823" s="16" t="n">
        <f aca="false">H1823*I1823</f>
        <v>52.38</v>
      </c>
      <c r="L1823" s="16" t="n">
        <f aca="false">H1823*J1823</f>
        <v>20</v>
      </c>
      <c r="M1823" s="16" t="n">
        <f aca="false">K1823-L1823</f>
        <v>32.38</v>
      </c>
      <c r="N1823" s="17" t="n">
        <f aca="false">IFERROR(M1823/K1823,0)</f>
        <v>0.618174875906835</v>
      </c>
    </row>
    <row r="1824" customFormat="false" ht="15" hidden="false" customHeight="false" outlineLevel="0" collapsed="false">
      <c r="A1824" s="15" t="n">
        <v>46098</v>
      </c>
      <c r="B1824" s="14" t="s">
        <v>59</v>
      </c>
      <c r="C1824" s="14" t="s">
        <v>60</v>
      </c>
      <c r="D1824" s="14" t="s">
        <v>61</v>
      </c>
      <c r="E1824" s="14" t="s">
        <v>56</v>
      </c>
      <c r="F1824" s="14" t="s">
        <v>98</v>
      </c>
      <c r="G1824" s="14" t="s">
        <v>99</v>
      </c>
      <c r="H1824" s="0" t="n">
        <v>2</v>
      </c>
      <c r="I1824" s="16" t="n">
        <v>21.96</v>
      </c>
      <c r="J1824" s="16" t="n">
        <v>8</v>
      </c>
      <c r="K1824" s="16" t="n">
        <f aca="false">H1824*I1824</f>
        <v>43.92</v>
      </c>
      <c r="L1824" s="16" t="n">
        <f aca="false">H1824*J1824</f>
        <v>16</v>
      </c>
      <c r="M1824" s="16" t="n">
        <f aca="false">K1824-L1824</f>
        <v>27.92</v>
      </c>
      <c r="N1824" s="17" t="n">
        <f aca="false">IFERROR(M1824/K1824,0)</f>
        <v>0.635701275045537</v>
      </c>
    </row>
    <row r="1825" customFormat="false" ht="15" hidden="false" customHeight="false" outlineLevel="0" collapsed="false">
      <c r="A1825" s="15" t="n">
        <v>46098</v>
      </c>
      <c r="B1825" s="14" t="s">
        <v>59</v>
      </c>
      <c r="C1825" s="14" t="s">
        <v>60</v>
      </c>
      <c r="D1825" s="14" t="s">
        <v>61</v>
      </c>
      <c r="E1825" s="14" t="s">
        <v>45</v>
      </c>
      <c r="F1825" s="14" t="s">
        <v>72</v>
      </c>
      <c r="G1825" s="14" t="s">
        <v>73</v>
      </c>
      <c r="H1825" s="0" t="n">
        <v>6</v>
      </c>
      <c r="I1825" s="16" t="n">
        <v>51.54</v>
      </c>
      <c r="J1825" s="16" t="n">
        <v>21</v>
      </c>
      <c r="K1825" s="16" t="n">
        <f aca="false">H1825*I1825</f>
        <v>309.24</v>
      </c>
      <c r="L1825" s="16" t="n">
        <f aca="false">H1825*J1825</f>
        <v>126</v>
      </c>
      <c r="M1825" s="16" t="n">
        <f aca="false">K1825-L1825</f>
        <v>183.24</v>
      </c>
      <c r="N1825" s="17" t="n">
        <f aca="false">IFERROR(M1825/K1825,0)</f>
        <v>0.592549476135041</v>
      </c>
    </row>
    <row r="1826" customFormat="false" ht="15" hidden="false" customHeight="false" outlineLevel="0" collapsed="false">
      <c r="A1826" s="15" t="n">
        <v>46098</v>
      </c>
      <c r="B1826" s="14" t="s">
        <v>69</v>
      </c>
      <c r="C1826" s="14" t="s">
        <v>70</v>
      </c>
      <c r="D1826" s="14" t="s">
        <v>71</v>
      </c>
      <c r="E1826" s="14" t="s">
        <v>53</v>
      </c>
      <c r="F1826" s="14" t="s">
        <v>74</v>
      </c>
      <c r="G1826" s="14" t="s">
        <v>75</v>
      </c>
      <c r="H1826" s="0" t="n">
        <v>7</v>
      </c>
      <c r="I1826" s="16" t="n">
        <v>82.27</v>
      </c>
      <c r="J1826" s="16" t="n">
        <v>38</v>
      </c>
      <c r="K1826" s="16" t="n">
        <f aca="false">H1826*I1826</f>
        <v>575.89</v>
      </c>
      <c r="L1826" s="16" t="n">
        <f aca="false">H1826*J1826</f>
        <v>266</v>
      </c>
      <c r="M1826" s="16" t="n">
        <f aca="false">K1826-L1826</f>
        <v>309.89</v>
      </c>
      <c r="N1826" s="17" t="n">
        <f aca="false">IFERROR(M1826/K1826,0)</f>
        <v>0.53810623556582</v>
      </c>
    </row>
    <row r="1827" customFormat="false" ht="15" hidden="false" customHeight="false" outlineLevel="0" collapsed="false">
      <c r="A1827" s="15" t="n">
        <v>46098</v>
      </c>
      <c r="B1827" s="14" t="s">
        <v>69</v>
      </c>
      <c r="C1827" s="14" t="s">
        <v>70</v>
      </c>
      <c r="D1827" s="14" t="s">
        <v>71</v>
      </c>
      <c r="E1827" s="14" t="s">
        <v>56</v>
      </c>
      <c r="F1827" s="14" t="s">
        <v>57</v>
      </c>
      <c r="G1827" s="14" t="s">
        <v>58</v>
      </c>
      <c r="H1827" s="0" t="n">
        <v>2</v>
      </c>
      <c r="I1827" s="16" t="n">
        <v>25.06</v>
      </c>
      <c r="J1827" s="16" t="n">
        <v>10</v>
      </c>
      <c r="K1827" s="16" t="n">
        <f aca="false">H1827*I1827</f>
        <v>50.12</v>
      </c>
      <c r="L1827" s="16" t="n">
        <f aca="false">H1827*J1827</f>
        <v>20</v>
      </c>
      <c r="M1827" s="16" t="n">
        <f aca="false">K1827-L1827</f>
        <v>30.12</v>
      </c>
      <c r="N1827" s="17" t="n">
        <f aca="false">IFERROR(M1827/K1827,0)</f>
        <v>0.600957701516361</v>
      </c>
    </row>
    <row r="1828" customFormat="false" ht="15" hidden="false" customHeight="false" outlineLevel="0" collapsed="false">
      <c r="A1828" s="15" t="n">
        <v>46098</v>
      </c>
      <c r="B1828" s="14" t="s">
        <v>81</v>
      </c>
      <c r="C1828" s="14" t="s">
        <v>82</v>
      </c>
      <c r="D1828" s="14" t="s">
        <v>83</v>
      </c>
      <c r="E1828" s="14" t="s">
        <v>56</v>
      </c>
      <c r="F1828" s="14" t="s">
        <v>98</v>
      </c>
      <c r="G1828" s="14" t="s">
        <v>99</v>
      </c>
      <c r="H1828" s="0" t="n">
        <v>4</v>
      </c>
      <c r="I1828" s="16" t="n">
        <v>21.74</v>
      </c>
      <c r="J1828" s="16" t="n">
        <v>8</v>
      </c>
      <c r="K1828" s="16" t="n">
        <f aca="false">H1828*I1828</f>
        <v>86.96</v>
      </c>
      <c r="L1828" s="16" t="n">
        <f aca="false">H1828*J1828</f>
        <v>32</v>
      </c>
      <c r="M1828" s="16" t="n">
        <f aca="false">K1828-L1828</f>
        <v>54.96</v>
      </c>
      <c r="N1828" s="17" t="n">
        <f aca="false">IFERROR(M1828/K1828,0)</f>
        <v>0.632014719411224</v>
      </c>
    </row>
    <row r="1829" customFormat="false" ht="15" hidden="false" customHeight="false" outlineLevel="0" collapsed="false">
      <c r="A1829" s="15" t="n">
        <v>46098</v>
      </c>
      <c r="B1829" s="14" t="s">
        <v>81</v>
      </c>
      <c r="C1829" s="14" t="s">
        <v>82</v>
      </c>
      <c r="D1829" s="14" t="s">
        <v>83</v>
      </c>
      <c r="E1829" s="14" t="s">
        <v>64</v>
      </c>
      <c r="F1829" s="14" t="s">
        <v>65</v>
      </c>
      <c r="G1829" s="14" t="s">
        <v>66</v>
      </c>
      <c r="H1829" s="0" t="n">
        <v>5</v>
      </c>
      <c r="I1829" s="16" t="n">
        <v>74.15</v>
      </c>
      <c r="J1829" s="16" t="n">
        <v>34</v>
      </c>
      <c r="K1829" s="16" t="n">
        <f aca="false">H1829*I1829</f>
        <v>370.75</v>
      </c>
      <c r="L1829" s="16" t="n">
        <f aca="false">H1829*J1829</f>
        <v>170</v>
      </c>
      <c r="M1829" s="16" t="n">
        <f aca="false">K1829-L1829</f>
        <v>200.75</v>
      </c>
      <c r="N1829" s="17" t="n">
        <f aca="false">IFERROR(M1829/K1829,0)</f>
        <v>0.541469993256912</v>
      </c>
    </row>
    <row r="1830" customFormat="false" ht="15" hidden="false" customHeight="false" outlineLevel="0" collapsed="false">
      <c r="A1830" s="15" t="n">
        <v>46098</v>
      </c>
      <c r="B1830" s="14" t="s">
        <v>88</v>
      </c>
      <c r="C1830" s="14" t="s">
        <v>89</v>
      </c>
      <c r="D1830" s="14" t="s">
        <v>44</v>
      </c>
      <c r="E1830" s="14" t="s">
        <v>56</v>
      </c>
      <c r="F1830" s="14" t="s">
        <v>98</v>
      </c>
      <c r="G1830" s="14" t="s">
        <v>99</v>
      </c>
      <c r="H1830" s="0" t="n">
        <v>9</v>
      </c>
      <c r="I1830" s="16" t="n">
        <v>20.92</v>
      </c>
      <c r="J1830" s="16" t="n">
        <v>8</v>
      </c>
      <c r="K1830" s="16" t="n">
        <f aca="false">H1830*I1830</f>
        <v>188.28</v>
      </c>
      <c r="L1830" s="16" t="n">
        <f aca="false">H1830*J1830</f>
        <v>72</v>
      </c>
      <c r="M1830" s="16" t="n">
        <f aca="false">K1830-L1830</f>
        <v>116.28</v>
      </c>
      <c r="N1830" s="17" t="n">
        <f aca="false">IFERROR(M1830/K1830,0)</f>
        <v>0.617590822179732</v>
      </c>
    </row>
    <row r="1831" customFormat="false" ht="15" hidden="false" customHeight="false" outlineLevel="0" collapsed="false">
      <c r="A1831" s="15" t="n">
        <v>46098</v>
      </c>
      <c r="B1831" s="14" t="s">
        <v>88</v>
      </c>
      <c r="C1831" s="14" t="s">
        <v>89</v>
      </c>
      <c r="D1831" s="14" t="s">
        <v>44</v>
      </c>
      <c r="E1831" s="14" t="s">
        <v>64</v>
      </c>
      <c r="F1831" s="14" t="s">
        <v>65</v>
      </c>
      <c r="G1831" s="14" t="s">
        <v>66</v>
      </c>
      <c r="H1831" s="0" t="n">
        <v>6</v>
      </c>
      <c r="I1831" s="16" t="n">
        <v>76.79</v>
      </c>
      <c r="J1831" s="16" t="n">
        <v>34</v>
      </c>
      <c r="K1831" s="16" t="n">
        <f aca="false">H1831*I1831</f>
        <v>460.74</v>
      </c>
      <c r="L1831" s="16" t="n">
        <f aca="false">H1831*J1831</f>
        <v>204</v>
      </c>
      <c r="M1831" s="16" t="n">
        <f aca="false">K1831-L1831</f>
        <v>256.74</v>
      </c>
      <c r="N1831" s="17" t="n">
        <f aca="false">IFERROR(M1831/K1831,0)</f>
        <v>0.557234014845683</v>
      </c>
    </row>
    <row r="1832" customFormat="false" ht="15" hidden="false" customHeight="false" outlineLevel="0" collapsed="false">
      <c r="A1832" s="15" t="n">
        <v>46098</v>
      </c>
      <c r="B1832" s="14" t="s">
        <v>88</v>
      </c>
      <c r="C1832" s="14" t="s">
        <v>89</v>
      </c>
      <c r="D1832" s="14" t="s">
        <v>44</v>
      </c>
      <c r="E1832" s="14" t="s">
        <v>45</v>
      </c>
      <c r="F1832" s="14" t="s">
        <v>72</v>
      </c>
      <c r="G1832" s="14" t="s">
        <v>73</v>
      </c>
      <c r="H1832" s="0" t="n">
        <v>7</v>
      </c>
      <c r="I1832" s="16" t="n">
        <v>50.29</v>
      </c>
      <c r="J1832" s="16" t="n">
        <v>21</v>
      </c>
      <c r="K1832" s="16" t="n">
        <f aca="false">H1832*I1832</f>
        <v>352.03</v>
      </c>
      <c r="L1832" s="16" t="n">
        <f aca="false">H1832*J1832</f>
        <v>147</v>
      </c>
      <c r="M1832" s="16" t="n">
        <f aca="false">K1832-L1832</f>
        <v>205.03</v>
      </c>
      <c r="N1832" s="17" t="n">
        <f aca="false">IFERROR(M1832/K1832,0)</f>
        <v>0.582421952674488</v>
      </c>
    </row>
    <row r="1833" customFormat="false" ht="15" hidden="false" customHeight="false" outlineLevel="0" collapsed="false">
      <c r="A1833" s="15" t="n">
        <v>46098</v>
      </c>
      <c r="B1833" s="14" t="s">
        <v>88</v>
      </c>
      <c r="C1833" s="14" t="s">
        <v>89</v>
      </c>
      <c r="D1833" s="14" t="s">
        <v>44</v>
      </c>
      <c r="E1833" s="14" t="s">
        <v>45</v>
      </c>
      <c r="F1833" s="14" t="s">
        <v>48</v>
      </c>
      <c r="G1833" s="14" t="s">
        <v>49</v>
      </c>
      <c r="H1833" s="0" t="n">
        <v>1</v>
      </c>
      <c r="I1833" s="16" t="n">
        <v>65.8</v>
      </c>
      <c r="J1833" s="16" t="n">
        <v>27.5</v>
      </c>
      <c r="K1833" s="16" t="n">
        <f aca="false">H1833*I1833</f>
        <v>65.8</v>
      </c>
      <c r="L1833" s="16" t="n">
        <f aca="false">H1833*J1833</f>
        <v>27.5</v>
      </c>
      <c r="M1833" s="16" t="n">
        <f aca="false">K1833-L1833</f>
        <v>38.3</v>
      </c>
      <c r="N1833" s="17" t="n">
        <f aca="false">IFERROR(M1833/K1833,0)</f>
        <v>0.582066869300912</v>
      </c>
    </row>
    <row r="1834" customFormat="false" ht="15" hidden="false" customHeight="false" outlineLevel="0" collapsed="false">
      <c r="A1834" s="15" t="n">
        <v>46098</v>
      </c>
      <c r="B1834" s="14" t="s">
        <v>88</v>
      </c>
      <c r="C1834" s="14" t="s">
        <v>89</v>
      </c>
      <c r="D1834" s="14" t="s">
        <v>44</v>
      </c>
      <c r="E1834" s="14" t="s">
        <v>45</v>
      </c>
      <c r="F1834" s="14" t="s">
        <v>62</v>
      </c>
      <c r="G1834" s="14" t="s">
        <v>63</v>
      </c>
      <c r="H1834" s="0" t="n">
        <v>3</v>
      </c>
      <c r="I1834" s="16" t="n">
        <v>17.48</v>
      </c>
      <c r="J1834" s="16" t="n">
        <v>6.5</v>
      </c>
      <c r="K1834" s="16" t="n">
        <f aca="false">H1834*I1834</f>
        <v>52.44</v>
      </c>
      <c r="L1834" s="16" t="n">
        <f aca="false">H1834*J1834</f>
        <v>19.5</v>
      </c>
      <c r="M1834" s="16" t="n">
        <f aca="false">K1834-L1834</f>
        <v>32.94</v>
      </c>
      <c r="N1834" s="17" t="n">
        <f aca="false">IFERROR(M1834/K1834,0)</f>
        <v>0.628146453089245</v>
      </c>
    </row>
    <row r="1835" customFormat="false" ht="15" hidden="false" customHeight="false" outlineLevel="0" collapsed="false">
      <c r="A1835" s="15" t="n">
        <v>46098</v>
      </c>
      <c r="B1835" s="14" t="s">
        <v>88</v>
      </c>
      <c r="C1835" s="14" t="s">
        <v>89</v>
      </c>
      <c r="D1835" s="14" t="s">
        <v>44</v>
      </c>
      <c r="E1835" s="14" t="s">
        <v>76</v>
      </c>
      <c r="F1835" s="14" t="s">
        <v>102</v>
      </c>
      <c r="G1835" s="14" t="s">
        <v>103</v>
      </c>
      <c r="H1835" s="0" t="n">
        <v>7</v>
      </c>
      <c r="I1835" s="16" t="n">
        <v>23</v>
      </c>
      <c r="J1835" s="16" t="n">
        <v>8.5</v>
      </c>
      <c r="K1835" s="16" t="n">
        <f aca="false">H1835*I1835</f>
        <v>161</v>
      </c>
      <c r="L1835" s="16" t="n">
        <f aca="false">H1835*J1835</f>
        <v>59.5</v>
      </c>
      <c r="M1835" s="16" t="n">
        <f aca="false">K1835-L1835</f>
        <v>101.5</v>
      </c>
      <c r="N1835" s="17" t="n">
        <f aca="false">IFERROR(M1835/K1835,0)</f>
        <v>0.630434782608696</v>
      </c>
    </row>
    <row r="1836" customFormat="false" ht="15" hidden="false" customHeight="false" outlineLevel="0" collapsed="false">
      <c r="A1836" s="15" t="n">
        <v>46099</v>
      </c>
      <c r="B1836" s="14" t="s">
        <v>42</v>
      </c>
      <c r="C1836" s="14" t="s">
        <v>43</v>
      </c>
      <c r="D1836" s="14" t="s">
        <v>44</v>
      </c>
      <c r="E1836" s="14" t="s">
        <v>64</v>
      </c>
      <c r="F1836" s="14" t="s">
        <v>96</v>
      </c>
      <c r="G1836" s="14" t="s">
        <v>97</v>
      </c>
      <c r="H1836" s="0" t="n">
        <v>5</v>
      </c>
      <c r="I1836" s="16" t="n">
        <v>54.93</v>
      </c>
      <c r="J1836" s="16" t="n">
        <v>24</v>
      </c>
      <c r="K1836" s="16" t="n">
        <f aca="false">H1836*I1836</f>
        <v>274.65</v>
      </c>
      <c r="L1836" s="16" t="n">
        <f aca="false">H1836*J1836</f>
        <v>120</v>
      </c>
      <c r="M1836" s="16" t="n">
        <f aca="false">K1836-L1836</f>
        <v>154.65</v>
      </c>
      <c r="N1836" s="17" t="n">
        <f aca="false">IFERROR(M1836/K1836,0)</f>
        <v>0.563080283997815</v>
      </c>
    </row>
    <row r="1837" customFormat="false" ht="15" hidden="false" customHeight="false" outlineLevel="0" collapsed="false">
      <c r="A1837" s="15" t="n">
        <v>46099</v>
      </c>
      <c r="B1837" s="14" t="s">
        <v>42</v>
      </c>
      <c r="C1837" s="14" t="s">
        <v>43</v>
      </c>
      <c r="D1837" s="14" t="s">
        <v>44</v>
      </c>
      <c r="E1837" s="14" t="s">
        <v>45</v>
      </c>
      <c r="F1837" s="14" t="s">
        <v>48</v>
      </c>
      <c r="G1837" s="14" t="s">
        <v>49</v>
      </c>
      <c r="H1837" s="0" t="n">
        <v>4</v>
      </c>
      <c r="I1837" s="16" t="n">
        <v>64.26</v>
      </c>
      <c r="J1837" s="16" t="n">
        <v>27.5</v>
      </c>
      <c r="K1837" s="16" t="n">
        <f aca="false">H1837*I1837</f>
        <v>257.04</v>
      </c>
      <c r="L1837" s="16" t="n">
        <f aca="false">H1837*J1837</f>
        <v>110</v>
      </c>
      <c r="M1837" s="16" t="n">
        <f aca="false">K1837-L1837</f>
        <v>147.04</v>
      </c>
      <c r="N1837" s="17" t="n">
        <f aca="false">IFERROR(M1837/K1837,0)</f>
        <v>0.572051042639278</v>
      </c>
    </row>
    <row r="1838" customFormat="false" ht="15" hidden="false" customHeight="false" outlineLevel="0" collapsed="false">
      <c r="A1838" s="15" t="n">
        <v>46099</v>
      </c>
      <c r="B1838" s="14" t="s">
        <v>42</v>
      </c>
      <c r="C1838" s="14" t="s">
        <v>43</v>
      </c>
      <c r="D1838" s="14" t="s">
        <v>44</v>
      </c>
      <c r="E1838" s="14" t="s">
        <v>64</v>
      </c>
      <c r="F1838" s="14" t="s">
        <v>94</v>
      </c>
      <c r="G1838" s="14" t="s">
        <v>95</v>
      </c>
      <c r="H1838" s="0" t="n">
        <v>6</v>
      </c>
      <c r="I1838" s="16" t="n">
        <v>95.7</v>
      </c>
      <c r="J1838" s="16" t="n">
        <v>42</v>
      </c>
      <c r="K1838" s="16" t="n">
        <f aca="false">H1838*I1838</f>
        <v>574.2</v>
      </c>
      <c r="L1838" s="16" t="n">
        <f aca="false">H1838*J1838</f>
        <v>252</v>
      </c>
      <c r="M1838" s="16" t="n">
        <f aca="false">K1838-L1838</f>
        <v>322.2</v>
      </c>
      <c r="N1838" s="17" t="n">
        <f aca="false">IFERROR(M1838/K1838,0)</f>
        <v>0.561128526645768</v>
      </c>
    </row>
    <row r="1839" customFormat="false" ht="15" hidden="false" customHeight="false" outlineLevel="0" collapsed="false">
      <c r="A1839" s="15" t="n">
        <v>46099</v>
      </c>
      <c r="B1839" s="14" t="s">
        <v>42</v>
      </c>
      <c r="C1839" s="14" t="s">
        <v>43</v>
      </c>
      <c r="D1839" s="14" t="s">
        <v>44</v>
      </c>
      <c r="E1839" s="14" t="s">
        <v>56</v>
      </c>
      <c r="F1839" s="14" t="s">
        <v>86</v>
      </c>
      <c r="G1839" s="14" t="s">
        <v>87</v>
      </c>
      <c r="H1839" s="0" t="n">
        <v>4</v>
      </c>
      <c r="I1839" s="16" t="n">
        <v>14.36</v>
      </c>
      <c r="J1839" s="16" t="n">
        <v>5</v>
      </c>
      <c r="K1839" s="16" t="n">
        <f aca="false">H1839*I1839</f>
        <v>57.44</v>
      </c>
      <c r="L1839" s="16" t="n">
        <f aca="false">H1839*J1839</f>
        <v>20</v>
      </c>
      <c r="M1839" s="16" t="n">
        <f aca="false">K1839-L1839</f>
        <v>37.44</v>
      </c>
      <c r="N1839" s="17" t="n">
        <f aca="false">IFERROR(M1839/K1839,0)</f>
        <v>0.651810584958217</v>
      </c>
    </row>
    <row r="1840" customFormat="false" ht="15" hidden="false" customHeight="false" outlineLevel="0" collapsed="false">
      <c r="A1840" s="15" t="n">
        <v>46099</v>
      </c>
      <c r="B1840" s="14" t="s">
        <v>42</v>
      </c>
      <c r="C1840" s="14" t="s">
        <v>43</v>
      </c>
      <c r="D1840" s="14" t="s">
        <v>44</v>
      </c>
      <c r="E1840" s="14" t="s">
        <v>56</v>
      </c>
      <c r="F1840" s="14" t="s">
        <v>67</v>
      </c>
      <c r="G1840" s="14" t="s">
        <v>68</v>
      </c>
      <c r="H1840" s="0" t="n">
        <v>7</v>
      </c>
      <c r="I1840" s="16" t="n">
        <v>36.08</v>
      </c>
      <c r="J1840" s="16" t="n">
        <v>15</v>
      </c>
      <c r="K1840" s="16" t="n">
        <f aca="false">H1840*I1840</f>
        <v>252.56</v>
      </c>
      <c r="L1840" s="16" t="n">
        <f aca="false">H1840*J1840</f>
        <v>105</v>
      </c>
      <c r="M1840" s="16" t="n">
        <f aca="false">K1840-L1840</f>
        <v>147.56</v>
      </c>
      <c r="N1840" s="17" t="n">
        <f aca="false">IFERROR(M1840/K1840,0)</f>
        <v>0.584257206208426</v>
      </c>
    </row>
    <row r="1841" customFormat="false" ht="15" hidden="false" customHeight="false" outlineLevel="0" collapsed="false">
      <c r="A1841" s="15" t="n">
        <v>46099</v>
      </c>
      <c r="B1841" s="14" t="s">
        <v>42</v>
      </c>
      <c r="C1841" s="14" t="s">
        <v>43</v>
      </c>
      <c r="D1841" s="14" t="s">
        <v>44</v>
      </c>
      <c r="E1841" s="14" t="s">
        <v>45</v>
      </c>
      <c r="F1841" s="14" t="s">
        <v>62</v>
      </c>
      <c r="G1841" s="14" t="s">
        <v>63</v>
      </c>
      <c r="H1841" s="0" t="n">
        <v>1</v>
      </c>
      <c r="I1841" s="16" t="n">
        <v>16.9</v>
      </c>
      <c r="J1841" s="16" t="n">
        <v>6.5</v>
      </c>
      <c r="K1841" s="16" t="n">
        <f aca="false">H1841*I1841</f>
        <v>16.9</v>
      </c>
      <c r="L1841" s="16" t="n">
        <f aca="false">H1841*J1841</f>
        <v>6.5</v>
      </c>
      <c r="M1841" s="16" t="n">
        <f aca="false">K1841-L1841</f>
        <v>10.4</v>
      </c>
      <c r="N1841" s="17" t="n">
        <f aca="false">IFERROR(M1841/K1841,0)</f>
        <v>0.615384615384615</v>
      </c>
    </row>
    <row r="1842" customFormat="false" ht="15" hidden="false" customHeight="false" outlineLevel="0" collapsed="false">
      <c r="A1842" s="15" t="n">
        <v>46099</v>
      </c>
      <c r="B1842" s="14" t="s">
        <v>50</v>
      </c>
      <c r="C1842" s="14" t="s">
        <v>51</v>
      </c>
      <c r="D1842" s="14" t="s">
        <v>52</v>
      </c>
      <c r="E1842" s="14" t="s">
        <v>45</v>
      </c>
      <c r="F1842" s="14" t="s">
        <v>72</v>
      </c>
      <c r="G1842" s="14" t="s">
        <v>73</v>
      </c>
      <c r="H1842" s="0" t="n">
        <v>8</v>
      </c>
      <c r="I1842" s="16" t="n">
        <v>48.65</v>
      </c>
      <c r="J1842" s="16" t="n">
        <v>21</v>
      </c>
      <c r="K1842" s="16" t="n">
        <f aca="false">H1842*I1842</f>
        <v>389.2</v>
      </c>
      <c r="L1842" s="16" t="n">
        <f aca="false">H1842*J1842</f>
        <v>168</v>
      </c>
      <c r="M1842" s="16" t="n">
        <f aca="false">K1842-L1842</f>
        <v>221.2</v>
      </c>
      <c r="N1842" s="17" t="n">
        <f aca="false">IFERROR(M1842/K1842,0)</f>
        <v>0.568345323741007</v>
      </c>
    </row>
    <row r="1843" customFormat="false" ht="15" hidden="false" customHeight="false" outlineLevel="0" collapsed="false">
      <c r="A1843" s="15" t="n">
        <v>46099</v>
      </c>
      <c r="B1843" s="14" t="s">
        <v>50</v>
      </c>
      <c r="C1843" s="14" t="s">
        <v>51</v>
      </c>
      <c r="D1843" s="14" t="s">
        <v>52</v>
      </c>
      <c r="E1843" s="14" t="s">
        <v>53</v>
      </c>
      <c r="F1843" s="14" t="s">
        <v>54</v>
      </c>
      <c r="G1843" s="14" t="s">
        <v>55</v>
      </c>
      <c r="H1843" s="0" t="n">
        <v>2</v>
      </c>
      <c r="I1843" s="16" t="n">
        <v>52.1</v>
      </c>
      <c r="J1843" s="16" t="n">
        <v>22</v>
      </c>
      <c r="K1843" s="16" t="n">
        <f aca="false">H1843*I1843</f>
        <v>104.2</v>
      </c>
      <c r="L1843" s="16" t="n">
        <f aca="false">H1843*J1843</f>
        <v>44</v>
      </c>
      <c r="M1843" s="16" t="n">
        <f aca="false">K1843-L1843</f>
        <v>60.2</v>
      </c>
      <c r="N1843" s="17" t="n">
        <f aca="false">IFERROR(M1843/K1843,0)</f>
        <v>0.577735124760077</v>
      </c>
    </row>
    <row r="1844" customFormat="false" ht="15" hidden="false" customHeight="false" outlineLevel="0" collapsed="false">
      <c r="A1844" s="15" t="n">
        <v>46099</v>
      </c>
      <c r="B1844" s="14" t="s">
        <v>50</v>
      </c>
      <c r="C1844" s="14" t="s">
        <v>51</v>
      </c>
      <c r="D1844" s="14" t="s">
        <v>52</v>
      </c>
      <c r="E1844" s="14" t="s">
        <v>64</v>
      </c>
      <c r="F1844" s="14" t="s">
        <v>90</v>
      </c>
      <c r="G1844" s="14" t="s">
        <v>91</v>
      </c>
      <c r="H1844" s="0" t="n">
        <v>6</v>
      </c>
      <c r="I1844" s="16" t="n">
        <v>11.86</v>
      </c>
      <c r="J1844" s="16" t="n">
        <v>3.5</v>
      </c>
      <c r="K1844" s="16" t="n">
        <f aca="false">H1844*I1844</f>
        <v>71.16</v>
      </c>
      <c r="L1844" s="16" t="n">
        <f aca="false">H1844*J1844</f>
        <v>21</v>
      </c>
      <c r="M1844" s="16" t="n">
        <f aca="false">K1844-L1844</f>
        <v>50.16</v>
      </c>
      <c r="N1844" s="17" t="n">
        <f aca="false">IFERROR(M1844/K1844,0)</f>
        <v>0.704890387858347</v>
      </c>
    </row>
    <row r="1845" customFormat="false" ht="15" hidden="false" customHeight="false" outlineLevel="0" collapsed="false">
      <c r="A1845" s="15" t="n">
        <v>46099</v>
      </c>
      <c r="B1845" s="14" t="s">
        <v>50</v>
      </c>
      <c r="C1845" s="14" t="s">
        <v>51</v>
      </c>
      <c r="D1845" s="14" t="s">
        <v>52</v>
      </c>
      <c r="E1845" s="14" t="s">
        <v>56</v>
      </c>
      <c r="F1845" s="14" t="s">
        <v>67</v>
      </c>
      <c r="G1845" s="14" t="s">
        <v>68</v>
      </c>
      <c r="H1845" s="0" t="n">
        <v>6</v>
      </c>
      <c r="I1845" s="16" t="n">
        <v>36.23</v>
      </c>
      <c r="J1845" s="16" t="n">
        <v>15</v>
      </c>
      <c r="K1845" s="16" t="n">
        <f aca="false">H1845*I1845</f>
        <v>217.38</v>
      </c>
      <c r="L1845" s="16" t="n">
        <f aca="false">H1845*J1845</f>
        <v>90</v>
      </c>
      <c r="M1845" s="16" t="n">
        <f aca="false">K1845-L1845</f>
        <v>127.38</v>
      </c>
      <c r="N1845" s="17" t="n">
        <f aca="false">IFERROR(M1845/K1845,0)</f>
        <v>0.585978470880486</v>
      </c>
    </row>
    <row r="1846" customFormat="false" ht="15" hidden="false" customHeight="false" outlineLevel="0" collapsed="false">
      <c r="A1846" s="15" t="n">
        <v>46099</v>
      </c>
      <c r="B1846" s="14" t="s">
        <v>50</v>
      </c>
      <c r="C1846" s="14" t="s">
        <v>51</v>
      </c>
      <c r="D1846" s="14" t="s">
        <v>52</v>
      </c>
      <c r="E1846" s="14" t="s">
        <v>53</v>
      </c>
      <c r="F1846" s="14" t="s">
        <v>74</v>
      </c>
      <c r="G1846" s="14" t="s">
        <v>75</v>
      </c>
      <c r="H1846" s="0" t="n">
        <v>9</v>
      </c>
      <c r="I1846" s="16" t="n">
        <v>88.12</v>
      </c>
      <c r="J1846" s="16" t="n">
        <v>38</v>
      </c>
      <c r="K1846" s="16" t="n">
        <f aca="false">H1846*I1846</f>
        <v>793.08</v>
      </c>
      <c r="L1846" s="16" t="n">
        <f aca="false">H1846*J1846</f>
        <v>342</v>
      </c>
      <c r="M1846" s="16" t="n">
        <f aca="false">K1846-L1846</f>
        <v>451.08</v>
      </c>
      <c r="N1846" s="17" t="n">
        <f aca="false">IFERROR(M1846/K1846,0)</f>
        <v>0.568769859282796</v>
      </c>
    </row>
    <row r="1847" customFormat="false" ht="15" hidden="false" customHeight="false" outlineLevel="0" collapsed="false">
      <c r="A1847" s="15" t="n">
        <v>46099</v>
      </c>
      <c r="B1847" s="14" t="s">
        <v>50</v>
      </c>
      <c r="C1847" s="14" t="s">
        <v>51</v>
      </c>
      <c r="D1847" s="14" t="s">
        <v>52</v>
      </c>
      <c r="E1847" s="14" t="s">
        <v>45</v>
      </c>
      <c r="F1847" s="14" t="s">
        <v>72</v>
      </c>
      <c r="G1847" s="14" t="s">
        <v>73</v>
      </c>
      <c r="H1847" s="0" t="n">
        <v>5</v>
      </c>
      <c r="I1847" s="16" t="n">
        <v>51.67</v>
      </c>
      <c r="J1847" s="16" t="n">
        <v>21</v>
      </c>
      <c r="K1847" s="16" t="n">
        <f aca="false">H1847*I1847</f>
        <v>258.35</v>
      </c>
      <c r="L1847" s="16" t="n">
        <f aca="false">H1847*J1847</f>
        <v>105</v>
      </c>
      <c r="M1847" s="16" t="n">
        <f aca="false">K1847-L1847</f>
        <v>153.35</v>
      </c>
      <c r="N1847" s="17" t="n">
        <f aca="false">IFERROR(M1847/K1847,0)</f>
        <v>0.593574608089801</v>
      </c>
    </row>
    <row r="1848" customFormat="false" ht="15" hidden="false" customHeight="false" outlineLevel="0" collapsed="false">
      <c r="A1848" s="15" t="n">
        <v>46099</v>
      </c>
      <c r="B1848" s="14" t="s">
        <v>59</v>
      </c>
      <c r="C1848" s="14" t="s">
        <v>60</v>
      </c>
      <c r="D1848" s="14" t="s">
        <v>61</v>
      </c>
      <c r="E1848" s="14" t="s">
        <v>53</v>
      </c>
      <c r="F1848" s="14" t="s">
        <v>84</v>
      </c>
      <c r="G1848" s="14" t="s">
        <v>85</v>
      </c>
      <c r="H1848" s="0" t="n">
        <v>4</v>
      </c>
      <c r="I1848" s="16" t="n">
        <v>23.48</v>
      </c>
      <c r="J1848" s="16" t="n">
        <v>9</v>
      </c>
      <c r="K1848" s="16" t="n">
        <f aca="false">H1848*I1848</f>
        <v>93.92</v>
      </c>
      <c r="L1848" s="16" t="n">
        <f aca="false">H1848*J1848</f>
        <v>36</v>
      </c>
      <c r="M1848" s="16" t="n">
        <f aca="false">K1848-L1848</f>
        <v>57.92</v>
      </c>
      <c r="N1848" s="17" t="n">
        <f aca="false">IFERROR(M1848/K1848,0)</f>
        <v>0.616695059625213</v>
      </c>
    </row>
    <row r="1849" customFormat="false" ht="15" hidden="false" customHeight="false" outlineLevel="0" collapsed="false">
      <c r="A1849" s="15" t="n">
        <v>46099</v>
      </c>
      <c r="B1849" s="14" t="s">
        <v>59</v>
      </c>
      <c r="C1849" s="14" t="s">
        <v>60</v>
      </c>
      <c r="D1849" s="14" t="s">
        <v>61</v>
      </c>
      <c r="E1849" s="14" t="s">
        <v>76</v>
      </c>
      <c r="F1849" s="14" t="s">
        <v>100</v>
      </c>
      <c r="G1849" s="14" t="s">
        <v>101</v>
      </c>
      <c r="H1849" s="0" t="n">
        <v>4</v>
      </c>
      <c r="I1849" s="16" t="n">
        <v>15.23</v>
      </c>
      <c r="J1849" s="16" t="n">
        <v>5.5</v>
      </c>
      <c r="K1849" s="16" t="n">
        <f aca="false">H1849*I1849</f>
        <v>60.92</v>
      </c>
      <c r="L1849" s="16" t="n">
        <f aca="false">H1849*J1849</f>
        <v>22</v>
      </c>
      <c r="M1849" s="16" t="n">
        <f aca="false">K1849-L1849</f>
        <v>38.92</v>
      </c>
      <c r="N1849" s="17" t="n">
        <f aca="false">IFERROR(M1849/K1849,0)</f>
        <v>0.63887065003283</v>
      </c>
    </row>
    <row r="1850" customFormat="false" ht="15" hidden="false" customHeight="false" outlineLevel="0" collapsed="false">
      <c r="A1850" s="15" t="n">
        <v>46099</v>
      </c>
      <c r="B1850" s="14" t="s">
        <v>59</v>
      </c>
      <c r="C1850" s="14" t="s">
        <v>60</v>
      </c>
      <c r="D1850" s="14" t="s">
        <v>61</v>
      </c>
      <c r="E1850" s="14" t="s">
        <v>45</v>
      </c>
      <c r="F1850" s="14" t="s">
        <v>46</v>
      </c>
      <c r="G1850" s="14" t="s">
        <v>47</v>
      </c>
      <c r="H1850" s="0" t="n">
        <v>1</v>
      </c>
      <c r="I1850" s="16" t="n">
        <v>41.67</v>
      </c>
      <c r="J1850" s="16" t="n">
        <v>18</v>
      </c>
      <c r="K1850" s="16" t="n">
        <f aca="false">H1850*I1850</f>
        <v>41.67</v>
      </c>
      <c r="L1850" s="16" t="n">
        <f aca="false">H1850*J1850</f>
        <v>18</v>
      </c>
      <c r="M1850" s="16" t="n">
        <f aca="false">K1850-L1850</f>
        <v>23.67</v>
      </c>
      <c r="N1850" s="17" t="n">
        <f aca="false">IFERROR(M1850/K1850,0)</f>
        <v>0.568034557235421</v>
      </c>
    </row>
    <row r="1851" customFormat="false" ht="15" hidden="false" customHeight="false" outlineLevel="0" collapsed="false">
      <c r="A1851" s="15" t="n">
        <v>46099</v>
      </c>
      <c r="B1851" s="14" t="s">
        <v>69</v>
      </c>
      <c r="C1851" s="14" t="s">
        <v>70</v>
      </c>
      <c r="D1851" s="14" t="s">
        <v>71</v>
      </c>
      <c r="E1851" s="14" t="s">
        <v>56</v>
      </c>
      <c r="F1851" s="14" t="s">
        <v>98</v>
      </c>
      <c r="G1851" s="14" t="s">
        <v>99</v>
      </c>
      <c r="H1851" s="0" t="n">
        <v>3</v>
      </c>
      <c r="I1851" s="16" t="n">
        <v>20.75</v>
      </c>
      <c r="J1851" s="16" t="n">
        <v>8</v>
      </c>
      <c r="K1851" s="16" t="n">
        <f aca="false">H1851*I1851</f>
        <v>62.25</v>
      </c>
      <c r="L1851" s="16" t="n">
        <f aca="false">H1851*J1851</f>
        <v>24</v>
      </c>
      <c r="M1851" s="16" t="n">
        <f aca="false">K1851-L1851</f>
        <v>38.25</v>
      </c>
      <c r="N1851" s="17" t="n">
        <f aca="false">IFERROR(M1851/K1851,0)</f>
        <v>0.614457831325301</v>
      </c>
    </row>
    <row r="1852" customFormat="false" ht="15" hidden="false" customHeight="false" outlineLevel="0" collapsed="false">
      <c r="A1852" s="15" t="n">
        <v>46099</v>
      </c>
      <c r="B1852" s="14" t="s">
        <v>69</v>
      </c>
      <c r="C1852" s="14" t="s">
        <v>70</v>
      </c>
      <c r="D1852" s="14" t="s">
        <v>71</v>
      </c>
      <c r="E1852" s="14" t="s">
        <v>53</v>
      </c>
      <c r="F1852" s="14" t="s">
        <v>92</v>
      </c>
      <c r="G1852" s="14" t="s">
        <v>93</v>
      </c>
      <c r="H1852" s="0" t="n">
        <v>1</v>
      </c>
      <c r="I1852" s="16" t="n">
        <v>119.76</v>
      </c>
      <c r="J1852" s="16" t="n">
        <v>52</v>
      </c>
      <c r="K1852" s="16" t="n">
        <f aca="false">H1852*I1852</f>
        <v>119.76</v>
      </c>
      <c r="L1852" s="16" t="n">
        <f aca="false">H1852*J1852</f>
        <v>52</v>
      </c>
      <c r="M1852" s="16" t="n">
        <f aca="false">K1852-L1852</f>
        <v>67.76</v>
      </c>
      <c r="N1852" s="17" t="n">
        <f aca="false">IFERROR(M1852/K1852,0)</f>
        <v>0.565798263193053</v>
      </c>
    </row>
    <row r="1853" customFormat="false" ht="15" hidden="false" customHeight="false" outlineLevel="0" collapsed="false">
      <c r="A1853" s="15" t="n">
        <v>46099</v>
      </c>
      <c r="B1853" s="14" t="s">
        <v>81</v>
      </c>
      <c r="C1853" s="14" t="s">
        <v>82</v>
      </c>
      <c r="D1853" s="14" t="s">
        <v>83</v>
      </c>
      <c r="E1853" s="14" t="s">
        <v>53</v>
      </c>
      <c r="F1853" s="14" t="s">
        <v>92</v>
      </c>
      <c r="G1853" s="14" t="s">
        <v>93</v>
      </c>
      <c r="H1853" s="0" t="n">
        <v>2</v>
      </c>
      <c r="I1853" s="16" t="n">
        <v>112.5</v>
      </c>
      <c r="J1853" s="16" t="n">
        <v>52</v>
      </c>
      <c r="K1853" s="16" t="n">
        <f aca="false">H1853*I1853</f>
        <v>225</v>
      </c>
      <c r="L1853" s="16" t="n">
        <f aca="false">H1853*J1853</f>
        <v>104</v>
      </c>
      <c r="M1853" s="16" t="n">
        <f aca="false">K1853-L1853</f>
        <v>121</v>
      </c>
      <c r="N1853" s="17" t="n">
        <f aca="false">IFERROR(M1853/K1853,0)</f>
        <v>0.537777777777778</v>
      </c>
    </row>
    <row r="1854" customFormat="false" ht="15" hidden="false" customHeight="false" outlineLevel="0" collapsed="false">
      <c r="A1854" s="15" t="n">
        <v>46099</v>
      </c>
      <c r="B1854" s="14" t="s">
        <v>81</v>
      </c>
      <c r="C1854" s="14" t="s">
        <v>82</v>
      </c>
      <c r="D1854" s="14" t="s">
        <v>83</v>
      </c>
      <c r="E1854" s="14" t="s">
        <v>76</v>
      </c>
      <c r="F1854" s="14" t="s">
        <v>77</v>
      </c>
      <c r="G1854" s="14" t="s">
        <v>78</v>
      </c>
      <c r="H1854" s="0" t="n">
        <v>4</v>
      </c>
      <c r="I1854" s="16" t="n">
        <v>41.49</v>
      </c>
      <c r="J1854" s="16" t="n">
        <v>15</v>
      </c>
      <c r="K1854" s="16" t="n">
        <f aca="false">H1854*I1854</f>
        <v>165.96</v>
      </c>
      <c r="L1854" s="16" t="n">
        <f aca="false">H1854*J1854</f>
        <v>60</v>
      </c>
      <c r="M1854" s="16" t="n">
        <f aca="false">K1854-L1854</f>
        <v>105.96</v>
      </c>
      <c r="N1854" s="17" t="n">
        <f aca="false">IFERROR(M1854/K1854,0)</f>
        <v>0.638467100506146</v>
      </c>
    </row>
    <row r="1855" customFormat="false" ht="15" hidden="false" customHeight="false" outlineLevel="0" collapsed="false">
      <c r="A1855" s="15" t="n">
        <v>46099</v>
      </c>
      <c r="B1855" s="14" t="s">
        <v>81</v>
      </c>
      <c r="C1855" s="14" t="s">
        <v>82</v>
      </c>
      <c r="D1855" s="14" t="s">
        <v>83</v>
      </c>
      <c r="E1855" s="14" t="s">
        <v>53</v>
      </c>
      <c r="F1855" s="14" t="s">
        <v>54</v>
      </c>
      <c r="G1855" s="14" t="s">
        <v>55</v>
      </c>
      <c r="H1855" s="0" t="n">
        <v>3</v>
      </c>
      <c r="I1855" s="16" t="n">
        <v>50.69</v>
      </c>
      <c r="J1855" s="16" t="n">
        <v>22</v>
      </c>
      <c r="K1855" s="16" t="n">
        <f aca="false">H1855*I1855</f>
        <v>152.07</v>
      </c>
      <c r="L1855" s="16" t="n">
        <f aca="false">H1855*J1855</f>
        <v>66</v>
      </c>
      <c r="M1855" s="16" t="n">
        <f aca="false">K1855-L1855</f>
        <v>86.07</v>
      </c>
      <c r="N1855" s="17" t="n">
        <f aca="false">IFERROR(M1855/K1855,0)</f>
        <v>0.565989347011245</v>
      </c>
    </row>
    <row r="1856" customFormat="false" ht="15" hidden="false" customHeight="false" outlineLevel="0" collapsed="false">
      <c r="A1856" s="15" t="n">
        <v>46099</v>
      </c>
      <c r="B1856" s="14" t="s">
        <v>88</v>
      </c>
      <c r="C1856" s="14" t="s">
        <v>89</v>
      </c>
      <c r="D1856" s="14" t="s">
        <v>44</v>
      </c>
      <c r="E1856" s="14" t="s">
        <v>45</v>
      </c>
      <c r="F1856" s="14" t="s">
        <v>48</v>
      </c>
      <c r="G1856" s="14" t="s">
        <v>49</v>
      </c>
      <c r="H1856" s="0" t="n">
        <v>3</v>
      </c>
      <c r="I1856" s="16" t="n">
        <v>64.62</v>
      </c>
      <c r="J1856" s="16" t="n">
        <v>27.5</v>
      </c>
      <c r="K1856" s="16" t="n">
        <f aca="false">H1856*I1856</f>
        <v>193.86</v>
      </c>
      <c r="L1856" s="16" t="n">
        <f aca="false">H1856*J1856</f>
        <v>82.5</v>
      </c>
      <c r="M1856" s="16" t="n">
        <f aca="false">K1856-L1856</f>
        <v>111.36</v>
      </c>
      <c r="N1856" s="17" t="n">
        <f aca="false">IFERROR(M1856/K1856,0)</f>
        <v>0.574435159393377</v>
      </c>
    </row>
    <row r="1857" customFormat="false" ht="15" hidden="false" customHeight="false" outlineLevel="0" collapsed="false">
      <c r="A1857" s="15" t="n">
        <v>46099</v>
      </c>
      <c r="B1857" s="14" t="s">
        <v>88</v>
      </c>
      <c r="C1857" s="14" t="s">
        <v>89</v>
      </c>
      <c r="D1857" s="14" t="s">
        <v>44</v>
      </c>
      <c r="E1857" s="14" t="s">
        <v>45</v>
      </c>
      <c r="F1857" s="14" t="s">
        <v>46</v>
      </c>
      <c r="G1857" s="14" t="s">
        <v>47</v>
      </c>
      <c r="H1857" s="0" t="n">
        <v>5</v>
      </c>
      <c r="I1857" s="16" t="n">
        <v>42.5</v>
      </c>
      <c r="J1857" s="16" t="n">
        <v>18</v>
      </c>
      <c r="K1857" s="16" t="n">
        <f aca="false">H1857*I1857</f>
        <v>212.5</v>
      </c>
      <c r="L1857" s="16" t="n">
        <f aca="false">H1857*J1857</f>
        <v>90</v>
      </c>
      <c r="M1857" s="16" t="n">
        <f aca="false">K1857-L1857</f>
        <v>122.5</v>
      </c>
      <c r="N1857" s="17" t="n">
        <f aca="false">IFERROR(M1857/K1857,0)</f>
        <v>0.576470588235294</v>
      </c>
    </row>
    <row r="1858" customFormat="false" ht="15" hidden="false" customHeight="false" outlineLevel="0" collapsed="false">
      <c r="A1858" s="15" t="n">
        <v>46099</v>
      </c>
      <c r="B1858" s="14" t="s">
        <v>88</v>
      </c>
      <c r="C1858" s="14" t="s">
        <v>89</v>
      </c>
      <c r="D1858" s="14" t="s">
        <v>44</v>
      </c>
      <c r="E1858" s="14" t="s">
        <v>53</v>
      </c>
      <c r="F1858" s="14" t="s">
        <v>92</v>
      </c>
      <c r="G1858" s="14" t="s">
        <v>93</v>
      </c>
      <c r="H1858" s="0" t="n">
        <v>6</v>
      </c>
      <c r="I1858" s="16" t="n">
        <v>116.74</v>
      </c>
      <c r="J1858" s="16" t="n">
        <v>52</v>
      </c>
      <c r="K1858" s="16" t="n">
        <f aca="false">H1858*I1858</f>
        <v>700.44</v>
      </c>
      <c r="L1858" s="16" t="n">
        <f aca="false">H1858*J1858</f>
        <v>312</v>
      </c>
      <c r="M1858" s="16" t="n">
        <f aca="false">K1858-L1858</f>
        <v>388.44</v>
      </c>
      <c r="N1858" s="17" t="n">
        <f aca="false">IFERROR(M1858/K1858,0)</f>
        <v>0.55456570155902</v>
      </c>
    </row>
    <row r="1859" customFormat="false" ht="15" hidden="false" customHeight="false" outlineLevel="0" collapsed="false">
      <c r="A1859" s="15" t="n">
        <v>46099</v>
      </c>
      <c r="B1859" s="14" t="s">
        <v>88</v>
      </c>
      <c r="C1859" s="14" t="s">
        <v>89</v>
      </c>
      <c r="D1859" s="14" t="s">
        <v>44</v>
      </c>
      <c r="E1859" s="14" t="s">
        <v>56</v>
      </c>
      <c r="F1859" s="14" t="s">
        <v>57</v>
      </c>
      <c r="G1859" s="14" t="s">
        <v>58</v>
      </c>
      <c r="H1859" s="0" t="n">
        <v>2</v>
      </c>
      <c r="I1859" s="16" t="n">
        <v>25.1</v>
      </c>
      <c r="J1859" s="16" t="n">
        <v>10</v>
      </c>
      <c r="K1859" s="16" t="n">
        <f aca="false">H1859*I1859</f>
        <v>50.2</v>
      </c>
      <c r="L1859" s="16" t="n">
        <f aca="false">H1859*J1859</f>
        <v>20</v>
      </c>
      <c r="M1859" s="16" t="n">
        <f aca="false">K1859-L1859</f>
        <v>30.2</v>
      </c>
      <c r="N1859" s="17" t="n">
        <f aca="false">IFERROR(M1859/K1859,0)</f>
        <v>0.601593625498008</v>
      </c>
    </row>
    <row r="1860" customFormat="false" ht="15" hidden="false" customHeight="false" outlineLevel="0" collapsed="false">
      <c r="A1860" s="15" t="n">
        <v>46100</v>
      </c>
      <c r="B1860" s="14" t="s">
        <v>42</v>
      </c>
      <c r="C1860" s="14" t="s">
        <v>43</v>
      </c>
      <c r="D1860" s="14" t="s">
        <v>44</v>
      </c>
      <c r="E1860" s="14" t="s">
        <v>53</v>
      </c>
      <c r="F1860" s="14" t="s">
        <v>54</v>
      </c>
      <c r="G1860" s="14" t="s">
        <v>55</v>
      </c>
      <c r="H1860" s="0" t="n">
        <v>9</v>
      </c>
      <c r="I1860" s="16" t="n">
        <v>53.66</v>
      </c>
      <c r="J1860" s="16" t="n">
        <v>22</v>
      </c>
      <c r="K1860" s="16" t="n">
        <f aca="false">H1860*I1860</f>
        <v>482.94</v>
      </c>
      <c r="L1860" s="16" t="n">
        <f aca="false">H1860*J1860</f>
        <v>198</v>
      </c>
      <c r="M1860" s="16" t="n">
        <f aca="false">K1860-L1860</f>
        <v>284.94</v>
      </c>
      <c r="N1860" s="17" t="n">
        <f aca="false">IFERROR(M1860/K1860,0)</f>
        <v>0.590011181513231</v>
      </c>
    </row>
    <row r="1861" customFormat="false" ht="15" hidden="false" customHeight="false" outlineLevel="0" collapsed="false">
      <c r="A1861" s="15" t="n">
        <v>46100</v>
      </c>
      <c r="B1861" s="14" t="s">
        <v>42</v>
      </c>
      <c r="C1861" s="14" t="s">
        <v>43</v>
      </c>
      <c r="D1861" s="14" t="s">
        <v>44</v>
      </c>
      <c r="E1861" s="14" t="s">
        <v>76</v>
      </c>
      <c r="F1861" s="14" t="s">
        <v>100</v>
      </c>
      <c r="G1861" s="14" t="s">
        <v>101</v>
      </c>
      <c r="H1861" s="0" t="n">
        <v>5</v>
      </c>
      <c r="I1861" s="16" t="n">
        <v>15.9</v>
      </c>
      <c r="J1861" s="16" t="n">
        <v>5.5</v>
      </c>
      <c r="K1861" s="16" t="n">
        <f aca="false">H1861*I1861</f>
        <v>79.5</v>
      </c>
      <c r="L1861" s="16" t="n">
        <f aca="false">H1861*J1861</f>
        <v>27.5</v>
      </c>
      <c r="M1861" s="16" t="n">
        <f aca="false">K1861-L1861</f>
        <v>52</v>
      </c>
      <c r="N1861" s="17" t="n">
        <f aca="false">IFERROR(M1861/K1861,0)</f>
        <v>0.654088050314465</v>
      </c>
    </row>
    <row r="1862" customFormat="false" ht="15" hidden="false" customHeight="false" outlineLevel="0" collapsed="false">
      <c r="A1862" s="15" t="n">
        <v>46100</v>
      </c>
      <c r="B1862" s="14" t="s">
        <v>42</v>
      </c>
      <c r="C1862" s="14" t="s">
        <v>43</v>
      </c>
      <c r="D1862" s="14" t="s">
        <v>44</v>
      </c>
      <c r="E1862" s="14" t="s">
        <v>56</v>
      </c>
      <c r="F1862" s="14" t="s">
        <v>86</v>
      </c>
      <c r="G1862" s="14" t="s">
        <v>87</v>
      </c>
      <c r="H1862" s="0" t="n">
        <v>7</v>
      </c>
      <c r="I1862" s="16" t="n">
        <v>14.75</v>
      </c>
      <c r="J1862" s="16" t="n">
        <v>5</v>
      </c>
      <c r="K1862" s="16" t="n">
        <f aca="false">H1862*I1862</f>
        <v>103.25</v>
      </c>
      <c r="L1862" s="16" t="n">
        <f aca="false">H1862*J1862</f>
        <v>35</v>
      </c>
      <c r="M1862" s="16" t="n">
        <f aca="false">K1862-L1862</f>
        <v>68.25</v>
      </c>
      <c r="N1862" s="17" t="n">
        <f aca="false">IFERROR(M1862/K1862,0)</f>
        <v>0.661016949152542</v>
      </c>
    </row>
    <row r="1863" customFormat="false" ht="15" hidden="false" customHeight="false" outlineLevel="0" collapsed="false">
      <c r="A1863" s="15" t="n">
        <v>46100</v>
      </c>
      <c r="B1863" s="14" t="s">
        <v>50</v>
      </c>
      <c r="C1863" s="14" t="s">
        <v>51</v>
      </c>
      <c r="D1863" s="14" t="s">
        <v>52</v>
      </c>
      <c r="E1863" s="14" t="s">
        <v>53</v>
      </c>
      <c r="F1863" s="14" t="s">
        <v>74</v>
      </c>
      <c r="G1863" s="14" t="s">
        <v>75</v>
      </c>
      <c r="H1863" s="0" t="n">
        <v>6</v>
      </c>
      <c r="I1863" s="16" t="n">
        <v>88.09</v>
      </c>
      <c r="J1863" s="16" t="n">
        <v>38</v>
      </c>
      <c r="K1863" s="16" t="n">
        <f aca="false">H1863*I1863</f>
        <v>528.54</v>
      </c>
      <c r="L1863" s="16" t="n">
        <f aca="false">H1863*J1863</f>
        <v>228</v>
      </c>
      <c r="M1863" s="16" t="n">
        <f aca="false">K1863-L1863</f>
        <v>300.54</v>
      </c>
      <c r="N1863" s="17" t="n">
        <f aca="false">IFERROR(M1863/K1863,0)</f>
        <v>0.568622999205358</v>
      </c>
    </row>
    <row r="1864" customFormat="false" ht="15" hidden="false" customHeight="false" outlineLevel="0" collapsed="false">
      <c r="A1864" s="15" t="n">
        <v>46100</v>
      </c>
      <c r="B1864" s="14" t="s">
        <v>50</v>
      </c>
      <c r="C1864" s="14" t="s">
        <v>51</v>
      </c>
      <c r="D1864" s="14" t="s">
        <v>52</v>
      </c>
      <c r="E1864" s="14" t="s">
        <v>56</v>
      </c>
      <c r="F1864" s="14" t="s">
        <v>57</v>
      </c>
      <c r="G1864" s="14" t="s">
        <v>58</v>
      </c>
      <c r="H1864" s="0" t="n">
        <v>5</v>
      </c>
      <c r="I1864" s="16" t="n">
        <v>26.41</v>
      </c>
      <c r="J1864" s="16" t="n">
        <v>10</v>
      </c>
      <c r="K1864" s="16" t="n">
        <f aca="false">H1864*I1864</f>
        <v>132.05</v>
      </c>
      <c r="L1864" s="16" t="n">
        <f aca="false">H1864*J1864</f>
        <v>50</v>
      </c>
      <c r="M1864" s="16" t="n">
        <f aca="false">K1864-L1864</f>
        <v>82.05</v>
      </c>
      <c r="N1864" s="17" t="n">
        <f aca="false">IFERROR(M1864/K1864,0)</f>
        <v>0.621355547141234</v>
      </c>
    </row>
    <row r="1865" customFormat="false" ht="15" hidden="false" customHeight="false" outlineLevel="0" collapsed="false">
      <c r="A1865" s="15" t="n">
        <v>46100</v>
      </c>
      <c r="B1865" s="14" t="s">
        <v>50</v>
      </c>
      <c r="C1865" s="14" t="s">
        <v>51</v>
      </c>
      <c r="D1865" s="14" t="s">
        <v>52</v>
      </c>
      <c r="E1865" s="14" t="s">
        <v>64</v>
      </c>
      <c r="F1865" s="14" t="s">
        <v>65</v>
      </c>
      <c r="G1865" s="14" t="s">
        <v>66</v>
      </c>
      <c r="H1865" s="0" t="n">
        <v>3</v>
      </c>
      <c r="I1865" s="16" t="n">
        <v>75.89</v>
      </c>
      <c r="J1865" s="16" t="n">
        <v>34</v>
      </c>
      <c r="K1865" s="16" t="n">
        <f aca="false">H1865*I1865</f>
        <v>227.67</v>
      </c>
      <c r="L1865" s="16" t="n">
        <f aca="false">H1865*J1865</f>
        <v>102</v>
      </c>
      <c r="M1865" s="16" t="n">
        <f aca="false">K1865-L1865</f>
        <v>125.67</v>
      </c>
      <c r="N1865" s="17" t="n">
        <f aca="false">IFERROR(M1865/K1865,0)</f>
        <v>0.551983133482672</v>
      </c>
    </row>
    <row r="1866" customFormat="false" ht="15" hidden="false" customHeight="false" outlineLevel="0" collapsed="false">
      <c r="A1866" s="15" t="n">
        <v>46100</v>
      </c>
      <c r="B1866" s="14" t="s">
        <v>50</v>
      </c>
      <c r="C1866" s="14" t="s">
        <v>51</v>
      </c>
      <c r="D1866" s="14" t="s">
        <v>52</v>
      </c>
      <c r="E1866" s="14" t="s">
        <v>56</v>
      </c>
      <c r="F1866" s="14" t="s">
        <v>67</v>
      </c>
      <c r="G1866" s="14" t="s">
        <v>68</v>
      </c>
      <c r="H1866" s="0" t="n">
        <v>10</v>
      </c>
      <c r="I1866" s="16" t="n">
        <v>36.54</v>
      </c>
      <c r="J1866" s="16" t="n">
        <v>15</v>
      </c>
      <c r="K1866" s="16" t="n">
        <f aca="false">H1866*I1866</f>
        <v>365.4</v>
      </c>
      <c r="L1866" s="16" t="n">
        <f aca="false">H1866*J1866</f>
        <v>150</v>
      </c>
      <c r="M1866" s="16" t="n">
        <f aca="false">K1866-L1866</f>
        <v>215.4</v>
      </c>
      <c r="N1866" s="17" t="n">
        <f aca="false">IFERROR(M1866/K1866,0)</f>
        <v>0.589490968801314</v>
      </c>
    </row>
    <row r="1867" customFormat="false" ht="15" hidden="false" customHeight="false" outlineLevel="0" collapsed="false">
      <c r="A1867" s="15" t="n">
        <v>46100</v>
      </c>
      <c r="B1867" s="14" t="s">
        <v>59</v>
      </c>
      <c r="C1867" s="14" t="s">
        <v>60</v>
      </c>
      <c r="D1867" s="14" t="s">
        <v>61</v>
      </c>
      <c r="E1867" s="14" t="s">
        <v>76</v>
      </c>
      <c r="F1867" s="14" t="s">
        <v>102</v>
      </c>
      <c r="G1867" s="14" t="s">
        <v>103</v>
      </c>
      <c r="H1867" s="0" t="n">
        <v>7</v>
      </c>
      <c r="I1867" s="16" t="n">
        <v>23.45</v>
      </c>
      <c r="J1867" s="16" t="n">
        <v>8.5</v>
      </c>
      <c r="K1867" s="16" t="n">
        <f aca="false">H1867*I1867</f>
        <v>164.15</v>
      </c>
      <c r="L1867" s="16" t="n">
        <f aca="false">H1867*J1867</f>
        <v>59.5</v>
      </c>
      <c r="M1867" s="16" t="n">
        <f aca="false">K1867-L1867</f>
        <v>104.65</v>
      </c>
      <c r="N1867" s="17" t="n">
        <f aca="false">IFERROR(M1867/K1867,0)</f>
        <v>0.637526652452026</v>
      </c>
    </row>
    <row r="1868" customFormat="false" ht="15" hidden="false" customHeight="false" outlineLevel="0" collapsed="false">
      <c r="A1868" s="15" t="n">
        <v>46100</v>
      </c>
      <c r="B1868" s="14" t="s">
        <v>59</v>
      </c>
      <c r="C1868" s="14" t="s">
        <v>60</v>
      </c>
      <c r="D1868" s="14" t="s">
        <v>61</v>
      </c>
      <c r="E1868" s="14" t="s">
        <v>64</v>
      </c>
      <c r="F1868" s="14" t="s">
        <v>90</v>
      </c>
      <c r="G1868" s="14" t="s">
        <v>91</v>
      </c>
      <c r="H1868" s="0" t="n">
        <v>4</v>
      </c>
      <c r="I1868" s="16" t="n">
        <v>11.6</v>
      </c>
      <c r="J1868" s="16" t="n">
        <v>3.5</v>
      </c>
      <c r="K1868" s="16" t="n">
        <f aca="false">H1868*I1868</f>
        <v>46.4</v>
      </c>
      <c r="L1868" s="16" t="n">
        <f aca="false">H1868*J1868</f>
        <v>14</v>
      </c>
      <c r="M1868" s="16" t="n">
        <f aca="false">K1868-L1868</f>
        <v>32.4</v>
      </c>
      <c r="N1868" s="17" t="n">
        <f aca="false">IFERROR(M1868/K1868,0)</f>
        <v>0.698275862068966</v>
      </c>
    </row>
    <row r="1869" customFormat="false" ht="15" hidden="false" customHeight="false" outlineLevel="0" collapsed="false">
      <c r="A1869" s="15" t="n">
        <v>46100</v>
      </c>
      <c r="B1869" s="14" t="s">
        <v>59</v>
      </c>
      <c r="C1869" s="14" t="s">
        <v>60</v>
      </c>
      <c r="D1869" s="14" t="s">
        <v>61</v>
      </c>
      <c r="E1869" s="14" t="s">
        <v>56</v>
      </c>
      <c r="F1869" s="14" t="s">
        <v>98</v>
      </c>
      <c r="G1869" s="14" t="s">
        <v>99</v>
      </c>
      <c r="H1869" s="0" t="n">
        <v>4</v>
      </c>
      <c r="I1869" s="16" t="n">
        <v>20.63</v>
      </c>
      <c r="J1869" s="16" t="n">
        <v>8</v>
      </c>
      <c r="K1869" s="16" t="n">
        <f aca="false">H1869*I1869</f>
        <v>82.52</v>
      </c>
      <c r="L1869" s="16" t="n">
        <f aca="false">H1869*J1869</f>
        <v>32</v>
      </c>
      <c r="M1869" s="16" t="n">
        <f aca="false">K1869-L1869</f>
        <v>50.52</v>
      </c>
      <c r="N1869" s="17" t="n">
        <f aca="false">IFERROR(M1869/K1869,0)</f>
        <v>0.612215220552593</v>
      </c>
    </row>
    <row r="1870" customFormat="false" ht="15" hidden="false" customHeight="false" outlineLevel="0" collapsed="false">
      <c r="A1870" s="15" t="n">
        <v>46100</v>
      </c>
      <c r="B1870" s="14" t="s">
        <v>69</v>
      </c>
      <c r="C1870" s="14" t="s">
        <v>70</v>
      </c>
      <c r="D1870" s="14" t="s">
        <v>71</v>
      </c>
      <c r="E1870" s="14" t="s">
        <v>64</v>
      </c>
      <c r="F1870" s="14" t="s">
        <v>96</v>
      </c>
      <c r="G1870" s="14" t="s">
        <v>97</v>
      </c>
      <c r="H1870" s="0" t="n">
        <v>5</v>
      </c>
      <c r="I1870" s="16" t="n">
        <v>55.31</v>
      </c>
      <c r="J1870" s="16" t="n">
        <v>24</v>
      </c>
      <c r="K1870" s="16" t="n">
        <f aca="false">H1870*I1870</f>
        <v>276.55</v>
      </c>
      <c r="L1870" s="16" t="n">
        <f aca="false">H1870*J1870</f>
        <v>120</v>
      </c>
      <c r="M1870" s="16" t="n">
        <f aca="false">K1870-L1870</f>
        <v>156.55</v>
      </c>
      <c r="N1870" s="17" t="n">
        <f aca="false">IFERROR(M1870/K1870,0)</f>
        <v>0.566082082806003</v>
      </c>
    </row>
    <row r="1871" customFormat="false" ht="15" hidden="false" customHeight="false" outlineLevel="0" collapsed="false">
      <c r="A1871" s="15" t="n">
        <v>46100</v>
      </c>
      <c r="B1871" s="14" t="s">
        <v>69</v>
      </c>
      <c r="C1871" s="14" t="s">
        <v>70</v>
      </c>
      <c r="D1871" s="14" t="s">
        <v>71</v>
      </c>
      <c r="E1871" s="14" t="s">
        <v>64</v>
      </c>
      <c r="F1871" s="14" t="s">
        <v>90</v>
      </c>
      <c r="G1871" s="14" t="s">
        <v>91</v>
      </c>
      <c r="H1871" s="0" t="n">
        <v>2</v>
      </c>
      <c r="I1871" s="16" t="n">
        <v>11.94</v>
      </c>
      <c r="J1871" s="16" t="n">
        <v>3.5</v>
      </c>
      <c r="K1871" s="16" t="n">
        <f aca="false">H1871*I1871</f>
        <v>23.88</v>
      </c>
      <c r="L1871" s="16" t="n">
        <f aca="false">H1871*J1871</f>
        <v>7</v>
      </c>
      <c r="M1871" s="16" t="n">
        <f aca="false">K1871-L1871</f>
        <v>16.88</v>
      </c>
      <c r="N1871" s="17" t="n">
        <f aca="false">IFERROR(M1871/K1871,0)</f>
        <v>0.706867671691792</v>
      </c>
    </row>
    <row r="1872" customFormat="false" ht="15" hidden="false" customHeight="false" outlineLevel="0" collapsed="false">
      <c r="A1872" s="15" t="n">
        <v>46100</v>
      </c>
      <c r="B1872" s="14" t="s">
        <v>69</v>
      </c>
      <c r="C1872" s="14" t="s">
        <v>70</v>
      </c>
      <c r="D1872" s="14" t="s">
        <v>71</v>
      </c>
      <c r="E1872" s="14" t="s">
        <v>76</v>
      </c>
      <c r="F1872" s="14" t="s">
        <v>102</v>
      </c>
      <c r="G1872" s="14" t="s">
        <v>103</v>
      </c>
      <c r="H1872" s="0" t="n">
        <v>2</v>
      </c>
      <c r="I1872" s="16" t="n">
        <v>22.34</v>
      </c>
      <c r="J1872" s="16" t="n">
        <v>8.5</v>
      </c>
      <c r="K1872" s="16" t="n">
        <f aca="false">H1872*I1872</f>
        <v>44.68</v>
      </c>
      <c r="L1872" s="16" t="n">
        <f aca="false">H1872*J1872</f>
        <v>17</v>
      </c>
      <c r="M1872" s="16" t="n">
        <f aca="false">K1872-L1872</f>
        <v>27.68</v>
      </c>
      <c r="N1872" s="17" t="n">
        <f aca="false">IFERROR(M1872/K1872,0)</f>
        <v>0.619516562220233</v>
      </c>
    </row>
    <row r="1873" customFormat="false" ht="15" hidden="false" customHeight="false" outlineLevel="0" collapsed="false">
      <c r="A1873" s="15" t="n">
        <v>46100</v>
      </c>
      <c r="B1873" s="14" t="s">
        <v>81</v>
      </c>
      <c r="C1873" s="14" t="s">
        <v>82</v>
      </c>
      <c r="D1873" s="14" t="s">
        <v>83</v>
      </c>
      <c r="E1873" s="14" t="s">
        <v>76</v>
      </c>
      <c r="F1873" s="14" t="s">
        <v>100</v>
      </c>
      <c r="G1873" s="14" t="s">
        <v>101</v>
      </c>
      <c r="H1873" s="0" t="n">
        <v>4</v>
      </c>
      <c r="I1873" s="16" t="n">
        <v>15.01</v>
      </c>
      <c r="J1873" s="16" t="n">
        <v>5.5</v>
      </c>
      <c r="K1873" s="16" t="n">
        <f aca="false">H1873*I1873</f>
        <v>60.04</v>
      </c>
      <c r="L1873" s="16" t="n">
        <f aca="false">H1873*J1873</f>
        <v>22</v>
      </c>
      <c r="M1873" s="16" t="n">
        <f aca="false">K1873-L1873</f>
        <v>38.04</v>
      </c>
      <c r="N1873" s="17" t="n">
        <f aca="false">IFERROR(M1873/K1873,0)</f>
        <v>0.633577614923384</v>
      </c>
    </row>
    <row r="1874" customFormat="false" ht="15" hidden="false" customHeight="false" outlineLevel="0" collapsed="false">
      <c r="A1874" s="15" t="n">
        <v>46100</v>
      </c>
      <c r="B1874" s="14" t="s">
        <v>81</v>
      </c>
      <c r="C1874" s="14" t="s">
        <v>82</v>
      </c>
      <c r="D1874" s="14" t="s">
        <v>83</v>
      </c>
      <c r="E1874" s="14" t="s">
        <v>45</v>
      </c>
      <c r="F1874" s="14" t="s">
        <v>72</v>
      </c>
      <c r="G1874" s="14" t="s">
        <v>73</v>
      </c>
      <c r="H1874" s="0" t="n">
        <v>5</v>
      </c>
      <c r="I1874" s="16" t="n">
        <v>49.61</v>
      </c>
      <c r="J1874" s="16" t="n">
        <v>21</v>
      </c>
      <c r="K1874" s="16" t="n">
        <f aca="false">H1874*I1874</f>
        <v>248.05</v>
      </c>
      <c r="L1874" s="16" t="n">
        <f aca="false">H1874*J1874</f>
        <v>105</v>
      </c>
      <c r="M1874" s="16" t="n">
        <f aca="false">K1874-L1874</f>
        <v>143.05</v>
      </c>
      <c r="N1874" s="17" t="n">
        <f aca="false">IFERROR(M1874/K1874,0)</f>
        <v>0.576698246321306</v>
      </c>
    </row>
    <row r="1875" customFormat="false" ht="15" hidden="false" customHeight="false" outlineLevel="0" collapsed="false">
      <c r="A1875" s="15" t="n">
        <v>46100</v>
      </c>
      <c r="B1875" s="14" t="s">
        <v>88</v>
      </c>
      <c r="C1875" s="14" t="s">
        <v>89</v>
      </c>
      <c r="D1875" s="14" t="s">
        <v>44</v>
      </c>
      <c r="E1875" s="14" t="s">
        <v>64</v>
      </c>
      <c r="F1875" s="14" t="s">
        <v>90</v>
      </c>
      <c r="G1875" s="14" t="s">
        <v>91</v>
      </c>
      <c r="H1875" s="0" t="n">
        <v>6</v>
      </c>
      <c r="I1875" s="16" t="n">
        <v>11.81</v>
      </c>
      <c r="J1875" s="16" t="n">
        <v>3.5</v>
      </c>
      <c r="K1875" s="16" t="n">
        <f aca="false">H1875*I1875</f>
        <v>70.86</v>
      </c>
      <c r="L1875" s="16" t="n">
        <f aca="false">H1875*J1875</f>
        <v>21</v>
      </c>
      <c r="M1875" s="16" t="n">
        <f aca="false">K1875-L1875</f>
        <v>49.86</v>
      </c>
      <c r="N1875" s="17" t="n">
        <f aca="false">IFERROR(M1875/K1875,0)</f>
        <v>0.703640982218459</v>
      </c>
    </row>
    <row r="1876" customFormat="false" ht="15" hidden="false" customHeight="false" outlineLevel="0" collapsed="false">
      <c r="A1876" s="15" t="n">
        <v>46100</v>
      </c>
      <c r="B1876" s="14" t="s">
        <v>88</v>
      </c>
      <c r="C1876" s="14" t="s">
        <v>89</v>
      </c>
      <c r="D1876" s="14" t="s">
        <v>44</v>
      </c>
      <c r="E1876" s="14" t="s">
        <v>76</v>
      </c>
      <c r="F1876" s="14" t="s">
        <v>102</v>
      </c>
      <c r="G1876" s="14" t="s">
        <v>103</v>
      </c>
      <c r="H1876" s="0" t="n">
        <v>7</v>
      </c>
      <c r="I1876" s="16" t="n">
        <v>22.13</v>
      </c>
      <c r="J1876" s="16" t="n">
        <v>8.5</v>
      </c>
      <c r="K1876" s="16" t="n">
        <f aca="false">H1876*I1876</f>
        <v>154.91</v>
      </c>
      <c r="L1876" s="16" t="n">
        <f aca="false">H1876*J1876</f>
        <v>59.5</v>
      </c>
      <c r="M1876" s="16" t="n">
        <f aca="false">K1876-L1876</f>
        <v>95.41</v>
      </c>
      <c r="N1876" s="17" t="n">
        <f aca="false">IFERROR(M1876/K1876,0)</f>
        <v>0.615906009941256</v>
      </c>
    </row>
    <row r="1877" customFormat="false" ht="15" hidden="false" customHeight="false" outlineLevel="0" collapsed="false">
      <c r="A1877" s="15" t="n">
        <v>46100</v>
      </c>
      <c r="B1877" s="14" t="s">
        <v>88</v>
      </c>
      <c r="C1877" s="14" t="s">
        <v>89</v>
      </c>
      <c r="D1877" s="14" t="s">
        <v>44</v>
      </c>
      <c r="E1877" s="14" t="s">
        <v>64</v>
      </c>
      <c r="F1877" s="14" t="s">
        <v>96</v>
      </c>
      <c r="G1877" s="14" t="s">
        <v>97</v>
      </c>
      <c r="H1877" s="0" t="n">
        <v>5</v>
      </c>
      <c r="I1877" s="16" t="n">
        <v>57.33</v>
      </c>
      <c r="J1877" s="16" t="n">
        <v>24</v>
      </c>
      <c r="K1877" s="16" t="n">
        <f aca="false">H1877*I1877</f>
        <v>286.65</v>
      </c>
      <c r="L1877" s="16" t="n">
        <f aca="false">H1877*J1877</f>
        <v>120</v>
      </c>
      <c r="M1877" s="16" t="n">
        <f aca="false">K1877-L1877</f>
        <v>166.65</v>
      </c>
      <c r="N1877" s="17" t="n">
        <f aca="false">IFERROR(M1877/K1877,0)</f>
        <v>0.581371009942439</v>
      </c>
    </row>
    <row r="1878" customFormat="false" ht="15" hidden="false" customHeight="false" outlineLevel="0" collapsed="false">
      <c r="A1878" s="15" t="n">
        <v>46100</v>
      </c>
      <c r="B1878" s="14" t="s">
        <v>88</v>
      </c>
      <c r="C1878" s="14" t="s">
        <v>89</v>
      </c>
      <c r="D1878" s="14" t="s">
        <v>44</v>
      </c>
      <c r="E1878" s="14" t="s">
        <v>76</v>
      </c>
      <c r="F1878" s="14" t="s">
        <v>79</v>
      </c>
      <c r="G1878" s="14" t="s">
        <v>80</v>
      </c>
      <c r="H1878" s="0" t="n">
        <v>5</v>
      </c>
      <c r="I1878" s="16" t="n">
        <v>29.62</v>
      </c>
      <c r="J1878" s="16" t="n">
        <v>11</v>
      </c>
      <c r="K1878" s="16" t="n">
        <f aca="false">H1878*I1878</f>
        <v>148.1</v>
      </c>
      <c r="L1878" s="16" t="n">
        <f aca="false">H1878*J1878</f>
        <v>55</v>
      </c>
      <c r="M1878" s="16" t="n">
        <f aca="false">K1878-L1878</f>
        <v>93.1</v>
      </c>
      <c r="N1878" s="17" t="n">
        <f aca="false">IFERROR(M1878/K1878,0)</f>
        <v>0.62862930452397</v>
      </c>
    </row>
    <row r="1879" customFormat="false" ht="15" hidden="false" customHeight="false" outlineLevel="0" collapsed="false">
      <c r="A1879" s="15" t="n">
        <v>46100</v>
      </c>
      <c r="B1879" s="14" t="s">
        <v>88</v>
      </c>
      <c r="C1879" s="14" t="s">
        <v>89</v>
      </c>
      <c r="D1879" s="14" t="s">
        <v>44</v>
      </c>
      <c r="E1879" s="14" t="s">
        <v>56</v>
      </c>
      <c r="F1879" s="14" t="s">
        <v>98</v>
      </c>
      <c r="G1879" s="14" t="s">
        <v>99</v>
      </c>
      <c r="H1879" s="0" t="n">
        <v>6</v>
      </c>
      <c r="I1879" s="16" t="n">
        <v>21.87</v>
      </c>
      <c r="J1879" s="16" t="n">
        <v>8</v>
      </c>
      <c r="K1879" s="16" t="n">
        <f aca="false">H1879*I1879</f>
        <v>131.22</v>
      </c>
      <c r="L1879" s="16" t="n">
        <f aca="false">H1879*J1879</f>
        <v>48</v>
      </c>
      <c r="M1879" s="16" t="n">
        <f aca="false">K1879-L1879</f>
        <v>83.22</v>
      </c>
      <c r="N1879" s="17" t="n">
        <f aca="false">IFERROR(M1879/K1879,0)</f>
        <v>0.634202103337906</v>
      </c>
    </row>
    <row r="1880" customFormat="false" ht="15" hidden="false" customHeight="false" outlineLevel="0" collapsed="false">
      <c r="A1880" s="15" t="n">
        <v>46101</v>
      </c>
      <c r="B1880" s="14" t="s">
        <v>42</v>
      </c>
      <c r="C1880" s="14" t="s">
        <v>43</v>
      </c>
      <c r="D1880" s="14" t="s">
        <v>44</v>
      </c>
      <c r="E1880" s="14" t="s">
        <v>45</v>
      </c>
      <c r="F1880" s="14" t="s">
        <v>48</v>
      </c>
      <c r="G1880" s="14" t="s">
        <v>49</v>
      </c>
      <c r="H1880" s="0" t="n">
        <v>9</v>
      </c>
      <c r="I1880" s="16" t="n">
        <v>62.77</v>
      </c>
      <c r="J1880" s="16" t="n">
        <v>27.5</v>
      </c>
      <c r="K1880" s="16" t="n">
        <f aca="false">H1880*I1880</f>
        <v>564.93</v>
      </c>
      <c r="L1880" s="16" t="n">
        <f aca="false">H1880*J1880</f>
        <v>247.5</v>
      </c>
      <c r="M1880" s="16" t="n">
        <f aca="false">K1880-L1880</f>
        <v>317.43</v>
      </c>
      <c r="N1880" s="17" t="n">
        <f aca="false">IFERROR(M1880/K1880,0)</f>
        <v>0.561892623864904</v>
      </c>
    </row>
    <row r="1881" customFormat="false" ht="15" hidden="false" customHeight="false" outlineLevel="0" collapsed="false">
      <c r="A1881" s="15" t="n">
        <v>46101</v>
      </c>
      <c r="B1881" s="14" t="s">
        <v>42</v>
      </c>
      <c r="C1881" s="14" t="s">
        <v>43</v>
      </c>
      <c r="D1881" s="14" t="s">
        <v>44</v>
      </c>
      <c r="E1881" s="14" t="s">
        <v>53</v>
      </c>
      <c r="F1881" s="14" t="s">
        <v>92</v>
      </c>
      <c r="G1881" s="14" t="s">
        <v>93</v>
      </c>
      <c r="H1881" s="0" t="n">
        <v>5</v>
      </c>
      <c r="I1881" s="16" t="n">
        <v>116.88</v>
      </c>
      <c r="J1881" s="16" t="n">
        <v>52</v>
      </c>
      <c r="K1881" s="16" t="n">
        <f aca="false">H1881*I1881</f>
        <v>584.4</v>
      </c>
      <c r="L1881" s="16" t="n">
        <f aca="false">H1881*J1881</f>
        <v>260</v>
      </c>
      <c r="M1881" s="16" t="n">
        <f aca="false">K1881-L1881</f>
        <v>324.4</v>
      </c>
      <c r="N1881" s="17" t="n">
        <f aca="false">IFERROR(M1881/K1881,0)</f>
        <v>0.555099247091034</v>
      </c>
    </row>
    <row r="1882" customFormat="false" ht="15" hidden="false" customHeight="false" outlineLevel="0" collapsed="false">
      <c r="A1882" s="15" t="n">
        <v>46101</v>
      </c>
      <c r="B1882" s="14" t="s">
        <v>50</v>
      </c>
      <c r="C1882" s="14" t="s">
        <v>51</v>
      </c>
      <c r="D1882" s="14" t="s">
        <v>52</v>
      </c>
      <c r="E1882" s="14" t="s">
        <v>76</v>
      </c>
      <c r="F1882" s="14" t="s">
        <v>102</v>
      </c>
      <c r="G1882" s="14" t="s">
        <v>103</v>
      </c>
      <c r="H1882" s="0" t="n">
        <v>5</v>
      </c>
      <c r="I1882" s="16" t="n">
        <v>23.43</v>
      </c>
      <c r="J1882" s="16" t="n">
        <v>8.5</v>
      </c>
      <c r="K1882" s="16" t="n">
        <f aca="false">H1882*I1882</f>
        <v>117.15</v>
      </c>
      <c r="L1882" s="16" t="n">
        <f aca="false">H1882*J1882</f>
        <v>42.5</v>
      </c>
      <c r="M1882" s="16" t="n">
        <f aca="false">K1882-L1882</f>
        <v>74.65</v>
      </c>
      <c r="N1882" s="17" t="n">
        <f aca="false">IFERROR(M1882/K1882,0)</f>
        <v>0.637217242851046</v>
      </c>
    </row>
    <row r="1883" customFormat="false" ht="15" hidden="false" customHeight="false" outlineLevel="0" collapsed="false">
      <c r="A1883" s="15" t="n">
        <v>46101</v>
      </c>
      <c r="B1883" s="14" t="s">
        <v>50</v>
      </c>
      <c r="C1883" s="14" t="s">
        <v>51</v>
      </c>
      <c r="D1883" s="14" t="s">
        <v>52</v>
      </c>
      <c r="E1883" s="14" t="s">
        <v>53</v>
      </c>
      <c r="F1883" s="14" t="s">
        <v>92</v>
      </c>
      <c r="G1883" s="14" t="s">
        <v>93</v>
      </c>
      <c r="H1883" s="0" t="n">
        <v>1</v>
      </c>
      <c r="I1883" s="16" t="n">
        <v>117.79</v>
      </c>
      <c r="J1883" s="16" t="n">
        <v>52</v>
      </c>
      <c r="K1883" s="16" t="n">
        <f aca="false">H1883*I1883</f>
        <v>117.79</v>
      </c>
      <c r="L1883" s="16" t="n">
        <f aca="false">H1883*J1883</f>
        <v>52</v>
      </c>
      <c r="M1883" s="16" t="n">
        <f aca="false">K1883-L1883</f>
        <v>65.79</v>
      </c>
      <c r="N1883" s="17" t="n">
        <f aca="false">IFERROR(M1883/K1883,0)</f>
        <v>0.558536378300365</v>
      </c>
    </row>
    <row r="1884" customFormat="false" ht="15" hidden="false" customHeight="false" outlineLevel="0" collapsed="false">
      <c r="A1884" s="15" t="n">
        <v>46101</v>
      </c>
      <c r="B1884" s="14" t="s">
        <v>50</v>
      </c>
      <c r="C1884" s="14" t="s">
        <v>51</v>
      </c>
      <c r="D1884" s="14" t="s">
        <v>52</v>
      </c>
      <c r="E1884" s="14" t="s">
        <v>76</v>
      </c>
      <c r="F1884" s="14" t="s">
        <v>102</v>
      </c>
      <c r="G1884" s="14" t="s">
        <v>103</v>
      </c>
      <c r="H1884" s="0" t="n">
        <v>8</v>
      </c>
      <c r="I1884" s="16" t="n">
        <v>23.9</v>
      </c>
      <c r="J1884" s="16" t="n">
        <v>8.5</v>
      </c>
      <c r="K1884" s="16" t="n">
        <f aca="false">H1884*I1884</f>
        <v>191.2</v>
      </c>
      <c r="L1884" s="16" t="n">
        <f aca="false">H1884*J1884</f>
        <v>68</v>
      </c>
      <c r="M1884" s="16" t="n">
        <f aca="false">K1884-L1884</f>
        <v>123.2</v>
      </c>
      <c r="N1884" s="17" t="n">
        <f aca="false">IFERROR(M1884/K1884,0)</f>
        <v>0.644351464435147</v>
      </c>
    </row>
    <row r="1885" customFormat="false" ht="15" hidden="false" customHeight="false" outlineLevel="0" collapsed="false">
      <c r="A1885" s="15" t="n">
        <v>46101</v>
      </c>
      <c r="B1885" s="14" t="s">
        <v>50</v>
      </c>
      <c r="C1885" s="14" t="s">
        <v>51</v>
      </c>
      <c r="D1885" s="14" t="s">
        <v>52</v>
      </c>
      <c r="E1885" s="14" t="s">
        <v>56</v>
      </c>
      <c r="F1885" s="14" t="s">
        <v>98</v>
      </c>
      <c r="G1885" s="14" t="s">
        <v>99</v>
      </c>
      <c r="H1885" s="0" t="n">
        <v>10</v>
      </c>
      <c r="I1885" s="16" t="n">
        <v>21.39</v>
      </c>
      <c r="J1885" s="16" t="n">
        <v>8</v>
      </c>
      <c r="K1885" s="16" t="n">
        <f aca="false">H1885*I1885</f>
        <v>213.9</v>
      </c>
      <c r="L1885" s="16" t="n">
        <f aca="false">H1885*J1885</f>
        <v>80</v>
      </c>
      <c r="M1885" s="16" t="n">
        <f aca="false">K1885-L1885</f>
        <v>133.9</v>
      </c>
      <c r="N1885" s="17" t="n">
        <f aca="false">IFERROR(M1885/K1885,0)</f>
        <v>0.625993454885461</v>
      </c>
    </row>
    <row r="1886" customFormat="false" ht="15" hidden="false" customHeight="false" outlineLevel="0" collapsed="false">
      <c r="A1886" s="15" t="n">
        <v>46101</v>
      </c>
      <c r="B1886" s="14" t="s">
        <v>59</v>
      </c>
      <c r="C1886" s="14" t="s">
        <v>60</v>
      </c>
      <c r="D1886" s="14" t="s">
        <v>61</v>
      </c>
      <c r="E1886" s="14" t="s">
        <v>64</v>
      </c>
      <c r="F1886" s="14" t="s">
        <v>96</v>
      </c>
      <c r="G1886" s="14" t="s">
        <v>97</v>
      </c>
      <c r="H1886" s="0" t="n">
        <v>3</v>
      </c>
      <c r="I1886" s="16" t="n">
        <v>57.69</v>
      </c>
      <c r="J1886" s="16" t="n">
        <v>24</v>
      </c>
      <c r="K1886" s="16" t="n">
        <f aca="false">H1886*I1886</f>
        <v>173.07</v>
      </c>
      <c r="L1886" s="16" t="n">
        <f aca="false">H1886*J1886</f>
        <v>72</v>
      </c>
      <c r="M1886" s="16" t="n">
        <f aca="false">K1886-L1886</f>
        <v>101.07</v>
      </c>
      <c r="N1886" s="17" t="n">
        <f aca="false">IFERROR(M1886/K1886,0)</f>
        <v>0.583983359334373</v>
      </c>
    </row>
    <row r="1887" customFormat="false" ht="15" hidden="false" customHeight="false" outlineLevel="0" collapsed="false">
      <c r="A1887" s="15" t="n">
        <v>46101</v>
      </c>
      <c r="B1887" s="14" t="s">
        <v>59</v>
      </c>
      <c r="C1887" s="14" t="s">
        <v>60</v>
      </c>
      <c r="D1887" s="14" t="s">
        <v>61</v>
      </c>
      <c r="E1887" s="14" t="s">
        <v>53</v>
      </c>
      <c r="F1887" s="14" t="s">
        <v>84</v>
      </c>
      <c r="G1887" s="14" t="s">
        <v>85</v>
      </c>
      <c r="H1887" s="0" t="n">
        <v>4</v>
      </c>
      <c r="I1887" s="16" t="n">
        <v>24.03</v>
      </c>
      <c r="J1887" s="16" t="n">
        <v>9</v>
      </c>
      <c r="K1887" s="16" t="n">
        <f aca="false">H1887*I1887</f>
        <v>96.12</v>
      </c>
      <c r="L1887" s="16" t="n">
        <f aca="false">H1887*J1887</f>
        <v>36</v>
      </c>
      <c r="M1887" s="16" t="n">
        <f aca="false">K1887-L1887</f>
        <v>60.12</v>
      </c>
      <c r="N1887" s="17" t="n">
        <f aca="false">IFERROR(M1887/K1887,0)</f>
        <v>0.625468164794008</v>
      </c>
    </row>
    <row r="1888" customFormat="false" ht="15" hidden="false" customHeight="false" outlineLevel="0" collapsed="false">
      <c r="A1888" s="15" t="n">
        <v>46101</v>
      </c>
      <c r="B1888" s="14" t="s">
        <v>59</v>
      </c>
      <c r="C1888" s="14" t="s">
        <v>60</v>
      </c>
      <c r="D1888" s="14" t="s">
        <v>61</v>
      </c>
      <c r="E1888" s="14" t="s">
        <v>56</v>
      </c>
      <c r="F1888" s="14" t="s">
        <v>57</v>
      </c>
      <c r="G1888" s="14" t="s">
        <v>58</v>
      </c>
      <c r="H1888" s="0" t="n">
        <v>8</v>
      </c>
      <c r="I1888" s="16" t="n">
        <v>25.58</v>
      </c>
      <c r="J1888" s="16" t="n">
        <v>10</v>
      </c>
      <c r="K1888" s="16" t="n">
        <f aca="false">H1888*I1888</f>
        <v>204.64</v>
      </c>
      <c r="L1888" s="16" t="n">
        <f aca="false">H1888*J1888</f>
        <v>80</v>
      </c>
      <c r="M1888" s="16" t="n">
        <f aca="false">K1888-L1888</f>
        <v>124.64</v>
      </c>
      <c r="N1888" s="17" t="n">
        <f aca="false">IFERROR(M1888/K1888,0)</f>
        <v>0.609069585613761</v>
      </c>
    </row>
    <row r="1889" customFormat="false" ht="15" hidden="false" customHeight="false" outlineLevel="0" collapsed="false">
      <c r="A1889" s="15" t="n">
        <v>46101</v>
      </c>
      <c r="B1889" s="14" t="s">
        <v>69</v>
      </c>
      <c r="C1889" s="14" t="s">
        <v>70</v>
      </c>
      <c r="D1889" s="14" t="s">
        <v>71</v>
      </c>
      <c r="E1889" s="14" t="s">
        <v>76</v>
      </c>
      <c r="F1889" s="14" t="s">
        <v>77</v>
      </c>
      <c r="G1889" s="14" t="s">
        <v>78</v>
      </c>
      <c r="H1889" s="0" t="n">
        <v>6</v>
      </c>
      <c r="I1889" s="16" t="n">
        <v>41.23</v>
      </c>
      <c r="J1889" s="16" t="n">
        <v>15</v>
      </c>
      <c r="K1889" s="16" t="n">
        <f aca="false">H1889*I1889</f>
        <v>247.38</v>
      </c>
      <c r="L1889" s="16" t="n">
        <f aca="false">H1889*J1889</f>
        <v>90</v>
      </c>
      <c r="M1889" s="16" t="n">
        <f aca="false">K1889-L1889</f>
        <v>157.38</v>
      </c>
      <c r="N1889" s="17" t="n">
        <f aca="false">IFERROR(M1889/K1889,0)</f>
        <v>0.636187242299297</v>
      </c>
    </row>
    <row r="1890" customFormat="false" ht="15" hidden="false" customHeight="false" outlineLevel="0" collapsed="false">
      <c r="A1890" s="15" t="n">
        <v>46101</v>
      </c>
      <c r="B1890" s="14" t="s">
        <v>69</v>
      </c>
      <c r="C1890" s="14" t="s">
        <v>70</v>
      </c>
      <c r="D1890" s="14" t="s">
        <v>71</v>
      </c>
      <c r="E1890" s="14" t="s">
        <v>64</v>
      </c>
      <c r="F1890" s="14" t="s">
        <v>96</v>
      </c>
      <c r="G1890" s="14" t="s">
        <v>97</v>
      </c>
      <c r="H1890" s="0" t="n">
        <v>6</v>
      </c>
      <c r="I1890" s="16" t="n">
        <v>56.4</v>
      </c>
      <c r="J1890" s="16" t="n">
        <v>24</v>
      </c>
      <c r="K1890" s="16" t="n">
        <f aca="false">H1890*I1890</f>
        <v>338.4</v>
      </c>
      <c r="L1890" s="16" t="n">
        <f aca="false">H1890*J1890</f>
        <v>144</v>
      </c>
      <c r="M1890" s="16" t="n">
        <f aca="false">K1890-L1890</f>
        <v>194.4</v>
      </c>
      <c r="N1890" s="17" t="n">
        <f aca="false">IFERROR(M1890/K1890,0)</f>
        <v>0.574468085106383</v>
      </c>
    </row>
    <row r="1891" customFormat="false" ht="15" hidden="false" customHeight="false" outlineLevel="0" collapsed="false">
      <c r="A1891" s="15" t="n">
        <v>46101</v>
      </c>
      <c r="B1891" s="14" t="s">
        <v>81</v>
      </c>
      <c r="C1891" s="14" t="s">
        <v>82</v>
      </c>
      <c r="D1891" s="14" t="s">
        <v>83</v>
      </c>
      <c r="E1891" s="14" t="s">
        <v>45</v>
      </c>
      <c r="F1891" s="14" t="s">
        <v>46</v>
      </c>
      <c r="G1891" s="14" t="s">
        <v>47</v>
      </c>
      <c r="H1891" s="0" t="n">
        <v>2</v>
      </c>
      <c r="I1891" s="16" t="n">
        <v>43.48</v>
      </c>
      <c r="J1891" s="16" t="n">
        <v>18</v>
      </c>
      <c r="K1891" s="16" t="n">
        <f aca="false">H1891*I1891</f>
        <v>86.96</v>
      </c>
      <c r="L1891" s="16" t="n">
        <f aca="false">H1891*J1891</f>
        <v>36</v>
      </c>
      <c r="M1891" s="16" t="n">
        <f aca="false">K1891-L1891</f>
        <v>50.96</v>
      </c>
      <c r="N1891" s="17" t="n">
        <f aca="false">IFERROR(M1891/K1891,0)</f>
        <v>0.586016559337626</v>
      </c>
    </row>
    <row r="1892" customFormat="false" ht="15" hidden="false" customHeight="false" outlineLevel="0" collapsed="false">
      <c r="A1892" s="15" t="n">
        <v>46101</v>
      </c>
      <c r="B1892" s="14" t="s">
        <v>81</v>
      </c>
      <c r="C1892" s="14" t="s">
        <v>82</v>
      </c>
      <c r="D1892" s="14" t="s">
        <v>83</v>
      </c>
      <c r="E1892" s="14" t="s">
        <v>53</v>
      </c>
      <c r="F1892" s="14" t="s">
        <v>92</v>
      </c>
      <c r="G1892" s="14" t="s">
        <v>93</v>
      </c>
      <c r="H1892" s="0" t="n">
        <v>1</v>
      </c>
      <c r="I1892" s="16" t="n">
        <v>115.2</v>
      </c>
      <c r="J1892" s="16" t="n">
        <v>52</v>
      </c>
      <c r="K1892" s="16" t="n">
        <f aca="false">H1892*I1892</f>
        <v>115.2</v>
      </c>
      <c r="L1892" s="16" t="n">
        <f aca="false">H1892*J1892</f>
        <v>52</v>
      </c>
      <c r="M1892" s="16" t="n">
        <f aca="false">K1892-L1892</f>
        <v>63.2</v>
      </c>
      <c r="N1892" s="17" t="n">
        <f aca="false">IFERROR(M1892/K1892,0)</f>
        <v>0.548611111111111</v>
      </c>
    </row>
    <row r="1893" customFormat="false" ht="15" hidden="false" customHeight="false" outlineLevel="0" collapsed="false">
      <c r="A1893" s="15" t="n">
        <v>46101</v>
      </c>
      <c r="B1893" s="14" t="s">
        <v>81</v>
      </c>
      <c r="C1893" s="14" t="s">
        <v>82</v>
      </c>
      <c r="D1893" s="14" t="s">
        <v>83</v>
      </c>
      <c r="E1893" s="14" t="s">
        <v>76</v>
      </c>
      <c r="F1893" s="14" t="s">
        <v>102</v>
      </c>
      <c r="G1893" s="14" t="s">
        <v>103</v>
      </c>
      <c r="H1893" s="0" t="n">
        <v>3</v>
      </c>
      <c r="I1893" s="16" t="n">
        <v>22.88</v>
      </c>
      <c r="J1893" s="16" t="n">
        <v>8.5</v>
      </c>
      <c r="K1893" s="16" t="n">
        <f aca="false">H1893*I1893</f>
        <v>68.64</v>
      </c>
      <c r="L1893" s="16" t="n">
        <f aca="false">H1893*J1893</f>
        <v>25.5</v>
      </c>
      <c r="M1893" s="16" t="n">
        <f aca="false">K1893-L1893</f>
        <v>43.14</v>
      </c>
      <c r="N1893" s="17" t="n">
        <f aca="false">IFERROR(M1893/K1893,0)</f>
        <v>0.628496503496504</v>
      </c>
    </row>
    <row r="1894" customFormat="false" ht="15" hidden="false" customHeight="false" outlineLevel="0" collapsed="false">
      <c r="A1894" s="15" t="n">
        <v>46101</v>
      </c>
      <c r="B1894" s="14" t="s">
        <v>81</v>
      </c>
      <c r="C1894" s="14" t="s">
        <v>82</v>
      </c>
      <c r="D1894" s="14" t="s">
        <v>83</v>
      </c>
      <c r="E1894" s="14" t="s">
        <v>64</v>
      </c>
      <c r="F1894" s="14" t="s">
        <v>94</v>
      </c>
      <c r="G1894" s="14" t="s">
        <v>95</v>
      </c>
      <c r="H1894" s="0" t="n">
        <v>4</v>
      </c>
      <c r="I1894" s="16" t="n">
        <v>95.73</v>
      </c>
      <c r="J1894" s="16" t="n">
        <v>42</v>
      </c>
      <c r="K1894" s="16" t="n">
        <f aca="false">H1894*I1894</f>
        <v>382.92</v>
      </c>
      <c r="L1894" s="16" t="n">
        <f aca="false">H1894*J1894</f>
        <v>168</v>
      </c>
      <c r="M1894" s="16" t="n">
        <f aca="false">K1894-L1894</f>
        <v>214.92</v>
      </c>
      <c r="N1894" s="17" t="n">
        <f aca="false">IFERROR(M1894/K1894,0)</f>
        <v>0.561266060795989</v>
      </c>
    </row>
    <row r="1895" customFormat="false" ht="15" hidden="false" customHeight="false" outlineLevel="0" collapsed="false">
      <c r="A1895" s="15" t="n">
        <v>46101</v>
      </c>
      <c r="B1895" s="14" t="s">
        <v>81</v>
      </c>
      <c r="C1895" s="14" t="s">
        <v>82</v>
      </c>
      <c r="D1895" s="14" t="s">
        <v>83</v>
      </c>
      <c r="E1895" s="14" t="s">
        <v>56</v>
      </c>
      <c r="F1895" s="14" t="s">
        <v>98</v>
      </c>
      <c r="G1895" s="14" t="s">
        <v>99</v>
      </c>
      <c r="H1895" s="0" t="n">
        <v>2</v>
      </c>
      <c r="I1895" s="16" t="n">
        <v>20.51</v>
      </c>
      <c r="J1895" s="16" t="n">
        <v>8</v>
      </c>
      <c r="K1895" s="16" t="n">
        <f aca="false">H1895*I1895</f>
        <v>41.02</v>
      </c>
      <c r="L1895" s="16" t="n">
        <f aca="false">H1895*J1895</f>
        <v>16</v>
      </c>
      <c r="M1895" s="16" t="n">
        <f aca="false">K1895-L1895</f>
        <v>25.02</v>
      </c>
      <c r="N1895" s="17" t="n">
        <f aca="false">IFERROR(M1895/K1895,0)</f>
        <v>0.609946367625549</v>
      </c>
    </row>
    <row r="1896" customFormat="false" ht="15" hidden="false" customHeight="false" outlineLevel="0" collapsed="false">
      <c r="A1896" s="15" t="n">
        <v>46101</v>
      </c>
      <c r="B1896" s="14" t="s">
        <v>81</v>
      </c>
      <c r="C1896" s="14" t="s">
        <v>82</v>
      </c>
      <c r="D1896" s="14" t="s">
        <v>83</v>
      </c>
      <c r="E1896" s="14" t="s">
        <v>76</v>
      </c>
      <c r="F1896" s="14" t="s">
        <v>100</v>
      </c>
      <c r="G1896" s="14" t="s">
        <v>101</v>
      </c>
      <c r="H1896" s="0" t="n">
        <v>5</v>
      </c>
      <c r="I1896" s="16" t="n">
        <v>14.98</v>
      </c>
      <c r="J1896" s="16" t="n">
        <v>5.5</v>
      </c>
      <c r="K1896" s="16" t="n">
        <f aca="false">H1896*I1896</f>
        <v>74.9</v>
      </c>
      <c r="L1896" s="16" t="n">
        <f aca="false">H1896*J1896</f>
        <v>27.5</v>
      </c>
      <c r="M1896" s="16" t="n">
        <f aca="false">K1896-L1896</f>
        <v>47.4</v>
      </c>
      <c r="N1896" s="17" t="n">
        <f aca="false">IFERROR(M1896/K1896,0)</f>
        <v>0.632843791722296</v>
      </c>
    </row>
    <row r="1897" customFormat="false" ht="15" hidden="false" customHeight="false" outlineLevel="0" collapsed="false">
      <c r="A1897" s="15" t="n">
        <v>46101</v>
      </c>
      <c r="B1897" s="14" t="s">
        <v>88</v>
      </c>
      <c r="C1897" s="14" t="s">
        <v>89</v>
      </c>
      <c r="D1897" s="14" t="s">
        <v>44</v>
      </c>
      <c r="E1897" s="14" t="s">
        <v>45</v>
      </c>
      <c r="F1897" s="14" t="s">
        <v>72</v>
      </c>
      <c r="G1897" s="14" t="s">
        <v>73</v>
      </c>
      <c r="H1897" s="0" t="n">
        <v>5</v>
      </c>
      <c r="I1897" s="16" t="n">
        <v>49.82</v>
      </c>
      <c r="J1897" s="16" t="n">
        <v>21</v>
      </c>
      <c r="K1897" s="16" t="n">
        <f aca="false">H1897*I1897</f>
        <v>249.1</v>
      </c>
      <c r="L1897" s="16" t="n">
        <f aca="false">H1897*J1897</f>
        <v>105</v>
      </c>
      <c r="M1897" s="16" t="n">
        <f aca="false">K1897-L1897</f>
        <v>144.1</v>
      </c>
      <c r="N1897" s="17" t="n">
        <f aca="false">IFERROR(M1897/K1897,0)</f>
        <v>0.578482537133681</v>
      </c>
    </row>
    <row r="1898" customFormat="false" ht="15" hidden="false" customHeight="false" outlineLevel="0" collapsed="false">
      <c r="A1898" s="15" t="n">
        <v>46101</v>
      </c>
      <c r="B1898" s="14" t="s">
        <v>88</v>
      </c>
      <c r="C1898" s="14" t="s">
        <v>89</v>
      </c>
      <c r="D1898" s="14" t="s">
        <v>44</v>
      </c>
      <c r="E1898" s="14" t="s">
        <v>76</v>
      </c>
      <c r="F1898" s="14" t="s">
        <v>100</v>
      </c>
      <c r="G1898" s="14" t="s">
        <v>101</v>
      </c>
      <c r="H1898" s="0" t="n">
        <v>5</v>
      </c>
      <c r="I1898" s="16" t="n">
        <v>14.84</v>
      </c>
      <c r="J1898" s="16" t="n">
        <v>5.5</v>
      </c>
      <c r="K1898" s="16" t="n">
        <f aca="false">H1898*I1898</f>
        <v>74.2</v>
      </c>
      <c r="L1898" s="16" t="n">
        <f aca="false">H1898*J1898</f>
        <v>27.5</v>
      </c>
      <c r="M1898" s="16" t="n">
        <f aca="false">K1898-L1898</f>
        <v>46.7</v>
      </c>
      <c r="N1898" s="17" t="n">
        <f aca="false">IFERROR(M1898/K1898,0)</f>
        <v>0.629380053908356</v>
      </c>
    </row>
    <row r="1899" customFormat="false" ht="15" hidden="false" customHeight="false" outlineLevel="0" collapsed="false">
      <c r="A1899" s="15" t="n">
        <v>46101</v>
      </c>
      <c r="B1899" s="14" t="s">
        <v>88</v>
      </c>
      <c r="C1899" s="14" t="s">
        <v>89</v>
      </c>
      <c r="D1899" s="14" t="s">
        <v>44</v>
      </c>
      <c r="E1899" s="14" t="s">
        <v>45</v>
      </c>
      <c r="F1899" s="14" t="s">
        <v>62</v>
      </c>
      <c r="G1899" s="14" t="s">
        <v>63</v>
      </c>
      <c r="H1899" s="0" t="n">
        <v>1</v>
      </c>
      <c r="I1899" s="16" t="n">
        <v>17.75</v>
      </c>
      <c r="J1899" s="16" t="n">
        <v>6.5</v>
      </c>
      <c r="K1899" s="16" t="n">
        <f aca="false">H1899*I1899</f>
        <v>17.75</v>
      </c>
      <c r="L1899" s="16" t="n">
        <f aca="false">H1899*J1899</f>
        <v>6.5</v>
      </c>
      <c r="M1899" s="16" t="n">
        <f aca="false">K1899-L1899</f>
        <v>11.25</v>
      </c>
      <c r="N1899" s="17" t="n">
        <f aca="false">IFERROR(M1899/K1899,0)</f>
        <v>0.633802816901409</v>
      </c>
    </row>
    <row r="1900" customFormat="false" ht="15" hidden="false" customHeight="false" outlineLevel="0" collapsed="false">
      <c r="A1900" s="15" t="n">
        <v>46101</v>
      </c>
      <c r="B1900" s="14" t="s">
        <v>88</v>
      </c>
      <c r="C1900" s="14" t="s">
        <v>89</v>
      </c>
      <c r="D1900" s="14" t="s">
        <v>44</v>
      </c>
      <c r="E1900" s="14" t="s">
        <v>56</v>
      </c>
      <c r="F1900" s="14" t="s">
        <v>57</v>
      </c>
      <c r="G1900" s="14" t="s">
        <v>58</v>
      </c>
      <c r="H1900" s="0" t="n">
        <v>1</v>
      </c>
      <c r="I1900" s="16" t="n">
        <v>25.24</v>
      </c>
      <c r="J1900" s="16" t="n">
        <v>10</v>
      </c>
      <c r="K1900" s="16" t="n">
        <f aca="false">H1900*I1900</f>
        <v>25.24</v>
      </c>
      <c r="L1900" s="16" t="n">
        <f aca="false">H1900*J1900</f>
        <v>10</v>
      </c>
      <c r="M1900" s="16" t="n">
        <f aca="false">K1900-L1900</f>
        <v>15.24</v>
      </c>
      <c r="N1900" s="17" t="n">
        <f aca="false">IFERROR(M1900/K1900,0)</f>
        <v>0.603803486529319</v>
      </c>
    </row>
    <row r="1901" customFormat="false" ht="15" hidden="false" customHeight="false" outlineLevel="0" collapsed="false">
      <c r="A1901" s="15" t="n">
        <v>46101</v>
      </c>
      <c r="B1901" s="14" t="s">
        <v>88</v>
      </c>
      <c r="C1901" s="14" t="s">
        <v>89</v>
      </c>
      <c r="D1901" s="14" t="s">
        <v>44</v>
      </c>
      <c r="E1901" s="14" t="s">
        <v>45</v>
      </c>
      <c r="F1901" s="14" t="s">
        <v>72</v>
      </c>
      <c r="G1901" s="14" t="s">
        <v>73</v>
      </c>
      <c r="H1901" s="0" t="n">
        <v>6</v>
      </c>
      <c r="I1901" s="16" t="n">
        <v>48.7</v>
      </c>
      <c r="J1901" s="16" t="n">
        <v>21</v>
      </c>
      <c r="K1901" s="16" t="n">
        <f aca="false">H1901*I1901</f>
        <v>292.2</v>
      </c>
      <c r="L1901" s="16" t="n">
        <f aca="false">H1901*J1901</f>
        <v>126</v>
      </c>
      <c r="M1901" s="16" t="n">
        <f aca="false">K1901-L1901</f>
        <v>166.2</v>
      </c>
      <c r="N1901" s="17" t="n">
        <f aca="false">IFERROR(M1901/K1901,0)</f>
        <v>0.568788501026694</v>
      </c>
    </row>
    <row r="1902" customFormat="false" ht="15" hidden="false" customHeight="false" outlineLevel="0" collapsed="false">
      <c r="A1902" s="15" t="n">
        <v>46102</v>
      </c>
      <c r="B1902" s="14" t="s">
        <v>42</v>
      </c>
      <c r="C1902" s="14" t="s">
        <v>43</v>
      </c>
      <c r="D1902" s="14" t="s">
        <v>44</v>
      </c>
      <c r="E1902" s="14" t="s">
        <v>56</v>
      </c>
      <c r="F1902" s="14" t="s">
        <v>98</v>
      </c>
      <c r="G1902" s="14" t="s">
        <v>99</v>
      </c>
      <c r="H1902" s="0" t="n">
        <v>14</v>
      </c>
      <c r="I1902" s="16" t="n">
        <v>20.34</v>
      </c>
      <c r="J1902" s="16" t="n">
        <v>8</v>
      </c>
      <c r="K1902" s="16" t="n">
        <f aca="false">H1902*I1902</f>
        <v>284.76</v>
      </c>
      <c r="L1902" s="16" t="n">
        <f aca="false">H1902*J1902</f>
        <v>112</v>
      </c>
      <c r="M1902" s="16" t="n">
        <f aca="false">K1902-L1902</f>
        <v>172.76</v>
      </c>
      <c r="N1902" s="17" t="n">
        <f aca="false">IFERROR(M1902/K1902,0)</f>
        <v>0.606686332350049</v>
      </c>
    </row>
    <row r="1903" customFormat="false" ht="15" hidden="false" customHeight="false" outlineLevel="0" collapsed="false">
      <c r="A1903" s="15" t="n">
        <v>46102</v>
      </c>
      <c r="B1903" s="14" t="s">
        <v>42</v>
      </c>
      <c r="C1903" s="14" t="s">
        <v>43</v>
      </c>
      <c r="D1903" s="14" t="s">
        <v>44</v>
      </c>
      <c r="E1903" s="14" t="s">
        <v>56</v>
      </c>
      <c r="F1903" s="14" t="s">
        <v>98</v>
      </c>
      <c r="G1903" s="14" t="s">
        <v>99</v>
      </c>
      <c r="H1903" s="0" t="n">
        <v>5</v>
      </c>
      <c r="I1903" s="16" t="n">
        <v>20.82</v>
      </c>
      <c r="J1903" s="16" t="n">
        <v>8</v>
      </c>
      <c r="K1903" s="16" t="n">
        <f aca="false">H1903*I1903</f>
        <v>104.1</v>
      </c>
      <c r="L1903" s="16" t="n">
        <f aca="false">H1903*J1903</f>
        <v>40</v>
      </c>
      <c r="M1903" s="16" t="n">
        <f aca="false">K1903-L1903</f>
        <v>64.1</v>
      </c>
      <c r="N1903" s="17" t="n">
        <f aca="false">IFERROR(M1903/K1903,0)</f>
        <v>0.615754082612872</v>
      </c>
    </row>
    <row r="1904" customFormat="false" ht="15" hidden="false" customHeight="false" outlineLevel="0" collapsed="false">
      <c r="A1904" s="15" t="n">
        <v>46102</v>
      </c>
      <c r="B1904" s="14" t="s">
        <v>42</v>
      </c>
      <c r="C1904" s="14" t="s">
        <v>43</v>
      </c>
      <c r="D1904" s="14" t="s">
        <v>44</v>
      </c>
      <c r="E1904" s="14" t="s">
        <v>64</v>
      </c>
      <c r="F1904" s="14" t="s">
        <v>90</v>
      </c>
      <c r="G1904" s="14" t="s">
        <v>91</v>
      </c>
      <c r="H1904" s="0" t="n">
        <v>4</v>
      </c>
      <c r="I1904" s="16" t="n">
        <v>11.99</v>
      </c>
      <c r="J1904" s="16" t="n">
        <v>3.5</v>
      </c>
      <c r="K1904" s="16" t="n">
        <f aca="false">H1904*I1904</f>
        <v>47.96</v>
      </c>
      <c r="L1904" s="16" t="n">
        <f aca="false">H1904*J1904</f>
        <v>14</v>
      </c>
      <c r="M1904" s="16" t="n">
        <f aca="false">K1904-L1904</f>
        <v>33.96</v>
      </c>
      <c r="N1904" s="17" t="n">
        <f aca="false">IFERROR(M1904/K1904,0)</f>
        <v>0.708090075062552</v>
      </c>
    </row>
    <row r="1905" customFormat="false" ht="15" hidden="false" customHeight="false" outlineLevel="0" collapsed="false">
      <c r="A1905" s="15" t="n">
        <v>46102</v>
      </c>
      <c r="B1905" s="14" t="s">
        <v>42</v>
      </c>
      <c r="C1905" s="14" t="s">
        <v>43</v>
      </c>
      <c r="D1905" s="14" t="s">
        <v>44</v>
      </c>
      <c r="E1905" s="14" t="s">
        <v>53</v>
      </c>
      <c r="F1905" s="14" t="s">
        <v>84</v>
      </c>
      <c r="G1905" s="14" t="s">
        <v>85</v>
      </c>
      <c r="H1905" s="0" t="n">
        <v>13</v>
      </c>
      <c r="I1905" s="16" t="n">
        <v>24.49</v>
      </c>
      <c r="J1905" s="16" t="n">
        <v>9</v>
      </c>
      <c r="K1905" s="16" t="n">
        <f aca="false">H1905*I1905</f>
        <v>318.37</v>
      </c>
      <c r="L1905" s="16" t="n">
        <f aca="false">H1905*J1905</f>
        <v>117</v>
      </c>
      <c r="M1905" s="16" t="n">
        <f aca="false">K1905-L1905</f>
        <v>201.37</v>
      </c>
      <c r="N1905" s="17" t="n">
        <f aca="false">IFERROR(M1905/K1905,0)</f>
        <v>0.632503062474479</v>
      </c>
    </row>
    <row r="1906" customFormat="false" ht="15" hidden="false" customHeight="false" outlineLevel="0" collapsed="false">
      <c r="A1906" s="15" t="n">
        <v>46102</v>
      </c>
      <c r="B1906" s="14" t="s">
        <v>50</v>
      </c>
      <c r="C1906" s="14" t="s">
        <v>51</v>
      </c>
      <c r="D1906" s="14" t="s">
        <v>52</v>
      </c>
      <c r="E1906" s="14" t="s">
        <v>53</v>
      </c>
      <c r="F1906" s="14" t="s">
        <v>54</v>
      </c>
      <c r="G1906" s="14" t="s">
        <v>55</v>
      </c>
      <c r="H1906" s="0" t="n">
        <v>6</v>
      </c>
      <c r="I1906" s="16" t="n">
        <v>51.96</v>
      </c>
      <c r="J1906" s="16" t="n">
        <v>22</v>
      </c>
      <c r="K1906" s="16" t="n">
        <f aca="false">H1906*I1906</f>
        <v>311.76</v>
      </c>
      <c r="L1906" s="16" t="n">
        <f aca="false">H1906*J1906</f>
        <v>132</v>
      </c>
      <c r="M1906" s="16" t="n">
        <f aca="false">K1906-L1906</f>
        <v>179.76</v>
      </c>
      <c r="N1906" s="17" t="n">
        <f aca="false">IFERROR(M1906/K1906,0)</f>
        <v>0.576597382602002</v>
      </c>
    </row>
    <row r="1907" customFormat="false" ht="15" hidden="false" customHeight="false" outlineLevel="0" collapsed="false">
      <c r="A1907" s="15" t="n">
        <v>46102</v>
      </c>
      <c r="B1907" s="14" t="s">
        <v>50</v>
      </c>
      <c r="C1907" s="14" t="s">
        <v>51</v>
      </c>
      <c r="D1907" s="14" t="s">
        <v>52</v>
      </c>
      <c r="E1907" s="14" t="s">
        <v>64</v>
      </c>
      <c r="F1907" s="14" t="s">
        <v>96</v>
      </c>
      <c r="G1907" s="14" t="s">
        <v>97</v>
      </c>
      <c r="H1907" s="0" t="n">
        <v>6</v>
      </c>
      <c r="I1907" s="16" t="n">
        <v>57.05</v>
      </c>
      <c r="J1907" s="16" t="n">
        <v>24</v>
      </c>
      <c r="K1907" s="16" t="n">
        <f aca="false">H1907*I1907</f>
        <v>342.3</v>
      </c>
      <c r="L1907" s="16" t="n">
        <f aca="false">H1907*J1907</f>
        <v>144</v>
      </c>
      <c r="M1907" s="16" t="n">
        <f aca="false">K1907-L1907</f>
        <v>198.3</v>
      </c>
      <c r="N1907" s="17" t="n">
        <f aca="false">IFERROR(M1907/K1907,0)</f>
        <v>0.57931638913234</v>
      </c>
    </row>
    <row r="1908" customFormat="false" ht="15" hidden="false" customHeight="false" outlineLevel="0" collapsed="false">
      <c r="A1908" s="15" t="n">
        <v>46102</v>
      </c>
      <c r="B1908" s="14" t="s">
        <v>50</v>
      </c>
      <c r="C1908" s="14" t="s">
        <v>51</v>
      </c>
      <c r="D1908" s="14" t="s">
        <v>52</v>
      </c>
      <c r="E1908" s="14" t="s">
        <v>56</v>
      </c>
      <c r="F1908" s="14" t="s">
        <v>57</v>
      </c>
      <c r="G1908" s="14" t="s">
        <v>58</v>
      </c>
      <c r="H1908" s="0" t="n">
        <v>8</v>
      </c>
      <c r="I1908" s="16" t="n">
        <v>25.28</v>
      </c>
      <c r="J1908" s="16" t="n">
        <v>10</v>
      </c>
      <c r="K1908" s="16" t="n">
        <f aca="false">H1908*I1908</f>
        <v>202.24</v>
      </c>
      <c r="L1908" s="16" t="n">
        <f aca="false">H1908*J1908</f>
        <v>80</v>
      </c>
      <c r="M1908" s="16" t="n">
        <f aca="false">K1908-L1908</f>
        <v>122.24</v>
      </c>
      <c r="N1908" s="17" t="n">
        <f aca="false">IFERROR(M1908/K1908,0)</f>
        <v>0.604430379746835</v>
      </c>
    </row>
    <row r="1909" customFormat="false" ht="15" hidden="false" customHeight="false" outlineLevel="0" collapsed="false">
      <c r="A1909" s="15" t="n">
        <v>46102</v>
      </c>
      <c r="B1909" s="14" t="s">
        <v>50</v>
      </c>
      <c r="C1909" s="14" t="s">
        <v>51</v>
      </c>
      <c r="D1909" s="14" t="s">
        <v>52</v>
      </c>
      <c r="E1909" s="14" t="s">
        <v>53</v>
      </c>
      <c r="F1909" s="14" t="s">
        <v>84</v>
      </c>
      <c r="G1909" s="14" t="s">
        <v>85</v>
      </c>
      <c r="H1909" s="0" t="n">
        <v>3</v>
      </c>
      <c r="I1909" s="16" t="n">
        <v>24.65</v>
      </c>
      <c r="J1909" s="16" t="n">
        <v>9</v>
      </c>
      <c r="K1909" s="16" t="n">
        <f aca="false">H1909*I1909</f>
        <v>73.95</v>
      </c>
      <c r="L1909" s="16" t="n">
        <f aca="false">H1909*J1909</f>
        <v>27</v>
      </c>
      <c r="M1909" s="16" t="n">
        <f aca="false">K1909-L1909</f>
        <v>46.95</v>
      </c>
      <c r="N1909" s="17" t="n">
        <f aca="false">IFERROR(M1909/K1909,0)</f>
        <v>0.634888438133874</v>
      </c>
    </row>
    <row r="1910" customFormat="false" ht="15" hidden="false" customHeight="false" outlineLevel="0" collapsed="false">
      <c r="A1910" s="15" t="n">
        <v>46102</v>
      </c>
      <c r="B1910" s="14" t="s">
        <v>50</v>
      </c>
      <c r="C1910" s="14" t="s">
        <v>51</v>
      </c>
      <c r="D1910" s="14" t="s">
        <v>52</v>
      </c>
      <c r="E1910" s="14" t="s">
        <v>56</v>
      </c>
      <c r="F1910" s="14" t="s">
        <v>86</v>
      </c>
      <c r="G1910" s="14" t="s">
        <v>87</v>
      </c>
      <c r="H1910" s="0" t="n">
        <v>9</v>
      </c>
      <c r="I1910" s="16" t="n">
        <v>14.89</v>
      </c>
      <c r="J1910" s="16" t="n">
        <v>5</v>
      </c>
      <c r="K1910" s="16" t="n">
        <f aca="false">H1910*I1910</f>
        <v>134.01</v>
      </c>
      <c r="L1910" s="16" t="n">
        <f aca="false">H1910*J1910</f>
        <v>45</v>
      </c>
      <c r="M1910" s="16" t="n">
        <f aca="false">K1910-L1910</f>
        <v>89.01</v>
      </c>
      <c r="N1910" s="17" t="n">
        <f aca="false">IFERROR(M1910/K1910,0)</f>
        <v>0.664204163868368</v>
      </c>
    </row>
    <row r="1911" customFormat="false" ht="15" hidden="false" customHeight="false" outlineLevel="0" collapsed="false">
      <c r="A1911" s="15" t="n">
        <v>46102</v>
      </c>
      <c r="B1911" s="14" t="s">
        <v>59</v>
      </c>
      <c r="C1911" s="14" t="s">
        <v>60</v>
      </c>
      <c r="D1911" s="14" t="s">
        <v>61</v>
      </c>
      <c r="E1911" s="14" t="s">
        <v>64</v>
      </c>
      <c r="F1911" s="14" t="s">
        <v>90</v>
      </c>
      <c r="G1911" s="14" t="s">
        <v>91</v>
      </c>
      <c r="H1911" s="0" t="n">
        <v>1</v>
      </c>
      <c r="I1911" s="16" t="n">
        <v>11.75</v>
      </c>
      <c r="J1911" s="16" t="n">
        <v>3.5</v>
      </c>
      <c r="K1911" s="16" t="n">
        <f aca="false">H1911*I1911</f>
        <v>11.75</v>
      </c>
      <c r="L1911" s="16" t="n">
        <f aca="false">H1911*J1911</f>
        <v>3.5</v>
      </c>
      <c r="M1911" s="16" t="n">
        <f aca="false">K1911-L1911</f>
        <v>8.25</v>
      </c>
      <c r="N1911" s="17" t="n">
        <f aca="false">IFERROR(M1911/K1911,0)</f>
        <v>0.702127659574468</v>
      </c>
    </row>
    <row r="1912" customFormat="false" ht="15" hidden="false" customHeight="false" outlineLevel="0" collapsed="false">
      <c r="A1912" s="15" t="n">
        <v>46102</v>
      </c>
      <c r="B1912" s="14" t="s">
        <v>59</v>
      </c>
      <c r="C1912" s="14" t="s">
        <v>60</v>
      </c>
      <c r="D1912" s="14" t="s">
        <v>61</v>
      </c>
      <c r="E1912" s="14" t="s">
        <v>76</v>
      </c>
      <c r="F1912" s="14" t="s">
        <v>100</v>
      </c>
      <c r="G1912" s="14" t="s">
        <v>101</v>
      </c>
      <c r="H1912" s="0" t="n">
        <v>7</v>
      </c>
      <c r="I1912" s="16" t="n">
        <v>15.62</v>
      </c>
      <c r="J1912" s="16" t="n">
        <v>5.5</v>
      </c>
      <c r="K1912" s="16" t="n">
        <f aca="false">H1912*I1912</f>
        <v>109.34</v>
      </c>
      <c r="L1912" s="16" t="n">
        <f aca="false">H1912*J1912</f>
        <v>38.5</v>
      </c>
      <c r="M1912" s="16" t="n">
        <f aca="false">K1912-L1912</f>
        <v>70.84</v>
      </c>
      <c r="N1912" s="17" t="n">
        <f aca="false">IFERROR(M1912/K1912,0)</f>
        <v>0.647887323943662</v>
      </c>
    </row>
    <row r="1913" customFormat="false" ht="15" hidden="false" customHeight="false" outlineLevel="0" collapsed="false">
      <c r="A1913" s="15" t="n">
        <v>46102</v>
      </c>
      <c r="B1913" s="14" t="s">
        <v>59</v>
      </c>
      <c r="C1913" s="14" t="s">
        <v>60</v>
      </c>
      <c r="D1913" s="14" t="s">
        <v>61</v>
      </c>
      <c r="E1913" s="14" t="s">
        <v>76</v>
      </c>
      <c r="F1913" s="14" t="s">
        <v>100</v>
      </c>
      <c r="G1913" s="14" t="s">
        <v>101</v>
      </c>
      <c r="H1913" s="0" t="n">
        <v>3</v>
      </c>
      <c r="I1913" s="16" t="n">
        <v>15.25</v>
      </c>
      <c r="J1913" s="16" t="n">
        <v>5.5</v>
      </c>
      <c r="K1913" s="16" t="n">
        <f aca="false">H1913*I1913</f>
        <v>45.75</v>
      </c>
      <c r="L1913" s="16" t="n">
        <f aca="false">H1913*J1913</f>
        <v>16.5</v>
      </c>
      <c r="M1913" s="16" t="n">
        <f aca="false">K1913-L1913</f>
        <v>29.25</v>
      </c>
      <c r="N1913" s="17" t="n">
        <f aca="false">IFERROR(M1913/K1913,0)</f>
        <v>0.639344262295082</v>
      </c>
    </row>
    <row r="1914" customFormat="false" ht="15" hidden="false" customHeight="false" outlineLevel="0" collapsed="false">
      <c r="A1914" s="15" t="n">
        <v>46102</v>
      </c>
      <c r="B1914" s="14" t="s">
        <v>59</v>
      </c>
      <c r="C1914" s="14" t="s">
        <v>60</v>
      </c>
      <c r="D1914" s="14" t="s">
        <v>61</v>
      </c>
      <c r="E1914" s="14" t="s">
        <v>53</v>
      </c>
      <c r="F1914" s="14" t="s">
        <v>84</v>
      </c>
      <c r="G1914" s="14" t="s">
        <v>85</v>
      </c>
      <c r="H1914" s="0" t="n">
        <v>9</v>
      </c>
      <c r="I1914" s="16" t="n">
        <v>23.77</v>
      </c>
      <c r="J1914" s="16" t="n">
        <v>9</v>
      </c>
      <c r="K1914" s="16" t="n">
        <f aca="false">H1914*I1914</f>
        <v>213.93</v>
      </c>
      <c r="L1914" s="16" t="n">
        <f aca="false">H1914*J1914</f>
        <v>81</v>
      </c>
      <c r="M1914" s="16" t="n">
        <f aca="false">K1914-L1914</f>
        <v>132.93</v>
      </c>
      <c r="N1914" s="17" t="n">
        <f aca="false">IFERROR(M1914/K1914,0)</f>
        <v>0.621371476651241</v>
      </c>
    </row>
    <row r="1915" customFormat="false" ht="15" hidden="false" customHeight="false" outlineLevel="0" collapsed="false">
      <c r="A1915" s="15" t="n">
        <v>46102</v>
      </c>
      <c r="B1915" s="14" t="s">
        <v>59</v>
      </c>
      <c r="C1915" s="14" t="s">
        <v>60</v>
      </c>
      <c r="D1915" s="14" t="s">
        <v>61</v>
      </c>
      <c r="E1915" s="14" t="s">
        <v>53</v>
      </c>
      <c r="F1915" s="14" t="s">
        <v>74</v>
      </c>
      <c r="G1915" s="14" t="s">
        <v>75</v>
      </c>
      <c r="H1915" s="0" t="n">
        <v>8</v>
      </c>
      <c r="I1915" s="16" t="n">
        <v>86.85</v>
      </c>
      <c r="J1915" s="16" t="n">
        <v>38</v>
      </c>
      <c r="K1915" s="16" t="n">
        <f aca="false">H1915*I1915</f>
        <v>694.8</v>
      </c>
      <c r="L1915" s="16" t="n">
        <f aca="false">H1915*J1915</f>
        <v>304</v>
      </c>
      <c r="M1915" s="16" t="n">
        <f aca="false">K1915-L1915</f>
        <v>390.8</v>
      </c>
      <c r="N1915" s="17" t="n">
        <f aca="false">IFERROR(M1915/K1915,0)</f>
        <v>0.562464018422568</v>
      </c>
    </row>
    <row r="1916" customFormat="false" ht="15" hidden="false" customHeight="false" outlineLevel="0" collapsed="false">
      <c r="A1916" s="15" t="n">
        <v>46102</v>
      </c>
      <c r="B1916" s="14" t="s">
        <v>69</v>
      </c>
      <c r="C1916" s="14" t="s">
        <v>70</v>
      </c>
      <c r="D1916" s="14" t="s">
        <v>71</v>
      </c>
      <c r="E1916" s="14" t="s">
        <v>53</v>
      </c>
      <c r="F1916" s="14" t="s">
        <v>54</v>
      </c>
      <c r="G1916" s="14" t="s">
        <v>55</v>
      </c>
      <c r="H1916" s="0" t="n">
        <v>5</v>
      </c>
      <c r="I1916" s="16" t="n">
        <v>54.48</v>
      </c>
      <c r="J1916" s="16" t="n">
        <v>22</v>
      </c>
      <c r="K1916" s="16" t="n">
        <f aca="false">H1916*I1916</f>
        <v>272.4</v>
      </c>
      <c r="L1916" s="16" t="n">
        <f aca="false">H1916*J1916</f>
        <v>110</v>
      </c>
      <c r="M1916" s="16" t="n">
        <f aca="false">K1916-L1916</f>
        <v>162.4</v>
      </c>
      <c r="N1916" s="17" t="n">
        <f aca="false">IFERROR(M1916/K1916,0)</f>
        <v>0.596182085168869</v>
      </c>
    </row>
    <row r="1917" customFormat="false" ht="15" hidden="false" customHeight="false" outlineLevel="0" collapsed="false">
      <c r="A1917" s="15" t="n">
        <v>46102</v>
      </c>
      <c r="B1917" s="14" t="s">
        <v>69</v>
      </c>
      <c r="C1917" s="14" t="s">
        <v>70</v>
      </c>
      <c r="D1917" s="14" t="s">
        <v>71</v>
      </c>
      <c r="E1917" s="14" t="s">
        <v>56</v>
      </c>
      <c r="F1917" s="14" t="s">
        <v>67</v>
      </c>
      <c r="G1917" s="14" t="s">
        <v>68</v>
      </c>
      <c r="H1917" s="0" t="n">
        <v>2</v>
      </c>
      <c r="I1917" s="16" t="n">
        <v>37.08</v>
      </c>
      <c r="J1917" s="16" t="n">
        <v>15</v>
      </c>
      <c r="K1917" s="16" t="n">
        <f aca="false">H1917*I1917</f>
        <v>74.16</v>
      </c>
      <c r="L1917" s="16" t="n">
        <f aca="false">H1917*J1917</f>
        <v>30</v>
      </c>
      <c r="M1917" s="16" t="n">
        <f aca="false">K1917-L1917</f>
        <v>44.16</v>
      </c>
      <c r="N1917" s="17" t="n">
        <f aca="false">IFERROR(M1917/K1917,0)</f>
        <v>0.595469255663431</v>
      </c>
    </row>
    <row r="1918" customFormat="false" ht="15" hidden="false" customHeight="false" outlineLevel="0" collapsed="false">
      <c r="A1918" s="15" t="n">
        <v>46102</v>
      </c>
      <c r="B1918" s="14" t="s">
        <v>81</v>
      </c>
      <c r="C1918" s="14" t="s">
        <v>82</v>
      </c>
      <c r="D1918" s="14" t="s">
        <v>83</v>
      </c>
      <c r="E1918" s="14" t="s">
        <v>64</v>
      </c>
      <c r="F1918" s="14" t="s">
        <v>90</v>
      </c>
      <c r="G1918" s="14" t="s">
        <v>91</v>
      </c>
      <c r="H1918" s="0" t="n">
        <v>2</v>
      </c>
      <c r="I1918" s="16" t="n">
        <v>12</v>
      </c>
      <c r="J1918" s="16" t="n">
        <v>3.5</v>
      </c>
      <c r="K1918" s="16" t="n">
        <f aca="false">H1918*I1918</f>
        <v>24</v>
      </c>
      <c r="L1918" s="16" t="n">
        <f aca="false">H1918*J1918</f>
        <v>7</v>
      </c>
      <c r="M1918" s="16" t="n">
        <f aca="false">K1918-L1918</f>
        <v>17</v>
      </c>
      <c r="N1918" s="17" t="n">
        <f aca="false">IFERROR(M1918/K1918,0)</f>
        <v>0.708333333333333</v>
      </c>
    </row>
    <row r="1919" customFormat="false" ht="15" hidden="false" customHeight="false" outlineLevel="0" collapsed="false">
      <c r="A1919" s="15" t="n">
        <v>46102</v>
      </c>
      <c r="B1919" s="14" t="s">
        <v>81</v>
      </c>
      <c r="C1919" s="14" t="s">
        <v>82</v>
      </c>
      <c r="D1919" s="14" t="s">
        <v>83</v>
      </c>
      <c r="E1919" s="14" t="s">
        <v>45</v>
      </c>
      <c r="F1919" s="14" t="s">
        <v>48</v>
      </c>
      <c r="G1919" s="14" t="s">
        <v>49</v>
      </c>
      <c r="H1919" s="0" t="n">
        <v>6</v>
      </c>
      <c r="I1919" s="16" t="n">
        <v>64.79</v>
      </c>
      <c r="J1919" s="16" t="n">
        <v>27.5</v>
      </c>
      <c r="K1919" s="16" t="n">
        <f aca="false">H1919*I1919</f>
        <v>388.74</v>
      </c>
      <c r="L1919" s="16" t="n">
        <f aca="false">H1919*J1919</f>
        <v>165</v>
      </c>
      <c r="M1919" s="16" t="n">
        <f aca="false">K1919-L1919</f>
        <v>223.74</v>
      </c>
      <c r="N1919" s="17" t="n">
        <f aca="false">IFERROR(M1919/K1919,0)</f>
        <v>0.575551782682513</v>
      </c>
    </row>
    <row r="1920" customFormat="false" ht="15" hidden="false" customHeight="false" outlineLevel="0" collapsed="false">
      <c r="A1920" s="15" t="n">
        <v>46102</v>
      </c>
      <c r="B1920" s="14" t="s">
        <v>81</v>
      </c>
      <c r="C1920" s="14" t="s">
        <v>82</v>
      </c>
      <c r="D1920" s="14" t="s">
        <v>83</v>
      </c>
      <c r="E1920" s="14" t="s">
        <v>53</v>
      </c>
      <c r="F1920" s="14" t="s">
        <v>92</v>
      </c>
      <c r="G1920" s="14" t="s">
        <v>93</v>
      </c>
      <c r="H1920" s="0" t="n">
        <v>4</v>
      </c>
      <c r="I1920" s="16" t="n">
        <v>115.26</v>
      </c>
      <c r="J1920" s="16" t="n">
        <v>52</v>
      </c>
      <c r="K1920" s="16" t="n">
        <f aca="false">H1920*I1920</f>
        <v>461.04</v>
      </c>
      <c r="L1920" s="16" t="n">
        <f aca="false">H1920*J1920</f>
        <v>208</v>
      </c>
      <c r="M1920" s="16" t="n">
        <f aca="false">K1920-L1920</f>
        <v>253.04</v>
      </c>
      <c r="N1920" s="17" t="n">
        <f aca="false">IFERROR(M1920/K1920,0)</f>
        <v>0.548846087107409</v>
      </c>
    </row>
    <row r="1921" customFormat="false" ht="15" hidden="false" customHeight="false" outlineLevel="0" collapsed="false">
      <c r="A1921" s="15" t="n">
        <v>46102</v>
      </c>
      <c r="B1921" s="14" t="s">
        <v>88</v>
      </c>
      <c r="C1921" s="14" t="s">
        <v>89</v>
      </c>
      <c r="D1921" s="14" t="s">
        <v>44</v>
      </c>
      <c r="E1921" s="14" t="s">
        <v>45</v>
      </c>
      <c r="F1921" s="14" t="s">
        <v>48</v>
      </c>
      <c r="G1921" s="14" t="s">
        <v>49</v>
      </c>
      <c r="H1921" s="0" t="n">
        <v>12</v>
      </c>
      <c r="I1921" s="16" t="n">
        <v>64.63</v>
      </c>
      <c r="J1921" s="16" t="n">
        <v>27.5</v>
      </c>
      <c r="K1921" s="16" t="n">
        <f aca="false">H1921*I1921</f>
        <v>775.56</v>
      </c>
      <c r="L1921" s="16" t="n">
        <f aca="false">H1921*J1921</f>
        <v>330</v>
      </c>
      <c r="M1921" s="16" t="n">
        <f aca="false">K1921-L1921</f>
        <v>445.56</v>
      </c>
      <c r="N1921" s="17" t="n">
        <f aca="false">IFERROR(M1921/K1921,0)</f>
        <v>0.574501005724896</v>
      </c>
    </row>
    <row r="1922" customFormat="false" ht="15" hidden="false" customHeight="false" outlineLevel="0" collapsed="false">
      <c r="A1922" s="15" t="n">
        <v>46102</v>
      </c>
      <c r="B1922" s="14" t="s">
        <v>88</v>
      </c>
      <c r="C1922" s="14" t="s">
        <v>89</v>
      </c>
      <c r="D1922" s="14" t="s">
        <v>44</v>
      </c>
      <c r="E1922" s="14" t="s">
        <v>64</v>
      </c>
      <c r="F1922" s="14" t="s">
        <v>96</v>
      </c>
      <c r="G1922" s="14" t="s">
        <v>97</v>
      </c>
      <c r="H1922" s="0" t="n">
        <v>8</v>
      </c>
      <c r="I1922" s="16" t="n">
        <v>54.46</v>
      </c>
      <c r="J1922" s="16" t="n">
        <v>24</v>
      </c>
      <c r="K1922" s="16" t="n">
        <f aca="false">H1922*I1922</f>
        <v>435.68</v>
      </c>
      <c r="L1922" s="16" t="n">
        <f aca="false">H1922*J1922</f>
        <v>192</v>
      </c>
      <c r="M1922" s="16" t="n">
        <f aca="false">K1922-L1922</f>
        <v>243.68</v>
      </c>
      <c r="N1922" s="17" t="n">
        <f aca="false">IFERROR(M1922/K1922,0)</f>
        <v>0.559309585016526</v>
      </c>
    </row>
    <row r="1923" customFormat="false" ht="15" hidden="false" customHeight="false" outlineLevel="0" collapsed="false">
      <c r="A1923" s="15" t="n">
        <v>46102</v>
      </c>
      <c r="B1923" s="14" t="s">
        <v>88</v>
      </c>
      <c r="C1923" s="14" t="s">
        <v>89</v>
      </c>
      <c r="D1923" s="14" t="s">
        <v>44</v>
      </c>
      <c r="E1923" s="14" t="s">
        <v>76</v>
      </c>
      <c r="F1923" s="14" t="s">
        <v>79</v>
      </c>
      <c r="G1923" s="14" t="s">
        <v>80</v>
      </c>
      <c r="H1923" s="0" t="n">
        <v>4</v>
      </c>
      <c r="I1923" s="16" t="n">
        <v>28.39</v>
      </c>
      <c r="J1923" s="16" t="n">
        <v>11</v>
      </c>
      <c r="K1923" s="16" t="n">
        <f aca="false">H1923*I1923</f>
        <v>113.56</v>
      </c>
      <c r="L1923" s="16" t="n">
        <f aca="false">H1923*J1923</f>
        <v>44</v>
      </c>
      <c r="M1923" s="16" t="n">
        <f aca="false">K1923-L1923</f>
        <v>69.56</v>
      </c>
      <c r="N1923" s="17" t="n">
        <f aca="false">IFERROR(M1923/K1923,0)</f>
        <v>0.612539626629095</v>
      </c>
    </row>
    <row r="1924" customFormat="false" ht="15" hidden="false" customHeight="false" outlineLevel="0" collapsed="false">
      <c r="A1924" s="15" t="n">
        <v>46102</v>
      </c>
      <c r="B1924" s="14" t="s">
        <v>88</v>
      </c>
      <c r="C1924" s="14" t="s">
        <v>89</v>
      </c>
      <c r="D1924" s="14" t="s">
        <v>44</v>
      </c>
      <c r="E1924" s="14" t="s">
        <v>64</v>
      </c>
      <c r="F1924" s="14" t="s">
        <v>90</v>
      </c>
      <c r="G1924" s="14" t="s">
        <v>91</v>
      </c>
      <c r="H1924" s="0" t="n">
        <v>9</v>
      </c>
      <c r="I1924" s="16" t="n">
        <v>11.11</v>
      </c>
      <c r="J1924" s="16" t="n">
        <v>3.5</v>
      </c>
      <c r="K1924" s="16" t="n">
        <f aca="false">H1924*I1924</f>
        <v>99.99</v>
      </c>
      <c r="L1924" s="16" t="n">
        <f aca="false">H1924*J1924</f>
        <v>31.5</v>
      </c>
      <c r="M1924" s="16" t="n">
        <f aca="false">K1924-L1924</f>
        <v>68.49</v>
      </c>
      <c r="N1924" s="17" t="n">
        <f aca="false">IFERROR(M1924/K1924,0)</f>
        <v>0.684968496849685</v>
      </c>
    </row>
    <row r="1925" customFormat="false" ht="15" hidden="false" customHeight="false" outlineLevel="0" collapsed="false">
      <c r="A1925" s="15" t="n">
        <v>46102</v>
      </c>
      <c r="B1925" s="14" t="s">
        <v>88</v>
      </c>
      <c r="C1925" s="14" t="s">
        <v>89</v>
      </c>
      <c r="D1925" s="14" t="s">
        <v>44</v>
      </c>
      <c r="E1925" s="14" t="s">
        <v>56</v>
      </c>
      <c r="F1925" s="14" t="s">
        <v>86</v>
      </c>
      <c r="G1925" s="14" t="s">
        <v>87</v>
      </c>
      <c r="H1925" s="0" t="n">
        <v>11</v>
      </c>
      <c r="I1925" s="16" t="n">
        <v>13.97</v>
      </c>
      <c r="J1925" s="16" t="n">
        <v>5</v>
      </c>
      <c r="K1925" s="16" t="n">
        <f aca="false">H1925*I1925</f>
        <v>153.67</v>
      </c>
      <c r="L1925" s="16" t="n">
        <f aca="false">H1925*J1925</f>
        <v>55</v>
      </c>
      <c r="M1925" s="16" t="n">
        <f aca="false">K1925-L1925</f>
        <v>98.67</v>
      </c>
      <c r="N1925" s="17" t="n">
        <f aca="false">IFERROR(M1925/K1925,0)</f>
        <v>0.642090193271296</v>
      </c>
    </row>
    <row r="1926" customFormat="false" ht="15" hidden="false" customHeight="false" outlineLevel="0" collapsed="false">
      <c r="A1926" s="15" t="n">
        <v>46103</v>
      </c>
      <c r="B1926" s="14" t="s">
        <v>42</v>
      </c>
      <c r="C1926" s="14" t="s">
        <v>43</v>
      </c>
      <c r="D1926" s="14" t="s">
        <v>44</v>
      </c>
      <c r="E1926" s="14" t="s">
        <v>53</v>
      </c>
      <c r="F1926" s="14" t="s">
        <v>54</v>
      </c>
      <c r="G1926" s="14" t="s">
        <v>55</v>
      </c>
      <c r="H1926" s="0" t="n">
        <v>2</v>
      </c>
      <c r="I1926" s="16" t="n">
        <v>53.27</v>
      </c>
      <c r="J1926" s="16" t="n">
        <v>22</v>
      </c>
      <c r="K1926" s="16" t="n">
        <f aca="false">H1926*I1926</f>
        <v>106.54</v>
      </c>
      <c r="L1926" s="16" t="n">
        <f aca="false">H1926*J1926</f>
        <v>44</v>
      </c>
      <c r="M1926" s="16" t="n">
        <f aca="false">K1926-L1926</f>
        <v>62.54</v>
      </c>
      <c r="N1926" s="17" t="n">
        <f aca="false">IFERROR(M1926/K1926,0)</f>
        <v>0.58700957386897</v>
      </c>
    </row>
    <row r="1927" customFormat="false" ht="15" hidden="false" customHeight="false" outlineLevel="0" collapsed="false">
      <c r="A1927" s="15" t="n">
        <v>46103</v>
      </c>
      <c r="B1927" s="14" t="s">
        <v>42</v>
      </c>
      <c r="C1927" s="14" t="s">
        <v>43</v>
      </c>
      <c r="D1927" s="14" t="s">
        <v>44</v>
      </c>
      <c r="E1927" s="14" t="s">
        <v>53</v>
      </c>
      <c r="F1927" s="14" t="s">
        <v>92</v>
      </c>
      <c r="G1927" s="14" t="s">
        <v>93</v>
      </c>
      <c r="H1927" s="0" t="n">
        <v>3</v>
      </c>
      <c r="I1927" s="16" t="n">
        <v>115.53</v>
      </c>
      <c r="J1927" s="16" t="n">
        <v>52</v>
      </c>
      <c r="K1927" s="16" t="n">
        <f aca="false">H1927*I1927</f>
        <v>346.59</v>
      </c>
      <c r="L1927" s="16" t="n">
        <f aca="false">H1927*J1927</f>
        <v>156</v>
      </c>
      <c r="M1927" s="16" t="n">
        <f aca="false">K1927-L1927</f>
        <v>190.59</v>
      </c>
      <c r="N1927" s="17" t="n">
        <f aca="false">IFERROR(M1927/K1927,0)</f>
        <v>0.549900458755302</v>
      </c>
    </row>
    <row r="1928" customFormat="false" ht="15" hidden="false" customHeight="false" outlineLevel="0" collapsed="false">
      <c r="A1928" s="15" t="n">
        <v>46103</v>
      </c>
      <c r="B1928" s="14" t="s">
        <v>42</v>
      </c>
      <c r="C1928" s="14" t="s">
        <v>43</v>
      </c>
      <c r="D1928" s="14" t="s">
        <v>44</v>
      </c>
      <c r="E1928" s="14" t="s">
        <v>64</v>
      </c>
      <c r="F1928" s="14" t="s">
        <v>96</v>
      </c>
      <c r="G1928" s="14" t="s">
        <v>97</v>
      </c>
      <c r="H1928" s="0" t="n">
        <v>3</v>
      </c>
      <c r="I1928" s="16" t="n">
        <v>57.45</v>
      </c>
      <c r="J1928" s="16" t="n">
        <v>24</v>
      </c>
      <c r="K1928" s="16" t="n">
        <f aca="false">H1928*I1928</f>
        <v>172.35</v>
      </c>
      <c r="L1928" s="16" t="n">
        <f aca="false">H1928*J1928</f>
        <v>72</v>
      </c>
      <c r="M1928" s="16" t="n">
        <f aca="false">K1928-L1928</f>
        <v>100.35</v>
      </c>
      <c r="N1928" s="17" t="n">
        <f aca="false">IFERROR(M1928/K1928,0)</f>
        <v>0.5822454308094</v>
      </c>
    </row>
    <row r="1929" customFormat="false" ht="15" hidden="false" customHeight="false" outlineLevel="0" collapsed="false">
      <c r="A1929" s="15" t="n">
        <v>46103</v>
      </c>
      <c r="B1929" s="14" t="s">
        <v>42</v>
      </c>
      <c r="C1929" s="14" t="s">
        <v>43</v>
      </c>
      <c r="D1929" s="14" t="s">
        <v>44</v>
      </c>
      <c r="E1929" s="14" t="s">
        <v>45</v>
      </c>
      <c r="F1929" s="14" t="s">
        <v>46</v>
      </c>
      <c r="G1929" s="14" t="s">
        <v>47</v>
      </c>
      <c r="H1929" s="0" t="n">
        <v>5</v>
      </c>
      <c r="I1929" s="16" t="n">
        <v>42.99</v>
      </c>
      <c r="J1929" s="16" t="n">
        <v>18</v>
      </c>
      <c r="K1929" s="16" t="n">
        <f aca="false">H1929*I1929</f>
        <v>214.95</v>
      </c>
      <c r="L1929" s="16" t="n">
        <f aca="false">H1929*J1929</f>
        <v>90</v>
      </c>
      <c r="M1929" s="16" t="n">
        <f aca="false">K1929-L1929</f>
        <v>124.95</v>
      </c>
      <c r="N1929" s="17" t="n">
        <f aca="false">IFERROR(M1929/K1929,0)</f>
        <v>0.581297976273552</v>
      </c>
    </row>
    <row r="1930" customFormat="false" ht="15" hidden="false" customHeight="false" outlineLevel="0" collapsed="false">
      <c r="A1930" s="15" t="n">
        <v>46103</v>
      </c>
      <c r="B1930" s="14" t="s">
        <v>50</v>
      </c>
      <c r="C1930" s="14" t="s">
        <v>51</v>
      </c>
      <c r="D1930" s="14" t="s">
        <v>52</v>
      </c>
      <c r="E1930" s="14" t="s">
        <v>53</v>
      </c>
      <c r="F1930" s="14" t="s">
        <v>74</v>
      </c>
      <c r="G1930" s="14" t="s">
        <v>75</v>
      </c>
      <c r="H1930" s="0" t="n">
        <v>6</v>
      </c>
      <c r="I1930" s="16" t="n">
        <v>85.03</v>
      </c>
      <c r="J1930" s="16" t="n">
        <v>38</v>
      </c>
      <c r="K1930" s="16" t="n">
        <f aca="false">H1930*I1930</f>
        <v>510.18</v>
      </c>
      <c r="L1930" s="16" t="n">
        <f aca="false">H1930*J1930</f>
        <v>228</v>
      </c>
      <c r="M1930" s="16" t="n">
        <f aca="false">K1930-L1930</f>
        <v>282.18</v>
      </c>
      <c r="N1930" s="17" t="n">
        <f aca="false">IFERROR(M1930/K1930,0)</f>
        <v>0.553098906268376</v>
      </c>
    </row>
    <row r="1931" customFormat="false" ht="15" hidden="false" customHeight="false" outlineLevel="0" collapsed="false">
      <c r="A1931" s="15" t="n">
        <v>46103</v>
      </c>
      <c r="B1931" s="14" t="s">
        <v>50</v>
      </c>
      <c r="C1931" s="14" t="s">
        <v>51</v>
      </c>
      <c r="D1931" s="14" t="s">
        <v>52</v>
      </c>
      <c r="E1931" s="14" t="s">
        <v>45</v>
      </c>
      <c r="F1931" s="14" t="s">
        <v>48</v>
      </c>
      <c r="G1931" s="14" t="s">
        <v>49</v>
      </c>
      <c r="H1931" s="0" t="n">
        <v>11</v>
      </c>
      <c r="I1931" s="16" t="n">
        <v>66.32</v>
      </c>
      <c r="J1931" s="16" t="n">
        <v>27.5</v>
      </c>
      <c r="K1931" s="16" t="n">
        <f aca="false">H1931*I1931</f>
        <v>729.52</v>
      </c>
      <c r="L1931" s="16" t="n">
        <f aca="false">H1931*J1931</f>
        <v>302.5</v>
      </c>
      <c r="M1931" s="16" t="n">
        <f aca="false">K1931-L1931</f>
        <v>427.02</v>
      </c>
      <c r="N1931" s="17" t="n">
        <f aca="false">IFERROR(M1931/K1931,0)</f>
        <v>0.585343787696019</v>
      </c>
    </row>
    <row r="1932" customFormat="false" ht="15" hidden="false" customHeight="false" outlineLevel="0" collapsed="false">
      <c r="A1932" s="15" t="n">
        <v>46103</v>
      </c>
      <c r="B1932" s="14" t="s">
        <v>50</v>
      </c>
      <c r="C1932" s="14" t="s">
        <v>51</v>
      </c>
      <c r="D1932" s="14" t="s">
        <v>52</v>
      </c>
      <c r="E1932" s="14" t="s">
        <v>64</v>
      </c>
      <c r="F1932" s="14" t="s">
        <v>65</v>
      </c>
      <c r="G1932" s="14" t="s">
        <v>66</v>
      </c>
      <c r="H1932" s="0" t="n">
        <v>1</v>
      </c>
      <c r="I1932" s="16" t="n">
        <v>72.99</v>
      </c>
      <c r="J1932" s="16" t="n">
        <v>34</v>
      </c>
      <c r="K1932" s="16" t="n">
        <f aca="false">H1932*I1932</f>
        <v>72.99</v>
      </c>
      <c r="L1932" s="16" t="n">
        <f aca="false">H1932*J1932</f>
        <v>34</v>
      </c>
      <c r="M1932" s="16" t="n">
        <f aca="false">K1932-L1932</f>
        <v>38.99</v>
      </c>
      <c r="N1932" s="17" t="n">
        <f aca="false">IFERROR(M1932/K1932,0)</f>
        <v>0.534182764762296</v>
      </c>
    </row>
    <row r="1933" customFormat="false" ht="15" hidden="false" customHeight="false" outlineLevel="0" collapsed="false">
      <c r="A1933" s="15" t="n">
        <v>46103</v>
      </c>
      <c r="B1933" s="14" t="s">
        <v>59</v>
      </c>
      <c r="C1933" s="14" t="s">
        <v>60</v>
      </c>
      <c r="D1933" s="14" t="s">
        <v>61</v>
      </c>
      <c r="E1933" s="14" t="s">
        <v>53</v>
      </c>
      <c r="F1933" s="14" t="s">
        <v>54</v>
      </c>
      <c r="G1933" s="14" t="s">
        <v>55</v>
      </c>
      <c r="H1933" s="0" t="n">
        <v>7</v>
      </c>
      <c r="I1933" s="16" t="n">
        <v>54.6</v>
      </c>
      <c r="J1933" s="16" t="n">
        <v>22</v>
      </c>
      <c r="K1933" s="16" t="n">
        <f aca="false">H1933*I1933</f>
        <v>382.2</v>
      </c>
      <c r="L1933" s="16" t="n">
        <f aca="false">H1933*J1933</f>
        <v>154</v>
      </c>
      <c r="M1933" s="16" t="n">
        <f aca="false">K1933-L1933</f>
        <v>228.2</v>
      </c>
      <c r="N1933" s="17" t="n">
        <f aca="false">IFERROR(M1933/K1933,0)</f>
        <v>0.597069597069597</v>
      </c>
    </row>
    <row r="1934" customFormat="false" ht="15" hidden="false" customHeight="false" outlineLevel="0" collapsed="false">
      <c r="A1934" s="15" t="n">
        <v>46103</v>
      </c>
      <c r="B1934" s="14" t="s">
        <v>59</v>
      </c>
      <c r="C1934" s="14" t="s">
        <v>60</v>
      </c>
      <c r="D1934" s="14" t="s">
        <v>61</v>
      </c>
      <c r="E1934" s="14" t="s">
        <v>53</v>
      </c>
      <c r="F1934" s="14" t="s">
        <v>74</v>
      </c>
      <c r="G1934" s="14" t="s">
        <v>75</v>
      </c>
      <c r="H1934" s="0" t="n">
        <v>1</v>
      </c>
      <c r="I1934" s="16" t="n">
        <v>84.88</v>
      </c>
      <c r="J1934" s="16" t="n">
        <v>38</v>
      </c>
      <c r="K1934" s="16" t="n">
        <f aca="false">H1934*I1934</f>
        <v>84.88</v>
      </c>
      <c r="L1934" s="16" t="n">
        <f aca="false">H1934*J1934</f>
        <v>38</v>
      </c>
      <c r="M1934" s="16" t="n">
        <f aca="false">K1934-L1934</f>
        <v>46.88</v>
      </c>
      <c r="N1934" s="17" t="n">
        <f aca="false">IFERROR(M1934/K1934,0)</f>
        <v>0.552309142318567</v>
      </c>
    </row>
    <row r="1935" customFormat="false" ht="15" hidden="false" customHeight="false" outlineLevel="0" collapsed="false">
      <c r="A1935" s="15" t="n">
        <v>46103</v>
      </c>
      <c r="B1935" s="14" t="s">
        <v>59</v>
      </c>
      <c r="C1935" s="14" t="s">
        <v>60</v>
      </c>
      <c r="D1935" s="14" t="s">
        <v>61</v>
      </c>
      <c r="E1935" s="14" t="s">
        <v>45</v>
      </c>
      <c r="F1935" s="14" t="s">
        <v>46</v>
      </c>
      <c r="G1935" s="14" t="s">
        <v>47</v>
      </c>
      <c r="H1935" s="0" t="n">
        <v>5</v>
      </c>
      <c r="I1935" s="16" t="n">
        <v>43.85</v>
      </c>
      <c r="J1935" s="16" t="n">
        <v>18</v>
      </c>
      <c r="K1935" s="16" t="n">
        <f aca="false">H1935*I1935</f>
        <v>219.25</v>
      </c>
      <c r="L1935" s="16" t="n">
        <f aca="false">H1935*J1935</f>
        <v>90</v>
      </c>
      <c r="M1935" s="16" t="n">
        <f aca="false">K1935-L1935</f>
        <v>129.25</v>
      </c>
      <c r="N1935" s="17" t="n">
        <f aca="false">IFERROR(M1935/K1935,0)</f>
        <v>0.589509692132269</v>
      </c>
    </row>
    <row r="1936" customFormat="false" ht="15" hidden="false" customHeight="false" outlineLevel="0" collapsed="false">
      <c r="A1936" s="15" t="n">
        <v>46103</v>
      </c>
      <c r="B1936" s="14" t="s">
        <v>59</v>
      </c>
      <c r="C1936" s="14" t="s">
        <v>60</v>
      </c>
      <c r="D1936" s="14" t="s">
        <v>61</v>
      </c>
      <c r="E1936" s="14" t="s">
        <v>45</v>
      </c>
      <c r="F1936" s="14" t="s">
        <v>62</v>
      </c>
      <c r="G1936" s="14" t="s">
        <v>63</v>
      </c>
      <c r="H1936" s="0" t="n">
        <v>2</v>
      </c>
      <c r="I1936" s="16" t="n">
        <v>17.71</v>
      </c>
      <c r="J1936" s="16" t="n">
        <v>6.5</v>
      </c>
      <c r="K1936" s="16" t="n">
        <f aca="false">H1936*I1936</f>
        <v>35.42</v>
      </c>
      <c r="L1936" s="16" t="n">
        <f aca="false">H1936*J1936</f>
        <v>13</v>
      </c>
      <c r="M1936" s="16" t="n">
        <f aca="false">K1936-L1936</f>
        <v>22.42</v>
      </c>
      <c r="N1936" s="17" t="n">
        <f aca="false">IFERROR(M1936/K1936,0)</f>
        <v>0.632975719932242</v>
      </c>
    </row>
    <row r="1937" customFormat="false" ht="15" hidden="false" customHeight="false" outlineLevel="0" collapsed="false">
      <c r="A1937" s="15" t="n">
        <v>46103</v>
      </c>
      <c r="B1937" s="14" t="s">
        <v>59</v>
      </c>
      <c r="C1937" s="14" t="s">
        <v>60</v>
      </c>
      <c r="D1937" s="14" t="s">
        <v>61</v>
      </c>
      <c r="E1937" s="14" t="s">
        <v>53</v>
      </c>
      <c r="F1937" s="14" t="s">
        <v>54</v>
      </c>
      <c r="G1937" s="14" t="s">
        <v>55</v>
      </c>
      <c r="H1937" s="0" t="n">
        <v>1</v>
      </c>
      <c r="I1937" s="16" t="n">
        <v>52.43</v>
      </c>
      <c r="J1937" s="16" t="n">
        <v>22</v>
      </c>
      <c r="K1937" s="16" t="n">
        <f aca="false">H1937*I1937</f>
        <v>52.43</v>
      </c>
      <c r="L1937" s="16" t="n">
        <f aca="false">H1937*J1937</f>
        <v>22</v>
      </c>
      <c r="M1937" s="16" t="n">
        <f aca="false">K1937-L1937</f>
        <v>30.43</v>
      </c>
      <c r="N1937" s="17" t="n">
        <f aca="false">IFERROR(M1937/K1937,0)</f>
        <v>0.580392904825482</v>
      </c>
    </row>
    <row r="1938" customFormat="false" ht="15" hidden="false" customHeight="false" outlineLevel="0" collapsed="false">
      <c r="A1938" s="15" t="n">
        <v>46103</v>
      </c>
      <c r="B1938" s="14" t="s">
        <v>69</v>
      </c>
      <c r="C1938" s="14" t="s">
        <v>70</v>
      </c>
      <c r="D1938" s="14" t="s">
        <v>71</v>
      </c>
      <c r="E1938" s="14" t="s">
        <v>76</v>
      </c>
      <c r="F1938" s="14" t="s">
        <v>102</v>
      </c>
      <c r="G1938" s="14" t="s">
        <v>103</v>
      </c>
      <c r="H1938" s="0" t="n">
        <v>4</v>
      </c>
      <c r="I1938" s="16" t="n">
        <v>23.28</v>
      </c>
      <c r="J1938" s="16" t="n">
        <v>8.5</v>
      </c>
      <c r="K1938" s="16" t="n">
        <f aca="false">H1938*I1938</f>
        <v>93.12</v>
      </c>
      <c r="L1938" s="16" t="n">
        <f aca="false">H1938*J1938</f>
        <v>34</v>
      </c>
      <c r="M1938" s="16" t="n">
        <f aca="false">K1938-L1938</f>
        <v>59.12</v>
      </c>
      <c r="N1938" s="17" t="n">
        <f aca="false">IFERROR(M1938/K1938,0)</f>
        <v>0.634879725085911</v>
      </c>
    </row>
    <row r="1939" customFormat="false" ht="15" hidden="false" customHeight="false" outlineLevel="0" collapsed="false">
      <c r="A1939" s="15" t="n">
        <v>46103</v>
      </c>
      <c r="B1939" s="14" t="s">
        <v>69</v>
      </c>
      <c r="C1939" s="14" t="s">
        <v>70</v>
      </c>
      <c r="D1939" s="14" t="s">
        <v>71</v>
      </c>
      <c r="E1939" s="14" t="s">
        <v>56</v>
      </c>
      <c r="F1939" s="14" t="s">
        <v>57</v>
      </c>
      <c r="G1939" s="14" t="s">
        <v>58</v>
      </c>
      <c r="H1939" s="0" t="n">
        <v>8</v>
      </c>
      <c r="I1939" s="16" t="n">
        <v>25.1</v>
      </c>
      <c r="J1939" s="16" t="n">
        <v>10</v>
      </c>
      <c r="K1939" s="16" t="n">
        <f aca="false">H1939*I1939</f>
        <v>200.8</v>
      </c>
      <c r="L1939" s="16" t="n">
        <f aca="false">H1939*J1939</f>
        <v>80</v>
      </c>
      <c r="M1939" s="16" t="n">
        <f aca="false">K1939-L1939</f>
        <v>120.8</v>
      </c>
      <c r="N1939" s="17" t="n">
        <f aca="false">IFERROR(M1939/K1939,0)</f>
        <v>0.601593625498008</v>
      </c>
    </row>
    <row r="1940" customFormat="false" ht="15" hidden="false" customHeight="false" outlineLevel="0" collapsed="false">
      <c r="A1940" s="15" t="n">
        <v>46103</v>
      </c>
      <c r="B1940" s="14" t="s">
        <v>81</v>
      </c>
      <c r="C1940" s="14" t="s">
        <v>82</v>
      </c>
      <c r="D1940" s="14" t="s">
        <v>83</v>
      </c>
      <c r="E1940" s="14" t="s">
        <v>45</v>
      </c>
      <c r="F1940" s="14" t="s">
        <v>46</v>
      </c>
      <c r="G1940" s="14" t="s">
        <v>47</v>
      </c>
      <c r="H1940" s="0" t="n">
        <v>6</v>
      </c>
      <c r="I1940" s="16" t="n">
        <v>42.03</v>
      </c>
      <c r="J1940" s="16" t="n">
        <v>18</v>
      </c>
      <c r="K1940" s="16" t="n">
        <f aca="false">H1940*I1940</f>
        <v>252.18</v>
      </c>
      <c r="L1940" s="16" t="n">
        <f aca="false">H1940*J1940</f>
        <v>108</v>
      </c>
      <c r="M1940" s="16" t="n">
        <f aca="false">K1940-L1940</f>
        <v>144.18</v>
      </c>
      <c r="N1940" s="17" t="n">
        <f aca="false">IFERROR(M1940/K1940,0)</f>
        <v>0.571734475374732</v>
      </c>
    </row>
    <row r="1941" customFormat="false" ht="15" hidden="false" customHeight="false" outlineLevel="0" collapsed="false">
      <c r="A1941" s="15" t="n">
        <v>46103</v>
      </c>
      <c r="B1941" s="14" t="s">
        <v>81</v>
      </c>
      <c r="C1941" s="14" t="s">
        <v>82</v>
      </c>
      <c r="D1941" s="14" t="s">
        <v>83</v>
      </c>
      <c r="E1941" s="14" t="s">
        <v>64</v>
      </c>
      <c r="F1941" s="14" t="s">
        <v>94</v>
      </c>
      <c r="G1941" s="14" t="s">
        <v>95</v>
      </c>
      <c r="H1941" s="0" t="n">
        <v>1</v>
      </c>
      <c r="I1941" s="16" t="n">
        <v>94.16</v>
      </c>
      <c r="J1941" s="16" t="n">
        <v>42</v>
      </c>
      <c r="K1941" s="16" t="n">
        <f aca="false">H1941*I1941</f>
        <v>94.16</v>
      </c>
      <c r="L1941" s="16" t="n">
        <f aca="false">H1941*J1941</f>
        <v>42</v>
      </c>
      <c r="M1941" s="16" t="n">
        <f aca="false">K1941-L1941</f>
        <v>52.16</v>
      </c>
      <c r="N1941" s="17" t="n">
        <f aca="false">IFERROR(M1941/K1941,0)</f>
        <v>0.553950722175021</v>
      </c>
    </row>
    <row r="1942" customFormat="false" ht="15" hidden="false" customHeight="false" outlineLevel="0" collapsed="false">
      <c r="A1942" s="15" t="n">
        <v>46103</v>
      </c>
      <c r="B1942" s="14" t="s">
        <v>81</v>
      </c>
      <c r="C1942" s="14" t="s">
        <v>82</v>
      </c>
      <c r="D1942" s="14" t="s">
        <v>83</v>
      </c>
      <c r="E1942" s="14" t="s">
        <v>64</v>
      </c>
      <c r="F1942" s="14" t="s">
        <v>96</v>
      </c>
      <c r="G1942" s="14" t="s">
        <v>97</v>
      </c>
      <c r="H1942" s="0" t="n">
        <v>2</v>
      </c>
      <c r="I1942" s="16" t="n">
        <v>57.39</v>
      </c>
      <c r="J1942" s="16" t="n">
        <v>24</v>
      </c>
      <c r="K1942" s="16" t="n">
        <f aca="false">H1942*I1942</f>
        <v>114.78</v>
      </c>
      <c r="L1942" s="16" t="n">
        <f aca="false">H1942*J1942</f>
        <v>48</v>
      </c>
      <c r="M1942" s="16" t="n">
        <f aca="false">K1942-L1942</f>
        <v>66.78</v>
      </c>
      <c r="N1942" s="17" t="n">
        <f aca="false">IFERROR(M1942/K1942,0)</f>
        <v>0.581808677469943</v>
      </c>
    </row>
    <row r="1943" customFormat="false" ht="15" hidden="false" customHeight="false" outlineLevel="0" collapsed="false">
      <c r="A1943" s="15" t="n">
        <v>46103</v>
      </c>
      <c r="B1943" s="14" t="s">
        <v>88</v>
      </c>
      <c r="C1943" s="14" t="s">
        <v>89</v>
      </c>
      <c r="D1943" s="14" t="s">
        <v>44</v>
      </c>
      <c r="E1943" s="14" t="s">
        <v>56</v>
      </c>
      <c r="F1943" s="14" t="s">
        <v>67</v>
      </c>
      <c r="G1943" s="14" t="s">
        <v>68</v>
      </c>
      <c r="H1943" s="0" t="n">
        <v>1</v>
      </c>
      <c r="I1943" s="16" t="n">
        <v>35.16</v>
      </c>
      <c r="J1943" s="16" t="n">
        <v>15</v>
      </c>
      <c r="K1943" s="16" t="n">
        <f aca="false">H1943*I1943</f>
        <v>35.16</v>
      </c>
      <c r="L1943" s="16" t="n">
        <f aca="false">H1943*J1943</f>
        <v>15</v>
      </c>
      <c r="M1943" s="16" t="n">
        <f aca="false">K1943-L1943</f>
        <v>20.16</v>
      </c>
      <c r="N1943" s="17" t="n">
        <f aca="false">IFERROR(M1943/K1943,0)</f>
        <v>0.573378839590444</v>
      </c>
    </row>
    <row r="1944" customFormat="false" ht="15" hidden="false" customHeight="false" outlineLevel="0" collapsed="false">
      <c r="A1944" s="15" t="n">
        <v>46103</v>
      </c>
      <c r="B1944" s="14" t="s">
        <v>88</v>
      </c>
      <c r="C1944" s="14" t="s">
        <v>89</v>
      </c>
      <c r="D1944" s="14" t="s">
        <v>44</v>
      </c>
      <c r="E1944" s="14" t="s">
        <v>53</v>
      </c>
      <c r="F1944" s="14" t="s">
        <v>84</v>
      </c>
      <c r="G1944" s="14" t="s">
        <v>85</v>
      </c>
      <c r="H1944" s="0" t="n">
        <v>7</v>
      </c>
      <c r="I1944" s="16" t="n">
        <v>24.54</v>
      </c>
      <c r="J1944" s="16" t="n">
        <v>9</v>
      </c>
      <c r="K1944" s="16" t="n">
        <f aca="false">H1944*I1944</f>
        <v>171.78</v>
      </c>
      <c r="L1944" s="16" t="n">
        <f aca="false">H1944*J1944</f>
        <v>63</v>
      </c>
      <c r="M1944" s="16" t="n">
        <f aca="false">K1944-L1944</f>
        <v>108.78</v>
      </c>
      <c r="N1944" s="17" t="n">
        <f aca="false">IFERROR(M1944/K1944,0)</f>
        <v>0.633251833740831</v>
      </c>
    </row>
    <row r="1945" customFormat="false" ht="15" hidden="false" customHeight="false" outlineLevel="0" collapsed="false">
      <c r="A1945" s="15" t="n">
        <v>46103</v>
      </c>
      <c r="B1945" s="14" t="s">
        <v>88</v>
      </c>
      <c r="C1945" s="14" t="s">
        <v>89</v>
      </c>
      <c r="D1945" s="14" t="s">
        <v>44</v>
      </c>
      <c r="E1945" s="14" t="s">
        <v>64</v>
      </c>
      <c r="F1945" s="14" t="s">
        <v>65</v>
      </c>
      <c r="G1945" s="14" t="s">
        <v>66</v>
      </c>
      <c r="H1945" s="0" t="n">
        <v>4</v>
      </c>
      <c r="I1945" s="16" t="n">
        <v>74.27</v>
      </c>
      <c r="J1945" s="16" t="n">
        <v>34</v>
      </c>
      <c r="K1945" s="16" t="n">
        <f aca="false">H1945*I1945</f>
        <v>297.08</v>
      </c>
      <c r="L1945" s="16" t="n">
        <f aca="false">H1945*J1945</f>
        <v>136</v>
      </c>
      <c r="M1945" s="16" t="n">
        <f aca="false">K1945-L1945</f>
        <v>161.08</v>
      </c>
      <c r="N1945" s="17" t="n">
        <f aca="false">IFERROR(M1945/K1945,0)</f>
        <v>0.542210852295678</v>
      </c>
    </row>
    <row r="1946" customFormat="false" ht="15" hidden="false" customHeight="false" outlineLevel="0" collapsed="false">
      <c r="A1946" s="15" t="n">
        <v>46103</v>
      </c>
      <c r="B1946" s="14" t="s">
        <v>88</v>
      </c>
      <c r="C1946" s="14" t="s">
        <v>89</v>
      </c>
      <c r="D1946" s="14" t="s">
        <v>44</v>
      </c>
      <c r="E1946" s="14" t="s">
        <v>45</v>
      </c>
      <c r="F1946" s="14" t="s">
        <v>46</v>
      </c>
      <c r="G1946" s="14" t="s">
        <v>47</v>
      </c>
      <c r="H1946" s="0" t="n">
        <v>10</v>
      </c>
      <c r="I1946" s="16" t="n">
        <v>43.84</v>
      </c>
      <c r="J1946" s="16" t="n">
        <v>18</v>
      </c>
      <c r="K1946" s="16" t="n">
        <f aca="false">H1946*I1946</f>
        <v>438.4</v>
      </c>
      <c r="L1946" s="16" t="n">
        <f aca="false">H1946*J1946</f>
        <v>180</v>
      </c>
      <c r="M1946" s="16" t="n">
        <f aca="false">K1946-L1946</f>
        <v>258.4</v>
      </c>
      <c r="N1946" s="17" t="n">
        <f aca="false">IFERROR(M1946/K1946,0)</f>
        <v>0.589416058394161</v>
      </c>
    </row>
    <row r="1947" customFormat="false" ht="15" hidden="false" customHeight="false" outlineLevel="0" collapsed="false">
      <c r="A1947" s="15" t="n">
        <v>46104</v>
      </c>
      <c r="B1947" s="14" t="s">
        <v>42</v>
      </c>
      <c r="C1947" s="14" t="s">
        <v>43</v>
      </c>
      <c r="D1947" s="14" t="s">
        <v>44</v>
      </c>
      <c r="E1947" s="14" t="s">
        <v>76</v>
      </c>
      <c r="F1947" s="14" t="s">
        <v>77</v>
      </c>
      <c r="G1947" s="14" t="s">
        <v>78</v>
      </c>
      <c r="H1947" s="0" t="n">
        <v>8</v>
      </c>
      <c r="I1947" s="16" t="n">
        <v>41.93</v>
      </c>
      <c r="J1947" s="16" t="n">
        <v>15</v>
      </c>
      <c r="K1947" s="16" t="n">
        <f aca="false">H1947*I1947</f>
        <v>335.44</v>
      </c>
      <c r="L1947" s="16" t="n">
        <f aca="false">H1947*J1947</f>
        <v>120</v>
      </c>
      <c r="M1947" s="16" t="n">
        <f aca="false">K1947-L1947</f>
        <v>215.44</v>
      </c>
      <c r="N1947" s="17" t="n">
        <f aca="false">IFERROR(M1947/K1947,0)</f>
        <v>0.642260911042213</v>
      </c>
    </row>
    <row r="1948" customFormat="false" ht="15" hidden="false" customHeight="false" outlineLevel="0" collapsed="false">
      <c r="A1948" s="15" t="n">
        <v>46104</v>
      </c>
      <c r="B1948" s="14" t="s">
        <v>42</v>
      </c>
      <c r="C1948" s="14" t="s">
        <v>43</v>
      </c>
      <c r="D1948" s="14" t="s">
        <v>44</v>
      </c>
      <c r="E1948" s="14" t="s">
        <v>64</v>
      </c>
      <c r="F1948" s="14" t="s">
        <v>65</v>
      </c>
      <c r="G1948" s="14" t="s">
        <v>66</v>
      </c>
      <c r="H1948" s="0" t="n">
        <v>7</v>
      </c>
      <c r="I1948" s="16" t="n">
        <v>72.79</v>
      </c>
      <c r="J1948" s="16" t="n">
        <v>34</v>
      </c>
      <c r="K1948" s="16" t="n">
        <f aca="false">H1948*I1948</f>
        <v>509.53</v>
      </c>
      <c r="L1948" s="16" t="n">
        <f aca="false">H1948*J1948</f>
        <v>238</v>
      </c>
      <c r="M1948" s="16" t="n">
        <f aca="false">K1948-L1948</f>
        <v>271.53</v>
      </c>
      <c r="N1948" s="17" t="n">
        <f aca="false">IFERROR(M1948/K1948,0)</f>
        <v>0.532902871273527</v>
      </c>
    </row>
    <row r="1949" customFormat="false" ht="15" hidden="false" customHeight="false" outlineLevel="0" collapsed="false">
      <c r="A1949" s="15" t="n">
        <v>46104</v>
      </c>
      <c r="B1949" s="14" t="s">
        <v>42</v>
      </c>
      <c r="C1949" s="14" t="s">
        <v>43</v>
      </c>
      <c r="D1949" s="14" t="s">
        <v>44</v>
      </c>
      <c r="E1949" s="14" t="s">
        <v>56</v>
      </c>
      <c r="F1949" s="14" t="s">
        <v>57</v>
      </c>
      <c r="G1949" s="14" t="s">
        <v>58</v>
      </c>
      <c r="H1949" s="0" t="n">
        <v>10</v>
      </c>
      <c r="I1949" s="16" t="n">
        <v>25.94</v>
      </c>
      <c r="J1949" s="16" t="n">
        <v>10</v>
      </c>
      <c r="K1949" s="16" t="n">
        <f aca="false">H1949*I1949</f>
        <v>259.4</v>
      </c>
      <c r="L1949" s="16" t="n">
        <f aca="false">H1949*J1949</f>
        <v>100</v>
      </c>
      <c r="M1949" s="16" t="n">
        <f aca="false">K1949-L1949</f>
        <v>159.4</v>
      </c>
      <c r="N1949" s="17" t="n">
        <f aca="false">IFERROR(M1949/K1949,0)</f>
        <v>0.61449498843485</v>
      </c>
    </row>
    <row r="1950" customFormat="false" ht="15" hidden="false" customHeight="false" outlineLevel="0" collapsed="false">
      <c r="A1950" s="15" t="n">
        <v>46104</v>
      </c>
      <c r="B1950" s="14" t="s">
        <v>50</v>
      </c>
      <c r="C1950" s="14" t="s">
        <v>51</v>
      </c>
      <c r="D1950" s="14" t="s">
        <v>52</v>
      </c>
      <c r="E1950" s="14" t="s">
        <v>56</v>
      </c>
      <c r="F1950" s="14" t="s">
        <v>98</v>
      </c>
      <c r="G1950" s="14" t="s">
        <v>99</v>
      </c>
      <c r="H1950" s="0" t="n">
        <v>5</v>
      </c>
      <c r="I1950" s="16" t="n">
        <v>20.28</v>
      </c>
      <c r="J1950" s="16" t="n">
        <v>8</v>
      </c>
      <c r="K1950" s="16" t="n">
        <f aca="false">H1950*I1950</f>
        <v>101.4</v>
      </c>
      <c r="L1950" s="16" t="n">
        <f aca="false">H1950*J1950</f>
        <v>40</v>
      </c>
      <c r="M1950" s="16" t="n">
        <f aca="false">K1950-L1950</f>
        <v>61.4</v>
      </c>
      <c r="N1950" s="17" t="n">
        <f aca="false">IFERROR(M1950/K1950,0)</f>
        <v>0.605522682445759</v>
      </c>
    </row>
    <row r="1951" customFormat="false" ht="15" hidden="false" customHeight="false" outlineLevel="0" collapsed="false">
      <c r="A1951" s="15" t="n">
        <v>46104</v>
      </c>
      <c r="B1951" s="14" t="s">
        <v>50</v>
      </c>
      <c r="C1951" s="14" t="s">
        <v>51</v>
      </c>
      <c r="D1951" s="14" t="s">
        <v>52</v>
      </c>
      <c r="E1951" s="14" t="s">
        <v>45</v>
      </c>
      <c r="F1951" s="14" t="s">
        <v>46</v>
      </c>
      <c r="G1951" s="14" t="s">
        <v>47</v>
      </c>
      <c r="H1951" s="0" t="n">
        <v>5</v>
      </c>
      <c r="I1951" s="16" t="n">
        <v>44.06</v>
      </c>
      <c r="J1951" s="16" t="n">
        <v>18</v>
      </c>
      <c r="K1951" s="16" t="n">
        <f aca="false">H1951*I1951</f>
        <v>220.3</v>
      </c>
      <c r="L1951" s="16" t="n">
        <f aca="false">H1951*J1951</f>
        <v>90</v>
      </c>
      <c r="M1951" s="16" t="n">
        <f aca="false">K1951-L1951</f>
        <v>130.3</v>
      </c>
      <c r="N1951" s="17" t="n">
        <f aca="false">IFERROR(M1951/K1951,0)</f>
        <v>0.591466182478439</v>
      </c>
    </row>
    <row r="1952" customFormat="false" ht="15" hidden="false" customHeight="false" outlineLevel="0" collapsed="false">
      <c r="A1952" s="15" t="n">
        <v>46104</v>
      </c>
      <c r="B1952" s="14" t="s">
        <v>50</v>
      </c>
      <c r="C1952" s="14" t="s">
        <v>51</v>
      </c>
      <c r="D1952" s="14" t="s">
        <v>52</v>
      </c>
      <c r="E1952" s="14" t="s">
        <v>53</v>
      </c>
      <c r="F1952" s="14" t="s">
        <v>74</v>
      </c>
      <c r="G1952" s="14" t="s">
        <v>75</v>
      </c>
      <c r="H1952" s="0" t="n">
        <v>1</v>
      </c>
      <c r="I1952" s="16" t="n">
        <v>82.86</v>
      </c>
      <c r="J1952" s="16" t="n">
        <v>38</v>
      </c>
      <c r="K1952" s="16" t="n">
        <f aca="false">H1952*I1952</f>
        <v>82.86</v>
      </c>
      <c r="L1952" s="16" t="n">
        <f aca="false">H1952*J1952</f>
        <v>38</v>
      </c>
      <c r="M1952" s="16" t="n">
        <f aca="false">K1952-L1952</f>
        <v>44.86</v>
      </c>
      <c r="N1952" s="17" t="n">
        <f aca="false">IFERROR(M1952/K1952,0)</f>
        <v>0.541395124306058</v>
      </c>
    </row>
    <row r="1953" customFormat="false" ht="15" hidden="false" customHeight="false" outlineLevel="0" collapsed="false">
      <c r="A1953" s="15" t="n">
        <v>46104</v>
      </c>
      <c r="B1953" s="14" t="s">
        <v>59</v>
      </c>
      <c r="C1953" s="14" t="s">
        <v>60</v>
      </c>
      <c r="D1953" s="14" t="s">
        <v>61</v>
      </c>
      <c r="E1953" s="14" t="s">
        <v>76</v>
      </c>
      <c r="F1953" s="14" t="s">
        <v>77</v>
      </c>
      <c r="G1953" s="14" t="s">
        <v>78</v>
      </c>
      <c r="H1953" s="0" t="n">
        <v>3</v>
      </c>
      <c r="I1953" s="16" t="n">
        <v>39.9</v>
      </c>
      <c r="J1953" s="16" t="n">
        <v>15</v>
      </c>
      <c r="K1953" s="16" t="n">
        <f aca="false">H1953*I1953</f>
        <v>119.7</v>
      </c>
      <c r="L1953" s="16" t="n">
        <f aca="false">H1953*J1953</f>
        <v>45</v>
      </c>
      <c r="M1953" s="16" t="n">
        <f aca="false">K1953-L1953</f>
        <v>74.7</v>
      </c>
      <c r="N1953" s="17" t="n">
        <f aca="false">IFERROR(M1953/K1953,0)</f>
        <v>0.62406015037594</v>
      </c>
    </row>
    <row r="1954" customFormat="false" ht="15" hidden="false" customHeight="false" outlineLevel="0" collapsed="false">
      <c r="A1954" s="15" t="n">
        <v>46104</v>
      </c>
      <c r="B1954" s="14" t="s">
        <v>59</v>
      </c>
      <c r="C1954" s="14" t="s">
        <v>60</v>
      </c>
      <c r="D1954" s="14" t="s">
        <v>61</v>
      </c>
      <c r="E1954" s="14" t="s">
        <v>45</v>
      </c>
      <c r="F1954" s="14" t="s">
        <v>62</v>
      </c>
      <c r="G1954" s="14" t="s">
        <v>63</v>
      </c>
      <c r="H1954" s="0" t="n">
        <v>8</v>
      </c>
      <c r="I1954" s="16" t="n">
        <v>17.62</v>
      </c>
      <c r="J1954" s="16" t="n">
        <v>6.5</v>
      </c>
      <c r="K1954" s="16" t="n">
        <f aca="false">H1954*I1954</f>
        <v>140.96</v>
      </c>
      <c r="L1954" s="16" t="n">
        <f aca="false">H1954*J1954</f>
        <v>52</v>
      </c>
      <c r="M1954" s="16" t="n">
        <f aca="false">K1954-L1954</f>
        <v>88.96</v>
      </c>
      <c r="N1954" s="17" t="n">
        <f aca="false">IFERROR(M1954/K1954,0)</f>
        <v>0.631101021566402</v>
      </c>
    </row>
    <row r="1955" customFormat="false" ht="15" hidden="false" customHeight="false" outlineLevel="0" collapsed="false">
      <c r="A1955" s="15" t="n">
        <v>46104</v>
      </c>
      <c r="B1955" s="14" t="s">
        <v>59</v>
      </c>
      <c r="C1955" s="14" t="s">
        <v>60</v>
      </c>
      <c r="D1955" s="14" t="s">
        <v>61</v>
      </c>
      <c r="E1955" s="14" t="s">
        <v>76</v>
      </c>
      <c r="F1955" s="14" t="s">
        <v>77</v>
      </c>
      <c r="G1955" s="14" t="s">
        <v>78</v>
      </c>
      <c r="H1955" s="0" t="n">
        <v>4</v>
      </c>
      <c r="I1955" s="16" t="n">
        <v>39.71</v>
      </c>
      <c r="J1955" s="16" t="n">
        <v>15</v>
      </c>
      <c r="K1955" s="16" t="n">
        <f aca="false">H1955*I1955</f>
        <v>158.84</v>
      </c>
      <c r="L1955" s="16" t="n">
        <f aca="false">H1955*J1955</f>
        <v>60</v>
      </c>
      <c r="M1955" s="16" t="n">
        <f aca="false">K1955-L1955</f>
        <v>98.84</v>
      </c>
      <c r="N1955" s="17" t="n">
        <f aca="false">IFERROR(M1955/K1955,0)</f>
        <v>0.622261395114581</v>
      </c>
    </row>
    <row r="1956" customFormat="false" ht="15" hidden="false" customHeight="false" outlineLevel="0" collapsed="false">
      <c r="A1956" s="15" t="n">
        <v>46104</v>
      </c>
      <c r="B1956" s="14" t="s">
        <v>59</v>
      </c>
      <c r="C1956" s="14" t="s">
        <v>60</v>
      </c>
      <c r="D1956" s="14" t="s">
        <v>61</v>
      </c>
      <c r="E1956" s="14" t="s">
        <v>45</v>
      </c>
      <c r="F1956" s="14" t="s">
        <v>72</v>
      </c>
      <c r="G1956" s="14" t="s">
        <v>73</v>
      </c>
      <c r="H1956" s="0" t="n">
        <v>5</v>
      </c>
      <c r="I1956" s="16" t="n">
        <v>50.96</v>
      </c>
      <c r="J1956" s="16" t="n">
        <v>21</v>
      </c>
      <c r="K1956" s="16" t="n">
        <f aca="false">H1956*I1956</f>
        <v>254.8</v>
      </c>
      <c r="L1956" s="16" t="n">
        <f aca="false">H1956*J1956</f>
        <v>105</v>
      </c>
      <c r="M1956" s="16" t="n">
        <f aca="false">K1956-L1956</f>
        <v>149.8</v>
      </c>
      <c r="N1956" s="17" t="n">
        <f aca="false">IFERROR(M1956/K1956,0)</f>
        <v>0.587912087912088</v>
      </c>
    </row>
    <row r="1957" customFormat="false" ht="15" hidden="false" customHeight="false" outlineLevel="0" collapsed="false">
      <c r="A1957" s="15" t="n">
        <v>46104</v>
      </c>
      <c r="B1957" s="14" t="s">
        <v>59</v>
      </c>
      <c r="C1957" s="14" t="s">
        <v>60</v>
      </c>
      <c r="D1957" s="14" t="s">
        <v>61</v>
      </c>
      <c r="E1957" s="14" t="s">
        <v>53</v>
      </c>
      <c r="F1957" s="14" t="s">
        <v>92</v>
      </c>
      <c r="G1957" s="14" t="s">
        <v>93</v>
      </c>
      <c r="H1957" s="0" t="n">
        <v>5</v>
      </c>
      <c r="I1957" s="16" t="n">
        <v>112.73</v>
      </c>
      <c r="J1957" s="16" t="n">
        <v>52</v>
      </c>
      <c r="K1957" s="16" t="n">
        <f aca="false">H1957*I1957</f>
        <v>563.65</v>
      </c>
      <c r="L1957" s="16" t="n">
        <f aca="false">H1957*J1957</f>
        <v>260</v>
      </c>
      <c r="M1957" s="16" t="n">
        <f aca="false">K1957-L1957</f>
        <v>303.65</v>
      </c>
      <c r="N1957" s="17" t="n">
        <f aca="false">IFERROR(M1957/K1957,0)</f>
        <v>0.538720837399095</v>
      </c>
    </row>
    <row r="1958" customFormat="false" ht="15" hidden="false" customHeight="false" outlineLevel="0" collapsed="false">
      <c r="A1958" s="15" t="n">
        <v>46104</v>
      </c>
      <c r="B1958" s="14" t="s">
        <v>69</v>
      </c>
      <c r="C1958" s="14" t="s">
        <v>70</v>
      </c>
      <c r="D1958" s="14" t="s">
        <v>71</v>
      </c>
      <c r="E1958" s="14" t="s">
        <v>45</v>
      </c>
      <c r="F1958" s="14" t="s">
        <v>62</v>
      </c>
      <c r="G1958" s="14" t="s">
        <v>63</v>
      </c>
      <c r="H1958" s="0" t="n">
        <v>4</v>
      </c>
      <c r="I1958" s="16" t="n">
        <v>17.44</v>
      </c>
      <c r="J1958" s="16" t="n">
        <v>6.5</v>
      </c>
      <c r="K1958" s="16" t="n">
        <f aca="false">H1958*I1958</f>
        <v>69.76</v>
      </c>
      <c r="L1958" s="16" t="n">
        <f aca="false">H1958*J1958</f>
        <v>26</v>
      </c>
      <c r="M1958" s="16" t="n">
        <f aca="false">K1958-L1958</f>
        <v>43.76</v>
      </c>
      <c r="N1958" s="17" t="n">
        <f aca="false">IFERROR(M1958/K1958,0)</f>
        <v>0.627293577981651</v>
      </c>
    </row>
    <row r="1959" customFormat="false" ht="15" hidden="false" customHeight="false" outlineLevel="0" collapsed="false">
      <c r="A1959" s="15" t="n">
        <v>46104</v>
      </c>
      <c r="B1959" s="14" t="s">
        <v>69</v>
      </c>
      <c r="C1959" s="14" t="s">
        <v>70</v>
      </c>
      <c r="D1959" s="14" t="s">
        <v>71</v>
      </c>
      <c r="E1959" s="14" t="s">
        <v>64</v>
      </c>
      <c r="F1959" s="14" t="s">
        <v>94</v>
      </c>
      <c r="G1959" s="14" t="s">
        <v>95</v>
      </c>
      <c r="H1959" s="0" t="n">
        <v>2</v>
      </c>
      <c r="I1959" s="16" t="n">
        <v>94.58</v>
      </c>
      <c r="J1959" s="16" t="n">
        <v>42</v>
      </c>
      <c r="K1959" s="16" t="n">
        <f aca="false">H1959*I1959</f>
        <v>189.16</v>
      </c>
      <c r="L1959" s="16" t="n">
        <f aca="false">H1959*J1959</f>
        <v>84</v>
      </c>
      <c r="M1959" s="16" t="n">
        <f aca="false">K1959-L1959</f>
        <v>105.16</v>
      </c>
      <c r="N1959" s="17" t="n">
        <f aca="false">IFERROR(M1959/K1959,0)</f>
        <v>0.555931486572214</v>
      </c>
    </row>
    <row r="1960" customFormat="false" ht="15" hidden="false" customHeight="false" outlineLevel="0" collapsed="false">
      <c r="A1960" s="15" t="n">
        <v>46104</v>
      </c>
      <c r="B1960" s="14" t="s">
        <v>69</v>
      </c>
      <c r="C1960" s="14" t="s">
        <v>70</v>
      </c>
      <c r="D1960" s="14" t="s">
        <v>71</v>
      </c>
      <c r="E1960" s="14" t="s">
        <v>45</v>
      </c>
      <c r="F1960" s="14" t="s">
        <v>48</v>
      </c>
      <c r="G1960" s="14" t="s">
        <v>49</v>
      </c>
      <c r="H1960" s="0" t="n">
        <v>7</v>
      </c>
      <c r="I1960" s="16" t="n">
        <v>62.94</v>
      </c>
      <c r="J1960" s="16" t="n">
        <v>27.5</v>
      </c>
      <c r="K1960" s="16" t="n">
        <f aca="false">H1960*I1960</f>
        <v>440.58</v>
      </c>
      <c r="L1960" s="16" t="n">
        <f aca="false">H1960*J1960</f>
        <v>192.5</v>
      </c>
      <c r="M1960" s="16" t="n">
        <f aca="false">K1960-L1960</f>
        <v>248.08</v>
      </c>
      <c r="N1960" s="17" t="n">
        <f aca="false">IFERROR(M1960/K1960,0)</f>
        <v>0.563075945344773</v>
      </c>
    </row>
    <row r="1961" customFormat="false" ht="15" hidden="false" customHeight="false" outlineLevel="0" collapsed="false">
      <c r="A1961" s="15" t="n">
        <v>46104</v>
      </c>
      <c r="B1961" s="14" t="s">
        <v>69</v>
      </c>
      <c r="C1961" s="14" t="s">
        <v>70</v>
      </c>
      <c r="D1961" s="14" t="s">
        <v>71</v>
      </c>
      <c r="E1961" s="14" t="s">
        <v>53</v>
      </c>
      <c r="F1961" s="14" t="s">
        <v>74</v>
      </c>
      <c r="G1961" s="14" t="s">
        <v>75</v>
      </c>
      <c r="H1961" s="0" t="n">
        <v>3</v>
      </c>
      <c r="I1961" s="16" t="n">
        <v>88.56</v>
      </c>
      <c r="J1961" s="16" t="n">
        <v>38</v>
      </c>
      <c r="K1961" s="16" t="n">
        <f aca="false">H1961*I1961</f>
        <v>265.68</v>
      </c>
      <c r="L1961" s="16" t="n">
        <f aca="false">H1961*J1961</f>
        <v>114</v>
      </c>
      <c r="M1961" s="16" t="n">
        <f aca="false">K1961-L1961</f>
        <v>151.68</v>
      </c>
      <c r="N1961" s="17" t="n">
        <f aca="false">IFERROR(M1961/K1961,0)</f>
        <v>0.570912375790425</v>
      </c>
    </row>
    <row r="1962" customFormat="false" ht="15" hidden="false" customHeight="false" outlineLevel="0" collapsed="false">
      <c r="A1962" s="15" t="n">
        <v>46104</v>
      </c>
      <c r="B1962" s="14" t="s">
        <v>69</v>
      </c>
      <c r="C1962" s="14" t="s">
        <v>70</v>
      </c>
      <c r="D1962" s="14" t="s">
        <v>71</v>
      </c>
      <c r="E1962" s="14" t="s">
        <v>53</v>
      </c>
      <c r="F1962" s="14" t="s">
        <v>74</v>
      </c>
      <c r="G1962" s="14" t="s">
        <v>75</v>
      </c>
      <c r="H1962" s="0" t="n">
        <v>3</v>
      </c>
      <c r="I1962" s="16" t="n">
        <v>86.1</v>
      </c>
      <c r="J1962" s="16" t="n">
        <v>38</v>
      </c>
      <c r="K1962" s="16" t="n">
        <f aca="false">H1962*I1962</f>
        <v>258.3</v>
      </c>
      <c r="L1962" s="16" t="n">
        <f aca="false">H1962*J1962</f>
        <v>114</v>
      </c>
      <c r="M1962" s="16" t="n">
        <f aca="false">K1962-L1962</f>
        <v>144.3</v>
      </c>
      <c r="N1962" s="17" t="n">
        <f aca="false">IFERROR(M1962/K1962,0)</f>
        <v>0.558652729384437</v>
      </c>
    </row>
    <row r="1963" customFormat="false" ht="15" hidden="false" customHeight="false" outlineLevel="0" collapsed="false">
      <c r="A1963" s="15" t="n">
        <v>46104</v>
      </c>
      <c r="B1963" s="14" t="s">
        <v>69</v>
      </c>
      <c r="C1963" s="14" t="s">
        <v>70</v>
      </c>
      <c r="D1963" s="14" t="s">
        <v>71</v>
      </c>
      <c r="E1963" s="14" t="s">
        <v>53</v>
      </c>
      <c r="F1963" s="14" t="s">
        <v>54</v>
      </c>
      <c r="G1963" s="14" t="s">
        <v>55</v>
      </c>
      <c r="H1963" s="0" t="n">
        <v>2</v>
      </c>
      <c r="I1963" s="16" t="n">
        <v>52.48</v>
      </c>
      <c r="J1963" s="16" t="n">
        <v>22</v>
      </c>
      <c r="K1963" s="16" t="n">
        <f aca="false">H1963*I1963</f>
        <v>104.96</v>
      </c>
      <c r="L1963" s="16" t="n">
        <f aca="false">H1963*J1963</f>
        <v>44</v>
      </c>
      <c r="M1963" s="16" t="n">
        <f aca="false">K1963-L1963</f>
        <v>60.96</v>
      </c>
      <c r="N1963" s="17" t="n">
        <f aca="false">IFERROR(M1963/K1963,0)</f>
        <v>0.580792682926829</v>
      </c>
    </row>
    <row r="1964" customFormat="false" ht="15" hidden="false" customHeight="false" outlineLevel="0" collapsed="false">
      <c r="A1964" s="15" t="n">
        <v>46104</v>
      </c>
      <c r="B1964" s="14" t="s">
        <v>81</v>
      </c>
      <c r="C1964" s="14" t="s">
        <v>82</v>
      </c>
      <c r="D1964" s="14" t="s">
        <v>83</v>
      </c>
      <c r="E1964" s="14" t="s">
        <v>76</v>
      </c>
      <c r="F1964" s="14" t="s">
        <v>77</v>
      </c>
      <c r="G1964" s="14" t="s">
        <v>78</v>
      </c>
      <c r="H1964" s="0" t="n">
        <v>3</v>
      </c>
      <c r="I1964" s="16" t="n">
        <v>39.46</v>
      </c>
      <c r="J1964" s="16" t="n">
        <v>15</v>
      </c>
      <c r="K1964" s="16" t="n">
        <f aca="false">H1964*I1964</f>
        <v>118.38</v>
      </c>
      <c r="L1964" s="16" t="n">
        <f aca="false">H1964*J1964</f>
        <v>45</v>
      </c>
      <c r="M1964" s="16" t="n">
        <f aca="false">K1964-L1964</f>
        <v>73.38</v>
      </c>
      <c r="N1964" s="17" t="n">
        <f aca="false">IFERROR(M1964/K1964,0)</f>
        <v>0.619868220983274</v>
      </c>
    </row>
    <row r="1965" customFormat="false" ht="15" hidden="false" customHeight="false" outlineLevel="0" collapsed="false">
      <c r="A1965" s="15" t="n">
        <v>46104</v>
      </c>
      <c r="B1965" s="14" t="s">
        <v>81</v>
      </c>
      <c r="C1965" s="14" t="s">
        <v>82</v>
      </c>
      <c r="D1965" s="14" t="s">
        <v>83</v>
      </c>
      <c r="E1965" s="14" t="s">
        <v>53</v>
      </c>
      <c r="F1965" s="14" t="s">
        <v>54</v>
      </c>
      <c r="G1965" s="14" t="s">
        <v>55</v>
      </c>
      <c r="H1965" s="0" t="n">
        <v>4</v>
      </c>
      <c r="I1965" s="16" t="n">
        <v>51.86</v>
      </c>
      <c r="J1965" s="16" t="n">
        <v>22</v>
      </c>
      <c r="K1965" s="16" t="n">
        <f aca="false">H1965*I1965</f>
        <v>207.44</v>
      </c>
      <c r="L1965" s="16" t="n">
        <f aca="false">H1965*J1965</f>
        <v>88</v>
      </c>
      <c r="M1965" s="16" t="n">
        <f aca="false">K1965-L1965</f>
        <v>119.44</v>
      </c>
      <c r="N1965" s="17" t="n">
        <f aca="false">IFERROR(M1965/K1965,0)</f>
        <v>0.57578094870806</v>
      </c>
    </row>
    <row r="1966" customFormat="false" ht="15" hidden="false" customHeight="false" outlineLevel="0" collapsed="false">
      <c r="A1966" s="15" t="n">
        <v>46104</v>
      </c>
      <c r="B1966" s="14" t="s">
        <v>81</v>
      </c>
      <c r="C1966" s="14" t="s">
        <v>82</v>
      </c>
      <c r="D1966" s="14" t="s">
        <v>83</v>
      </c>
      <c r="E1966" s="14" t="s">
        <v>64</v>
      </c>
      <c r="F1966" s="14" t="s">
        <v>96</v>
      </c>
      <c r="G1966" s="14" t="s">
        <v>97</v>
      </c>
      <c r="H1966" s="0" t="n">
        <v>3</v>
      </c>
      <c r="I1966" s="16" t="n">
        <v>58.35</v>
      </c>
      <c r="J1966" s="16" t="n">
        <v>24</v>
      </c>
      <c r="K1966" s="16" t="n">
        <f aca="false">H1966*I1966</f>
        <v>175.05</v>
      </c>
      <c r="L1966" s="16" t="n">
        <f aca="false">H1966*J1966</f>
        <v>72</v>
      </c>
      <c r="M1966" s="16" t="n">
        <f aca="false">K1966-L1966</f>
        <v>103.05</v>
      </c>
      <c r="N1966" s="17" t="n">
        <f aca="false">IFERROR(M1966/K1966,0)</f>
        <v>0.588688946015424</v>
      </c>
    </row>
    <row r="1967" customFormat="false" ht="15" hidden="false" customHeight="false" outlineLevel="0" collapsed="false">
      <c r="A1967" s="15" t="n">
        <v>46104</v>
      </c>
      <c r="B1967" s="14" t="s">
        <v>81</v>
      </c>
      <c r="C1967" s="14" t="s">
        <v>82</v>
      </c>
      <c r="D1967" s="14" t="s">
        <v>83</v>
      </c>
      <c r="E1967" s="14" t="s">
        <v>64</v>
      </c>
      <c r="F1967" s="14" t="s">
        <v>65</v>
      </c>
      <c r="G1967" s="14" t="s">
        <v>66</v>
      </c>
      <c r="H1967" s="0" t="n">
        <v>4</v>
      </c>
      <c r="I1967" s="16" t="n">
        <v>75.2</v>
      </c>
      <c r="J1967" s="16" t="n">
        <v>34</v>
      </c>
      <c r="K1967" s="16" t="n">
        <f aca="false">H1967*I1967</f>
        <v>300.8</v>
      </c>
      <c r="L1967" s="16" t="n">
        <f aca="false">H1967*J1967</f>
        <v>136</v>
      </c>
      <c r="M1967" s="16" t="n">
        <f aca="false">K1967-L1967</f>
        <v>164.8</v>
      </c>
      <c r="N1967" s="17" t="n">
        <f aca="false">IFERROR(M1967/K1967,0)</f>
        <v>0.547872340425532</v>
      </c>
    </row>
    <row r="1968" customFormat="false" ht="15" hidden="false" customHeight="false" outlineLevel="0" collapsed="false">
      <c r="A1968" s="15" t="n">
        <v>46104</v>
      </c>
      <c r="B1968" s="14" t="s">
        <v>81</v>
      </c>
      <c r="C1968" s="14" t="s">
        <v>82</v>
      </c>
      <c r="D1968" s="14" t="s">
        <v>83</v>
      </c>
      <c r="E1968" s="14" t="s">
        <v>53</v>
      </c>
      <c r="F1968" s="14" t="s">
        <v>84</v>
      </c>
      <c r="G1968" s="14" t="s">
        <v>85</v>
      </c>
      <c r="H1968" s="0" t="n">
        <v>6</v>
      </c>
      <c r="I1968" s="16" t="n">
        <v>23.85</v>
      </c>
      <c r="J1968" s="16" t="n">
        <v>9</v>
      </c>
      <c r="K1968" s="16" t="n">
        <f aca="false">H1968*I1968</f>
        <v>143.1</v>
      </c>
      <c r="L1968" s="16" t="n">
        <f aca="false">H1968*J1968</f>
        <v>54</v>
      </c>
      <c r="M1968" s="16" t="n">
        <f aca="false">K1968-L1968</f>
        <v>89.1</v>
      </c>
      <c r="N1968" s="17" t="n">
        <f aca="false">IFERROR(M1968/K1968,0)</f>
        <v>0.622641509433962</v>
      </c>
    </row>
    <row r="1969" customFormat="false" ht="15" hidden="false" customHeight="false" outlineLevel="0" collapsed="false">
      <c r="A1969" s="15" t="n">
        <v>46104</v>
      </c>
      <c r="B1969" s="14" t="s">
        <v>88</v>
      </c>
      <c r="C1969" s="14" t="s">
        <v>89</v>
      </c>
      <c r="D1969" s="14" t="s">
        <v>44</v>
      </c>
      <c r="E1969" s="14" t="s">
        <v>64</v>
      </c>
      <c r="F1969" s="14" t="s">
        <v>96</v>
      </c>
      <c r="G1969" s="14" t="s">
        <v>97</v>
      </c>
      <c r="H1969" s="0" t="n">
        <v>8</v>
      </c>
      <c r="I1969" s="16" t="n">
        <v>54.37</v>
      </c>
      <c r="J1969" s="16" t="n">
        <v>24</v>
      </c>
      <c r="K1969" s="16" t="n">
        <f aca="false">H1969*I1969</f>
        <v>434.96</v>
      </c>
      <c r="L1969" s="16" t="n">
        <f aca="false">H1969*J1969</f>
        <v>192</v>
      </c>
      <c r="M1969" s="16" t="n">
        <f aca="false">K1969-L1969</f>
        <v>242.96</v>
      </c>
      <c r="N1969" s="17" t="n">
        <f aca="false">IFERROR(M1969/K1969,0)</f>
        <v>0.558580099319478</v>
      </c>
    </row>
    <row r="1970" customFormat="false" ht="15" hidden="false" customHeight="false" outlineLevel="0" collapsed="false">
      <c r="A1970" s="15" t="n">
        <v>46104</v>
      </c>
      <c r="B1970" s="14" t="s">
        <v>88</v>
      </c>
      <c r="C1970" s="14" t="s">
        <v>89</v>
      </c>
      <c r="D1970" s="14" t="s">
        <v>44</v>
      </c>
      <c r="E1970" s="14" t="s">
        <v>64</v>
      </c>
      <c r="F1970" s="14" t="s">
        <v>90</v>
      </c>
      <c r="G1970" s="14" t="s">
        <v>91</v>
      </c>
      <c r="H1970" s="0" t="n">
        <v>2</v>
      </c>
      <c r="I1970" s="16" t="n">
        <v>11.77</v>
      </c>
      <c r="J1970" s="16" t="n">
        <v>3.5</v>
      </c>
      <c r="K1970" s="16" t="n">
        <f aca="false">H1970*I1970</f>
        <v>23.54</v>
      </c>
      <c r="L1970" s="16" t="n">
        <f aca="false">H1970*J1970</f>
        <v>7</v>
      </c>
      <c r="M1970" s="16" t="n">
        <f aca="false">K1970-L1970</f>
        <v>16.54</v>
      </c>
      <c r="N1970" s="17" t="n">
        <f aca="false">IFERROR(M1970/K1970,0)</f>
        <v>0.702633814783348</v>
      </c>
    </row>
    <row r="1971" customFormat="false" ht="15" hidden="false" customHeight="false" outlineLevel="0" collapsed="false">
      <c r="A1971" s="15" t="n">
        <v>46104</v>
      </c>
      <c r="B1971" s="14" t="s">
        <v>88</v>
      </c>
      <c r="C1971" s="14" t="s">
        <v>89</v>
      </c>
      <c r="D1971" s="14" t="s">
        <v>44</v>
      </c>
      <c r="E1971" s="14" t="s">
        <v>76</v>
      </c>
      <c r="F1971" s="14" t="s">
        <v>77</v>
      </c>
      <c r="G1971" s="14" t="s">
        <v>78</v>
      </c>
      <c r="H1971" s="0" t="n">
        <v>3</v>
      </c>
      <c r="I1971" s="16" t="n">
        <v>39.5</v>
      </c>
      <c r="J1971" s="16" t="n">
        <v>15</v>
      </c>
      <c r="K1971" s="16" t="n">
        <f aca="false">H1971*I1971</f>
        <v>118.5</v>
      </c>
      <c r="L1971" s="16" t="n">
        <f aca="false">H1971*J1971</f>
        <v>45</v>
      </c>
      <c r="M1971" s="16" t="n">
        <f aca="false">K1971-L1971</f>
        <v>73.5</v>
      </c>
      <c r="N1971" s="17" t="n">
        <f aca="false">IFERROR(M1971/K1971,0)</f>
        <v>0.620253164556962</v>
      </c>
    </row>
    <row r="1972" customFormat="false" ht="15" hidden="false" customHeight="false" outlineLevel="0" collapsed="false">
      <c r="A1972" s="15" t="n">
        <v>46104</v>
      </c>
      <c r="B1972" s="14" t="s">
        <v>88</v>
      </c>
      <c r="C1972" s="14" t="s">
        <v>89</v>
      </c>
      <c r="D1972" s="14" t="s">
        <v>44</v>
      </c>
      <c r="E1972" s="14" t="s">
        <v>64</v>
      </c>
      <c r="F1972" s="14" t="s">
        <v>94</v>
      </c>
      <c r="G1972" s="14" t="s">
        <v>95</v>
      </c>
      <c r="H1972" s="0" t="n">
        <v>8</v>
      </c>
      <c r="I1972" s="16" t="n">
        <v>93.32</v>
      </c>
      <c r="J1972" s="16" t="n">
        <v>42</v>
      </c>
      <c r="K1972" s="16" t="n">
        <f aca="false">H1972*I1972</f>
        <v>746.56</v>
      </c>
      <c r="L1972" s="16" t="n">
        <f aca="false">H1972*J1972</f>
        <v>336</v>
      </c>
      <c r="M1972" s="16" t="n">
        <f aca="false">K1972-L1972</f>
        <v>410.56</v>
      </c>
      <c r="N1972" s="17" t="n">
        <f aca="false">IFERROR(M1972/K1972,0)</f>
        <v>0.549935705100729</v>
      </c>
    </row>
    <row r="1973" customFormat="false" ht="15" hidden="false" customHeight="false" outlineLevel="0" collapsed="false">
      <c r="A1973" s="15" t="n">
        <v>46104</v>
      </c>
      <c r="B1973" s="14" t="s">
        <v>88</v>
      </c>
      <c r="C1973" s="14" t="s">
        <v>89</v>
      </c>
      <c r="D1973" s="14" t="s">
        <v>44</v>
      </c>
      <c r="E1973" s="14" t="s">
        <v>56</v>
      </c>
      <c r="F1973" s="14" t="s">
        <v>57</v>
      </c>
      <c r="G1973" s="14" t="s">
        <v>58</v>
      </c>
      <c r="H1973" s="0" t="n">
        <v>2</v>
      </c>
      <c r="I1973" s="16" t="n">
        <v>25.56</v>
      </c>
      <c r="J1973" s="16" t="n">
        <v>10</v>
      </c>
      <c r="K1973" s="16" t="n">
        <f aca="false">H1973*I1973</f>
        <v>51.12</v>
      </c>
      <c r="L1973" s="16" t="n">
        <f aca="false">H1973*J1973</f>
        <v>20</v>
      </c>
      <c r="M1973" s="16" t="n">
        <f aca="false">K1973-L1973</f>
        <v>31.12</v>
      </c>
      <c r="N1973" s="17" t="n">
        <f aca="false">IFERROR(M1973/K1973,0)</f>
        <v>0.608763693270736</v>
      </c>
    </row>
    <row r="1974" customFormat="false" ht="15" hidden="false" customHeight="false" outlineLevel="0" collapsed="false">
      <c r="A1974" s="15" t="n">
        <v>46104</v>
      </c>
      <c r="B1974" s="14" t="s">
        <v>88</v>
      </c>
      <c r="C1974" s="14" t="s">
        <v>89</v>
      </c>
      <c r="D1974" s="14" t="s">
        <v>44</v>
      </c>
      <c r="E1974" s="14" t="s">
        <v>64</v>
      </c>
      <c r="F1974" s="14" t="s">
        <v>96</v>
      </c>
      <c r="G1974" s="14" t="s">
        <v>97</v>
      </c>
      <c r="H1974" s="0" t="n">
        <v>3</v>
      </c>
      <c r="I1974" s="16" t="n">
        <v>58.6</v>
      </c>
      <c r="J1974" s="16" t="n">
        <v>24</v>
      </c>
      <c r="K1974" s="16" t="n">
        <f aca="false">H1974*I1974</f>
        <v>175.8</v>
      </c>
      <c r="L1974" s="16" t="n">
        <f aca="false">H1974*J1974</f>
        <v>72</v>
      </c>
      <c r="M1974" s="16" t="n">
        <f aca="false">K1974-L1974</f>
        <v>103.8</v>
      </c>
      <c r="N1974" s="17" t="n">
        <f aca="false">IFERROR(M1974/K1974,0)</f>
        <v>0.590443686006826</v>
      </c>
    </row>
    <row r="1975" customFormat="false" ht="15" hidden="false" customHeight="false" outlineLevel="0" collapsed="false">
      <c r="A1975" s="15" t="n">
        <v>46105</v>
      </c>
      <c r="B1975" s="14" t="s">
        <v>42</v>
      </c>
      <c r="C1975" s="14" t="s">
        <v>43</v>
      </c>
      <c r="D1975" s="14" t="s">
        <v>44</v>
      </c>
      <c r="E1975" s="14" t="s">
        <v>45</v>
      </c>
      <c r="F1975" s="14" t="s">
        <v>46</v>
      </c>
      <c r="G1975" s="14" t="s">
        <v>47</v>
      </c>
      <c r="H1975" s="0" t="n">
        <v>11</v>
      </c>
      <c r="I1975" s="16" t="n">
        <v>42.86</v>
      </c>
      <c r="J1975" s="16" t="n">
        <v>18</v>
      </c>
      <c r="K1975" s="16" t="n">
        <f aca="false">H1975*I1975</f>
        <v>471.46</v>
      </c>
      <c r="L1975" s="16" t="n">
        <f aca="false">H1975*J1975</f>
        <v>198</v>
      </c>
      <c r="M1975" s="16" t="n">
        <f aca="false">K1975-L1975</f>
        <v>273.46</v>
      </c>
      <c r="N1975" s="17" t="n">
        <f aca="false">IFERROR(M1975/K1975,0)</f>
        <v>0.580027998133458</v>
      </c>
    </row>
    <row r="1976" customFormat="false" ht="15" hidden="false" customHeight="false" outlineLevel="0" collapsed="false">
      <c r="A1976" s="15" t="n">
        <v>46105</v>
      </c>
      <c r="B1976" s="14" t="s">
        <v>42</v>
      </c>
      <c r="C1976" s="14" t="s">
        <v>43</v>
      </c>
      <c r="D1976" s="14" t="s">
        <v>44</v>
      </c>
      <c r="E1976" s="14" t="s">
        <v>64</v>
      </c>
      <c r="F1976" s="14" t="s">
        <v>90</v>
      </c>
      <c r="G1976" s="14" t="s">
        <v>91</v>
      </c>
      <c r="H1976" s="0" t="n">
        <v>7</v>
      </c>
      <c r="I1976" s="16" t="n">
        <v>11.41</v>
      </c>
      <c r="J1976" s="16" t="n">
        <v>3.5</v>
      </c>
      <c r="K1976" s="16" t="n">
        <f aca="false">H1976*I1976</f>
        <v>79.87</v>
      </c>
      <c r="L1976" s="16" t="n">
        <f aca="false">H1976*J1976</f>
        <v>24.5</v>
      </c>
      <c r="M1976" s="16" t="n">
        <f aca="false">K1976-L1976</f>
        <v>55.37</v>
      </c>
      <c r="N1976" s="17" t="n">
        <f aca="false">IFERROR(M1976/K1976,0)</f>
        <v>0.693251533742331</v>
      </c>
    </row>
    <row r="1977" customFormat="false" ht="15" hidden="false" customHeight="false" outlineLevel="0" collapsed="false">
      <c r="A1977" s="15" t="n">
        <v>46105</v>
      </c>
      <c r="B1977" s="14" t="s">
        <v>50</v>
      </c>
      <c r="C1977" s="14" t="s">
        <v>51</v>
      </c>
      <c r="D1977" s="14" t="s">
        <v>52</v>
      </c>
      <c r="E1977" s="14" t="s">
        <v>56</v>
      </c>
      <c r="F1977" s="14" t="s">
        <v>98</v>
      </c>
      <c r="G1977" s="14" t="s">
        <v>99</v>
      </c>
      <c r="H1977" s="0" t="n">
        <v>8</v>
      </c>
      <c r="I1977" s="16" t="n">
        <v>21.8</v>
      </c>
      <c r="J1977" s="16" t="n">
        <v>8</v>
      </c>
      <c r="K1977" s="16" t="n">
        <f aca="false">H1977*I1977</f>
        <v>174.4</v>
      </c>
      <c r="L1977" s="16" t="n">
        <f aca="false">H1977*J1977</f>
        <v>64</v>
      </c>
      <c r="M1977" s="16" t="n">
        <f aca="false">K1977-L1977</f>
        <v>110.4</v>
      </c>
      <c r="N1977" s="17" t="n">
        <f aca="false">IFERROR(M1977/K1977,0)</f>
        <v>0.63302752293578</v>
      </c>
    </row>
    <row r="1978" customFormat="false" ht="15" hidden="false" customHeight="false" outlineLevel="0" collapsed="false">
      <c r="A1978" s="15" t="n">
        <v>46105</v>
      </c>
      <c r="B1978" s="14" t="s">
        <v>50</v>
      </c>
      <c r="C1978" s="14" t="s">
        <v>51</v>
      </c>
      <c r="D1978" s="14" t="s">
        <v>52</v>
      </c>
      <c r="E1978" s="14" t="s">
        <v>45</v>
      </c>
      <c r="F1978" s="14" t="s">
        <v>72</v>
      </c>
      <c r="G1978" s="14" t="s">
        <v>73</v>
      </c>
      <c r="H1978" s="0" t="n">
        <v>4</v>
      </c>
      <c r="I1978" s="16" t="n">
        <v>48.65</v>
      </c>
      <c r="J1978" s="16" t="n">
        <v>21</v>
      </c>
      <c r="K1978" s="16" t="n">
        <f aca="false">H1978*I1978</f>
        <v>194.6</v>
      </c>
      <c r="L1978" s="16" t="n">
        <f aca="false">H1978*J1978</f>
        <v>84</v>
      </c>
      <c r="M1978" s="16" t="n">
        <f aca="false">K1978-L1978</f>
        <v>110.6</v>
      </c>
      <c r="N1978" s="17" t="n">
        <f aca="false">IFERROR(M1978/K1978,0)</f>
        <v>0.568345323741007</v>
      </c>
    </row>
    <row r="1979" customFormat="false" ht="15" hidden="false" customHeight="false" outlineLevel="0" collapsed="false">
      <c r="A1979" s="15" t="n">
        <v>46105</v>
      </c>
      <c r="B1979" s="14" t="s">
        <v>50</v>
      </c>
      <c r="C1979" s="14" t="s">
        <v>51</v>
      </c>
      <c r="D1979" s="14" t="s">
        <v>52</v>
      </c>
      <c r="E1979" s="14" t="s">
        <v>64</v>
      </c>
      <c r="F1979" s="14" t="s">
        <v>94</v>
      </c>
      <c r="G1979" s="14" t="s">
        <v>95</v>
      </c>
      <c r="H1979" s="0" t="n">
        <v>6</v>
      </c>
      <c r="I1979" s="16" t="n">
        <v>95.12</v>
      </c>
      <c r="J1979" s="16" t="n">
        <v>42</v>
      </c>
      <c r="K1979" s="16" t="n">
        <f aca="false">H1979*I1979</f>
        <v>570.72</v>
      </c>
      <c r="L1979" s="16" t="n">
        <f aca="false">H1979*J1979</f>
        <v>252</v>
      </c>
      <c r="M1979" s="16" t="n">
        <f aca="false">K1979-L1979</f>
        <v>318.72</v>
      </c>
      <c r="N1979" s="17" t="n">
        <f aca="false">IFERROR(M1979/K1979,0)</f>
        <v>0.558452481076535</v>
      </c>
    </row>
    <row r="1980" customFormat="false" ht="15" hidden="false" customHeight="false" outlineLevel="0" collapsed="false">
      <c r="A1980" s="15" t="n">
        <v>46105</v>
      </c>
      <c r="B1980" s="14" t="s">
        <v>50</v>
      </c>
      <c r="C1980" s="14" t="s">
        <v>51</v>
      </c>
      <c r="D1980" s="14" t="s">
        <v>52</v>
      </c>
      <c r="E1980" s="14" t="s">
        <v>64</v>
      </c>
      <c r="F1980" s="14" t="s">
        <v>94</v>
      </c>
      <c r="G1980" s="14" t="s">
        <v>95</v>
      </c>
      <c r="H1980" s="0" t="n">
        <v>1</v>
      </c>
      <c r="I1980" s="16" t="n">
        <v>96.24</v>
      </c>
      <c r="J1980" s="16" t="n">
        <v>42</v>
      </c>
      <c r="K1980" s="16" t="n">
        <f aca="false">H1980*I1980</f>
        <v>96.24</v>
      </c>
      <c r="L1980" s="16" t="n">
        <f aca="false">H1980*J1980</f>
        <v>42</v>
      </c>
      <c r="M1980" s="16" t="n">
        <f aca="false">K1980-L1980</f>
        <v>54.24</v>
      </c>
      <c r="N1980" s="17" t="n">
        <f aca="false">IFERROR(M1980/K1980,0)</f>
        <v>0.56359102244389</v>
      </c>
    </row>
    <row r="1981" customFormat="false" ht="15" hidden="false" customHeight="false" outlineLevel="0" collapsed="false">
      <c r="A1981" s="15" t="n">
        <v>46105</v>
      </c>
      <c r="B1981" s="14" t="s">
        <v>59</v>
      </c>
      <c r="C1981" s="14" t="s">
        <v>60</v>
      </c>
      <c r="D1981" s="14" t="s">
        <v>61</v>
      </c>
      <c r="E1981" s="14" t="s">
        <v>53</v>
      </c>
      <c r="F1981" s="14" t="s">
        <v>54</v>
      </c>
      <c r="G1981" s="14" t="s">
        <v>55</v>
      </c>
      <c r="H1981" s="0" t="n">
        <v>7</v>
      </c>
      <c r="I1981" s="16" t="n">
        <v>50.75</v>
      </c>
      <c r="J1981" s="16" t="n">
        <v>22</v>
      </c>
      <c r="K1981" s="16" t="n">
        <f aca="false">H1981*I1981</f>
        <v>355.25</v>
      </c>
      <c r="L1981" s="16" t="n">
        <f aca="false">H1981*J1981</f>
        <v>154</v>
      </c>
      <c r="M1981" s="16" t="n">
        <f aca="false">K1981-L1981</f>
        <v>201.25</v>
      </c>
      <c r="N1981" s="17" t="n">
        <f aca="false">IFERROR(M1981/K1981,0)</f>
        <v>0.566502463054187</v>
      </c>
    </row>
    <row r="1982" customFormat="false" ht="15" hidden="false" customHeight="false" outlineLevel="0" collapsed="false">
      <c r="A1982" s="15" t="n">
        <v>46105</v>
      </c>
      <c r="B1982" s="14" t="s">
        <v>59</v>
      </c>
      <c r="C1982" s="14" t="s">
        <v>60</v>
      </c>
      <c r="D1982" s="14" t="s">
        <v>61</v>
      </c>
      <c r="E1982" s="14" t="s">
        <v>76</v>
      </c>
      <c r="F1982" s="14" t="s">
        <v>79</v>
      </c>
      <c r="G1982" s="14" t="s">
        <v>80</v>
      </c>
      <c r="H1982" s="0" t="n">
        <v>3</v>
      </c>
      <c r="I1982" s="16" t="n">
        <v>28.23</v>
      </c>
      <c r="J1982" s="16" t="n">
        <v>11</v>
      </c>
      <c r="K1982" s="16" t="n">
        <f aca="false">H1982*I1982</f>
        <v>84.69</v>
      </c>
      <c r="L1982" s="16" t="n">
        <f aca="false">H1982*J1982</f>
        <v>33</v>
      </c>
      <c r="M1982" s="16" t="n">
        <f aca="false">K1982-L1982</f>
        <v>51.69</v>
      </c>
      <c r="N1982" s="17" t="n">
        <f aca="false">IFERROR(M1982/K1982,0)</f>
        <v>0.610343606092809</v>
      </c>
    </row>
    <row r="1983" customFormat="false" ht="15" hidden="false" customHeight="false" outlineLevel="0" collapsed="false">
      <c r="A1983" s="15" t="n">
        <v>46105</v>
      </c>
      <c r="B1983" s="14" t="s">
        <v>59</v>
      </c>
      <c r="C1983" s="14" t="s">
        <v>60</v>
      </c>
      <c r="D1983" s="14" t="s">
        <v>61</v>
      </c>
      <c r="E1983" s="14" t="s">
        <v>64</v>
      </c>
      <c r="F1983" s="14" t="s">
        <v>96</v>
      </c>
      <c r="G1983" s="14" t="s">
        <v>97</v>
      </c>
      <c r="H1983" s="0" t="n">
        <v>4</v>
      </c>
      <c r="I1983" s="16" t="n">
        <v>55.45</v>
      </c>
      <c r="J1983" s="16" t="n">
        <v>24</v>
      </c>
      <c r="K1983" s="16" t="n">
        <f aca="false">H1983*I1983</f>
        <v>221.8</v>
      </c>
      <c r="L1983" s="16" t="n">
        <f aca="false">H1983*J1983</f>
        <v>96</v>
      </c>
      <c r="M1983" s="16" t="n">
        <f aca="false">K1983-L1983</f>
        <v>125.8</v>
      </c>
      <c r="N1983" s="17" t="n">
        <f aca="false">IFERROR(M1983/K1983,0)</f>
        <v>0.567177637511272</v>
      </c>
    </row>
    <row r="1984" customFormat="false" ht="15" hidden="false" customHeight="false" outlineLevel="0" collapsed="false">
      <c r="A1984" s="15" t="n">
        <v>46105</v>
      </c>
      <c r="B1984" s="14" t="s">
        <v>59</v>
      </c>
      <c r="C1984" s="14" t="s">
        <v>60</v>
      </c>
      <c r="D1984" s="14" t="s">
        <v>61</v>
      </c>
      <c r="E1984" s="14" t="s">
        <v>56</v>
      </c>
      <c r="F1984" s="14" t="s">
        <v>86</v>
      </c>
      <c r="G1984" s="14" t="s">
        <v>87</v>
      </c>
      <c r="H1984" s="0" t="n">
        <v>1</v>
      </c>
      <c r="I1984" s="16" t="n">
        <v>13.94</v>
      </c>
      <c r="J1984" s="16" t="n">
        <v>5</v>
      </c>
      <c r="K1984" s="16" t="n">
        <f aca="false">H1984*I1984</f>
        <v>13.94</v>
      </c>
      <c r="L1984" s="16" t="n">
        <f aca="false">H1984*J1984</f>
        <v>5</v>
      </c>
      <c r="M1984" s="16" t="n">
        <f aca="false">K1984-L1984</f>
        <v>8.94</v>
      </c>
      <c r="N1984" s="17" t="n">
        <f aca="false">IFERROR(M1984/K1984,0)</f>
        <v>0.641319942611191</v>
      </c>
    </row>
    <row r="1985" customFormat="false" ht="15" hidden="false" customHeight="false" outlineLevel="0" collapsed="false">
      <c r="A1985" s="15" t="n">
        <v>46105</v>
      </c>
      <c r="B1985" s="14" t="s">
        <v>59</v>
      </c>
      <c r="C1985" s="14" t="s">
        <v>60</v>
      </c>
      <c r="D1985" s="14" t="s">
        <v>61</v>
      </c>
      <c r="E1985" s="14" t="s">
        <v>45</v>
      </c>
      <c r="F1985" s="14" t="s">
        <v>72</v>
      </c>
      <c r="G1985" s="14" t="s">
        <v>73</v>
      </c>
      <c r="H1985" s="0" t="n">
        <v>7</v>
      </c>
      <c r="I1985" s="16" t="n">
        <v>50.78</v>
      </c>
      <c r="J1985" s="16" t="n">
        <v>21</v>
      </c>
      <c r="K1985" s="16" t="n">
        <f aca="false">H1985*I1985</f>
        <v>355.46</v>
      </c>
      <c r="L1985" s="16" t="n">
        <f aca="false">H1985*J1985</f>
        <v>147</v>
      </c>
      <c r="M1985" s="16" t="n">
        <f aca="false">K1985-L1985</f>
        <v>208.46</v>
      </c>
      <c r="N1985" s="17" t="n">
        <f aca="false">IFERROR(M1985/K1985,0)</f>
        <v>0.586451358802678</v>
      </c>
    </row>
    <row r="1986" customFormat="false" ht="15" hidden="false" customHeight="false" outlineLevel="0" collapsed="false">
      <c r="A1986" s="15" t="n">
        <v>46105</v>
      </c>
      <c r="B1986" s="14" t="s">
        <v>69</v>
      </c>
      <c r="C1986" s="14" t="s">
        <v>70</v>
      </c>
      <c r="D1986" s="14" t="s">
        <v>71</v>
      </c>
      <c r="E1986" s="14" t="s">
        <v>56</v>
      </c>
      <c r="F1986" s="14" t="s">
        <v>86</v>
      </c>
      <c r="G1986" s="14" t="s">
        <v>87</v>
      </c>
      <c r="H1986" s="0" t="n">
        <v>6</v>
      </c>
      <c r="I1986" s="16" t="n">
        <v>14</v>
      </c>
      <c r="J1986" s="16" t="n">
        <v>5</v>
      </c>
      <c r="K1986" s="16" t="n">
        <f aca="false">H1986*I1986</f>
        <v>84</v>
      </c>
      <c r="L1986" s="16" t="n">
        <f aca="false">H1986*J1986</f>
        <v>30</v>
      </c>
      <c r="M1986" s="16" t="n">
        <f aca="false">K1986-L1986</f>
        <v>54</v>
      </c>
      <c r="N1986" s="17" t="n">
        <f aca="false">IFERROR(M1986/K1986,0)</f>
        <v>0.642857142857143</v>
      </c>
    </row>
    <row r="1987" customFormat="false" ht="15" hidden="false" customHeight="false" outlineLevel="0" collapsed="false">
      <c r="A1987" s="15" t="n">
        <v>46105</v>
      </c>
      <c r="B1987" s="14" t="s">
        <v>69</v>
      </c>
      <c r="C1987" s="14" t="s">
        <v>70</v>
      </c>
      <c r="D1987" s="14" t="s">
        <v>71</v>
      </c>
      <c r="E1987" s="14" t="s">
        <v>64</v>
      </c>
      <c r="F1987" s="14" t="s">
        <v>94</v>
      </c>
      <c r="G1987" s="14" t="s">
        <v>95</v>
      </c>
      <c r="H1987" s="0" t="n">
        <v>4</v>
      </c>
      <c r="I1987" s="16" t="n">
        <v>95.05</v>
      </c>
      <c r="J1987" s="16" t="n">
        <v>42</v>
      </c>
      <c r="K1987" s="16" t="n">
        <f aca="false">H1987*I1987</f>
        <v>380.2</v>
      </c>
      <c r="L1987" s="16" t="n">
        <f aca="false">H1987*J1987</f>
        <v>168</v>
      </c>
      <c r="M1987" s="16" t="n">
        <f aca="false">K1987-L1987</f>
        <v>212.2</v>
      </c>
      <c r="N1987" s="17" t="n">
        <f aca="false">IFERROR(M1987/K1987,0)</f>
        <v>0.558127301420305</v>
      </c>
    </row>
    <row r="1988" customFormat="false" ht="15" hidden="false" customHeight="false" outlineLevel="0" collapsed="false">
      <c r="A1988" s="15" t="n">
        <v>46105</v>
      </c>
      <c r="B1988" s="14" t="s">
        <v>81</v>
      </c>
      <c r="C1988" s="14" t="s">
        <v>82</v>
      </c>
      <c r="D1988" s="14" t="s">
        <v>83</v>
      </c>
      <c r="E1988" s="14" t="s">
        <v>64</v>
      </c>
      <c r="F1988" s="14" t="s">
        <v>94</v>
      </c>
      <c r="G1988" s="14" t="s">
        <v>95</v>
      </c>
      <c r="H1988" s="0" t="n">
        <v>5</v>
      </c>
      <c r="I1988" s="16" t="n">
        <v>97.04</v>
      </c>
      <c r="J1988" s="16" t="n">
        <v>42</v>
      </c>
      <c r="K1988" s="16" t="n">
        <f aca="false">H1988*I1988</f>
        <v>485.2</v>
      </c>
      <c r="L1988" s="16" t="n">
        <f aca="false">H1988*J1988</f>
        <v>210</v>
      </c>
      <c r="M1988" s="16" t="n">
        <f aca="false">K1988-L1988</f>
        <v>275.2</v>
      </c>
      <c r="N1988" s="17" t="n">
        <f aca="false">IFERROR(M1988/K1988,0)</f>
        <v>0.567188788128607</v>
      </c>
    </row>
    <row r="1989" customFormat="false" ht="15" hidden="false" customHeight="false" outlineLevel="0" collapsed="false">
      <c r="A1989" s="15" t="n">
        <v>46105</v>
      </c>
      <c r="B1989" s="14" t="s">
        <v>81</v>
      </c>
      <c r="C1989" s="14" t="s">
        <v>82</v>
      </c>
      <c r="D1989" s="14" t="s">
        <v>83</v>
      </c>
      <c r="E1989" s="14" t="s">
        <v>45</v>
      </c>
      <c r="F1989" s="14" t="s">
        <v>48</v>
      </c>
      <c r="G1989" s="14" t="s">
        <v>49</v>
      </c>
      <c r="H1989" s="0" t="n">
        <v>5</v>
      </c>
      <c r="I1989" s="16" t="n">
        <v>66.99</v>
      </c>
      <c r="J1989" s="16" t="n">
        <v>27.5</v>
      </c>
      <c r="K1989" s="16" t="n">
        <f aca="false">H1989*I1989</f>
        <v>334.95</v>
      </c>
      <c r="L1989" s="16" t="n">
        <f aca="false">H1989*J1989</f>
        <v>137.5</v>
      </c>
      <c r="M1989" s="16" t="n">
        <f aca="false">K1989-L1989</f>
        <v>197.45</v>
      </c>
      <c r="N1989" s="17" t="n">
        <f aca="false">IFERROR(M1989/K1989,0)</f>
        <v>0.589490968801314</v>
      </c>
    </row>
    <row r="1990" customFormat="false" ht="15" hidden="false" customHeight="false" outlineLevel="0" collapsed="false">
      <c r="A1990" s="15" t="n">
        <v>46105</v>
      </c>
      <c r="B1990" s="14" t="s">
        <v>81</v>
      </c>
      <c r="C1990" s="14" t="s">
        <v>82</v>
      </c>
      <c r="D1990" s="14" t="s">
        <v>83</v>
      </c>
      <c r="E1990" s="14" t="s">
        <v>76</v>
      </c>
      <c r="F1990" s="14" t="s">
        <v>77</v>
      </c>
      <c r="G1990" s="14" t="s">
        <v>78</v>
      </c>
      <c r="H1990" s="0" t="n">
        <v>5</v>
      </c>
      <c r="I1990" s="16" t="n">
        <v>40.99</v>
      </c>
      <c r="J1990" s="16" t="n">
        <v>15</v>
      </c>
      <c r="K1990" s="16" t="n">
        <f aca="false">H1990*I1990</f>
        <v>204.95</v>
      </c>
      <c r="L1990" s="16" t="n">
        <f aca="false">H1990*J1990</f>
        <v>75</v>
      </c>
      <c r="M1990" s="16" t="n">
        <f aca="false">K1990-L1990</f>
        <v>129.95</v>
      </c>
      <c r="N1990" s="17" t="n">
        <f aca="false">IFERROR(M1990/K1990,0)</f>
        <v>0.634057087094413</v>
      </c>
    </row>
    <row r="1991" customFormat="false" ht="15" hidden="false" customHeight="false" outlineLevel="0" collapsed="false">
      <c r="A1991" s="15" t="n">
        <v>46105</v>
      </c>
      <c r="B1991" s="14" t="s">
        <v>81</v>
      </c>
      <c r="C1991" s="14" t="s">
        <v>82</v>
      </c>
      <c r="D1991" s="14" t="s">
        <v>83</v>
      </c>
      <c r="E1991" s="14" t="s">
        <v>45</v>
      </c>
      <c r="F1991" s="14" t="s">
        <v>62</v>
      </c>
      <c r="G1991" s="14" t="s">
        <v>63</v>
      </c>
      <c r="H1991" s="0" t="n">
        <v>7</v>
      </c>
      <c r="I1991" s="16" t="n">
        <v>16.56</v>
      </c>
      <c r="J1991" s="16" t="n">
        <v>6.5</v>
      </c>
      <c r="K1991" s="16" t="n">
        <f aca="false">H1991*I1991</f>
        <v>115.92</v>
      </c>
      <c r="L1991" s="16" t="n">
        <f aca="false">H1991*J1991</f>
        <v>45.5</v>
      </c>
      <c r="M1991" s="16" t="n">
        <f aca="false">K1991-L1991</f>
        <v>70.42</v>
      </c>
      <c r="N1991" s="17" t="n">
        <f aca="false">IFERROR(M1991/K1991,0)</f>
        <v>0.607487922705314</v>
      </c>
    </row>
    <row r="1992" customFormat="false" ht="15" hidden="false" customHeight="false" outlineLevel="0" collapsed="false">
      <c r="A1992" s="15" t="n">
        <v>46105</v>
      </c>
      <c r="B1992" s="14" t="s">
        <v>81</v>
      </c>
      <c r="C1992" s="14" t="s">
        <v>82</v>
      </c>
      <c r="D1992" s="14" t="s">
        <v>83</v>
      </c>
      <c r="E1992" s="14" t="s">
        <v>45</v>
      </c>
      <c r="F1992" s="14" t="s">
        <v>72</v>
      </c>
      <c r="G1992" s="14" t="s">
        <v>73</v>
      </c>
      <c r="H1992" s="0" t="n">
        <v>6</v>
      </c>
      <c r="I1992" s="16" t="n">
        <v>50.56</v>
      </c>
      <c r="J1992" s="16" t="n">
        <v>21</v>
      </c>
      <c r="K1992" s="16" t="n">
        <f aca="false">H1992*I1992</f>
        <v>303.36</v>
      </c>
      <c r="L1992" s="16" t="n">
        <f aca="false">H1992*J1992</f>
        <v>126</v>
      </c>
      <c r="M1992" s="16" t="n">
        <f aca="false">K1992-L1992</f>
        <v>177.36</v>
      </c>
      <c r="N1992" s="17" t="n">
        <f aca="false">IFERROR(M1992/K1992,0)</f>
        <v>0.584651898734177</v>
      </c>
    </row>
    <row r="1993" customFormat="false" ht="15" hidden="false" customHeight="false" outlineLevel="0" collapsed="false">
      <c r="A1993" s="15" t="n">
        <v>46105</v>
      </c>
      <c r="B1993" s="14" t="s">
        <v>81</v>
      </c>
      <c r="C1993" s="14" t="s">
        <v>82</v>
      </c>
      <c r="D1993" s="14" t="s">
        <v>83</v>
      </c>
      <c r="E1993" s="14" t="s">
        <v>64</v>
      </c>
      <c r="F1993" s="14" t="s">
        <v>96</v>
      </c>
      <c r="G1993" s="14" t="s">
        <v>97</v>
      </c>
      <c r="H1993" s="0" t="n">
        <v>2</v>
      </c>
      <c r="I1993" s="16" t="n">
        <v>56.05</v>
      </c>
      <c r="J1993" s="16" t="n">
        <v>24</v>
      </c>
      <c r="K1993" s="16" t="n">
        <f aca="false">H1993*I1993</f>
        <v>112.1</v>
      </c>
      <c r="L1993" s="16" t="n">
        <f aca="false">H1993*J1993</f>
        <v>48</v>
      </c>
      <c r="M1993" s="16" t="n">
        <f aca="false">K1993-L1993</f>
        <v>64.1</v>
      </c>
      <c r="N1993" s="17" t="n">
        <f aca="false">IFERROR(M1993/K1993,0)</f>
        <v>0.571810883140054</v>
      </c>
    </row>
    <row r="1994" customFormat="false" ht="15" hidden="false" customHeight="false" outlineLevel="0" collapsed="false">
      <c r="A1994" s="15" t="n">
        <v>46105</v>
      </c>
      <c r="B1994" s="14" t="s">
        <v>88</v>
      </c>
      <c r="C1994" s="14" t="s">
        <v>89</v>
      </c>
      <c r="D1994" s="14" t="s">
        <v>44</v>
      </c>
      <c r="E1994" s="14" t="s">
        <v>53</v>
      </c>
      <c r="F1994" s="14" t="s">
        <v>84</v>
      </c>
      <c r="G1994" s="14" t="s">
        <v>85</v>
      </c>
      <c r="H1994" s="0" t="n">
        <v>3</v>
      </c>
      <c r="I1994" s="16" t="n">
        <v>24.01</v>
      </c>
      <c r="J1994" s="16" t="n">
        <v>9</v>
      </c>
      <c r="K1994" s="16" t="n">
        <f aca="false">H1994*I1994</f>
        <v>72.03</v>
      </c>
      <c r="L1994" s="16" t="n">
        <f aca="false">H1994*J1994</f>
        <v>27</v>
      </c>
      <c r="M1994" s="16" t="n">
        <f aca="false">K1994-L1994</f>
        <v>45.03</v>
      </c>
      <c r="N1994" s="17" t="n">
        <f aca="false">IFERROR(M1994/K1994,0)</f>
        <v>0.625156184922949</v>
      </c>
    </row>
    <row r="1995" customFormat="false" ht="15" hidden="false" customHeight="false" outlineLevel="0" collapsed="false">
      <c r="A1995" s="15" t="n">
        <v>46105</v>
      </c>
      <c r="B1995" s="14" t="s">
        <v>88</v>
      </c>
      <c r="C1995" s="14" t="s">
        <v>89</v>
      </c>
      <c r="D1995" s="14" t="s">
        <v>44</v>
      </c>
      <c r="E1995" s="14" t="s">
        <v>45</v>
      </c>
      <c r="F1995" s="14" t="s">
        <v>72</v>
      </c>
      <c r="G1995" s="14" t="s">
        <v>73</v>
      </c>
      <c r="H1995" s="0" t="n">
        <v>5</v>
      </c>
      <c r="I1995" s="16" t="n">
        <v>48.61</v>
      </c>
      <c r="J1995" s="16" t="n">
        <v>21</v>
      </c>
      <c r="K1995" s="16" t="n">
        <f aca="false">H1995*I1995</f>
        <v>243.05</v>
      </c>
      <c r="L1995" s="16" t="n">
        <f aca="false">H1995*J1995</f>
        <v>105</v>
      </c>
      <c r="M1995" s="16" t="n">
        <f aca="false">K1995-L1995</f>
        <v>138.05</v>
      </c>
      <c r="N1995" s="17" t="n">
        <f aca="false">IFERROR(M1995/K1995,0)</f>
        <v>0.567990125488583</v>
      </c>
    </row>
    <row r="1996" customFormat="false" ht="15" hidden="false" customHeight="false" outlineLevel="0" collapsed="false">
      <c r="A1996" s="15" t="n">
        <v>46105</v>
      </c>
      <c r="B1996" s="14" t="s">
        <v>88</v>
      </c>
      <c r="C1996" s="14" t="s">
        <v>89</v>
      </c>
      <c r="D1996" s="14" t="s">
        <v>44</v>
      </c>
      <c r="E1996" s="14" t="s">
        <v>45</v>
      </c>
      <c r="F1996" s="14" t="s">
        <v>62</v>
      </c>
      <c r="G1996" s="14" t="s">
        <v>63</v>
      </c>
      <c r="H1996" s="0" t="n">
        <v>5</v>
      </c>
      <c r="I1996" s="16" t="n">
        <v>16.93</v>
      </c>
      <c r="J1996" s="16" t="n">
        <v>6.5</v>
      </c>
      <c r="K1996" s="16" t="n">
        <f aca="false">H1996*I1996</f>
        <v>84.65</v>
      </c>
      <c r="L1996" s="16" t="n">
        <f aca="false">H1996*J1996</f>
        <v>32.5</v>
      </c>
      <c r="M1996" s="16" t="n">
        <f aca="false">K1996-L1996</f>
        <v>52.15</v>
      </c>
      <c r="N1996" s="17" t="n">
        <f aca="false">IFERROR(M1996/K1996,0)</f>
        <v>0.616066154754873</v>
      </c>
    </row>
    <row r="1997" customFormat="false" ht="15" hidden="false" customHeight="false" outlineLevel="0" collapsed="false">
      <c r="A1997" s="15" t="n">
        <v>46106</v>
      </c>
      <c r="B1997" s="14" t="s">
        <v>42</v>
      </c>
      <c r="C1997" s="14" t="s">
        <v>43</v>
      </c>
      <c r="D1997" s="14" t="s">
        <v>44</v>
      </c>
      <c r="E1997" s="14" t="s">
        <v>64</v>
      </c>
      <c r="F1997" s="14" t="s">
        <v>65</v>
      </c>
      <c r="G1997" s="14" t="s">
        <v>66</v>
      </c>
      <c r="H1997" s="0" t="n">
        <v>4</v>
      </c>
      <c r="I1997" s="16" t="n">
        <v>73.18</v>
      </c>
      <c r="J1997" s="16" t="n">
        <v>34</v>
      </c>
      <c r="K1997" s="16" t="n">
        <f aca="false">H1997*I1997</f>
        <v>292.72</v>
      </c>
      <c r="L1997" s="16" t="n">
        <f aca="false">H1997*J1997</f>
        <v>136</v>
      </c>
      <c r="M1997" s="16" t="n">
        <f aca="false">K1997-L1997</f>
        <v>156.72</v>
      </c>
      <c r="N1997" s="17" t="n">
        <f aca="false">IFERROR(M1997/K1997,0)</f>
        <v>0.535392183656737</v>
      </c>
    </row>
    <row r="1998" customFormat="false" ht="15" hidden="false" customHeight="false" outlineLevel="0" collapsed="false">
      <c r="A1998" s="15" t="n">
        <v>46106</v>
      </c>
      <c r="B1998" s="14" t="s">
        <v>42</v>
      </c>
      <c r="C1998" s="14" t="s">
        <v>43</v>
      </c>
      <c r="D1998" s="14" t="s">
        <v>44</v>
      </c>
      <c r="E1998" s="14" t="s">
        <v>45</v>
      </c>
      <c r="F1998" s="14" t="s">
        <v>72</v>
      </c>
      <c r="G1998" s="14" t="s">
        <v>73</v>
      </c>
      <c r="H1998" s="0" t="n">
        <v>3</v>
      </c>
      <c r="I1998" s="16" t="n">
        <v>48.99</v>
      </c>
      <c r="J1998" s="16" t="n">
        <v>21</v>
      </c>
      <c r="K1998" s="16" t="n">
        <f aca="false">H1998*I1998</f>
        <v>146.97</v>
      </c>
      <c r="L1998" s="16" t="n">
        <f aca="false">H1998*J1998</f>
        <v>63</v>
      </c>
      <c r="M1998" s="16" t="n">
        <f aca="false">K1998-L1998</f>
        <v>83.97</v>
      </c>
      <c r="N1998" s="17" t="n">
        <f aca="false">IFERROR(M1998/K1998,0)</f>
        <v>0.571341090018371</v>
      </c>
    </row>
    <row r="1999" customFormat="false" ht="15" hidden="false" customHeight="false" outlineLevel="0" collapsed="false">
      <c r="A1999" s="15" t="n">
        <v>46106</v>
      </c>
      <c r="B1999" s="14" t="s">
        <v>42</v>
      </c>
      <c r="C1999" s="14" t="s">
        <v>43</v>
      </c>
      <c r="D1999" s="14" t="s">
        <v>44</v>
      </c>
      <c r="E1999" s="14" t="s">
        <v>76</v>
      </c>
      <c r="F1999" s="14" t="s">
        <v>79</v>
      </c>
      <c r="G1999" s="14" t="s">
        <v>80</v>
      </c>
      <c r="H1999" s="0" t="n">
        <v>5</v>
      </c>
      <c r="I1999" s="16" t="n">
        <v>28.75</v>
      </c>
      <c r="J1999" s="16" t="n">
        <v>11</v>
      </c>
      <c r="K1999" s="16" t="n">
        <f aca="false">H1999*I1999</f>
        <v>143.75</v>
      </c>
      <c r="L1999" s="16" t="n">
        <f aca="false">H1999*J1999</f>
        <v>55</v>
      </c>
      <c r="M1999" s="16" t="n">
        <f aca="false">K1999-L1999</f>
        <v>88.75</v>
      </c>
      <c r="N1999" s="17" t="n">
        <f aca="false">IFERROR(M1999/K1999,0)</f>
        <v>0.617391304347826</v>
      </c>
    </row>
    <row r="2000" customFormat="false" ht="15" hidden="false" customHeight="false" outlineLevel="0" collapsed="false">
      <c r="A2000" s="15" t="n">
        <v>46106</v>
      </c>
      <c r="B2000" s="14" t="s">
        <v>42</v>
      </c>
      <c r="C2000" s="14" t="s">
        <v>43</v>
      </c>
      <c r="D2000" s="14" t="s">
        <v>44</v>
      </c>
      <c r="E2000" s="14" t="s">
        <v>45</v>
      </c>
      <c r="F2000" s="14" t="s">
        <v>48</v>
      </c>
      <c r="G2000" s="14" t="s">
        <v>49</v>
      </c>
      <c r="H2000" s="0" t="n">
        <v>1</v>
      </c>
      <c r="I2000" s="16" t="n">
        <v>64.01</v>
      </c>
      <c r="J2000" s="16" t="n">
        <v>27.5</v>
      </c>
      <c r="K2000" s="16" t="n">
        <f aca="false">H2000*I2000</f>
        <v>64.01</v>
      </c>
      <c r="L2000" s="16" t="n">
        <f aca="false">H2000*J2000</f>
        <v>27.5</v>
      </c>
      <c r="M2000" s="16" t="n">
        <f aca="false">K2000-L2000</f>
        <v>36.51</v>
      </c>
      <c r="N2000" s="17" t="n">
        <f aca="false">IFERROR(M2000/K2000,0)</f>
        <v>0.570379628183096</v>
      </c>
    </row>
    <row r="2001" customFormat="false" ht="15" hidden="false" customHeight="false" outlineLevel="0" collapsed="false">
      <c r="A2001" s="15" t="n">
        <v>46106</v>
      </c>
      <c r="B2001" s="14" t="s">
        <v>42</v>
      </c>
      <c r="C2001" s="14" t="s">
        <v>43</v>
      </c>
      <c r="D2001" s="14" t="s">
        <v>44</v>
      </c>
      <c r="E2001" s="14" t="s">
        <v>45</v>
      </c>
      <c r="F2001" s="14" t="s">
        <v>48</v>
      </c>
      <c r="G2001" s="14" t="s">
        <v>49</v>
      </c>
      <c r="H2001" s="0" t="n">
        <v>3</v>
      </c>
      <c r="I2001" s="16" t="n">
        <v>63.71</v>
      </c>
      <c r="J2001" s="16" t="n">
        <v>27.5</v>
      </c>
      <c r="K2001" s="16" t="n">
        <f aca="false">H2001*I2001</f>
        <v>191.13</v>
      </c>
      <c r="L2001" s="16" t="n">
        <f aca="false">H2001*J2001</f>
        <v>82.5</v>
      </c>
      <c r="M2001" s="16" t="n">
        <f aca="false">K2001-L2001</f>
        <v>108.63</v>
      </c>
      <c r="N2001" s="17" t="n">
        <f aca="false">IFERROR(M2001/K2001,0)</f>
        <v>0.568356615915869</v>
      </c>
    </row>
    <row r="2002" customFormat="false" ht="15" hidden="false" customHeight="false" outlineLevel="0" collapsed="false">
      <c r="A2002" s="15" t="n">
        <v>46106</v>
      </c>
      <c r="B2002" s="14" t="s">
        <v>50</v>
      </c>
      <c r="C2002" s="14" t="s">
        <v>51</v>
      </c>
      <c r="D2002" s="14" t="s">
        <v>52</v>
      </c>
      <c r="E2002" s="14" t="s">
        <v>64</v>
      </c>
      <c r="F2002" s="14" t="s">
        <v>94</v>
      </c>
      <c r="G2002" s="14" t="s">
        <v>95</v>
      </c>
      <c r="H2002" s="0" t="n">
        <v>8</v>
      </c>
      <c r="I2002" s="16" t="n">
        <v>94.83</v>
      </c>
      <c r="J2002" s="16" t="n">
        <v>42</v>
      </c>
      <c r="K2002" s="16" t="n">
        <f aca="false">H2002*I2002</f>
        <v>758.64</v>
      </c>
      <c r="L2002" s="16" t="n">
        <f aca="false">H2002*J2002</f>
        <v>336</v>
      </c>
      <c r="M2002" s="16" t="n">
        <f aca="false">K2002-L2002</f>
        <v>422.64</v>
      </c>
      <c r="N2002" s="17" t="n">
        <f aca="false">IFERROR(M2002/K2002,0)</f>
        <v>0.557102182853527</v>
      </c>
    </row>
    <row r="2003" customFormat="false" ht="15" hidden="false" customHeight="false" outlineLevel="0" collapsed="false">
      <c r="A2003" s="15" t="n">
        <v>46106</v>
      </c>
      <c r="B2003" s="14" t="s">
        <v>50</v>
      </c>
      <c r="C2003" s="14" t="s">
        <v>51</v>
      </c>
      <c r="D2003" s="14" t="s">
        <v>52</v>
      </c>
      <c r="E2003" s="14" t="s">
        <v>76</v>
      </c>
      <c r="F2003" s="14" t="s">
        <v>100</v>
      </c>
      <c r="G2003" s="14" t="s">
        <v>101</v>
      </c>
      <c r="H2003" s="0" t="n">
        <v>7</v>
      </c>
      <c r="I2003" s="16" t="n">
        <v>15.19</v>
      </c>
      <c r="J2003" s="16" t="n">
        <v>5.5</v>
      </c>
      <c r="K2003" s="16" t="n">
        <f aca="false">H2003*I2003</f>
        <v>106.33</v>
      </c>
      <c r="L2003" s="16" t="n">
        <f aca="false">H2003*J2003</f>
        <v>38.5</v>
      </c>
      <c r="M2003" s="16" t="n">
        <f aca="false">K2003-L2003</f>
        <v>67.83</v>
      </c>
      <c r="N2003" s="17" t="n">
        <f aca="false">IFERROR(M2003/K2003,0)</f>
        <v>0.637919684002633</v>
      </c>
    </row>
    <row r="2004" customFormat="false" ht="15" hidden="false" customHeight="false" outlineLevel="0" collapsed="false">
      <c r="A2004" s="15" t="n">
        <v>46106</v>
      </c>
      <c r="B2004" s="14" t="s">
        <v>59</v>
      </c>
      <c r="C2004" s="14" t="s">
        <v>60</v>
      </c>
      <c r="D2004" s="14" t="s">
        <v>61</v>
      </c>
      <c r="E2004" s="14" t="s">
        <v>76</v>
      </c>
      <c r="F2004" s="14" t="s">
        <v>77</v>
      </c>
      <c r="G2004" s="14" t="s">
        <v>78</v>
      </c>
      <c r="H2004" s="0" t="n">
        <v>5</v>
      </c>
      <c r="I2004" s="16" t="n">
        <v>40.87</v>
      </c>
      <c r="J2004" s="16" t="n">
        <v>15</v>
      </c>
      <c r="K2004" s="16" t="n">
        <f aca="false">H2004*I2004</f>
        <v>204.35</v>
      </c>
      <c r="L2004" s="16" t="n">
        <f aca="false">H2004*J2004</f>
        <v>75</v>
      </c>
      <c r="M2004" s="16" t="n">
        <f aca="false">K2004-L2004</f>
        <v>129.35</v>
      </c>
      <c r="N2004" s="17" t="n">
        <f aca="false">IFERROR(M2004/K2004,0)</f>
        <v>0.632982627844385</v>
      </c>
    </row>
    <row r="2005" customFormat="false" ht="15" hidden="false" customHeight="false" outlineLevel="0" collapsed="false">
      <c r="A2005" s="15" t="n">
        <v>46106</v>
      </c>
      <c r="B2005" s="14" t="s">
        <v>59</v>
      </c>
      <c r="C2005" s="14" t="s">
        <v>60</v>
      </c>
      <c r="D2005" s="14" t="s">
        <v>61</v>
      </c>
      <c r="E2005" s="14" t="s">
        <v>64</v>
      </c>
      <c r="F2005" s="14" t="s">
        <v>65</v>
      </c>
      <c r="G2005" s="14" t="s">
        <v>66</v>
      </c>
      <c r="H2005" s="0" t="n">
        <v>5</v>
      </c>
      <c r="I2005" s="16" t="n">
        <v>78.2</v>
      </c>
      <c r="J2005" s="16" t="n">
        <v>34</v>
      </c>
      <c r="K2005" s="16" t="n">
        <f aca="false">H2005*I2005</f>
        <v>391</v>
      </c>
      <c r="L2005" s="16" t="n">
        <f aca="false">H2005*J2005</f>
        <v>170</v>
      </c>
      <c r="M2005" s="16" t="n">
        <f aca="false">K2005-L2005</f>
        <v>221</v>
      </c>
      <c r="N2005" s="17" t="n">
        <f aca="false">IFERROR(M2005/K2005,0)</f>
        <v>0.565217391304348</v>
      </c>
    </row>
    <row r="2006" customFormat="false" ht="15" hidden="false" customHeight="false" outlineLevel="0" collapsed="false">
      <c r="A2006" s="15" t="n">
        <v>46106</v>
      </c>
      <c r="B2006" s="14" t="s">
        <v>59</v>
      </c>
      <c r="C2006" s="14" t="s">
        <v>60</v>
      </c>
      <c r="D2006" s="14" t="s">
        <v>61</v>
      </c>
      <c r="E2006" s="14" t="s">
        <v>45</v>
      </c>
      <c r="F2006" s="14" t="s">
        <v>48</v>
      </c>
      <c r="G2006" s="14" t="s">
        <v>49</v>
      </c>
      <c r="H2006" s="0" t="n">
        <v>8</v>
      </c>
      <c r="I2006" s="16" t="n">
        <v>67.3</v>
      </c>
      <c r="J2006" s="16" t="n">
        <v>27.5</v>
      </c>
      <c r="K2006" s="16" t="n">
        <f aca="false">H2006*I2006</f>
        <v>538.4</v>
      </c>
      <c r="L2006" s="16" t="n">
        <f aca="false">H2006*J2006</f>
        <v>220</v>
      </c>
      <c r="M2006" s="16" t="n">
        <f aca="false">K2006-L2006</f>
        <v>318.4</v>
      </c>
      <c r="N2006" s="17" t="n">
        <f aca="false">IFERROR(M2006/K2006,0)</f>
        <v>0.591381872213967</v>
      </c>
    </row>
    <row r="2007" customFormat="false" ht="15" hidden="false" customHeight="false" outlineLevel="0" collapsed="false">
      <c r="A2007" s="15" t="n">
        <v>46106</v>
      </c>
      <c r="B2007" s="14" t="s">
        <v>59</v>
      </c>
      <c r="C2007" s="14" t="s">
        <v>60</v>
      </c>
      <c r="D2007" s="14" t="s">
        <v>61</v>
      </c>
      <c r="E2007" s="14" t="s">
        <v>64</v>
      </c>
      <c r="F2007" s="14" t="s">
        <v>96</v>
      </c>
      <c r="G2007" s="14" t="s">
        <v>97</v>
      </c>
      <c r="H2007" s="0" t="n">
        <v>1</v>
      </c>
      <c r="I2007" s="16" t="n">
        <v>57.12</v>
      </c>
      <c r="J2007" s="16" t="n">
        <v>24</v>
      </c>
      <c r="K2007" s="16" t="n">
        <f aca="false">H2007*I2007</f>
        <v>57.12</v>
      </c>
      <c r="L2007" s="16" t="n">
        <f aca="false">H2007*J2007</f>
        <v>24</v>
      </c>
      <c r="M2007" s="16" t="n">
        <f aca="false">K2007-L2007</f>
        <v>33.12</v>
      </c>
      <c r="N2007" s="17" t="n">
        <f aca="false">IFERROR(M2007/K2007,0)</f>
        <v>0.579831932773109</v>
      </c>
    </row>
    <row r="2008" customFormat="false" ht="15" hidden="false" customHeight="false" outlineLevel="0" collapsed="false">
      <c r="A2008" s="15" t="n">
        <v>46106</v>
      </c>
      <c r="B2008" s="14" t="s">
        <v>69</v>
      </c>
      <c r="C2008" s="14" t="s">
        <v>70</v>
      </c>
      <c r="D2008" s="14" t="s">
        <v>71</v>
      </c>
      <c r="E2008" s="14" t="s">
        <v>76</v>
      </c>
      <c r="F2008" s="14" t="s">
        <v>77</v>
      </c>
      <c r="G2008" s="14" t="s">
        <v>78</v>
      </c>
      <c r="H2008" s="0" t="n">
        <v>5</v>
      </c>
      <c r="I2008" s="16" t="n">
        <v>40.16</v>
      </c>
      <c r="J2008" s="16" t="n">
        <v>15</v>
      </c>
      <c r="K2008" s="16" t="n">
        <f aca="false">H2008*I2008</f>
        <v>200.8</v>
      </c>
      <c r="L2008" s="16" t="n">
        <f aca="false">H2008*J2008</f>
        <v>75</v>
      </c>
      <c r="M2008" s="16" t="n">
        <f aca="false">K2008-L2008</f>
        <v>125.8</v>
      </c>
      <c r="N2008" s="17" t="n">
        <f aca="false">IFERROR(M2008/K2008,0)</f>
        <v>0.626494023904383</v>
      </c>
    </row>
    <row r="2009" customFormat="false" ht="15" hidden="false" customHeight="false" outlineLevel="0" collapsed="false">
      <c r="A2009" s="15" t="n">
        <v>46106</v>
      </c>
      <c r="B2009" s="14" t="s">
        <v>69</v>
      </c>
      <c r="C2009" s="14" t="s">
        <v>70</v>
      </c>
      <c r="D2009" s="14" t="s">
        <v>71</v>
      </c>
      <c r="E2009" s="14" t="s">
        <v>64</v>
      </c>
      <c r="F2009" s="14" t="s">
        <v>90</v>
      </c>
      <c r="G2009" s="14" t="s">
        <v>91</v>
      </c>
      <c r="H2009" s="0" t="n">
        <v>3</v>
      </c>
      <c r="I2009" s="16" t="n">
        <v>11.04</v>
      </c>
      <c r="J2009" s="16" t="n">
        <v>3.5</v>
      </c>
      <c r="K2009" s="16" t="n">
        <f aca="false">H2009*I2009</f>
        <v>33.12</v>
      </c>
      <c r="L2009" s="16" t="n">
        <f aca="false">H2009*J2009</f>
        <v>10.5</v>
      </c>
      <c r="M2009" s="16" t="n">
        <f aca="false">K2009-L2009</f>
        <v>22.62</v>
      </c>
      <c r="N2009" s="17" t="n">
        <f aca="false">IFERROR(M2009/K2009,0)</f>
        <v>0.682971014492754</v>
      </c>
    </row>
    <row r="2010" customFormat="false" ht="15" hidden="false" customHeight="false" outlineLevel="0" collapsed="false">
      <c r="A2010" s="15" t="n">
        <v>46106</v>
      </c>
      <c r="B2010" s="14" t="s">
        <v>69</v>
      </c>
      <c r="C2010" s="14" t="s">
        <v>70</v>
      </c>
      <c r="D2010" s="14" t="s">
        <v>71</v>
      </c>
      <c r="E2010" s="14" t="s">
        <v>76</v>
      </c>
      <c r="F2010" s="14" t="s">
        <v>79</v>
      </c>
      <c r="G2010" s="14" t="s">
        <v>80</v>
      </c>
      <c r="H2010" s="0" t="n">
        <v>5</v>
      </c>
      <c r="I2010" s="16" t="n">
        <v>29.7</v>
      </c>
      <c r="J2010" s="16" t="n">
        <v>11</v>
      </c>
      <c r="K2010" s="16" t="n">
        <f aca="false">H2010*I2010</f>
        <v>148.5</v>
      </c>
      <c r="L2010" s="16" t="n">
        <f aca="false">H2010*J2010</f>
        <v>55</v>
      </c>
      <c r="M2010" s="16" t="n">
        <f aca="false">K2010-L2010</f>
        <v>93.5</v>
      </c>
      <c r="N2010" s="17" t="n">
        <f aca="false">IFERROR(M2010/K2010,0)</f>
        <v>0.62962962962963</v>
      </c>
    </row>
    <row r="2011" customFormat="false" ht="15" hidden="false" customHeight="false" outlineLevel="0" collapsed="false">
      <c r="A2011" s="15" t="n">
        <v>46106</v>
      </c>
      <c r="B2011" s="14" t="s">
        <v>69</v>
      </c>
      <c r="C2011" s="14" t="s">
        <v>70</v>
      </c>
      <c r="D2011" s="14" t="s">
        <v>71</v>
      </c>
      <c r="E2011" s="14" t="s">
        <v>76</v>
      </c>
      <c r="F2011" s="14" t="s">
        <v>100</v>
      </c>
      <c r="G2011" s="14" t="s">
        <v>101</v>
      </c>
      <c r="H2011" s="0" t="n">
        <v>3</v>
      </c>
      <c r="I2011" s="16" t="n">
        <v>15.5</v>
      </c>
      <c r="J2011" s="16" t="n">
        <v>5.5</v>
      </c>
      <c r="K2011" s="16" t="n">
        <f aca="false">H2011*I2011</f>
        <v>46.5</v>
      </c>
      <c r="L2011" s="16" t="n">
        <f aca="false">H2011*J2011</f>
        <v>16.5</v>
      </c>
      <c r="M2011" s="16" t="n">
        <f aca="false">K2011-L2011</f>
        <v>30</v>
      </c>
      <c r="N2011" s="17" t="n">
        <f aca="false">IFERROR(M2011/K2011,0)</f>
        <v>0.645161290322581</v>
      </c>
    </row>
    <row r="2012" customFormat="false" ht="15" hidden="false" customHeight="false" outlineLevel="0" collapsed="false">
      <c r="A2012" s="15" t="n">
        <v>46106</v>
      </c>
      <c r="B2012" s="14" t="s">
        <v>69</v>
      </c>
      <c r="C2012" s="14" t="s">
        <v>70</v>
      </c>
      <c r="D2012" s="14" t="s">
        <v>71</v>
      </c>
      <c r="E2012" s="14" t="s">
        <v>64</v>
      </c>
      <c r="F2012" s="14" t="s">
        <v>65</v>
      </c>
      <c r="G2012" s="14" t="s">
        <v>66</v>
      </c>
      <c r="H2012" s="0" t="n">
        <v>5</v>
      </c>
      <c r="I2012" s="16" t="n">
        <v>75.38</v>
      </c>
      <c r="J2012" s="16" t="n">
        <v>34</v>
      </c>
      <c r="K2012" s="16" t="n">
        <f aca="false">H2012*I2012</f>
        <v>376.9</v>
      </c>
      <c r="L2012" s="16" t="n">
        <f aca="false">H2012*J2012</f>
        <v>170</v>
      </c>
      <c r="M2012" s="16" t="n">
        <f aca="false">K2012-L2012</f>
        <v>206.9</v>
      </c>
      <c r="N2012" s="17" t="n">
        <f aca="false">IFERROR(M2012/K2012,0)</f>
        <v>0.548951976651632</v>
      </c>
    </row>
    <row r="2013" customFormat="false" ht="15" hidden="false" customHeight="false" outlineLevel="0" collapsed="false">
      <c r="A2013" s="15" t="n">
        <v>46106</v>
      </c>
      <c r="B2013" s="14" t="s">
        <v>69</v>
      </c>
      <c r="C2013" s="14" t="s">
        <v>70</v>
      </c>
      <c r="D2013" s="14" t="s">
        <v>71</v>
      </c>
      <c r="E2013" s="14" t="s">
        <v>64</v>
      </c>
      <c r="F2013" s="14" t="s">
        <v>65</v>
      </c>
      <c r="G2013" s="14" t="s">
        <v>66</v>
      </c>
      <c r="H2013" s="0" t="n">
        <v>5</v>
      </c>
      <c r="I2013" s="16" t="n">
        <v>74.54</v>
      </c>
      <c r="J2013" s="16" t="n">
        <v>34</v>
      </c>
      <c r="K2013" s="16" t="n">
        <f aca="false">H2013*I2013</f>
        <v>372.7</v>
      </c>
      <c r="L2013" s="16" t="n">
        <f aca="false">H2013*J2013</f>
        <v>170</v>
      </c>
      <c r="M2013" s="16" t="n">
        <f aca="false">K2013-L2013</f>
        <v>202.7</v>
      </c>
      <c r="N2013" s="17" t="n">
        <f aca="false">IFERROR(M2013/K2013,0)</f>
        <v>0.543869063590019</v>
      </c>
    </row>
    <row r="2014" customFormat="false" ht="15" hidden="false" customHeight="false" outlineLevel="0" collapsed="false">
      <c r="A2014" s="15" t="n">
        <v>46106</v>
      </c>
      <c r="B2014" s="14" t="s">
        <v>81</v>
      </c>
      <c r="C2014" s="14" t="s">
        <v>82</v>
      </c>
      <c r="D2014" s="14" t="s">
        <v>83</v>
      </c>
      <c r="E2014" s="14" t="s">
        <v>53</v>
      </c>
      <c r="F2014" s="14" t="s">
        <v>74</v>
      </c>
      <c r="G2014" s="14" t="s">
        <v>75</v>
      </c>
      <c r="H2014" s="0" t="n">
        <v>2</v>
      </c>
      <c r="I2014" s="16" t="n">
        <v>85.43</v>
      </c>
      <c r="J2014" s="16" t="n">
        <v>38</v>
      </c>
      <c r="K2014" s="16" t="n">
        <f aca="false">H2014*I2014</f>
        <v>170.86</v>
      </c>
      <c r="L2014" s="16" t="n">
        <f aca="false">H2014*J2014</f>
        <v>76</v>
      </c>
      <c r="M2014" s="16" t="n">
        <f aca="false">K2014-L2014</f>
        <v>94.86</v>
      </c>
      <c r="N2014" s="17" t="n">
        <f aca="false">IFERROR(M2014/K2014,0)</f>
        <v>0.555191384759452</v>
      </c>
    </row>
    <row r="2015" customFormat="false" ht="15" hidden="false" customHeight="false" outlineLevel="0" collapsed="false">
      <c r="A2015" s="15" t="n">
        <v>46106</v>
      </c>
      <c r="B2015" s="14" t="s">
        <v>81</v>
      </c>
      <c r="C2015" s="14" t="s">
        <v>82</v>
      </c>
      <c r="D2015" s="14" t="s">
        <v>83</v>
      </c>
      <c r="E2015" s="14" t="s">
        <v>45</v>
      </c>
      <c r="F2015" s="14" t="s">
        <v>46</v>
      </c>
      <c r="G2015" s="14" t="s">
        <v>47</v>
      </c>
      <c r="H2015" s="0" t="n">
        <v>7</v>
      </c>
      <c r="I2015" s="16" t="n">
        <v>42</v>
      </c>
      <c r="J2015" s="16" t="n">
        <v>18</v>
      </c>
      <c r="K2015" s="16" t="n">
        <f aca="false">H2015*I2015</f>
        <v>294</v>
      </c>
      <c r="L2015" s="16" t="n">
        <f aca="false">H2015*J2015</f>
        <v>126</v>
      </c>
      <c r="M2015" s="16" t="n">
        <f aca="false">K2015-L2015</f>
        <v>168</v>
      </c>
      <c r="N2015" s="17" t="n">
        <f aca="false">IFERROR(M2015/K2015,0)</f>
        <v>0.571428571428571</v>
      </c>
    </row>
    <row r="2016" customFormat="false" ht="15" hidden="false" customHeight="false" outlineLevel="0" collapsed="false">
      <c r="A2016" s="15" t="n">
        <v>46106</v>
      </c>
      <c r="B2016" s="14" t="s">
        <v>81</v>
      </c>
      <c r="C2016" s="14" t="s">
        <v>82</v>
      </c>
      <c r="D2016" s="14" t="s">
        <v>83</v>
      </c>
      <c r="E2016" s="14" t="s">
        <v>64</v>
      </c>
      <c r="F2016" s="14" t="s">
        <v>65</v>
      </c>
      <c r="G2016" s="14" t="s">
        <v>66</v>
      </c>
      <c r="H2016" s="0" t="n">
        <v>5</v>
      </c>
      <c r="I2016" s="16" t="n">
        <v>76.87</v>
      </c>
      <c r="J2016" s="16" t="n">
        <v>34</v>
      </c>
      <c r="K2016" s="16" t="n">
        <f aca="false">H2016*I2016</f>
        <v>384.35</v>
      </c>
      <c r="L2016" s="16" t="n">
        <f aca="false">H2016*J2016</f>
        <v>170</v>
      </c>
      <c r="M2016" s="16" t="n">
        <f aca="false">K2016-L2016</f>
        <v>214.35</v>
      </c>
      <c r="N2016" s="17" t="n">
        <f aca="false">IFERROR(M2016/K2016,0)</f>
        <v>0.557694809418499</v>
      </c>
    </row>
    <row r="2017" customFormat="false" ht="15" hidden="false" customHeight="false" outlineLevel="0" collapsed="false">
      <c r="A2017" s="15" t="n">
        <v>46106</v>
      </c>
      <c r="B2017" s="14" t="s">
        <v>88</v>
      </c>
      <c r="C2017" s="14" t="s">
        <v>89</v>
      </c>
      <c r="D2017" s="14" t="s">
        <v>44</v>
      </c>
      <c r="E2017" s="14" t="s">
        <v>53</v>
      </c>
      <c r="F2017" s="14" t="s">
        <v>54</v>
      </c>
      <c r="G2017" s="14" t="s">
        <v>55</v>
      </c>
      <c r="H2017" s="0" t="n">
        <v>3</v>
      </c>
      <c r="I2017" s="16" t="n">
        <v>53.91</v>
      </c>
      <c r="J2017" s="16" t="n">
        <v>22</v>
      </c>
      <c r="K2017" s="16" t="n">
        <f aca="false">H2017*I2017</f>
        <v>161.73</v>
      </c>
      <c r="L2017" s="16" t="n">
        <f aca="false">H2017*J2017</f>
        <v>66</v>
      </c>
      <c r="M2017" s="16" t="n">
        <f aca="false">K2017-L2017</f>
        <v>95.73</v>
      </c>
      <c r="N2017" s="17" t="n">
        <f aca="false">IFERROR(M2017/K2017,0)</f>
        <v>0.591912446670377</v>
      </c>
    </row>
    <row r="2018" customFormat="false" ht="15" hidden="false" customHeight="false" outlineLevel="0" collapsed="false">
      <c r="A2018" s="15" t="n">
        <v>46106</v>
      </c>
      <c r="B2018" s="14" t="s">
        <v>88</v>
      </c>
      <c r="C2018" s="14" t="s">
        <v>89</v>
      </c>
      <c r="D2018" s="14" t="s">
        <v>44</v>
      </c>
      <c r="E2018" s="14" t="s">
        <v>45</v>
      </c>
      <c r="F2018" s="14" t="s">
        <v>48</v>
      </c>
      <c r="G2018" s="14" t="s">
        <v>49</v>
      </c>
      <c r="H2018" s="0" t="n">
        <v>8</v>
      </c>
      <c r="I2018" s="16" t="n">
        <v>67.96</v>
      </c>
      <c r="J2018" s="16" t="n">
        <v>27.5</v>
      </c>
      <c r="K2018" s="16" t="n">
        <f aca="false">H2018*I2018</f>
        <v>543.68</v>
      </c>
      <c r="L2018" s="16" t="n">
        <f aca="false">H2018*J2018</f>
        <v>220</v>
      </c>
      <c r="M2018" s="16" t="n">
        <f aca="false">K2018-L2018</f>
        <v>323.68</v>
      </c>
      <c r="N2018" s="17" t="n">
        <f aca="false">IFERROR(M2018/K2018,0)</f>
        <v>0.595350206003532</v>
      </c>
    </row>
    <row r="2019" customFormat="false" ht="15" hidden="false" customHeight="false" outlineLevel="0" collapsed="false">
      <c r="A2019" s="15" t="n">
        <v>46106</v>
      </c>
      <c r="B2019" s="14" t="s">
        <v>88</v>
      </c>
      <c r="C2019" s="14" t="s">
        <v>89</v>
      </c>
      <c r="D2019" s="14" t="s">
        <v>44</v>
      </c>
      <c r="E2019" s="14" t="s">
        <v>45</v>
      </c>
      <c r="F2019" s="14" t="s">
        <v>62</v>
      </c>
      <c r="G2019" s="14" t="s">
        <v>63</v>
      </c>
      <c r="H2019" s="0" t="n">
        <v>7</v>
      </c>
      <c r="I2019" s="16" t="n">
        <v>17.86</v>
      </c>
      <c r="J2019" s="16" t="n">
        <v>6.5</v>
      </c>
      <c r="K2019" s="16" t="n">
        <f aca="false">H2019*I2019</f>
        <v>125.02</v>
      </c>
      <c r="L2019" s="16" t="n">
        <f aca="false">H2019*J2019</f>
        <v>45.5</v>
      </c>
      <c r="M2019" s="16" t="n">
        <f aca="false">K2019-L2019</f>
        <v>79.52</v>
      </c>
      <c r="N2019" s="17" t="n">
        <f aca="false">IFERROR(M2019/K2019,0)</f>
        <v>0.636058230683091</v>
      </c>
    </row>
    <row r="2020" customFormat="false" ht="15" hidden="false" customHeight="false" outlineLevel="0" collapsed="false">
      <c r="A2020" s="15" t="n">
        <v>46107</v>
      </c>
      <c r="B2020" s="14" t="s">
        <v>42</v>
      </c>
      <c r="C2020" s="14" t="s">
        <v>43</v>
      </c>
      <c r="D2020" s="14" t="s">
        <v>44</v>
      </c>
      <c r="E2020" s="14" t="s">
        <v>53</v>
      </c>
      <c r="F2020" s="14" t="s">
        <v>92</v>
      </c>
      <c r="G2020" s="14" t="s">
        <v>93</v>
      </c>
      <c r="H2020" s="0" t="n">
        <v>10</v>
      </c>
      <c r="I2020" s="16" t="n">
        <v>119.53</v>
      </c>
      <c r="J2020" s="16" t="n">
        <v>52</v>
      </c>
      <c r="K2020" s="16" t="n">
        <f aca="false">H2020*I2020</f>
        <v>1195.3</v>
      </c>
      <c r="L2020" s="16" t="n">
        <f aca="false">H2020*J2020</f>
        <v>520</v>
      </c>
      <c r="M2020" s="16" t="n">
        <f aca="false">K2020-L2020</f>
        <v>675.3</v>
      </c>
      <c r="N2020" s="17" t="n">
        <f aca="false">IFERROR(M2020/K2020,0)</f>
        <v>0.564962770852506</v>
      </c>
    </row>
    <row r="2021" customFormat="false" ht="15" hidden="false" customHeight="false" outlineLevel="0" collapsed="false">
      <c r="A2021" s="15" t="n">
        <v>46107</v>
      </c>
      <c r="B2021" s="14" t="s">
        <v>42</v>
      </c>
      <c r="C2021" s="14" t="s">
        <v>43</v>
      </c>
      <c r="D2021" s="14" t="s">
        <v>44</v>
      </c>
      <c r="E2021" s="14" t="s">
        <v>45</v>
      </c>
      <c r="F2021" s="14" t="s">
        <v>62</v>
      </c>
      <c r="G2021" s="14" t="s">
        <v>63</v>
      </c>
      <c r="H2021" s="0" t="n">
        <v>11</v>
      </c>
      <c r="I2021" s="16" t="n">
        <v>16.69</v>
      </c>
      <c r="J2021" s="16" t="n">
        <v>6.5</v>
      </c>
      <c r="K2021" s="16" t="n">
        <f aca="false">H2021*I2021</f>
        <v>183.59</v>
      </c>
      <c r="L2021" s="16" t="n">
        <f aca="false">H2021*J2021</f>
        <v>71.5</v>
      </c>
      <c r="M2021" s="16" t="n">
        <f aca="false">K2021-L2021</f>
        <v>112.09</v>
      </c>
      <c r="N2021" s="17" t="n">
        <f aca="false">IFERROR(M2021/K2021,0)</f>
        <v>0.610545236668664</v>
      </c>
    </row>
    <row r="2022" customFormat="false" ht="15" hidden="false" customHeight="false" outlineLevel="0" collapsed="false">
      <c r="A2022" s="15" t="n">
        <v>46107</v>
      </c>
      <c r="B2022" s="14" t="s">
        <v>42</v>
      </c>
      <c r="C2022" s="14" t="s">
        <v>43</v>
      </c>
      <c r="D2022" s="14" t="s">
        <v>44</v>
      </c>
      <c r="E2022" s="14" t="s">
        <v>76</v>
      </c>
      <c r="F2022" s="14" t="s">
        <v>77</v>
      </c>
      <c r="G2022" s="14" t="s">
        <v>78</v>
      </c>
      <c r="H2022" s="0" t="n">
        <v>3</v>
      </c>
      <c r="I2022" s="16" t="n">
        <v>40.8</v>
      </c>
      <c r="J2022" s="16" t="n">
        <v>15</v>
      </c>
      <c r="K2022" s="16" t="n">
        <f aca="false">H2022*I2022</f>
        <v>122.4</v>
      </c>
      <c r="L2022" s="16" t="n">
        <f aca="false">H2022*J2022</f>
        <v>45</v>
      </c>
      <c r="M2022" s="16" t="n">
        <f aca="false">K2022-L2022</f>
        <v>77.4</v>
      </c>
      <c r="N2022" s="17" t="n">
        <f aca="false">IFERROR(M2022/K2022,0)</f>
        <v>0.632352941176471</v>
      </c>
    </row>
    <row r="2023" customFormat="false" ht="15" hidden="false" customHeight="false" outlineLevel="0" collapsed="false">
      <c r="A2023" s="15" t="n">
        <v>46107</v>
      </c>
      <c r="B2023" s="14" t="s">
        <v>42</v>
      </c>
      <c r="C2023" s="14" t="s">
        <v>43</v>
      </c>
      <c r="D2023" s="14" t="s">
        <v>44</v>
      </c>
      <c r="E2023" s="14" t="s">
        <v>64</v>
      </c>
      <c r="F2023" s="14" t="s">
        <v>90</v>
      </c>
      <c r="G2023" s="14" t="s">
        <v>91</v>
      </c>
      <c r="H2023" s="0" t="n">
        <v>8</v>
      </c>
      <c r="I2023" s="16" t="n">
        <v>11.82</v>
      </c>
      <c r="J2023" s="16" t="n">
        <v>3.5</v>
      </c>
      <c r="K2023" s="16" t="n">
        <f aca="false">H2023*I2023</f>
        <v>94.56</v>
      </c>
      <c r="L2023" s="16" t="n">
        <f aca="false">H2023*J2023</f>
        <v>28</v>
      </c>
      <c r="M2023" s="16" t="n">
        <f aca="false">K2023-L2023</f>
        <v>66.56</v>
      </c>
      <c r="N2023" s="17" t="n">
        <f aca="false">IFERROR(M2023/K2023,0)</f>
        <v>0.703891708967851</v>
      </c>
    </row>
    <row r="2024" customFormat="false" ht="15" hidden="false" customHeight="false" outlineLevel="0" collapsed="false">
      <c r="A2024" s="15" t="n">
        <v>46107</v>
      </c>
      <c r="B2024" s="14" t="s">
        <v>50</v>
      </c>
      <c r="C2024" s="14" t="s">
        <v>51</v>
      </c>
      <c r="D2024" s="14" t="s">
        <v>52</v>
      </c>
      <c r="E2024" s="14" t="s">
        <v>76</v>
      </c>
      <c r="F2024" s="14" t="s">
        <v>79</v>
      </c>
      <c r="G2024" s="14" t="s">
        <v>80</v>
      </c>
      <c r="H2024" s="0" t="n">
        <v>6</v>
      </c>
      <c r="I2024" s="16" t="n">
        <v>27.81</v>
      </c>
      <c r="J2024" s="16" t="n">
        <v>11</v>
      </c>
      <c r="K2024" s="16" t="n">
        <f aca="false">H2024*I2024</f>
        <v>166.86</v>
      </c>
      <c r="L2024" s="16" t="n">
        <f aca="false">H2024*J2024</f>
        <v>66</v>
      </c>
      <c r="M2024" s="16" t="n">
        <f aca="false">K2024-L2024</f>
        <v>100.86</v>
      </c>
      <c r="N2024" s="17" t="n">
        <f aca="false">IFERROR(M2024/K2024,0)</f>
        <v>0.604458827759799</v>
      </c>
    </row>
    <row r="2025" customFormat="false" ht="15" hidden="false" customHeight="false" outlineLevel="0" collapsed="false">
      <c r="A2025" s="15" t="n">
        <v>46107</v>
      </c>
      <c r="B2025" s="14" t="s">
        <v>50</v>
      </c>
      <c r="C2025" s="14" t="s">
        <v>51</v>
      </c>
      <c r="D2025" s="14" t="s">
        <v>52</v>
      </c>
      <c r="E2025" s="14" t="s">
        <v>45</v>
      </c>
      <c r="F2025" s="14" t="s">
        <v>46</v>
      </c>
      <c r="G2025" s="14" t="s">
        <v>47</v>
      </c>
      <c r="H2025" s="0" t="n">
        <v>5</v>
      </c>
      <c r="I2025" s="16" t="n">
        <v>44.08</v>
      </c>
      <c r="J2025" s="16" t="n">
        <v>18</v>
      </c>
      <c r="K2025" s="16" t="n">
        <f aca="false">H2025*I2025</f>
        <v>220.4</v>
      </c>
      <c r="L2025" s="16" t="n">
        <f aca="false">H2025*J2025</f>
        <v>90</v>
      </c>
      <c r="M2025" s="16" t="n">
        <f aca="false">K2025-L2025</f>
        <v>130.4</v>
      </c>
      <c r="N2025" s="17" t="n">
        <f aca="false">IFERROR(M2025/K2025,0)</f>
        <v>0.591651542649728</v>
      </c>
    </row>
    <row r="2026" customFormat="false" ht="15" hidden="false" customHeight="false" outlineLevel="0" collapsed="false">
      <c r="A2026" s="15" t="n">
        <v>46107</v>
      </c>
      <c r="B2026" s="14" t="s">
        <v>50</v>
      </c>
      <c r="C2026" s="14" t="s">
        <v>51</v>
      </c>
      <c r="D2026" s="14" t="s">
        <v>52</v>
      </c>
      <c r="E2026" s="14" t="s">
        <v>45</v>
      </c>
      <c r="F2026" s="14" t="s">
        <v>46</v>
      </c>
      <c r="G2026" s="14" t="s">
        <v>47</v>
      </c>
      <c r="H2026" s="0" t="n">
        <v>4</v>
      </c>
      <c r="I2026" s="16" t="n">
        <v>44.47</v>
      </c>
      <c r="J2026" s="16" t="n">
        <v>18</v>
      </c>
      <c r="K2026" s="16" t="n">
        <f aca="false">H2026*I2026</f>
        <v>177.88</v>
      </c>
      <c r="L2026" s="16" t="n">
        <f aca="false">H2026*J2026</f>
        <v>72</v>
      </c>
      <c r="M2026" s="16" t="n">
        <f aca="false">K2026-L2026</f>
        <v>105.88</v>
      </c>
      <c r="N2026" s="17" t="n">
        <f aca="false">IFERROR(M2026/K2026,0)</f>
        <v>0.595232741173825</v>
      </c>
    </row>
    <row r="2027" customFormat="false" ht="15" hidden="false" customHeight="false" outlineLevel="0" collapsed="false">
      <c r="A2027" s="15" t="n">
        <v>46107</v>
      </c>
      <c r="B2027" s="14" t="s">
        <v>59</v>
      </c>
      <c r="C2027" s="14" t="s">
        <v>60</v>
      </c>
      <c r="D2027" s="14" t="s">
        <v>61</v>
      </c>
      <c r="E2027" s="14" t="s">
        <v>56</v>
      </c>
      <c r="F2027" s="14" t="s">
        <v>98</v>
      </c>
      <c r="G2027" s="14" t="s">
        <v>99</v>
      </c>
      <c r="H2027" s="0" t="n">
        <v>5</v>
      </c>
      <c r="I2027" s="16" t="n">
        <v>20.35</v>
      </c>
      <c r="J2027" s="16" t="n">
        <v>8</v>
      </c>
      <c r="K2027" s="16" t="n">
        <f aca="false">H2027*I2027</f>
        <v>101.75</v>
      </c>
      <c r="L2027" s="16" t="n">
        <f aca="false">H2027*J2027</f>
        <v>40</v>
      </c>
      <c r="M2027" s="16" t="n">
        <f aca="false">K2027-L2027</f>
        <v>61.75</v>
      </c>
      <c r="N2027" s="17" t="n">
        <f aca="false">IFERROR(M2027/K2027,0)</f>
        <v>0.606879606879607</v>
      </c>
    </row>
    <row r="2028" customFormat="false" ht="15" hidden="false" customHeight="false" outlineLevel="0" collapsed="false">
      <c r="A2028" s="15" t="n">
        <v>46107</v>
      </c>
      <c r="B2028" s="14" t="s">
        <v>59</v>
      </c>
      <c r="C2028" s="14" t="s">
        <v>60</v>
      </c>
      <c r="D2028" s="14" t="s">
        <v>61</v>
      </c>
      <c r="E2028" s="14" t="s">
        <v>56</v>
      </c>
      <c r="F2028" s="14" t="s">
        <v>86</v>
      </c>
      <c r="G2028" s="14" t="s">
        <v>87</v>
      </c>
      <c r="H2028" s="0" t="n">
        <v>7</v>
      </c>
      <c r="I2028" s="16" t="n">
        <v>14.98</v>
      </c>
      <c r="J2028" s="16" t="n">
        <v>5</v>
      </c>
      <c r="K2028" s="16" t="n">
        <f aca="false">H2028*I2028</f>
        <v>104.86</v>
      </c>
      <c r="L2028" s="16" t="n">
        <f aca="false">H2028*J2028</f>
        <v>35</v>
      </c>
      <c r="M2028" s="16" t="n">
        <f aca="false">K2028-L2028</f>
        <v>69.86</v>
      </c>
      <c r="N2028" s="17" t="n">
        <f aca="false">IFERROR(M2028/K2028,0)</f>
        <v>0.666221628838451</v>
      </c>
    </row>
    <row r="2029" customFormat="false" ht="15" hidden="false" customHeight="false" outlineLevel="0" collapsed="false">
      <c r="A2029" s="15" t="n">
        <v>46107</v>
      </c>
      <c r="B2029" s="14" t="s">
        <v>59</v>
      </c>
      <c r="C2029" s="14" t="s">
        <v>60</v>
      </c>
      <c r="D2029" s="14" t="s">
        <v>61</v>
      </c>
      <c r="E2029" s="14" t="s">
        <v>76</v>
      </c>
      <c r="F2029" s="14" t="s">
        <v>102</v>
      </c>
      <c r="G2029" s="14" t="s">
        <v>103</v>
      </c>
      <c r="H2029" s="0" t="n">
        <v>3</v>
      </c>
      <c r="I2029" s="16" t="n">
        <v>23.08</v>
      </c>
      <c r="J2029" s="16" t="n">
        <v>8.5</v>
      </c>
      <c r="K2029" s="16" t="n">
        <f aca="false">H2029*I2029</f>
        <v>69.24</v>
      </c>
      <c r="L2029" s="16" t="n">
        <f aca="false">H2029*J2029</f>
        <v>25.5</v>
      </c>
      <c r="M2029" s="16" t="n">
        <f aca="false">K2029-L2029</f>
        <v>43.74</v>
      </c>
      <c r="N2029" s="17" t="n">
        <f aca="false">IFERROR(M2029/K2029,0)</f>
        <v>0.631715771230503</v>
      </c>
    </row>
    <row r="2030" customFormat="false" ht="15" hidden="false" customHeight="false" outlineLevel="0" collapsed="false">
      <c r="A2030" s="15" t="n">
        <v>46107</v>
      </c>
      <c r="B2030" s="14" t="s">
        <v>59</v>
      </c>
      <c r="C2030" s="14" t="s">
        <v>60</v>
      </c>
      <c r="D2030" s="14" t="s">
        <v>61</v>
      </c>
      <c r="E2030" s="14" t="s">
        <v>56</v>
      </c>
      <c r="F2030" s="14" t="s">
        <v>86</v>
      </c>
      <c r="G2030" s="14" t="s">
        <v>87</v>
      </c>
      <c r="H2030" s="0" t="n">
        <v>2</v>
      </c>
      <c r="I2030" s="16" t="n">
        <v>14.27</v>
      </c>
      <c r="J2030" s="16" t="n">
        <v>5</v>
      </c>
      <c r="K2030" s="16" t="n">
        <f aca="false">H2030*I2030</f>
        <v>28.54</v>
      </c>
      <c r="L2030" s="16" t="n">
        <f aca="false">H2030*J2030</f>
        <v>10</v>
      </c>
      <c r="M2030" s="16" t="n">
        <f aca="false">K2030-L2030</f>
        <v>18.54</v>
      </c>
      <c r="N2030" s="17" t="n">
        <f aca="false">IFERROR(M2030/K2030,0)</f>
        <v>0.649614576033637</v>
      </c>
    </row>
    <row r="2031" customFormat="false" ht="15" hidden="false" customHeight="false" outlineLevel="0" collapsed="false">
      <c r="A2031" s="15" t="n">
        <v>46107</v>
      </c>
      <c r="B2031" s="14" t="s">
        <v>59</v>
      </c>
      <c r="C2031" s="14" t="s">
        <v>60</v>
      </c>
      <c r="D2031" s="14" t="s">
        <v>61</v>
      </c>
      <c r="E2031" s="14" t="s">
        <v>56</v>
      </c>
      <c r="F2031" s="14" t="s">
        <v>57</v>
      </c>
      <c r="G2031" s="14" t="s">
        <v>58</v>
      </c>
      <c r="H2031" s="0" t="n">
        <v>6</v>
      </c>
      <c r="I2031" s="16" t="n">
        <v>25.15</v>
      </c>
      <c r="J2031" s="16" t="n">
        <v>10</v>
      </c>
      <c r="K2031" s="16" t="n">
        <f aca="false">H2031*I2031</f>
        <v>150.9</v>
      </c>
      <c r="L2031" s="16" t="n">
        <f aca="false">H2031*J2031</f>
        <v>60</v>
      </c>
      <c r="M2031" s="16" t="n">
        <f aca="false">K2031-L2031</f>
        <v>90.9</v>
      </c>
      <c r="N2031" s="17" t="n">
        <f aca="false">IFERROR(M2031/K2031,0)</f>
        <v>0.602385685884692</v>
      </c>
    </row>
    <row r="2032" customFormat="false" ht="15" hidden="false" customHeight="false" outlineLevel="0" collapsed="false">
      <c r="A2032" s="15" t="n">
        <v>46107</v>
      </c>
      <c r="B2032" s="14" t="s">
        <v>69</v>
      </c>
      <c r="C2032" s="14" t="s">
        <v>70</v>
      </c>
      <c r="D2032" s="14" t="s">
        <v>71</v>
      </c>
      <c r="E2032" s="14" t="s">
        <v>53</v>
      </c>
      <c r="F2032" s="14" t="s">
        <v>84</v>
      </c>
      <c r="G2032" s="14" t="s">
        <v>85</v>
      </c>
      <c r="H2032" s="0" t="n">
        <v>7</v>
      </c>
      <c r="I2032" s="16" t="n">
        <v>23.29</v>
      </c>
      <c r="J2032" s="16" t="n">
        <v>9</v>
      </c>
      <c r="K2032" s="16" t="n">
        <f aca="false">H2032*I2032</f>
        <v>163.03</v>
      </c>
      <c r="L2032" s="16" t="n">
        <f aca="false">H2032*J2032</f>
        <v>63</v>
      </c>
      <c r="M2032" s="16" t="n">
        <f aca="false">K2032-L2032</f>
        <v>100.03</v>
      </c>
      <c r="N2032" s="17" t="n">
        <f aca="false">IFERROR(M2032/K2032,0)</f>
        <v>0.61356805495921</v>
      </c>
    </row>
    <row r="2033" customFormat="false" ht="15" hidden="false" customHeight="false" outlineLevel="0" collapsed="false">
      <c r="A2033" s="15" t="n">
        <v>46107</v>
      </c>
      <c r="B2033" s="14" t="s">
        <v>69</v>
      </c>
      <c r="C2033" s="14" t="s">
        <v>70</v>
      </c>
      <c r="D2033" s="14" t="s">
        <v>71</v>
      </c>
      <c r="E2033" s="14" t="s">
        <v>76</v>
      </c>
      <c r="F2033" s="14" t="s">
        <v>77</v>
      </c>
      <c r="G2033" s="14" t="s">
        <v>78</v>
      </c>
      <c r="H2033" s="0" t="n">
        <v>1</v>
      </c>
      <c r="I2033" s="16" t="n">
        <v>40.65</v>
      </c>
      <c r="J2033" s="16" t="n">
        <v>15</v>
      </c>
      <c r="K2033" s="16" t="n">
        <f aca="false">H2033*I2033</f>
        <v>40.65</v>
      </c>
      <c r="L2033" s="16" t="n">
        <f aca="false">H2033*J2033</f>
        <v>15</v>
      </c>
      <c r="M2033" s="16" t="n">
        <f aca="false">K2033-L2033</f>
        <v>25.65</v>
      </c>
      <c r="N2033" s="17" t="n">
        <f aca="false">IFERROR(M2033/K2033,0)</f>
        <v>0.6309963099631</v>
      </c>
    </row>
    <row r="2034" customFormat="false" ht="15" hidden="false" customHeight="false" outlineLevel="0" collapsed="false">
      <c r="A2034" s="15" t="n">
        <v>46107</v>
      </c>
      <c r="B2034" s="14" t="s">
        <v>69</v>
      </c>
      <c r="C2034" s="14" t="s">
        <v>70</v>
      </c>
      <c r="D2034" s="14" t="s">
        <v>71</v>
      </c>
      <c r="E2034" s="14" t="s">
        <v>76</v>
      </c>
      <c r="F2034" s="14" t="s">
        <v>79</v>
      </c>
      <c r="G2034" s="14" t="s">
        <v>80</v>
      </c>
      <c r="H2034" s="0" t="n">
        <v>4</v>
      </c>
      <c r="I2034" s="16" t="n">
        <v>29.99</v>
      </c>
      <c r="J2034" s="16" t="n">
        <v>11</v>
      </c>
      <c r="K2034" s="16" t="n">
        <f aca="false">H2034*I2034</f>
        <v>119.96</v>
      </c>
      <c r="L2034" s="16" t="n">
        <f aca="false">H2034*J2034</f>
        <v>44</v>
      </c>
      <c r="M2034" s="16" t="n">
        <f aca="false">K2034-L2034</f>
        <v>75.96</v>
      </c>
      <c r="N2034" s="17" t="n">
        <f aca="false">IFERROR(M2034/K2034,0)</f>
        <v>0.633211070356786</v>
      </c>
    </row>
    <row r="2035" customFormat="false" ht="15" hidden="false" customHeight="false" outlineLevel="0" collapsed="false">
      <c r="A2035" s="15" t="n">
        <v>46107</v>
      </c>
      <c r="B2035" s="14" t="s">
        <v>69</v>
      </c>
      <c r="C2035" s="14" t="s">
        <v>70</v>
      </c>
      <c r="D2035" s="14" t="s">
        <v>71</v>
      </c>
      <c r="E2035" s="14" t="s">
        <v>56</v>
      </c>
      <c r="F2035" s="14" t="s">
        <v>57</v>
      </c>
      <c r="G2035" s="14" t="s">
        <v>58</v>
      </c>
      <c r="H2035" s="0" t="n">
        <v>4</v>
      </c>
      <c r="I2035" s="16" t="n">
        <v>25.91</v>
      </c>
      <c r="J2035" s="16" t="n">
        <v>10</v>
      </c>
      <c r="K2035" s="16" t="n">
        <f aca="false">H2035*I2035</f>
        <v>103.64</v>
      </c>
      <c r="L2035" s="16" t="n">
        <f aca="false">H2035*J2035</f>
        <v>40</v>
      </c>
      <c r="M2035" s="16" t="n">
        <f aca="false">K2035-L2035</f>
        <v>63.64</v>
      </c>
      <c r="N2035" s="17" t="n">
        <f aca="false">IFERROR(M2035/K2035,0)</f>
        <v>0.614048629872636</v>
      </c>
    </row>
    <row r="2036" customFormat="false" ht="15" hidden="false" customHeight="false" outlineLevel="0" collapsed="false">
      <c r="A2036" s="15" t="n">
        <v>46107</v>
      </c>
      <c r="B2036" s="14" t="s">
        <v>81</v>
      </c>
      <c r="C2036" s="14" t="s">
        <v>82</v>
      </c>
      <c r="D2036" s="14" t="s">
        <v>83</v>
      </c>
      <c r="E2036" s="14" t="s">
        <v>45</v>
      </c>
      <c r="F2036" s="14" t="s">
        <v>46</v>
      </c>
      <c r="G2036" s="14" t="s">
        <v>47</v>
      </c>
      <c r="H2036" s="0" t="n">
        <v>2</v>
      </c>
      <c r="I2036" s="16" t="n">
        <v>44.38</v>
      </c>
      <c r="J2036" s="16" t="n">
        <v>18</v>
      </c>
      <c r="K2036" s="16" t="n">
        <f aca="false">H2036*I2036</f>
        <v>88.76</v>
      </c>
      <c r="L2036" s="16" t="n">
        <f aca="false">H2036*J2036</f>
        <v>36</v>
      </c>
      <c r="M2036" s="16" t="n">
        <f aca="false">K2036-L2036</f>
        <v>52.76</v>
      </c>
      <c r="N2036" s="17" t="n">
        <f aca="false">IFERROR(M2036/K2036,0)</f>
        <v>0.594411897251014</v>
      </c>
    </row>
    <row r="2037" customFormat="false" ht="15" hidden="false" customHeight="false" outlineLevel="0" collapsed="false">
      <c r="A2037" s="15" t="n">
        <v>46107</v>
      </c>
      <c r="B2037" s="14" t="s">
        <v>81</v>
      </c>
      <c r="C2037" s="14" t="s">
        <v>82</v>
      </c>
      <c r="D2037" s="14" t="s">
        <v>83</v>
      </c>
      <c r="E2037" s="14" t="s">
        <v>53</v>
      </c>
      <c r="F2037" s="14" t="s">
        <v>54</v>
      </c>
      <c r="G2037" s="14" t="s">
        <v>55</v>
      </c>
      <c r="H2037" s="0" t="n">
        <v>1</v>
      </c>
      <c r="I2037" s="16" t="n">
        <v>54.66</v>
      </c>
      <c r="J2037" s="16" t="n">
        <v>22</v>
      </c>
      <c r="K2037" s="16" t="n">
        <f aca="false">H2037*I2037</f>
        <v>54.66</v>
      </c>
      <c r="L2037" s="16" t="n">
        <f aca="false">H2037*J2037</f>
        <v>22</v>
      </c>
      <c r="M2037" s="16" t="n">
        <f aca="false">K2037-L2037</f>
        <v>32.66</v>
      </c>
      <c r="N2037" s="17" t="n">
        <f aca="false">IFERROR(M2037/K2037,0)</f>
        <v>0.597511891694109</v>
      </c>
    </row>
    <row r="2038" customFormat="false" ht="15" hidden="false" customHeight="false" outlineLevel="0" collapsed="false">
      <c r="A2038" s="15" t="n">
        <v>46107</v>
      </c>
      <c r="B2038" s="14" t="s">
        <v>81</v>
      </c>
      <c r="C2038" s="14" t="s">
        <v>82</v>
      </c>
      <c r="D2038" s="14" t="s">
        <v>83</v>
      </c>
      <c r="E2038" s="14" t="s">
        <v>53</v>
      </c>
      <c r="F2038" s="14" t="s">
        <v>84</v>
      </c>
      <c r="G2038" s="14" t="s">
        <v>85</v>
      </c>
      <c r="H2038" s="0" t="n">
        <v>5</v>
      </c>
      <c r="I2038" s="16" t="n">
        <v>23.6</v>
      </c>
      <c r="J2038" s="16" t="n">
        <v>9</v>
      </c>
      <c r="K2038" s="16" t="n">
        <f aca="false">H2038*I2038</f>
        <v>118</v>
      </c>
      <c r="L2038" s="16" t="n">
        <f aca="false">H2038*J2038</f>
        <v>45</v>
      </c>
      <c r="M2038" s="16" t="n">
        <f aca="false">K2038-L2038</f>
        <v>73</v>
      </c>
      <c r="N2038" s="17" t="n">
        <f aca="false">IFERROR(M2038/K2038,0)</f>
        <v>0.61864406779661</v>
      </c>
    </row>
    <row r="2039" customFormat="false" ht="15" hidden="false" customHeight="false" outlineLevel="0" collapsed="false">
      <c r="A2039" s="15" t="n">
        <v>46107</v>
      </c>
      <c r="B2039" s="14" t="s">
        <v>81</v>
      </c>
      <c r="C2039" s="14" t="s">
        <v>82</v>
      </c>
      <c r="D2039" s="14" t="s">
        <v>83</v>
      </c>
      <c r="E2039" s="14" t="s">
        <v>53</v>
      </c>
      <c r="F2039" s="14" t="s">
        <v>74</v>
      </c>
      <c r="G2039" s="14" t="s">
        <v>75</v>
      </c>
      <c r="H2039" s="0" t="n">
        <v>5</v>
      </c>
      <c r="I2039" s="16" t="n">
        <v>84.28</v>
      </c>
      <c r="J2039" s="16" t="n">
        <v>38</v>
      </c>
      <c r="K2039" s="16" t="n">
        <f aca="false">H2039*I2039</f>
        <v>421.4</v>
      </c>
      <c r="L2039" s="16" t="n">
        <f aca="false">H2039*J2039</f>
        <v>190</v>
      </c>
      <c r="M2039" s="16" t="n">
        <f aca="false">K2039-L2039</f>
        <v>231.4</v>
      </c>
      <c r="N2039" s="17" t="n">
        <f aca="false">IFERROR(M2039/K2039,0)</f>
        <v>0.549121974371144</v>
      </c>
    </row>
    <row r="2040" customFormat="false" ht="15" hidden="false" customHeight="false" outlineLevel="0" collapsed="false">
      <c r="A2040" s="15" t="n">
        <v>46107</v>
      </c>
      <c r="B2040" s="14" t="s">
        <v>81</v>
      </c>
      <c r="C2040" s="14" t="s">
        <v>82</v>
      </c>
      <c r="D2040" s="14" t="s">
        <v>83</v>
      </c>
      <c r="E2040" s="14" t="s">
        <v>64</v>
      </c>
      <c r="F2040" s="14" t="s">
        <v>94</v>
      </c>
      <c r="G2040" s="14" t="s">
        <v>95</v>
      </c>
      <c r="H2040" s="0" t="n">
        <v>5</v>
      </c>
      <c r="I2040" s="16" t="n">
        <v>94.18</v>
      </c>
      <c r="J2040" s="16" t="n">
        <v>42</v>
      </c>
      <c r="K2040" s="16" t="n">
        <f aca="false">H2040*I2040</f>
        <v>470.9</v>
      </c>
      <c r="L2040" s="16" t="n">
        <f aca="false">H2040*J2040</f>
        <v>210</v>
      </c>
      <c r="M2040" s="16" t="n">
        <f aca="false">K2040-L2040</f>
        <v>260.9</v>
      </c>
      <c r="N2040" s="17" t="n">
        <f aca="false">IFERROR(M2040/K2040,0)</f>
        <v>0.554045444892759</v>
      </c>
    </row>
    <row r="2041" customFormat="false" ht="15" hidden="false" customHeight="false" outlineLevel="0" collapsed="false">
      <c r="A2041" s="15" t="n">
        <v>46107</v>
      </c>
      <c r="B2041" s="14" t="s">
        <v>88</v>
      </c>
      <c r="C2041" s="14" t="s">
        <v>89</v>
      </c>
      <c r="D2041" s="14" t="s">
        <v>44</v>
      </c>
      <c r="E2041" s="14" t="s">
        <v>76</v>
      </c>
      <c r="F2041" s="14" t="s">
        <v>102</v>
      </c>
      <c r="G2041" s="14" t="s">
        <v>103</v>
      </c>
      <c r="H2041" s="0" t="n">
        <v>4</v>
      </c>
      <c r="I2041" s="16" t="n">
        <v>23.43</v>
      </c>
      <c r="J2041" s="16" t="n">
        <v>8.5</v>
      </c>
      <c r="K2041" s="16" t="n">
        <f aca="false">H2041*I2041</f>
        <v>93.72</v>
      </c>
      <c r="L2041" s="16" t="n">
        <f aca="false">H2041*J2041</f>
        <v>34</v>
      </c>
      <c r="M2041" s="16" t="n">
        <f aca="false">K2041-L2041</f>
        <v>59.72</v>
      </c>
      <c r="N2041" s="17" t="n">
        <f aca="false">IFERROR(M2041/K2041,0)</f>
        <v>0.637217242851046</v>
      </c>
    </row>
    <row r="2042" customFormat="false" ht="15" hidden="false" customHeight="false" outlineLevel="0" collapsed="false">
      <c r="A2042" s="15" t="n">
        <v>46107</v>
      </c>
      <c r="B2042" s="14" t="s">
        <v>88</v>
      </c>
      <c r="C2042" s="14" t="s">
        <v>89</v>
      </c>
      <c r="D2042" s="14" t="s">
        <v>44</v>
      </c>
      <c r="E2042" s="14" t="s">
        <v>56</v>
      </c>
      <c r="F2042" s="14" t="s">
        <v>57</v>
      </c>
      <c r="G2042" s="14" t="s">
        <v>58</v>
      </c>
      <c r="H2042" s="0" t="n">
        <v>2</v>
      </c>
      <c r="I2042" s="16" t="n">
        <v>25.12</v>
      </c>
      <c r="J2042" s="16" t="n">
        <v>10</v>
      </c>
      <c r="K2042" s="16" t="n">
        <f aca="false">H2042*I2042</f>
        <v>50.24</v>
      </c>
      <c r="L2042" s="16" t="n">
        <f aca="false">H2042*J2042</f>
        <v>20</v>
      </c>
      <c r="M2042" s="16" t="n">
        <f aca="false">K2042-L2042</f>
        <v>30.24</v>
      </c>
      <c r="N2042" s="17" t="n">
        <f aca="false">IFERROR(M2042/K2042,0)</f>
        <v>0.601910828025478</v>
      </c>
    </row>
    <row r="2043" customFormat="false" ht="15" hidden="false" customHeight="false" outlineLevel="0" collapsed="false">
      <c r="A2043" s="15" t="n">
        <v>46107</v>
      </c>
      <c r="B2043" s="14" t="s">
        <v>88</v>
      </c>
      <c r="C2043" s="14" t="s">
        <v>89</v>
      </c>
      <c r="D2043" s="14" t="s">
        <v>44</v>
      </c>
      <c r="E2043" s="14" t="s">
        <v>56</v>
      </c>
      <c r="F2043" s="14" t="s">
        <v>98</v>
      </c>
      <c r="G2043" s="14" t="s">
        <v>99</v>
      </c>
      <c r="H2043" s="0" t="n">
        <v>6</v>
      </c>
      <c r="I2043" s="16" t="n">
        <v>21.05</v>
      </c>
      <c r="J2043" s="16" t="n">
        <v>8</v>
      </c>
      <c r="K2043" s="16" t="n">
        <f aca="false">H2043*I2043</f>
        <v>126.3</v>
      </c>
      <c r="L2043" s="16" t="n">
        <f aca="false">H2043*J2043</f>
        <v>48</v>
      </c>
      <c r="M2043" s="16" t="n">
        <f aca="false">K2043-L2043</f>
        <v>78.3</v>
      </c>
      <c r="N2043" s="17" t="n">
        <f aca="false">IFERROR(M2043/K2043,0)</f>
        <v>0.619952494061758</v>
      </c>
    </row>
    <row r="2044" customFormat="false" ht="15" hidden="false" customHeight="false" outlineLevel="0" collapsed="false">
      <c r="A2044" s="15" t="n">
        <v>46107</v>
      </c>
      <c r="B2044" s="14" t="s">
        <v>88</v>
      </c>
      <c r="C2044" s="14" t="s">
        <v>89</v>
      </c>
      <c r="D2044" s="14" t="s">
        <v>44</v>
      </c>
      <c r="E2044" s="14" t="s">
        <v>53</v>
      </c>
      <c r="F2044" s="14" t="s">
        <v>54</v>
      </c>
      <c r="G2044" s="14" t="s">
        <v>55</v>
      </c>
      <c r="H2044" s="0" t="n">
        <v>8</v>
      </c>
      <c r="I2044" s="16" t="n">
        <v>53.66</v>
      </c>
      <c r="J2044" s="16" t="n">
        <v>22</v>
      </c>
      <c r="K2044" s="16" t="n">
        <f aca="false">H2044*I2044</f>
        <v>429.28</v>
      </c>
      <c r="L2044" s="16" t="n">
        <f aca="false">H2044*J2044</f>
        <v>176</v>
      </c>
      <c r="M2044" s="16" t="n">
        <f aca="false">K2044-L2044</f>
        <v>253.28</v>
      </c>
      <c r="N2044" s="17" t="n">
        <f aca="false">IFERROR(M2044/K2044,0)</f>
        <v>0.590011181513231</v>
      </c>
    </row>
    <row r="2045" customFormat="false" ht="15" hidden="false" customHeight="false" outlineLevel="0" collapsed="false">
      <c r="A2045" s="15" t="n">
        <v>46107</v>
      </c>
      <c r="B2045" s="14" t="s">
        <v>88</v>
      </c>
      <c r="C2045" s="14" t="s">
        <v>89</v>
      </c>
      <c r="D2045" s="14" t="s">
        <v>44</v>
      </c>
      <c r="E2045" s="14" t="s">
        <v>76</v>
      </c>
      <c r="F2045" s="14" t="s">
        <v>77</v>
      </c>
      <c r="G2045" s="14" t="s">
        <v>78</v>
      </c>
      <c r="H2045" s="0" t="n">
        <v>4</v>
      </c>
      <c r="I2045" s="16" t="n">
        <v>39.37</v>
      </c>
      <c r="J2045" s="16" t="n">
        <v>15</v>
      </c>
      <c r="K2045" s="16" t="n">
        <f aca="false">H2045*I2045</f>
        <v>157.48</v>
      </c>
      <c r="L2045" s="16" t="n">
        <f aca="false">H2045*J2045</f>
        <v>60</v>
      </c>
      <c r="M2045" s="16" t="n">
        <f aca="false">K2045-L2045</f>
        <v>97.48</v>
      </c>
      <c r="N2045" s="17" t="n">
        <f aca="false">IFERROR(M2045/K2045,0)</f>
        <v>0.618999237998476</v>
      </c>
    </row>
    <row r="2046" customFormat="false" ht="15" hidden="false" customHeight="false" outlineLevel="0" collapsed="false">
      <c r="A2046" s="15" t="n">
        <v>46107</v>
      </c>
      <c r="B2046" s="14" t="s">
        <v>88</v>
      </c>
      <c r="C2046" s="14" t="s">
        <v>89</v>
      </c>
      <c r="D2046" s="14" t="s">
        <v>44</v>
      </c>
      <c r="E2046" s="14" t="s">
        <v>53</v>
      </c>
      <c r="F2046" s="14" t="s">
        <v>74</v>
      </c>
      <c r="G2046" s="14" t="s">
        <v>75</v>
      </c>
      <c r="H2046" s="0" t="n">
        <v>6</v>
      </c>
      <c r="I2046" s="16" t="n">
        <v>87.05</v>
      </c>
      <c r="J2046" s="16" t="n">
        <v>38</v>
      </c>
      <c r="K2046" s="16" t="n">
        <f aca="false">H2046*I2046</f>
        <v>522.3</v>
      </c>
      <c r="L2046" s="16" t="n">
        <f aca="false">H2046*J2046</f>
        <v>228</v>
      </c>
      <c r="M2046" s="16" t="n">
        <f aca="false">K2046-L2046</f>
        <v>294.3</v>
      </c>
      <c r="N2046" s="17" t="n">
        <f aca="false">IFERROR(M2046/K2046,0)</f>
        <v>0.563469270534176</v>
      </c>
    </row>
    <row r="2047" customFormat="false" ht="15" hidden="false" customHeight="false" outlineLevel="0" collapsed="false">
      <c r="A2047" s="15" t="n">
        <v>46108</v>
      </c>
      <c r="B2047" s="14" t="s">
        <v>42</v>
      </c>
      <c r="C2047" s="14" t="s">
        <v>43</v>
      </c>
      <c r="D2047" s="14" t="s">
        <v>44</v>
      </c>
      <c r="E2047" s="14" t="s">
        <v>45</v>
      </c>
      <c r="F2047" s="14" t="s">
        <v>62</v>
      </c>
      <c r="G2047" s="14" t="s">
        <v>63</v>
      </c>
      <c r="H2047" s="0" t="n">
        <v>10</v>
      </c>
      <c r="I2047" s="16" t="n">
        <v>17.93</v>
      </c>
      <c r="J2047" s="16" t="n">
        <v>6.5</v>
      </c>
      <c r="K2047" s="16" t="n">
        <f aca="false">H2047*I2047</f>
        <v>179.3</v>
      </c>
      <c r="L2047" s="16" t="n">
        <f aca="false">H2047*J2047</f>
        <v>65</v>
      </c>
      <c r="M2047" s="16" t="n">
        <f aca="false">K2047-L2047</f>
        <v>114.3</v>
      </c>
      <c r="N2047" s="17" t="n">
        <f aca="false">IFERROR(M2047/K2047,0)</f>
        <v>0.637479085331846</v>
      </c>
    </row>
    <row r="2048" customFormat="false" ht="15" hidden="false" customHeight="false" outlineLevel="0" collapsed="false">
      <c r="A2048" s="15" t="n">
        <v>46108</v>
      </c>
      <c r="B2048" s="14" t="s">
        <v>42</v>
      </c>
      <c r="C2048" s="14" t="s">
        <v>43</v>
      </c>
      <c r="D2048" s="14" t="s">
        <v>44</v>
      </c>
      <c r="E2048" s="14" t="s">
        <v>64</v>
      </c>
      <c r="F2048" s="14" t="s">
        <v>96</v>
      </c>
      <c r="G2048" s="14" t="s">
        <v>97</v>
      </c>
      <c r="H2048" s="0" t="n">
        <v>1</v>
      </c>
      <c r="I2048" s="16" t="n">
        <v>54.73</v>
      </c>
      <c r="J2048" s="16" t="n">
        <v>24</v>
      </c>
      <c r="K2048" s="16" t="n">
        <f aca="false">H2048*I2048</f>
        <v>54.73</v>
      </c>
      <c r="L2048" s="16" t="n">
        <f aca="false">H2048*J2048</f>
        <v>24</v>
      </c>
      <c r="M2048" s="16" t="n">
        <f aca="false">K2048-L2048</f>
        <v>30.73</v>
      </c>
      <c r="N2048" s="17" t="n">
        <f aca="false">IFERROR(M2048/K2048,0)</f>
        <v>0.561483646994336</v>
      </c>
    </row>
    <row r="2049" customFormat="false" ht="15" hidden="false" customHeight="false" outlineLevel="0" collapsed="false">
      <c r="A2049" s="15" t="n">
        <v>46108</v>
      </c>
      <c r="B2049" s="14" t="s">
        <v>42</v>
      </c>
      <c r="C2049" s="14" t="s">
        <v>43</v>
      </c>
      <c r="D2049" s="14" t="s">
        <v>44</v>
      </c>
      <c r="E2049" s="14" t="s">
        <v>64</v>
      </c>
      <c r="F2049" s="14" t="s">
        <v>96</v>
      </c>
      <c r="G2049" s="14" t="s">
        <v>97</v>
      </c>
      <c r="H2049" s="0" t="n">
        <v>1</v>
      </c>
      <c r="I2049" s="16" t="n">
        <v>54.83</v>
      </c>
      <c r="J2049" s="16" t="n">
        <v>24</v>
      </c>
      <c r="K2049" s="16" t="n">
        <f aca="false">H2049*I2049</f>
        <v>54.83</v>
      </c>
      <c r="L2049" s="16" t="n">
        <f aca="false">H2049*J2049</f>
        <v>24</v>
      </c>
      <c r="M2049" s="16" t="n">
        <f aca="false">K2049-L2049</f>
        <v>30.83</v>
      </c>
      <c r="N2049" s="17" t="n">
        <f aca="false">IFERROR(M2049/K2049,0)</f>
        <v>0.562283421484589</v>
      </c>
    </row>
    <row r="2050" customFormat="false" ht="15" hidden="false" customHeight="false" outlineLevel="0" collapsed="false">
      <c r="A2050" s="15" t="n">
        <v>46108</v>
      </c>
      <c r="B2050" s="14" t="s">
        <v>42</v>
      </c>
      <c r="C2050" s="14" t="s">
        <v>43</v>
      </c>
      <c r="D2050" s="14" t="s">
        <v>44</v>
      </c>
      <c r="E2050" s="14" t="s">
        <v>56</v>
      </c>
      <c r="F2050" s="14" t="s">
        <v>67</v>
      </c>
      <c r="G2050" s="14" t="s">
        <v>68</v>
      </c>
      <c r="H2050" s="0" t="n">
        <v>10</v>
      </c>
      <c r="I2050" s="16" t="n">
        <v>37.91</v>
      </c>
      <c r="J2050" s="16" t="n">
        <v>15</v>
      </c>
      <c r="K2050" s="16" t="n">
        <f aca="false">H2050*I2050</f>
        <v>379.1</v>
      </c>
      <c r="L2050" s="16" t="n">
        <f aca="false">H2050*J2050</f>
        <v>150</v>
      </c>
      <c r="M2050" s="16" t="n">
        <f aca="false">K2050-L2050</f>
        <v>229.1</v>
      </c>
      <c r="N2050" s="17" t="n">
        <f aca="false">IFERROR(M2050/K2050,0)</f>
        <v>0.604326035346874</v>
      </c>
    </row>
    <row r="2051" customFormat="false" ht="15" hidden="false" customHeight="false" outlineLevel="0" collapsed="false">
      <c r="A2051" s="15" t="n">
        <v>46108</v>
      </c>
      <c r="B2051" s="14" t="s">
        <v>42</v>
      </c>
      <c r="C2051" s="14" t="s">
        <v>43</v>
      </c>
      <c r="D2051" s="14" t="s">
        <v>44</v>
      </c>
      <c r="E2051" s="14" t="s">
        <v>64</v>
      </c>
      <c r="F2051" s="14" t="s">
        <v>96</v>
      </c>
      <c r="G2051" s="14" t="s">
        <v>97</v>
      </c>
      <c r="H2051" s="0" t="n">
        <v>1</v>
      </c>
      <c r="I2051" s="16" t="n">
        <v>54.84</v>
      </c>
      <c r="J2051" s="16" t="n">
        <v>24</v>
      </c>
      <c r="K2051" s="16" t="n">
        <f aca="false">H2051*I2051</f>
        <v>54.84</v>
      </c>
      <c r="L2051" s="16" t="n">
        <f aca="false">H2051*J2051</f>
        <v>24</v>
      </c>
      <c r="M2051" s="16" t="n">
        <f aca="false">K2051-L2051</f>
        <v>30.84</v>
      </c>
      <c r="N2051" s="17" t="n">
        <f aca="false">IFERROR(M2051/K2051,0)</f>
        <v>0.562363238512035</v>
      </c>
    </row>
    <row r="2052" customFormat="false" ht="15" hidden="false" customHeight="false" outlineLevel="0" collapsed="false">
      <c r="A2052" s="15" t="n">
        <v>46108</v>
      </c>
      <c r="B2052" s="14" t="s">
        <v>42</v>
      </c>
      <c r="C2052" s="14" t="s">
        <v>43</v>
      </c>
      <c r="D2052" s="14" t="s">
        <v>44</v>
      </c>
      <c r="E2052" s="14" t="s">
        <v>64</v>
      </c>
      <c r="F2052" s="14" t="s">
        <v>90</v>
      </c>
      <c r="G2052" s="14" t="s">
        <v>91</v>
      </c>
      <c r="H2052" s="0" t="n">
        <v>6</v>
      </c>
      <c r="I2052" s="16" t="n">
        <v>11.7</v>
      </c>
      <c r="J2052" s="16" t="n">
        <v>3.5</v>
      </c>
      <c r="K2052" s="16" t="n">
        <f aca="false">H2052*I2052</f>
        <v>70.2</v>
      </c>
      <c r="L2052" s="16" t="n">
        <f aca="false">H2052*J2052</f>
        <v>21</v>
      </c>
      <c r="M2052" s="16" t="n">
        <f aca="false">K2052-L2052</f>
        <v>49.2</v>
      </c>
      <c r="N2052" s="17" t="n">
        <f aca="false">IFERROR(M2052/K2052,0)</f>
        <v>0.700854700854701</v>
      </c>
    </row>
    <row r="2053" customFormat="false" ht="15" hidden="false" customHeight="false" outlineLevel="0" collapsed="false">
      <c r="A2053" s="15" t="n">
        <v>46108</v>
      </c>
      <c r="B2053" s="14" t="s">
        <v>50</v>
      </c>
      <c r="C2053" s="14" t="s">
        <v>51</v>
      </c>
      <c r="D2053" s="14" t="s">
        <v>52</v>
      </c>
      <c r="E2053" s="14" t="s">
        <v>64</v>
      </c>
      <c r="F2053" s="14" t="s">
        <v>65</v>
      </c>
      <c r="G2053" s="14" t="s">
        <v>66</v>
      </c>
      <c r="H2053" s="0" t="n">
        <v>8</v>
      </c>
      <c r="I2053" s="16" t="n">
        <v>78.15</v>
      </c>
      <c r="J2053" s="16" t="n">
        <v>34</v>
      </c>
      <c r="K2053" s="16" t="n">
        <f aca="false">H2053*I2053</f>
        <v>625.2</v>
      </c>
      <c r="L2053" s="16" t="n">
        <f aca="false">H2053*J2053</f>
        <v>272</v>
      </c>
      <c r="M2053" s="16" t="n">
        <f aca="false">K2053-L2053</f>
        <v>353.2</v>
      </c>
      <c r="N2053" s="17" t="n">
        <f aca="false">IFERROR(M2053/K2053,0)</f>
        <v>0.564939219449776</v>
      </c>
    </row>
    <row r="2054" customFormat="false" ht="15" hidden="false" customHeight="false" outlineLevel="0" collapsed="false">
      <c r="A2054" s="15" t="n">
        <v>46108</v>
      </c>
      <c r="B2054" s="14" t="s">
        <v>50</v>
      </c>
      <c r="C2054" s="14" t="s">
        <v>51</v>
      </c>
      <c r="D2054" s="14" t="s">
        <v>52</v>
      </c>
      <c r="E2054" s="14" t="s">
        <v>64</v>
      </c>
      <c r="F2054" s="14" t="s">
        <v>94</v>
      </c>
      <c r="G2054" s="14" t="s">
        <v>95</v>
      </c>
      <c r="H2054" s="0" t="n">
        <v>8</v>
      </c>
      <c r="I2054" s="16" t="n">
        <v>93.99</v>
      </c>
      <c r="J2054" s="16" t="n">
        <v>42</v>
      </c>
      <c r="K2054" s="16" t="n">
        <f aca="false">H2054*I2054</f>
        <v>751.92</v>
      </c>
      <c r="L2054" s="16" t="n">
        <f aca="false">H2054*J2054</f>
        <v>336</v>
      </c>
      <c r="M2054" s="16" t="n">
        <f aca="false">K2054-L2054</f>
        <v>415.92</v>
      </c>
      <c r="N2054" s="17" t="n">
        <f aca="false">IFERROR(M2054/K2054,0)</f>
        <v>0.5531439514842</v>
      </c>
    </row>
    <row r="2055" customFormat="false" ht="15" hidden="false" customHeight="false" outlineLevel="0" collapsed="false">
      <c r="A2055" s="15" t="n">
        <v>46108</v>
      </c>
      <c r="B2055" s="14" t="s">
        <v>50</v>
      </c>
      <c r="C2055" s="14" t="s">
        <v>51</v>
      </c>
      <c r="D2055" s="14" t="s">
        <v>52</v>
      </c>
      <c r="E2055" s="14" t="s">
        <v>45</v>
      </c>
      <c r="F2055" s="14" t="s">
        <v>48</v>
      </c>
      <c r="G2055" s="14" t="s">
        <v>49</v>
      </c>
      <c r="H2055" s="0" t="n">
        <v>3</v>
      </c>
      <c r="I2055" s="16" t="n">
        <v>63.22</v>
      </c>
      <c r="J2055" s="16" t="n">
        <v>27.5</v>
      </c>
      <c r="K2055" s="16" t="n">
        <f aca="false">H2055*I2055</f>
        <v>189.66</v>
      </c>
      <c r="L2055" s="16" t="n">
        <f aca="false">H2055*J2055</f>
        <v>82.5</v>
      </c>
      <c r="M2055" s="16" t="n">
        <f aca="false">K2055-L2055</f>
        <v>107.16</v>
      </c>
      <c r="N2055" s="17" t="n">
        <f aca="false">IFERROR(M2055/K2055,0)</f>
        <v>0.565011072445429</v>
      </c>
    </row>
    <row r="2056" customFormat="false" ht="15" hidden="false" customHeight="false" outlineLevel="0" collapsed="false">
      <c r="A2056" s="15" t="n">
        <v>46108</v>
      </c>
      <c r="B2056" s="14" t="s">
        <v>59</v>
      </c>
      <c r="C2056" s="14" t="s">
        <v>60</v>
      </c>
      <c r="D2056" s="14" t="s">
        <v>61</v>
      </c>
      <c r="E2056" s="14" t="s">
        <v>53</v>
      </c>
      <c r="F2056" s="14" t="s">
        <v>74</v>
      </c>
      <c r="G2056" s="14" t="s">
        <v>75</v>
      </c>
      <c r="H2056" s="0" t="n">
        <v>7</v>
      </c>
      <c r="I2056" s="16" t="n">
        <v>83.83</v>
      </c>
      <c r="J2056" s="16" t="n">
        <v>38</v>
      </c>
      <c r="K2056" s="16" t="n">
        <f aca="false">H2056*I2056</f>
        <v>586.81</v>
      </c>
      <c r="L2056" s="16" t="n">
        <f aca="false">H2056*J2056</f>
        <v>266</v>
      </c>
      <c r="M2056" s="16" t="n">
        <f aca="false">K2056-L2056</f>
        <v>320.81</v>
      </c>
      <c r="N2056" s="17" t="n">
        <f aca="false">IFERROR(M2056/K2056,0)</f>
        <v>0.546701658117619</v>
      </c>
    </row>
    <row r="2057" customFormat="false" ht="15" hidden="false" customHeight="false" outlineLevel="0" collapsed="false">
      <c r="A2057" s="15" t="n">
        <v>46108</v>
      </c>
      <c r="B2057" s="14" t="s">
        <v>59</v>
      </c>
      <c r="C2057" s="14" t="s">
        <v>60</v>
      </c>
      <c r="D2057" s="14" t="s">
        <v>61</v>
      </c>
      <c r="E2057" s="14" t="s">
        <v>45</v>
      </c>
      <c r="F2057" s="14" t="s">
        <v>62</v>
      </c>
      <c r="G2057" s="14" t="s">
        <v>63</v>
      </c>
      <c r="H2057" s="0" t="n">
        <v>7</v>
      </c>
      <c r="I2057" s="16" t="n">
        <v>17.26</v>
      </c>
      <c r="J2057" s="16" t="n">
        <v>6.5</v>
      </c>
      <c r="K2057" s="16" t="n">
        <f aca="false">H2057*I2057</f>
        <v>120.82</v>
      </c>
      <c r="L2057" s="16" t="n">
        <f aca="false">H2057*J2057</f>
        <v>45.5</v>
      </c>
      <c r="M2057" s="16" t="n">
        <f aca="false">K2057-L2057</f>
        <v>75.32</v>
      </c>
      <c r="N2057" s="17" t="n">
        <f aca="false">IFERROR(M2057/K2057,0)</f>
        <v>0.623406720741599</v>
      </c>
    </row>
    <row r="2058" customFormat="false" ht="15" hidden="false" customHeight="false" outlineLevel="0" collapsed="false">
      <c r="A2058" s="15" t="n">
        <v>46108</v>
      </c>
      <c r="B2058" s="14" t="s">
        <v>59</v>
      </c>
      <c r="C2058" s="14" t="s">
        <v>60</v>
      </c>
      <c r="D2058" s="14" t="s">
        <v>61</v>
      </c>
      <c r="E2058" s="14" t="s">
        <v>64</v>
      </c>
      <c r="F2058" s="14" t="s">
        <v>94</v>
      </c>
      <c r="G2058" s="14" t="s">
        <v>95</v>
      </c>
      <c r="H2058" s="0" t="n">
        <v>2</v>
      </c>
      <c r="I2058" s="16" t="n">
        <v>91.87</v>
      </c>
      <c r="J2058" s="16" t="n">
        <v>42</v>
      </c>
      <c r="K2058" s="16" t="n">
        <f aca="false">H2058*I2058</f>
        <v>183.74</v>
      </c>
      <c r="L2058" s="16" t="n">
        <f aca="false">H2058*J2058</f>
        <v>84</v>
      </c>
      <c r="M2058" s="16" t="n">
        <f aca="false">K2058-L2058</f>
        <v>99.74</v>
      </c>
      <c r="N2058" s="17" t="n">
        <f aca="false">IFERROR(M2058/K2058,0)</f>
        <v>0.542832262980298</v>
      </c>
    </row>
    <row r="2059" customFormat="false" ht="15" hidden="false" customHeight="false" outlineLevel="0" collapsed="false">
      <c r="A2059" s="15" t="n">
        <v>46108</v>
      </c>
      <c r="B2059" s="14" t="s">
        <v>59</v>
      </c>
      <c r="C2059" s="14" t="s">
        <v>60</v>
      </c>
      <c r="D2059" s="14" t="s">
        <v>61</v>
      </c>
      <c r="E2059" s="14" t="s">
        <v>45</v>
      </c>
      <c r="F2059" s="14" t="s">
        <v>62</v>
      </c>
      <c r="G2059" s="14" t="s">
        <v>63</v>
      </c>
      <c r="H2059" s="0" t="n">
        <v>7</v>
      </c>
      <c r="I2059" s="16" t="n">
        <v>17.73</v>
      </c>
      <c r="J2059" s="16" t="n">
        <v>6.5</v>
      </c>
      <c r="K2059" s="16" t="n">
        <f aca="false">H2059*I2059</f>
        <v>124.11</v>
      </c>
      <c r="L2059" s="16" t="n">
        <f aca="false">H2059*J2059</f>
        <v>45.5</v>
      </c>
      <c r="M2059" s="16" t="n">
        <f aca="false">K2059-L2059</f>
        <v>78.61</v>
      </c>
      <c r="N2059" s="17" t="n">
        <f aca="false">IFERROR(M2059/K2059,0)</f>
        <v>0.633389734912578</v>
      </c>
    </row>
    <row r="2060" customFormat="false" ht="15" hidden="false" customHeight="false" outlineLevel="0" collapsed="false">
      <c r="A2060" s="15" t="n">
        <v>46108</v>
      </c>
      <c r="B2060" s="14" t="s">
        <v>59</v>
      </c>
      <c r="C2060" s="14" t="s">
        <v>60</v>
      </c>
      <c r="D2060" s="14" t="s">
        <v>61</v>
      </c>
      <c r="E2060" s="14" t="s">
        <v>45</v>
      </c>
      <c r="F2060" s="14" t="s">
        <v>72</v>
      </c>
      <c r="G2060" s="14" t="s">
        <v>73</v>
      </c>
      <c r="H2060" s="0" t="n">
        <v>8</v>
      </c>
      <c r="I2060" s="16" t="n">
        <v>48.11</v>
      </c>
      <c r="J2060" s="16" t="n">
        <v>21</v>
      </c>
      <c r="K2060" s="16" t="n">
        <f aca="false">H2060*I2060</f>
        <v>384.88</v>
      </c>
      <c r="L2060" s="16" t="n">
        <f aca="false">H2060*J2060</f>
        <v>168</v>
      </c>
      <c r="M2060" s="16" t="n">
        <f aca="false">K2060-L2060</f>
        <v>216.88</v>
      </c>
      <c r="N2060" s="17" t="n">
        <f aca="false">IFERROR(M2060/K2060,0)</f>
        <v>0.563500311785492</v>
      </c>
    </row>
    <row r="2061" customFormat="false" ht="15" hidden="false" customHeight="false" outlineLevel="0" collapsed="false">
      <c r="A2061" s="15" t="n">
        <v>46108</v>
      </c>
      <c r="B2061" s="14" t="s">
        <v>59</v>
      </c>
      <c r="C2061" s="14" t="s">
        <v>60</v>
      </c>
      <c r="D2061" s="14" t="s">
        <v>61</v>
      </c>
      <c r="E2061" s="14" t="s">
        <v>56</v>
      </c>
      <c r="F2061" s="14" t="s">
        <v>98</v>
      </c>
      <c r="G2061" s="14" t="s">
        <v>99</v>
      </c>
      <c r="H2061" s="0" t="n">
        <v>4</v>
      </c>
      <c r="I2061" s="16" t="n">
        <v>21.94</v>
      </c>
      <c r="J2061" s="16" t="n">
        <v>8</v>
      </c>
      <c r="K2061" s="16" t="n">
        <f aca="false">H2061*I2061</f>
        <v>87.76</v>
      </c>
      <c r="L2061" s="16" t="n">
        <f aca="false">H2061*J2061</f>
        <v>32</v>
      </c>
      <c r="M2061" s="16" t="n">
        <f aca="false">K2061-L2061</f>
        <v>55.76</v>
      </c>
      <c r="N2061" s="17" t="n">
        <f aca="false">IFERROR(M2061/K2061,0)</f>
        <v>0.635369188696445</v>
      </c>
    </row>
    <row r="2062" customFormat="false" ht="15" hidden="false" customHeight="false" outlineLevel="0" collapsed="false">
      <c r="A2062" s="15" t="n">
        <v>46108</v>
      </c>
      <c r="B2062" s="14" t="s">
        <v>69</v>
      </c>
      <c r="C2062" s="14" t="s">
        <v>70</v>
      </c>
      <c r="D2062" s="14" t="s">
        <v>71</v>
      </c>
      <c r="E2062" s="14" t="s">
        <v>53</v>
      </c>
      <c r="F2062" s="14" t="s">
        <v>54</v>
      </c>
      <c r="G2062" s="14" t="s">
        <v>55</v>
      </c>
      <c r="H2062" s="0" t="n">
        <v>1</v>
      </c>
      <c r="I2062" s="16" t="n">
        <v>53.04</v>
      </c>
      <c r="J2062" s="16" t="n">
        <v>22</v>
      </c>
      <c r="K2062" s="16" t="n">
        <f aca="false">H2062*I2062</f>
        <v>53.04</v>
      </c>
      <c r="L2062" s="16" t="n">
        <f aca="false">H2062*J2062</f>
        <v>22</v>
      </c>
      <c r="M2062" s="16" t="n">
        <f aca="false">K2062-L2062</f>
        <v>31.04</v>
      </c>
      <c r="N2062" s="17" t="n">
        <f aca="false">IFERROR(M2062/K2062,0)</f>
        <v>0.585218702865762</v>
      </c>
    </row>
    <row r="2063" customFormat="false" ht="15" hidden="false" customHeight="false" outlineLevel="0" collapsed="false">
      <c r="A2063" s="15" t="n">
        <v>46108</v>
      </c>
      <c r="B2063" s="14" t="s">
        <v>69</v>
      </c>
      <c r="C2063" s="14" t="s">
        <v>70</v>
      </c>
      <c r="D2063" s="14" t="s">
        <v>71</v>
      </c>
      <c r="E2063" s="14" t="s">
        <v>76</v>
      </c>
      <c r="F2063" s="14" t="s">
        <v>79</v>
      </c>
      <c r="G2063" s="14" t="s">
        <v>80</v>
      </c>
      <c r="H2063" s="0" t="n">
        <v>1</v>
      </c>
      <c r="I2063" s="16" t="n">
        <v>27.91</v>
      </c>
      <c r="J2063" s="16" t="n">
        <v>11</v>
      </c>
      <c r="K2063" s="16" t="n">
        <f aca="false">H2063*I2063</f>
        <v>27.91</v>
      </c>
      <c r="L2063" s="16" t="n">
        <f aca="false">H2063*J2063</f>
        <v>11</v>
      </c>
      <c r="M2063" s="16" t="n">
        <f aca="false">K2063-L2063</f>
        <v>16.91</v>
      </c>
      <c r="N2063" s="17" t="n">
        <f aca="false">IFERROR(M2063/K2063,0)</f>
        <v>0.60587603009674</v>
      </c>
    </row>
    <row r="2064" customFormat="false" ht="15" hidden="false" customHeight="false" outlineLevel="0" collapsed="false">
      <c r="A2064" s="15" t="n">
        <v>46108</v>
      </c>
      <c r="B2064" s="14" t="s">
        <v>81</v>
      </c>
      <c r="C2064" s="14" t="s">
        <v>82</v>
      </c>
      <c r="D2064" s="14" t="s">
        <v>83</v>
      </c>
      <c r="E2064" s="14" t="s">
        <v>53</v>
      </c>
      <c r="F2064" s="14" t="s">
        <v>74</v>
      </c>
      <c r="G2064" s="14" t="s">
        <v>75</v>
      </c>
      <c r="H2064" s="0" t="n">
        <v>4</v>
      </c>
      <c r="I2064" s="16" t="n">
        <v>87.94</v>
      </c>
      <c r="J2064" s="16" t="n">
        <v>38</v>
      </c>
      <c r="K2064" s="16" t="n">
        <f aca="false">H2064*I2064</f>
        <v>351.76</v>
      </c>
      <c r="L2064" s="16" t="n">
        <f aca="false">H2064*J2064</f>
        <v>152</v>
      </c>
      <c r="M2064" s="16" t="n">
        <f aca="false">K2064-L2064</f>
        <v>199.76</v>
      </c>
      <c r="N2064" s="17" t="n">
        <f aca="false">IFERROR(M2064/K2064,0)</f>
        <v>0.567887195815329</v>
      </c>
    </row>
    <row r="2065" customFormat="false" ht="15" hidden="false" customHeight="false" outlineLevel="0" collapsed="false">
      <c r="A2065" s="15" t="n">
        <v>46108</v>
      </c>
      <c r="B2065" s="14" t="s">
        <v>81</v>
      </c>
      <c r="C2065" s="14" t="s">
        <v>82</v>
      </c>
      <c r="D2065" s="14" t="s">
        <v>83</v>
      </c>
      <c r="E2065" s="14" t="s">
        <v>45</v>
      </c>
      <c r="F2065" s="14" t="s">
        <v>48</v>
      </c>
      <c r="G2065" s="14" t="s">
        <v>49</v>
      </c>
      <c r="H2065" s="0" t="n">
        <v>2</v>
      </c>
      <c r="I2065" s="16" t="n">
        <v>65.31</v>
      </c>
      <c r="J2065" s="16" t="n">
        <v>27.5</v>
      </c>
      <c r="K2065" s="16" t="n">
        <f aca="false">H2065*I2065</f>
        <v>130.62</v>
      </c>
      <c r="L2065" s="16" t="n">
        <f aca="false">H2065*J2065</f>
        <v>55</v>
      </c>
      <c r="M2065" s="16" t="n">
        <f aca="false">K2065-L2065</f>
        <v>75.62</v>
      </c>
      <c r="N2065" s="17" t="n">
        <f aca="false">IFERROR(M2065/K2065,0)</f>
        <v>0.578931250956974</v>
      </c>
    </row>
    <row r="2066" customFormat="false" ht="15" hidden="false" customHeight="false" outlineLevel="0" collapsed="false">
      <c r="A2066" s="15" t="n">
        <v>46108</v>
      </c>
      <c r="B2066" s="14" t="s">
        <v>81</v>
      </c>
      <c r="C2066" s="14" t="s">
        <v>82</v>
      </c>
      <c r="D2066" s="14" t="s">
        <v>83</v>
      </c>
      <c r="E2066" s="14" t="s">
        <v>76</v>
      </c>
      <c r="F2066" s="14" t="s">
        <v>77</v>
      </c>
      <c r="G2066" s="14" t="s">
        <v>78</v>
      </c>
      <c r="H2066" s="0" t="n">
        <v>5</v>
      </c>
      <c r="I2066" s="16" t="n">
        <v>41.92</v>
      </c>
      <c r="J2066" s="16" t="n">
        <v>15</v>
      </c>
      <c r="K2066" s="16" t="n">
        <f aca="false">H2066*I2066</f>
        <v>209.6</v>
      </c>
      <c r="L2066" s="16" t="n">
        <f aca="false">H2066*J2066</f>
        <v>75</v>
      </c>
      <c r="M2066" s="16" t="n">
        <f aca="false">K2066-L2066</f>
        <v>134.6</v>
      </c>
      <c r="N2066" s="17" t="n">
        <f aca="false">IFERROR(M2066/K2066,0)</f>
        <v>0.642175572519084</v>
      </c>
    </row>
    <row r="2067" customFormat="false" ht="15" hidden="false" customHeight="false" outlineLevel="0" collapsed="false">
      <c r="A2067" s="15" t="n">
        <v>46108</v>
      </c>
      <c r="B2067" s="14" t="s">
        <v>88</v>
      </c>
      <c r="C2067" s="14" t="s">
        <v>89</v>
      </c>
      <c r="D2067" s="14" t="s">
        <v>44</v>
      </c>
      <c r="E2067" s="14" t="s">
        <v>53</v>
      </c>
      <c r="F2067" s="14" t="s">
        <v>92</v>
      </c>
      <c r="G2067" s="14" t="s">
        <v>93</v>
      </c>
      <c r="H2067" s="0" t="n">
        <v>1</v>
      </c>
      <c r="I2067" s="16" t="n">
        <v>119.48</v>
      </c>
      <c r="J2067" s="16" t="n">
        <v>52</v>
      </c>
      <c r="K2067" s="16" t="n">
        <f aca="false">H2067*I2067</f>
        <v>119.48</v>
      </c>
      <c r="L2067" s="16" t="n">
        <f aca="false">H2067*J2067</f>
        <v>52</v>
      </c>
      <c r="M2067" s="16" t="n">
        <f aca="false">K2067-L2067</f>
        <v>67.48</v>
      </c>
      <c r="N2067" s="17" t="n">
        <f aca="false">IFERROR(M2067/K2067,0)</f>
        <v>0.564780716437898</v>
      </c>
    </row>
    <row r="2068" customFormat="false" ht="15" hidden="false" customHeight="false" outlineLevel="0" collapsed="false">
      <c r="A2068" s="15" t="n">
        <v>46108</v>
      </c>
      <c r="B2068" s="14" t="s">
        <v>88</v>
      </c>
      <c r="C2068" s="14" t="s">
        <v>89</v>
      </c>
      <c r="D2068" s="14" t="s">
        <v>44</v>
      </c>
      <c r="E2068" s="14" t="s">
        <v>56</v>
      </c>
      <c r="F2068" s="14" t="s">
        <v>67</v>
      </c>
      <c r="G2068" s="14" t="s">
        <v>68</v>
      </c>
      <c r="H2068" s="0" t="n">
        <v>9</v>
      </c>
      <c r="I2068" s="16" t="n">
        <v>35.39</v>
      </c>
      <c r="J2068" s="16" t="n">
        <v>15</v>
      </c>
      <c r="K2068" s="16" t="n">
        <f aca="false">H2068*I2068</f>
        <v>318.51</v>
      </c>
      <c r="L2068" s="16" t="n">
        <f aca="false">H2068*J2068</f>
        <v>135</v>
      </c>
      <c r="M2068" s="16" t="n">
        <f aca="false">K2068-L2068</f>
        <v>183.51</v>
      </c>
      <c r="N2068" s="17" t="n">
        <f aca="false">IFERROR(M2068/K2068,0)</f>
        <v>0.576151455213337</v>
      </c>
    </row>
    <row r="2069" customFormat="false" ht="15" hidden="false" customHeight="false" outlineLevel="0" collapsed="false">
      <c r="A2069" s="15" t="n">
        <v>46109</v>
      </c>
      <c r="B2069" s="14" t="s">
        <v>42</v>
      </c>
      <c r="C2069" s="14" t="s">
        <v>43</v>
      </c>
      <c r="D2069" s="14" t="s">
        <v>44</v>
      </c>
      <c r="E2069" s="14" t="s">
        <v>76</v>
      </c>
      <c r="F2069" s="14" t="s">
        <v>102</v>
      </c>
      <c r="G2069" s="14" t="s">
        <v>103</v>
      </c>
      <c r="H2069" s="0" t="n">
        <v>6</v>
      </c>
      <c r="I2069" s="16" t="n">
        <v>23.4</v>
      </c>
      <c r="J2069" s="16" t="n">
        <v>8.5</v>
      </c>
      <c r="K2069" s="16" t="n">
        <f aca="false">H2069*I2069</f>
        <v>140.4</v>
      </c>
      <c r="L2069" s="16" t="n">
        <f aca="false">H2069*J2069</f>
        <v>51</v>
      </c>
      <c r="M2069" s="16" t="n">
        <f aca="false">K2069-L2069</f>
        <v>89.4</v>
      </c>
      <c r="N2069" s="17" t="n">
        <f aca="false">IFERROR(M2069/K2069,0)</f>
        <v>0.636752136752137</v>
      </c>
    </row>
    <row r="2070" customFormat="false" ht="15" hidden="false" customHeight="false" outlineLevel="0" collapsed="false">
      <c r="A2070" s="15" t="n">
        <v>46109</v>
      </c>
      <c r="B2070" s="14" t="s">
        <v>42</v>
      </c>
      <c r="C2070" s="14" t="s">
        <v>43</v>
      </c>
      <c r="D2070" s="14" t="s">
        <v>44</v>
      </c>
      <c r="E2070" s="14" t="s">
        <v>45</v>
      </c>
      <c r="F2070" s="14" t="s">
        <v>62</v>
      </c>
      <c r="G2070" s="14" t="s">
        <v>63</v>
      </c>
      <c r="H2070" s="0" t="n">
        <v>2</v>
      </c>
      <c r="I2070" s="16" t="n">
        <v>16.83</v>
      </c>
      <c r="J2070" s="16" t="n">
        <v>6.5</v>
      </c>
      <c r="K2070" s="16" t="n">
        <f aca="false">H2070*I2070</f>
        <v>33.66</v>
      </c>
      <c r="L2070" s="16" t="n">
        <f aca="false">H2070*J2070</f>
        <v>13</v>
      </c>
      <c r="M2070" s="16" t="n">
        <f aca="false">K2070-L2070</f>
        <v>20.66</v>
      </c>
      <c r="N2070" s="17" t="n">
        <f aca="false">IFERROR(M2070/K2070,0)</f>
        <v>0.613784907902555</v>
      </c>
    </row>
    <row r="2071" customFormat="false" ht="15" hidden="false" customHeight="false" outlineLevel="0" collapsed="false">
      <c r="A2071" s="15" t="n">
        <v>46109</v>
      </c>
      <c r="B2071" s="14" t="s">
        <v>42</v>
      </c>
      <c r="C2071" s="14" t="s">
        <v>43</v>
      </c>
      <c r="D2071" s="14" t="s">
        <v>44</v>
      </c>
      <c r="E2071" s="14" t="s">
        <v>76</v>
      </c>
      <c r="F2071" s="14" t="s">
        <v>77</v>
      </c>
      <c r="G2071" s="14" t="s">
        <v>78</v>
      </c>
      <c r="H2071" s="0" t="n">
        <v>5</v>
      </c>
      <c r="I2071" s="16" t="n">
        <v>40.66</v>
      </c>
      <c r="J2071" s="16" t="n">
        <v>15</v>
      </c>
      <c r="K2071" s="16" t="n">
        <f aca="false">H2071*I2071</f>
        <v>203.3</v>
      </c>
      <c r="L2071" s="16" t="n">
        <f aca="false">H2071*J2071</f>
        <v>75</v>
      </c>
      <c r="M2071" s="16" t="n">
        <f aca="false">K2071-L2071</f>
        <v>128.3</v>
      </c>
      <c r="N2071" s="17" t="n">
        <f aca="false">IFERROR(M2071/K2071,0)</f>
        <v>0.631087063453025</v>
      </c>
    </row>
    <row r="2072" customFormat="false" ht="15" hidden="false" customHeight="false" outlineLevel="0" collapsed="false">
      <c r="A2072" s="15" t="n">
        <v>46109</v>
      </c>
      <c r="B2072" s="14" t="s">
        <v>42</v>
      </c>
      <c r="C2072" s="14" t="s">
        <v>43</v>
      </c>
      <c r="D2072" s="14" t="s">
        <v>44</v>
      </c>
      <c r="E2072" s="14" t="s">
        <v>53</v>
      </c>
      <c r="F2072" s="14" t="s">
        <v>92</v>
      </c>
      <c r="G2072" s="14" t="s">
        <v>93</v>
      </c>
      <c r="H2072" s="0" t="n">
        <v>8</v>
      </c>
      <c r="I2072" s="16" t="n">
        <v>111.63</v>
      </c>
      <c r="J2072" s="16" t="n">
        <v>52</v>
      </c>
      <c r="K2072" s="16" t="n">
        <f aca="false">H2072*I2072</f>
        <v>893.04</v>
      </c>
      <c r="L2072" s="16" t="n">
        <f aca="false">H2072*J2072</f>
        <v>416</v>
      </c>
      <c r="M2072" s="16" t="n">
        <f aca="false">K2072-L2072</f>
        <v>477.04</v>
      </c>
      <c r="N2072" s="17" t="n">
        <f aca="false">IFERROR(M2072/K2072,0)</f>
        <v>0.5341754008779</v>
      </c>
    </row>
    <row r="2073" customFormat="false" ht="15" hidden="false" customHeight="false" outlineLevel="0" collapsed="false">
      <c r="A2073" s="15" t="n">
        <v>46109</v>
      </c>
      <c r="B2073" s="14" t="s">
        <v>42</v>
      </c>
      <c r="C2073" s="14" t="s">
        <v>43</v>
      </c>
      <c r="D2073" s="14" t="s">
        <v>44</v>
      </c>
      <c r="E2073" s="14" t="s">
        <v>56</v>
      </c>
      <c r="F2073" s="14" t="s">
        <v>57</v>
      </c>
      <c r="G2073" s="14" t="s">
        <v>58</v>
      </c>
      <c r="H2073" s="0" t="n">
        <v>3</v>
      </c>
      <c r="I2073" s="16" t="n">
        <v>26.03</v>
      </c>
      <c r="J2073" s="16" t="n">
        <v>10</v>
      </c>
      <c r="K2073" s="16" t="n">
        <f aca="false">H2073*I2073</f>
        <v>78.09</v>
      </c>
      <c r="L2073" s="16" t="n">
        <f aca="false">H2073*J2073</f>
        <v>30</v>
      </c>
      <c r="M2073" s="16" t="n">
        <f aca="false">K2073-L2073</f>
        <v>48.09</v>
      </c>
      <c r="N2073" s="17" t="n">
        <f aca="false">IFERROR(M2073/K2073,0)</f>
        <v>0.615827890895121</v>
      </c>
    </row>
    <row r="2074" customFormat="false" ht="15" hidden="false" customHeight="false" outlineLevel="0" collapsed="false">
      <c r="A2074" s="15" t="n">
        <v>46109</v>
      </c>
      <c r="B2074" s="14" t="s">
        <v>50</v>
      </c>
      <c r="C2074" s="14" t="s">
        <v>51</v>
      </c>
      <c r="D2074" s="14" t="s">
        <v>52</v>
      </c>
      <c r="E2074" s="14" t="s">
        <v>64</v>
      </c>
      <c r="F2074" s="14" t="s">
        <v>96</v>
      </c>
      <c r="G2074" s="14" t="s">
        <v>97</v>
      </c>
      <c r="H2074" s="0" t="n">
        <v>9</v>
      </c>
      <c r="I2074" s="16" t="n">
        <v>56.43</v>
      </c>
      <c r="J2074" s="16" t="n">
        <v>24</v>
      </c>
      <c r="K2074" s="16" t="n">
        <f aca="false">H2074*I2074</f>
        <v>507.87</v>
      </c>
      <c r="L2074" s="16" t="n">
        <f aca="false">H2074*J2074</f>
        <v>216</v>
      </c>
      <c r="M2074" s="16" t="n">
        <f aca="false">K2074-L2074</f>
        <v>291.87</v>
      </c>
      <c r="N2074" s="17" t="n">
        <f aca="false">IFERROR(M2074/K2074,0)</f>
        <v>0.574694311536417</v>
      </c>
    </row>
    <row r="2075" customFormat="false" ht="15" hidden="false" customHeight="false" outlineLevel="0" collapsed="false">
      <c r="A2075" s="15" t="n">
        <v>46109</v>
      </c>
      <c r="B2075" s="14" t="s">
        <v>50</v>
      </c>
      <c r="C2075" s="14" t="s">
        <v>51</v>
      </c>
      <c r="D2075" s="14" t="s">
        <v>52</v>
      </c>
      <c r="E2075" s="14" t="s">
        <v>76</v>
      </c>
      <c r="F2075" s="14" t="s">
        <v>100</v>
      </c>
      <c r="G2075" s="14" t="s">
        <v>101</v>
      </c>
      <c r="H2075" s="0" t="n">
        <v>4</v>
      </c>
      <c r="I2075" s="16" t="n">
        <v>15.41</v>
      </c>
      <c r="J2075" s="16" t="n">
        <v>5.5</v>
      </c>
      <c r="K2075" s="16" t="n">
        <f aca="false">H2075*I2075</f>
        <v>61.64</v>
      </c>
      <c r="L2075" s="16" t="n">
        <f aca="false">H2075*J2075</f>
        <v>22</v>
      </c>
      <c r="M2075" s="16" t="n">
        <f aca="false">K2075-L2075</f>
        <v>39.64</v>
      </c>
      <c r="N2075" s="17" t="n">
        <f aca="false">IFERROR(M2075/K2075,0)</f>
        <v>0.643088903309539</v>
      </c>
    </row>
    <row r="2076" customFormat="false" ht="15" hidden="false" customHeight="false" outlineLevel="0" collapsed="false">
      <c r="A2076" s="15" t="n">
        <v>46109</v>
      </c>
      <c r="B2076" s="14" t="s">
        <v>50</v>
      </c>
      <c r="C2076" s="14" t="s">
        <v>51</v>
      </c>
      <c r="D2076" s="14" t="s">
        <v>52</v>
      </c>
      <c r="E2076" s="14" t="s">
        <v>45</v>
      </c>
      <c r="F2076" s="14" t="s">
        <v>46</v>
      </c>
      <c r="G2076" s="14" t="s">
        <v>47</v>
      </c>
      <c r="H2076" s="0" t="n">
        <v>6</v>
      </c>
      <c r="I2076" s="16" t="n">
        <v>43.97</v>
      </c>
      <c r="J2076" s="16" t="n">
        <v>18</v>
      </c>
      <c r="K2076" s="16" t="n">
        <f aca="false">H2076*I2076</f>
        <v>263.82</v>
      </c>
      <c r="L2076" s="16" t="n">
        <f aca="false">H2076*J2076</f>
        <v>108</v>
      </c>
      <c r="M2076" s="16" t="n">
        <f aca="false">K2076-L2076</f>
        <v>155.82</v>
      </c>
      <c r="N2076" s="17" t="n">
        <f aca="false">IFERROR(M2076/K2076,0)</f>
        <v>0.590629974982943</v>
      </c>
    </row>
    <row r="2077" customFormat="false" ht="15" hidden="false" customHeight="false" outlineLevel="0" collapsed="false">
      <c r="A2077" s="15" t="n">
        <v>46109</v>
      </c>
      <c r="B2077" s="14" t="s">
        <v>50</v>
      </c>
      <c r="C2077" s="14" t="s">
        <v>51</v>
      </c>
      <c r="D2077" s="14" t="s">
        <v>52</v>
      </c>
      <c r="E2077" s="14" t="s">
        <v>56</v>
      </c>
      <c r="F2077" s="14" t="s">
        <v>86</v>
      </c>
      <c r="G2077" s="14" t="s">
        <v>87</v>
      </c>
      <c r="H2077" s="0" t="n">
        <v>11</v>
      </c>
      <c r="I2077" s="16" t="n">
        <v>14.79</v>
      </c>
      <c r="J2077" s="16" t="n">
        <v>5</v>
      </c>
      <c r="K2077" s="16" t="n">
        <f aca="false">H2077*I2077</f>
        <v>162.69</v>
      </c>
      <c r="L2077" s="16" t="n">
        <f aca="false">H2077*J2077</f>
        <v>55</v>
      </c>
      <c r="M2077" s="16" t="n">
        <f aca="false">K2077-L2077</f>
        <v>107.69</v>
      </c>
      <c r="N2077" s="17" t="n">
        <f aca="false">IFERROR(M2077/K2077,0)</f>
        <v>0.661933739012847</v>
      </c>
    </row>
    <row r="2078" customFormat="false" ht="15" hidden="false" customHeight="false" outlineLevel="0" collapsed="false">
      <c r="A2078" s="15" t="n">
        <v>46109</v>
      </c>
      <c r="B2078" s="14" t="s">
        <v>59</v>
      </c>
      <c r="C2078" s="14" t="s">
        <v>60</v>
      </c>
      <c r="D2078" s="14" t="s">
        <v>61</v>
      </c>
      <c r="E2078" s="14" t="s">
        <v>64</v>
      </c>
      <c r="F2078" s="14" t="s">
        <v>90</v>
      </c>
      <c r="G2078" s="14" t="s">
        <v>91</v>
      </c>
      <c r="H2078" s="0" t="n">
        <v>1</v>
      </c>
      <c r="I2078" s="16" t="n">
        <v>11.97</v>
      </c>
      <c r="J2078" s="16" t="n">
        <v>3.5</v>
      </c>
      <c r="K2078" s="16" t="n">
        <f aca="false">H2078*I2078</f>
        <v>11.97</v>
      </c>
      <c r="L2078" s="16" t="n">
        <f aca="false">H2078*J2078</f>
        <v>3.5</v>
      </c>
      <c r="M2078" s="16" t="n">
        <f aca="false">K2078-L2078</f>
        <v>8.47</v>
      </c>
      <c r="N2078" s="17" t="n">
        <f aca="false">IFERROR(M2078/K2078,0)</f>
        <v>0.707602339181287</v>
      </c>
    </row>
    <row r="2079" customFormat="false" ht="15" hidden="false" customHeight="false" outlineLevel="0" collapsed="false">
      <c r="A2079" s="15" t="n">
        <v>46109</v>
      </c>
      <c r="B2079" s="14" t="s">
        <v>59</v>
      </c>
      <c r="C2079" s="14" t="s">
        <v>60</v>
      </c>
      <c r="D2079" s="14" t="s">
        <v>61</v>
      </c>
      <c r="E2079" s="14" t="s">
        <v>53</v>
      </c>
      <c r="F2079" s="14" t="s">
        <v>74</v>
      </c>
      <c r="G2079" s="14" t="s">
        <v>75</v>
      </c>
      <c r="H2079" s="0" t="n">
        <v>6</v>
      </c>
      <c r="I2079" s="16" t="n">
        <v>82.77</v>
      </c>
      <c r="J2079" s="16" t="n">
        <v>38</v>
      </c>
      <c r="K2079" s="16" t="n">
        <f aca="false">H2079*I2079</f>
        <v>496.62</v>
      </c>
      <c r="L2079" s="16" t="n">
        <f aca="false">H2079*J2079</f>
        <v>228</v>
      </c>
      <c r="M2079" s="16" t="n">
        <f aca="false">K2079-L2079</f>
        <v>268.62</v>
      </c>
      <c r="N2079" s="17" t="n">
        <f aca="false">IFERROR(M2079/K2079,0)</f>
        <v>0.540896460070074</v>
      </c>
    </row>
    <row r="2080" customFormat="false" ht="15" hidden="false" customHeight="false" outlineLevel="0" collapsed="false">
      <c r="A2080" s="15" t="n">
        <v>46109</v>
      </c>
      <c r="B2080" s="14" t="s">
        <v>59</v>
      </c>
      <c r="C2080" s="14" t="s">
        <v>60</v>
      </c>
      <c r="D2080" s="14" t="s">
        <v>61</v>
      </c>
      <c r="E2080" s="14" t="s">
        <v>45</v>
      </c>
      <c r="F2080" s="14" t="s">
        <v>72</v>
      </c>
      <c r="G2080" s="14" t="s">
        <v>73</v>
      </c>
      <c r="H2080" s="0" t="n">
        <v>2</v>
      </c>
      <c r="I2080" s="16" t="n">
        <v>49.21</v>
      </c>
      <c r="J2080" s="16" t="n">
        <v>21</v>
      </c>
      <c r="K2080" s="16" t="n">
        <f aca="false">H2080*I2080</f>
        <v>98.42</v>
      </c>
      <c r="L2080" s="16" t="n">
        <f aca="false">H2080*J2080</f>
        <v>42</v>
      </c>
      <c r="M2080" s="16" t="n">
        <f aca="false">K2080-L2080</f>
        <v>56.42</v>
      </c>
      <c r="N2080" s="17" t="n">
        <f aca="false">IFERROR(M2080/K2080,0)</f>
        <v>0.57325746799431</v>
      </c>
    </row>
    <row r="2081" customFormat="false" ht="15" hidden="false" customHeight="false" outlineLevel="0" collapsed="false">
      <c r="A2081" s="15" t="n">
        <v>46109</v>
      </c>
      <c r="B2081" s="14" t="s">
        <v>59</v>
      </c>
      <c r="C2081" s="14" t="s">
        <v>60</v>
      </c>
      <c r="D2081" s="14" t="s">
        <v>61</v>
      </c>
      <c r="E2081" s="14" t="s">
        <v>45</v>
      </c>
      <c r="F2081" s="14" t="s">
        <v>46</v>
      </c>
      <c r="G2081" s="14" t="s">
        <v>47</v>
      </c>
      <c r="H2081" s="0" t="n">
        <v>7</v>
      </c>
      <c r="I2081" s="16" t="n">
        <v>44.2</v>
      </c>
      <c r="J2081" s="16" t="n">
        <v>18</v>
      </c>
      <c r="K2081" s="16" t="n">
        <f aca="false">H2081*I2081</f>
        <v>309.4</v>
      </c>
      <c r="L2081" s="16" t="n">
        <f aca="false">H2081*J2081</f>
        <v>126</v>
      </c>
      <c r="M2081" s="16" t="n">
        <f aca="false">K2081-L2081</f>
        <v>183.4</v>
      </c>
      <c r="N2081" s="17" t="n">
        <f aca="false">IFERROR(M2081/K2081,0)</f>
        <v>0.592760180995475</v>
      </c>
    </row>
    <row r="2082" customFormat="false" ht="15" hidden="false" customHeight="false" outlineLevel="0" collapsed="false">
      <c r="A2082" s="15" t="n">
        <v>46109</v>
      </c>
      <c r="B2082" s="14" t="s">
        <v>69</v>
      </c>
      <c r="C2082" s="14" t="s">
        <v>70</v>
      </c>
      <c r="D2082" s="14" t="s">
        <v>71</v>
      </c>
      <c r="E2082" s="14" t="s">
        <v>53</v>
      </c>
      <c r="F2082" s="14" t="s">
        <v>92</v>
      </c>
      <c r="G2082" s="14" t="s">
        <v>93</v>
      </c>
      <c r="H2082" s="0" t="n">
        <v>1</v>
      </c>
      <c r="I2082" s="16" t="n">
        <v>111.34</v>
      </c>
      <c r="J2082" s="16" t="n">
        <v>52</v>
      </c>
      <c r="K2082" s="16" t="n">
        <f aca="false">H2082*I2082</f>
        <v>111.34</v>
      </c>
      <c r="L2082" s="16" t="n">
        <f aca="false">H2082*J2082</f>
        <v>52</v>
      </c>
      <c r="M2082" s="16" t="n">
        <f aca="false">K2082-L2082</f>
        <v>59.34</v>
      </c>
      <c r="N2082" s="17" t="n">
        <f aca="false">IFERROR(M2082/K2082,0)</f>
        <v>0.53296209807796</v>
      </c>
    </row>
    <row r="2083" customFormat="false" ht="15" hidden="false" customHeight="false" outlineLevel="0" collapsed="false">
      <c r="A2083" s="15" t="n">
        <v>46109</v>
      </c>
      <c r="B2083" s="14" t="s">
        <v>69</v>
      </c>
      <c r="C2083" s="14" t="s">
        <v>70</v>
      </c>
      <c r="D2083" s="14" t="s">
        <v>71</v>
      </c>
      <c r="E2083" s="14" t="s">
        <v>53</v>
      </c>
      <c r="F2083" s="14" t="s">
        <v>84</v>
      </c>
      <c r="G2083" s="14" t="s">
        <v>85</v>
      </c>
      <c r="H2083" s="0" t="n">
        <v>2</v>
      </c>
      <c r="I2083" s="16" t="n">
        <v>24.57</v>
      </c>
      <c r="J2083" s="16" t="n">
        <v>9</v>
      </c>
      <c r="K2083" s="16" t="n">
        <f aca="false">H2083*I2083</f>
        <v>49.14</v>
      </c>
      <c r="L2083" s="16" t="n">
        <f aca="false">H2083*J2083</f>
        <v>18</v>
      </c>
      <c r="M2083" s="16" t="n">
        <f aca="false">K2083-L2083</f>
        <v>31.14</v>
      </c>
      <c r="N2083" s="17" t="n">
        <f aca="false">IFERROR(M2083/K2083,0)</f>
        <v>0.633699633699634</v>
      </c>
    </row>
    <row r="2084" customFormat="false" ht="15" hidden="false" customHeight="false" outlineLevel="0" collapsed="false">
      <c r="A2084" s="15" t="n">
        <v>46109</v>
      </c>
      <c r="B2084" s="14" t="s">
        <v>69</v>
      </c>
      <c r="C2084" s="14" t="s">
        <v>70</v>
      </c>
      <c r="D2084" s="14" t="s">
        <v>71</v>
      </c>
      <c r="E2084" s="14" t="s">
        <v>45</v>
      </c>
      <c r="F2084" s="14" t="s">
        <v>62</v>
      </c>
      <c r="G2084" s="14" t="s">
        <v>63</v>
      </c>
      <c r="H2084" s="0" t="n">
        <v>6</v>
      </c>
      <c r="I2084" s="16" t="n">
        <v>17.41</v>
      </c>
      <c r="J2084" s="16" t="n">
        <v>6.5</v>
      </c>
      <c r="K2084" s="16" t="n">
        <f aca="false">H2084*I2084</f>
        <v>104.46</v>
      </c>
      <c r="L2084" s="16" t="n">
        <f aca="false">H2084*J2084</f>
        <v>39</v>
      </c>
      <c r="M2084" s="16" t="n">
        <f aca="false">K2084-L2084</f>
        <v>65.46</v>
      </c>
      <c r="N2084" s="17" t="n">
        <f aca="false">IFERROR(M2084/K2084,0)</f>
        <v>0.626651349798966</v>
      </c>
    </row>
    <row r="2085" customFormat="false" ht="15" hidden="false" customHeight="false" outlineLevel="0" collapsed="false">
      <c r="A2085" s="15" t="n">
        <v>46109</v>
      </c>
      <c r="B2085" s="14" t="s">
        <v>81</v>
      </c>
      <c r="C2085" s="14" t="s">
        <v>82</v>
      </c>
      <c r="D2085" s="14" t="s">
        <v>83</v>
      </c>
      <c r="E2085" s="14" t="s">
        <v>45</v>
      </c>
      <c r="F2085" s="14" t="s">
        <v>46</v>
      </c>
      <c r="G2085" s="14" t="s">
        <v>47</v>
      </c>
      <c r="H2085" s="0" t="n">
        <v>5</v>
      </c>
      <c r="I2085" s="16" t="n">
        <v>43.39</v>
      </c>
      <c r="J2085" s="16" t="n">
        <v>18</v>
      </c>
      <c r="K2085" s="16" t="n">
        <f aca="false">H2085*I2085</f>
        <v>216.95</v>
      </c>
      <c r="L2085" s="16" t="n">
        <f aca="false">H2085*J2085</f>
        <v>90</v>
      </c>
      <c r="M2085" s="16" t="n">
        <f aca="false">K2085-L2085</f>
        <v>126.95</v>
      </c>
      <c r="N2085" s="17" t="n">
        <f aca="false">IFERROR(M2085/K2085,0)</f>
        <v>0.585157870477069</v>
      </c>
    </row>
    <row r="2086" customFormat="false" ht="15" hidden="false" customHeight="false" outlineLevel="0" collapsed="false">
      <c r="A2086" s="15" t="n">
        <v>46109</v>
      </c>
      <c r="B2086" s="14" t="s">
        <v>81</v>
      </c>
      <c r="C2086" s="14" t="s">
        <v>82</v>
      </c>
      <c r="D2086" s="14" t="s">
        <v>83</v>
      </c>
      <c r="E2086" s="14" t="s">
        <v>56</v>
      </c>
      <c r="F2086" s="14" t="s">
        <v>98</v>
      </c>
      <c r="G2086" s="14" t="s">
        <v>99</v>
      </c>
      <c r="H2086" s="0" t="n">
        <v>1</v>
      </c>
      <c r="I2086" s="16" t="n">
        <v>20.54</v>
      </c>
      <c r="J2086" s="16" t="n">
        <v>8</v>
      </c>
      <c r="K2086" s="16" t="n">
        <f aca="false">H2086*I2086</f>
        <v>20.54</v>
      </c>
      <c r="L2086" s="16" t="n">
        <f aca="false">H2086*J2086</f>
        <v>8</v>
      </c>
      <c r="M2086" s="16" t="n">
        <f aca="false">K2086-L2086</f>
        <v>12.54</v>
      </c>
      <c r="N2086" s="17" t="n">
        <f aca="false">IFERROR(M2086/K2086,0)</f>
        <v>0.610516066212269</v>
      </c>
    </row>
    <row r="2087" customFormat="false" ht="15" hidden="false" customHeight="false" outlineLevel="0" collapsed="false">
      <c r="A2087" s="15" t="n">
        <v>46109</v>
      </c>
      <c r="B2087" s="14" t="s">
        <v>81</v>
      </c>
      <c r="C2087" s="14" t="s">
        <v>82</v>
      </c>
      <c r="D2087" s="14" t="s">
        <v>83</v>
      </c>
      <c r="E2087" s="14" t="s">
        <v>64</v>
      </c>
      <c r="F2087" s="14" t="s">
        <v>96</v>
      </c>
      <c r="G2087" s="14" t="s">
        <v>97</v>
      </c>
      <c r="H2087" s="0" t="n">
        <v>5</v>
      </c>
      <c r="I2087" s="16" t="n">
        <v>58.08</v>
      </c>
      <c r="J2087" s="16" t="n">
        <v>24</v>
      </c>
      <c r="K2087" s="16" t="n">
        <f aca="false">H2087*I2087</f>
        <v>290.4</v>
      </c>
      <c r="L2087" s="16" t="n">
        <f aca="false">H2087*J2087</f>
        <v>120</v>
      </c>
      <c r="M2087" s="16" t="n">
        <f aca="false">K2087-L2087</f>
        <v>170.4</v>
      </c>
      <c r="N2087" s="17" t="n">
        <f aca="false">IFERROR(M2087/K2087,0)</f>
        <v>0.586776859504132</v>
      </c>
    </row>
    <row r="2088" customFormat="false" ht="15" hidden="false" customHeight="false" outlineLevel="0" collapsed="false">
      <c r="A2088" s="15" t="n">
        <v>46109</v>
      </c>
      <c r="B2088" s="14" t="s">
        <v>81</v>
      </c>
      <c r="C2088" s="14" t="s">
        <v>82</v>
      </c>
      <c r="D2088" s="14" t="s">
        <v>83</v>
      </c>
      <c r="E2088" s="14" t="s">
        <v>56</v>
      </c>
      <c r="F2088" s="14" t="s">
        <v>57</v>
      </c>
      <c r="G2088" s="14" t="s">
        <v>58</v>
      </c>
      <c r="H2088" s="0" t="n">
        <v>8</v>
      </c>
      <c r="I2088" s="16" t="n">
        <v>26.12</v>
      </c>
      <c r="J2088" s="16" t="n">
        <v>10</v>
      </c>
      <c r="K2088" s="16" t="n">
        <f aca="false">H2088*I2088</f>
        <v>208.96</v>
      </c>
      <c r="L2088" s="16" t="n">
        <f aca="false">H2088*J2088</f>
        <v>80</v>
      </c>
      <c r="M2088" s="16" t="n">
        <f aca="false">K2088-L2088</f>
        <v>128.96</v>
      </c>
      <c r="N2088" s="17" t="n">
        <f aca="false">IFERROR(M2088/K2088,0)</f>
        <v>0.617151607963247</v>
      </c>
    </row>
    <row r="2089" customFormat="false" ht="15" hidden="false" customHeight="false" outlineLevel="0" collapsed="false">
      <c r="A2089" s="15" t="n">
        <v>46109</v>
      </c>
      <c r="B2089" s="14" t="s">
        <v>81</v>
      </c>
      <c r="C2089" s="14" t="s">
        <v>82</v>
      </c>
      <c r="D2089" s="14" t="s">
        <v>83</v>
      </c>
      <c r="E2089" s="14" t="s">
        <v>76</v>
      </c>
      <c r="F2089" s="14" t="s">
        <v>79</v>
      </c>
      <c r="G2089" s="14" t="s">
        <v>80</v>
      </c>
      <c r="H2089" s="0" t="n">
        <v>3</v>
      </c>
      <c r="I2089" s="16" t="n">
        <v>29.18</v>
      </c>
      <c r="J2089" s="16" t="n">
        <v>11</v>
      </c>
      <c r="K2089" s="16" t="n">
        <f aca="false">H2089*I2089</f>
        <v>87.54</v>
      </c>
      <c r="L2089" s="16" t="n">
        <f aca="false">H2089*J2089</f>
        <v>33</v>
      </c>
      <c r="M2089" s="16" t="n">
        <f aca="false">K2089-L2089</f>
        <v>54.54</v>
      </c>
      <c r="N2089" s="17" t="n">
        <f aca="false">IFERROR(M2089/K2089,0)</f>
        <v>0.623029472241261</v>
      </c>
    </row>
    <row r="2090" customFormat="false" ht="15" hidden="false" customHeight="false" outlineLevel="0" collapsed="false">
      <c r="A2090" s="15" t="n">
        <v>46109</v>
      </c>
      <c r="B2090" s="14" t="s">
        <v>88</v>
      </c>
      <c r="C2090" s="14" t="s">
        <v>89</v>
      </c>
      <c r="D2090" s="14" t="s">
        <v>44</v>
      </c>
      <c r="E2090" s="14" t="s">
        <v>64</v>
      </c>
      <c r="F2090" s="14" t="s">
        <v>94</v>
      </c>
      <c r="G2090" s="14" t="s">
        <v>95</v>
      </c>
      <c r="H2090" s="0" t="n">
        <v>1</v>
      </c>
      <c r="I2090" s="16" t="n">
        <v>98.35</v>
      </c>
      <c r="J2090" s="16" t="n">
        <v>42</v>
      </c>
      <c r="K2090" s="16" t="n">
        <f aca="false">H2090*I2090</f>
        <v>98.35</v>
      </c>
      <c r="L2090" s="16" t="n">
        <f aca="false">H2090*J2090</f>
        <v>42</v>
      </c>
      <c r="M2090" s="16" t="n">
        <f aca="false">K2090-L2090</f>
        <v>56.35</v>
      </c>
      <c r="N2090" s="17" t="n">
        <f aca="false">IFERROR(M2090/K2090,0)</f>
        <v>0.572953736654804</v>
      </c>
    </row>
    <row r="2091" customFormat="false" ht="15" hidden="false" customHeight="false" outlineLevel="0" collapsed="false">
      <c r="A2091" s="15" t="n">
        <v>46109</v>
      </c>
      <c r="B2091" s="14" t="s">
        <v>88</v>
      </c>
      <c r="C2091" s="14" t="s">
        <v>89</v>
      </c>
      <c r="D2091" s="14" t="s">
        <v>44</v>
      </c>
      <c r="E2091" s="14" t="s">
        <v>76</v>
      </c>
      <c r="F2091" s="14" t="s">
        <v>77</v>
      </c>
      <c r="G2091" s="14" t="s">
        <v>78</v>
      </c>
      <c r="H2091" s="0" t="n">
        <v>9</v>
      </c>
      <c r="I2091" s="16" t="n">
        <v>41.01</v>
      </c>
      <c r="J2091" s="16" t="n">
        <v>15</v>
      </c>
      <c r="K2091" s="16" t="n">
        <f aca="false">H2091*I2091</f>
        <v>369.09</v>
      </c>
      <c r="L2091" s="16" t="n">
        <f aca="false">H2091*J2091</f>
        <v>135</v>
      </c>
      <c r="M2091" s="16" t="n">
        <f aca="false">K2091-L2091</f>
        <v>234.09</v>
      </c>
      <c r="N2091" s="17" t="n">
        <f aca="false">IFERROR(M2091/K2091,0)</f>
        <v>0.634235552304316</v>
      </c>
    </row>
    <row r="2092" customFormat="false" ht="15" hidden="false" customHeight="false" outlineLevel="0" collapsed="false">
      <c r="A2092" s="15" t="n">
        <v>46109</v>
      </c>
      <c r="B2092" s="14" t="s">
        <v>88</v>
      </c>
      <c r="C2092" s="14" t="s">
        <v>89</v>
      </c>
      <c r="D2092" s="14" t="s">
        <v>44</v>
      </c>
      <c r="E2092" s="14" t="s">
        <v>53</v>
      </c>
      <c r="F2092" s="14" t="s">
        <v>84</v>
      </c>
      <c r="G2092" s="14" t="s">
        <v>85</v>
      </c>
      <c r="H2092" s="0" t="n">
        <v>8</v>
      </c>
      <c r="I2092" s="16" t="n">
        <v>24.6</v>
      </c>
      <c r="J2092" s="16" t="n">
        <v>9</v>
      </c>
      <c r="K2092" s="16" t="n">
        <f aca="false">H2092*I2092</f>
        <v>196.8</v>
      </c>
      <c r="L2092" s="16" t="n">
        <f aca="false">H2092*J2092</f>
        <v>72</v>
      </c>
      <c r="M2092" s="16" t="n">
        <f aca="false">K2092-L2092</f>
        <v>124.8</v>
      </c>
      <c r="N2092" s="17" t="n">
        <f aca="false">IFERROR(M2092/K2092,0)</f>
        <v>0.634146341463415</v>
      </c>
    </row>
    <row r="2093" customFormat="false" ht="15" hidden="false" customHeight="false" outlineLevel="0" collapsed="false">
      <c r="A2093" s="15" t="n">
        <v>46110</v>
      </c>
      <c r="B2093" s="14" t="s">
        <v>42</v>
      </c>
      <c r="C2093" s="14" t="s">
        <v>43</v>
      </c>
      <c r="D2093" s="14" t="s">
        <v>44</v>
      </c>
      <c r="E2093" s="14" t="s">
        <v>76</v>
      </c>
      <c r="F2093" s="14" t="s">
        <v>102</v>
      </c>
      <c r="G2093" s="14" t="s">
        <v>103</v>
      </c>
      <c r="H2093" s="0" t="n">
        <v>11</v>
      </c>
      <c r="I2093" s="16" t="n">
        <v>23.08</v>
      </c>
      <c r="J2093" s="16" t="n">
        <v>8.5</v>
      </c>
      <c r="K2093" s="16" t="n">
        <f aca="false">H2093*I2093</f>
        <v>253.88</v>
      </c>
      <c r="L2093" s="16" t="n">
        <f aca="false">H2093*J2093</f>
        <v>93.5</v>
      </c>
      <c r="M2093" s="16" t="n">
        <f aca="false">K2093-L2093</f>
        <v>160.38</v>
      </c>
      <c r="N2093" s="17" t="n">
        <f aca="false">IFERROR(M2093/K2093,0)</f>
        <v>0.631715771230503</v>
      </c>
    </row>
    <row r="2094" customFormat="false" ht="15" hidden="false" customHeight="false" outlineLevel="0" collapsed="false">
      <c r="A2094" s="15" t="n">
        <v>46110</v>
      </c>
      <c r="B2094" s="14" t="s">
        <v>42</v>
      </c>
      <c r="C2094" s="14" t="s">
        <v>43</v>
      </c>
      <c r="D2094" s="14" t="s">
        <v>44</v>
      </c>
      <c r="E2094" s="14" t="s">
        <v>53</v>
      </c>
      <c r="F2094" s="14" t="s">
        <v>92</v>
      </c>
      <c r="G2094" s="14" t="s">
        <v>93</v>
      </c>
      <c r="H2094" s="0" t="n">
        <v>3</v>
      </c>
      <c r="I2094" s="16" t="n">
        <v>119.5</v>
      </c>
      <c r="J2094" s="16" t="n">
        <v>52</v>
      </c>
      <c r="K2094" s="16" t="n">
        <f aca="false">H2094*I2094</f>
        <v>358.5</v>
      </c>
      <c r="L2094" s="16" t="n">
        <f aca="false">H2094*J2094</f>
        <v>156</v>
      </c>
      <c r="M2094" s="16" t="n">
        <f aca="false">K2094-L2094</f>
        <v>202.5</v>
      </c>
      <c r="N2094" s="17" t="n">
        <f aca="false">IFERROR(M2094/K2094,0)</f>
        <v>0.564853556485356</v>
      </c>
    </row>
    <row r="2095" customFormat="false" ht="15" hidden="false" customHeight="false" outlineLevel="0" collapsed="false">
      <c r="A2095" s="15" t="n">
        <v>46110</v>
      </c>
      <c r="B2095" s="14" t="s">
        <v>42</v>
      </c>
      <c r="C2095" s="14" t="s">
        <v>43</v>
      </c>
      <c r="D2095" s="14" t="s">
        <v>44</v>
      </c>
      <c r="E2095" s="14" t="s">
        <v>64</v>
      </c>
      <c r="F2095" s="14" t="s">
        <v>94</v>
      </c>
      <c r="G2095" s="14" t="s">
        <v>95</v>
      </c>
      <c r="H2095" s="0" t="n">
        <v>3</v>
      </c>
      <c r="I2095" s="16" t="n">
        <v>96.11</v>
      </c>
      <c r="J2095" s="16" t="n">
        <v>42</v>
      </c>
      <c r="K2095" s="16" t="n">
        <f aca="false">H2095*I2095</f>
        <v>288.33</v>
      </c>
      <c r="L2095" s="16" t="n">
        <f aca="false">H2095*J2095</f>
        <v>126</v>
      </c>
      <c r="M2095" s="16" t="n">
        <f aca="false">K2095-L2095</f>
        <v>162.33</v>
      </c>
      <c r="N2095" s="17" t="n">
        <f aca="false">IFERROR(M2095/K2095,0)</f>
        <v>0.563000728332119</v>
      </c>
    </row>
    <row r="2096" customFormat="false" ht="15" hidden="false" customHeight="false" outlineLevel="0" collapsed="false">
      <c r="A2096" s="15" t="n">
        <v>46110</v>
      </c>
      <c r="B2096" s="14" t="s">
        <v>42</v>
      </c>
      <c r="C2096" s="14" t="s">
        <v>43</v>
      </c>
      <c r="D2096" s="14" t="s">
        <v>44</v>
      </c>
      <c r="E2096" s="14" t="s">
        <v>45</v>
      </c>
      <c r="F2096" s="14" t="s">
        <v>62</v>
      </c>
      <c r="G2096" s="14" t="s">
        <v>63</v>
      </c>
      <c r="H2096" s="0" t="n">
        <v>4</v>
      </c>
      <c r="I2096" s="16" t="n">
        <v>16.8</v>
      </c>
      <c r="J2096" s="16" t="n">
        <v>6.5</v>
      </c>
      <c r="K2096" s="16" t="n">
        <f aca="false">H2096*I2096</f>
        <v>67.2</v>
      </c>
      <c r="L2096" s="16" t="n">
        <f aca="false">H2096*J2096</f>
        <v>26</v>
      </c>
      <c r="M2096" s="16" t="n">
        <f aca="false">K2096-L2096</f>
        <v>41.2</v>
      </c>
      <c r="N2096" s="17" t="n">
        <f aca="false">IFERROR(M2096/K2096,0)</f>
        <v>0.613095238095238</v>
      </c>
    </row>
    <row r="2097" customFormat="false" ht="15" hidden="false" customHeight="false" outlineLevel="0" collapsed="false">
      <c r="A2097" s="15" t="n">
        <v>46110</v>
      </c>
      <c r="B2097" s="14" t="s">
        <v>42</v>
      </c>
      <c r="C2097" s="14" t="s">
        <v>43</v>
      </c>
      <c r="D2097" s="14" t="s">
        <v>44</v>
      </c>
      <c r="E2097" s="14" t="s">
        <v>45</v>
      </c>
      <c r="F2097" s="14" t="s">
        <v>48</v>
      </c>
      <c r="G2097" s="14" t="s">
        <v>49</v>
      </c>
      <c r="H2097" s="0" t="n">
        <v>9</v>
      </c>
      <c r="I2097" s="16" t="n">
        <v>65.57</v>
      </c>
      <c r="J2097" s="16" t="n">
        <v>27.5</v>
      </c>
      <c r="K2097" s="16" t="n">
        <f aca="false">H2097*I2097</f>
        <v>590.13</v>
      </c>
      <c r="L2097" s="16" t="n">
        <f aca="false">H2097*J2097</f>
        <v>247.5</v>
      </c>
      <c r="M2097" s="16" t="n">
        <f aca="false">K2097-L2097</f>
        <v>342.63</v>
      </c>
      <c r="N2097" s="17" t="n">
        <f aca="false">IFERROR(M2097/K2097,0)</f>
        <v>0.580600884550862</v>
      </c>
    </row>
    <row r="2098" customFormat="false" ht="15" hidden="false" customHeight="false" outlineLevel="0" collapsed="false">
      <c r="A2098" s="15" t="n">
        <v>46110</v>
      </c>
      <c r="B2098" s="14" t="s">
        <v>42</v>
      </c>
      <c r="C2098" s="14" t="s">
        <v>43</v>
      </c>
      <c r="D2098" s="14" t="s">
        <v>44</v>
      </c>
      <c r="E2098" s="14" t="s">
        <v>64</v>
      </c>
      <c r="F2098" s="14" t="s">
        <v>65</v>
      </c>
      <c r="G2098" s="14" t="s">
        <v>66</v>
      </c>
      <c r="H2098" s="0" t="n">
        <v>10</v>
      </c>
      <c r="I2098" s="16" t="n">
        <v>76.96</v>
      </c>
      <c r="J2098" s="16" t="n">
        <v>34</v>
      </c>
      <c r="K2098" s="16" t="n">
        <f aca="false">H2098*I2098</f>
        <v>769.6</v>
      </c>
      <c r="L2098" s="16" t="n">
        <f aca="false">H2098*J2098</f>
        <v>340</v>
      </c>
      <c r="M2098" s="16" t="n">
        <f aca="false">K2098-L2098</f>
        <v>429.6</v>
      </c>
      <c r="N2098" s="17" t="n">
        <f aca="false">IFERROR(M2098/K2098,0)</f>
        <v>0.558212058212058</v>
      </c>
    </row>
    <row r="2099" customFormat="false" ht="15" hidden="false" customHeight="false" outlineLevel="0" collapsed="false">
      <c r="A2099" s="15" t="n">
        <v>46110</v>
      </c>
      <c r="B2099" s="14" t="s">
        <v>50</v>
      </c>
      <c r="C2099" s="14" t="s">
        <v>51</v>
      </c>
      <c r="D2099" s="14" t="s">
        <v>52</v>
      </c>
      <c r="E2099" s="14" t="s">
        <v>64</v>
      </c>
      <c r="F2099" s="14" t="s">
        <v>90</v>
      </c>
      <c r="G2099" s="14" t="s">
        <v>91</v>
      </c>
      <c r="H2099" s="0" t="n">
        <v>3</v>
      </c>
      <c r="I2099" s="16" t="n">
        <v>11.43</v>
      </c>
      <c r="J2099" s="16" t="n">
        <v>3.5</v>
      </c>
      <c r="K2099" s="16" t="n">
        <f aca="false">H2099*I2099</f>
        <v>34.29</v>
      </c>
      <c r="L2099" s="16" t="n">
        <f aca="false">H2099*J2099</f>
        <v>10.5</v>
      </c>
      <c r="M2099" s="16" t="n">
        <f aca="false">K2099-L2099</f>
        <v>23.79</v>
      </c>
      <c r="N2099" s="17" t="n">
        <f aca="false">IFERROR(M2099/K2099,0)</f>
        <v>0.693788276465442</v>
      </c>
    </row>
    <row r="2100" customFormat="false" ht="15" hidden="false" customHeight="false" outlineLevel="0" collapsed="false">
      <c r="A2100" s="15" t="n">
        <v>46110</v>
      </c>
      <c r="B2100" s="14" t="s">
        <v>50</v>
      </c>
      <c r="C2100" s="14" t="s">
        <v>51</v>
      </c>
      <c r="D2100" s="14" t="s">
        <v>52</v>
      </c>
      <c r="E2100" s="14" t="s">
        <v>56</v>
      </c>
      <c r="F2100" s="14" t="s">
        <v>86</v>
      </c>
      <c r="G2100" s="14" t="s">
        <v>87</v>
      </c>
      <c r="H2100" s="0" t="n">
        <v>2</v>
      </c>
      <c r="I2100" s="16" t="n">
        <v>14.66</v>
      </c>
      <c r="J2100" s="16" t="n">
        <v>5</v>
      </c>
      <c r="K2100" s="16" t="n">
        <f aca="false">H2100*I2100</f>
        <v>29.32</v>
      </c>
      <c r="L2100" s="16" t="n">
        <f aca="false">H2100*J2100</f>
        <v>10</v>
      </c>
      <c r="M2100" s="16" t="n">
        <f aca="false">K2100-L2100</f>
        <v>19.32</v>
      </c>
      <c r="N2100" s="17" t="n">
        <f aca="false">IFERROR(M2100/K2100,0)</f>
        <v>0.65893587994543</v>
      </c>
    </row>
    <row r="2101" customFormat="false" ht="15" hidden="false" customHeight="false" outlineLevel="0" collapsed="false">
      <c r="A2101" s="15" t="n">
        <v>46110</v>
      </c>
      <c r="B2101" s="14" t="s">
        <v>50</v>
      </c>
      <c r="C2101" s="14" t="s">
        <v>51</v>
      </c>
      <c r="D2101" s="14" t="s">
        <v>52</v>
      </c>
      <c r="E2101" s="14" t="s">
        <v>56</v>
      </c>
      <c r="F2101" s="14" t="s">
        <v>67</v>
      </c>
      <c r="G2101" s="14" t="s">
        <v>68</v>
      </c>
      <c r="H2101" s="0" t="n">
        <v>6</v>
      </c>
      <c r="I2101" s="16" t="n">
        <v>37.98</v>
      </c>
      <c r="J2101" s="16" t="n">
        <v>15</v>
      </c>
      <c r="K2101" s="16" t="n">
        <f aca="false">H2101*I2101</f>
        <v>227.88</v>
      </c>
      <c r="L2101" s="16" t="n">
        <f aca="false">H2101*J2101</f>
        <v>90</v>
      </c>
      <c r="M2101" s="16" t="n">
        <f aca="false">K2101-L2101</f>
        <v>137.88</v>
      </c>
      <c r="N2101" s="17" t="n">
        <f aca="false">IFERROR(M2101/K2101,0)</f>
        <v>0.605055292259084</v>
      </c>
    </row>
    <row r="2102" customFormat="false" ht="15" hidden="false" customHeight="false" outlineLevel="0" collapsed="false">
      <c r="A2102" s="15" t="n">
        <v>46110</v>
      </c>
      <c r="B2102" s="14" t="s">
        <v>59</v>
      </c>
      <c r="C2102" s="14" t="s">
        <v>60</v>
      </c>
      <c r="D2102" s="14" t="s">
        <v>61</v>
      </c>
      <c r="E2102" s="14" t="s">
        <v>56</v>
      </c>
      <c r="F2102" s="14" t="s">
        <v>98</v>
      </c>
      <c r="G2102" s="14" t="s">
        <v>99</v>
      </c>
      <c r="H2102" s="0" t="n">
        <v>9</v>
      </c>
      <c r="I2102" s="16" t="n">
        <v>21.94</v>
      </c>
      <c r="J2102" s="16" t="n">
        <v>8</v>
      </c>
      <c r="K2102" s="16" t="n">
        <f aca="false">H2102*I2102</f>
        <v>197.46</v>
      </c>
      <c r="L2102" s="16" t="n">
        <f aca="false">H2102*J2102</f>
        <v>72</v>
      </c>
      <c r="M2102" s="16" t="n">
        <f aca="false">K2102-L2102</f>
        <v>125.46</v>
      </c>
      <c r="N2102" s="17" t="n">
        <f aca="false">IFERROR(M2102/K2102,0)</f>
        <v>0.635369188696445</v>
      </c>
    </row>
    <row r="2103" customFormat="false" ht="15" hidden="false" customHeight="false" outlineLevel="0" collapsed="false">
      <c r="A2103" s="15" t="n">
        <v>46110</v>
      </c>
      <c r="B2103" s="14" t="s">
        <v>59</v>
      </c>
      <c r="C2103" s="14" t="s">
        <v>60</v>
      </c>
      <c r="D2103" s="14" t="s">
        <v>61</v>
      </c>
      <c r="E2103" s="14" t="s">
        <v>56</v>
      </c>
      <c r="F2103" s="14" t="s">
        <v>86</v>
      </c>
      <c r="G2103" s="14" t="s">
        <v>87</v>
      </c>
      <c r="H2103" s="0" t="n">
        <v>4</v>
      </c>
      <c r="I2103" s="16" t="n">
        <v>13.89</v>
      </c>
      <c r="J2103" s="16" t="n">
        <v>5</v>
      </c>
      <c r="K2103" s="16" t="n">
        <f aca="false">H2103*I2103</f>
        <v>55.56</v>
      </c>
      <c r="L2103" s="16" t="n">
        <f aca="false">H2103*J2103</f>
        <v>20</v>
      </c>
      <c r="M2103" s="16" t="n">
        <f aca="false">K2103-L2103</f>
        <v>35.56</v>
      </c>
      <c r="N2103" s="17" t="n">
        <f aca="false">IFERROR(M2103/K2103,0)</f>
        <v>0.640028797696184</v>
      </c>
    </row>
    <row r="2104" customFormat="false" ht="15" hidden="false" customHeight="false" outlineLevel="0" collapsed="false">
      <c r="A2104" s="15" t="n">
        <v>46110</v>
      </c>
      <c r="B2104" s="14" t="s">
        <v>59</v>
      </c>
      <c r="C2104" s="14" t="s">
        <v>60</v>
      </c>
      <c r="D2104" s="14" t="s">
        <v>61</v>
      </c>
      <c r="E2104" s="14" t="s">
        <v>53</v>
      </c>
      <c r="F2104" s="14" t="s">
        <v>92</v>
      </c>
      <c r="G2104" s="14" t="s">
        <v>93</v>
      </c>
      <c r="H2104" s="0" t="n">
        <v>1</v>
      </c>
      <c r="I2104" s="16" t="n">
        <v>114.46</v>
      </c>
      <c r="J2104" s="16" t="n">
        <v>52</v>
      </c>
      <c r="K2104" s="16" t="n">
        <f aca="false">H2104*I2104</f>
        <v>114.46</v>
      </c>
      <c r="L2104" s="16" t="n">
        <f aca="false">H2104*J2104</f>
        <v>52</v>
      </c>
      <c r="M2104" s="16" t="n">
        <f aca="false">K2104-L2104</f>
        <v>62.46</v>
      </c>
      <c r="N2104" s="17" t="n">
        <f aca="false">IFERROR(M2104/K2104,0)</f>
        <v>0.545692818451861</v>
      </c>
    </row>
    <row r="2105" customFormat="false" ht="15" hidden="false" customHeight="false" outlineLevel="0" collapsed="false">
      <c r="A2105" s="15" t="n">
        <v>46110</v>
      </c>
      <c r="B2105" s="14" t="s">
        <v>59</v>
      </c>
      <c r="C2105" s="14" t="s">
        <v>60</v>
      </c>
      <c r="D2105" s="14" t="s">
        <v>61</v>
      </c>
      <c r="E2105" s="14" t="s">
        <v>64</v>
      </c>
      <c r="F2105" s="14" t="s">
        <v>96</v>
      </c>
      <c r="G2105" s="14" t="s">
        <v>97</v>
      </c>
      <c r="H2105" s="0" t="n">
        <v>6</v>
      </c>
      <c r="I2105" s="16" t="n">
        <v>58.86</v>
      </c>
      <c r="J2105" s="16" t="n">
        <v>24</v>
      </c>
      <c r="K2105" s="16" t="n">
        <f aca="false">H2105*I2105</f>
        <v>353.16</v>
      </c>
      <c r="L2105" s="16" t="n">
        <f aca="false">H2105*J2105</f>
        <v>144</v>
      </c>
      <c r="M2105" s="16" t="n">
        <f aca="false">K2105-L2105</f>
        <v>209.16</v>
      </c>
      <c r="N2105" s="17" t="n">
        <f aca="false">IFERROR(M2105/K2105,0)</f>
        <v>0.592252803261978</v>
      </c>
    </row>
    <row r="2106" customFormat="false" ht="15" hidden="false" customHeight="false" outlineLevel="0" collapsed="false">
      <c r="A2106" s="15" t="n">
        <v>46110</v>
      </c>
      <c r="B2106" s="14" t="s">
        <v>59</v>
      </c>
      <c r="C2106" s="14" t="s">
        <v>60</v>
      </c>
      <c r="D2106" s="14" t="s">
        <v>61</v>
      </c>
      <c r="E2106" s="14" t="s">
        <v>76</v>
      </c>
      <c r="F2106" s="14" t="s">
        <v>77</v>
      </c>
      <c r="G2106" s="14" t="s">
        <v>78</v>
      </c>
      <c r="H2106" s="0" t="n">
        <v>2</v>
      </c>
      <c r="I2106" s="16" t="n">
        <v>39.61</v>
      </c>
      <c r="J2106" s="16" t="n">
        <v>15</v>
      </c>
      <c r="K2106" s="16" t="n">
        <f aca="false">H2106*I2106</f>
        <v>79.22</v>
      </c>
      <c r="L2106" s="16" t="n">
        <f aca="false">H2106*J2106</f>
        <v>30</v>
      </c>
      <c r="M2106" s="16" t="n">
        <f aca="false">K2106-L2106</f>
        <v>49.22</v>
      </c>
      <c r="N2106" s="17" t="n">
        <f aca="false">IFERROR(M2106/K2106,0)</f>
        <v>0.621307750568038</v>
      </c>
    </row>
    <row r="2107" customFormat="false" ht="15" hidden="false" customHeight="false" outlineLevel="0" collapsed="false">
      <c r="A2107" s="15" t="n">
        <v>46110</v>
      </c>
      <c r="B2107" s="14" t="s">
        <v>59</v>
      </c>
      <c r="C2107" s="14" t="s">
        <v>60</v>
      </c>
      <c r="D2107" s="14" t="s">
        <v>61</v>
      </c>
      <c r="E2107" s="14" t="s">
        <v>64</v>
      </c>
      <c r="F2107" s="14" t="s">
        <v>94</v>
      </c>
      <c r="G2107" s="14" t="s">
        <v>95</v>
      </c>
      <c r="H2107" s="0" t="n">
        <v>5</v>
      </c>
      <c r="I2107" s="16" t="n">
        <v>92.77</v>
      </c>
      <c r="J2107" s="16" t="n">
        <v>42</v>
      </c>
      <c r="K2107" s="16" t="n">
        <f aca="false">H2107*I2107</f>
        <v>463.85</v>
      </c>
      <c r="L2107" s="16" t="n">
        <f aca="false">H2107*J2107</f>
        <v>210</v>
      </c>
      <c r="M2107" s="16" t="n">
        <f aca="false">K2107-L2107</f>
        <v>253.85</v>
      </c>
      <c r="N2107" s="17" t="n">
        <f aca="false">IFERROR(M2107/K2107,0)</f>
        <v>0.547267435593403</v>
      </c>
    </row>
    <row r="2108" customFormat="false" ht="15" hidden="false" customHeight="false" outlineLevel="0" collapsed="false">
      <c r="A2108" s="15" t="n">
        <v>46110</v>
      </c>
      <c r="B2108" s="14" t="s">
        <v>69</v>
      </c>
      <c r="C2108" s="14" t="s">
        <v>70</v>
      </c>
      <c r="D2108" s="14" t="s">
        <v>71</v>
      </c>
      <c r="E2108" s="14" t="s">
        <v>64</v>
      </c>
      <c r="F2108" s="14" t="s">
        <v>96</v>
      </c>
      <c r="G2108" s="14" t="s">
        <v>97</v>
      </c>
      <c r="H2108" s="0" t="n">
        <v>5</v>
      </c>
      <c r="I2108" s="16" t="n">
        <v>58.67</v>
      </c>
      <c r="J2108" s="16" t="n">
        <v>24</v>
      </c>
      <c r="K2108" s="16" t="n">
        <f aca="false">H2108*I2108</f>
        <v>293.35</v>
      </c>
      <c r="L2108" s="16" t="n">
        <f aca="false">H2108*J2108</f>
        <v>120</v>
      </c>
      <c r="M2108" s="16" t="n">
        <f aca="false">K2108-L2108</f>
        <v>173.35</v>
      </c>
      <c r="N2108" s="17" t="n">
        <f aca="false">IFERROR(M2108/K2108,0)</f>
        <v>0.590932333390148</v>
      </c>
    </row>
    <row r="2109" customFormat="false" ht="15" hidden="false" customHeight="false" outlineLevel="0" collapsed="false">
      <c r="A2109" s="15" t="n">
        <v>46110</v>
      </c>
      <c r="B2109" s="14" t="s">
        <v>69</v>
      </c>
      <c r="C2109" s="14" t="s">
        <v>70</v>
      </c>
      <c r="D2109" s="14" t="s">
        <v>71</v>
      </c>
      <c r="E2109" s="14" t="s">
        <v>56</v>
      </c>
      <c r="F2109" s="14" t="s">
        <v>98</v>
      </c>
      <c r="G2109" s="14" t="s">
        <v>99</v>
      </c>
      <c r="H2109" s="0" t="n">
        <v>9</v>
      </c>
      <c r="I2109" s="16" t="n">
        <v>21.81</v>
      </c>
      <c r="J2109" s="16" t="n">
        <v>8</v>
      </c>
      <c r="K2109" s="16" t="n">
        <f aca="false">H2109*I2109</f>
        <v>196.29</v>
      </c>
      <c r="L2109" s="16" t="n">
        <f aca="false">H2109*J2109</f>
        <v>72</v>
      </c>
      <c r="M2109" s="16" t="n">
        <f aca="false">K2109-L2109</f>
        <v>124.29</v>
      </c>
      <c r="N2109" s="17" t="n">
        <f aca="false">IFERROR(M2109/K2109,0)</f>
        <v>0.63319578175149</v>
      </c>
    </row>
    <row r="2110" customFormat="false" ht="15" hidden="false" customHeight="false" outlineLevel="0" collapsed="false">
      <c r="A2110" s="15" t="n">
        <v>46110</v>
      </c>
      <c r="B2110" s="14" t="s">
        <v>69</v>
      </c>
      <c r="C2110" s="14" t="s">
        <v>70</v>
      </c>
      <c r="D2110" s="14" t="s">
        <v>71</v>
      </c>
      <c r="E2110" s="14" t="s">
        <v>64</v>
      </c>
      <c r="F2110" s="14" t="s">
        <v>65</v>
      </c>
      <c r="G2110" s="14" t="s">
        <v>66</v>
      </c>
      <c r="H2110" s="0" t="n">
        <v>6</v>
      </c>
      <c r="I2110" s="16" t="n">
        <v>72.72</v>
      </c>
      <c r="J2110" s="16" t="n">
        <v>34</v>
      </c>
      <c r="K2110" s="16" t="n">
        <f aca="false">H2110*I2110</f>
        <v>436.32</v>
      </c>
      <c r="L2110" s="16" t="n">
        <f aca="false">H2110*J2110</f>
        <v>204</v>
      </c>
      <c r="M2110" s="16" t="n">
        <f aca="false">K2110-L2110</f>
        <v>232.32</v>
      </c>
      <c r="N2110" s="17" t="n">
        <f aca="false">IFERROR(M2110/K2110,0)</f>
        <v>0.532453245324532</v>
      </c>
    </row>
    <row r="2111" customFormat="false" ht="15" hidden="false" customHeight="false" outlineLevel="0" collapsed="false">
      <c r="A2111" s="15" t="n">
        <v>46110</v>
      </c>
      <c r="B2111" s="14" t="s">
        <v>69</v>
      </c>
      <c r="C2111" s="14" t="s">
        <v>70</v>
      </c>
      <c r="D2111" s="14" t="s">
        <v>71</v>
      </c>
      <c r="E2111" s="14" t="s">
        <v>64</v>
      </c>
      <c r="F2111" s="14" t="s">
        <v>94</v>
      </c>
      <c r="G2111" s="14" t="s">
        <v>95</v>
      </c>
      <c r="H2111" s="0" t="n">
        <v>5</v>
      </c>
      <c r="I2111" s="16" t="n">
        <v>93.88</v>
      </c>
      <c r="J2111" s="16" t="n">
        <v>42</v>
      </c>
      <c r="K2111" s="16" t="n">
        <f aca="false">H2111*I2111</f>
        <v>469.4</v>
      </c>
      <c r="L2111" s="16" t="n">
        <f aca="false">H2111*J2111</f>
        <v>210</v>
      </c>
      <c r="M2111" s="16" t="n">
        <f aca="false">K2111-L2111</f>
        <v>259.4</v>
      </c>
      <c r="N2111" s="17" t="n">
        <f aca="false">IFERROR(M2111/K2111,0)</f>
        <v>0.552620366425224</v>
      </c>
    </row>
    <row r="2112" customFormat="false" ht="15" hidden="false" customHeight="false" outlineLevel="0" collapsed="false">
      <c r="A2112" s="15" t="n">
        <v>46110</v>
      </c>
      <c r="B2112" s="14" t="s">
        <v>69</v>
      </c>
      <c r="C2112" s="14" t="s">
        <v>70</v>
      </c>
      <c r="D2112" s="14" t="s">
        <v>71</v>
      </c>
      <c r="E2112" s="14" t="s">
        <v>45</v>
      </c>
      <c r="F2112" s="14" t="s">
        <v>46</v>
      </c>
      <c r="G2112" s="14" t="s">
        <v>47</v>
      </c>
      <c r="H2112" s="0" t="n">
        <v>4</v>
      </c>
      <c r="I2112" s="16" t="n">
        <v>42.85</v>
      </c>
      <c r="J2112" s="16" t="n">
        <v>18</v>
      </c>
      <c r="K2112" s="16" t="n">
        <f aca="false">H2112*I2112</f>
        <v>171.4</v>
      </c>
      <c r="L2112" s="16" t="n">
        <f aca="false">H2112*J2112</f>
        <v>72</v>
      </c>
      <c r="M2112" s="16" t="n">
        <f aca="false">K2112-L2112</f>
        <v>99.4</v>
      </c>
      <c r="N2112" s="17" t="n">
        <f aca="false">IFERROR(M2112/K2112,0)</f>
        <v>0.579929988331389</v>
      </c>
    </row>
    <row r="2113" customFormat="false" ht="15" hidden="false" customHeight="false" outlineLevel="0" collapsed="false">
      <c r="A2113" s="15" t="n">
        <v>46110</v>
      </c>
      <c r="B2113" s="14" t="s">
        <v>69</v>
      </c>
      <c r="C2113" s="14" t="s">
        <v>70</v>
      </c>
      <c r="D2113" s="14" t="s">
        <v>71</v>
      </c>
      <c r="E2113" s="14" t="s">
        <v>45</v>
      </c>
      <c r="F2113" s="14" t="s">
        <v>48</v>
      </c>
      <c r="G2113" s="14" t="s">
        <v>49</v>
      </c>
      <c r="H2113" s="0" t="n">
        <v>8</v>
      </c>
      <c r="I2113" s="16" t="n">
        <v>65.24</v>
      </c>
      <c r="J2113" s="16" t="n">
        <v>27.5</v>
      </c>
      <c r="K2113" s="16" t="n">
        <f aca="false">H2113*I2113</f>
        <v>521.92</v>
      </c>
      <c r="L2113" s="16" t="n">
        <f aca="false">H2113*J2113</f>
        <v>220</v>
      </c>
      <c r="M2113" s="16" t="n">
        <f aca="false">K2113-L2113</f>
        <v>301.92</v>
      </c>
      <c r="N2113" s="17" t="n">
        <f aca="false">IFERROR(M2113/K2113,0)</f>
        <v>0.578479460453709</v>
      </c>
    </row>
    <row r="2114" customFormat="false" ht="15" hidden="false" customHeight="false" outlineLevel="0" collapsed="false">
      <c r="A2114" s="15" t="n">
        <v>46110</v>
      </c>
      <c r="B2114" s="14" t="s">
        <v>81</v>
      </c>
      <c r="C2114" s="14" t="s">
        <v>82</v>
      </c>
      <c r="D2114" s="14" t="s">
        <v>83</v>
      </c>
      <c r="E2114" s="14" t="s">
        <v>56</v>
      </c>
      <c r="F2114" s="14" t="s">
        <v>86</v>
      </c>
      <c r="G2114" s="14" t="s">
        <v>87</v>
      </c>
      <c r="H2114" s="0" t="n">
        <v>7</v>
      </c>
      <c r="I2114" s="16" t="n">
        <v>13.95</v>
      </c>
      <c r="J2114" s="16" t="n">
        <v>5</v>
      </c>
      <c r="K2114" s="16" t="n">
        <f aca="false">H2114*I2114</f>
        <v>97.65</v>
      </c>
      <c r="L2114" s="16" t="n">
        <f aca="false">H2114*J2114</f>
        <v>35</v>
      </c>
      <c r="M2114" s="16" t="n">
        <f aca="false">K2114-L2114</f>
        <v>62.65</v>
      </c>
      <c r="N2114" s="17" t="n">
        <f aca="false">IFERROR(M2114/K2114,0)</f>
        <v>0.6415770609319</v>
      </c>
    </row>
    <row r="2115" customFormat="false" ht="15" hidden="false" customHeight="false" outlineLevel="0" collapsed="false">
      <c r="A2115" s="15" t="n">
        <v>46110</v>
      </c>
      <c r="B2115" s="14" t="s">
        <v>81</v>
      </c>
      <c r="C2115" s="14" t="s">
        <v>82</v>
      </c>
      <c r="D2115" s="14" t="s">
        <v>83</v>
      </c>
      <c r="E2115" s="14" t="s">
        <v>64</v>
      </c>
      <c r="F2115" s="14" t="s">
        <v>65</v>
      </c>
      <c r="G2115" s="14" t="s">
        <v>66</v>
      </c>
      <c r="H2115" s="0" t="n">
        <v>3</v>
      </c>
      <c r="I2115" s="16" t="n">
        <v>77.54</v>
      </c>
      <c r="J2115" s="16" t="n">
        <v>34</v>
      </c>
      <c r="K2115" s="16" t="n">
        <f aca="false">H2115*I2115</f>
        <v>232.62</v>
      </c>
      <c r="L2115" s="16" t="n">
        <f aca="false">H2115*J2115</f>
        <v>102</v>
      </c>
      <c r="M2115" s="16" t="n">
        <f aca="false">K2115-L2115</f>
        <v>130.62</v>
      </c>
      <c r="N2115" s="17" t="n">
        <f aca="false">IFERROR(M2115/K2115,0)</f>
        <v>0.561516636574671</v>
      </c>
    </row>
    <row r="2116" customFormat="false" ht="15" hidden="false" customHeight="false" outlineLevel="0" collapsed="false">
      <c r="A2116" s="15" t="n">
        <v>46110</v>
      </c>
      <c r="B2116" s="14" t="s">
        <v>88</v>
      </c>
      <c r="C2116" s="14" t="s">
        <v>89</v>
      </c>
      <c r="D2116" s="14" t="s">
        <v>44</v>
      </c>
      <c r="E2116" s="14" t="s">
        <v>53</v>
      </c>
      <c r="F2116" s="14" t="s">
        <v>84</v>
      </c>
      <c r="G2116" s="14" t="s">
        <v>85</v>
      </c>
      <c r="H2116" s="0" t="n">
        <v>9</v>
      </c>
      <c r="I2116" s="16" t="n">
        <v>23.75</v>
      </c>
      <c r="J2116" s="16" t="n">
        <v>9</v>
      </c>
      <c r="K2116" s="16" t="n">
        <f aca="false">H2116*I2116</f>
        <v>213.75</v>
      </c>
      <c r="L2116" s="16" t="n">
        <f aca="false">H2116*J2116</f>
        <v>81</v>
      </c>
      <c r="M2116" s="16" t="n">
        <f aca="false">K2116-L2116</f>
        <v>132.75</v>
      </c>
      <c r="N2116" s="17" t="n">
        <f aca="false">IFERROR(M2116/K2116,0)</f>
        <v>0.621052631578947</v>
      </c>
    </row>
    <row r="2117" customFormat="false" ht="15" hidden="false" customHeight="false" outlineLevel="0" collapsed="false">
      <c r="A2117" s="15" t="n">
        <v>46110</v>
      </c>
      <c r="B2117" s="14" t="s">
        <v>88</v>
      </c>
      <c r="C2117" s="14" t="s">
        <v>89</v>
      </c>
      <c r="D2117" s="14" t="s">
        <v>44</v>
      </c>
      <c r="E2117" s="14" t="s">
        <v>76</v>
      </c>
      <c r="F2117" s="14" t="s">
        <v>100</v>
      </c>
      <c r="G2117" s="14" t="s">
        <v>101</v>
      </c>
      <c r="H2117" s="0" t="n">
        <v>4</v>
      </c>
      <c r="I2117" s="16" t="n">
        <v>15.41</v>
      </c>
      <c r="J2117" s="16" t="n">
        <v>5.5</v>
      </c>
      <c r="K2117" s="16" t="n">
        <f aca="false">H2117*I2117</f>
        <v>61.64</v>
      </c>
      <c r="L2117" s="16" t="n">
        <f aca="false">H2117*J2117</f>
        <v>22</v>
      </c>
      <c r="M2117" s="16" t="n">
        <f aca="false">K2117-L2117</f>
        <v>39.64</v>
      </c>
      <c r="N2117" s="17" t="n">
        <f aca="false">IFERROR(M2117/K2117,0)</f>
        <v>0.643088903309539</v>
      </c>
    </row>
    <row r="2118" customFormat="false" ht="15" hidden="false" customHeight="false" outlineLevel="0" collapsed="false">
      <c r="A2118" s="15" t="n">
        <v>46110</v>
      </c>
      <c r="B2118" s="14" t="s">
        <v>88</v>
      </c>
      <c r="C2118" s="14" t="s">
        <v>89</v>
      </c>
      <c r="D2118" s="14" t="s">
        <v>44</v>
      </c>
      <c r="E2118" s="14" t="s">
        <v>76</v>
      </c>
      <c r="F2118" s="14" t="s">
        <v>79</v>
      </c>
      <c r="G2118" s="14" t="s">
        <v>80</v>
      </c>
      <c r="H2118" s="0" t="n">
        <v>10</v>
      </c>
      <c r="I2118" s="16" t="n">
        <v>29.18</v>
      </c>
      <c r="J2118" s="16" t="n">
        <v>11</v>
      </c>
      <c r="K2118" s="16" t="n">
        <f aca="false">H2118*I2118</f>
        <v>291.8</v>
      </c>
      <c r="L2118" s="16" t="n">
        <f aca="false">H2118*J2118</f>
        <v>110</v>
      </c>
      <c r="M2118" s="16" t="n">
        <f aca="false">K2118-L2118</f>
        <v>181.8</v>
      </c>
      <c r="N2118" s="17" t="n">
        <f aca="false">IFERROR(M2118/K2118,0)</f>
        <v>0.623029472241261</v>
      </c>
    </row>
    <row r="2119" customFormat="false" ht="15" hidden="false" customHeight="false" outlineLevel="0" collapsed="false">
      <c r="A2119" s="15" t="n">
        <v>46110</v>
      </c>
      <c r="B2119" s="14" t="s">
        <v>88</v>
      </c>
      <c r="C2119" s="14" t="s">
        <v>89</v>
      </c>
      <c r="D2119" s="14" t="s">
        <v>44</v>
      </c>
      <c r="E2119" s="14" t="s">
        <v>64</v>
      </c>
      <c r="F2119" s="14" t="s">
        <v>96</v>
      </c>
      <c r="G2119" s="14" t="s">
        <v>97</v>
      </c>
      <c r="H2119" s="0" t="n">
        <v>4</v>
      </c>
      <c r="I2119" s="16" t="n">
        <v>55.95</v>
      </c>
      <c r="J2119" s="16" t="n">
        <v>24</v>
      </c>
      <c r="K2119" s="16" t="n">
        <f aca="false">H2119*I2119</f>
        <v>223.8</v>
      </c>
      <c r="L2119" s="16" t="n">
        <f aca="false">H2119*J2119</f>
        <v>96</v>
      </c>
      <c r="M2119" s="16" t="n">
        <f aca="false">K2119-L2119</f>
        <v>127.8</v>
      </c>
      <c r="N2119" s="17" t="n">
        <f aca="false">IFERROR(M2119/K2119,0)</f>
        <v>0.571045576407507</v>
      </c>
    </row>
    <row r="2120" customFormat="false" ht="15" hidden="false" customHeight="false" outlineLevel="0" collapsed="false">
      <c r="A2120" s="15" t="n">
        <v>46111</v>
      </c>
      <c r="B2120" s="14" t="s">
        <v>42</v>
      </c>
      <c r="C2120" s="14" t="s">
        <v>43</v>
      </c>
      <c r="D2120" s="14" t="s">
        <v>44</v>
      </c>
      <c r="E2120" s="14" t="s">
        <v>45</v>
      </c>
      <c r="F2120" s="14" t="s">
        <v>46</v>
      </c>
      <c r="G2120" s="14" t="s">
        <v>47</v>
      </c>
      <c r="H2120" s="0" t="n">
        <v>6</v>
      </c>
      <c r="I2120" s="16" t="n">
        <v>41.8</v>
      </c>
      <c r="J2120" s="16" t="n">
        <v>18</v>
      </c>
      <c r="K2120" s="16" t="n">
        <f aca="false">H2120*I2120</f>
        <v>250.8</v>
      </c>
      <c r="L2120" s="16" t="n">
        <f aca="false">H2120*J2120</f>
        <v>108</v>
      </c>
      <c r="M2120" s="16" t="n">
        <f aca="false">K2120-L2120</f>
        <v>142.8</v>
      </c>
      <c r="N2120" s="17" t="n">
        <f aca="false">IFERROR(M2120/K2120,0)</f>
        <v>0.569377990430622</v>
      </c>
    </row>
    <row r="2121" customFormat="false" ht="15" hidden="false" customHeight="false" outlineLevel="0" collapsed="false">
      <c r="A2121" s="15" t="n">
        <v>46111</v>
      </c>
      <c r="B2121" s="14" t="s">
        <v>42</v>
      </c>
      <c r="C2121" s="14" t="s">
        <v>43</v>
      </c>
      <c r="D2121" s="14" t="s">
        <v>44</v>
      </c>
      <c r="E2121" s="14" t="s">
        <v>76</v>
      </c>
      <c r="F2121" s="14" t="s">
        <v>79</v>
      </c>
      <c r="G2121" s="14" t="s">
        <v>80</v>
      </c>
      <c r="H2121" s="0" t="n">
        <v>4</v>
      </c>
      <c r="I2121" s="16" t="n">
        <v>28.55</v>
      </c>
      <c r="J2121" s="16" t="n">
        <v>11</v>
      </c>
      <c r="K2121" s="16" t="n">
        <f aca="false">H2121*I2121</f>
        <v>114.2</v>
      </c>
      <c r="L2121" s="16" t="n">
        <f aca="false">H2121*J2121</f>
        <v>44</v>
      </c>
      <c r="M2121" s="16" t="n">
        <f aca="false">K2121-L2121</f>
        <v>70.2</v>
      </c>
      <c r="N2121" s="17" t="n">
        <f aca="false">IFERROR(M2121/K2121,0)</f>
        <v>0.614711033274956</v>
      </c>
    </row>
    <row r="2122" customFormat="false" ht="15" hidden="false" customHeight="false" outlineLevel="0" collapsed="false">
      <c r="A2122" s="15" t="n">
        <v>46111</v>
      </c>
      <c r="B2122" s="14" t="s">
        <v>42</v>
      </c>
      <c r="C2122" s="14" t="s">
        <v>43</v>
      </c>
      <c r="D2122" s="14" t="s">
        <v>44</v>
      </c>
      <c r="E2122" s="14" t="s">
        <v>76</v>
      </c>
      <c r="F2122" s="14" t="s">
        <v>79</v>
      </c>
      <c r="G2122" s="14" t="s">
        <v>80</v>
      </c>
      <c r="H2122" s="0" t="n">
        <v>4</v>
      </c>
      <c r="I2122" s="16" t="n">
        <v>29.2</v>
      </c>
      <c r="J2122" s="16" t="n">
        <v>11</v>
      </c>
      <c r="K2122" s="16" t="n">
        <f aca="false">H2122*I2122</f>
        <v>116.8</v>
      </c>
      <c r="L2122" s="16" t="n">
        <f aca="false">H2122*J2122</f>
        <v>44</v>
      </c>
      <c r="M2122" s="16" t="n">
        <f aca="false">K2122-L2122</f>
        <v>72.8</v>
      </c>
      <c r="N2122" s="17" t="n">
        <f aca="false">IFERROR(M2122/K2122,0)</f>
        <v>0.623287671232877</v>
      </c>
    </row>
    <row r="2123" customFormat="false" ht="15" hidden="false" customHeight="false" outlineLevel="0" collapsed="false">
      <c r="A2123" s="15" t="n">
        <v>46111</v>
      </c>
      <c r="B2123" s="14" t="s">
        <v>42</v>
      </c>
      <c r="C2123" s="14" t="s">
        <v>43</v>
      </c>
      <c r="D2123" s="14" t="s">
        <v>44</v>
      </c>
      <c r="E2123" s="14" t="s">
        <v>64</v>
      </c>
      <c r="F2123" s="14" t="s">
        <v>94</v>
      </c>
      <c r="G2123" s="14" t="s">
        <v>95</v>
      </c>
      <c r="H2123" s="0" t="n">
        <v>2</v>
      </c>
      <c r="I2123" s="16" t="n">
        <v>94.42</v>
      </c>
      <c r="J2123" s="16" t="n">
        <v>42</v>
      </c>
      <c r="K2123" s="16" t="n">
        <f aca="false">H2123*I2123</f>
        <v>188.84</v>
      </c>
      <c r="L2123" s="16" t="n">
        <f aca="false">H2123*J2123</f>
        <v>84</v>
      </c>
      <c r="M2123" s="16" t="n">
        <f aca="false">K2123-L2123</f>
        <v>104.84</v>
      </c>
      <c r="N2123" s="17" t="n">
        <f aca="false">IFERROR(M2123/K2123,0)</f>
        <v>0.555178987502648</v>
      </c>
    </row>
    <row r="2124" customFormat="false" ht="15" hidden="false" customHeight="false" outlineLevel="0" collapsed="false">
      <c r="A2124" s="15" t="n">
        <v>46111</v>
      </c>
      <c r="B2124" s="14" t="s">
        <v>42</v>
      </c>
      <c r="C2124" s="14" t="s">
        <v>43</v>
      </c>
      <c r="D2124" s="14" t="s">
        <v>44</v>
      </c>
      <c r="E2124" s="14" t="s">
        <v>56</v>
      </c>
      <c r="F2124" s="14" t="s">
        <v>57</v>
      </c>
      <c r="G2124" s="14" t="s">
        <v>58</v>
      </c>
      <c r="H2124" s="0" t="n">
        <v>4</v>
      </c>
      <c r="I2124" s="16" t="n">
        <v>25.54</v>
      </c>
      <c r="J2124" s="16" t="n">
        <v>10</v>
      </c>
      <c r="K2124" s="16" t="n">
        <f aca="false">H2124*I2124</f>
        <v>102.16</v>
      </c>
      <c r="L2124" s="16" t="n">
        <f aca="false">H2124*J2124</f>
        <v>40</v>
      </c>
      <c r="M2124" s="16" t="n">
        <f aca="false">K2124-L2124</f>
        <v>62.16</v>
      </c>
      <c r="N2124" s="17" t="n">
        <f aca="false">IFERROR(M2124/K2124,0)</f>
        <v>0.608457321848081</v>
      </c>
    </row>
    <row r="2125" customFormat="false" ht="15" hidden="false" customHeight="false" outlineLevel="0" collapsed="false">
      <c r="A2125" s="15" t="n">
        <v>46111</v>
      </c>
      <c r="B2125" s="14" t="s">
        <v>50</v>
      </c>
      <c r="C2125" s="14" t="s">
        <v>51</v>
      </c>
      <c r="D2125" s="14" t="s">
        <v>52</v>
      </c>
      <c r="E2125" s="14" t="s">
        <v>56</v>
      </c>
      <c r="F2125" s="14" t="s">
        <v>57</v>
      </c>
      <c r="G2125" s="14" t="s">
        <v>58</v>
      </c>
      <c r="H2125" s="0" t="n">
        <v>4</v>
      </c>
      <c r="I2125" s="16" t="n">
        <v>25.08</v>
      </c>
      <c r="J2125" s="16" t="n">
        <v>10</v>
      </c>
      <c r="K2125" s="16" t="n">
        <f aca="false">H2125*I2125</f>
        <v>100.32</v>
      </c>
      <c r="L2125" s="16" t="n">
        <f aca="false">H2125*J2125</f>
        <v>40</v>
      </c>
      <c r="M2125" s="16" t="n">
        <f aca="false">K2125-L2125</f>
        <v>60.32</v>
      </c>
      <c r="N2125" s="17" t="n">
        <f aca="false">IFERROR(M2125/K2125,0)</f>
        <v>0.601275917065391</v>
      </c>
    </row>
    <row r="2126" customFormat="false" ht="15" hidden="false" customHeight="false" outlineLevel="0" collapsed="false">
      <c r="A2126" s="15" t="n">
        <v>46111</v>
      </c>
      <c r="B2126" s="14" t="s">
        <v>50</v>
      </c>
      <c r="C2126" s="14" t="s">
        <v>51</v>
      </c>
      <c r="D2126" s="14" t="s">
        <v>52</v>
      </c>
      <c r="E2126" s="14" t="s">
        <v>45</v>
      </c>
      <c r="F2126" s="14" t="s">
        <v>48</v>
      </c>
      <c r="G2126" s="14" t="s">
        <v>49</v>
      </c>
      <c r="H2126" s="0" t="n">
        <v>4</v>
      </c>
      <c r="I2126" s="16" t="n">
        <v>63.41</v>
      </c>
      <c r="J2126" s="16" t="n">
        <v>27.5</v>
      </c>
      <c r="K2126" s="16" t="n">
        <f aca="false">H2126*I2126</f>
        <v>253.64</v>
      </c>
      <c r="L2126" s="16" t="n">
        <f aca="false">H2126*J2126</f>
        <v>110</v>
      </c>
      <c r="M2126" s="16" t="n">
        <f aca="false">K2126-L2126</f>
        <v>143.64</v>
      </c>
      <c r="N2126" s="17" t="n">
        <f aca="false">IFERROR(M2126/K2126,0)</f>
        <v>0.566314461441413</v>
      </c>
    </row>
    <row r="2127" customFormat="false" ht="15" hidden="false" customHeight="false" outlineLevel="0" collapsed="false">
      <c r="A2127" s="15" t="n">
        <v>46111</v>
      </c>
      <c r="B2127" s="14" t="s">
        <v>50</v>
      </c>
      <c r="C2127" s="14" t="s">
        <v>51</v>
      </c>
      <c r="D2127" s="14" t="s">
        <v>52</v>
      </c>
      <c r="E2127" s="14" t="s">
        <v>56</v>
      </c>
      <c r="F2127" s="14" t="s">
        <v>98</v>
      </c>
      <c r="G2127" s="14" t="s">
        <v>99</v>
      </c>
      <c r="H2127" s="0" t="n">
        <v>5</v>
      </c>
      <c r="I2127" s="16" t="n">
        <v>20.33</v>
      </c>
      <c r="J2127" s="16" t="n">
        <v>8</v>
      </c>
      <c r="K2127" s="16" t="n">
        <f aca="false">H2127*I2127</f>
        <v>101.65</v>
      </c>
      <c r="L2127" s="16" t="n">
        <f aca="false">H2127*J2127</f>
        <v>40</v>
      </c>
      <c r="M2127" s="16" t="n">
        <f aca="false">K2127-L2127</f>
        <v>61.65</v>
      </c>
      <c r="N2127" s="17" t="n">
        <f aca="false">IFERROR(M2127/K2127,0)</f>
        <v>0.606492867683227</v>
      </c>
    </row>
    <row r="2128" customFormat="false" ht="15" hidden="false" customHeight="false" outlineLevel="0" collapsed="false">
      <c r="A2128" s="15" t="n">
        <v>46111</v>
      </c>
      <c r="B2128" s="14" t="s">
        <v>50</v>
      </c>
      <c r="C2128" s="14" t="s">
        <v>51</v>
      </c>
      <c r="D2128" s="14" t="s">
        <v>52</v>
      </c>
      <c r="E2128" s="14" t="s">
        <v>76</v>
      </c>
      <c r="F2128" s="14" t="s">
        <v>100</v>
      </c>
      <c r="G2128" s="14" t="s">
        <v>101</v>
      </c>
      <c r="H2128" s="0" t="n">
        <v>1</v>
      </c>
      <c r="I2128" s="16" t="n">
        <v>15.28</v>
      </c>
      <c r="J2128" s="16" t="n">
        <v>5.5</v>
      </c>
      <c r="K2128" s="16" t="n">
        <f aca="false">H2128*I2128</f>
        <v>15.28</v>
      </c>
      <c r="L2128" s="16" t="n">
        <f aca="false">H2128*J2128</f>
        <v>5.5</v>
      </c>
      <c r="M2128" s="16" t="n">
        <f aca="false">K2128-L2128</f>
        <v>9.78</v>
      </c>
      <c r="N2128" s="17" t="n">
        <f aca="false">IFERROR(M2128/K2128,0)</f>
        <v>0.640052356020942</v>
      </c>
    </row>
    <row r="2129" customFormat="false" ht="15" hidden="false" customHeight="false" outlineLevel="0" collapsed="false">
      <c r="A2129" s="15" t="n">
        <v>46111</v>
      </c>
      <c r="B2129" s="14" t="s">
        <v>50</v>
      </c>
      <c r="C2129" s="14" t="s">
        <v>51</v>
      </c>
      <c r="D2129" s="14" t="s">
        <v>52</v>
      </c>
      <c r="E2129" s="14" t="s">
        <v>76</v>
      </c>
      <c r="F2129" s="14" t="s">
        <v>102</v>
      </c>
      <c r="G2129" s="14" t="s">
        <v>103</v>
      </c>
      <c r="H2129" s="0" t="n">
        <v>9</v>
      </c>
      <c r="I2129" s="16" t="n">
        <v>22.24</v>
      </c>
      <c r="J2129" s="16" t="n">
        <v>8.5</v>
      </c>
      <c r="K2129" s="16" t="n">
        <f aca="false">H2129*I2129</f>
        <v>200.16</v>
      </c>
      <c r="L2129" s="16" t="n">
        <f aca="false">H2129*J2129</f>
        <v>76.5</v>
      </c>
      <c r="M2129" s="16" t="n">
        <f aca="false">K2129-L2129</f>
        <v>123.66</v>
      </c>
      <c r="N2129" s="17" t="n">
        <f aca="false">IFERROR(M2129/K2129,0)</f>
        <v>0.617805755395684</v>
      </c>
    </row>
    <row r="2130" customFormat="false" ht="15" hidden="false" customHeight="false" outlineLevel="0" collapsed="false">
      <c r="A2130" s="15" t="n">
        <v>46111</v>
      </c>
      <c r="B2130" s="14" t="s">
        <v>59</v>
      </c>
      <c r="C2130" s="14" t="s">
        <v>60</v>
      </c>
      <c r="D2130" s="14" t="s">
        <v>61</v>
      </c>
      <c r="E2130" s="14" t="s">
        <v>53</v>
      </c>
      <c r="F2130" s="14" t="s">
        <v>54</v>
      </c>
      <c r="G2130" s="14" t="s">
        <v>55</v>
      </c>
      <c r="H2130" s="0" t="n">
        <v>3</v>
      </c>
      <c r="I2130" s="16" t="n">
        <v>51.7</v>
      </c>
      <c r="J2130" s="16" t="n">
        <v>22</v>
      </c>
      <c r="K2130" s="16" t="n">
        <f aca="false">H2130*I2130</f>
        <v>155.1</v>
      </c>
      <c r="L2130" s="16" t="n">
        <f aca="false">H2130*J2130</f>
        <v>66</v>
      </c>
      <c r="M2130" s="16" t="n">
        <f aca="false">K2130-L2130</f>
        <v>89.1</v>
      </c>
      <c r="N2130" s="17" t="n">
        <f aca="false">IFERROR(M2130/K2130,0)</f>
        <v>0.574468085106383</v>
      </c>
    </row>
    <row r="2131" customFormat="false" ht="15" hidden="false" customHeight="false" outlineLevel="0" collapsed="false">
      <c r="A2131" s="15" t="n">
        <v>46111</v>
      </c>
      <c r="B2131" s="14" t="s">
        <v>59</v>
      </c>
      <c r="C2131" s="14" t="s">
        <v>60</v>
      </c>
      <c r="D2131" s="14" t="s">
        <v>61</v>
      </c>
      <c r="E2131" s="14" t="s">
        <v>45</v>
      </c>
      <c r="F2131" s="14" t="s">
        <v>46</v>
      </c>
      <c r="G2131" s="14" t="s">
        <v>47</v>
      </c>
      <c r="H2131" s="0" t="n">
        <v>4</v>
      </c>
      <c r="I2131" s="16" t="n">
        <v>43.8</v>
      </c>
      <c r="J2131" s="16" t="n">
        <v>18</v>
      </c>
      <c r="K2131" s="16" t="n">
        <f aca="false">H2131*I2131</f>
        <v>175.2</v>
      </c>
      <c r="L2131" s="16" t="n">
        <f aca="false">H2131*J2131</f>
        <v>72</v>
      </c>
      <c r="M2131" s="16" t="n">
        <f aca="false">K2131-L2131</f>
        <v>103.2</v>
      </c>
      <c r="N2131" s="17" t="n">
        <f aca="false">IFERROR(M2131/K2131,0)</f>
        <v>0.589041095890411</v>
      </c>
    </row>
    <row r="2132" customFormat="false" ht="15" hidden="false" customHeight="false" outlineLevel="0" collapsed="false">
      <c r="A2132" s="15" t="n">
        <v>46111</v>
      </c>
      <c r="B2132" s="14" t="s">
        <v>59</v>
      </c>
      <c r="C2132" s="14" t="s">
        <v>60</v>
      </c>
      <c r="D2132" s="14" t="s">
        <v>61</v>
      </c>
      <c r="E2132" s="14" t="s">
        <v>64</v>
      </c>
      <c r="F2132" s="14" t="s">
        <v>96</v>
      </c>
      <c r="G2132" s="14" t="s">
        <v>97</v>
      </c>
      <c r="H2132" s="0" t="n">
        <v>6</v>
      </c>
      <c r="I2132" s="16" t="n">
        <v>57.61</v>
      </c>
      <c r="J2132" s="16" t="n">
        <v>24</v>
      </c>
      <c r="K2132" s="16" t="n">
        <f aca="false">H2132*I2132</f>
        <v>345.66</v>
      </c>
      <c r="L2132" s="16" t="n">
        <f aca="false">H2132*J2132</f>
        <v>144</v>
      </c>
      <c r="M2132" s="16" t="n">
        <f aca="false">K2132-L2132</f>
        <v>201.66</v>
      </c>
      <c r="N2132" s="17" t="n">
        <f aca="false">IFERROR(M2132/K2132,0)</f>
        <v>0.583405658739802</v>
      </c>
    </row>
    <row r="2133" customFormat="false" ht="15" hidden="false" customHeight="false" outlineLevel="0" collapsed="false">
      <c r="A2133" s="15" t="n">
        <v>46111</v>
      </c>
      <c r="B2133" s="14" t="s">
        <v>59</v>
      </c>
      <c r="C2133" s="14" t="s">
        <v>60</v>
      </c>
      <c r="D2133" s="14" t="s">
        <v>61</v>
      </c>
      <c r="E2133" s="14" t="s">
        <v>45</v>
      </c>
      <c r="F2133" s="14" t="s">
        <v>62</v>
      </c>
      <c r="G2133" s="14" t="s">
        <v>63</v>
      </c>
      <c r="H2133" s="0" t="n">
        <v>4</v>
      </c>
      <c r="I2133" s="16" t="n">
        <v>17.99</v>
      </c>
      <c r="J2133" s="16" t="n">
        <v>6.5</v>
      </c>
      <c r="K2133" s="16" t="n">
        <f aca="false">H2133*I2133</f>
        <v>71.96</v>
      </c>
      <c r="L2133" s="16" t="n">
        <f aca="false">H2133*J2133</f>
        <v>26</v>
      </c>
      <c r="M2133" s="16" t="n">
        <f aca="false">K2133-L2133</f>
        <v>45.96</v>
      </c>
      <c r="N2133" s="17" t="n">
        <f aca="false">IFERROR(M2133/K2133,0)</f>
        <v>0.638688160088938</v>
      </c>
    </row>
    <row r="2134" customFormat="false" ht="15" hidden="false" customHeight="false" outlineLevel="0" collapsed="false">
      <c r="A2134" s="15" t="n">
        <v>46111</v>
      </c>
      <c r="B2134" s="14" t="s">
        <v>59</v>
      </c>
      <c r="C2134" s="14" t="s">
        <v>60</v>
      </c>
      <c r="D2134" s="14" t="s">
        <v>61</v>
      </c>
      <c r="E2134" s="14" t="s">
        <v>56</v>
      </c>
      <c r="F2134" s="14" t="s">
        <v>86</v>
      </c>
      <c r="G2134" s="14" t="s">
        <v>87</v>
      </c>
      <c r="H2134" s="0" t="n">
        <v>4</v>
      </c>
      <c r="I2134" s="16" t="n">
        <v>13.94</v>
      </c>
      <c r="J2134" s="16" t="n">
        <v>5</v>
      </c>
      <c r="K2134" s="16" t="n">
        <f aca="false">H2134*I2134</f>
        <v>55.76</v>
      </c>
      <c r="L2134" s="16" t="n">
        <f aca="false">H2134*J2134</f>
        <v>20</v>
      </c>
      <c r="M2134" s="16" t="n">
        <f aca="false">K2134-L2134</f>
        <v>35.76</v>
      </c>
      <c r="N2134" s="17" t="n">
        <f aca="false">IFERROR(M2134/K2134,0)</f>
        <v>0.641319942611191</v>
      </c>
    </row>
    <row r="2135" customFormat="false" ht="15" hidden="false" customHeight="false" outlineLevel="0" collapsed="false">
      <c r="A2135" s="15" t="n">
        <v>46111</v>
      </c>
      <c r="B2135" s="14" t="s">
        <v>69</v>
      </c>
      <c r="C2135" s="14" t="s">
        <v>70</v>
      </c>
      <c r="D2135" s="14" t="s">
        <v>71</v>
      </c>
      <c r="E2135" s="14" t="s">
        <v>45</v>
      </c>
      <c r="F2135" s="14" t="s">
        <v>46</v>
      </c>
      <c r="G2135" s="14" t="s">
        <v>47</v>
      </c>
      <c r="H2135" s="0" t="n">
        <v>4</v>
      </c>
      <c r="I2135" s="16" t="n">
        <v>44.74</v>
      </c>
      <c r="J2135" s="16" t="n">
        <v>18</v>
      </c>
      <c r="K2135" s="16" t="n">
        <f aca="false">H2135*I2135</f>
        <v>178.96</v>
      </c>
      <c r="L2135" s="16" t="n">
        <f aca="false">H2135*J2135</f>
        <v>72</v>
      </c>
      <c r="M2135" s="16" t="n">
        <f aca="false">K2135-L2135</f>
        <v>106.96</v>
      </c>
      <c r="N2135" s="17" t="n">
        <f aca="false">IFERROR(M2135/K2135,0)</f>
        <v>0.59767545820295</v>
      </c>
    </row>
    <row r="2136" customFormat="false" ht="15" hidden="false" customHeight="false" outlineLevel="0" collapsed="false">
      <c r="A2136" s="15" t="n">
        <v>46111</v>
      </c>
      <c r="B2136" s="14" t="s">
        <v>69</v>
      </c>
      <c r="C2136" s="14" t="s">
        <v>70</v>
      </c>
      <c r="D2136" s="14" t="s">
        <v>71</v>
      </c>
      <c r="E2136" s="14" t="s">
        <v>64</v>
      </c>
      <c r="F2136" s="14" t="s">
        <v>65</v>
      </c>
      <c r="G2136" s="14" t="s">
        <v>66</v>
      </c>
      <c r="H2136" s="0" t="n">
        <v>3</v>
      </c>
      <c r="I2136" s="16" t="n">
        <v>73.25</v>
      </c>
      <c r="J2136" s="16" t="n">
        <v>34</v>
      </c>
      <c r="K2136" s="16" t="n">
        <f aca="false">H2136*I2136</f>
        <v>219.75</v>
      </c>
      <c r="L2136" s="16" t="n">
        <f aca="false">H2136*J2136</f>
        <v>102</v>
      </c>
      <c r="M2136" s="16" t="n">
        <f aca="false">K2136-L2136</f>
        <v>117.75</v>
      </c>
      <c r="N2136" s="17" t="n">
        <f aca="false">IFERROR(M2136/K2136,0)</f>
        <v>0.535836177474403</v>
      </c>
    </row>
    <row r="2137" customFormat="false" ht="15" hidden="false" customHeight="false" outlineLevel="0" collapsed="false">
      <c r="A2137" s="15" t="n">
        <v>46111</v>
      </c>
      <c r="B2137" s="14" t="s">
        <v>69</v>
      </c>
      <c r="C2137" s="14" t="s">
        <v>70</v>
      </c>
      <c r="D2137" s="14" t="s">
        <v>71</v>
      </c>
      <c r="E2137" s="14" t="s">
        <v>45</v>
      </c>
      <c r="F2137" s="14" t="s">
        <v>72</v>
      </c>
      <c r="G2137" s="14" t="s">
        <v>73</v>
      </c>
      <c r="H2137" s="0" t="n">
        <v>7</v>
      </c>
      <c r="I2137" s="16" t="n">
        <v>50.02</v>
      </c>
      <c r="J2137" s="16" t="n">
        <v>21</v>
      </c>
      <c r="K2137" s="16" t="n">
        <f aca="false">H2137*I2137</f>
        <v>350.14</v>
      </c>
      <c r="L2137" s="16" t="n">
        <f aca="false">H2137*J2137</f>
        <v>147</v>
      </c>
      <c r="M2137" s="16" t="n">
        <f aca="false">K2137-L2137</f>
        <v>203.14</v>
      </c>
      <c r="N2137" s="17" t="n">
        <f aca="false">IFERROR(M2137/K2137,0)</f>
        <v>0.580167932826869</v>
      </c>
    </row>
    <row r="2138" customFormat="false" ht="15" hidden="false" customHeight="false" outlineLevel="0" collapsed="false">
      <c r="A2138" s="15" t="n">
        <v>46111</v>
      </c>
      <c r="B2138" s="14" t="s">
        <v>69</v>
      </c>
      <c r="C2138" s="14" t="s">
        <v>70</v>
      </c>
      <c r="D2138" s="14" t="s">
        <v>71</v>
      </c>
      <c r="E2138" s="14" t="s">
        <v>53</v>
      </c>
      <c r="F2138" s="14" t="s">
        <v>54</v>
      </c>
      <c r="G2138" s="14" t="s">
        <v>55</v>
      </c>
      <c r="H2138" s="0" t="n">
        <v>5</v>
      </c>
      <c r="I2138" s="16" t="n">
        <v>52.47</v>
      </c>
      <c r="J2138" s="16" t="n">
        <v>22</v>
      </c>
      <c r="K2138" s="16" t="n">
        <f aca="false">H2138*I2138</f>
        <v>262.35</v>
      </c>
      <c r="L2138" s="16" t="n">
        <f aca="false">H2138*J2138</f>
        <v>110</v>
      </c>
      <c r="M2138" s="16" t="n">
        <f aca="false">K2138-L2138</f>
        <v>152.35</v>
      </c>
      <c r="N2138" s="17" t="n">
        <f aca="false">IFERROR(M2138/K2138,0)</f>
        <v>0.580712788259958</v>
      </c>
    </row>
    <row r="2139" customFormat="false" ht="15" hidden="false" customHeight="false" outlineLevel="0" collapsed="false">
      <c r="A2139" s="15" t="n">
        <v>46111</v>
      </c>
      <c r="B2139" s="14" t="s">
        <v>69</v>
      </c>
      <c r="C2139" s="14" t="s">
        <v>70</v>
      </c>
      <c r="D2139" s="14" t="s">
        <v>71</v>
      </c>
      <c r="E2139" s="14" t="s">
        <v>45</v>
      </c>
      <c r="F2139" s="14" t="s">
        <v>72</v>
      </c>
      <c r="G2139" s="14" t="s">
        <v>73</v>
      </c>
      <c r="H2139" s="0" t="n">
        <v>1</v>
      </c>
      <c r="I2139" s="16" t="n">
        <v>49.11</v>
      </c>
      <c r="J2139" s="16" t="n">
        <v>21</v>
      </c>
      <c r="K2139" s="16" t="n">
        <f aca="false">H2139*I2139</f>
        <v>49.11</v>
      </c>
      <c r="L2139" s="16" t="n">
        <f aca="false">H2139*J2139</f>
        <v>21</v>
      </c>
      <c r="M2139" s="16" t="n">
        <f aca="false">K2139-L2139</f>
        <v>28.11</v>
      </c>
      <c r="N2139" s="17" t="n">
        <f aca="false">IFERROR(M2139/K2139,0)</f>
        <v>0.572388515577276</v>
      </c>
    </row>
    <row r="2140" customFormat="false" ht="15" hidden="false" customHeight="false" outlineLevel="0" collapsed="false">
      <c r="A2140" s="15" t="n">
        <v>46111</v>
      </c>
      <c r="B2140" s="14" t="s">
        <v>81</v>
      </c>
      <c r="C2140" s="14" t="s">
        <v>82</v>
      </c>
      <c r="D2140" s="14" t="s">
        <v>83</v>
      </c>
      <c r="E2140" s="14" t="s">
        <v>76</v>
      </c>
      <c r="F2140" s="14" t="s">
        <v>102</v>
      </c>
      <c r="G2140" s="14" t="s">
        <v>103</v>
      </c>
      <c r="H2140" s="0" t="n">
        <v>4</v>
      </c>
      <c r="I2140" s="16" t="n">
        <v>23.45</v>
      </c>
      <c r="J2140" s="16" t="n">
        <v>8.5</v>
      </c>
      <c r="K2140" s="16" t="n">
        <f aca="false">H2140*I2140</f>
        <v>93.8</v>
      </c>
      <c r="L2140" s="16" t="n">
        <f aca="false">H2140*J2140</f>
        <v>34</v>
      </c>
      <c r="M2140" s="16" t="n">
        <f aca="false">K2140-L2140</f>
        <v>59.8</v>
      </c>
      <c r="N2140" s="17" t="n">
        <f aca="false">IFERROR(M2140/K2140,0)</f>
        <v>0.637526652452026</v>
      </c>
    </row>
    <row r="2141" customFormat="false" ht="15" hidden="false" customHeight="false" outlineLevel="0" collapsed="false">
      <c r="A2141" s="15" t="n">
        <v>46111</v>
      </c>
      <c r="B2141" s="14" t="s">
        <v>81</v>
      </c>
      <c r="C2141" s="14" t="s">
        <v>82</v>
      </c>
      <c r="D2141" s="14" t="s">
        <v>83</v>
      </c>
      <c r="E2141" s="14" t="s">
        <v>53</v>
      </c>
      <c r="F2141" s="14" t="s">
        <v>92</v>
      </c>
      <c r="G2141" s="14" t="s">
        <v>93</v>
      </c>
      <c r="H2141" s="0" t="n">
        <v>1</v>
      </c>
      <c r="I2141" s="16" t="n">
        <v>112.14</v>
      </c>
      <c r="J2141" s="16" t="n">
        <v>52</v>
      </c>
      <c r="K2141" s="16" t="n">
        <f aca="false">H2141*I2141</f>
        <v>112.14</v>
      </c>
      <c r="L2141" s="16" t="n">
        <f aca="false">H2141*J2141</f>
        <v>52</v>
      </c>
      <c r="M2141" s="16" t="n">
        <f aca="false">K2141-L2141</f>
        <v>60.14</v>
      </c>
      <c r="N2141" s="17" t="n">
        <f aca="false">IFERROR(M2141/K2141,0)</f>
        <v>0.53629391831639</v>
      </c>
    </row>
    <row r="2142" customFormat="false" ht="15" hidden="false" customHeight="false" outlineLevel="0" collapsed="false">
      <c r="A2142" s="15" t="n">
        <v>46111</v>
      </c>
      <c r="B2142" s="14" t="s">
        <v>81</v>
      </c>
      <c r="C2142" s="14" t="s">
        <v>82</v>
      </c>
      <c r="D2142" s="14" t="s">
        <v>83</v>
      </c>
      <c r="E2142" s="14" t="s">
        <v>45</v>
      </c>
      <c r="F2142" s="14" t="s">
        <v>48</v>
      </c>
      <c r="G2142" s="14" t="s">
        <v>49</v>
      </c>
      <c r="H2142" s="0" t="n">
        <v>5</v>
      </c>
      <c r="I2142" s="16" t="n">
        <v>63.71</v>
      </c>
      <c r="J2142" s="16" t="n">
        <v>27.5</v>
      </c>
      <c r="K2142" s="16" t="n">
        <f aca="false">H2142*I2142</f>
        <v>318.55</v>
      </c>
      <c r="L2142" s="16" t="n">
        <f aca="false">H2142*J2142</f>
        <v>137.5</v>
      </c>
      <c r="M2142" s="16" t="n">
        <f aca="false">K2142-L2142</f>
        <v>181.05</v>
      </c>
      <c r="N2142" s="17" t="n">
        <f aca="false">IFERROR(M2142/K2142,0)</f>
        <v>0.568356615915869</v>
      </c>
    </row>
    <row r="2143" customFormat="false" ht="15" hidden="false" customHeight="false" outlineLevel="0" collapsed="false">
      <c r="A2143" s="15" t="n">
        <v>46111</v>
      </c>
      <c r="B2143" s="14" t="s">
        <v>81</v>
      </c>
      <c r="C2143" s="14" t="s">
        <v>82</v>
      </c>
      <c r="D2143" s="14" t="s">
        <v>83</v>
      </c>
      <c r="E2143" s="14" t="s">
        <v>64</v>
      </c>
      <c r="F2143" s="14" t="s">
        <v>94</v>
      </c>
      <c r="G2143" s="14" t="s">
        <v>95</v>
      </c>
      <c r="H2143" s="0" t="n">
        <v>1</v>
      </c>
      <c r="I2143" s="16" t="n">
        <v>94.49</v>
      </c>
      <c r="J2143" s="16" t="n">
        <v>42</v>
      </c>
      <c r="K2143" s="16" t="n">
        <f aca="false">H2143*I2143</f>
        <v>94.49</v>
      </c>
      <c r="L2143" s="16" t="n">
        <f aca="false">H2143*J2143</f>
        <v>42</v>
      </c>
      <c r="M2143" s="16" t="n">
        <f aca="false">K2143-L2143</f>
        <v>52.49</v>
      </c>
      <c r="N2143" s="17" t="n">
        <f aca="false">IFERROR(M2143/K2143,0)</f>
        <v>0.555508519420044</v>
      </c>
    </row>
    <row r="2144" customFormat="false" ht="15" hidden="false" customHeight="false" outlineLevel="0" collapsed="false">
      <c r="A2144" s="15" t="n">
        <v>46111</v>
      </c>
      <c r="B2144" s="14" t="s">
        <v>88</v>
      </c>
      <c r="C2144" s="14" t="s">
        <v>89</v>
      </c>
      <c r="D2144" s="14" t="s">
        <v>44</v>
      </c>
      <c r="E2144" s="14" t="s">
        <v>64</v>
      </c>
      <c r="F2144" s="14" t="s">
        <v>94</v>
      </c>
      <c r="G2144" s="14" t="s">
        <v>95</v>
      </c>
      <c r="H2144" s="0" t="n">
        <v>6</v>
      </c>
      <c r="I2144" s="16" t="n">
        <v>93.49</v>
      </c>
      <c r="J2144" s="16" t="n">
        <v>42</v>
      </c>
      <c r="K2144" s="16" t="n">
        <f aca="false">H2144*I2144</f>
        <v>560.94</v>
      </c>
      <c r="L2144" s="16" t="n">
        <f aca="false">H2144*J2144</f>
        <v>252</v>
      </c>
      <c r="M2144" s="16" t="n">
        <f aca="false">K2144-L2144</f>
        <v>308.94</v>
      </c>
      <c r="N2144" s="17" t="n">
        <f aca="false">IFERROR(M2144/K2144,0)</f>
        <v>0.550754091346668</v>
      </c>
    </row>
    <row r="2145" customFormat="false" ht="15" hidden="false" customHeight="false" outlineLevel="0" collapsed="false">
      <c r="A2145" s="15" t="n">
        <v>46111</v>
      </c>
      <c r="B2145" s="14" t="s">
        <v>88</v>
      </c>
      <c r="C2145" s="14" t="s">
        <v>89</v>
      </c>
      <c r="D2145" s="14" t="s">
        <v>44</v>
      </c>
      <c r="E2145" s="14" t="s">
        <v>45</v>
      </c>
      <c r="F2145" s="14" t="s">
        <v>48</v>
      </c>
      <c r="G2145" s="14" t="s">
        <v>49</v>
      </c>
      <c r="H2145" s="0" t="n">
        <v>3</v>
      </c>
      <c r="I2145" s="16" t="n">
        <v>64.36</v>
      </c>
      <c r="J2145" s="16" t="n">
        <v>27.5</v>
      </c>
      <c r="K2145" s="16" t="n">
        <f aca="false">H2145*I2145</f>
        <v>193.08</v>
      </c>
      <c r="L2145" s="16" t="n">
        <f aca="false">H2145*J2145</f>
        <v>82.5</v>
      </c>
      <c r="M2145" s="16" t="n">
        <f aca="false">K2145-L2145</f>
        <v>110.58</v>
      </c>
      <c r="N2145" s="17" t="n">
        <f aca="false">IFERROR(M2145/K2145,0)</f>
        <v>0.572715972653822</v>
      </c>
    </row>
    <row r="2146" customFormat="false" ht="15" hidden="false" customHeight="false" outlineLevel="0" collapsed="false">
      <c r="A2146" s="15" t="n">
        <v>46111</v>
      </c>
      <c r="B2146" s="14" t="s">
        <v>88</v>
      </c>
      <c r="C2146" s="14" t="s">
        <v>89</v>
      </c>
      <c r="D2146" s="14" t="s">
        <v>44</v>
      </c>
      <c r="E2146" s="14" t="s">
        <v>76</v>
      </c>
      <c r="F2146" s="14" t="s">
        <v>102</v>
      </c>
      <c r="G2146" s="14" t="s">
        <v>103</v>
      </c>
      <c r="H2146" s="0" t="n">
        <v>4</v>
      </c>
      <c r="I2146" s="16" t="n">
        <v>23.33</v>
      </c>
      <c r="J2146" s="16" t="n">
        <v>8.5</v>
      </c>
      <c r="K2146" s="16" t="n">
        <f aca="false">H2146*I2146</f>
        <v>93.32</v>
      </c>
      <c r="L2146" s="16" t="n">
        <f aca="false">H2146*J2146</f>
        <v>34</v>
      </c>
      <c r="M2146" s="16" t="n">
        <f aca="false">K2146-L2146</f>
        <v>59.32</v>
      </c>
      <c r="N2146" s="17" t="n">
        <f aca="false">IFERROR(M2146/K2146,0)</f>
        <v>0.635662237462495</v>
      </c>
    </row>
    <row r="2147" customFormat="false" ht="15" hidden="false" customHeight="false" outlineLevel="0" collapsed="false">
      <c r="A2147" s="15" t="n">
        <v>46111</v>
      </c>
      <c r="B2147" s="14" t="s">
        <v>88</v>
      </c>
      <c r="C2147" s="14" t="s">
        <v>89</v>
      </c>
      <c r="D2147" s="14" t="s">
        <v>44</v>
      </c>
      <c r="E2147" s="14" t="s">
        <v>53</v>
      </c>
      <c r="F2147" s="14" t="s">
        <v>84</v>
      </c>
      <c r="G2147" s="14" t="s">
        <v>85</v>
      </c>
      <c r="H2147" s="0" t="n">
        <v>2</v>
      </c>
      <c r="I2147" s="16" t="n">
        <v>24.77</v>
      </c>
      <c r="J2147" s="16" t="n">
        <v>9</v>
      </c>
      <c r="K2147" s="16" t="n">
        <f aca="false">H2147*I2147</f>
        <v>49.54</v>
      </c>
      <c r="L2147" s="16" t="n">
        <f aca="false">H2147*J2147</f>
        <v>18</v>
      </c>
      <c r="M2147" s="16" t="n">
        <f aca="false">K2147-L2147</f>
        <v>31.54</v>
      </c>
      <c r="N2147" s="17" t="n">
        <f aca="false">IFERROR(M2147/K2147,0)</f>
        <v>0.636657246669358</v>
      </c>
    </row>
    <row r="2148" customFormat="false" ht="15" hidden="false" customHeight="false" outlineLevel="0" collapsed="false">
      <c r="A2148" s="15" t="n">
        <v>46112</v>
      </c>
      <c r="B2148" s="14" t="s">
        <v>42</v>
      </c>
      <c r="C2148" s="14" t="s">
        <v>43</v>
      </c>
      <c r="D2148" s="14" t="s">
        <v>44</v>
      </c>
      <c r="E2148" s="14" t="s">
        <v>56</v>
      </c>
      <c r="F2148" s="14" t="s">
        <v>98</v>
      </c>
      <c r="G2148" s="14" t="s">
        <v>99</v>
      </c>
      <c r="H2148" s="0" t="n">
        <v>1</v>
      </c>
      <c r="I2148" s="16" t="n">
        <v>21.27</v>
      </c>
      <c r="J2148" s="16" t="n">
        <v>8</v>
      </c>
      <c r="K2148" s="16" t="n">
        <f aca="false">H2148*I2148</f>
        <v>21.27</v>
      </c>
      <c r="L2148" s="16" t="n">
        <f aca="false">H2148*J2148</f>
        <v>8</v>
      </c>
      <c r="M2148" s="16" t="n">
        <f aca="false">K2148-L2148</f>
        <v>13.27</v>
      </c>
      <c r="N2148" s="17" t="n">
        <f aca="false">IFERROR(M2148/K2148,0)</f>
        <v>0.623883403855195</v>
      </c>
    </row>
    <row r="2149" customFormat="false" ht="15" hidden="false" customHeight="false" outlineLevel="0" collapsed="false">
      <c r="A2149" s="15" t="n">
        <v>46112</v>
      </c>
      <c r="B2149" s="14" t="s">
        <v>42</v>
      </c>
      <c r="C2149" s="14" t="s">
        <v>43</v>
      </c>
      <c r="D2149" s="14" t="s">
        <v>44</v>
      </c>
      <c r="E2149" s="14" t="s">
        <v>53</v>
      </c>
      <c r="F2149" s="14" t="s">
        <v>54</v>
      </c>
      <c r="G2149" s="14" t="s">
        <v>55</v>
      </c>
      <c r="H2149" s="0" t="n">
        <v>10</v>
      </c>
      <c r="I2149" s="16" t="n">
        <v>54.67</v>
      </c>
      <c r="J2149" s="16" t="n">
        <v>22</v>
      </c>
      <c r="K2149" s="16" t="n">
        <f aca="false">H2149*I2149</f>
        <v>546.7</v>
      </c>
      <c r="L2149" s="16" t="n">
        <f aca="false">H2149*J2149</f>
        <v>220</v>
      </c>
      <c r="M2149" s="16" t="n">
        <f aca="false">K2149-L2149</f>
        <v>326.7</v>
      </c>
      <c r="N2149" s="17" t="n">
        <f aca="false">IFERROR(M2149/K2149,0)</f>
        <v>0.597585513078471</v>
      </c>
    </row>
    <row r="2150" customFormat="false" ht="15" hidden="false" customHeight="false" outlineLevel="0" collapsed="false">
      <c r="A2150" s="15" t="n">
        <v>46112</v>
      </c>
      <c r="B2150" s="14" t="s">
        <v>42</v>
      </c>
      <c r="C2150" s="14" t="s">
        <v>43</v>
      </c>
      <c r="D2150" s="14" t="s">
        <v>44</v>
      </c>
      <c r="E2150" s="14" t="s">
        <v>45</v>
      </c>
      <c r="F2150" s="14" t="s">
        <v>46</v>
      </c>
      <c r="G2150" s="14" t="s">
        <v>47</v>
      </c>
      <c r="H2150" s="0" t="n">
        <v>7</v>
      </c>
      <c r="I2150" s="16" t="n">
        <v>44.01</v>
      </c>
      <c r="J2150" s="16" t="n">
        <v>18</v>
      </c>
      <c r="K2150" s="16" t="n">
        <f aca="false">H2150*I2150</f>
        <v>308.07</v>
      </c>
      <c r="L2150" s="16" t="n">
        <f aca="false">H2150*J2150</f>
        <v>126</v>
      </c>
      <c r="M2150" s="16" t="n">
        <f aca="false">K2150-L2150</f>
        <v>182.07</v>
      </c>
      <c r="N2150" s="17" t="n">
        <f aca="false">IFERROR(M2150/K2150,0)</f>
        <v>0.591002044989775</v>
      </c>
    </row>
    <row r="2151" customFormat="false" ht="15" hidden="false" customHeight="false" outlineLevel="0" collapsed="false">
      <c r="A2151" s="15" t="n">
        <v>46112</v>
      </c>
      <c r="B2151" s="14" t="s">
        <v>50</v>
      </c>
      <c r="C2151" s="14" t="s">
        <v>51</v>
      </c>
      <c r="D2151" s="14" t="s">
        <v>52</v>
      </c>
      <c r="E2151" s="14" t="s">
        <v>56</v>
      </c>
      <c r="F2151" s="14" t="s">
        <v>86</v>
      </c>
      <c r="G2151" s="14" t="s">
        <v>87</v>
      </c>
      <c r="H2151" s="0" t="n">
        <v>1</v>
      </c>
      <c r="I2151" s="16" t="n">
        <v>13.95</v>
      </c>
      <c r="J2151" s="16" t="n">
        <v>5</v>
      </c>
      <c r="K2151" s="16" t="n">
        <f aca="false">H2151*I2151</f>
        <v>13.95</v>
      </c>
      <c r="L2151" s="16" t="n">
        <f aca="false">H2151*J2151</f>
        <v>5</v>
      </c>
      <c r="M2151" s="16" t="n">
        <f aca="false">K2151-L2151</f>
        <v>8.95</v>
      </c>
      <c r="N2151" s="17" t="n">
        <f aca="false">IFERROR(M2151/K2151,0)</f>
        <v>0.6415770609319</v>
      </c>
    </row>
    <row r="2152" customFormat="false" ht="15" hidden="false" customHeight="false" outlineLevel="0" collapsed="false">
      <c r="A2152" s="15" t="n">
        <v>46112</v>
      </c>
      <c r="B2152" s="14" t="s">
        <v>50</v>
      </c>
      <c r="C2152" s="14" t="s">
        <v>51</v>
      </c>
      <c r="D2152" s="14" t="s">
        <v>52</v>
      </c>
      <c r="E2152" s="14" t="s">
        <v>64</v>
      </c>
      <c r="F2152" s="14" t="s">
        <v>94</v>
      </c>
      <c r="G2152" s="14" t="s">
        <v>95</v>
      </c>
      <c r="H2152" s="0" t="n">
        <v>6</v>
      </c>
      <c r="I2152" s="16" t="n">
        <v>98.17</v>
      </c>
      <c r="J2152" s="16" t="n">
        <v>42</v>
      </c>
      <c r="K2152" s="16" t="n">
        <f aca="false">H2152*I2152</f>
        <v>589.02</v>
      </c>
      <c r="L2152" s="16" t="n">
        <f aca="false">H2152*J2152</f>
        <v>252</v>
      </c>
      <c r="M2152" s="16" t="n">
        <f aca="false">K2152-L2152</f>
        <v>337.02</v>
      </c>
      <c r="N2152" s="17" t="n">
        <f aca="false">IFERROR(M2152/K2152,0)</f>
        <v>0.572170724253845</v>
      </c>
    </row>
    <row r="2153" customFormat="false" ht="15" hidden="false" customHeight="false" outlineLevel="0" collapsed="false">
      <c r="A2153" s="15" t="n">
        <v>46112</v>
      </c>
      <c r="B2153" s="14" t="s">
        <v>50</v>
      </c>
      <c r="C2153" s="14" t="s">
        <v>51</v>
      </c>
      <c r="D2153" s="14" t="s">
        <v>52</v>
      </c>
      <c r="E2153" s="14" t="s">
        <v>64</v>
      </c>
      <c r="F2153" s="14" t="s">
        <v>65</v>
      </c>
      <c r="G2153" s="14" t="s">
        <v>66</v>
      </c>
      <c r="H2153" s="0" t="n">
        <v>7</v>
      </c>
      <c r="I2153" s="16" t="n">
        <v>73.11</v>
      </c>
      <c r="J2153" s="16" t="n">
        <v>34</v>
      </c>
      <c r="K2153" s="16" t="n">
        <f aca="false">H2153*I2153</f>
        <v>511.77</v>
      </c>
      <c r="L2153" s="16" t="n">
        <f aca="false">H2153*J2153</f>
        <v>238</v>
      </c>
      <c r="M2153" s="16" t="n">
        <f aca="false">K2153-L2153</f>
        <v>273.77</v>
      </c>
      <c r="N2153" s="17" t="n">
        <f aca="false">IFERROR(M2153/K2153,0)</f>
        <v>0.534947339625222</v>
      </c>
    </row>
    <row r="2154" customFormat="false" ht="15" hidden="false" customHeight="false" outlineLevel="0" collapsed="false">
      <c r="A2154" s="15" t="n">
        <v>46112</v>
      </c>
      <c r="B2154" s="14" t="s">
        <v>59</v>
      </c>
      <c r="C2154" s="14" t="s">
        <v>60</v>
      </c>
      <c r="D2154" s="14" t="s">
        <v>61</v>
      </c>
      <c r="E2154" s="14" t="s">
        <v>56</v>
      </c>
      <c r="F2154" s="14" t="s">
        <v>98</v>
      </c>
      <c r="G2154" s="14" t="s">
        <v>99</v>
      </c>
      <c r="H2154" s="0" t="n">
        <v>3</v>
      </c>
      <c r="I2154" s="16" t="n">
        <v>21.29</v>
      </c>
      <c r="J2154" s="16" t="n">
        <v>8</v>
      </c>
      <c r="K2154" s="16" t="n">
        <f aca="false">H2154*I2154</f>
        <v>63.87</v>
      </c>
      <c r="L2154" s="16" t="n">
        <f aca="false">H2154*J2154</f>
        <v>24</v>
      </c>
      <c r="M2154" s="16" t="n">
        <f aca="false">K2154-L2154</f>
        <v>39.87</v>
      </c>
      <c r="N2154" s="17" t="n">
        <f aca="false">IFERROR(M2154/K2154,0)</f>
        <v>0.624236730859558</v>
      </c>
    </row>
    <row r="2155" customFormat="false" ht="15" hidden="false" customHeight="false" outlineLevel="0" collapsed="false">
      <c r="A2155" s="15" t="n">
        <v>46112</v>
      </c>
      <c r="B2155" s="14" t="s">
        <v>59</v>
      </c>
      <c r="C2155" s="14" t="s">
        <v>60</v>
      </c>
      <c r="D2155" s="14" t="s">
        <v>61</v>
      </c>
      <c r="E2155" s="14" t="s">
        <v>53</v>
      </c>
      <c r="F2155" s="14" t="s">
        <v>92</v>
      </c>
      <c r="G2155" s="14" t="s">
        <v>93</v>
      </c>
      <c r="H2155" s="0" t="n">
        <v>1</v>
      </c>
      <c r="I2155" s="16" t="n">
        <v>119.58</v>
      </c>
      <c r="J2155" s="16" t="n">
        <v>52</v>
      </c>
      <c r="K2155" s="16" t="n">
        <f aca="false">H2155*I2155</f>
        <v>119.58</v>
      </c>
      <c r="L2155" s="16" t="n">
        <f aca="false">H2155*J2155</f>
        <v>52</v>
      </c>
      <c r="M2155" s="16" t="n">
        <f aca="false">K2155-L2155</f>
        <v>67.58</v>
      </c>
      <c r="N2155" s="17" t="n">
        <f aca="false">IFERROR(M2155/K2155,0)</f>
        <v>0.565144673022245</v>
      </c>
    </row>
    <row r="2156" customFormat="false" ht="15" hidden="false" customHeight="false" outlineLevel="0" collapsed="false">
      <c r="A2156" s="15" t="n">
        <v>46112</v>
      </c>
      <c r="B2156" s="14" t="s">
        <v>59</v>
      </c>
      <c r="C2156" s="14" t="s">
        <v>60</v>
      </c>
      <c r="D2156" s="14" t="s">
        <v>61</v>
      </c>
      <c r="E2156" s="14" t="s">
        <v>45</v>
      </c>
      <c r="F2156" s="14" t="s">
        <v>62</v>
      </c>
      <c r="G2156" s="14" t="s">
        <v>63</v>
      </c>
      <c r="H2156" s="0" t="n">
        <v>7</v>
      </c>
      <c r="I2156" s="16" t="n">
        <v>17.27</v>
      </c>
      <c r="J2156" s="16" t="n">
        <v>6.5</v>
      </c>
      <c r="K2156" s="16" t="n">
        <f aca="false">H2156*I2156</f>
        <v>120.89</v>
      </c>
      <c r="L2156" s="16" t="n">
        <f aca="false">H2156*J2156</f>
        <v>45.5</v>
      </c>
      <c r="M2156" s="16" t="n">
        <f aca="false">K2156-L2156</f>
        <v>75.39</v>
      </c>
      <c r="N2156" s="17" t="n">
        <f aca="false">IFERROR(M2156/K2156,0)</f>
        <v>0.623624782860452</v>
      </c>
    </row>
    <row r="2157" customFormat="false" ht="15" hidden="false" customHeight="false" outlineLevel="0" collapsed="false">
      <c r="A2157" s="15" t="n">
        <v>46112</v>
      </c>
      <c r="B2157" s="14" t="s">
        <v>59</v>
      </c>
      <c r="C2157" s="14" t="s">
        <v>60</v>
      </c>
      <c r="D2157" s="14" t="s">
        <v>61</v>
      </c>
      <c r="E2157" s="14" t="s">
        <v>56</v>
      </c>
      <c r="F2157" s="14" t="s">
        <v>98</v>
      </c>
      <c r="G2157" s="14" t="s">
        <v>99</v>
      </c>
      <c r="H2157" s="0" t="n">
        <v>3</v>
      </c>
      <c r="I2157" s="16" t="n">
        <v>21.01</v>
      </c>
      <c r="J2157" s="16" t="n">
        <v>8</v>
      </c>
      <c r="K2157" s="16" t="n">
        <f aca="false">H2157*I2157</f>
        <v>63.03</v>
      </c>
      <c r="L2157" s="16" t="n">
        <f aca="false">H2157*J2157</f>
        <v>24</v>
      </c>
      <c r="M2157" s="16" t="n">
        <f aca="false">K2157-L2157</f>
        <v>39.03</v>
      </c>
      <c r="N2157" s="17" t="n">
        <f aca="false">IFERROR(M2157/K2157,0)</f>
        <v>0.619228938600666</v>
      </c>
    </row>
    <row r="2158" customFormat="false" ht="15" hidden="false" customHeight="false" outlineLevel="0" collapsed="false">
      <c r="A2158" s="15" t="n">
        <v>46112</v>
      </c>
      <c r="B2158" s="14" t="s">
        <v>59</v>
      </c>
      <c r="C2158" s="14" t="s">
        <v>60</v>
      </c>
      <c r="D2158" s="14" t="s">
        <v>61</v>
      </c>
      <c r="E2158" s="14" t="s">
        <v>56</v>
      </c>
      <c r="F2158" s="14" t="s">
        <v>57</v>
      </c>
      <c r="G2158" s="14" t="s">
        <v>58</v>
      </c>
      <c r="H2158" s="0" t="n">
        <v>7</v>
      </c>
      <c r="I2158" s="16" t="n">
        <v>25.71</v>
      </c>
      <c r="J2158" s="16" t="n">
        <v>10</v>
      </c>
      <c r="K2158" s="16" t="n">
        <f aca="false">H2158*I2158</f>
        <v>179.97</v>
      </c>
      <c r="L2158" s="16" t="n">
        <f aca="false">H2158*J2158</f>
        <v>70</v>
      </c>
      <c r="M2158" s="16" t="n">
        <f aca="false">K2158-L2158</f>
        <v>109.97</v>
      </c>
      <c r="N2158" s="17" t="n">
        <f aca="false">IFERROR(M2158/K2158,0)</f>
        <v>0.611046285492026</v>
      </c>
    </row>
    <row r="2159" customFormat="false" ht="15" hidden="false" customHeight="false" outlineLevel="0" collapsed="false">
      <c r="A2159" s="15" t="n">
        <v>46112</v>
      </c>
      <c r="B2159" s="14" t="s">
        <v>69</v>
      </c>
      <c r="C2159" s="14" t="s">
        <v>70</v>
      </c>
      <c r="D2159" s="14" t="s">
        <v>71</v>
      </c>
      <c r="E2159" s="14" t="s">
        <v>53</v>
      </c>
      <c r="F2159" s="14" t="s">
        <v>54</v>
      </c>
      <c r="G2159" s="14" t="s">
        <v>55</v>
      </c>
      <c r="H2159" s="0" t="n">
        <v>1</v>
      </c>
      <c r="I2159" s="16" t="n">
        <v>51.3</v>
      </c>
      <c r="J2159" s="16" t="n">
        <v>22</v>
      </c>
      <c r="K2159" s="16" t="n">
        <f aca="false">H2159*I2159</f>
        <v>51.3</v>
      </c>
      <c r="L2159" s="16" t="n">
        <f aca="false">H2159*J2159</f>
        <v>22</v>
      </c>
      <c r="M2159" s="16" t="n">
        <f aca="false">K2159-L2159</f>
        <v>29.3</v>
      </c>
      <c r="N2159" s="17" t="n">
        <f aca="false">IFERROR(M2159/K2159,0)</f>
        <v>0.571150097465887</v>
      </c>
    </row>
    <row r="2160" customFormat="false" ht="15" hidden="false" customHeight="false" outlineLevel="0" collapsed="false">
      <c r="A2160" s="15" t="n">
        <v>46112</v>
      </c>
      <c r="B2160" s="14" t="s">
        <v>69</v>
      </c>
      <c r="C2160" s="14" t="s">
        <v>70</v>
      </c>
      <c r="D2160" s="14" t="s">
        <v>71</v>
      </c>
      <c r="E2160" s="14" t="s">
        <v>53</v>
      </c>
      <c r="F2160" s="14" t="s">
        <v>74</v>
      </c>
      <c r="G2160" s="14" t="s">
        <v>75</v>
      </c>
      <c r="H2160" s="0" t="n">
        <v>7</v>
      </c>
      <c r="I2160" s="16" t="n">
        <v>85.47</v>
      </c>
      <c r="J2160" s="16" t="n">
        <v>38</v>
      </c>
      <c r="K2160" s="16" t="n">
        <f aca="false">H2160*I2160</f>
        <v>598.29</v>
      </c>
      <c r="L2160" s="16" t="n">
        <f aca="false">H2160*J2160</f>
        <v>266</v>
      </c>
      <c r="M2160" s="16" t="n">
        <f aca="false">K2160-L2160</f>
        <v>332.29</v>
      </c>
      <c r="N2160" s="17" t="n">
        <f aca="false">IFERROR(M2160/K2160,0)</f>
        <v>0.555399555399555</v>
      </c>
    </row>
    <row r="2161" customFormat="false" ht="15" hidden="false" customHeight="false" outlineLevel="0" collapsed="false">
      <c r="A2161" s="15" t="n">
        <v>46112</v>
      </c>
      <c r="B2161" s="14" t="s">
        <v>69</v>
      </c>
      <c r="C2161" s="14" t="s">
        <v>70</v>
      </c>
      <c r="D2161" s="14" t="s">
        <v>71</v>
      </c>
      <c r="E2161" s="14" t="s">
        <v>56</v>
      </c>
      <c r="F2161" s="14" t="s">
        <v>67</v>
      </c>
      <c r="G2161" s="14" t="s">
        <v>68</v>
      </c>
      <c r="H2161" s="0" t="n">
        <v>4</v>
      </c>
      <c r="I2161" s="16" t="n">
        <v>37.55</v>
      </c>
      <c r="J2161" s="16" t="n">
        <v>15</v>
      </c>
      <c r="K2161" s="16" t="n">
        <f aca="false">H2161*I2161</f>
        <v>150.2</v>
      </c>
      <c r="L2161" s="16" t="n">
        <f aca="false">H2161*J2161</f>
        <v>60</v>
      </c>
      <c r="M2161" s="16" t="n">
        <f aca="false">K2161-L2161</f>
        <v>90.2</v>
      </c>
      <c r="N2161" s="17" t="n">
        <f aca="false">IFERROR(M2161/K2161,0)</f>
        <v>0.600532623169108</v>
      </c>
    </row>
    <row r="2162" customFormat="false" ht="15" hidden="false" customHeight="false" outlineLevel="0" collapsed="false">
      <c r="A2162" s="15" t="n">
        <v>46112</v>
      </c>
      <c r="B2162" s="14" t="s">
        <v>69</v>
      </c>
      <c r="C2162" s="14" t="s">
        <v>70</v>
      </c>
      <c r="D2162" s="14" t="s">
        <v>71</v>
      </c>
      <c r="E2162" s="14" t="s">
        <v>76</v>
      </c>
      <c r="F2162" s="14" t="s">
        <v>102</v>
      </c>
      <c r="G2162" s="14" t="s">
        <v>103</v>
      </c>
      <c r="H2162" s="0" t="n">
        <v>2</v>
      </c>
      <c r="I2162" s="16" t="n">
        <v>22.41</v>
      </c>
      <c r="J2162" s="16" t="n">
        <v>8.5</v>
      </c>
      <c r="K2162" s="16" t="n">
        <f aca="false">H2162*I2162</f>
        <v>44.82</v>
      </c>
      <c r="L2162" s="16" t="n">
        <f aca="false">H2162*J2162</f>
        <v>17</v>
      </c>
      <c r="M2162" s="16" t="n">
        <f aca="false">K2162-L2162</f>
        <v>27.82</v>
      </c>
      <c r="N2162" s="17" t="n">
        <f aca="false">IFERROR(M2162/K2162,0)</f>
        <v>0.620705042391789</v>
      </c>
    </row>
    <row r="2163" customFormat="false" ht="15" hidden="false" customHeight="false" outlineLevel="0" collapsed="false">
      <c r="A2163" s="15" t="n">
        <v>46112</v>
      </c>
      <c r="B2163" s="14" t="s">
        <v>81</v>
      </c>
      <c r="C2163" s="14" t="s">
        <v>82</v>
      </c>
      <c r="D2163" s="14" t="s">
        <v>83</v>
      </c>
      <c r="E2163" s="14" t="s">
        <v>56</v>
      </c>
      <c r="F2163" s="14" t="s">
        <v>86</v>
      </c>
      <c r="G2163" s="14" t="s">
        <v>87</v>
      </c>
      <c r="H2163" s="0" t="n">
        <v>4</v>
      </c>
      <c r="I2163" s="16" t="n">
        <v>13.85</v>
      </c>
      <c r="J2163" s="16" t="n">
        <v>5</v>
      </c>
      <c r="K2163" s="16" t="n">
        <f aca="false">H2163*I2163</f>
        <v>55.4</v>
      </c>
      <c r="L2163" s="16" t="n">
        <f aca="false">H2163*J2163</f>
        <v>20</v>
      </c>
      <c r="M2163" s="16" t="n">
        <f aca="false">K2163-L2163</f>
        <v>35.4</v>
      </c>
      <c r="N2163" s="17" t="n">
        <f aca="false">IFERROR(M2163/K2163,0)</f>
        <v>0.63898916967509</v>
      </c>
    </row>
    <row r="2164" customFormat="false" ht="15" hidden="false" customHeight="false" outlineLevel="0" collapsed="false">
      <c r="A2164" s="15" t="n">
        <v>46112</v>
      </c>
      <c r="B2164" s="14" t="s">
        <v>81</v>
      </c>
      <c r="C2164" s="14" t="s">
        <v>82</v>
      </c>
      <c r="D2164" s="14" t="s">
        <v>83</v>
      </c>
      <c r="E2164" s="14" t="s">
        <v>53</v>
      </c>
      <c r="F2164" s="14" t="s">
        <v>92</v>
      </c>
      <c r="G2164" s="14" t="s">
        <v>93</v>
      </c>
      <c r="H2164" s="0" t="n">
        <v>2</v>
      </c>
      <c r="I2164" s="16" t="n">
        <v>113</v>
      </c>
      <c r="J2164" s="16" t="n">
        <v>52</v>
      </c>
      <c r="K2164" s="16" t="n">
        <f aca="false">H2164*I2164</f>
        <v>226</v>
      </c>
      <c r="L2164" s="16" t="n">
        <f aca="false">H2164*J2164</f>
        <v>104</v>
      </c>
      <c r="M2164" s="16" t="n">
        <f aca="false">K2164-L2164</f>
        <v>122</v>
      </c>
      <c r="N2164" s="17" t="n">
        <f aca="false">IFERROR(M2164/K2164,0)</f>
        <v>0.539823008849558</v>
      </c>
    </row>
    <row r="2165" customFormat="false" ht="15" hidden="false" customHeight="false" outlineLevel="0" collapsed="false">
      <c r="A2165" s="15" t="n">
        <v>46112</v>
      </c>
      <c r="B2165" s="14" t="s">
        <v>88</v>
      </c>
      <c r="C2165" s="14" t="s">
        <v>89</v>
      </c>
      <c r="D2165" s="14" t="s">
        <v>44</v>
      </c>
      <c r="E2165" s="14" t="s">
        <v>53</v>
      </c>
      <c r="F2165" s="14" t="s">
        <v>54</v>
      </c>
      <c r="G2165" s="14" t="s">
        <v>55</v>
      </c>
      <c r="H2165" s="0" t="n">
        <v>2</v>
      </c>
      <c r="I2165" s="16" t="n">
        <v>50.61</v>
      </c>
      <c r="J2165" s="16" t="n">
        <v>22</v>
      </c>
      <c r="K2165" s="16" t="n">
        <f aca="false">H2165*I2165</f>
        <v>101.22</v>
      </c>
      <c r="L2165" s="16" t="n">
        <f aca="false">H2165*J2165</f>
        <v>44</v>
      </c>
      <c r="M2165" s="16" t="n">
        <f aca="false">K2165-L2165</f>
        <v>57.22</v>
      </c>
      <c r="N2165" s="17" t="n">
        <f aca="false">IFERROR(M2165/K2165,0)</f>
        <v>0.565303299743134</v>
      </c>
    </row>
    <row r="2166" customFormat="false" ht="15" hidden="false" customHeight="false" outlineLevel="0" collapsed="false">
      <c r="A2166" s="15" t="n">
        <v>46112</v>
      </c>
      <c r="B2166" s="14" t="s">
        <v>88</v>
      </c>
      <c r="C2166" s="14" t="s">
        <v>89</v>
      </c>
      <c r="D2166" s="14" t="s">
        <v>44</v>
      </c>
      <c r="E2166" s="14" t="s">
        <v>76</v>
      </c>
      <c r="F2166" s="14" t="s">
        <v>102</v>
      </c>
      <c r="G2166" s="14" t="s">
        <v>103</v>
      </c>
      <c r="H2166" s="0" t="n">
        <v>6</v>
      </c>
      <c r="I2166" s="16" t="n">
        <v>22.24</v>
      </c>
      <c r="J2166" s="16" t="n">
        <v>8.5</v>
      </c>
      <c r="K2166" s="16" t="n">
        <f aca="false">H2166*I2166</f>
        <v>133.44</v>
      </c>
      <c r="L2166" s="16" t="n">
        <f aca="false">H2166*J2166</f>
        <v>51</v>
      </c>
      <c r="M2166" s="16" t="n">
        <f aca="false">K2166-L2166</f>
        <v>82.44</v>
      </c>
      <c r="N2166" s="17" t="n">
        <f aca="false">IFERROR(M2166/K2166,0)</f>
        <v>0.617805755395684</v>
      </c>
    </row>
    <row r="2167" customFormat="false" ht="15" hidden="false" customHeight="false" outlineLevel="0" collapsed="false">
      <c r="A2167" s="15" t="n">
        <v>46113</v>
      </c>
      <c r="B2167" s="14" t="s">
        <v>42</v>
      </c>
      <c r="C2167" s="14" t="s">
        <v>43</v>
      </c>
      <c r="D2167" s="14" t="s">
        <v>44</v>
      </c>
      <c r="E2167" s="14" t="s">
        <v>76</v>
      </c>
      <c r="F2167" s="14" t="s">
        <v>77</v>
      </c>
      <c r="G2167" s="14" t="s">
        <v>78</v>
      </c>
      <c r="H2167" s="0" t="n">
        <v>9</v>
      </c>
      <c r="I2167" s="16" t="n">
        <v>41.66</v>
      </c>
      <c r="J2167" s="16" t="n">
        <v>15</v>
      </c>
      <c r="K2167" s="16" t="n">
        <f aca="false">H2167*I2167</f>
        <v>374.94</v>
      </c>
      <c r="L2167" s="16" t="n">
        <f aca="false">H2167*J2167</f>
        <v>135</v>
      </c>
      <c r="M2167" s="16" t="n">
        <f aca="false">K2167-L2167</f>
        <v>239.94</v>
      </c>
      <c r="N2167" s="17" t="n">
        <f aca="false">IFERROR(M2167/K2167,0)</f>
        <v>0.639942390782525</v>
      </c>
    </row>
    <row r="2168" customFormat="false" ht="15" hidden="false" customHeight="false" outlineLevel="0" collapsed="false">
      <c r="A2168" s="15" t="n">
        <v>46113</v>
      </c>
      <c r="B2168" s="14" t="s">
        <v>42</v>
      </c>
      <c r="C2168" s="14" t="s">
        <v>43</v>
      </c>
      <c r="D2168" s="14" t="s">
        <v>44</v>
      </c>
      <c r="E2168" s="14" t="s">
        <v>76</v>
      </c>
      <c r="F2168" s="14" t="s">
        <v>102</v>
      </c>
      <c r="G2168" s="14" t="s">
        <v>103</v>
      </c>
      <c r="H2168" s="0" t="n">
        <v>1</v>
      </c>
      <c r="I2168" s="16" t="n">
        <v>23.28</v>
      </c>
      <c r="J2168" s="16" t="n">
        <v>8.5</v>
      </c>
      <c r="K2168" s="16" t="n">
        <f aca="false">H2168*I2168</f>
        <v>23.28</v>
      </c>
      <c r="L2168" s="16" t="n">
        <f aca="false">H2168*J2168</f>
        <v>8.5</v>
      </c>
      <c r="M2168" s="16" t="n">
        <f aca="false">K2168-L2168</f>
        <v>14.78</v>
      </c>
      <c r="N2168" s="17" t="n">
        <f aca="false">IFERROR(M2168/K2168,0)</f>
        <v>0.634879725085911</v>
      </c>
    </row>
    <row r="2169" customFormat="false" ht="15" hidden="false" customHeight="false" outlineLevel="0" collapsed="false">
      <c r="A2169" s="15" t="n">
        <v>46113</v>
      </c>
      <c r="B2169" s="14" t="s">
        <v>42</v>
      </c>
      <c r="C2169" s="14" t="s">
        <v>43</v>
      </c>
      <c r="D2169" s="14" t="s">
        <v>44</v>
      </c>
      <c r="E2169" s="14" t="s">
        <v>45</v>
      </c>
      <c r="F2169" s="14" t="s">
        <v>46</v>
      </c>
      <c r="G2169" s="14" t="s">
        <v>47</v>
      </c>
      <c r="H2169" s="0" t="n">
        <v>6</v>
      </c>
      <c r="I2169" s="16" t="n">
        <v>44.03</v>
      </c>
      <c r="J2169" s="16" t="n">
        <v>18</v>
      </c>
      <c r="K2169" s="16" t="n">
        <f aca="false">H2169*I2169</f>
        <v>264.18</v>
      </c>
      <c r="L2169" s="16" t="n">
        <f aca="false">H2169*J2169</f>
        <v>108</v>
      </c>
      <c r="M2169" s="16" t="n">
        <f aca="false">K2169-L2169</f>
        <v>156.18</v>
      </c>
      <c r="N2169" s="17" t="n">
        <f aca="false">IFERROR(M2169/K2169,0)</f>
        <v>0.591187826481944</v>
      </c>
    </row>
    <row r="2170" customFormat="false" ht="15" hidden="false" customHeight="false" outlineLevel="0" collapsed="false">
      <c r="A2170" s="15" t="n">
        <v>46113</v>
      </c>
      <c r="B2170" s="14" t="s">
        <v>42</v>
      </c>
      <c r="C2170" s="14" t="s">
        <v>43</v>
      </c>
      <c r="D2170" s="14" t="s">
        <v>44</v>
      </c>
      <c r="E2170" s="14" t="s">
        <v>76</v>
      </c>
      <c r="F2170" s="14" t="s">
        <v>77</v>
      </c>
      <c r="G2170" s="14" t="s">
        <v>78</v>
      </c>
      <c r="H2170" s="0" t="n">
        <v>6</v>
      </c>
      <c r="I2170" s="16" t="n">
        <v>41.9</v>
      </c>
      <c r="J2170" s="16" t="n">
        <v>15</v>
      </c>
      <c r="K2170" s="16" t="n">
        <f aca="false">H2170*I2170</f>
        <v>251.4</v>
      </c>
      <c r="L2170" s="16" t="n">
        <f aca="false">H2170*J2170</f>
        <v>90</v>
      </c>
      <c r="M2170" s="16" t="n">
        <f aca="false">K2170-L2170</f>
        <v>161.4</v>
      </c>
      <c r="N2170" s="17" t="n">
        <f aca="false">IFERROR(M2170/K2170,0)</f>
        <v>0.64200477326969</v>
      </c>
    </row>
    <row r="2171" customFormat="false" ht="15" hidden="false" customHeight="false" outlineLevel="0" collapsed="false">
      <c r="A2171" s="15" t="n">
        <v>46113</v>
      </c>
      <c r="B2171" s="14" t="s">
        <v>42</v>
      </c>
      <c r="C2171" s="14" t="s">
        <v>43</v>
      </c>
      <c r="D2171" s="14" t="s">
        <v>44</v>
      </c>
      <c r="E2171" s="14" t="s">
        <v>56</v>
      </c>
      <c r="F2171" s="14" t="s">
        <v>98</v>
      </c>
      <c r="G2171" s="14" t="s">
        <v>99</v>
      </c>
      <c r="H2171" s="0" t="n">
        <v>10</v>
      </c>
      <c r="I2171" s="16" t="n">
        <v>21.9</v>
      </c>
      <c r="J2171" s="16" t="n">
        <v>8</v>
      </c>
      <c r="K2171" s="16" t="n">
        <f aca="false">H2171*I2171</f>
        <v>219</v>
      </c>
      <c r="L2171" s="16" t="n">
        <f aca="false">H2171*J2171</f>
        <v>80</v>
      </c>
      <c r="M2171" s="16" t="n">
        <f aca="false">K2171-L2171</f>
        <v>139</v>
      </c>
      <c r="N2171" s="17" t="n">
        <f aca="false">IFERROR(M2171/K2171,0)</f>
        <v>0.634703196347032</v>
      </c>
    </row>
    <row r="2172" customFormat="false" ht="15" hidden="false" customHeight="false" outlineLevel="0" collapsed="false">
      <c r="A2172" s="15" t="n">
        <v>46113</v>
      </c>
      <c r="B2172" s="14" t="s">
        <v>42</v>
      </c>
      <c r="C2172" s="14" t="s">
        <v>43</v>
      </c>
      <c r="D2172" s="14" t="s">
        <v>44</v>
      </c>
      <c r="E2172" s="14" t="s">
        <v>76</v>
      </c>
      <c r="F2172" s="14" t="s">
        <v>77</v>
      </c>
      <c r="G2172" s="14" t="s">
        <v>78</v>
      </c>
      <c r="H2172" s="0" t="n">
        <v>10</v>
      </c>
      <c r="I2172" s="16" t="n">
        <v>39.38</v>
      </c>
      <c r="J2172" s="16" t="n">
        <v>15</v>
      </c>
      <c r="K2172" s="16" t="n">
        <f aca="false">H2172*I2172</f>
        <v>393.8</v>
      </c>
      <c r="L2172" s="16" t="n">
        <f aca="false">H2172*J2172</f>
        <v>150</v>
      </c>
      <c r="M2172" s="16" t="n">
        <f aca="false">K2172-L2172</f>
        <v>243.8</v>
      </c>
      <c r="N2172" s="17" t="n">
        <f aca="false">IFERROR(M2172/K2172,0)</f>
        <v>0.619095987811072</v>
      </c>
    </row>
    <row r="2173" customFormat="false" ht="15" hidden="false" customHeight="false" outlineLevel="0" collapsed="false">
      <c r="A2173" s="15" t="n">
        <v>46113</v>
      </c>
      <c r="B2173" s="14" t="s">
        <v>50</v>
      </c>
      <c r="C2173" s="14" t="s">
        <v>51</v>
      </c>
      <c r="D2173" s="14" t="s">
        <v>52</v>
      </c>
      <c r="E2173" s="14" t="s">
        <v>53</v>
      </c>
      <c r="F2173" s="14" t="s">
        <v>84</v>
      </c>
      <c r="G2173" s="14" t="s">
        <v>85</v>
      </c>
      <c r="H2173" s="0" t="n">
        <v>4</v>
      </c>
      <c r="I2173" s="16" t="n">
        <v>23.89</v>
      </c>
      <c r="J2173" s="16" t="n">
        <v>9</v>
      </c>
      <c r="K2173" s="16" t="n">
        <f aca="false">H2173*I2173</f>
        <v>95.56</v>
      </c>
      <c r="L2173" s="16" t="n">
        <f aca="false">H2173*J2173</f>
        <v>36</v>
      </c>
      <c r="M2173" s="16" t="n">
        <f aca="false">K2173-L2173</f>
        <v>59.56</v>
      </c>
      <c r="N2173" s="17" t="n">
        <f aca="false">IFERROR(M2173/K2173,0)</f>
        <v>0.623273336123901</v>
      </c>
    </row>
    <row r="2174" customFormat="false" ht="15" hidden="false" customHeight="false" outlineLevel="0" collapsed="false">
      <c r="A2174" s="15" t="n">
        <v>46113</v>
      </c>
      <c r="B2174" s="14" t="s">
        <v>50</v>
      </c>
      <c r="C2174" s="14" t="s">
        <v>51</v>
      </c>
      <c r="D2174" s="14" t="s">
        <v>52</v>
      </c>
      <c r="E2174" s="14" t="s">
        <v>64</v>
      </c>
      <c r="F2174" s="14" t="s">
        <v>94</v>
      </c>
      <c r="G2174" s="14" t="s">
        <v>95</v>
      </c>
      <c r="H2174" s="0" t="n">
        <v>3</v>
      </c>
      <c r="I2174" s="16" t="n">
        <v>98.23</v>
      </c>
      <c r="J2174" s="16" t="n">
        <v>42</v>
      </c>
      <c r="K2174" s="16" t="n">
        <f aca="false">H2174*I2174</f>
        <v>294.69</v>
      </c>
      <c r="L2174" s="16" t="n">
        <f aca="false">H2174*J2174</f>
        <v>126</v>
      </c>
      <c r="M2174" s="16" t="n">
        <f aca="false">K2174-L2174</f>
        <v>168.69</v>
      </c>
      <c r="N2174" s="17" t="n">
        <f aca="false">IFERROR(M2174/K2174,0)</f>
        <v>0.572432047236079</v>
      </c>
    </row>
    <row r="2175" customFormat="false" ht="15" hidden="false" customHeight="false" outlineLevel="0" collapsed="false">
      <c r="A2175" s="15" t="n">
        <v>46113</v>
      </c>
      <c r="B2175" s="14" t="s">
        <v>50</v>
      </c>
      <c r="C2175" s="14" t="s">
        <v>51</v>
      </c>
      <c r="D2175" s="14" t="s">
        <v>52</v>
      </c>
      <c r="E2175" s="14" t="s">
        <v>45</v>
      </c>
      <c r="F2175" s="14" t="s">
        <v>72</v>
      </c>
      <c r="G2175" s="14" t="s">
        <v>73</v>
      </c>
      <c r="H2175" s="0" t="n">
        <v>4</v>
      </c>
      <c r="I2175" s="16" t="n">
        <v>49.75</v>
      </c>
      <c r="J2175" s="16" t="n">
        <v>21</v>
      </c>
      <c r="K2175" s="16" t="n">
        <f aca="false">H2175*I2175</f>
        <v>199</v>
      </c>
      <c r="L2175" s="16" t="n">
        <f aca="false">H2175*J2175</f>
        <v>84</v>
      </c>
      <c r="M2175" s="16" t="n">
        <f aca="false">K2175-L2175</f>
        <v>115</v>
      </c>
      <c r="N2175" s="17" t="n">
        <f aca="false">IFERROR(M2175/K2175,0)</f>
        <v>0.577889447236181</v>
      </c>
    </row>
    <row r="2176" customFormat="false" ht="15" hidden="false" customHeight="false" outlineLevel="0" collapsed="false">
      <c r="A2176" s="15" t="n">
        <v>46113</v>
      </c>
      <c r="B2176" s="14" t="s">
        <v>50</v>
      </c>
      <c r="C2176" s="14" t="s">
        <v>51</v>
      </c>
      <c r="D2176" s="14" t="s">
        <v>52</v>
      </c>
      <c r="E2176" s="14" t="s">
        <v>53</v>
      </c>
      <c r="F2176" s="14" t="s">
        <v>54</v>
      </c>
      <c r="G2176" s="14" t="s">
        <v>55</v>
      </c>
      <c r="H2176" s="0" t="n">
        <v>11</v>
      </c>
      <c r="I2176" s="16" t="n">
        <v>54.75</v>
      </c>
      <c r="J2176" s="16" t="n">
        <v>22</v>
      </c>
      <c r="K2176" s="16" t="n">
        <f aca="false">H2176*I2176</f>
        <v>602.25</v>
      </c>
      <c r="L2176" s="16" t="n">
        <f aca="false">H2176*J2176</f>
        <v>242</v>
      </c>
      <c r="M2176" s="16" t="n">
        <f aca="false">K2176-L2176</f>
        <v>360.25</v>
      </c>
      <c r="N2176" s="17" t="n">
        <f aca="false">IFERROR(M2176/K2176,0)</f>
        <v>0.598173515981735</v>
      </c>
    </row>
    <row r="2177" customFormat="false" ht="15" hidden="false" customHeight="false" outlineLevel="0" collapsed="false">
      <c r="A2177" s="15" t="n">
        <v>46113</v>
      </c>
      <c r="B2177" s="14" t="s">
        <v>59</v>
      </c>
      <c r="C2177" s="14" t="s">
        <v>60</v>
      </c>
      <c r="D2177" s="14" t="s">
        <v>61</v>
      </c>
      <c r="E2177" s="14" t="s">
        <v>76</v>
      </c>
      <c r="F2177" s="14" t="s">
        <v>79</v>
      </c>
      <c r="G2177" s="14" t="s">
        <v>80</v>
      </c>
      <c r="H2177" s="0" t="n">
        <v>4</v>
      </c>
      <c r="I2177" s="16" t="n">
        <v>27.99</v>
      </c>
      <c r="J2177" s="16" t="n">
        <v>11</v>
      </c>
      <c r="K2177" s="16" t="n">
        <f aca="false">H2177*I2177</f>
        <v>111.96</v>
      </c>
      <c r="L2177" s="16" t="n">
        <f aca="false">H2177*J2177</f>
        <v>44</v>
      </c>
      <c r="M2177" s="16" t="n">
        <f aca="false">K2177-L2177</f>
        <v>67.96</v>
      </c>
      <c r="N2177" s="17" t="n">
        <f aca="false">IFERROR(M2177/K2177,0)</f>
        <v>0.607002500893176</v>
      </c>
    </row>
    <row r="2178" customFormat="false" ht="15" hidden="false" customHeight="false" outlineLevel="0" collapsed="false">
      <c r="A2178" s="15" t="n">
        <v>46113</v>
      </c>
      <c r="B2178" s="14" t="s">
        <v>59</v>
      </c>
      <c r="C2178" s="14" t="s">
        <v>60</v>
      </c>
      <c r="D2178" s="14" t="s">
        <v>61</v>
      </c>
      <c r="E2178" s="14" t="s">
        <v>53</v>
      </c>
      <c r="F2178" s="14" t="s">
        <v>84</v>
      </c>
      <c r="G2178" s="14" t="s">
        <v>85</v>
      </c>
      <c r="H2178" s="0" t="n">
        <v>4</v>
      </c>
      <c r="I2178" s="16" t="n">
        <v>23.14</v>
      </c>
      <c r="J2178" s="16" t="n">
        <v>9</v>
      </c>
      <c r="K2178" s="16" t="n">
        <f aca="false">H2178*I2178</f>
        <v>92.56</v>
      </c>
      <c r="L2178" s="16" t="n">
        <f aca="false">H2178*J2178</f>
        <v>36</v>
      </c>
      <c r="M2178" s="16" t="n">
        <f aca="false">K2178-L2178</f>
        <v>56.56</v>
      </c>
      <c r="N2178" s="17" t="n">
        <f aca="false">IFERROR(M2178/K2178,0)</f>
        <v>0.611063094209162</v>
      </c>
    </row>
    <row r="2179" customFormat="false" ht="15" hidden="false" customHeight="false" outlineLevel="0" collapsed="false">
      <c r="A2179" s="15" t="n">
        <v>46113</v>
      </c>
      <c r="B2179" s="14" t="s">
        <v>59</v>
      </c>
      <c r="C2179" s="14" t="s">
        <v>60</v>
      </c>
      <c r="D2179" s="14" t="s">
        <v>61</v>
      </c>
      <c r="E2179" s="14" t="s">
        <v>45</v>
      </c>
      <c r="F2179" s="14" t="s">
        <v>72</v>
      </c>
      <c r="G2179" s="14" t="s">
        <v>73</v>
      </c>
      <c r="H2179" s="0" t="n">
        <v>4</v>
      </c>
      <c r="I2179" s="16" t="n">
        <v>49.73</v>
      </c>
      <c r="J2179" s="16" t="n">
        <v>21</v>
      </c>
      <c r="K2179" s="16" t="n">
        <f aca="false">H2179*I2179</f>
        <v>198.92</v>
      </c>
      <c r="L2179" s="16" t="n">
        <f aca="false">H2179*J2179</f>
        <v>84</v>
      </c>
      <c r="M2179" s="16" t="n">
        <f aca="false">K2179-L2179</f>
        <v>114.92</v>
      </c>
      <c r="N2179" s="17" t="n">
        <f aca="false">IFERROR(M2179/K2179,0)</f>
        <v>0.577719686306053</v>
      </c>
    </row>
    <row r="2180" customFormat="false" ht="15" hidden="false" customHeight="false" outlineLevel="0" collapsed="false">
      <c r="A2180" s="15" t="n">
        <v>46113</v>
      </c>
      <c r="B2180" s="14" t="s">
        <v>69</v>
      </c>
      <c r="C2180" s="14" t="s">
        <v>70</v>
      </c>
      <c r="D2180" s="14" t="s">
        <v>71</v>
      </c>
      <c r="E2180" s="14" t="s">
        <v>45</v>
      </c>
      <c r="F2180" s="14" t="s">
        <v>62</v>
      </c>
      <c r="G2180" s="14" t="s">
        <v>63</v>
      </c>
      <c r="H2180" s="0" t="n">
        <v>1</v>
      </c>
      <c r="I2180" s="16" t="n">
        <v>17.43</v>
      </c>
      <c r="J2180" s="16" t="n">
        <v>6.5</v>
      </c>
      <c r="K2180" s="16" t="n">
        <f aca="false">H2180*I2180</f>
        <v>17.43</v>
      </c>
      <c r="L2180" s="16" t="n">
        <f aca="false">H2180*J2180</f>
        <v>6.5</v>
      </c>
      <c r="M2180" s="16" t="n">
        <f aca="false">K2180-L2180</f>
        <v>10.93</v>
      </c>
      <c r="N2180" s="17" t="n">
        <f aca="false">IFERROR(M2180/K2180,0)</f>
        <v>0.627079747561675</v>
      </c>
    </row>
    <row r="2181" customFormat="false" ht="15" hidden="false" customHeight="false" outlineLevel="0" collapsed="false">
      <c r="A2181" s="15" t="n">
        <v>46113</v>
      </c>
      <c r="B2181" s="14" t="s">
        <v>69</v>
      </c>
      <c r="C2181" s="14" t="s">
        <v>70</v>
      </c>
      <c r="D2181" s="14" t="s">
        <v>71</v>
      </c>
      <c r="E2181" s="14" t="s">
        <v>64</v>
      </c>
      <c r="F2181" s="14" t="s">
        <v>90</v>
      </c>
      <c r="G2181" s="14" t="s">
        <v>91</v>
      </c>
      <c r="H2181" s="0" t="n">
        <v>1</v>
      </c>
      <c r="I2181" s="16" t="n">
        <v>11.15</v>
      </c>
      <c r="J2181" s="16" t="n">
        <v>3.5</v>
      </c>
      <c r="K2181" s="16" t="n">
        <f aca="false">H2181*I2181</f>
        <v>11.15</v>
      </c>
      <c r="L2181" s="16" t="n">
        <f aca="false">H2181*J2181</f>
        <v>3.5</v>
      </c>
      <c r="M2181" s="16" t="n">
        <f aca="false">K2181-L2181</f>
        <v>7.65</v>
      </c>
      <c r="N2181" s="17" t="n">
        <f aca="false">IFERROR(M2181/K2181,0)</f>
        <v>0.68609865470852</v>
      </c>
    </row>
    <row r="2182" customFormat="false" ht="15" hidden="false" customHeight="false" outlineLevel="0" collapsed="false">
      <c r="A2182" s="15" t="n">
        <v>46113</v>
      </c>
      <c r="B2182" s="14" t="s">
        <v>69</v>
      </c>
      <c r="C2182" s="14" t="s">
        <v>70</v>
      </c>
      <c r="D2182" s="14" t="s">
        <v>71</v>
      </c>
      <c r="E2182" s="14" t="s">
        <v>45</v>
      </c>
      <c r="F2182" s="14" t="s">
        <v>48</v>
      </c>
      <c r="G2182" s="14" t="s">
        <v>49</v>
      </c>
      <c r="H2182" s="0" t="n">
        <v>3</v>
      </c>
      <c r="I2182" s="16" t="n">
        <v>63.91</v>
      </c>
      <c r="J2182" s="16" t="n">
        <v>27.5</v>
      </c>
      <c r="K2182" s="16" t="n">
        <f aca="false">H2182*I2182</f>
        <v>191.73</v>
      </c>
      <c r="L2182" s="16" t="n">
        <f aca="false">H2182*J2182</f>
        <v>82.5</v>
      </c>
      <c r="M2182" s="16" t="n">
        <f aca="false">K2182-L2182</f>
        <v>109.23</v>
      </c>
      <c r="N2182" s="17" t="n">
        <f aca="false">IFERROR(M2182/K2182,0)</f>
        <v>0.569707401032702</v>
      </c>
    </row>
    <row r="2183" customFormat="false" ht="15" hidden="false" customHeight="false" outlineLevel="0" collapsed="false">
      <c r="A2183" s="15" t="n">
        <v>46113</v>
      </c>
      <c r="B2183" s="14" t="s">
        <v>69</v>
      </c>
      <c r="C2183" s="14" t="s">
        <v>70</v>
      </c>
      <c r="D2183" s="14" t="s">
        <v>71</v>
      </c>
      <c r="E2183" s="14" t="s">
        <v>45</v>
      </c>
      <c r="F2183" s="14" t="s">
        <v>46</v>
      </c>
      <c r="G2183" s="14" t="s">
        <v>47</v>
      </c>
      <c r="H2183" s="0" t="n">
        <v>3</v>
      </c>
      <c r="I2183" s="16" t="n">
        <v>44.78</v>
      </c>
      <c r="J2183" s="16" t="n">
        <v>18</v>
      </c>
      <c r="K2183" s="16" t="n">
        <f aca="false">H2183*I2183</f>
        <v>134.34</v>
      </c>
      <c r="L2183" s="16" t="n">
        <f aca="false">H2183*J2183</f>
        <v>54</v>
      </c>
      <c r="M2183" s="16" t="n">
        <f aca="false">K2183-L2183</f>
        <v>80.34</v>
      </c>
      <c r="N2183" s="17" t="n">
        <f aca="false">IFERROR(M2183/K2183,0)</f>
        <v>0.598034836980795</v>
      </c>
    </row>
    <row r="2184" customFormat="false" ht="15" hidden="false" customHeight="false" outlineLevel="0" collapsed="false">
      <c r="A2184" s="15" t="n">
        <v>46113</v>
      </c>
      <c r="B2184" s="14" t="s">
        <v>69</v>
      </c>
      <c r="C2184" s="14" t="s">
        <v>70</v>
      </c>
      <c r="D2184" s="14" t="s">
        <v>71</v>
      </c>
      <c r="E2184" s="14" t="s">
        <v>56</v>
      </c>
      <c r="F2184" s="14" t="s">
        <v>98</v>
      </c>
      <c r="G2184" s="14" t="s">
        <v>99</v>
      </c>
      <c r="H2184" s="0" t="n">
        <v>1</v>
      </c>
      <c r="I2184" s="16" t="n">
        <v>21.93</v>
      </c>
      <c r="J2184" s="16" t="n">
        <v>8</v>
      </c>
      <c r="K2184" s="16" t="n">
        <f aca="false">H2184*I2184</f>
        <v>21.93</v>
      </c>
      <c r="L2184" s="16" t="n">
        <f aca="false">H2184*J2184</f>
        <v>8</v>
      </c>
      <c r="M2184" s="16" t="n">
        <f aca="false">K2184-L2184</f>
        <v>13.93</v>
      </c>
      <c r="N2184" s="17" t="n">
        <f aca="false">IFERROR(M2184/K2184,0)</f>
        <v>0.635202918376653</v>
      </c>
    </row>
    <row r="2185" customFormat="false" ht="15" hidden="false" customHeight="false" outlineLevel="0" collapsed="false">
      <c r="A2185" s="15" t="n">
        <v>46113</v>
      </c>
      <c r="B2185" s="14" t="s">
        <v>81</v>
      </c>
      <c r="C2185" s="14" t="s">
        <v>82</v>
      </c>
      <c r="D2185" s="14" t="s">
        <v>83</v>
      </c>
      <c r="E2185" s="14" t="s">
        <v>56</v>
      </c>
      <c r="F2185" s="14" t="s">
        <v>67</v>
      </c>
      <c r="G2185" s="14" t="s">
        <v>68</v>
      </c>
      <c r="H2185" s="0" t="n">
        <v>2</v>
      </c>
      <c r="I2185" s="16" t="n">
        <v>35.58</v>
      </c>
      <c r="J2185" s="16" t="n">
        <v>15</v>
      </c>
      <c r="K2185" s="16" t="n">
        <f aca="false">H2185*I2185</f>
        <v>71.16</v>
      </c>
      <c r="L2185" s="16" t="n">
        <f aca="false">H2185*J2185</f>
        <v>30</v>
      </c>
      <c r="M2185" s="16" t="n">
        <f aca="false">K2185-L2185</f>
        <v>41.16</v>
      </c>
      <c r="N2185" s="17" t="n">
        <f aca="false">IFERROR(M2185/K2185,0)</f>
        <v>0.578414839797639</v>
      </c>
    </row>
    <row r="2186" customFormat="false" ht="15" hidden="false" customHeight="false" outlineLevel="0" collapsed="false">
      <c r="A2186" s="15" t="n">
        <v>46113</v>
      </c>
      <c r="B2186" s="14" t="s">
        <v>81</v>
      </c>
      <c r="C2186" s="14" t="s">
        <v>82</v>
      </c>
      <c r="D2186" s="14" t="s">
        <v>83</v>
      </c>
      <c r="E2186" s="14" t="s">
        <v>64</v>
      </c>
      <c r="F2186" s="14" t="s">
        <v>90</v>
      </c>
      <c r="G2186" s="14" t="s">
        <v>91</v>
      </c>
      <c r="H2186" s="0" t="n">
        <v>2</v>
      </c>
      <c r="I2186" s="16" t="n">
        <v>11.34</v>
      </c>
      <c r="J2186" s="16" t="n">
        <v>3.5</v>
      </c>
      <c r="K2186" s="16" t="n">
        <f aca="false">H2186*I2186</f>
        <v>22.68</v>
      </c>
      <c r="L2186" s="16" t="n">
        <f aca="false">H2186*J2186</f>
        <v>7</v>
      </c>
      <c r="M2186" s="16" t="n">
        <f aca="false">K2186-L2186</f>
        <v>15.68</v>
      </c>
      <c r="N2186" s="17" t="n">
        <f aca="false">IFERROR(M2186/K2186,0)</f>
        <v>0.691358024691358</v>
      </c>
    </row>
    <row r="2187" customFormat="false" ht="15" hidden="false" customHeight="false" outlineLevel="0" collapsed="false">
      <c r="A2187" s="15" t="n">
        <v>46113</v>
      </c>
      <c r="B2187" s="14" t="s">
        <v>88</v>
      </c>
      <c r="C2187" s="14" t="s">
        <v>89</v>
      </c>
      <c r="D2187" s="14" t="s">
        <v>44</v>
      </c>
      <c r="E2187" s="14" t="s">
        <v>53</v>
      </c>
      <c r="F2187" s="14" t="s">
        <v>54</v>
      </c>
      <c r="G2187" s="14" t="s">
        <v>55</v>
      </c>
      <c r="H2187" s="0" t="n">
        <v>1</v>
      </c>
      <c r="I2187" s="16" t="n">
        <v>52.99</v>
      </c>
      <c r="J2187" s="16" t="n">
        <v>22</v>
      </c>
      <c r="K2187" s="16" t="n">
        <f aca="false">H2187*I2187</f>
        <v>52.99</v>
      </c>
      <c r="L2187" s="16" t="n">
        <f aca="false">H2187*J2187</f>
        <v>22</v>
      </c>
      <c r="M2187" s="16" t="n">
        <f aca="false">K2187-L2187</f>
        <v>30.99</v>
      </c>
      <c r="N2187" s="17" t="n">
        <f aca="false">IFERROR(M2187/K2187,0)</f>
        <v>0.584827325910549</v>
      </c>
    </row>
    <row r="2188" customFormat="false" ht="15" hidden="false" customHeight="false" outlineLevel="0" collapsed="false">
      <c r="A2188" s="15" t="n">
        <v>46113</v>
      </c>
      <c r="B2188" s="14" t="s">
        <v>88</v>
      </c>
      <c r="C2188" s="14" t="s">
        <v>89</v>
      </c>
      <c r="D2188" s="14" t="s">
        <v>44</v>
      </c>
      <c r="E2188" s="14" t="s">
        <v>76</v>
      </c>
      <c r="F2188" s="14" t="s">
        <v>79</v>
      </c>
      <c r="G2188" s="14" t="s">
        <v>80</v>
      </c>
      <c r="H2188" s="0" t="n">
        <v>1</v>
      </c>
      <c r="I2188" s="16" t="n">
        <v>29.58</v>
      </c>
      <c r="J2188" s="16" t="n">
        <v>11</v>
      </c>
      <c r="K2188" s="16" t="n">
        <f aca="false">H2188*I2188</f>
        <v>29.58</v>
      </c>
      <c r="L2188" s="16" t="n">
        <f aca="false">H2188*J2188</f>
        <v>11</v>
      </c>
      <c r="M2188" s="16" t="n">
        <f aca="false">K2188-L2188</f>
        <v>18.58</v>
      </c>
      <c r="N2188" s="17" t="n">
        <f aca="false">IFERROR(M2188/K2188,0)</f>
        <v>0.628127112914131</v>
      </c>
    </row>
    <row r="2189" customFormat="false" ht="15" hidden="false" customHeight="false" outlineLevel="0" collapsed="false">
      <c r="A2189" s="15" t="n">
        <v>46113</v>
      </c>
      <c r="B2189" s="14" t="s">
        <v>88</v>
      </c>
      <c r="C2189" s="14" t="s">
        <v>89</v>
      </c>
      <c r="D2189" s="14" t="s">
        <v>44</v>
      </c>
      <c r="E2189" s="14" t="s">
        <v>45</v>
      </c>
      <c r="F2189" s="14" t="s">
        <v>46</v>
      </c>
      <c r="G2189" s="14" t="s">
        <v>47</v>
      </c>
      <c r="H2189" s="0" t="n">
        <v>3</v>
      </c>
      <c r="I2189" s="16" t="n">
        <v>43.24</v>
      </c>
      <c r="J2189" s="16" t="n">
        <v>18</v>
      </c>
      <c r="K2189" s="16" t="n">
        <f aca="false">H2189*I2189</f>
        <v>129.72</v>
      </c>
      <c r="L2189" s="16" t="n">
        <f aca="false">H2189*J2189</f>
        <v>54</v>
      </c>
      <c r="M2189" s="16" t="n">
        <f aca="false">K2189-L2189</f>
        <v>75.72</v>
      </c>
      <c r="N2189" s="17" t="n">
        <f aca="false">IFERROR(M2189/K2189,0)</f>
        <v>0.583718778908418</v>
      </c>
    </row>
    <row r="2190" customFormat="false" ht="15" hidden="false" customHeight="false" outlineLevel="0" collapsed="false">
      <c r="A2190" s="15" t="n">
        <v>46113</v>
      </c>
      <c r="B2190" s="14" t="s">
        <v>88</v>
      </c>
      <c r="C2190" s="14" t="s">
        <v>89</v>
      </c>
      <c r="D2190" s="14" t="s">
        <v>44</v>
      </c>
      <c r="E2190" s="14" t="s">
        <v>64</v>
      </c>
      <c r="F2190" s="14" t="s">
        <v>96</v>
      </c>
      <c r="G2190" s="14" t="s">
        <v>97</v>
      </c>
      <c r="H2190" s="0" t="n">
        <v>1</v>
      </c>
      <c r="I2190" s="16" t="n">
        <v>58.59</v>
      </c>
      <c r="J2190" s="16" t="n">
        <v>24</v>
      </c>
      <c r="K2190" s="16" t="n">
        <f aca="false">H2190*I2190</f>
        <v>58.59</v>
      </c>
      <c r="L2190" s="16" t="n">
        <f aca="false">H2190*J2190</f>
        <v>24</v>
      </c>
      <c r="M2190" s="16" t="n">
        <f aca="false">K2190-L2190</f>
        <v>34.59</v>
      </c>
      <c r="N2190" s="17" t="n">
        <f aca="false">IFERROR(M2190/K2190,0)</f>
        <v>0.590373783922171</v>
      </c>
    </row>
    <row r="2191" customFormat="false" ht="15" hidden="false" customHeight="false" outlineLevel="0" collapsed="false">
      <c r="A2191" s="15" t="n">
        <v>46113</v>
      </c>
      <c r="B2191" s="14" t="s">
        <v>88</v>
      </c>
      <c r="C2191" s="14" t="s">
        <v>89</v>
      </c>
      <c r="D2191" s="14" t="s">
        <v>44</v>
      </c>
      <c r="E2191" s="14" t="s">
        <v>45</v>
      </c>
      <c r="F2191" s="14" t="s">
        <v>62</v>
      </c>
      <c r="G2191" s="14" t="s">
        <v>63</v>
      </c>
      <c r="H2191" s="0" t="n">
        <v>9</v>
      </c>
      <c r="I2191" s="16" t="n">
        <v>17.11</v>
      </c>
      <c r="J2191" s="16" t="n">
        <v>6.5</v>
      </c>
      <c r="K2191" s="16" t="n">
        <f aca="false">H2191*I2191</f>
        <v>153.99</v>
      </c>
      <c r="L2191" s="16" t="n">
        <f aca="false">H2191*J2191</f>
        <v>58.5</v>
      </c>
      <c r="M2191" s="16" t="n">
        <f aca="false">K2191-L2191</f>
        <v>95.49</v>
      </c>
      <c r="N2191" s="17" t="n">
        <f aca="false">IFERROR(M2191/K2191,0)</f>
        <v>0.62010520163647</v>
      </c>
    </row>
    <row r="2192" customFormat="false" ht="15" hidden="false" customHeight="false" outlineLevel="0" collapsed="false">
      <c r="A2192" s="15" t="n">
        <v>46114</v>
      </c>
      <c r="B2192" s="14" t="s">
        <v>42</v>
      </c>
      <c r="C2192" s="14" t="s">
        <v>43</v>
      </c>
      <c r="D2192" s="14" t="s">
        <v>44</v>
      </c>
      <c r="E2192" s="14" t="s">
        <v>76</v>
      </c>
      <c r="F2192" s="14" t="s">
        <v>77</v>
      </c>
      <c r="G2192" s="14" t="s">
        <v>78</v>
      </c>
      <c r="H2192" s="0" t="n">
        <v>9</v>
      </c>
      <c r="I2192" s="16" t="n">
        <v>40.95</v>
      </c>
      <c r="J2192" s="16" t="n">
        <v>15</v>
      </c>
      <c r="K2192" s="16" t="n">
        <f aca="false">H2192*I2192</f>
        <v>368.55</v>
      </c>
      <c r="L2192" s="16" t="n">
        <f aca="false">H2192*J2192</f>
        <v>135</v>
      </c>
      <c r="M2192" s="16" t="n">
        <f aca="false">K2192-L2192</f>
        <v>233.55</v>
      </c>
      <c r="N2192" s="17" t="n">
        <f aca="false">IFERROR(M2192/K2192,0)</f>
        <v>0.633699633699634</v>
      </c>
    </row>
    <row r="2193" customFormat="false" ht="15" hidden="false" customHeight="false" outlineLevel="0" collapsed="false">
      <c r="A2193" s="15" t="n">
        <v>46114</v>
      </c>
      <c r="B2193" s="14" t="s">
        <v>42</v>
      </c>
      <c r="C2193" s="14" t="s">
        <v>43</v>
      </c>
      <c r="D2193" s="14" t="s">
        <v>44</v>
      </c>
      <c r="E2193" s="14" t="s">
        <v>45</v>
      </c>
      <c r="F2193" s="14" t="s">
        <v>72</v>
      </c>
      <c r="G2193" s="14" t="s">
        <v>73</v>
      </c>
      <c r="H2193" s="0" t="n">
        <v>5</v>
      </c>
      <c r="I2193" s="16" t="n">
        <v>51.96</v>
      </c>
      <c r="J2193" s="16" t="n">
        <v>21</v>
      </c>
      <c r="K2193" s="16" t="n">
        <f aca="false">H2193*I2193</f>
        <v>259.8</v>
      </c>
      <c r="L2193" s="16" t="n">
        <f aca="false">H2193*J2193</f>
        <v>105</v>
      </c>
      <c r="M2193" s="16" t="n">
        <f aca="false">K2193-L2193</f>
        <v>154.8</v>
      </c>
      <c r="N2193" s="17" t="n">
        <f aca="false">IFERROR(M2193/K2193,0)</f>
        <v>0.595842956120092</v>
      </c>
    </row>
    <row r="2194" customFormat="false" ht="15" hidden="false" customHeight="false" outlineLevel="0" collapsed="false">
      <c r="A2194" s="15" t="n">
        <v>46114</v>
      </c>
      <c r="B2194" s="14" t="s">
        <v>42</v>
      </c>
      <c r="C2194" s="14" t="s">
        <v>43</v>
      </c>
      <c r="D2194" s="14" t="s">
        <v>44</v>
      </c>
      <c r="E2194" s="14" t="s">
        <v>53</v>
      </c>
      <c r="F2194" s="14" t="s">
        <v>74</v>
      </c>
      <c r="G2194" s="14" t="s">
        <v>75</v>
      </c>
      <c r="H2194" s="0" t="n">
        <v>7</v>
      </c>
      <c r="I2194" s="16" t="n">
        <v>84.42</v>
      </c>
      <c r="J2194" s="16" t="n">
        <v>38</v>
      </c>
      <c r="K2194" s="16" t="n">
        <f aca="false">H2194*I2194</f>
        <v>590.94</v>
      </c>
      <c r="L2194" s="16" t="n">
        <f aca="false">H2194*J2194</f>
        <v>266</v>
      </c>
      <c r="M2194" s="16" t="n">
        <f aca="false">K2194-L2194</f>
        <v>324.94</v>
      </c>
      <c r="N2194" s="17" t="n">
        <f aca="false">IFERROR(M2194/K2194,0)</f>
        <v>0.549869699123431</v>
      </c>
    </row>
    <row r="2195" customFormat="false" ht="15" hidden="false" customHeight="false" outlineLevel="0" collapsed="false">
      <c r="A2195" s="15" t="n">
        <v>46114</v>
      </c>
      <c r="B2195" s="14" t="s">
        <v>42</v>
      </c>
      <c r="C2195" s="14" t="s">
        <v>43</v>
      </c>
      <c r="D2195" s="14" t="s">
        <v>44</v>
      </c>
      <c r="E2195" s="14" t="s">
        <v>56</v>
      </c>
      <c r="F2195" s="14" t="s">
        <v>67</v>
      </c>
      <c r="G2195" s="14" t="s">
        <v>68</v>
      </c>
      <c r="H2195" s="0" t="n">
        <v>3</v>
      </c>
      <c r="I2195" s="16" t="n">
        <v>36.06</v>
      </c>
      <c r="J2195" s="16" t="n">
        <v>15</v>
      </c>
      <c r="K2195" s="16" t="n">
        <f aca="false">H2195*I2195</f>
        <v>108.18</v>
      </c>
      <c r="L2195" s="16" t="n">
        <f aca="false">H2195*J2195</f>
        <v>45</v>
      </c>
      <c r="M2195" s="16" t="n">
        <f aca="false">K2195-L2195</f>
        <v>63.18</v>
      </c>
      <c r="N2195" s="17" t="n">
        <f aca="false">IFERROR(M2195/K2195,0)</f>
        <v>0.584026622296173</v>
      </c>
    </row>
    <row r="2196" customFormat="false" ht="15" hidden="false" customHeight="false" outlineLevel="0" collapsed="false">
      <c r="A2196" s="15" t="n">
        <v>46114</v>
      </c>
      <c r="B2196" s="14" t="s">
        <v>50</v>
      </c>
      <c r="C2196" s="14" t="s">
        <v>51</v>
      </c>
      <c r="D2196" s="14" t="s">
        <v>52</v>
      </c>
      <c r="E2196" s="14" t="s">
        <v>45</v>
      </c>
      <c r="F2196" s="14" t="s">
        <v>62</v>
      </c>
      <c r="G2196" s="14" t="s">
        <v>63</v>
      </c>
      <c r="H2196" s="0" t="n">
        <v>4</v>
      </c>
      <c r="I2196" s="16" t="n">
        <v>17.18</v>
      </c>
      <c r="J2196" s="16" t="n">
        <v>6.5</v>
      </c>
      <c r="K2196" s="16" t="n">
        <f aca="false">H2196*I2196</f>
        <v>68.72</v>
      </c>
      <c r="L2196" s="16" t="n">
        <f aca="false">H2196*J2196</f>
        <v>26</v>
      </c>
      <c r="M2196" s="16" t="n">
        <f aca="false">K2196-L2196</f>
        <v>42.72</v>
      </c>
      <c r="N2196" s="17" t="n">
        <f aca="false">IFERROR(M2196/K2196,0)</f>
        <v>0.621653084982538</v>
      </c>
    </row>
    <row r="2197" customFormat="false" ht="15" hidden="false" customHeight="false" outlineLevel="0" collapsed="false">
      <c r="A2197" s="15" t="n">
        <v>46114</v>
      </c>
      <c r="B2197" s="14" t="s">
        <v>50</v>
      </c>
      <c r="C2197" s="14" t="s">
        <v>51</v>
      </c>
      <c r="D2197" s="14" t="s">
        <v>52</v>
      </c>
      <c r="E2197" s="14" t="s">
        <v>76</v>
      </c>
      <c r="F2197" s="14" t="s">
        <v>77</v>
      </c>
      <c r="G2197" s="14" t="s">
        <v>78</v>
      </c>
      <c r="H2197" s="0" t="n">
        <v>8</v>
      </c>
      <c r="I2197" s="16" t="n">
        <v>39.14</v>
      </c>
      <c r="J2197" s="16" t="n">
        <v>15</v>
      </c>
      <c r="K2197" s="16" t="n">
        <f aca="false">H2197*I2197</f>
        <v>313.12</v>
      </c>
      <c r="L2197" s="16" t="n">
        <f aca="false">H2197*J2197</f>
        <v>120</v>
      </c>
      <c r="M2197" s="16" t="n">
        <f aca="false">K2197-L2197</f>
        <v>193.12</v>
      </c>
      <c r="N2197" s="17" t="n">
        <f aca="false">IFERROR(M2197/K2197,0)</f>
        <v>0.616760347470618</v>
      </c>
    </row>
    <row r="2198" customFormat="false" ht="15" hidden="false" customHeight="false" outlineLevel="0" collapsed="false">
      <c r="A2198" s="15" t="n">
        <v>46114</v>
      </c>
      <c r="B2198" s="14" t="s">
        <v>59</v>
      </c>
      <c r="C2198" s="14" t="s">
        <v>60</v>
      </c>
      <c r="D2198" s="14" t="s">
        <v>61</v>
      </c>
      <c r="E2198" s="14" t="s">
        <v>56</v>
      </c>
      <c r="F2198" s="14" t="s">
        <v>67</v>
      </c>
      <c r="G2198" s="14" t="s">
        <v>68</v>
      </c>
      <c r="H2198" s="0" t="n">
        <v>6</v>
      </c>
      <c r="I2198" s="16" t="n">
        <v>37.62</v>
      </c>
      <c r="J2198" s="16" t="n">
        <v>15</v>
      </c>
      <c r="K2198" s="16" t="n">
        <f aca="false">H2198*I2198</f>
        <v>225.72</v>
      </c>
      <c r="L2198" s="16" t="n">
        <f aca="false">H2198*J2198</f>
        <v>90</v>
      </c>
      <c r="M2198" s="16" t="n">
        <f aca="false">K2198-L2198</f>
        <v>135.72</v>
      </c>
      <c r="N2198" s="17" t="n">
        <f aca="false">IFERROR(M2198/K2198,0)</f>
        <v>0.601275917065391</v>
      </c>
    </row>
    <row r="2199" customFormat="false" ht="15" hidden="false" customHeight="false" outlineLevel="0" collapsed="false">
      <c r="A2199" s="15" t="n">
        <v>46114</v>
      </c>
      <c r="B2199" s="14" t="s">
        <v>59</v>
      </c>
      <c r="C2199" s="14" t="s">
        <v>60</v>
      </c>
      <c r="D2199" s="14" t="s">
        <v>61</v>
      </c>
      <c r="E2199" s="14" t="s">
        <v>76</v>
      </c>
      <c r="F2199" s="14" t="s">
        <v>100</v>
      </c>
      <c r="G2199" s="14" t="s">
        <v>101</v>
      </c>
      <c r="H2199" s="0" t="n">
        <v>5</v>
      </c>
      <c r="I2199" s="16" t="n">
        <v>15.91</v>
      </c>
      <c r="J2199" s="16" t="n">
        <v>5.5</v>
      </c>
      <c r="K2199" s="16" t="n">
        <f aca="false">H2199*I2199</f>
        <v>79.55</v>
      </c>
      <c r="L2199" s="16" t="n">
        <f aca="false">H2199*J2199</f>
        <v>27.5</v>
      </c>
      <c r="M2199" s="16" t="n">
        <f aca="false">K2199-L2199</f>
        <v>52.05</v>
      </c>
      <c r="N2199" s="17" t="n">
        <f aca="false">IFERROR(M2199/K2199,0)</f>
        <v>0.654305468258957</v>
      </c>
    </row>
    <row r="2200" customFormat="false" ht="15" hidden="false" customHeight="false" outlineLevel="0" collapsed="false">
      <c r="A2200" s="15" t="n">
        <v>46114</v>
      </c>
      <c r="B2200" s="14" t="s">
        <v>59</v>
      </c>
      <c r="C2200" s="14" t="s">
        <v>60</v>
      </c>
      <c r="D2200" s="14" t="s">
        <v>61</v>
      </c>
      <c r="E2200" s="14" t="s">
        <v>45</v>
      </c>
      <c r="F2200" s="14" t="s">
        <v>48</v>
      </c>
      <c r="G2200" s="14" t="s">
        <v>49</v>
      </c>
      <c r="H2200" s="0" t="n">
        <v>3</v>
      </c>
      <c r="I2200" s="16" t="n">
        <v>66.79</v>
      </c>
      <c r="J2200" s="16" t="n">
        <v>27.5</v>
      </c>
      <c r="K2200" s="16" t="n">
        <f aca="false">H2200*I2200</f>
        <v>200.37</v>
      </c>
      <c r="L2200" s="16" t="n">
        <f aca="false">H2200*J2200</f>
        <v>82.5</v>
      </c>
      <c r="M2200" s="16" t="n">
        <f aca="false">K2200-L2200</f>
        <v>117.87</v>
      </c>
      <c r="N2200" s="17" t="n">
        <f aca="false">IFERROR(M2200/K2200,0)</f>
        <v>0.588261715825722</v>
      </c>
    </row>
    <row r="2201" customFormat="false" ht="15" hidden="false" customHeight="false" outlineLevel="0" collapsed="false">
      <c r="A2201" s="15" t="n">
        <v>46114</v>
      </c>
      <c r="B2201" s="14" t="s">
        <v>59</v>
      </c>
      <c r="C2201" s="14" t="s">
        <v>60</v>
      </c>
      <c r="D2201" s="14" t="s">
        <v>61</v>
      </c>
      <c r="E2201" s="14" t="s">
        <v>53</v>
      </c>
      <c r="F2201" s="14" t="s">
        <v>92</v>
      </c>
      <c r="G2201" s="14" t="s">
        <v>93</v>
      </c>
      <c r="H2201" s="0" t="n">
        <v>3</v>
      </c>
      <c r="I2201" s="16" t="n">
        <v>114.15</v>
      </c>
      <c r="J2201" s="16" t="n">
        <v>52</v>
      </c>
      <c r="K2201" s="16" t="n">
        <f aca="false">H2201*I2201</f>
        <v>342.45</v>
      </c>
      <c r="L2201" s="16" t="n">
        <f aca="false">H2201*J2201</f>
        <v>156</v>
      </c>
      <c r="M2201" s="16" t="n">
        <f aca="false">K2201-L2201</f>
        <v>186.45</v>
      </c>
      <c r="N2201" s="17" t="n">
        <f aca="false">IFERROR(M2201/K2201,0)</f>
        <v>0.544459045116075</v>
      </c>
    </row>
    <row r="2202" customFormat="false" ht="15" hidden="false" customHeight="false" outlineLevel="0" collapsed="false">
      <c r="A2202" s="15" t="n">
        <v>46114</v>
      </c>
      <c r="B2202" s="14" t="s">
        <v>69</v>
      </c>
      <c r="C2202" s="14" t="s">
        <v>70</v>
      </c>
      <c r="D2202" s="14" t="s">
        <v>71</v>
      </c>
      <c r="E2202" s="14" t="s">
        <v>45</v>
      </c>
      <c r="F2202" s="14" t="s">
        <v>48</v>
      </c>
      <c r="G2202" s="14" t="s">
        <v>49</v>
      </c>
      <c r="H2202" s="0" t="n">
        <v>7</v>
      </c>
      <c r="I2202" s="16" t="n">
        <v>67.78</v>
      </c>
      <c r="J2202" s="16" t="n">
        <v>27.5</v>
      </c>
      <c r="K2202" s="16" t="n">
        <f aca="false">H2202*I2202</f>
        <v>474.46</v>
      </c>
      <c r="L2202" s="16" t="n">
        <f aca="false">H2202*J2202</f>
        <v>192.5</v>
      </c>
      <c r="M2202" s="16" t="n">
        <f aca="false">K2202-L2202</f>
        <v>281.96</v>
      </c>
      <c r="N2202" s="17" t="n">
        <f aca="false">IFERROR(M2202/K2202,0)</f>
        <v>0.594275597521393</v>
      </c>
    </row>
    <row r="2203" customFormat="false" ht="15" hidden="false" customHeight="false" outlineLevel="0" collapsed="false">
      <c r="A2203" s="15" t="n">
        <v>46114</v>
      </c>
      <c r="B2203" s="14" t="s">
        <v>69</v>
      </c>
      <c r="C2203" s="14" t="s">
        <v>70</v>
      </c>
      <c r="D2203" s="14" t="s">
        <v>71</v>
      </c>
      <c r="E2203" s="14" t="s">
        <v>76</v>
      </c>
      <c r="F2203" s="14" t="s">
        <v>77</v>
      </c>
      <c r="G2203" s="14" t="s">
        <v>78</v>
      </c>
      <c r="H2203" s="0" t="n">
        <v>2</v>
      </c>
      <c r="I2203" s="16" t="n">
        <v>39.73</v>
      </c>
      <c r="J2203" s="16" t="n">
        <v>15</v>
      </c>
      <c r="K2203" s="16" t="n">
        <f aca="false">H2203*I2203</f>
        <v>79.46</v>
      </c>
      <c r="L2203" s="16" t="n">
        <f aca="false">H2203*J2203</f>
        <v>30</v>
      </c>
      <c r="M2203" s="16" t="n">
        <f aca="false">K2203-L2203</f>
        <v>49.46</v>
      </c>
      <c r="N2203" s="17" t="n">
        <f aca="false">IFERROR(M2203/K2203,0)</f>
        <v>0.622451547948653</v>
      </c>
    </row>
    <row r="2204" customFormat="false" ht="15" hidden="false" customHeight="false" outlineLevel="0" collapsed="false">
      <c r="A2204" s="15" t="n">
        <v>46114</v>
      </c>
      <c r="B2204" s="14" t="s">
        <v>69</v>
      </c>
      <c r="C2204" s="14" t="s">
        <v>70</v>
      </c>
      <c r="D2204" s="14" t="s">
        <v>71</v>
      </c>
      <c r="E2204" s="14" t="s">
        <v>53</v>
      </c>
      <c r="F2204" s="14" t="s">
        <v>54</v>
      </c>
      <c r="G2204" s="14" t="s">
        <v>55</v>
      </c>
      <c r="H2204" s="0" t="n">
        <v>7</v>
      </c>
      <c r="I2204" s="16" t="n">
        <v>52.15</v>
      </c>
      <c r="J2204" s="16" t="n">
        <v>22</v>
      </c>
      <c r="K2204" s="16" t="n">
        <f aca="false">H2204*I2204</f>
        <v>365.05</v>
      </c>
      <c r="L2204" s="16" t="n">
        <f aca="false">H2204*J2204</f>
        <v>154</v>
      </c>
      <c r="M2204" s="16" t="n">
        <f aca="false">K2204-L2204</f>
        <v>211.05</v>
      </c>
      <c r="N2204" s="17" t="n">
        <f aca="false">IFERROR(M2204/K2204,0)</f>
        <v>0.578139980824545</v>
      </c>
    </row>
    <row r="2205" customFormat="false" ht="15" hidden="false" customHeight="false" outlineLevel="0" collapsed="false">
      <c r="A2205" s="15" t="n">
        <v>46114</v>
      </c>
      <c r="B2205" s="14" t="s">
        <v>69</v>
      </c>
      <c r="C2205" s="14" t="s">
        <v>70</v>
      </c>
      <c r="D2205" s="14" t="s">
        <v>71</v>
      </c>
      <c r="E2205" s="14" t="s">
        <v>64</v>
      </c>
      <c r="F2205" s="14" t="s">
        <v>90</v>
      </c>
      <c r="G2205" s="14" t="s">
        <v>91</v>
      </c>
      <c r="H2205" s="0" t="n">
        <v>6</v>
      </c>
      <c r="I2205" s="16" t="n">
        <v>11.71</v>
      </c>
      <c r="J2205" s="16" t="n">
        <v>3.5</v>
      </c>
      <c r="K2205" s="16" t="n">
        <f aca="false">H2205*I2205</f>
        <v>70.26</v>
      </c>
      <c r="L2205" s="16" t="n">
        <f aca="false">H2205*J2205</f>
        <v>21</v>
      </c>
      <c r="M2205" s="16" t="n">
        <f aca="false">K2205-L2205</f>
        <v>49.26</v>
      </c>
      <c r="N2205" s="17" t="n">
        <f aca="false">IFERROR(M2205/K2205,0)</f>
        <v>0.701110162254483</v>
      </c>
    </row>
    <row r="2206" customFormat="false" ht="15" hidden="false" customHeight="false" outlineLevel="0" collapsed="false">
      <c r="A2206" s="15" t="n">
        <v>46114</v>
      </c>
      <c r="B2206" s="14" t="s">
        <v>69</v>
      </c>
      <c r="C2206" s="14" t="s">
        <v>70</v>
      </c>
      <c r="D2206" s="14" t="s">
        <v>71</v>
      </c>
      <c r="E2206" s="14" t="s">
        <v>64</v>
      </c>
      <c r="F2206" s="14" t="s">
        <v>94</v>
      </c>
      <c r="G2206" s="14" t="s">
        <v>95</v>
      </c>
      <c r="H2206" s="0" t="n">
        <v>2</v>
      </c>
      <c r="I2206" s="16" t="n">
        <v>97.43</v>
      </c>
      <c r="J2206" s="16" t="n">
        <v>42</v>
      </c>
      <c r="K2206" s="16" t="n">
        <f aca="false">H2206*I2206</f>
        <v>194.86</v>
      </c>
      <c r="L2206" s="16" t="n">
        <f aca="false">H2206*J2206</f>
        <v>84</v>
      </c>
      <c r="M2206" s="16" t="n">
        <f aca="false">K2206-L2206</f>
        <v>110.86</v>
      </c>
      <c r="N2206" s="17" t="n">
        <f aca="false">IFERROR(M2206/K2206,0)</f>
        <v>0.568921276814123</v>
      </c>
    </row>
    <row r="2207" customFormat="false" ht="15" hidden="false" customHeight="false" outlineLevel="0" collapsed="false">
      <c r="A2207" s="15" t="n">
        <v>46114</v>
      </c>
      <c r="B2207" s="14" t="s">
        <v>81</v>
      </c>
      <c r="C2207" s="14" t="s">
        <v>82</v>
      </c>
      <c r="D2207" s="14" t="s">
        <v>83</v>
      </c>
      <c r="E2207" s="14" t="s">
        <v>64</v>
      </c>
      <c r="F2207" s="14" t="s">
        <v>90</v>
      </c>
      <c r="G2207" s="14" t="s">
        <v>91</v>
      </c>
      <c r="H2207" s="0" t="n">
        <v>6</v>
      </c>
      <c r="I2207" s="16" t="n">
        <v>11.56</v>
      </c>
      <c r="J2207" s="16" t="n">
        <v>3.5</v>
      </c>
      <c r="K2207" s="16" t="n">
        <f aca="false">H2207*I2207</f>
        <v>69.36</v>
      </c>
      <c r="L2207" s="16" t="n">
        <f aca="false">H2207*J2207</f>
        <v>21</v>
      </c>
      <c r="M2207" s="16" t="n">
        <f aca="false">K2207-L2207</f>
        <v>48.36</v>
      </c>
      <c r="N2207" s="17" t="n">
        <f aca="false">IFERROR(M2207/K2207,0)</f>
        <v>0.697231833910035</v>
      </c>
    </row>
    <row r="2208" customFormat="false" ht="15" hidden="false" customHeight="false" outlineLevel="0" collapsed="false">
      <c r="A2208" s="15" t="n">
        <v>46114</v>
      </c>
      <c r="B2208" s="14" t="s">
        <v>81</v>
      </c>
      <c r="C2208" s="14" t="s">
        <v>82</v>
      </c>
      <c r="D2208" s="14" t="s">
        <v>83</v>
      </c>
      <c r="E2208" s="14" t="s">
        <v>64</v>
      </c>
      <c r="F2208" s="14" t="s">
        <v>96</v>
      </c>
      <c r="G2208" s="14" t="s">
        <v>97</v>
      </c>
      <c r="H2208" s="0" t="n">
        <v>5</v>
      </c>
      <c r="I2208" s="16" t="n">
        <v>54.67</v>
      </c>
      <c r="J2208" s="16" t="n">
        <v>24</v>
      </c>
      <c r="K2208" s="16" t="n">
        <f aca="false">H2208*I2208</f>
        <v>273.35</v>
      </c>
      <c r="L2208" s="16" t="n">
        <f aca="false">H2208*J2208</f>
        <v>120</v>
      </c>
      <c r="M2208" s="16" t="n">
        <f aca="false">K2208-L2208</f>
        <v>153.35</v>
      </c>
      <c r="N2208" s="17" t="n">
        <f aca="false">IFERROR(M2208/K2208,0)</f>
        <v>0.561002377903786</v>
      </c>
    </row>
    <row r="2209" customFormat="false" ht="15" hidden="false" customHeight="false" outlineLevel="0" collapsed="false">
      <c r="A2209" s="15" t="n">
        <v>46114</v>
      </c>
      <c r="B2209" s="14" t="s">
        <v>81</v>
      </c>
      <c r="C2209" s="14" t="s">
        <v>82</v>
      </c>
      <c r="D2209" s="14" t="s">
        <v>83</v>
      </c>
      <c r="E2209" s="14" t="s">
        <v>64</v>
      </c>
      <c r="F2209" s="14" t="s">
        <v>96</v>
      </c>
      <c r="G2209" s="14" t="s">
        <v>97</v>
      </c>
      <c r="H2209" s="0" t="n">
        <v>1</v>
      </c>
      <c r="I2209" s="16" t="n">
        <v>55.39</v>
      </c>
      <c r="J2209" s="16" t="n">
        <v>24</v>
      </c>
      <c r="K2209" s="16" t="n">
        <f aca="false">H2209*I2209</f>
        <v>55.39</v>
      </c>
      <c r="L2209" s="16" t="n">
        <f aca="false">H2209*J2209</f>
        <v>24</v>
      </c>
      <c r="M2209" s="16" t="n">
        <f aca="false">K2209-L2209</f>
        <v>31.39</v>
      </c>
      <c r="N2209" s="17" t="n">
        <f aca="false">IFERROR(M2209/K2209,0)</f>
        <v>0.566708792200758</v>
      </c>
    </row>
    <row r="2210" customFormat="false" ht="15" hidden="false" customHeight="false" outlineLevel="0" collapsed="false">
      <c r="A2210" s="15" t="n">
        <v>46114</v>
      </c>
      <c r="B2210" s="14" t="s">
        <v>88</v>
      </c>
      <c r="C2210" s="14" t="s">
        <v>89</v>
      </c>
      <c r="D2210" s="14" t="s">
        <v>44</v>
      </c>
      <c r="E2210" s="14" t="s">
        <v>53</v>
      </c>
      <c r="F2210" s="14" t="s">
        <v>74</v>
      </c>
      <c r="G2210" s="14" t="s">
        <v>75</v>
      </c>
      <c r="H2210" s="0" t="n">
        <v>7</v>
      </c>
      <c r="I2210" s="16" t="n">
        <v>85.86</v>
      </c>
      <c r="J2210" s="16" t="n">
        <v>38</v>
      </c>
      <c r="K2210" s="16" t="n">
        <f aca="false">H2210*I2210</f>
        <v>601.02</v>
      </c>
      <c r="L2210" s="16" t="n">
        <f aca="false">H2210*J2210</f>
        <v>266</v>
      </c>
      <c r="M2210" s="16" t="n">
        <f aca="false">K2210-L2210</f>
        <v>335.02</v>
      </c>
      <c r="N2210" s="17" t="n">
        <f aca="false">IFERROR(M2210/K2210,0)</f>
        <v>0.5574190542744</v>
      </c>
    </row>
    <row r="2211" customFormat="false" ht="15" hidden="false" customHeight="false" outlineLevel="0" collapsed="false">
      <c r="A2211" s="15" t="n">
        <v>46114</v>
      </c>
      <c r="B2211" s="14" t="s">
        <v>88</v>
      </c>
      <c r="C2211" s="14" t="s">
        <v>89</v>
      </c>
      <c r="D2211" s="14" t="s">
        <v>44</v>
      </c>
      <c r="E2211" s="14" t="s">
        <v>53</v>
      </c>
      <c r="F2211" s="14" t="s">
        <v>74</v>
      </c>
      <c r="G2211" s="14" t="s">
        <v>75</v>
      </c>
      <c r="H2211" s="0" t="n">
        <v>1</v>
      </c>
      <c r="I2211" s="16" t="n">
        <v>88.37</v>
      </c>
      <c r="J2211" s="16" t="n">
        <v>38</v>
      </c>
      <c r="K2211" s="16" t="n">
        <f aca="false">H2211*I2211</f>
        <v>88.37</v>
      </c>
      <c r="L2211" s="16" t="n">
        <f aca="false">H2211*J2211</f>
        <v>38</v>
      </c>
      <c r="M2211" s="16" t="n">
        <f aca="false">K2211-L2211</f>
        <v>50.37</v>
      </c>
      <c r="N2211" s="17" t="n">
        <f aca="false">IFERROR(M2211/K2211,0)</f>
        <v>0.569989815548263</v>
      </c>
    </row>
    <row r="2212" customFormat="false" ht="15" hidden="false" customHeight="false" outlineLevel="0" collapsed="false">
      <c r="A2212" s="15" t="n">
        <v>46115</v>
      </c>
      <c r="B2212" s="14" t="s">
        <v>42</v>
      </c>
      <c r="C2212" s="14" t="s">
        <v>43</v>
      </c>
      <c r="D2212" s="14" t="s">
        <v>44</v>
      </c>
      <c r="E2212" s="14" t="s">
        <v>53</v>
      </c>
      <c r="F2212" s="14" t="s">
        <v>92</v>
      </c>
      <c r="G2212" s="14" t="s">
        <v>93</v>
      </c>
      <c r="H2212" s="0" t="n">
        <v>12</v>
      </c>
      <c r="I2212" s="16" t="n">
        <v>111.78</v>
      </c>
      <c r="J2212" s="16" t="n">
        <v>52</v>
      </c>
      <c r="K2212" s="16" t="n">
        <f aca="false">H2212*I2212</f>
        <v>1341.36</v>
      </c>
      <c r="L2212" s="16" t="n">
        <f aca="false">H2212*J2212</f>
        <v>624</v>
      </c>
      <c r="M2212" s="16" t="n">
        <f aca="false">K2212-L2212</f>
        <v>717.36</v>
      </c>
      <c r="N2212" s="17" t="n">
        <f aca="false">IFERROR(M2212/K2212,0)</f>
        <v>0.534800500984076</v>
      </c>
    </row>
    <row r="2213" customFormat="false" ht="15" hidden="false" customHeight="false" outlineLevel="0" collapsed="false">
      <c r="A2213" s="15" t="n">
        <v>46115</v>
      </c>
      <c r="B2213" s="14" t="s">
        <v>42</v>
      </c>
      <c r="C2213" s="14" t="s">
        <v>43</v>
      </c>
      <c r="D2213" s="14" t="s">
        <v>44</v>
      </c>
      <c r="E2213" s="14" t="s">
        <v>56</v>
      </c>
      <c r="F2213" s="14" t="s">
        <v>57</v>
      </c>
      <c r="G2213" s="14" t="s">
        <v>58</v>
      </c>
      <c r="H2213" s="0" t="n">
        <v>6</v>
      </c>
      <c r="I2213" s="16" t="n">
        <v>25.3</v>
      </c>
      <c r="J2213" s="16" t="n">
        <v>10</v>
      </c>
      <c r="K2213" s="16" t="n">
        <f aca="false">H2213*I2213</f>
        <v>151.8</v>
      </c>
      <c r="L2213" s="16" t="n">
        <f aca="false">H2213*J2213</f>
        <v>60</v>
      </c>
      <c r="M2213" s="16" t="n">
        <f aca="false">K2213-L2213</f>
        <v>91.8</v>
      </c>
      <c r="N2213" s="17" t="n">
        <f aca="false">IFERROR(M2213/K2213,0)</f>
        <v>0.604743083003953</v>
      </c>
    </row>
    <row r="2214" customFormat="false" ht="15" hidden="false" customHeight="false" outlineLevel="0" collapsed="false">
      <c r="A2214" s="15" t="n">
        <v>46115</v>
      </c>
      <c r="B2214" s="14" t="s">
        <v>42</v>
      </c>
      <c r="C2214" s="14" t="s">
        <v>43</v>
      </c>
      <c r="D2214" s="14" t="s">
        <v>44</v>
      </c>
      <c r="E2214" s="14" t="s">
        <v>53</v>
      </c>
      <c r="F2214" s="14" t="s">
        <v>74</v>
      </c>
      <c r="G2214" s="14" t="s">
        <v>75</v>
      </c>
      <c r="H2214" s="0" t="n">
        <v>4</v>
      </c>
      <c r="I2214" s="16" t="n">
        <v>82.71</v>
      </c>
      <c r="J2214" s="16" t="n">
        <v>38</v>
      </c>
      <c r="K2214" s="16" t="n">
        <f aca="false">H2214*I2214</f>
        <v>330.84</v>
      </c>
      <c r="L2214" s="16" t="n">
        <f aca="false">H2214*J2214</f>
        <v>152</v>
      </c>
      <c r="M2214" s="16" t="n">
        <f aca="false">K2214-L2214</f>
        <v>178.84</v>
      </c>
      <c r="N2214" s="17" t="n">
        <f aca="false">IFERROR(M2214/K2214,0)</f>
        <v>0.540563414339258</v>
      </c>
    </row>
    <row r="2215" customFormat="false" ht="15" hidden="false" customHeight="false" outlineLevel="0" collapsed="false">
      <c r="A2215" s="15" t="n">
        <v>46115</v>
      </c>
      <c r="B2215" s="14" t="s">
        <v>42</v>
      </c>
      <c r="C2215" s="14" t="s">
        <v>43</v>
      </c>
      <c r="D2215" s="14" t="s">
        <v>44</v>
      </c>
      <c r="E2215" s="14" t="s">
        <v>53</v>
      </c>
      <c r="F2215" s="14" t="s">
        <v>84</v>
      </c>
      <c r="G2215" s="14" t="s">
        <v>85</v>
      </c>
      <c r="H2215" s="0" t="n">
        <v>1</v>
      </c>
      <c r="I2215" s="16" t="n">
        <v>24.39</v>
      </c>
      <c r="J2215" s="16" t="n">
        <v>9</v>
      </c>
      <c r="K2215" s="16" t="n">
        <f aca="false">H2215*I2215</f>
        <v>24.39</v>
      </c>
      <c r="L2215" s="16" t="n">
        <f aca="false">H2215*J2215</f>
        <v>9</v>
      </c>
      <c r="M2215" s="16" t="n">
        <f aca="false">K2215-L2215</f>
        <v>15.39</v>
      </c>
      <c r="N2215" s="17" t="n">
        <f aca="false">IFERROR(M2215/K2215,0)</f>
        <v>0.6309963099631</v>
      </c>
    </row>
    <row r="2216" customFormat="false" ht="15" hidden="false" customHeight="false" outlineLevel="0" collapsed="false">
      <c r="A2216" s="15" t="n">
        <v>46115</v>
      </c>
      <c r="B2216" s="14" t="s">
        <v>50</v>
      </c>
      <c r="C2216" s="14" t="s">
        <v>51</v>
      </c>
      <c r="D2216" s="14" t="s">
        <v>52</v>
      </c>
      <c r="E2216" s="14" t="s">
        <v>76</v>
      </c>
      <c r="F2216" s="14" t="s">
        <v>79</v>
      </c>
      <c r="G2216" s="14" t="s">
        <v>80</v>
      </c>
      <c r="H2216" s="0" t="n">
        <v>2</v>
      </c>
      <c r="I2216" s="16" t="n">
        <v>29.19</v>
      </c>
      <c r="J2216" s="16" t="n">
        <v>11</v>
      </c>
      <c r="K2216" s="16" t="n">
        <f aca="false">H2216*I2216</f>
        <v>58.38</v>
      </c>
      <c r="L2216" s="16" t="n">
        <f aca="false">H2216*J2216</f>
        <v>22</v>
      </c>
      <c r="M2216" s="16" t="n">
        <f aca="false">K2216-L2216</f>
        <v>36.38</v>
      </c>
      <c r="N2216" s="17" t="n">
        <f aca="false">IFERROR(M2216/K2216,0)</f>
        <v>0.623158615964371</v>
      </c>
    </row>
    <row r="2217" customFormat="false" ht="15" hidden="false" customHeight="false" outlineLevel="0" collapsed="false">
      <c r="A2217" s="15" t="n">
        <v>46115</v>
      </c>
      <c r="B2217" s="14" t="s">
        <v>50</v>
      </c>
      <c r="C2217" s="14" t="s">
        <v>51</v>
      </c>
      <c r="D2217" s="14" t="s">
        <v>52</v>
      </c>
      <c r="E2217" s="14" t="s">
        <v>45</v>
      </c>
      <c r="F2217" s="14" t="s">
        <v>72</v>
      </c>
      <c r="G2217" s="14" t="s">
        <v>73</v>
      </c>
      <c r="H2217" s="0" t="n">
        <v>4</v>
      </c>
      <c r="I2217" s="16" t="n">
        <v>47.97</v>
      </c>
      <c r="J2217" s="16" t="n">
        <v>21</v>
      </c>
      <c r="K2217" s="16" t="n">
        <f aca="false">H2217*I2217</f>
        <v>191.88</v>
      </c>
      <c r="L2217" s="16" t="n">
        <f aca="false">H2217*J2217</f>
        <v>84</v>
      </c>
      <c r="M2217" s="16" t="n">
        <f aca="false">K2217-L2217</f>
        <v>107.88</v>
      </c>
      <c r="N2217" s="17" t="n">
        <f aca="false">IFERROR(M2217/K2217,0)</f>
        <v>0.562226391494684</v>
      </c>
    </row>
    <row r="2218" customFormat="false" ht="15" hidden="false" customHeight="false" outlineLevel="0" collapsed="false">
      <c r="A2218" s="15" t="n">
        <v>46115</v>
      </c>
      <c r="B2218" s="14" t="s">
        <v>50</v>
      </c>
      <c r="C2218" s="14" t="s">
        <v>51</v>
      </c>
      <c r="D2218" s="14" t="s">
        <v>52</v>
      </c>
      <c r="E2218" s="14" t="s">
        <v>76</v>
      </c>
      <c r="F2218" s="14" t="s">
        <v>77</v>
      </c>
      <c r="G2218" s="14" t="s">
        <v>78</v>
      </c>
      <c r="H2218" s="0" t="n">
        <v>2</v>
      </c>
      <c r="I2218" s="16" t="n">
        <v>39.46</v>
      </c>
      <c r="J2218" s="16" t="n">
        <v>15</v>
      </c>
      <c r="K2218" s="16" t="n">
        <f aca="false">H2218*I2218</f>
        <v>78.92</v>
      </c>
      <c r="L2218" s="16" t="n">
        <f aca="false">H2218*J2218</f>
        <v>30</v>
      </c>
      <c r="M2218" s="16" t="n">
        <f aca="false">K2218-L2218</f>
        <v>48.92</v>
      </c>
      <c r="N2218" s="17" t="n">
        <f aca="false">IFERROR(M2218/K2218,0)</f>
        <v>0.619868220983274</v>
      </c>
    </row>
    <row r="2219" customFormat="false" ht="15" hidden="false" customHeight="false" outlineLevel="0" collapsed="false">
      <c r="A2219" s="15" t="n">
        <v>46115</v>
      </c>
      <c r="B2219" s="14" t="s">
        <v>50</v>
      </c>
      <c r="C2219" s="14" t="s">
        <v>51</v>
      </c>
      <c r="D2219" s="14" t="s">
        <v>52</v>
      </c>
      <c r="E2219" s="14" t="s">
        <v>45</v>
      </c>
      <c r="F2219" s="14" t="s">
        <v>72</v>
      </c>
      <c r="G2219" s="14" t="s">
        <v>73</v>
      </c>
      <c r="H2219" s="0" t="n">
        <v>4</v>
      </c>
      <c r="I2219" s="16" t="n">
        <v>51.02</v>
      </c>
      <c r="J2219" s="16" t="n">
        <v>21</v>
      </c>
      <c r="K2219" s="16" t="n">
        <f aca="false">H2219*I2219</f>
        <v>204.08</v>
      </c>
      <c r="L2219" s="16" t="n">
        <f aca="false">H2219*J2219</f>
        <v>84</v>
      </c>
      <c r="M2219" s="16" t="n">
        <f aca="false">K2219-L2219</f>
        <v>120.08</v>
      </c>
      <c r="N2219" s="17" t="n">
        <f aca="false">IFERROR(M2219/K2219,0)</f>
        <v>0.588396707173657</v>
      </c>
    </row>
    <row r="2220" customFormat="false" ht="15" hidden="false" customHeight="false" outlineLevel="0" collapsed="false">
      <c r="A2220" s="15" t="n">
        <v>46115</v>
      </c>
      <c r="B2220" s="14" t="s">
        <v>50</v>
      </c>
      <c r="C2220" s="14" t="s">
        <v>51</v>
      </c>
      <c r="D2220" s="14" t="s">
        <v>52</v>
      </c>
      <c r="E2220" s="14" t="s">
        <v>64</v>
      </c>
      <c r="F2220" s="14" t="s">
        <v>96</v>
      </c>
      <c r="G2220" s="14" t="s">
        <v>97</v>
      </c>
      <c r="H2220" s="0" t="n">
        <v>5</v>
      </c>
      <c r="I2220" s="16" t="n">
        <v>56.5</v>
      </c>
      <c r="J2220" s="16" t="n">
        <v>24</v>
      </c>
      <c r="K2220" s="16" t="n">
        <f aca="false">H2220*I2220</f>
        <v>282.5</v>
      </c>
      <c r="L2220" s="16" t="n">
        <f aca="false">H2220*J2220</f>
        <v>120</v>
      </c>
      <c r="M2220" s="16" t="n">
        <f aca="false">K2220-L2220</f>
        <v>162.5</v>
      </c>
      <c r="N2220" s="17" t="n">
        <f aca="false">IFERROR(M2220/K2220,0)</f>
        <v>0.575221238938053</v>
      </c>
    </row>
    <row r="2221" customFormat="false" ht="15" hidden="false" customHeight="false" outlineLevel="0" collapsed="false">
      <c r="A2221" s="15" t="n">
        <v>46115</v>
      </c>
      <c r="B2221" s="14" t="s">
        <v>59</v>
      </c>
      <c r="C2221" s="14" t="s">
        <v>60</v>
      </c>
      <c r="D2221" s="14" t="s">
        <v>61</v>
      </c>
      <c r="E2221" s="14" t="s">
        <v>64</v>
      </c>
      <c r="F2221" s="14" t="s">
        <v>65</v>
      </c>
      <c r="G2221" s="14" t="s">
        <v>66</v>
      </c>
      <c r="H2221" s="0" t="n">
        <v>4</v>
      </c>
      <c r="I2221" s="16" t="n">
        <v>73.38</v>
      </c>
      <c r="J2221" s="16" t="n">
        <v>34</v>
      </c>
      <c r="K2221" s="16" t="n">
        <f aca="false">H2221*I2221</f>
        <v>293.52</v>
      </c>
      <c r="L2221" s="16" t="n">
        <f aca="false">H2221*J2221</f>
        <v>136</v>
      </c>
      <c r="M2221" s="16" t="n">
        <f aca="false">K2221-L2221</f>
        <v>157.52</v>
      </c>
      <c r="N2221" s="17" t="n">
        <f aca="false">IFERROR(M2221/K2221,0)</f>
        <v>0.536658490051785</v>
      </c>
    </row>
    <row r="2222" customFormat="false" ht="15" hidden="false" customHeight="false" outlineLevel="0" collapsed="false">
      <c r="A2222" s="15" t="n">
        <v>46115</v>
      </c>
      <c r="B2222" s="14" t="s">
        <v>59</v>
      </c>
      <c r="C2222" s="14" t="s">
        <v>60</v>
      </c>
      <c r="D2222" s="14" t="s">
        <v>61</v>
      </c>
      <c r="E2222" s="14" t="s">
        <v>45</v>
      </c>
      <c r="F2222" s="14" t="s">
        <v>48</v>
      </c>
      <c r="G2222" s="14" t="s">
        <v>49</v>
      </c>
      <c r="H2222" s="0" t="n">
        <v>3</v>
      </c>
      <c r="I2222" s="16" t="n">
        <v>65.3</v>
      </c>
      <c r="J2222" s="16" t="n">
        <v>27.5</v>
      </c>
      <c r="K2222" s="16" t="n">
        <f aca="false">H2222*I2222</f>
        <v>195.9</v>
      </c>
      <c r="L2222" s="16" t="n">
        <f aca="false">H2222*J2222</f>
        <v>82.5</v>
      </c>
      <c r="M2222" s="16" t="n">
        <f aca="false">K2222-L2222</f>
        <v>113.4</v>
      </c>
      <c r="N2222" s="17" t="n">
        <f aca="false">IFERROR(M2222/K2222,0)</f>
        <v>0.578866768759571</v>
      </c>
    </row>
    <row r="2223" customFormat="false" ht="15" hidden="false" customHeight="false" outlineLevel="0" collapsed="false">
      <c r="A2223" s="15" t="n">
        <v>46115</v>
      </c>
      <c r="B2223" s="14" t="s">
        <v>59</v>
      </c>
      <c r="C2223" s="14" t="s">
        <v>60</v>
      </c>
      <c r="D2223" s="14" t="s">
        <v>61</v>
      </c>
      <c r="E2223" s="14" t="s">
        <v>45</v>
      </c>
      <c r="F2223" s="14" t="s">
        <v>72</v>
      </c>
      <c r="G2223" s="14" t="s">
        <v>73</v>
      </c>
      <c r="H2223" s="0" t="n">
        <v>8</v>
      </c>
      <c r="I2223" s="16" t="n">
        <v>50.67</v>
      </c>
      <c r="J2223" s="16" t="n">
        <v>21</v>
      </c>
      <c r="K2223" s="16" t="n">
        <f aca="false">H2223*I2223</f>
        <v>405.36</v>
      </c>
      <c r="L2223" s="16" t="n">
        <f aca="false">H2223*J2223</f>
        <v>168</v>
      </c>
      <c r="M2223" s="16" t="n">
        <f aca="false">K2223-L2223</f>
        <v>237.36</v>
      </c>
      <c r="N2223" s="17" t="n">
        <f aca="false">IFERROR(M2223/K2223,0)</f>
        <v>0.585553582001184</v>
      </c>
    </row>
    <row r="2224" customFormat="false" ht="15" hidden="false" customHeight="false" outlineLevel="0" collapsed="false">
      <c r="A2224" s="15" t="n">
        <v>46115</v>
      </c>
      <c r="B2224" s="14" t="s">
        <v>59</v>
      </c>
      <c r="C2224" s="14" t="s">
        <v>60</v>
      </c>
      <c r="D2224" s="14" t="s">
        <v>61</v>
      </c>
      <c r="E2224" s="14" t="s">
        <v>64</v>
      </c>
      <c r="F2224" s="14" t="s">
        <v>94</v>
      </c>
      <c r="G2224" s="14" t="s">
        <v>95</v>
      </c>
      <c r="H2224" s="0" t="n">
        <v>4</v>
      </c>
      <c r="I2224" s="16" t="n">
        <v>96.7</v>
      </c>
      <c r="J2224" s="16" t="n">
        <v>42</v>
      </c>
      <c r="K2224" s="16" t="n">
        <f aca="false">H2224*I2224</f>
        <v>386.8</v>
      </c>
      <c r="L2224" s="16" t="n">
        <f aca="false">H2224*J2224</f>
        <v>168</v>
      </c>
      <c r="M2224" s="16" t="n">
        <f aca="false">K2224-L2224</f>
        <v>218.8</v>
      </c>
      <c r="N2224" s="17" t="n">
        <f aca="false">IFERROR(M2224/K2224,0)</f>
        <v>0.565667011375388</v>
      </c>
    </row>
    <row r="2225" customFormat="false" ht="15" hidden="false" customHeight="false" outlineLevel="0" collapsed="false">
      <c r="A2225" s="15" t="n">
        <v>46115</v>
      </c>
      <c r="B2225" s="14" t="s">
        <v>69</v>
      </c>
      <c r="C2225" s="14" t="s">
        <v>70</v>
      </c>
      <c r="D2225" s="14" t="s">
        <v>71</v>
      </c>
      <c r="E2225" s="14" t="s">
        <v>53</v>
      </c>
      <c r="F2225" s="14" t="s">
        <v>92</v>
      </c>
      <c r="G2225" s="14" t="s">
        <v>93</v>
      </c>
      <c r="H2225" s="0" t="n">
        <v>2</v>
      </c>
      <c r="I2225" s="16" t="n">
        <v>115.41</v>
      </c>
      <c r="J2225" s="16" t="n">
        <v>52</v>
      </c>
      <c r="K2225" s="16" t="n">
        <f aca="false">H2225*I2225</f>
        <v>230.82</v>
      </c>
      <c r="L2225" s="16" t="n">
        <f aca="false">H2225*J2225</f>
        <v>104</v>
      </c>
      <c r="M2225" s="16" t="n">
        <f aca="false">K2225-L2225</f>
        <v>126.82</v>
      </c>
      <c r="N2225" s="17" t="n">
        <f aca="false">IFERROR(M2225/K2225,0)</f>
        <v>0.549432458192531</v>
      </c>
    </row>
    <row r="2226" customFormat="false" ht="15" hidden="false" customHeight="false" outlineLevel="0" collapsed="false">
      <c r="A2226" s="15" t="n">
        <v>46115</v>
      </c>
      <c r="B2226" s="14" t="s">
        <v>69</v>
      </c>
      <c r="C2226" s="14" t="s">
        <v>70</v>
      </c>
      <c r="D2226" s="14" t="s">
        <v>71</v>
      </c>
      <c r="E2226" s="14" t="s">
        <v>53</v>
      </c>
      <c r="F2226" s="14" t="s">
        <v>54</v>
      </c>
      <c r="G2226" s="14" t="s">
        <v>55</v>
      </c>
      <c r="H2226" s="0" t="n">
        <v>7</v>
      </c>
      <c r="I2226" s="16" t="n">
        <v>53.32</v>
      </c>
      <c r="J2226" s="16" t="n">
        <v>22</v>
      </c>
      <c r="K2226" s="16" t="n">
        <f aca="false">H2226*I2226</f>
        <v>373.24</v>
      </c>
      <c r="L2226" s="16" t="n">
        <f aca="false">H2226*J2226</f>
        <v>154</v>
      </c>
      <c r="M2226" s="16" t="n">
        <f aca="false">K2226-L2226</f>
        <v>219.24</v>
      </c>
      <c r="N2226" s="17" t="n">
        <f aca="false">IFERROR(M2226/K2226,0)</f>
        <v>0.587396849212303</v>
      </c>
    </row>
    <row r="2227" customFormat="false" ht="15" hidden="false" customHeight="false" outlineLevel="0" collapsed="false">
      <c r="A2227" s="15" t="n">
        <v>46115</v>
      </c>
      <c r="B2227" s="14" t="s">
        <v>69</v>
      </c>
      <c r="C2227" s="14" t="s">
        <v>70</v>
      </c>
      <c r="D2227" s="14" t="s">
        <v>71</v>
      </c>
      <c r="E2227" s="14" t="s">
        <v>53</v>
      </c>
      <c r="F2227" s="14" t="s">
        <v>84</v>
      </c>
      <c r="G2227" s="14" t="s">
        <v>85</v>
      </c>
      <c r="H2227" s="0" t="n">
        <v>3</v>
      </c>
      <c r="I2227" s="16" t="n">
        <v>24.65</v>
      </c>
      <c r="J2227" s="16" t="n">
        <v>9</v>
      </c>
      <c r="K2227" s="16" t="n">
        <f aca="false">H2227*I2227</f>
        <v>73.95</v>
      </c>
      <c r="L2227" s="16" t="n">
        <f aca="false">H2227*J2227</f>
        <v>27</v>
      </c>
      <c r="M2227" s="16" t="n">
        <f aca="false">K2227-L2227</f>
        <v>46.95</v>
      </c>
      <c r="N2227" s="17" t="n">
        <f aca="false">IFERROR(M2227/K2227,0)</f>
        <v>0.634888438133874</v>
      </c>
    </row>
    <row r="2228" customFormat="false" ht="15" hidden="false" customHeight="false" outlineLevel="0" collapsed="false">
      <c r="A2228" s="15" t="n">
        <v>46115</v>
      </c>
      <c r="B2228" s="14" t="s">
        <v>69</v>
      </c>
      <c r="C2228" s="14" t="s">
        <v>70</v>
      </c>
      <c r="D2228" s="14" t="s">
        <v>71</v>
      </c>
      <c r="E2228" s="14" t="s">
        <v>56</v>
      </c>
      <c r="F2228" s="14" t="s">
        <v>98</v>
      </c>
      <c r="G2228" s="14" t="s">
        <v>99</v>
      </c>
      <c r="H2228" s="0" t="n">
        <v>7</v>
      </c>
      <c r="I2228" s="16" t="n">
        <v>21.08</v>
      </c>
      <c r="J2228" s="16" t="n">
        <v>8</v>
      </c>
      <c r="K2228" s="16" t="n">
        <f aca="false">H2228*I2228</f>
        <v>147.56</v>
      </c>
      <c r="L2228" s="16" t="n">
        <f aca="false">H2228*J2228</f>
        <v>56</v>
      </c>
      <c r="M2228" s="16" t="n">
        <f aca="false">K2228-L2228</f>
        <v>91.56</v>
      </c>
      <c r="N2228" s="17" t="n">
        <f aca="false">IFERROR(M2228/K2228,0)</f>
        <v>0.620493358633776</v>
      </c>
    </row>
    <row r="2229" customFormat="false" ht="15" hidden="false" customHeight="false" outlineLevel="0" collapsed="false">
      <c r="A2229" s="15" t="n">
        <v>46115</v>
      </c>
      <c r="B2229" s="14" t="s">
        <v>69</v>
      </c>
      <c r="C2229" s="14" t="s">
        <v>70</v>
      </c>
      <c r="D2229" s="14" t="s">
        <v>71</v>
      </c>
      <c r="E2229" s="14" t="s">
        <v>64</v>
      </c>
      <c r="F2229" s="14" t="s">
        <v>90</v>
      </c>
      <c r="G2229" s="14" t="s">
        <v>91</v>
      </c>
      <c r="H2229" s="0" t="n">
        <v>2</v>
      </c>
      <c r="I2229" s="16" t="n">
        <v>11.09</v>
      </c>
      <c r="J2229" s="16" t="n">
        <v>3.5</v>
      </c>
      <c r="K2229" s="16" t="n">
        <f aca="false">H2229*I2229</f>
        <v>22.18</v>
      </c>
      <c r="L2229" s="16" t="n">
        <f aca="false">H2229*J2229</f>
        <v>7</v>
      </c>
      <c r="M2229" s="16" t="n">
        <f aca="false">K2229-L2229</f>
        <v>15.18</v>
      </c>
      <c r="N2229" s="17" t="n">
        <f aca="false">IFERROR(M2229/K2229,0)</f>
        <v>0.684400360685302</v>
      </c>
    </row>
    <row r="2230" customFormat="false" ht="15" hidden="false" customHeight="false" outlineLevel="0" collapsed="false">
      <c r="A2230" s="15" t="n">
        <v>46115</v>
      </c>
      <c r="B2230" s="14" t="s">
        <v>81</v>
      </c>
      <c r="C2230" s="14" t="s">
        <v>82</v>
      </c>
      <c r="D2230" s="14" t="s">
        <v>83</v>
      </c>
      <c r="E2230" s="14" t="s">
        <v>64</v>
      </c>
      <c r="F2230" s="14" t="s">
        <v>96</v>
      </c>
      <c r="G2230" s="14" t="s">
        <v>97</v>
      </c>
      <c r="H2230" s="0" t="n">
        <v>4</v>
      </c>
      <c r="I2230" s="16" t="n">
        <v>54.79</v>
      </c>
      <c r="J2230" s="16" t="n">
        <v>24</v>
      </c>
      <c r="K2230" s="16" t="n">
        <f aca="false">H2230*I2230</f>
        <v>219.16</v>
      </c>
      <c r="L2230" s="16" t="n">
        <f aca="false">H2230*J2230</f>
        <v>96</v>
      </c>
      <c r="M2230" s="16" t="n">
        <f aca="false">K2230-L2230</f>
        <v>123.16</v>
      </c>
      <c r="N2230" s="17" t="n">
        <f aca="false">IFERROR(M2230/K2230,0)</f>
        <v>0.561963862018617</v>
      </c>
    </row>
    <row r="2231" customFormat="false" ht="15" hidden="false" customHeight="false" outlineLevel="0" collapsed="false">
      <c r="A2231" s="15" t="n">
        <v>46115</v>
      </c>
      <c r="B2231" s="14" t="s">
        <v>81</v>
      </c>
      <c r="C2231" s="14" t="s">
        <v>82</v>
      </c>
      <c r="D2231" s="14" t="s">
        <v>83</v>
      </c>
      <c r="E2231" s="14" t="s">
        <v>45</v>
      </c>
      <c r="F2231" s="14" t="s">
        <v>46</v>
      </c>
      <c r="G2231" s="14" t="s">
        <v>47</v>
      </c>
      <c r="H2231" s="0" t="n">
        <v>5</v>
      </c>
      <c r="I2231" s="16" t="n">
        <v>41.5</v>
      </c>
      <c r="J2231" s="16" t="n">
        <v>18</v>
      </c>
      <c r="K2231" s="16" t="n">
        <f aca="false">H2231*I2231</f>
        <v>207.5</v>
      </c>
      <c r="L2231" s="16" t="n">
        <f aca="false">H2231*J2231</f>
        <v>90</v>
      </c>
      <c r="M2231" s="16" t="n">
        <f aca="false">K2231-L2231</f>
        <v>117.5</v>
      </c>
      <c r="N2231" s="17" t="n">
        <f aca="false">IFERROR(M2231/K2231,0)</f>
        <v>0.566265060240964</v>
      </c>
    </row>
    <row r="2232" customFormat="false" ht="15" hidden="false" customHeight="false" outlineLevel="0" collapsed="false">
      <c r="A2232" s="15" t="n">
        <v>46115</v>
      </c>
      <c r="B2232" s="14" t="s">
        <v>81</v>
      </c>
      <c r="C2232" s="14" t="s">
        <v>82</v>
      </c>
      <c r="D2232" s="14" t="s">
        <v>83</v>
      </c>
      <c r="E2232" s="14" t="s">
        <v>76</v>
      </c>
      <c r="F2232" s="14" t="s">
        <v>77</v>
      </c>
      <c r="G2232" s="14" t="s">
        <v>78</v>
      </c>
      <c r="H2232" s="0" t="n">
        <v>2</v>
      </c>
      <c r="I2232" s="16" t="n">
        <v>38.86</v>
      </c>
      <c r="J2232" s="16" t="n">
        <v>15</v>
      </c>
      <c r="K2232" s="16" t="n">
        <f aca="false">H2232*I2232</f>
        <v>77.72</v>
      </c>
      <c r="L2232" s="16" t="n">
        <f aca="false">H2232*J2232</f>
        <v>30</v>
      </c>
      <c r="M2232" s="16" t="n">
        <f aca="false">K2232-L2232</f>
        <v>47.72</v>
      </c>
      <c r="N2232" s="17" t="n">
        <f aca="false">IFERROR(M2232/K2232,0)</f>
        <v>0.613998970663922</v>
      </c>
    </row>
    <row r="2233" customFormat="false" ht="15" hidden="false" customHeight="false" outlineLevel="0" collapsed="false">
      <c r="A2233" s="15" t="n">
        <v>46115</v>
      </c>
      <c r="B2233" s="14" t="s">
        <v>81</v>
      </c>
      <c r="C2233" s="14" t="s">
        <v>82</v>
      </c>
      <c r="D2233" s="14" t="s">
        <v>83</v>
      </c>
      <c r="E2233" s="14" t="s">
        <v>56</v>
      </c>
      <c r="F2233" s="14" t="s">
        <v>98</v>
      </c>
      <c r="G2233" s="14" t="s">
        <v>99</v>
      </c>
      <c r="H2233" s="0" t="n">
        <v>4</v>
      </c>
      <c r="I2233" s="16" t="n">
        <v>20.57</v>
      </c>
      <c r="J2233" s="16" t="n">
        <v>8</v>
      </c>
      <c r="K2233" s="16" t="n">
        <f aca="false">H2233*I2233</f>
        <v>82.28</v>
      </c>
      <c r="L2233" s="16" t="n">
        <f aca="false">H2233*J2233</f>
        <v>32</v>
      </c>
      <c r="M2233" s="16" t="n">
        <f aca="false">K2233-L2233</f>
        <v>50.28</v>
      </c>
      <c r="N2233" s="17" t="n">
        <f aca="false">IFERROR(M2233/K2233,0)</f>
        <v>0.611084103062713</v>
      </c>
    </row>
    <row r="2234" customFormat="false" ht="15" hidden="false" customHeight="false" outlineLevel="0" collapsed="false">
      <c r="A2234" s="15" t="n">
        <v>46115</v>
      </c>
      <c r="B2234" s="14" t="s">
        <v>88</v>
      </c>
      <c r="C2234" s="14" t="s">
        <v>89</v>
      </c>
      <c r="D2234" s="14" t="s">
        <v>44</v>
      </c>
      <c r="E2234" s="14" t="s">
        <v>45</v>
      </c>
      <c r="F2234" s="14" t="s">
        <v>62</v>
      </c>
      <c r="G2234" s="14" t="s">
        <v>63</v>
      </c>
      <c r="H2234" s="0" t="n">
        <v>6</v>
      </c>
      <c r="I2234" s="16" t="n">
        <v>16.68</v>
      </c>
      <c r="J2234" s="16" t="n">
        <v>6.5</v>
      </c>
      <c r="K2234" s="16" t="n">
        <f aca="false">H2234*I2234</f>
        <v>100.08</v>
      </c>
      <c r="L2234" s="16" t="n">
        <f aca="false">H2234*J2234</f>
        <v>39</v>
      </c>
      <c r="M2234" s="16" t="n">
        <f aca="false">K2234-L2234</f>
        <v>61.08</v>
      </c>
      <c r="N2234" s="17" t="n">
        <f aca="false">IFERROR(M2234/K2234,0)</f>
        <v>0.61031175059952</v>
      </c>
    </row>
    <row r="2235" customFormat="false" ht="15" hidden="false" customHeight="false" outlineLevel="0" collapsed="false">
      <c r="A2235" s="15" t="n">
        <v>46115</v>
      </c>
      <c r="B2235" s="14" t="s">
        <v>88</v>
      </c>
      <c r="C2235" s="14" t="s">
        <v>89</v>
      </c>
      <c r="D2235" s="14" t="s">
        <v>44</v>
      </c>
      <c r="E2235" s="14" t="s">
        <v>56</v>
      </c>
      <c r="F2235" s="14" t="s">
        <v>98</v>
      </c>
      <c r="G2235" s="14" t="s">
        <v>99</v>
      </c>
      <c r="H2235" s="0" t="n">
        <v>9</v>
      </c>
      <c r="I2235" s="16" t="n">
        <v>20.32</v>
      </c>
      <c r="J2235" s="16" t="n">
        <v>8</v>
      </c>
      <c r="K2235" s="16" t="n">
        <f aca="false">H2235*I2235</f>
        <v>182.88</v>
      </c>
      <c r="L2235" s="16" t="n">
        <f aca="false">H2235*J2235</f>
        <v>72</v>
      </c>
      <c r="M2235" s="16" t="n">
        <f aca="false">K2235-L2235</f>
        <v>110.88</v>
      </c>
      <c r="N2235" s="17" t="n">
        <f aca="false">IFERROR(M2235/K2235,0)</f>
        <v>0.606299212598425</v>
      </c>
    </row>
    <row r="2236" customFormat="false" ht="15" hidden="false" customHeight="false" outlineLevel="0" collapsed="false">
      <c r="A2236" s="15" t="n">
        <v>46115</v>
      </c>
      <c r="B2236" s="14" t="s">
        <v>88</v>
      </c>
      <c r="C2236" s="14" t="s">
        <v>89</v>
      </c>
      <c r="D2236" s="14" t="s">
        <v>44</v>
      </c>
      <c r="E2236" s="14" t="s">
        <v>76</v>
      </c>
      <c r="F2236" s="14" t="s">
        <v>79</v>
      </c>
      <c r="G2236" s="14" t="s">
        <v>80</v>
      </c>
      <c r="H2236" s="0" t="n">
        <v>5</v>
      </c>
      <c r="I2236" s="16" t="n">
        <v>27.62</v>
      </c>
      <c r="J2236" s="16" t="n">
        <v>11</v>
      </c>
      <c r="K2236" s="16" t="n">
        <f aca="false">H2236*I2236</f>
        <v>138.1</v>
      </c>
      <c r="L2236" s="16" t="n">
        <f aca="false">H2236*J2236</f>
        <v>55</v>
      </c>
      <c r="M2236" s="16" t="n">
        <f aca="false">K2236-L2236</f>
        <v>83.1</v>
      </c>
      <c r="N2236" s="17" t="n">
        <f aca="false">IFERROR(M2236/K2236,0)</f>
        <v>0.601737871107893</v>
      </c>
    </row>
    <row r="2237" customFormat="false" ht="15" hidden="false" customHeight="false" outlineLevel="0" collapsed="false">
      <c r="A2237" s="15" t="n">
        <v>46116</v>
      </c>
      <c r="B2237" s="14" t="s">
        <v>42</v>
      </c>
      <c r="C2237" s="14" t="s">
        <v>43</v>
      </c>
      <c r="D2237" s="14" t="s">
        <v>44</v>
      </c>
      <c r="E2237" s="14" t="s">
        <v>76</v>
      </c>
      <c r="F2237" s="14" t="s">
        <v>100</v>
      </c>
      <c r="G2237" s="14" t="s">
        <v>101</v>
      </c>
      <c r="H2237" s="0" t="n">
        <v>6</v>
      </c>
      <c r="I2237" s="16" t="n">
        <v>15.12</v>
      </c>
      <c r="J2237" s="16" t="n">
        <v>5.5</v>
      </c>
      <c r="K2237" s="16" t="n">
        <f aca="false">H2237*I2237</f>
        <v>90.72</v>
      </c>
      <c r="L2237" s="16" t="n">
        <f aca="false">H2237*J2237</f>
        <v>33</v>
      </c>
      <c r="M2237" s="16" t="n">
        <f aca="false">K2237-L2237</f>
        <v>57.72</v>
      </c>
      <c r="N2237" s="17" t="n">
        <f aca="false">IFERROR(M2237/K2237,0)</f>
        <v>0.636243386243386</v>
      </c>
    </row>
    <row r="2238" customFormat="false" ht="15" hidden="false" customHeight="false" outlineLevel="0" collapsed="false">
      <c r="A2238" s="15" t="n">
        <v>46116</v>
      </c>
      <c r="B2238" s="14" t="s">
        <v>42</v>
      </c>
      <c r="C2238" s="14" t="s">
        <v>43</v>
      </c>
      <c r="D2238" s="14" t="s">
        <v>44</v>
      </c>
      <c r="E2238" s="14" t="s">
        <v>64</v>
      </c>
      <c r="F2238" s="14" t="s">
        <v>94</v>
      </c>
      <c r="G2238" s="14" t="s">
        <v>95</v>
      </c>
      <c r="H2238" s="0" t="n">
        <v>5</v>
      </c>
      <c r="I2238" s="16" t="n">
        <v>96.65</v>
      </c>
      <c r="J2238" s="16" t="n">
        <v>42</v>
      </c>
      <c r="K2238" s="16" t="n">
        <f aca="false">H2238*I2238</f>
        <v>483.25</v>
      </c>
      <c r="L2238" s="16" t="n">
        <f aca="false">H2238*J2238</f>
        <v>210</v>
      </c>
      <c r="M2238" s="16" t="n">
        <f aca="false">K2238-L2238</f>
        <v>273.25</v>
      </c>
      <c r="N2238" s="17" t="n">
        <f aca="false">IFERROR(M2238/K2238,0)</f>
        <v>0.565442317640973</v>
      </c>
    </row>
    <row r="2239" customFormat="false" ht="15" hidden="false" customHeight="false" outlineLevel="0" collapsed="false">
      <c r="A2239" s="15" t="n">
        <v>46116</v>
      </c>
      <c r="B2239" s="14" t="s">
        <v>42</v>
      </c>
      <c r="C2239" s="14" t="s">
        <v>43</v>
      </c>
      <c r="D2239" s="14" t="s">
        <v>44</v>
      </c>
      <c r="E2239" s="14" t="s">
        <v>45</v>
      </c>
      <c r="F2239" s="14" t="s">
        <v>46</v>
      </c>
      <c r="G2239" s="14" t="s">
        <v>47</v>
      </c>
      <c r="H2239" s="0" t="n">
        <v>14</v>
      </c>
      <c r="I2239" s="16" t="n">
        <v>44.63</v>
      </c>
      <c r="J2239" s="16" t="n">
        <v>18</v>
      </c>
      <c r="K2239" s="16" t="n">
        <f aca="false">H2239*I2239</f>
        <v>624.82</v>
      </c>
      <c r="L2239" s="16" t="n">
        <f aca="false">H2239*J2239</f>
        <v>252</v>
      </c>
      <c r="M2239" s="16" t="n">
        <f aca="false">K2239-L2239</f>
        <v>372.82</v>
      </c>
      <c r="N2239" s="17" t="n">
        <f aca="false">IFERROR(M2239/K2239,0)</f>
        <v>0.596683844947345</v>
      </c>
    </row>
    <row r="2240" customFormat="false" ht="15" hidden="false" customHeight="false" outlineLevel="0" collapsed="false">
      <c r="A2240" s="15" t="n">
        <v>46116</v>
      </c>
      <c r="B2240" s="14" t="s">
        <v>42</v>
      </c>
      <c r="C2240" s="14" t="s">
        <v>43</v>
      </c>
      <c r="D2240" s="14" t="s">
        <v>44</v>
      </c>
      <c r="E2240" s="14" t="s">
        <v>56</v>
      </c>
      <c r="F2240" s="14" t="s">
        <v>98</v>
      </c>
      <c r="G2240" s="14" t="s">
        <v>99</v>
      </c>
      <c r="H2240" s="0" t="n">
        <v>5</v>
      </c>
      <c r="I2240" s="16" t="n">
        <v>20.28</v>
      </c>
      <c r="J2240" s="16" t="n">
        <v>8</v>
      </c>
      <c r="K2240" s="16" t="n">
        <f aca="false">H2240*I2240</f>
        <v>101.4</v>
      </c>
      <c r="L2240" s="16" t="n">
        <f aca="false">H2240*J2240</f>
        <v>40</v>
      </c>
      <c r="M2240" s="16" t="n">
        <f aca="false">K2240-L2240</f>
        <v>61.4</v>
      </c>
      <c r="N2240" s="17" t="n">
        <f aca="false">IFERROR(M2240/K2240,0)</f>
        <v>0.605522682445759</v>
      </c>
    </row>
    <row r="2241" customFormat="false" ht="15" hidden="false" customHeight="false" outlineLevel="0" collapsed="false">
      <c r="A2241" s="15" t="n">
        <v>46116</v>
      </c>
      <c r="B2241" s="14" t="s">
        <v>50</v>
      </c>
      <c r="C2241" s="14" t="s">
        <v>51</v>
      </c>
      <c r="D2241" s="14" t="s">
        <v>52</v>
      </c>
      <c r="E2241" s="14" t="s">
        <v>64</v>
      </c>
      <c r="F2241" s="14" t="s">
        <v>65</v>
      </c>
      <c r="G2241" s="14" t="s">
        <v>66</v>
      </c>
      <c r="H2241" s="0" t="n">
        <v>7</v>
      </c>
      <c r="I2241" s="16" t="n">
        <v>73.7</v>
      </c>
      <c r="J2241" s="16" t="n">
        <v>34</v>
      </c>
      <c r="K2241" s="16" t="n">
        <f aca="false">H2241*I2241</f>
        <v>515.9</v>
      </c>
      <c r="L2241" s="16" t="n">
        <f aca="false">H2241*J2241</f>
        <v>238</v>
      </c>
      <c r="M2241" s="16" t="n">
        <f aca="false">K2241-L2241</f>
        <v>277.9</v>
      </c>
      <c r="N2241" s="17" t="n">
        <f aca="false">IFERROR(M2241/K2241,0)</f>
        <v>0.538670284938942</v>
      </c>
    </row>
    <row r="2242" customFormat="false" ht="15" hidden="false" customHeight="false" outlineLevel="0" collapsed="false">
      <c r="A2242" s="15" t="n">
        <v>46116</v>
      </c>
      <c r="B2242" s="14" t="s">
        <v>50</v>
      </c>
      <c r="C2242" s="14" t="s">
        <v>51</v>
      </c>
      <c r="D2242" s="14" t="s">
        <v>52</v>
      </c>
      <c r="E2242" s="14" t="s">
        <v>64</v>
      </c>
      <c r="F2242" s="14" t="s">
        <v>65</v>
      </c>
      <c r="G2242" s="14" t="s">
        <v>66</v>
      </c>
      <c r="H2242" s="0" t="n">
        <v>3</v>
      </c>
      <c r="I2242" s="16" t="n">
        <v>78.7</v>
      </c>
      <c r="J2242" s="16" t="n">
        <v>34</v>
      </c>
      <c r="K2242" s="16" t="n">
        <f aca="false">H2242*I2242</f>
        <v>236.1</v>
      </c>
      <c r="L2242" s="16" t="n">
        <f aca="false">H2242*J2242</f>
        <v>102</v>
      </c>
      <c r="M2242" s="16" t="n">
        <f aca="false">K2242-L2242</f>
        <v>134.1</v>
      </c>
      <c r="N2242" s="17" t="n">
        <f aca="false">IFERROR(M2242/K2242,0)</f>
        <v>0.567979669631512</v>
      </c>
    </row>
    <row r="2243" customFormat="false" ht="15" hidden="false" customHeight="false" outlineLevel="0" collapsed="false">
      <c r="A2243" s="15" t="n">
        <v>46116</v>
      </c>
      <c r="B2243" s="14" t="s">
        <v>50</v>
      </c>
      <c r="C2243" s="14" t="s">
        <v>51</v>
      </c>
      <c r="D2243" s="14" t="s">
        <v>52</v>
      </c>
      <c r="E2243" s="14" t="s">
        <v>53</v>
      </c>
      <c r="F2243" s="14" t="s">
        <v>54</v>
      </c>
      <c r="G2243" s="14" t="s">
        <v>55</v>
      </c>
      <c r="H2243" s="0" t="n">
        <v>5</v>
      </c>
      <c r="I2243" s="16" t="n">
        <v>53.98</v>
      </c>
      <c r="J2243" s="16" t="n">
        <v>22</v>
      </c>
      <c r="K2243" s="16" t="n">
        <f aca="false">H2243*I2243</f>
        <v>269.9</v>
      </c>
      <c r="L2243" s="16" t="n">
        <f aca="false">H2243*J2243</f>
        <v>110</v>
      </c>
      <c r="M2243" s="16" t="n">
        <f aca="false">K2243-L2243</f>
        <v>159.9</v>
      </c>
      <c r="N2243" s="17" t="n">
        <f aca="false">IFERROR(M2243/K2243,0)</f>
        <v>0.592441645053724</v>
      </c>
    </row>
    <row r="2244" customFormat="false" ht="15" hidden="false" customHeight="false" outlineLevel="0" collapsed="false">
      <c r="A2244" s="15" t="n">
        <v>46116</v>
      </c>
      <c r="B2244" s="14" t="s">
        <v>50</v>
      </c>
      <c r="C2244" s="14" t="s">
        <v>51</v>
      </c>
      <c r="D2244" s="14" t="s">
        <v>52</v>
      </c>
      <c r="E2244" s="14" t="s">
        <v>53</v>
      </c>
      <c r="F2244" s="14" t="s">
        <v>92</v>
      </c>
      <c r="G2244" s="14" t="s">
        <v>93</v>
      </c>
      <c r="H2244" s="0" t="n">
        <v>13</v>
      </c>
      <c r="I2244" s="16" t="n">
        <v>117.94</v>
      </c>
      <c r="J2244" s="16" t="n">
        <v>52</v>
      </c>
      <c r="K2244" s="16" t="n">
        <f aca="false">H2244*I2244</f>
        <v>1533.22</v>
      </c>
      <c r="L2244" s="16" t="n">
        <f aca="false">H2244*J2244</f>
        <v>676</v>
      </c>
      <c r="M2244" s="16" t="n">
        <f aca="false">K2244-L2244</f>
        <v>857.22</v>
      </c>
      <c r="N2244" s="17" t="n">
        <f aca="false">IFERROR(M2244/K2244,0)</f>
        <v>0.559097846362557</v>
      </c>
    </row>
    <row r="2245" customFormat="false" ht="15" hidden="false" customHeight="false" outlineLevel="0" collapsed="false">
      <c r="A2245" s="15" t="n">
        <v>46116</v>
      </c>
      <c r="B2245" s="14" t="s">
        <v>50</v>
      </c>
      <c r="C2245" s="14" t="s">
        <v>51</v>
      </c>
      <c r="D2245" s="14" t="s">
        <v>52</v>
      </c>
      <c r="E2245" s="14" t="s">
        <v>76</v>
      </c>
      <c r="F2245" s="14" t="s">
        <v>102</v>
      </c>
      <c r="G2245" s="14" t="s">
        <v>103</v>
      </c>
      <c r="H2245" s="0" t="n">
        <v>9</v>
      </c>
      <c r="I2245" s="16" t="n">
        <v>23.28</v>
      </c>
      <c r="J2245" s="16" t="n">
        <v>8.5</v>
      </c>
      <c r="K2245" s="16" t="n">
        <f aca="false">H2245*I2245</f>
        <v>209.52</v>
      </c>
      <c r="L2245" s="16" t="n">
        <f aca="false">H2245*J2245</f>
        <v>76.5</v>
      </c>
      <c r="M2245" s="16" t="n">
        <f aca="false">K2245-L2245</f>
        <v>133.02</v>
      </c>
      <c r="N2245" s="17" t="n">
        <f aca="false">IFERROR(M2245/K2245,0)</f>
        <v>0.634879725085911</v>
      </c>
    </row>
    <row r="2246" customFormat="false" ht="15" hidden="false" customHeight="false" outlineLevel="0" collapsed="false">
      <c r="A2246" s="15" t="n">
        <v>46116</v>
      </c>
      <c r="B2246" s="14" t="s">
        <v>59</v>
      </c>
      <c r="C2246" s="14" t="s">
        <v>60</v>
      </c>
      <c r="D2246" s="14" t="s">
        <v>61</v>
      </c>
      <c r="E2246" s="14" t="s">
        <v>45</v>
      </c>
      <c r="F2246" s="14" t="s">
        <v>72</v>
      </c>
      <c r="G2246" s="14" t="s">
        <v>73</v>
      </c>
      <c r="H2246" s="0" t="n">
        <v>5</v>
      </c>
      <c r="I2246" s="16" t="n">
        <v>48.71</v>
      </c>
      <c r="J2246" s="16" t="n">
        <v>21</v>
      </c>
      <c r="K2246" s="16" t="n">
        <f aca="false">H2246*I2246</f>
        <v>243.55</v>
      </c>
      <c r="L2246" s="16" t="n">
        <f aca="false">H2246*J2246</f>
        <v>105</v>
      </c>
      <c r="M2246" s="16" t="n">
        <f aca="false">K2246-L2246</f>
        <v>138.55</v>
      </c>
      <c r="N2246" s="17" t="n">
        <f aca="false">IFERROR(M2246/K2246,0)</f>
        <v>0.568877027304455</v>
      </c>
    </row>
    <row r="2247" customFormat="false" ht="15" hidden="false" customHeight="false" outlineLevel="0" collapsed="false">
      <c r="A2247" s="15" t="n">
        <v>46116</v>
      </c>
      <c r="B2247" s="14" t="s">
        <v>59</v>
      </c>
      <c r="C2247" s="14" t="s">
        <v>60</v>
      </c>
      <c r="D2247" s="14" t="s">
        <v>61</v>
      </c>
      <c r="E2247" s="14" t="s">
        <v>56</v>
      </c>
      <c r="F2247" s="14" t="s">
        <v>98</v>
      </c>
      <c r="G2247" s="14" t="s">
        <v>99</v>
      </c>
      <c r="H2247" s="0" t="n">
        <v>4</v>
      </c>
      <c r="I2247" s="16" t="n">
        <v>21.24</v>
      </c>
      <c r="J2247" s="16" t="n">
        <v>8</v>
      </c>
      <c r="K2247" s="16" t="n">
        <f aca="false">H2247*I2247</f>
        <v>84.96</v>
      </c>
      <c r="L2247" s="16" t="n">
        <f aca="false">H2247*J2247</f>
        <v>32</v>
      </c>
      <c r="M2247" s="16" t="n">
        <f aca="false">K2247-L2247</f>
        <v>52.96</v>
      </c>
      <c r="N2247" s="17" t="n">
        <f aca="false">IFERROR(M2247/K2247,0)</f>
        <v>0.623352165725047</v>
      </c>
    </row>
    <row r="2248" customFormat="false" ht="15" hidden="false" customHeight="false" outlineLevel="0" collapsed="false">
      <c r="A2248" s="15" t="n">
        <v>46116</v>
      </c>
      <c r="B2248" s="14" t="s">
        <v>59</v>
      </c>
      <c r="C2248" s="14" t="s">
        <v>60</v>
      </c>
      <c r="D2248" s="14" t="s">
        <v>61</v>
      </c>
      <c r="E2248" s="14" t="s">
        <v>64</v>
      </c>
      <c r="F2248" s="14" t="s">
        <v>65</v>
      </c>
      <c r="G2248" s="14" t="s">
        <v>66</v>
      </c>
      <c r="H2248" s="0" t="n">
        <v>1</v>
      </c>
      <c r="I2248" s="16" t="n">
        <v>73.58</v>
      </c>
      <c r="J2248" s="16" t="n">
        <v>34</v>
      </c>
      <c r="K2248" s="16" t="n">
        <f aca="false">H2248*I2248</f>
        <v>73.58</v>
      </c>
      <c r="L2248" s="16" t="n">
        <f aca="false">H2248*J2248</f>
        <v>34</v>
      </c>
      <c r="M2248" s="16" t="n">
        <f aca="false">K2248-L2248</f>
        <v>39.58</v>
      </c>
      <c r="N2248" s="17" t="n">
        <f aca="false">IFERROR(M2248/K2248,0)</f>
        <v>0.537917912476216</v>
      </c>
    </row>
    <row r="2249" customFormat="false" ht="15" hidden="false" customHeight="false" outlineLevel="0" collapsed="false">
      <c r="A2249" s="15" t="n">
        <v>46116</v>
      </c>
      <c r="B2249" s="14" t="s">
        <v>59</v>
      </c>
      <c r="C2249" s="14" t="s">
        <v>60</v>
      </c>
      <c r="D2249" s="14" t="s">
        <v>61</v>
      </c>
      <c r="E2249" s="14" t="s">
        <v>76</v>
      </c>
      <c r="F2249" s="14" t="s">
        <v>79</v>
      </c>
      <c r="G2249" s="14" t="s">
        <v>80</v>
      </c>
      <c r="H2249" s="0" t="n">
        <v>9</v>
      </c>
      <c r="I2249" s="16" t="n">
        <v>27.83</v>
      </c>
      <c r="J2249" s="16" t="n">
        <v>11</v>
      </c>
      <c r="K2249" s="16" t="n">
        <f aca="false">H2249*I2249</f>
        <v>250.47</v>
      </c>
      <c r="L2249" s="16" t="n">
        <f aca="false">H2249*J2249</f>
        <v>99</v>
      </c>
      <c r="M2249" s="16" t="n">
        <f aca="false">K2249-L2249</f>
        <v>151.47</v>
      </c>
      <c r="N2249" s="17" t="n">
        <f aca="false">IFERROR(M2249/K2249,0)</f>
        <v>0.604743083003953</v>
      </c>
    </row>
    <row r="2250" customFormat="false" ht="15" hidden="false" customHeight="false" outlineLevel="0" collapsed="false">
      <c r="A2250" s="15" t="n">
        <v>46116</v>
      </c>
      <c r="B2250" s="14" t="s">
        <v>59</v>
      </c>
      <c r="C2250" s="14" t="s">
        <v>60</v>
      </c>
      <c r="D2250" s="14" t="s">
        <v>61</v>
      </c>
      <c r="E2250" s="14" t="s">
        <v>76</v>
      </c>
      <c r="F2250" s="14" t="s">
        <v>77</v>
      </c>
      <c r="G2250" s="14" t="s">
        <v>78</v>
      </c>
      <c r="H2250" s="0" t="n">
        <v>6</v>
      </c>
      <c r="I2250" s="16" t="n">
        <v>39.18</v>
      </c>
      <c r="J2250" s="16" t="n">
        <v>15</v>
      </c>
      <c r="K2250" s="16" t="n">
        <f aca="false">H2250*I2250</f>
        <v>235.08</v>
      </c>
      <c r="L2250" s="16" t="n">
        <f aca="false">H2250*J2250</f>
        <v>90</v>
      </c>
      <c r="M2250" s="16" t="n">
        <f aca="false">K2250-L2250</f>
        <v>145.08</v>
      </c>
      <c r="N2250" s="17" t="n">
        <f aca="false">IFERROR(M2250/K2250,0)</f>
        <v>0.617151607963247</v>
      </c>
    </row>
    <row r="2251" customFormat="false" ht="15" hidden="false" customHeight="false" outlineLevel="0" collapsed="false">
      <c r="A2251" s="15" t="n">
        <v>46116</v>
      </c>
      <c r="B2251" s="14" t="s">
        <v>69</v>
      </c>
      <c r="C2251" s="14" t="s">
        <v>70</v>
      </c>
      <c r="D2251" s="14" t="s">
        <v>71</v>
      </c>
      <c r="E2251" s="14" t="s">
        <v>56</v>
      </c>
      <c r="F2251" s="14" t="s">
        <v>67</v>
      </c>
      <c r="G2251" s="14" t="s">
        <v>68</v>
      </c>
      <c r="H2251" s="0" t="n">
        <v>7</v>
      </c>
      <c r="I2251" s="16" t="n">
        <v>35.23</v>
      </c>
      <c r="J2251" s="16" t="n">
        <v>15</v>
      </c>
      <c r="K2251" s="16" t="n">
        <f aca="false">H2251*I2251</f>
        <v>246.61</v>
      </c>
      <c r="L2251" s="16" t="n">
        <f aca="false">H2251*J2251</f>
        <v>105</v>
      </c>
      <c r="M2251" s="16" t="n">
        <f aca="false">K2251-L2251</f>
        <v>141.61</v>
      </c>
      <c r="N2251" s="17" t="n">
        <f aca="false">IFERROR(M2251/K2251,0)</f>
        <v>0.574226511495884</v>
      </c>
    </row>
    <row r="2252" customFormat="false" ht="15" hidden="false" customHeight="false" outlineLevel="0" collapsed="false">
      <c r="A2252" s="15" t="n">
        <v>46116</v>
      </c>
      <c r="B2252" s="14" t="s">
        <v>69</v>
      </c>
      <c r="C2252" s="14" t="s">
        <v>70</v>
      </c>
      <c r="D2252" s="14" t="s">
        <v>71</v>
      </c>
      <c r="E2252" s="14" t="s">
        <v>53</v>
      </c>
      <c r="F2252" s="14" t="s">
        <v>84</v>
      </c>
      <c r="G2252" s="14" t="s">
        <v>85</v>
      </c>
      <c r="H2252" s="0" t="n">
        <v>6</v>
      </c>
      <c r="I2252" s="16" t="n">
        <v>24.97</v>
      </c>
      <c r="J2252" s="16" t="n">
        <v>9</v>
      </c>
      <c r="K2252" s="16" t="n">
        <f aca="false">H2252*I2252</f>
        <v>149.82</v>
      </c>
      <c r="L2252" s="16" t="n">
        <f aca="false">H2252*J2252</f>
        <v>54</v>
      </c>
      <c r="M2252" s="16" t="n">
        <f aca="false">K2252-L2252</f>
        <v>95.82</v>
      </c>
      <c r="N2252" s="17" t="n">
        <f aca="false">IFERROR(M2252/K2252,0)</f>
        <v>0.639567480977173</v>
      </c>
    </row>
    <row r="2253" customFormat="false" ht="15" hidden="false" customHeight="false" outlineLevel="0" collapsed="false">
      <c r="A2253" s="15" t="n">
        <v>46116</v>
      </c>
      <c r="B2253" s="14" t="s">
        <v>69</v>
      </c>
      <c r="C2253" s="14" t="s">
        <v>70</v>
      </c>
      <c r="D2253" s="14" t="s">
        <v>71</v>
      </c>
      <c r="E2253" s="14" t="s">
        <v>76</v>
      </c>
      <c r="F2253" s="14" t="s">
        <v>100</v>
      </c>
      <c r="G2253" s="14" t="s">
        <v>101</v>
      </c>
      <c r="H2253" s="0" t="n">
        <v>3</v>
      </c>
      <c r="I2253" s="16" t="n">
        <v>15.92</v>
      </c>
      <c r="J2253" s="16" t="n">
        <v>5.5</v>
      </c>
      <c r="K2253" s="16" t="n">
        <f aca="false">H2253*I2253</f>
        <v>47.76</v>
      </c>
      <c r="L2253" s="16" t="n">
        <f aca="false">H2253*J2253</f>
        <v>16.5</v>
      </c>
      <c r="M2253" s="16" t="n">
        <f aca="false">K2253-L2253</f>
        <v>31.26</v>
      </c>
      <c r="N2253" s="17" t="n">
        <f aca="false">IFERROR(M2253/K2253,0)</f>
        <v>0.654522613065327</v>
      </c>
    </row>
    <row r="2254" customFormat="false" ht="15" hidden="false" customHeight="false" outlineLevel="0" collapsed="false">
      <c r="A2254" s="15" t="n">
        <v>46116</v>
      </c>
      <c r="B2254" s="14" t="s">
        <v>69</v>
      </c>
      <c r="C2254" s="14" t="s">
        <v>70</v>
      </c>
      <c r="D2254" s="14" t="s">
        <v>71</v>
      </c>
      <c r="E2254" s="14" t="s">
        <v>56</v>
      </c>
      <c r="F2254" s="14" t="s">
        <v>57</v>
      </c>
      <c r="G2254" s="14" t="s">
        <v>58</v>
      </c>
      <c r="H2254" s="0" t="n">
        <v>1</v>
      </c>
      <c r="I2254" s="16" t="n">
        <v>25.63</v>
      </c>
      <c r="J2254" s="16" t="n">
        <v>10</v>
      </c>
      <c r="K2254" s="16" t="n">
        <f aca="false">H2254*I2254</f>
        <v>25.63</v>
      </c>
      <c r="L2254" s="16" t="n">
        <f aca="false">H2254*J2254</f>
        <v>10</v>
      </c>
      <c r="M2254" s="16" t="n">
        <f aca="false">K2254-L2254</f>
        <v>15.63</v>
      </c>
      <c r="N2254" s="17" t="n">
        <f aca="false">IFERROR(M2254/K2254,0)</f>
        <v>0.609832227857979</v>
      </c>
    </row>
    <row r="2255" customFormat="false" ht="15" hidden="false" customHeight="false" outlineLevel="0" collapsed="false">
      <c r="A2255" s="15" t="n">
        <v>46116</v>
      </c>
      <c r="B2255" s="14" t="s">
        <v>81</v>
      </c>
      <c r="C2255" s="14" t="s">
        <v>82</v>
      </c>
      <c r="D2255" s="14" t="s">
        <v>83</v>
      </c>
      <c r="E2255" s="14" t="s">
        <v>64</v>
      </c>
      <c r="F2255" s="14" t="s">
        <v>90</v>
      </c>
      <c r="G2255" s="14" t="s">
        <v>91</v>
      </c>
      <c r="H2255" s="0" t="n">
        <v>3</v>
      </c>
      <c r="I2255" s="16" t="n">
        <v>11.46</v>
      </c>
      <c r="J2255" s="16" t="n">
        <v>3.5</v>
      </c>
      <c r="K2255" s="16" t="n">
        <f aca="false">H2255*I2255</f>
        <v>34.38</v>
      </c>
      <c r="L2255" s="16" t="n">
        <f aca="false">H2255*J2255</f>
        <v>10.5</v>
      </c>
      <c r="M2255" s="16" t="n">
        <f aca="false">K2255-L2255</f>
        <v>23.88</v>
      </c>
      <c r="N2255" s="17" t="n">
        <f aca="false">IFERROR(M2255/K2255,0)</f>
        <v>0.694589877835951</v>
      </c>
    </row>
    <row r="2256" customFormat="false" ht="15" hidden="false" customHeight="false" outlineLevel="0" collapsed="false">
      <c r="A2256" s="15" t="n">
        <v>46116</v>
      </c>
      <c r="B2256" s="14" t="s">
        <v>81</v>
      </c>
      <c r="C2256" s="14" t="s">
        <v>82</v>
      </c>
      <c r="D2256" s="14" t="s">
        <v>83</v>
      </c>
      <c r="E2256" s="14" t="s">
        <v>56</v>
      </c>
      <c r="F2256" s="14" t="s">
        <v>67</v>
      </c>
      <c r="G2256" s="14" t="s">
        <v>68</v>
      </c>
      <c r="H2256" s="0" t="n">
        <v>6</v>
      </c>
      <c r="I2256" s="16" t="n">
        <v>35.21</v>
      </c>
      <c r="J2256" s="16" t="n">
        <v>15</v>
      </c>
      <c r="K2256" s="16" t="n">
        <f aca="false">H2256*I2256</f>
        <v>211.26</v>
      </c>
      <c r="L2256" s="16" t="n">
        <f aca="false">H2256*J2256</f>
        <v>90</v>
      </c>
      <c r="M2256" s="16" t="n">
        <f aca="false">K2256-L2256</f>
        <v>121.26</v>
      </c>
      <c r="N2256" s="17" t="n">
        <f aca="false">IFERROR(M2256/K2256,0)</f>
        <v>0.573984663447884</v>
      </c>
    </row>
    <row r="2257" customFormat="false" ht="15" hidden="false" customHeight="false" outlineLevel="0" collapsed="false">
      <c r="A2257" s="15" t="n">
        <v>46116</v>
      </c>
      <c r="B2257" s="14" t="s">
        <v>81</v>
      </c>
      <c r="C2257" s="14" t="s">
        <v>82</v>
      </c>
      <c r="D2257" s="14" t="s">
        <v>83</v>
      </c>
      <c r="E2257" s="14" t="s">
        <v>64</v>
      </c>
      <c r="F2257" s="14" t="s">
        <v>90</v>
      </c>
      <c r="G2257" s="14" t="s">
        <v>91</v>
      </c>
      <c r="H2257" s="0" t="n">
        <v>4</v>
      </c>
      <c r="I2257" s="16" t="n">
        <v>11.88</v>
      </c>
      <c r="J2257" s="16" t="n">
        <v>3.5</v>
      </c>
      <c r="K2257" s="16" t="n">
        <f aca="false">H2257*I2257</f>
        <v>47.52</v>
      </c>
      <c r="L2257" s="16" t="n">
        <f aca="false">H2257*J2257</f>
        <v>14</v>
      </c>
      <c r="M2257" s="16" t="n">
        <f aca="false">K2257-L2257</f>
        <v>33.52</v>
      </c>
      <c r="N2257" s="17" t="n">
        <f aca="false">IFERROR(M2257/K2257,0)</f>
        <v>0.705387205387206</v>
      </c>
    </row>
    <row r="2258" customFormat="false" ht="15" hidden="false" customHeight="false" outlineLevel="0" collapsed="false">
      <c r="A2258" s="15" t="n">
        <v>46116</v>
      </c>
      <c r="B2258" s="14" t="s">
        <v>81</v>
      </c>
      <c r="C2258" s="14" t="s">
        <v>82</v>
      </c>
      <c r="D2258" s="14" t="s">
        <v>83</v>
      </c>
      <c r="E2258" s="14" t="s">
        <v>45</v>
      </c>
      <c r="F2258" s="14" t="s">
        <v>48</v>
      </c>
      <c r="G2258" s="14" t="s">
        <v>49</v>
      </c>
      <c r="H2258" s="0" t="n">
        <v>4</v>
      </c>
      <c r="I2258" s="16" t="n">
        <v>66.37</v>
      </c>
      <c r="J2258" s="16" t="n">
        <v>27.5</v>
      </c>
      <c r="K2258" s="16" t="n">
        <f aca="false">H2258*I2258</f>
        <v>265.48</v>
      </c>
      <c r="L2258" s="16" t="n">
        <f aca="false">H2258*J2258</f>
        <v>110</v>
      </c>
      <c r="M2258" s="16" t="n">
        <f aca="false">K2258-L2258</f>
        <v>155.48</v>
      </c>
      <c r="N2258" s="17" t="n">
        <f aca="false">IFERROR(M2258/K2258,0)</f>
        <v>0.585656169956306</v>
      </c>
    </row>
    <row r="2259" customFormat="false" ht="15" hidden="false" customHeight="false" outlineLevel="0" collapsed="false">
      <c r="A2259" s="15" t="n">
        <v>46116</v>
      </c>
      <c r="B2259" s="14" t="s">
        <v>88</v>
      </c>
      <c r="C2259" s="14" t="s">
        <v>89</v>
      </c>
      <c r="D2259" s="14" t="s">
        <v>44</v>
      </c>
      <c r="E2259" s="14" t="s">
        <v>45</v>
      </c>
      <c r="F2259" s="14" t="s">
        <v>62</v>
      </c>
      <c r="G2259" s="14" t="s">
        <v>63</v>
      </c>
      <c r="H2259" s="0" t="n">
        <v>3</v>
      </c>
      <c r="I2259" s="16" t="n">
        <v>16.98</v>
      </c>
      <c r="J2259" s="16" t="n">
        <v>6.5</v>
      </c>
      <c r="K2259" s="16" t="n">
        <f aca="false">H2259*I2259</f>
        <v>50.94</v>
      </c>
      <c r="L2259" s="16" t="n">
        <f aca="false">H2259*J2259</f>
        <v>19.5</v>
      </c>
      <c r="M2259" s="16" t="n">
        <f aca="false">K2259-L2259</f>
        <v>31.44</v>
      </c>
      <c r="N2259" s="17" t="n">
        <f aca="false">IFERROR(M2259/K2259,0)</f>
        <v>0.617196702002356</v>
      </c>
    </row>
    <row r="2260" customFormat="false" ht="15" hidden="false" customHeight="false" outlineLevel="0" collapsed="false">
      <c r="A2260" s="15" t="n">
        <v>46116</v>
      </c>
      <c r="B2260" s="14" t="s">
        <v>88</v>
      </c>
      <c r="C2260" s="14" t="s">
        <v>89</v>
      </c>
      <c r="D2260" s="14" t="s">
        <v>44</v>
      </c>
      <c r="E2260" s="14" t="s">
        <v>53</v>
      </c>
      <c r="F2260" s="14" t="s">
        <v>84</v>
      </c>
      <c r="G2260" s="14" t="s">
        <v>85</v>
      </c>
      <c r="H2260" s="0" t="n">
        <v>3</v>
      </c>
      <c r="I2260" s="16" t="n">
        <v>23.45</v>
      </c>
      <c r="J2260" s="16" t="n">
        <v>9</v>
      </c>
      <c r="K2260" s="16" t="n">
        <f aca="false">H2260*I2260</f>
        <v>70.35</v>
      </c>
      <c r="L2260" s="16" t="n">
        <f aca="false">H2260*J2260</f>
        <v>27</v>
      </c>
      <c r="M2260" s="16" t="n">
        <f aca="false">K2260-L2260</f>
        <v>43.35</v>
      </c>
      <c r="N2260" s="17" t="n">
        <f aca="false">IFERROR(M2260/K2260,0)</f>
        <v>0.616204690831557</v>
      </c>
    </row>
    <row r="2261" customFormat="false" ht="15" hidden="false" customHeight="false" outlineLevel="0" collapsed="false">
      <c r="A2261" s="15" t="n">
        <v>46116</v>
      </c>
      <c r="B2261" s="14" t="s">
        <v>88</v>
      </c>
      <c r="C2261" s="14" t="s">
        <v>89</v>
      </c>
      <c r="D2261" s="14" t="s">
        <v>44</v>
      </c>
      <c r="E2261" s="14" t="s">
        <v>64</v>
      </c>
      <c r="F2261" s="14" t="s">
        <v>65</v>
      </c>
      <c r="G2261" s="14" t="s">
        <v>66</v>
      </c>
      <c r="H2261" s="0" t="n">
        <v>7</v>
      </c>
      <c r="I2261" s="16" t="n">
        <v>75.62</v>
      </c>
      <c r="J2261" s="16" t="n">
        <v>34</v>
      </c>
      <c r="K2261" s="16" t="n">
        <f aca="false">H2261*I2261</f>
        <v>529.34</v>
      </c>
      <c r="L2261" s="16" t="n">
        <f aca="false">H2261*J2261</f>
        <v>238</v>
      </c>
      <c r="M2261" s="16" t="n">
        <f aca="false">K2261-L2261</f>
        <v>291.34</v>
      </c>
      <c r="N2261" s="17" t="n">
        <f aca="false">IFERROR(M2261/K2261,0)</f>
        <v>0.550383496429516</v>
      </c>
    </row>
    <row r="2262" customFormat="false" ht="15" hidden="false" customHeight="false" outlineLevel="0" collapsed="false">
      <c r="A2262" s="15" t="n">
        <v>46116</v>
      </c>
      <c r="B2262" s="14" t="s">
        <v>88</v>
      </c>
      <c r="C2262" s="14" t="s">
        <v>89</v>
      </c>
      <c r="D2262" s="14" t="s">
        <v>44</v>
      </c>
      <c r="E2262" s="14" t="s">
        <v>56</v>
      </c>
      <c r="F2262" s="14" t="s">
        <v>57</v>
      </c>
      <c r="G2262" s="14" t="s">
        <v>58</v>
      </c>
      <c r="H2262" s="0" t="n">
        <v>3</v>
      </c>
      <c r="I2262" s="16" t="n">
        <v>25.03</v>
      </c>
      <c r="J2262" s="16" t="n">
        <v>10</v>
      </c>
      <c r="K2262" s="16" t="n">
        <f aca="false">H2262*I2262</f>
        <v>75.09</v>
      </c>
      <c r="L2262" s="16" t="n">
        <f aca="false">H2262*J2262</f>
        <v>30</v>
      </c>
      <c r="M2262" s="16" t="n">
        <f aca="false">K2262-L2262</f>
        <v>45.09</v>
      </c>
      <c r="N2262" s="17" t="n">
        <f aca="false">IFERROR(M2262/K2262,0)</f>
        <v>0.600479424690372</v>
      </c>
    </row>
    <row r="2263" customFormat="false" ht="15" hidden="false" customHeight="false" outlineLevel="0" collapsed="false">
      <c r="A2263" s="15" t="n">
        <v>46116</v>
      </c>
      <c r="B2263" s="14" t="s">
        <v>88</v>
      </c>
      <c r="C2263" s="14" t="s">
        <v>89</v>
      </c>
      <c r="D2263" s="14" t="s">
        <v>44</v>
      </c>
      <c r="E2263" s="14" t="s">
        <v>45</v>
      </c>
      <c r="F2263" s="14" t="s">
        <v>72</v>
      </c>
      <c r="G2263" s="14" t="s">
        <v>73</v>
      </c>
      <c r="H2263" s="0" t="n">
        <v>11</v>
      </c>
      <c r="I2263" s="16" t="n">
        <v>48.67</v>
      </c>
      <c r="J2263" s="16" t="n">
        <v>21</v>
      </c>
      <c r="K2263" s="16" t="n">
        <f aca="false">H2263*I2263</f>
        <v>535.37</v>
      </c>
      <c r="L2263" s="16" t="n">
        <f aca="false">H2263*J2263</f>
        <v>231</v>
      </c>
      <c r="M2263" s="16" t="n">
        <f aca="false">K2263-L2263</f>
        <v>304.37</v>
      </c>
      <c r="N2263" s="17" t="n">
        <f aca="false">IFERROR(M2263/K2263,0)</f>
        <v>0.568522703924389</v>
      </c>
    </row>
    <row r="2264" customFormat="false" ht="15" hidden="false" customHeight="false" outlineLevel="0" collapsed="false">
      <c r="A2264" s="15" t="n">
        <v>46116</v>
      </c>
      <c r="B2264" s="14" t="s">
        <v>88</v>
      </c>
      <c r="C2264" s="14" t="s">
        <v>89</v>
      </c>
      <c r="D2264" s="14" t="s">
        <v>44</v>
      </c>
      <c r="E2264" s="14" t="s">
        <v>76</v>
      </c>
      <c r="F2264" s="14" t="s">
        <v>79</v>
      </c>
      <c r="G2264" s="14" t="s">
        <v>80</v>
      </c>
      <c r="H2264" s="0" t="n">
        <v>8</v>
      </c>
      <c r="I2264" s="16" t="n">
        <v>28.42</v>
      </c>
      <c r="J2264" s="16" t="n">
        <v>11</v>
      </c>
      <c r="K2264" s="16" t="n">
        <f aca="false">H2264*I2264</f>
        <v>227.36</v>
      </c>
      <c r="L2264" s="16" t="n">
        <f aca="false">H2264*J2264</f>
        <v>88</v>
      </c>
      <c r="M2264" s="16" t="n">
        <f aca="false">K2264-L2264</f>
        <v>139.36</v>
      </c>
      <c r="N2264" s="17" t="n">
        <f aca="false">IFERROR(M2264/K2264,0)</f>
        <v>0.612948627726953</v>
      </c>
    </row>
    <row r="2265" customFormat="false" ht="15" hidden="false" customHeight="false" outlineLevel="0" collapsed="false">
      <c r="A2265" s="15" t="n">
        <v>46117</v>
      </c>
      <c r="B2265" s="14" t="s">
        <v>42</v>
      </c>
      <c r="C2265" s="14" t="s">
        <v>43</v>
      </c>
      <c r="D2265" s="14" t="s">
        <v>44</v>
      </c>
      <c r="E2265" s="14" t="s">
        <v>64</v>
      </c>
      <c r="F2265" s="14" t="s">
        <v>96</v>
      </c>
      <c r="G2265" s="14" t="s">
        <v>97</v>
      </c>
      <c r="H2265" s="0" t="n">
        <v>12</v>
      </c>
      <c r="I2265" s="16" t="n">
        <v>54.82</v>
      </c>
      <c r="J2265" s="16" t="n">
        <v>24</v>
      </c>
      <c r="K2265" s="16" t="n">
        <f aca="false">H2265*I2265</f>
        <v>657.84</v>
      </c>
      <c r="L2265" s="16" t="n">
        <f aca="false">H2265*J2265</f>
        <v>288</v>
      </c>
      <c r="M2265" s="16" t="n">
        <f aca="false">K2265-L2265</f>
        <v>369.84</v>
      </c>
      <c r="N2265" s="17" t="n">
        <f aca="false">IFERROR(M2265/K2265,0)</f>
        <v>0.562203575337468</v>
      </c>
    </row>
    <row r="2266" customFormat="false" ht="15" hidden="false" customHeight="false" outlineLevel="0" collapsed="false">
      <c r="A2266" s="15" t="n">
        <v>46117</v>
      </c>
      <c r="B2266" s="14" t="s">
        <v>42</v>
      </c>
      <c r="C2266" s="14" t="s">
        <v>43</v>
      </c>
      <c r="D2266" s="14" t="s">
        <v>44</v>
      </c>
      <c r="E2266" s="14" t="s">
        <v>64</v>
      </c>
      <c r="F2266" s="14" t="s">
        <v>65</v>
      </c>
      <c r="G2266" s="14" t="s">
        <v>66</v>
      </c>
      <c r="H2266" s="0" t="n">
        <v>5</v>
      </c>
      <c r="I2266" s="16" t="n">
        <v>78.67</v>
      </c>
      <c r="J2266" s="16" t="n">
        <v>34</v>
      </c>
      <c r="K2266" s="16" t="n">
        <f aca="false">H2266*I2266</f>
        <v>393.35</v>
      </c>
      <c r="L2266" s="16" t="n">
        <f aca="false">H2266*J2266</f>
        <v>170</v>
      </c>
      <c r="M2266" s="16" t="n">
        <f aca="false">K2266-L2266</f>
        <v>223.35</v>
      </c>
      <c r="N2266" s="17" t="n">
        <f aca="false">IFERROR(M2266/K2266,0)</f>
        <v>0.567814923096479</v>
      </c>
    </row>
    <row r="2267" customFormat="false" ht="15" hidden="false" customHeight="false" outlineLevel="0" collapsed="false">
      <c r="A2267" s="15" t="n">
        <v>46117</v>
      </c>
      <c r="B2267" s="14" t="s">
        <v>42</v>
      </c>
      <c r="C2267" s="14" t="s">
        <v>43</v>
      </c>
      <c r="D2267" s="14" t="s">
        <v>44</v>
      </c>
      <c r="E2267" s="14" t="s">
        <v>53</v>
      </c>
      <c r="F2267" s="14" t="s">
        <v>54</v>
      </c>
      <c r="G2267" s="14" t="s">
        <v>55</v>
      </c>
      <c r="H2267" s="0" t="n">
        <v>11</v>
      </c>
      <c r="I2267" s="16" t="n">
        <v>53.1</v>
      </c>
      <c r="J2267" s="16" t="n">
        <v>22</v>
      </c>
      <c r="K2267" s="16" t="n">
        <f aca="false">H2267*I2267</f>
        <v>584.1</v>
      </c>
      <c r="L2267" s="16" t="n">
        <f aca="false">H2267*J2267</f>
        <v>242</v>
      </c>
      <c r="M2267" s="16" t="n">
        <f aca="false">K2267-L2267</f>
        <v>342.1</v>
      </c>
      <c r="N2267" s="17" t="n">
        <f aca="false">IFERROR(M2267/K2267,0)</f>
        <v>0.585687382297552</v>
      </c>
    </row>
    <row r="2268" customFormat="false" ht="15" hidden="false" customHeight="false" outlineLevel="0" collapsed="false">
      <c r="A2268" s="15" t="n">
        <v>46117</v>
      </c>
      <c r="B2268" s="14" t="s">
        <v>42</v>
      </c>
      <c r="C2268" s="14" t="s">
        <v>43</v>
      </c>
      <c r="D2268" s="14" t="s">
        <v>44</v>
      </c>
      <c r="E2268" s="14" t="s">
        <v>56</v>
      </c>
      <c r="F2268" s="14" t="s">
        <v>57</v>
      </c>
      <c r="G2268" s="14" t="s">
        <v>58</v>
      </c>
      <c r="H2268" s="0" t="n">
        <v>2</v>
      </c>
      <c r="I2268" s="16" t="n">
        <v>26.86</v>
      </c>
      <c r="J2268" s="16" t="n">
        <v>10</v>
      </c>
      <c r="K2268" s="16" t="n">
        <f aca="false">H2268*I2268</f>
        <v>53.72</v>
      </c>
      <c r="L2268" s="16" t="n">
        <f aca="false">H2268*J2268</f>
        <v>20</v>
      </c>
      <c r="M2268" s="16" t="n">
        <f aca="false">K2268-L2268</f>
        <v>33.72</v>
      </c>
      <c r="N2268" s="17" t="n">
        <f aca="false">IFERROR(M2268/K2268,0)</f>
        <v>0.627699180938198</v>
      </c>
    </row>
    <row r="2269" customFormat="false" ht="15" hidden="false" customHeight="false" outlineLevel="0" collapsed="false">
      <c r="A2269" s="15" t="n">
        <v>46117</v>
      </c>
      <c r="B2269" s="14" t="s">
        <v>42</v>
      </c>
      <c r="C2269" s="14" t="s">
        <v>43</v>
      </c>
      <c r="D2269" s="14" t="s">
        <v>44</v>
      </c>
      <c r="E2269" s="14" t="s">
        <v>76</v>
      </c>
      <c r="F2269" s="14" t="s">
        <v>100</v>
      </c>
      <c r="G2269" s="14" t="s">
        <v>101</v>
      </c>
      <c r="H2269" s="0" t="n">
        <v>13</v>
      </c>
      <c r="I2269" s="16" t="n">
        <v>14.99</v>
      </c>
      <c r="J2269" s="16" t="n">
        <v>5.5</v>
      </c>
      <c r="K2269" s="16" t="n">
        <f aca="false">H2269*I2269</f>
        <v>194.87</v>
      </c>
      <c r="L2269" s="16" t="n">
        <f aca="false">H2269*J2269</f>
        <v>71.5</v>
      </c>
      <c r="M2269" s="16" t="n">
        <f aca="false">K2269-L2269</f>
        <v>123.37</v>
      </c>
      <c r="N2269" s="17" t="n">
        <f aca="false">IFERROR(M2269/K2269,0)</f>
        <v>0.633088725817211</v>
      </c>
    </row>
    <row r="2270" customFormat="false" ht="15" hidden="false" customHeight="false" outlineLevel="0" collapsed="false">
      <c r="A2270" s="15" t="n">
        <v>46117</v>
      </c>
      <c r="B2270" s="14" t="s">
        <v>42</v>
      </c>
      <c r="C2270" s="14" t="s">
        <v>43</v>
      </c>
      <c r="D2270" s="14" t="s">
        <v>44</v>
      </c>
      <c r="E2270" s="14" t="s">
        <v>53</v>
      </c>
      <c r="F2270" s="14" t="s">
        <v>74</v>
      </c>
      <c r="G2270" s="14" t="s">
        <v>75</v>
      </c>
      <c r="H2270" s="0" t="n">
        <v>13</v>
      </c>
      <c r="I2270" s="16" t="n">
        <v>83.8</v>
      </c>
      <c r="J2270" s="16" t="n">
        <v>38</v>
      </c>
      <c r="K2270" s="16" t="n">
        <f aca="false">H2270*I2270</f>
        <v>1089.4</v>
      </c>
      <c r="L2270" s="16" t="n">
        <f aca="false">H2270*J2270</f>
        <v>494</v>
      </c>
      <c r="M2270" s="16" t="n">
        <f aca="false">K2270-L2270</f>
        <v>595.4</v>
      </c>
      <c r="N2270" s="17" t="n">
        <f aca="false">IFERROR(M2270/K2270,0)</f>
        <v>0.54653937947494</v>
      </c>
    </row>
    <row r="2271" customFormat="false" ht="15" hidden="false" customHeight="false" outlineLevel="0" collapsed="false">
      <c r="A2271" s="15" t="n">
        <v>46117</v>
      </c>
      <c r="B2271" s="14" t="s">
        <v>50</v>
      </c>
      <c r="C2271" s="14" t="s">
        <v>51</v>
      </c>
      <c r="D2271" s="14" t="s">
        <v>52</v>
      </c>
      <c r="E2271" s="14" t="s">
        <v>45</v>
      </c>
      <c r="F2271" s="14" t="s">
        <v>62</v>
      </c>
      <c r="G2271" s="14" t="s">
        <v>63</v>
      </c>
      <c r="H2271" s="0" t="n">
        <v>3</v>
      </c>
      <c r="I2271" s="16" t="n">
        <v>16.95</v>
      </c>
      <c r="J2271" s="16" t="n">
        <v>6.5</v>
      </c>
      <c r="K2271" s="16" t="n">
        <f aca="false">H2271*I2271</f>
        <v>50.85</v>
      </c>
      <c r="L2271" s="16" t="n">
        <f aca="false">H2271*J2271</f>
        <v>19.5</v>
      </c>
      <c r="M2271" s="16" t="n">
        <f aca="false">K2271-L2271</f>
        <v>31.35</v>
      </c>
      <c r="N2271" s="17" t="n">
        <f aca="false">IFERROR(M2271/K2271,0)</f>
        <v>0.616519174041298</v>
      </c>
    </row>
    <row r="2272" customFormat="false" ht="15" hidden="false" customHeight="false" outlineLevel="0" collapsed="false">
      <c r="A2272" s="15" t="n">
        <v>46117</v>
      </c>
      <c r="B2272" s="14" t="s">
        <v>50</v>
      </c>
      <c r="C2272" s="14" t="s">
        <v>51</v>
      </c>
      <c r="D2272" s="14" t="s">
        <v>52</v>
      </c>
      <c r="E2272" s="14" t="s">
        <v>45</v>
      </c>
      <c r="F2272" s="14" t="s">
        <v>46</v>
      </c>
      <c r="G2272" s="14" t="s">
        <v>47</v>
      </c>
      <c r="H2272" s="0" t="n">
        <v>14</v>
      </c>
      <c r="I2272" s="16" t="n">
        <v>44.54</v>
      </c>
      <c r="J2272" s="16" t="n">
        <v>18</v>
      </c>
      <c r="K2272" s="16" t="n">
        <f aca="false">H2272*I2272</f>
        <v>623.56</v>
      </c>
      <c r="L2272" s="16" t="n">
        <f aca="false">H2272*J2272</f>
        <v>252</v>
      </c>
      <c r="M2272" s="16" t="n">
        <f aca="false">K2272-L2272</f>
        <v>371.56</v>
      </c>
      <c r="N2272" s="17" t="n">
        <f aca="false">IFERROR(M2272/K2272,0)</f>
        <v>0.595868881903907</v>
      </c>
    </row>
    <row r="2273" customFormat="false" ht="15" hidden="false" customHeight="false" outlineLevel="0" collapsed="false">
      <c r="A2273" s="15" t="n">
        <v>46117</v>
      </c>
      <c r="B2273" s="14" t="s">
        <v>50</v>
      </c>
      <c r="C2273" s="14" t="s">
        <v>51</v>
      </c>
      <c r="D2273" s="14" t="s">
        <v>52</v>
      </c>
      <c r="E2273" s="14" t="s">
        <v>56</v>
      </c>
      <c r="F2273" s="14" t="s">
        <v>86</v>
      </c>
      <c r="G2273" s="14" t="s">
        <v>87</v>
      </c>
      <c r="H2273" s="0" t="n">
        <v>8</v>
      </c>
      <c r="I2273" s="16" t="n">
        <v>14.02</v>
      </c>
      <c r="J2273" s="16" t="n">
        <v>5</v>
      </c>
      <c r="K2273" s="16" t="n">
        <f aca="false">H2273*I2273</f>
        <v>112.16</v>
      </c>
      <c r="L2273" s="16" t="n">
        <f aca="false">H2273*J2273</f>
        <v>40</v>
      </c>
      <c r="M2273" s="16" t="n">
        <f aca="false">K2273-L2273</f>
        <v>72.16</v>
      </c>
      <c r="N2273" s="17" t="n">
        <f aca="false">IFERROR(M2273/K2273,0)</f>
        <v>0.643366619115549</v>
      </c>
    </row>
    <row r="2274" customFormat="false" ht="15" hidden="false" customHeight="false" outlineLevel="0" collapsed="false">
      <c r="A2274" s="15" t="n">
        <v>46117</v>
      </c>
      <c r="B2274" s="14" t="s">
        <v>59</v>
      </c>
      <c r="C2274" s="14" t="s">
        <v>60</v>
      </c>
      <c r="D2274" s="14" t="s">
        <v>61</v>
      </c>
      <c r="E2274" s="14" t="s">
        <v>45</v>
      </c>
      <c r="F2274" s="14" t="s">
        <v>72</v>
      </c>
      <c r="G2274" s="14" t="s">
        <v>73</v>
      </c>
      <c r="H2274" s="0" t="n">
        <v>8</v>
      </c>
      <c r="I2274" s="16" t="n">
        <v>51.85</v>
      </c>
      <c r="J2274" s="16" t="n">
        <v>21</v>
      </c>
      <c r="K2274" s="16" t="n">
        <f aca="false">H2274*I2274</f>
        <v>414.8</v>
      </c>
      <c r="L2274" s="16" t="n">
        <f aca="false">H2274*J2274</f>
        <v>168</v>
      </c>
      <c r="M2274" s="16" t="n">
        <f aca="false">K2274-L2274</f>
        <v>246.8</v>
      </c>
      <c r="N2274" s="17" t="n">
        <f aca="false">IFERROR(M2274/K2274,0)</f>
        <v>0.594985535197686</v>
      </c>
    </row>
    <row r="2275" customFormat="false" ht="15" hidden="false" customHeight="false" outlineLevel="0" collapsed="false">
      <c r="A2275" s="15" t="n">
        <v>46117</v>
      </c>
      <c r="B2275" s="14" t="s">
        <v>59</v>
      </c>
      <c r="C2275" s="14" t="s">
        <v>60</v>
      </c>
      <c r="D2275" s="14" t="s">
        <v>61</v>
      </c>
      <c r="E2275" s="14" t="s">
        <v>76</v>
      </c>
      <c r="F2275" s="14" t="s">
        <v>77</v>
      </c>
      <c r="G2275" s="14" t="s">
        <v>78</v>
      </c>
      <c r="H2275" s="0" t="n">
        <v>4</v>
      </c>
      <c r="I2275" s="16" t="n">
        <v>39.81</v>
      </c>
      <c r="J2275" s="16" t="n">
        <v>15</v>
      </c>
      <c r="K2275" s="16" t="n">
        <f aca="false">H2275*I2275</f>
        <v>159.24</v>
      </c>
      <c r="L2275" s="16" t="n">
        <f aca="false">H2275*J2275</f>
        <v>60</v>
      </c>
      <c r="M2275" s="16" t="n">
        <f aca="false">K2275-L2275</f>
        <v>99.24</v>
      </c>
      <c r="N2275" s="17" t="n">
        <f aca="false">IFERROR(M2275/K2275,0)</f>
        <v>0.623210248681236</v>
      </c>
    </row>
    <row r="2276" customFormat="false" ht="15" hidden="false" customHeight="false" outlineLevel="0" collapsed="false">
      <c r="A2276" s="15" t="n">
        <v>46117</v>
      </c>
      <c r="B2276" s="14" t="s">
        <v>69</v>
      </c>
      <c r="C2276" s="14" t="s">
        <v>70</v>
      </c>
      <c r="D2276" s="14" t="s">
        <v>71</v>
      </c>
      <c r="E2276" s="14" t="s">
        <v>64</v>
      </c>
      <c r="F2276" s="14" t="s">
        <v>90</v>
      </c>
      <c r="G2276" s="14" t="s">
        <v>91</v>
      </c>
      <c r="H2276" s="0" t="n">
        <v>3</v>
      </c>
      <c r="I2276" s="16" t="n">
        <v>11.97</v>
      </c>
      <c r="J2276" s="16" t="n">
        <v>3.5</v>
      </c>
      <c r="K2276" s="16" t="n">
        <f aca="false">H2276*I2276</f>
        <v>35.91</v>
      </c>
      <c r="L2276" s="16" t="n">
        <f aca="false">H2276*J2276</f>
        <v>10.5</v>
      </c>
      <c r="M2276" s="16" t="n">
        <f aca="false">K2276-L2276</f>
        <v>25.41</v>
      </c>
      <c r="N2276" s="17" t="n">
        <f aca="false">IFERROR(M2276/K2276,0)</f>
        <v>0.707602339181287</v>
      </c>
    </row>
    <row r="2277" customFormat="false" ht="15" hidden="false" customHeight="false" outlineLevel="0" collapsed="false">
      <c r="A2277" s="15" t="n">
        <v>46117</v>
      </c>
      <c r="B2277" s="14" t="s">
        <v>69</v>
      </c>
      <c r="C2277" s="14" t="s">
        <v>70</v>
      </c>
      <c r="D2277" s="14" t="s">
        <v>71</v>
      </c>
      <c r="E2277" s="14" t="s">
        <v>64</v>
      </c>
      <c r="F2277" s="14" t="s">
        <v>94</v>
      </c>
      <c r="G2277" s="14" t="s">
        <v>95</v>
      </c>
      <c r="H2277" s="0" t="n">
        <v>7</v>
      </c>
      <c r="I2277" s="16" t="n">
        <v>97.6</v>
      </c>
      <c r="J2277" s="16" t="n">
        <v>42</v>
      </c>
      <c r="K2277" s="16" t="n">
        <f aca="false">H2277*I2277</f>
        <v>683.2</v>
      </c>
      <c r="L2277" s="16" t="n">
        <f aca="false">H2277*J2277</f>
        <v>294</v>
      </c>
      <c r="M2277" s="16" t="n">
        <f aca="false">K2277-L2277</f>
        <v>389.2</v>
      </c>
      <c r="N2277" s="17" t="n">
        <f aca="false">IFERROR(M2277/K2277,0)</f>
        <v>0.569672131147541</v>
      </c>
    </row>
    <row r="2278" customFormat="false" ht="15" hidden="false" customHeight="false" outlineLevel="0" collapsed="false">
      <c r="A2278" s="15" t="n">
        <v>46117</v>
      </c>
      <c r="B2278" s="14" t="s">
        <v>69</v>
      </c>
      <c r="C2278" s="14" t="s">
        <v>70</v>
      </c>
      <c r="D2278" s="14" t="s">
        <v>71</v>
      </c>
      <c r="E2278" s="14" t="s">
        <v>56</v>
      </c>
      <c r="F2278" s="14" t="s">
        <v>86</v>
      </c>
      <c r="G2278" s="14" t="s">
        <v>87</v>
      </c>
      <c r="H2278" s="0" t="n">
        <v>2</v>
      </c>
      <c r="I2278" s="16" t="n">
        <v>14.67</v>
      </c>
      <c r="J2278" s="16" t="n">
        <v>5</v>
      </c>
      <c r="K2278" s="16" t="n">
        <f aca="false">H2278*I2278</f>
        <v>29.34</v>
      </c>
      <c r="L2278" s="16" t="n">
        <f aca="false">H2278*J2278</f>
        <v>10</v>
      </c>
      <c r="M2278" s="16" t="n">
        <f aca="false">K2278-L2278</f>
        <v>19.34</v>
      </c>
      <c r="N2278" s="17" t="n">
        <f aca="false">IFERROR(M2278/K2278,0)</f>
        <v>0.659168370824813</v>
      </c>
    </row>
    <row r="2279" customFormat="false" ht="15" hidden="false" customHeight="false" outlineLevel="0" collapsed="false">
      <c r="A2279" s="15" t="n">
        <v>46117</v>
      </c>
      <c r="B2279" s="14" t="s">
        <v>69</v>
      </c>
      <c r="C2279" s="14" t="s">
        <v>70</v>
      </c>
      <c r="D2279" s="14" t="s">
        <v>71</v>
      </c>
      <c r="E2279" s="14" t="s">
        <v>56</v>
      </c>
      <c r="F2279" s="14" t="s">
        <v>86</v>
      </c>
      <c r="G2279" s="14" t="s">
        <v>87</v>
      </c>
      <c r="H2279" s="0" t="n">
        <v>7</v>
      </c>
      <c r="I2279" s="16" t="n">
        <v>14.6</v>
      </c>
      <c r="J2279" s="16" t="n">
        <v>5</v>
      </c>
      <c r="K2279" s="16" t="n">
        <f aca="false">H2279*I2279</f>
        <v>102.2</v>
      </c>
      <c r="L2279" s="16" t="n">
        <f aca="false">H2279*J2279</f>
        <v>35</v>
      </c>
      <c r="M2279" s="16" t="n">
        <f aca="false">K2279-L2279</f>
        <v>67.2</v>
      </c>
      <c r="N2279" s="17" t="n">
        <f aca="false">IFERROR(M2279/K2279,0)</f>
        <v>0.657534246575342</v>
      </c>
    </row>
    <row r="2280" customFormat="false" ht="15" hidden="false" customHeight="false" outlineLevel="0" collapsed="false">
      <c r="A2280" s="15" t="n">
        <v>46117</v>
      </c>
      <c r="B2280" s="14" t="s">
        <v>69</v>
      </c>
      <c r="C2280" s="14" t="s">
        <v>70</v>
      </c>
      <c r="D2280" s="14" t="s">
        <v>71</v>
      </c>
      <c r="E2280" s="14" t="s">
        <v>76</v>
      </c>
      <c r="F2280" s="14" t="s">
        <v>79</v>
      </c>
      <c r="G2280" s="14" t="s">
        <v>80</v>
      </c>
      <c r="H2280" s="0" t="n">
        <v>3</v>
      </c>
      <c r="I2280" s="16" t="n">
        <v>29.75</v>
      </c>
      <c r="J2280" s="16" t="n">
        <v>11</v>
      </c>
      <c r="K2280" s="16" t="n">
        <f aca="false">H2280*I2280</f>
        <v>89.25</v>
      </c>
      <c r="L2280" s="16" t="n">
        <f aca="false">H2280*J2280</f>
        <v>33</v>
      </c>
      <c r="M2280" s="16" t="n">
        <f aca="false">K2280-L2280</f>
        <v>56.25</v>
      </c>
      <c r="N2280" s="17" t="n">
        <f aca="false">IFERROR(M2280/K2280,0)</f>
        <v>0.630252100840336</v>
      </c>
    </row>
    <row r="2281" customFormat="false" ht="15" hidden="false" customHeight="false" outlineLevel="0" collapsed="false">
      <c r="A2281" s="15" t="n">
        <v>46117</v>
      </c>
      <c r="B2281" s="14" t="s">
        <v>81</v>
      </c>
      <c r="C2281" s="14" t="s">
        <v>82</v>
      </c>
      <c r="D2281" s="14" t="s">
        <v>83</v>
      </c>
      <c r="E2281" s="14" t="s">
        <v>64</v>
      </c>
      <c r="F2281" s="14" t="s">
        <v>94</v>
      </c>
      <c r="G2281" s="14" t="s">
        <v>95</v>
      </c>
      <c r="H2281" s="0" t="n">
        <v>2</v>
      </c>
      <c r="I2281" s="16" t="n">
        <v>97.35</v>
      </c>
      <c r="J2281" s="16" t="n">
        <v>42</v>
      </c>
      <c r="K2281" s="16" t="n">
        <f aca="false">H2281*I2281</f>
        <v>194.7</v>
      </c>
      <c r="L2281" s="16" t="n">
        <f aca="false">H2281*J2281</f>
        <v>84</v>
      </c>
      <c r="M2281" s="16" t="n">
        <f aca="false">K2281-L2281</f>
        <v>110.7</v>
      </c>
      <c r="N2281" s="17" t="n">
        <f aca="false">IFERROR(M2281/K2281,0)</f>
        <v>0.568567026194145</v>
      </c>
    </row>
    <row r="2282" customFormat="false" ht="15" hidden="false" customHeight="false" outlineLevel="0" collapsed="false">
      <c r="A2282" s="15" t="n">
        <v>46117</v>
      </c>
      <c r="B2282" s="14" t="s">
        <v>81</v>
      </c>
      <c r="C2282" s="14" t="s">
        <v>82</v>
      </c>
      <c r="D2282" s="14" t="s">
        <v>83</v>
      </c>
      <c r="E2282" s="14" t="s">
        <v>64</v>
      </c>
      <c r="F2282" s="14" t="s">
        <v>94</v>
      </c>
      <c r="G2282" s="14" t="s">
        <v>95</v>
      </c>
      <c r="H2282" s="0" t="n">
        <v>1</v>
      </c>
      <c r="I2282" s="16" t="n">
        <v>98.91</v>
      </c>
      <c r="J2282" s="16" t="n">
        <v>42</v>
      </c>
      <c r="K2282" s="16" t="n">
        <f aca="false">H2282*I2282</f>
        <v>98.91</v>
      </c>
      <c r="L2282" s="16" t="n">
        <f aca="false">H2282*J2282</f>
        <v>42</v>
      </c>
      <c r="M2282" s="16" t="n">
        <f aca="false">K2282-L2282</f>
        <v>56.91</v>
      </c>
      <c r="N2282" s="17" t="n">
        <f aca="false">IFERROR(M2282/K2282,0)</f>
        <v>0.575371549893843</v>
      </c>
    </row>
    <row r="2283" customFormat="false" ht="15" hidden="false" customHeight="false" outlineLevel="0" collapsed="false">
      <c r="A2283" s="15" t="n">
        <v>46117</v>
      </c>
      <c r="B2283" s="14" t="s">
        <v>81</v>
      </c>
      <c r="C2283" s="14" t="s">
        <v>82</v>
      </c>
      <c r="D2283" s="14" t="s">
        <v>83</v>
      </c>
      <c r="E2283" s="14" t="s">
        <v>53</v>
      </c>
      <c r="F2283" s="14" t="s">
        <v>84</v>
      </c>
      <c r="G2283" s="14" t="s">
        <v>85</v>
      </c>
      <c r="H2283" s="0" t="n">
        <v>2</v>
      </c>
      <c r="I2283" s="16" t="n">
        <v>23.07</v>
      </c>
      <c r="J2283" s="16" t="n">
        <v>9</v>
      </c>
      <c r="K2283" s="16" t="n">
        <f aca="false">H2283*I2283</f>
        <v>46.14</v>
      </c>
      <c r="L2283" s="16" t="n">
        <f aca="false">H2283*J2283</f>
        <v>18</v>
      </c>
      <c r="M2283" s="16" t="n">
        <f aca="false">K2283-L2283</f>
        <v>28.14</v>
      </c>
      <c r="N2283" s="17" t="n">
        <f aca="false">IFERROR(M2283/K2283,0)</f>
        <v>0.609882964889467</v>
      </c>
    </row>
    <row r="2284" customFormat="false" ht="15" hidden="false" customHeight="false" outlineLevel="0" collapsed="false">
      <c r="A2284" s="15" t="n">
        <v>46117</v>
      </c>
      <c r="B2284" s="14" t="s">
        <v>88</v>
      </c>
      <c r="C2284" s="14" t="s">
        <v>89</v>
      </c>
      <c r="D2284" s="14" t="s">
        <v>44</v>
      </c>
      <c r="E2284" s="14" t="s">
        <v>64</v>
      </c>
      <c r="F2284" s="14" t="s">
        <v>96</v>
      </c>
      <c r="G2284" s="14" t="s">
        <v>97</v>
      </c>
      <c r="H2284" s="0" t="n">
        <v>9</v>
      </c>
      <c r="I2284" s="16" t="n">
        <v>55.3</v>
      </c>
      <c r="J2284" s="16" t="n">
        <v>24</v>
      </c>
      <c r="K2284" s="16" t="n">
        <f aca="false">H2284*I2284</f>
        <v>497.7</v>
      </c>
      <c r="L2284" s="16" t="n">
        <f aca="false">H2284*J2284</f>
        <v>216</v>
      </c>
      <c r="M2284" s="16" t="n">
        <f aca="false">K2284-L2284</f>
        <v>281.7</v>
      </c>
      <c r="N2284" s="17" t="n">
        <f aca="false">IFERROR(M2284/K2284,0)</f>
        <v>0.566003616636528</v>
      </c>
    </row>
    <row r="2285" customFormat="false" ht="15" hidden="false" customHeight="false" outlineLevel="0" collapsed="false">
      <c r="A2285" s="15" t="n">
        <v>46117</v>
      </c>
      <c r="B2285" s="14" t="s">
        <v>88</v>
      </c>
      <c r="C2285" s="14" t="s">
        <v>89</v>
      </c>
      <c r="D2285" s="14" t="s">
        <v>44</v>
      </c>
      <c r="E2285" s="14" t="s">
        <v>53</v>
      </c>
      <c r="F2285" s="14" t="s">
        <v>54</v>
      </c>
      <c r="G2285" s="14" t="s">
        <v>55</v>
      </c>
      <c r="H2285" s="0" t="n">
        <v>2</v>
      </c>
      <c r="I2285" s="16" t="n">
        <v>52.23</v>
      </c>
      <c r="J2285" s="16" t="n">
        <v>22</v>
      </c>
      <c r="K2285" s="16" t="n">
        <f aca="false">H2285*I2285</f>
        <v>104.46</v>
      </c>
      <c r="L2285" s="16" t="n">
        <f aca="false">H2285*J2285</f>
        <v>44</v>
      </c>
      <c r="M2285" s="16" t="n">
        <f aca="false">K2285-L2285</f>
        <v>60.46</v>
      </c>
      <c r="N2285" s="17" t="n">
        <f aca="false">IFERROR(M2285/K2285,0)</f>
        <v>0.578786138234731</v>
      </c>
    </row>
    <row r="2286" customFormat="false" ht="15" hidden="false" customHeight="false" outlineLevel="0" collapsed="false">
      <c r="A2286" s="15" t="n">
        <v>46117</v>
      </c>
      <c r="B2286" s="14" t="s">
        <v>88</v>
      </c>
      <c r="C2286" s="14" t="s">
        <v>89</v>
      </c>
      <c r="D2286" s="14" t="s">
        <v>44</v>
      </c>
      <c r="E2286" s="14" t="s">
        <v>76</v>
      </c>
      <c r="F2286" s="14" t="s">
        <v>79</v>
      </c>
      <c r="G2286" s="14" t="s">
        <v>80</v>
      </c>
      <c r="H2286" s="0" t="n">
        <v>7</v>
      </c>
      <c r="I2286" s="16" t="n">
        <v>29.75</v>
      </c>
      <c r="J2286" s="16" t="n">
        <v>11</v>
      </c>
      <c r="K2286" s="16" t="n">
        <f aca="false">H2286*I2286</f>
        <v>208.25</v>
      </c>
      <c r="L2286" s="16" t="n">
        <f aca="false">H2286*J2286</f>
        <v>77</v>
      </c>
      <c r="M2286" s="16" t="n">
        <f aca="false">K2286-L2286</f>
        <v>131.25</v>
      </c>
      <c r="N2286" s="17" t="n">
        <f aca="false">IFERROR(M2286/K2286,0)</f>
        <v>0.630252100840336</v>
      </c>
    </row>
    <row r="2287" customFormat="false" ht="15" hidden="false" customHeight="false" outlineLevel="0" collapsed="false">
      <c r="A2287" s="15" t="n">
        <v>46118</v>
      </c>
      <c r="B2287" s="14" t="s">
        <v>42</v>
      </c>
      <c r="C2287" s="14" t="s">
        <v>43</v>
      </c>
      <c r="D2287" s="14" t="s">
        <v>44</v>
      </c>
      <c r="E2287" s="14" t="s">
        <v>45</v>
      </c>
      <c r="F2287" s="14" t="s">
        <v>72</v>
      </c>
      <c r="G2287" s="14" t="s">
        <v>73</v>
      </c>
      <c r="H2287" s="0" t="n">
        <v>12</v>
      </c>
      <c r="I2287" s="16" t="n">
        <v>49.56</v>
      </c>
      <c r="J2287" s="16" t="n">
        <v>21</v>
      </c>
      <c r="K2287" s="16" t="n">
        <f aca="false">H2287*I2287</f>
        <v>594.72</v>
      </c>
      <c r="L2287" s="16" t="n">
        <f aca="false">H2287*J2287</f>
        <v>252</v>
      </c>
      <c r="M2287" s="16" t="n">
        <f aca="false">K2287-L2287</f>
        <v>342.72</v>
      </c>
      <c r="N2287" s="17" t="n">
        <f aca="false">IFERROR(M2287/K2287,0)</f>
        <v>0.576271186440678</v>
      </c>
    </row>
    <row r="2288" customFormat="false" ht="15" hidden="false" customHeight="false" outlineLevel="0" collapsed="false">
      <c r="A2288" s="15" t="n">
        <v>46118</v>
      </c>
      <c r="B2288" s="14" t="s">
        <v>42</v>
      </c>
      <c r="C2288" s="14" t="s">
        <v>43</v>
      </c>
      <c r="D2288" s="14" t="s">
        <v>44</v>
      </c>
      <c r="E2288" s="14" t="s">
        <v>76</v>
      </c>
      <c r="F2288" s="14" t="s">
        <v>102</v>
      </c>
      <c r="G2288" s="14" t="s">
        <v>103</v>
      </c>
      <c r="H2288" s="0" t="n">
        <v>9</v>
      </c>
      <c r="I2288" s="16" t="n">
        <v>23.08</v>
      </c>
      <c r="J2288" s="16" t="n">
        <v>8.5</v>
      </c>
      <c r="K2288" s="16" t="n">
        <f aca="false">H2288*I2288</f>
        <v>207.72</v>
      </c>
      <c r="L2288" s="16" t="n">
        <f aca="false">H2288*J2288</f>
        <v>76.5</v>
      </c>
      <c r="M2288" s="16" t="n">
        <f aca="false">K2288-L2288</f>
        <v>131.22</v>
      </c>
      <c r="N2288" s="17" t="n">
        <f aca="false">IFERROR(M2288/K2288,0)</f>
        <v>0.631715771230503</v>
      </c>
    </row>
    <row r="2289" customFormat="false" ht="15" hidden="false" customHeight="false" outlineLevel="0" collapsed="false">
      <c r="A2289" s="15" t="n">
        <v>46118</v>
      </c>
      <c r="B2289" s="14" t="s">
        <v>42</v>
      </c>
      <c r="C2289" s="14" t="s">
        <v>43</v>
      </c>
      <c r="D2289" s="14" t="s">
        <v>44</v>
      </c>
      <c r="E2289" s="14" t="s">
        <v>76</v>
      </c>
      <c r="F2289" s="14" t="s">
        <v>79</v>
      </c>
      <c r="G2289" s="14" t="s">
        <v>80</v>
      </c>
      <c r="H2289" s="0" t="n">
        <v>4</v>
      </c>
      <c r="I2289" s="16" t="n">
        <v>28.7</v>
      </c>
      <c r="J2289" s="16" t="n">
        <v>11</v>
      </c>
      <c r="K2289" s="16" t="n">
        <f aca="false">H2289*I2289</f>
        <v>114.8</v>
      </c>
      <c r="L2289" s="16" t="n">
        <f aca="false">H2289*J2289</f>
        <v>44</v>
      </c>
      <c r="M2289" s="16" t="n">
        <f aca="false">K2289-L2289</f>
        <v>70.8</v>
      </c>
      <c r="N2289" s="17" t="n">
        <f aca="false">IFERROR(M2289/K2289,0)</f>
        <v>0.616724738675958</v>
      </c>
    </row>
    <row r="2290" customFormat="false" ht="15" hidden="false" customHeight="false" outlineLevel="0" collapsed="false">
      <c r="A2290" s="15" t="n">
        <v>46118</v>
      </c>
      <c r="B2290" s="14" t="s">
        <v>42</v>
      </c>
      <c r="C2290" s="14" t="s">
        <v>43</v>
      </c>
      <c r="D2290" s="14" t="s">
        <v>44</v>
      </c>
      <c r="E2290" s="14" t="s">
        <v>76</v>
      </c>
      <c r="F2290" s="14" t="s">
        <v>77</v>
      </c>
      <c r="G2290" s="14" t="s">
        <v>78</v>
      </c>
      <c r="H2290" s="0" t="n">
        <v>4</v>
      </c>
      <c r="I2290" s="16" t="n">
        <v>40.46</v>
      </c>
      <c r="J2290" s="16" t="n">
        <v>15</v>
      </c>
      <c r="K2290" s="16" t="n">
        <f aca="false">H2290*I2290</f>
        <v>161.84</v>
      </c>
      <c r="L2290" s="16" t="n">
        <f aca="false">H2290*J2290</f>
        <v>60</v>
      </c>
      <c r="M2290" s="16" t="n">
        <f aca="false">K2290-L2290</f>
        <v>101.84</v>
      </c>
      <c r="N2290" s="17" t="n">
        <f aca="false">IFERROR(M2290/K2290,0)</f>
        <v>0.62926347009392</v>
      </c>
    </row>
    <row r="2291" customFormat="false" ht="15" hidden="false" customHeight="false" outlineLevel="0" collapsed="false">
      <c r="A2291" s="15" t="n">
        <v>46118</v>
      </c>
      <c r="B2291" s="14" t="s">
        <v>42</v>
      </c>
      <c r="C2291" s="14" t="s">
        <v>43</v>
      </c>
      <c r="D2291" s="14" t="s">
        <v>44</v>
      </c>
      <c r="E2291" s="14" t="s">
        <v>64</v>
      </c>
      <c r="F2291" s="14" t="s">
        <v>94</v>
      </c>
      <c r="G2291" s="14" t="s">
        <v>95</v>
      </c>
      <c r="H2291" s="0" t="n">
        <v>9</v>
      </c>
      <c r="I2291" s="16" t="n">
        <v>96.1</v>
      </c>
      <c r="J2291" s="16" t="n">
        <v>42</v>
      </c>
      <c r="K2291" s="16" t="n">
        <f aca="false">H2291*I2291</f>
        <v>864.9</v>
      </c>
      <c r="L2291" s="16" t="n">
        <f aca="false">H2291*J2291</f>
        <v>378</v>
      </c>
      <c r="M2291" s="16" t="n">
        <f aca="false">K2291-L2291</f>
        <v>486.9</v>
      </c>
      <c r="N2291" s="17" t="n">
        <f aca="false">IFERROR(M2291/K2291,0)</f>
        <v>0.562955254942768</v>
      </c>
    </row>
    <row r="2292" customFormat="false" ht="15" hidden="false" customHeight="false" outlineLevel="0" collapsed="false">
      <c r="A2292" s="15" t="n">
        <v>46118</v>
      </c>
      <c r="B2292" s="14" t="s">
        <v>42</v>
      </c>
      <c r="C2292" s="14" t="s">
        <v>43</v>
      </c>
      <c r="D2292" s="14" t="s">
        <v>44</v>
      </c>
      <c r="E2292" s="14" t="s">
        <v>56</v>
      </c>
      <c r="F2292" s="14" t="s">
        <v>98</v>
      </c>
      <c r="G2292" s="14" t="s">
        <v>99</v>
      </c>
      <c r="H2292" s="0" t="n">
        <v>3</v>
      </c>
      <c r="I2292" s="16" t="n">
        <v>21.66</v>
      </c>
      <c r="J2292" s="16" t="n">
        <v>8</v>
      </c>
      <c r="K2292" s="16" t="n">
        <f aca="false">H2292*I2292</f>
        <v>64.98</v>
      </c>
      <c r="L2292" s="16" t="n">
        <f aca="false">H2292*J2292</f>
        <v>24</v>
      </c>
      <c r="M2292" s="16" t="n">
        <f aca="false">K2292-L2292</f>
        <v>40.98</v>
      </c>
      <c r="N2292" s="17" t="n">
        <f aca="false">IFERROR(M2292/K2292,0)</f>
        <v>0.630655586334257</v>
      </c>
    </row>
    <row r="2293" customFormat="false" ht="15" hidden="false" customHeight="false" outlineLevel="0" collapsed="false">
      <c r="A2293" s="15" t="n">
        <v>46118</v>
      </c>
      <c r="B2293" s="14" t="s">
        <v>50</v>
      </c>
      <c r="C2293" s="14" t="s">
        <v>51</v>
      </c>
      <c r="D2293" s="14" t="s">
        <v>52</v>
      </c>
      <c r="E2293" s="14" t="s">
        <v>45</v>
      </c>
      <c r="F2293" s="14" t="s">
        <v>48</v>
      </c>
      <c r="G2293" s="14" t="s">
        <v>49</v>
      </c>
      <c r="H2293" s="0" t="n">
        <v>10</v>
      </c>
      <c r="I2293" s="16" t="n">
        <v>63.12</v>
      </c>
      <c r="J2293" s="16" t="n">
        <v>27.5</v>
      </c>
      <c r="K2293" s="16" t="n">
        <f aca="false">H2293*I2293</f>
        <v>631.2</v>
      </c>
      <c r="L2293" s="16" t="n">
        <f aca="false">H2293*J2293</f>
        <v>275</v>
      </c>
      <c r="M2293" s="16" t="n">
        <f aca="false">K2293-L2293</f>
        <v>356.2</v>
      </c>
      <c r="N2293" s="17" t="n">
        <f aca="false">IFERROR(M2293/K2293,0)</f>
        <v>0.564321926489227</v>
      </c>
    </row>
    <row r="2294" customFormat="false" ht="15" hidden="false" customHeight="false" outlineLevel="0" collapsed="false">
      <c r="A2294" s="15" t="n">
        <v>46118</v>
      </c>
      <c r="B2294" s="14" t="s">
        <v>50</v>
      </c>
      <c r="C2294" s="14" t="s">
        <v>51</v>
      </c>
      <c r="D2294" s="14" t="s">
        <v>52</v>
      </c>
      <c r="E2294" s="14" t="s">
        <v>56</v>
      </c>
      <c r="F2294" s="14" t="s">
        <v>98</v>
      </c>
      <c r="G2294" s="14" t="s">
        <v>99</v>
      </c>
      <c r="H2294" s="0" t="n">
        <v>10</v>
      </c>
      <c r="I2294" s="16" t="n">
        <v>21.13</v>
      </c>
      <c r="J2294" s="16" t="n">
        <v>8</v>
      </c>
      <c r="K2294" s="16" t="n">
        <f aca="false">H2294*I2294</f>
        <v>211.3</v>
      </c>
      <c r="L2294" s="16" t="n">
        <f aca="false">H2294*J2294</f>
        <v>80</v>
      </c>
      <c r="M2294" s="16" t="n">
        <f aca="false">K2294-L2294</f>
        <v>131.3</v>
      </c>
      <c r="N2294" s="17" t="n">
        <f aca="false">IFERROR(M2294/K2294,0)</f>
        <v>0.621391386654046</v>
      </c>
    </row>
    <row r="2295" customFormat="false" ht="15" hidden="false" customHeight="false" outlineLevel="0" collapsed="false">
      <c r="A2295" s="15" t="n">
        <v>46118</v>
      </c>
      <c r="B2295" s="14" t="s">
        <v>59</v>
      </c>
      <c r="C2295" s="14" t="s">
        <v>60</v>
      </c>
      <c r="D2295" s="14" t="s">
        <v>61</v>
      </c>
      <c r="E2295" s="14" t="s">
        <v>76</v>
      </c>
      <c r="F2295" s="14" t="s">
        <v>100</v>
      </c>
      <c r="G2295" s="14" t="s">
        <v>101</v>
      </c>
      <c r="H2295" s="0" t="n">
        <v>4</v>
      </c>
      <c r="I2295" s="16" t="n">
        <v>15.01</v>
      </c>
      <c r="J2295" s="16" t="n">
        <v>5.5</v>
      </c>
      <c r="K2295" s="16" t="n">
        <f aca="false">H2295*I2295</f>
        <v>60.04</v>
      </c>
      <c r="L2295" s="16" t="n">
        <f aca="false">H2295*J2295</f>
        <v>22</v>
      </c>
      <c r="M2295" s="16" t="n">
        <f aca="false">K2295-L2295</f>
        <v>38.04</v>
      </c>
      <c r="N2295" s="17" t="n">
        <f aca="false">IFERROR(M2295/K2295,0)</f>
        <v>0.633577614923384</v>
      </c>
    </row>
    <row r="2296" customFormat="false" ht="15" hidden="false" customHeight="false" outlineLevel="0" collapsed="false">
      <c r="A2296" s="15" t="n">
        <v>46118</v>
      </c>
      <c r="B2296" s="14" t="s">
        <v>59</v>
      </c>
      <c r="C2296" s="14" t="s">
        <v>60</v>
      </c>
      <c r="D2296" s="14" t="s">
        <v>61</v>
      </c>
      <c r="E2296" s="14" t="s">
        <v>64</v>
      </c>
      <c r="F2296" s="14" t="s">
        <v>90</v>
      </c>
      <c r="G2296" s="14" t="s">
        <v>91</v>
      </c>
      <c r="H2296" s="0" t="n">
        <v>2</v>
      </c>
      <c r="I2296" s="16" t="n">
        <v>11.23</v>
      </c>
      <c r="J2296" s="16" t="n">
        <v>3.5</v>
      </c>
      <c r="K2296" s="16" t="n">
        <f aca="false">H2296*I2296</f>
        <v>22.46</v>
      </c>
      <c r="L2296" s="16" t="n">
        <f aca="false">H2296*J2296</f>
        <v>7</v>
      </c>
      <c r="M2296" s="16" t="n">
        <f aca="false">K2296-L2296</f>
        <v>15.46</v>
      </c>
      <c r="N2296" s="17" t="n">
        <f aca="false">IFERROR(M2296/K2296,0)</f>
        <v>0.68833481745325</v>
      </c>
    </row>
    <row r="2297" customFormat="false" ht="15" hidden="false" customHeight="false" outlineLevel="0" collapsed="false">
      <c r="A2297" s="15" t="n">
        <v>46118</v>
      </c>
      <c r="B2297" s="14" t="s">
        <v>69</v>
      </c>
      <c r="C2297" s="14" t="s">
        <v>70</v>
      </c>
      <c r="D2297" s="14" t="s">
        <v>71</v>
      </c>
      <c r="E2297" s="14" t="s">
        <v>45</v>
      </c>
      <c r="F2297" s="14" t="s">
        <v>46</v>
      </c>
      <c r="G2297" s="14" t="s">
        <v>47</v>
      </c>
      <c r="H2297" s="0" t="n">
        <v>8</v>
      </c>
      <c r="I2297" s="16" t="n">
        <v>42.89</v>
      </c>
      <c r="J2297" s="16" t="n">
        <v>18</v>
      </c>
      <c r="K2297" s="16" t="n">
        <f aca="false">H2297*I2297</f>
        <v>343.12</v>
      </c>
      <c r="L2297" s="16" t="n">
        <f aca="false">H2297*J2297</f>
        <v>144</v>
      </c>
      <c r="M2297" s="16" t="n">
        <f aca="false">K2297-L2297</f>
        <v>199.12</v>
      </c>
      <c r="N2297" s="17" t="n">
        <f aca="false">IFERROR(M2297/K2297,0)</f>
        <v>0.580321753322453</v>
      </c>
    </row>
    <row r="2298" customFormat="false" ht="15" hidden="false" customHeight="false" outlineLevel="0" collapsed="false">
      <c r="A2298" s="15" t="n">
        <v>46118</v>
      </c>
      <c r="B2298" s="14" t="s">
        <v>69</v>
      </c>
      <c r="C2298" s="14" t="s">
        <v>70</v>
      </c>
      <c r="D2298" s="14" t="s">
        <v>71</v>
      </c>
      <c r="E2298" s="14" t="s">
        <v>64</v>
      </c>
      <c r="F2298" s="14" t="s">
        <v>65</v>
      </c>
      <c r="G2298" s="14" t="s">
        <v>66</v>
      </c>
      <c r="H2298" s="0" t="n">
        <v>5</v>
      </c>
      <c r="I2298" s="16" t="n">
        <v>77.62</v>
      </c>
      <c r="J2298" s="16" t="n">
        <v>34</v>
      </c>
      <c r="K2298" s="16" t="n">
        <f aca="false">H2298*I2298</f>
        <v>388.1</v>
      </c>
      <c r="L2298" s="16" t="n">
        <f aca="false">H2298*J2298</f>
        <v>170</v>
      </c>
      <c r="M2298" s="16" t="n">
        <f aca="false">K2298-L2298</f>
        <v>218.1</v>
      </c>
      <c r="N2298" s="17" t="n">
        <f aca="false">IFERROR(M2298/K2298,0)</f>
        <v>0.561968564802886</v>
      </c>
    </row>
    <row r="2299" customFormat="false" ht="15" hidden="false" customHeight="false" outlineLevel="0" collapsed="false">
      <c r="A2299" s="15" t="n">
        <v>46118</v>
      </c>
      <c r="B2299" s="14" t="s">
        <v>69</v>
      </c>
      <c r="C2299" s="14" t="s">
        <v>70</v>
      </c>
      <c r="D2299" s="14" t="s">
        <v>71</v>
      </c>
      <c r="E2299" s="14" t="s">
        <v>56</v>
      </c>
      <c r="F2299" s="14" t="s">
        <v>67</v>
      </c>
      <c r="G2299" s="14" t="s">
        <v>68</v>
      </c>
      <c r="H2299" s="0" t="n">
        <v>5</v>
      </c>
      <c r="I2299" s="16" t="n">
        <v>37.63</v>
      </c>
      <c r="J2299" s="16" t="n">
        <v>15</v>
      </c>
      <c r="K2299" s="16" t="n">
        <f aca="false">H2299*I2299</f>
        <v>188.15</v>
      </c>
      <c r="L2299" s="16" t="n">
        <f aca="false">H2299*J2299</f>
        <v>75</v>
      </c>
      <c r="M2299" s="16" t="n">
        <f aca="false">K2299-L2299</f>
        <v>113.15</v>
      </c>
      <c r="N2299" s="17" t="n">
        <f aca="false">IFERROR(M2299/K2299,0)</f>
        <v>0.601381876162636</v>
      </c>
    </row>
    <row r="2300" customFormat="false" ht="15" hidden="false" customHeight="false" outlineLevel="0" collapsed="false">
      <c r="A2300" s="15" t="n">
        <v>46118</v>
      </c>
      <c r="B2300" s="14" t="s">
        <v>69</v>
      </c>
      <c r="C2300" s="14" t="s">
        <v>70</v>
      </c>
      <c r="D2300" s="14" t="s">
        <v>71</v>
      </c>
      <c r="E2300" s="14" t="s">
        <v>76</v>
      </c>
      <c r="F2300" s="14" t="s">
        <v>102</v>
      </c>
      <c r="G2300" s="14" t="s">
        <v>103</v>
      </c>
      <c r="H2300" s="0" t="n">
        <v>6</v>
      </c>
      <c r="I2300" s="16" t="n">
        <v>23.37</v>
      </c>
      <c r="J2300" s="16" t="n">
        <v>8.5</v>
      </c>
      <c r="K2300" s="16" t="n">
        <f aca="false">H2300*I2300</f>
        <v>140.22</v>
      </c>
      <c r="L2300" s="16" t="n">
        <f aca="false">H2300*J2300</f>
        <v>51</v>
      </c>
      <c r="M2300" s="16" t="n">
        <f aca="false">K2300-L2300</f>
        <v>89.22</v>
      </c>
      <c r="N2300" s="17" t="n">
        <f aca="false">IFERROR(M2300/K2300,0)</f>
        <v>0.636285836542576</v>
      </c>
    </row>
    <row r="2301" customFormat="false" ht="15" hidden="false" customHeight="false" outlineLevel="0" collapsed="false">
      <c r="A2301" s="15" t="n">
        <v>46118</v>
      </c>
      <c r="B2301" s="14" t="s">
        <v>69</v>
      </c>
      <c r="C2301" s="14" t="s">
        <v>70</v>
      </c>
      <c r="D2301" s="14" t="s">
        <v>71</v>
      </c>
      <c r="E2301" s="14" t="s">
        <v>45</v>
      </c>
      <c r="F2301" s="14" t="s">
        <v>72</v>
      </c>
      <c r="G2301" s="14" t="s">
        <v>73</v>
      </c>
      <c r="H2301" s="0" t="n">
        <v>1</v>
      </c>
      <c r="I2301" s="16" t="n">
        <v>47.9</v>
      </c>
      <c r="J2301" s="16" t="n">
        <v>21</v>
      </c>
      <c r="K2301" s="16" t="n">
        <f aca="false">H2301*I2301</f>
        <v>47.9</v>
      </c>
      <c r="L2301" s="16" t="n">
        <f aca="false">H2301*J2301</f>
        <v>21</v>
      </c>
      <c r="M2301" s="16" t="n">
        <f aca="false">K2301-L2301</f>
        <v>26.9</v>
      </c>
      <c r="N2301" s="17" t="n">
        <f aca="false">IFERROR(M2301/K2301,0)</f>
        <v>0.561586638830898</v>
      </c>
    </row>
    <row r="2302" customFormat="false" ht="15" hidden="false" customHeight="false" outlineLevel="0" collapsed="false">
      <c r="A2302" s="15" t="n">
        <v>46118</v>
      </c>
      <c r="B2302" s="14" t="s">
        <v>81</v>
      </c>
      <c r="C2302" s="14" t="s">
        <v>82</v>
      </c>
      <c r="D2302" s="14" t="s">
        <v>83</v>
      </c>
      <c r="E2302" s="14" t="s">
        <v>76</v>
      </c>
      <c r="F2302" s="14" t="s">
        <v>102</v>
      </c>
      <c r="G2302" s="14" t="s">
        <v>103</v>
      </c>
      <c r="H2302" s="0" t="n">
        <v>4</v>
      </c>
      <c r="I2302" s="16" t="n">
        <v>22.41</v>
      </c>
      <c r="J2302" s="16" t="n">
        <v>8.5</v>
      </c>
      <c r="K2302" s="16" t="n">
        <f aca="false">H2302*I2302</f>
        <v>89.64</v>
      </c>
      <c r="L2302" s="16" t="n">
        <f aca="false">H2302*J2302</f>
        <v>34</v>
      </c>
      <c r="M2302" s="16" t="n">
        <f aca="false">K2302-L2302</f>
        <v>55.64</v>
      </c>
      <c r="N2302" s="17" t="n">
        <f aca="false">IFERROR(M2302/K2302,0)</f>
        <v>0.620705042391789</v>
      </c>
    </row>
    <row r="2303" customFormat="false" ht="15" hidden="false" customHeight="false" outlineLevel="0" collapsed="false">
      <c r="A2303" s="15" t="n">
        <v>46118</v>
      </c>
      <c r="B2303" s="14" t="s">
        <v>81</v>
      </c>
      <c r="C2303" s="14" t="s">
        <v>82</v>
      </c>
      <c r="D2303" s="14" t="s">
        <v>83</v>
      </c>
      <c r="E2303" s="14" t="s">
        <v>56</v>
      </c>
      <c r="F2303" s="14" t="s">
        <v>57</v>
      </c>
      <c r="G2303" s="14" t="s">
        <v>58</v>
      </c>
      <c r="H2303" s="0" t="n">
        <v>3</v>
      </c>
      <c r="I2303" s="16" t="n">
        <v>26.04</v>
      </c>
      <c r="J2303" s="16" t="n">
        <v>10</v>
      </c>
      <c r="K2303" s="16" t="n">
        <f aca="false">H2303*I2303</f>
        <v>78.12</v>
      </c>
      <c r="L2303" s="16" t="n">
        <f aca="false">H2303*J2303</f>
        <v>30</v>
      </c>
      <c r="M2303" s="16" t="n">
        <f aca="false">K2303-L2303</f>
        <v>48.12</v>
      </c>
      <c r="N2303" s="17" t="n">
        <f aca="false">IFERROR(M2303/K2303,0)</f>
        <v>0.615975422427035</v>
      </c>
    </row>
    <row r="2304" customFormat="false" ht="15" hidden="false" customHeight="false" outlineLevel="0" collapsed="false">
      <c r="A2304" s="15" t="n">
        <v>46118</v>
      </c>
      <c r="B2304" s="14" t="s">
        <v>81</v>
      </c>
      <c r="C2304" s="14" t="s">
        <v>82</v>
      </c>
      <c r="D2304" s="14" t="s">
        <v>83</v>
      </c>
      <c r="E2304" s="14" t="s">
        <v>64</v>
      </c>
      <c r="F2304" s="14" t="s">
        <v>96</v>
      </c>
      <c r="G2304" s="14" t="s">
        <v>97</v>
      </c>
      <c r="H2304" s="0" t="n">
        <v>5</v>
      </c>
      <c r="I2304" s="16" t="n">
        <v>58.19</v>
      </c>
      <c r="J2304" s="16" t="n">
        <v>24</v>
      </c>
      <c r="K2304" s="16" t="n">
        <f aca="false">H2304*I2304</f>
        <v>290.95</v>
      </c>
      <c r="L2304" s="16" t="n">
        <f aca="false">H2304*J2304</f>
        <v>120</v>
      </c>
      <c r="M2304" s="16" t="n">
        <f aca="false">K2304-L2304</f>
        <v>170.95</v>
      </c>
      <c r="N2304" s="17" t="n">
        <f aca="false">IFERROR(M2304/K2304,0)</f>
        <v>0.587557999656298</v>
      </c>
    </row>
    <row r="2305" customFormat="false" ht="15" hidden="false" customHeight="false" outlineLevel="0" collapsed="false">
      <c r="A2305" s="15" t="n">
        <v>46118</v>
      </c>
      <c r="B2305" s="14" t="s">
        <v>88</v>
      </c>
      <c r="C2305" s="14" t="s">
        <v>89</v>
      </c>
      <c r="D2305" s="14" t="s">
        <v>44</v>
      </c>
      <c r="E2305" s="14" t="s">
        <v>64</v>
      </c>
      <c r="F2305" s="14" t="s">
        <v>96</v>
      </c>
      <c r="G2305" s="14" t="s">
        <v>97</v>
      </c>
      <c r="H2305" s="0" t="n">
        <v>7</v>
      </c>
      <c r="I2305" s="16" t="n">
        <v>58.89</v>
      </c>
      <c r="J2305" s="16" t="n">
        <v>24</v>
      </c>
      <c r="K2305" s="16" t="n">
        <f aca="false">H2305*I2305</f>
        <v>412.23</v>
      </c>
      <c r="L2305" s="16" t="n">
        <f aca="false">H2305*J2305</f>
        <v>168</v>
      </c>
      <c r="M2305" s="16" t="n">
        <f aca="false">K2305-L2305</f>
        <v>244.23</v>
      </c>
      <c r="N2305" s="17" t="n">
        <f aca="false">IFERROR(M2305/K2305,0)</f>
        <v>0.592460519612838</v>
      </c>
    </row>
    <row r="2306" customFormat="false" ht="15" hidden="false" customHeight="false" outlineLevel="0" collapsed="false">
      <c r="A2306" s="15" t="n">
        <v>46118</v>
      </c>
      <c r="B2306" s="14" t="s">
        <v>88</v>
      </c>
      <c r="C2306" s="14" t="s">
        <v>89</v>
      </c>
      <c r="D2306" s="14" t="s">
        <v>44</v>
      </c>
      <c r="E2306" s="14" t="s">
        <v>53</v>
      </c>
      <c r="F2306" s="14" t="s">
        <v>84</v>
      </c>
      <c r="G2306" s="14" t="s">
        <v>85</v>
      </c>
      <c r="H2306" s="0" t="n">
        <v>7</v>
      </c>
      <c r="I2306" s="16" t="n">
        <v>24.03</v>
      </c>
      <c r="J2306" s="16" t="n">
        <v>9</v>
      </c>
      <c r="K2306" s="16" t="n">
        <f aca="false">H2306*I2306</f>
        <v>168.21</v>
      </c>
      <c r="L2306" s="16" t="n">
        <f aca="false">H2306*J2306</f>
        <v>63</v>
      </c>
      <c r="M2306" s="16" t="n">
        <f aca="false">K2306-L2306</f>
        <v>105.21</v>
      </c>
      <c r="N2306" s="17" t="n">
        <f aca="false">IFERROR(M2306/K2306,0)</f>
        <v>0.625468164794008</v>
      </c>
    </row>
    <row r="2307" customFormat="false" ht="15" hidden="false" customHeight="false" outlineLevel="0" collapsed="false">
      <c r="A2307" s="15" t="n">
        <v>46118</v>
      </c>
      <c r="B2307" s="14" t="s">
        <v>88</v>
      </c>
      <c r="C2307" s="14" t="s">
        <v>89</v>
      </c>
      <c r="D2307" s="14" t="s">
        <v>44</v>
      </c>
      <c r="E2307" s="14" t="s">
        <v>64</v>
      </c>
      <c r="F2307" s="14" t="s">
        <v>96</v>
      </c>
      <c r="G2307" s="14" t="s">
        <v>97</v>
      </c>
      <c r="H2307" s="0" t="n">
        <v>2</v>
      </c>
      <c r="I2307" s="16" t="n">
        <v>57.63</v>
      </c>
      <c r="J2307" s="16" t="n">
        <v>24</v>
      </c>
      <c r="K2307" s="16" t="n">
        <f aca="false">H2307*I2307</f>
        <v>115.26</v>
      </c>
      <c r="L2307" s="16" t="n">
        <f aca="false">H2307*J2307</f>
        <v>48</v>
      </c>
      <c r="M2307" s="16" t="n">
        <f aca="false">K2307-L2307</f>
        <v>67.26</v>
      </c>
      <c r="N2307" s="17" t="n">
        <f aca="false">IFERROR(M2307/K2307,0)</f>
        <v>0.583550234252993</v>
      </c>
    </row>
    <row r="2308" customFormat="false" ht="15" hidden="false" customHeight="false" outlineLevel="0" collapsed="false">
      <c r="A2308" s="15" t="n">
        <v>46118</v>
      </c>
      <c r="B2308" s="14" t="s">
        <v>88</v>
      </c>
      <c r="C2308" s="14" t="s">
        <v>89</v>
      </c>
      <c r="D2308" s="14" t="s">
        <v>44</v>
      </c>
      <c r="E2308" s="14" t="s">
        <v>53</v>
      </c>
      <c r="F2308" s="14" t="s">
        <v>74</v>
      </c>
      <c r="G2308" s="14" t="s">
        <v>75</v>
      </c>
      <c r="H2308" s="0" t="n">
        <v>8</v>
      </c>
      <c r="I2308" s="16" t="n">
        <v>87.88</v>
      </c>
      <c r="J2308" s="16" t="n">
        <v>38</v>
      </c>
      <c r="K2308" s="16" t="n">
        <f aca="false">H2308*I2308</f>
        <v>703.04</v>
      </c>
      <c r="L2308" s="16" t="n">
        <f aca="false">H2308*J2308</f>
        <v>304</v>
      </c>
      <c r="M2308" s="16" t="n">
        <f aca="false">K2308-L2308</f>
        <v>399.04</v>
      </c>
      <c r="N2308" s="17" t="n">
        <f aca="false">IFERROR(M2308/K2308,0)</f>
        <v>0.567592171142467</v>
      </c>
    </row>
    <row r="2309" customFormat="false" ht="15" hidden="false" customHeight="false" outlineLevel="0" collapsed="false">
      <c r="A2309" s="15" t="n">
        <v>46118</v>
      </c>
      <c r="B2309" s="14" t="s">
        <v>88</v>
      </c>
      <c r="C2309" s="14" t="s">
        <v>89</v>
      </c>
      <c r="D2309" s="14" t="s">
        <v>44</v>
      </c>
      <c r="E2309" s="14" t="s">
        <v>76</v>
      </c>
      <c r="F2309" s="14" t="s">
        <v>77</v>
      </c>
      <c r="G2309" s="14" t="s">
        <v>78</v>
      </c>
      <c r="H2309" s="0" t="n">
        <v>6</v>
      </c>
      <c r="I2309" s="16" t="n">
        <v>39.32</v>
      </c>
      <c r="J2309" s="16" t="n">
        <v>15</v>
      </c>
      <c r="K2309" s="16" t="n">
        <f aca="false">H2309*I2309</f>
        <v>235.92</v>
      </c>
      <c r="L2309" s="16" t="n">
        <f aca="false">H2309*J2309</f>
        <v>90</v>
      </c>
      <c r="M2309" s="16" t="n">
        <f aca="false">K2309-L2309</f>
        <v>145.92</v>
      </c>
      <c r="N2309" s="17" t="n">
        <f aca="false">IFERROR(M2309/K2309,0)</f>
        <v>0.618514750762971</v>
      </c>
    </row>
    <row r="2310" customFormat="false" ht="15" hidden="false" customHeight="false" outlineLevel="0" collapsed="false">
      <c r="A2310" s="15" t="n">
        <v>46118</v>
      </c>
      <c r="B2310" s="14" t="s">
        <v>88</v>
      </c>
      <c r="C2310" s="14" t="s">
        <v>89</v>
      </c>
      <c r="D2310" s="14" t="s">
        <v>44</v>
      </c>
      <c r="E2310" s="14" t="s">
        <v>45</v>
      </c>
      <c r="F2310" s="14" t="s">
        <v>48</v>
      </c>
      <c r="G2310" s="14" t="s">
        <v>49</v>
      </c>
      <c r="H2310" s="0" t="n">
        <v>9</v>
      </c>
      <c r="I2310" s="16" t="n">
        <v>62.62</v>
      </c>
      <c r="J2310" s="16" t="n">
        <v>27.5</v>
      </c>
      <c r="K2310" s="16" t="n">
        <f aca="false">H2310*I2310</f>
        <v>563.58</v>
      </c>
      <c r="L2310" s="16" t="n">
        <f aca="false">H2310*J2310</f>
        <v>247.5</v>
      </c>
      <c r="M2310" s="16" t="n">
        <f aca="false">K2310-L2310</f>
        <v>316.08</v>
      </c>
      <c r="N2310" s="17" t="n">
        <f aca="false">IFERROR(M2310/K2310,0)</f>
        <v>0.560843181092303</v>
      </c>
    </row>
    <row r="2311" customFormat="false" ht="15" hidden="false" customHeight="false" outlineLevel="0" collapsed="false">
      <c r="A2311" s="15" t="n">
        <v>46119</v>
      </c>
      <c r="B2311" s="14" t="s">
        <v>42</v>
      </c>
      <c r="C2311" s="14" t="s">
        <v>43</v>
      </c>
      <c r="D2311" s="14" t="s">
        <v>44</v>
      </c>
      <c r="E2311" s="14" t="s">
        <v>53</v>
      </c>
      <c r="F2311" s="14" t="s">
        <v>74</v>
      </c>
      <c r="G2311" s="14" t="s">
        <v>75</v>
      </c>
      <c r="H2311" s="0" t="n">
        <v>3</v>
      </c>
      <c r="I2311" s="16" t="n">
        <v>85.95</v>
      </c>
      <c r="J2311" s="16" t="n">
        <v>38</v>
      </c>
      <c r="K2311" s="16" t="n">
        <f aca="false">H2311*I2311</f>
        <v>257.85</v>
      </c>
      <c r="L2311" s="16" t="n">
        <f aca="false">H2311*J2311</f>
        <v>114</v>
      </c>
      <c r="M2311" s="16" t="n">
        <f aca="false">K2311-L2311</f>
        <v>143.85</v>
      </c>
      <c r="N2311" s="17" t="n">
        <f aca="false">IFERROR(M2311/K2311,0)</f>
        <v>0.557882489819663</v>
      </c>
    </row>
    <row r="2312" customFormat="false" ht="15" hidden="false" customHeight="false" outlineLevel="0" collapsed="false">
      <c r="A2312" s="15" t="n">
        <v>46119</v>
      </c>
      <c r="B2312" s="14" t="s">
        <v>42</v>
      </c>
      <c r="C2312" s="14" t="s">
        <v>43</v>
      </c>
      <c r="D2312" s="14" t="s">
        <v>44</v>
      </c>
      <c r="E2312" s="14" t="s">
        <v>45</v>
      </c>
      <c r="F2312" s="14" t="s">
        <v>62</v>
      </c>
      <c r="G2312" s="14" t="s">
        <v>63</v>
      </c>
      <c r="H2312" s="0" t="n">
        <v>12</v>
      </c>
      <c r="I2312" s="16" t="n">
        <v>17.47</v>
      </c>
      <c r="J2312" s="16" t="n">
        <v>6.5</v>
      </c>
      <c r="K2312" s="16" t="n">
        <f aca="false">H2312*I2312</f>
        <v>209.64</v>
      </c>
      <c r="L2312" s="16" t="n">
        <f aca="false">H2312*J2312</f>
        <v>78</v>
      </c>
      <c r="M2312" s="16" t="n">
        <f aca="false">K2312-L2312</f>
        <v>131.64</v>
      </c>
      <c r="N2312" s="17" t="n">
        <f aca="false">IFERROR(M2312/K2312,0)</f>
        <v>0.627933600457928</v>
      </c>
    </row>
    <row r="2313" customFormat="false" ht="15" hidden="false" customHeight="false" outlineLevel="0" collapsed="false">
      <c r="A2313" s="15" t="n">
        <v>46119</v>
      </c>
      <c r="B2313" s="14" t="s">
        <v>42</v>
      </c>
      <c r="C2313" s="14" t="s">
        <v>43</v>
      </c>
      <c r="D2313" s="14" t="s">
        <v>44</v>
      </c>
      <c r="E2313" s="14" t="s">
        <v>76</v>
      </c>
      <c r="F2313" s="14" t="s">
        <v>77</v>
      </c>
      <c r="G2313" s="14" t="s">
        <v>78</v>
      </c>
      <c r="H2313" s="0" t="n">
        <v>5</v>
      </c>
      <c r="I2313" s="16" t="n">
        <v>40.83</v>
      </c>
      <c r="J2313" s="16" t="n">
        <v>15</v>
      </c>
      <c r="K2313" s="16" t="n">
        <f aca="false">H2313*I2313</f>
        <v>204.15</v>
      </c>
      <c r="L2313" s="16" t="n">
        <f aca="false">H2313*J2313</f>
        <v>75</v>
      </c>
      <c r="M2313" s="16" t="n">
        <f aca="false">K2313-L2313</f>
        <v>129.15</v>
      </c>
      <c r="N2313" s="17" t="n">
        <f aca="false">IFERROR(M2313/K2313,0)</f>
        <v>0.632623071271124</v>
      </c>
    </row>
    <row r="2314" customFormat="false" ht="15" hidden="false" customHeight="false" outlineLevel="0" collapsed="false">
      <c r="A2314" s="15" t="n">
        <v>46119</v>
      </c>
      <c r="B2314" s="14" t="s">
        <v>42</v>
      </c>
      <c r="C2314" s="14" t="s">
        <v>43</v>
      </c>
      <c r="D2314" s="14" t="s">
        <v>44</v>
      </c>
      <c r="E2314" s="14" t="s">
        <v>53</v>
      </c>
      <c r="F2314" s="14" t="s">
        <v>92</v>
      </c>
      <c r="G2314" s="14" t="s">
        <v>93</v>
      </c>
      <c r="H2314" s="0" t="n">
        <v>6</v>
      </c>
      <c r="I2314" s="16" t="n">
        <v>115.54</v>
      </c>
      <c r="J2314" s="16" t="n">
        <v>52</v>
      </c>
      <c r="K2314" s="16" t="n">
        <f aca="false">H2314*I2314</f>
        <v>693.24</v>
      </c>
      <c r="L2314" s="16" t="n">
        <f aca="false">H2314*J2314</f>
        <v>312</v>
      </c>
      <c r="M2314" s="16" t="n">
        <f aca="false">K2314-L2314</f>
        <v>381.24</v>
      </c>
      <c r="N2314" s="17" t="n">
        <f aca="false">IFERROR(M2314/K2314,0)</f>
        <v>0.549939414921239</v>
      </c>
    </row>
    <row r="2315" customFormat="false" ht="15" hidden="false" customHeight="false" outlineLevel="0" collapsed="false">
      <c r="A2315" s="15" t="n">
        <v>46119</v>
      </c>
      <c r="B2315" s="14" t="s">
        <v>42</v>
      </c>
      <c r="C2315" s="14" t="s">
        <v>43</v>
      </c>
      <c r="D2315" s="14" t="s">
        <v>44</v>
      </c>
      <c r="E2315" s="14" t="s">
        <v>53</v>
      </c>
      <c r="F2315" s="14" t="s">
        <v>84</v>
      </c>
      <c r="G2315" s="14" t="s">
        <v>85</v>
      </c>
      <c r="H2315" s="0" t="n">
        <v>7</v>
      </c>
      <c r="I2315" s="16" t="n">
        <v>24.32</v>
      </c>
      <c r="J2315" s="16" t="n">
        <v>9</v>
      </c>
      <c r="K2315" s="16" t="n">
        <f aca="false">H2315*I2315</f>
        <v>170.24</v>
      </c>
      <c r="L2315" s="16" t="n">
        <f aca="false">H2315*J2315</f>
        <v>63</v>
      </c>
      <c r="M2315" s="16" t="n">
        <f aca="false">K2315-L2315</f>
        <v>107.24</v>
      </c>
      <c r="N2315" s="17" t="n">
        <f aca="false">IFERROR(M2315/K2315,0)</f>
        <v>0.629934210526316</v>
      </c>
    </row>
    <row r="2316" customFormat="false" ht="15" hidden="false" customHeight="false" outlineLevel="0" collapsed="false">
      <c r="A2316" s="15" t="n">
        <v>46119</v>
      </c>
      <c r="B2316" s="14" t="s">
        <v>42</v>
      </c>
      <c r="C2316" s="14" t="s">
        <v>43</v>
      </c>
      <c r="D2316" s="14" t="s">
        <v>44</v>
      </c>
      <c r="E2316" s="14" t="s">
        <v>76</v>
      </c>
      <c r="F2316" s="14" t="s">
        <v>79</v>
      </c>
      <c r="G2316" s="14" t="s">
        <v>80</v>
      </c>
      <c r="H2316" s="0" t="n">
        <v>4</v>
      </c>
      <c r="I2316" s="16" t="n">
        <v>29.11</v>
      </c>
      <c r="J2316" s="16" t="n">
        <v>11</v>
      </c>
      <c r="K2316" s="16" t="n">
        <f aca="false">H2316*I2316</f>
        <v>116.44</v>
      </c>
      <c r="L2316" s="16" t="n">
        <f aca="false">H2316*J2316</f>
        <v>44</v>
      </c>
      <c r="M2316" s="16" t="n">
        <f aca="false">K2316-L2316</f>
        <v>72.44</v>
      </c>
      <c r="N2316" s="17" t="n">
        <f aca="false">IFERROR(M2316/K2316,0)</f>
        <v>0.622122981793198</v>
      </c>
    </row>
    <row r="2317" customFormat="false" ht="15" hidden="false" customHeight="false" outlineLevel="0" collapsed="false">
      <c r="A2317" s="15" t="n">
        <v>46119</v>
      </c>
      <c r="B2317" s="14" t="s">
        <v>50</v>
      </c>
      <c r="C2317" s="14" t="s">
        <v>51</v>
      </c>
      <c r="D2317" s="14" t="s">
        <v>52</v>
      </c>
      <c r="E2317" s="14" t="s">
        <v>45</v>
      </c>
      <c r="F2317" s="14" t="s">
        <v>48</v>
      </c>
      <c r="G2317" s="14" t="s">
        <v>49</v>
      </c>
      <c r="H2317" s="0" t="n">
        <v>11</v>
      </c>
      <c r="I2317" s="16" t="n">
        <v>67.6</v>
      </c>
      <c r="J2317" s="16" t="n">
        <v>27.5</v>
      </c>
      <c r="K2317" s="16" t="n">
        <f aca="false">H2317*I2317</f>
        <v>743.6</v>
      </c>
      <c r="L2317" s="16" t="n">
        <f aca="false">H2317*J2317</f>
        <v>302.5</v>
      </c>
      <c r="M2317" s="16" t="n">
        <f aca="false">K2317-L2317</f>
        <v>441.1</v>
      </c>
      <c r="N2317" s="17" t="n">
        <f aca="false">IFERROR(M2317/K2317,0)</f>
        <v>0.593195266272189</v>
      </c>
    </row>
    <row r="2318" customFormat="false" ht="15" hidden="false" customHeight="false" outlineLevel="0" collapsed="false">
      <c r="A2318" s="15" t="n">
        <v>46119</v>
      </c>
      <c r="B2318" s="14" t="s">
        <v>50</v>
      </c>
      <c r="C2318" s="14" t="s">
        <v>51</v>
      </c>
      <c r="D2318" s="14" t="s">
        <v>52</v>
      </c>
      <c r="E2318" s="14" t="s">
        <v>45</v>
      </c>
      <c r="F2318" s="14" t="s">
        <v>48</v>
      </c>
      <c r="G2318" s="14" t="s">
        <v>49</v>
      </c>
      <c r="H2318" s="0" t="n">
        <v>4</v>
      </c>
      <c r="I2318" s="16" t="n">
        <v>64.1</v>
      </c>
      <c r="J2318" s="16" t="n">
        <v>27.5</v>
      </c>
      <c r="K2318" s="16" t="n">
        <f aca="false">H2318*I2318</f>
        <v>256.4</v>
      </c>
      <c r="L2318" s="16" t="n">
        <f aca="false">H2318*J2318</f>
        <v>110</v>
      </c>
      <c r="M2318" s="16" t="n">
        <f aca="false">K2318-L2318</f>
        <v>146.4</v>
      </c>
      <c r="N2318" s="17" t="n">
        <f aca="false">IFERROR(M2318/K2318,0)</f>
        <v>0.570982839313573</v>
      </c>
    </row>
    <row r="2319" customFormat="false" ht="15" hidden="false" customHeight="false" outlineLevel="0" collapsed="false">
      <c r="A2319" s="15" t="n">
        <v>46119</v>
      </c>
      <c r="B2319" s="14" t="s">
        <v>50</v>
      </c>
      <c r="C2319" s="14" t="s">
        <v>51</v>
      </c>
      <c r="D2319" s="14" t="s">
        <v>52</v>
      </c>
      <c r="E2319" s="14" t="s">
        <v>53</v>
      </c>
      <c r="F2319" s="14" t="s">
        <v>74</v>
      </c>
      <c r="G2319" s="14" t="s">
        <v>75</v>
      </c>
      <c r="H2319" s="0" t="n">
        <v>3</v>
      </c>
      <c r="I2319" s="16" t="n">
        <v>85.4</v>
      </c>
      <c r="J2319" s="16" t="n">
        <v>38</v>
      </c>
      <c r="K2319" s="16" t="n">
        <f aca="false">H2319*I2319</f>
        <v>256.2</v>
      </c>
      <c r="L2319" s="16" t="n">
        <f aca="false">H2319*J2319</f>
        <v>114</v>
      </c>
      <c r="M2319" s="16" t="n">
        <f aca="false">K2319-L2319</f>
        <v>142.2</v>
      </c>
      <c r="N2319" s="17" t="n">
        <f aca="false">IFERROR(M2319/K2319,0)</f>
        <v>0.555035128805621</v>
      </c>
    </row>
    <row r="2320" customFormat="false" ht="15" hidden="false" customHeight="false" outlineLevel="0" collapsed="false">
      <c r="A2320" s="15" t="n">
        <v>46119</v>
      </c>
      <c r="B2320" s="14" t="s">
        <v>50</v>
      </c>
      <c r="C2320" s="14" t="s">
        <v>51</v>
      </c>
      <c r="D2320" s="14" t="s">
        <v>52</v>
      </c>
      <c r="E2320" s="14" t="s">
        <v>76</v>
      </c>
      <c r="F2320" s="14" t="s">
        <v>77</v>
      </c>
      <c r="G2320" s="14" t="s">
        <v>78</v>
      </c>
      <c r="H2320" s="0" t="n">
        <v>8</v>
      </c>
      <c r="I2320" s="16" t="n">
        <v>38.98</v>
      </c>
      <c r="J2320" s="16" t="n">
        <v>15</v>
      </c>
      <c r="K2320" s="16" t="n">
        <f aca="false">H2320*I2320</f>
        <v>311.84</v>
      </c>
      <c r="L2320" s="16" t="n">
        <f aca="false">H2320*J2320</f>
        <v>120</v>
      </c>
      <c r="M2320" s="16" t="n">
        <f aca="false">K2320-L2320</f>
        <v>191.84</v>
      </c>
      <c r="N2320" s="17" t="n">
        <f aca="false">IFERROR(M2320/K2320,0)</f>
        <v>0.615187275525911</v>
      </c>
    </row>
    <row r="2321" customFormat="false" ht="15" hidden="false" customHeight="false" outlineLevel="0" collapsed="false">
      <c r="A2321" s="15" t="n">
        <v>46119</v>
      </c>
      <c r="B2321" s="14" t="s">
        <v>50</v>
      </c>
      <c r="C2321" s="14" t="s">
        <v>51</v>
      </c>
      <c r="D2321" s="14" t="s">
        <v>52</v>
      </c>
      <c r="E2321" s="14" t="s">
        <v>45</v>
      </c>
      <c r="F2321" s="14" t="s">
        <v>72</v>
      </c>
      <c r="G2321" s="14" t="s">
        <v>73</v>
      </c>
      <c r="H2321" s="0" t="n">
        <v>3</v>
      </c>
      <c r="I2321" s="16" t="n">
        <v>49.86</v>
      </c>
      <c r="J2321" s="16" t="n">
        <v>21</v>
      </c>
      <c r="K2321" s="16" t="n">
        <f aca="false">H2321*I2321</f>
        <v>149.58</v>
      </c>
      <c r="L2321" s="16" t="n">
        <f aca="false">H2321*J2321</f>
        <v>63</v>
      </c>
      <c r="M2321" s="16" t="n">
        <f aca="false">K2321-L2321</f>
        <v>86.58</v>
      </c>
      <c r="N2321" s="17" t="n">
        <f aca="false">IFERROR(M2321/K2321,0)</f>
        <v>0.578820697954272</v>
      </c>
    </row>
    <row r="2322" customFormat="false" ht="15" hidden="false" customHeight="false" outlineLevel="0" collapsed="false">
      <c r="A2322" s="15" t="n">
        <v>46119</v>
      </c>
      <c r="B2322" s="14" t="s">
        <v>50</v>
      </c>
      <c r="C2322" s="14" t="s">
        <v>51</v>
      </c>
      <c r="D2322" s="14" t="s">
        <v>52</v>
      </c>
      <c r="E2322" s="14" t="s">
        <v>45</v>
      </c>
      <c r="F2322" s="14" t="s">
        <v>62</v>
      </c>
      <c r="G2322" s="14" t="s">
        <v>63</v>
      </c>
      <c r="H2322" s="0" t="n">
        <v>10</v>
      </c>
      <c r="I2322" s="16" t="n">
        <v>17.1</v>
      </c>
      <c r="J2322" s="16" t="n">
        <v>6.5</v>
      </c>
      <c r="K2322" s="16" t="n">
        <f aca="false">H2322*I2322</f>
        <v>171</v>
      </c>
      <c r="L2322" s="16" t="n">
        <f aca="false">H2322*J2322</f>
        <v>65</v>
      </c>
      <c r="M2322" s="16" t="n">
        <f aca="false">K2322-L2322</f>
        <v>106</v>
      </c>
      <c r="N2322" s="17" t="n">
        <f aca="false">IFERROR(M2322/K2322,0)</f>
        <v>0.619883040935673</v>
      </c>
    </row>
    <row r="2323" customFormat="false" ht="15" hidden="false" customHeight="false" outlineLevel="0" collapsed="false">
      <c r="A2323" s="15" t="n">
        <v>46119</v>
      </c>
      <c r="B2323" s="14" t="s">
        <v>59</v>
      </c>
      <c r="C2323" s="14" t="s">
        <v>60</v>
      </c>
      <c r="D2323" s="14" t="s">
        <v>61</v>
      </c>
      <c r="E2323" s="14" t="s">
        <v>64</v>
      </c>
      <c r="F2323" s="14" t="s">
        <v>96</v>
      </c>
      <c r="G2323" s="14" t="s">
        <v>97</v>
      </c>
      <c r="H2323" s="0" t="n">
        <v>3</v>
      </c>
      <c r="I2323" s="16" t="n">
        <v>55.69</v>
      </c>
      <c r="J2323" s="16" t="n">
        <v>24</v>
      </c>
      <c r="K2323" s="16" t="n">
        <f aca="false">H2323*I2323</f>
        <v>167.07</v>
      </c>
      <c r="L2323" s="16" t="n">
        <f aca="false">H2323*J2323</f>
        <v>72</v>
      </c>
      <c r="M2323" s="16" t="n">
        <f aca="false">K2323-L2323</f>
        <v>95.07</v>
      </c>
      <c r="N2323" s="17" t="n">
        <f aca="false">IFERROR(M2323/K2323,0)</f>
        <v>0.569042916142934</v>
      </c>
    </row>
    <row r="2324" customFormat="false" ht="15" hidden="false" customHeight="false" outlineLevel="0" collapsed="false">
      <c r="A2324" s="15" t="n">
        <v>46119</v>
      </c>
      <c r="B2324" s="14" t="s">
        <v>59</v>
      </c>
      <c r="C2324" s="14" t="s">
        <v>60</v>
      </c>
      <c r="D2324" s="14" t="s">
        <v>61</v>
      </c>
      <c r="E2324" s="14" t="s">
        <v>53</v>
      </c>
      <c r="F2324" s="14" t="s">
        <v>74</v>
      </c>
      <c r="G2324" s="14" t="s">
        <v>75</v>
      </c>
      <c r="H2324" s="0" t="n">
        <v>2</v>
      </c>
      <c r="I2324" s="16" t="n">
        <v>88.83</v>
      </c>
      <c r="J2324" s="16" t="n">
        <v>38</v>
      </c>
      <c r="K2324" s="16" t="n">
        <f aca="false">H2324*I2324</f>
        <v>177.66</v>
      </c>
      <c r="L2324" s="16" t="n">
        <f aca="false">H2324*J2324</f>
        <v>76</v>
      </c>
      <c r="M2324" s="16" t="n">
        <f aca="false">K2324-L2324</f>
        <v>101.66</v>
      </c>
      <c r="N2324" s="17" t="n">
        <f aca="false">IFERROR(M2324/K2324,0)</f>
        <v>0.572216593493189</v>
      </c>
    </row>
    <row r="2325" customFormat="false" ht="15" hidden="false" customHeight="false" outlineLevel="0" collapsed="false">
      <c r="A2325" s="15" t="n">
        <v>46119</v>
      </c>
      <c r="B2325" s="14" t="s">
        <v>59</v>
      </c>
      <c r="C2325" s="14" t="s">
        <v>60</v>
      </c>
      <c r="D2325" s="14" t="s">
        <v>61</v>
      </c>
      <c r="E2325" s="14" t="s">
        <v>76</v>
      </c>
      <c r="F2325" s="14" t="s">
        <v>100</v>
      </c>
      <c r="G2325" s="14" t="s">
        <v>101</v>
      </c>
      <c r="H2325" s="0" t="n">
        <v>1</v>
      </c>
      <c r="I2325" s="16" t="n">
        <v>14.92</v>
      </c>
      <c r="J2325" s="16" t="n">
        <v>5.5</v>
      </c>
      <c r="K2325" s="16" t="n">
        <f aca="false">H2325*I2325</f>
        <v>14.92</v>
      </c>
      <c r="L2325" s="16" t="n">
        <f aca="false">H2325*J2325</f>
        <v>5.5</v>
      </c>
      <c r="M2325" s="16" t="n">
        <f aca="false">K2325-L2325</f>
        <v>9.42</v>
      </c>
      <c r="N2325" s="17" t="n">
        <f aca="false">IFERROR(M2325/K2325,0)</f>
        <v>0.631367292225201</v>
      </c>
    </row>
    <row r="2326" customFormat="false" ht="15" hidden="false" customHeight="false" outlineLevel="0" collapsed="false">
      <c r="A2326" s="15" t="n">
        <v>46119</v>
      </c>
      <c r="B2326" s="14" t="s">
        <v>59</v>
      </c>
      <c r="C2326" s="14" t="s">
        <v>60</v>
      </c>
      <c r="D2326" s="14" t="s">
        <v>61</v>
      </c>
      <c r="E2326" s="14" t="s">
        <v>76</v>
      </c>
      <c r="F2326" s="14" t="s">
        <v>79</v>
      </c>
      <c r="G2326" s="14" t="s">
        <v>80</v>
      </c>
      <c r="H2326" s="0" t="n">
        <v>4</v>
      </c>
      <c r="I2326" s="16" t="n">
        <v>29.05</v>
      </c>
      <c r="J2326" s="16" t="n">
        <v>11</v>
      </c>
      <c r="K2326" s="16" t="n">
        <f aca="false">H2326*I2326</f>
        <v>116.2</v>
      </c>
      <c r="L2326" s="16" t="n">
        <f aca="false">H2326*J2326</f>
        <v>44</v>
      </c>
      <c r="M2326" s="16" t="n">
        <f aca="false">K2326-L2326</f>
        <v>72.2</v>
      </c>
      <c r="N2326" s="17" t="n">
        <f aca="false">IFERROR(M2326/K2326,0)</f>
        <v>0.621342512908778</v>
      </c>
    </row>
    <row r="2327" customFormat="false" ht="15" hidden="false" customHeight="false" outlineLevel="0" collapsed="false">
      <c r="A2327" s="15" t="n">
        <v>46119</v>
      </c>
      <c r="B2327" s="14" t="s">
        <v>69</v>
      </c>
      <c r="C2327" s="14" t="s">
        <v>70</v>
      </c>
      <c r="D2327" s="14" t="s">
        <v>71</v>
      </c>
      <c r="E2327" s="14" t="s">
        <v>45</v>
      </c>
      <c r="F2327" s="14" t="s">
        <v>62</v>
      </c>
      <c r="G2327" s="14" t="s">
        <v>63</v>
      </c>
      <c r="H2327" s="0" t="n">
        <v>4</v>
      </c>
      <c r="I2327" s="16" t="n">
        <v>17.81</v>
      </c>
      <c r="J2327" s="16" t="n">
        <v>6.5</v>
      </c>
      <c r="K2327" s="16" t="n">
        <f aca="false">H2327*I2327</f>
        <v>71.24</v>
      </c>
      <c r="L2327" s="16" t="n">
        <f aca="false">H2327*J2327</f>
        <v>26</v>
      </c>
      <c r="M2327" s="16" t="n">
        <f aca="false">K2327-L2327</f>
        <v>45.24</v>
      </c>
      <c r="N2327" s="17" t="n">
        <f aca="false">IFERROR(M2327/K2327,0)</f>
        <v>0.635036496350365</v>
      </c>
    </row>
    <row r="2328" customFormat="false" ht="15" hidden="false" customHeight="false" outlineLevel="0" collapsed="false">
      <c r="A2328" s="15" t="n">
        <v>46119</v>
      </c>
      <c r="B2328" s="14" t="s">
        <v>69</v>
      </c>
      <c r="C2328" s="14" t="s">
        <v>70</v>
      </c>
      <c r="D2328" s="14" t="s">
        <v>71</v>
      </c>
      <c r="E2328" s="14" t="s">
        <v>45</v>
      </c>
      <c r="F2328" s="14" t="s">
        <v>62</v>
      </c>
      <c r="G2328" s="14" t="s">
        <v>63</v>
      </c>
      <c r="H2328" s="0" t="n">
        <v>1</v>
      </c>
      <c r="I2328" s="16" t="n">
        <v>17.03</v>
      </c>
      <c r="J2328" s="16" t="n">
        <v>6.5</v>
      </c>
      <c r="K2328" s="16" t="n">
        <f aca="false">H2328*I2328</f>
        <v>17.03</v>
      </c>
      <c r="L2328" s="16" t="n">
        <f aca="false">H2328*J2328</f>
        <v>6.5</v>
      </c>
      <c r="M2328" s="16" t="n">
        <f aca="false">K2328-L2328</f>
        <v>10.53</v>
      </c>
      <c r="N2328" s="17" t="n">
        <f aca="false">IFERROR(M2328/K2328,0)</f>
        <v>0.618320610687023</v>
      </c>
    </row>
    <row r="2329" customFormat="false" ht="15" hidden="false" customHeight="false" outlineLevel="0" collapsed="false">
      <c r="A2329" s="15" t="n">
        <v>46119</v>
      </c>
      <c r="B2329" s="14" t="s">
        <v>69</v>
      </c>
      <c r="C2329" s="14" t="s">
        <v>70</v>
      </c>
      <c r="D2329" s="14" t="s">
        <v>71</v>
      </c>
      <c r="E2329" s="14" t="s">
        <v>53</v>
      </c>
      <c r="F2329" s="14" t="s">
        <v>74</v>
      </c>
      <c r="G2329" s="14" t="s">
        <v>75</v>
      </c>
      <c r="H2329" s="0" t="n">
        <v>3</v>
      </c>
      <c r="I2329" s="16" t="n">
        <v>83.79</v>
      </c>
      <c r="J2329" s="16" t="n">
        <v>38</v>
      </c>
      <c r="K2329" s="16" t="n">
        <f aca="false">H2329*I2329</f>
        <v>251.37</v>
      </c>
      <c r="L2329" s="16" t="n">
        <f aca="false">H2329*J2329</f>
        <v>114</v>
      </c>
      <c r="M2329" s="16" t="n">
        <f aca="false">K2329-L2329</f>
        <v>137.37</v>
      </c>
      <c r="N2329" s="17" t="n">
        <f aca="false">IFERROR(M2329/K2329,0)</f>
        <v>0.546485260770975</v>
      </c>
    </row>
    <row r="2330" customFormat="false" ht="15" hidden="false" customHeight="false" outlineLevel="0" collapsed="false">
      <c r="A2330" s="15" t="n">
        <v>46119</v>
      </c>
      <c r="B2330" s="14" t="s">
        <v>69</v>
      </c>
      <c r="C2330" s="14" t="s">
        <v>70</v>
      </c>
      <c r="D2330" s="14" t="s">
        <v>71</v>
      </c>
      <c r="E2330" s="14" t="s">
        <v>64</v>
      </c>
      <c r="F2330" s="14" t="s">
        <v>96</v>
      </c>
      <c r="G2330" s="14" t="s">
        <v>97</v>
      </c>
      <c r="H2330" s="0" t="n">
        <v>2</v>
      </c>
      <c r="I2330" s="16" t="n">
        <v>55.93</v>
      </c>
      <c r="J2330" s="16" t="n">
        <v>24</v>
      </c>
      <c r="K2330" s="16" t="n">
        <f aca="false">H2330*I2330</f>
        <v>111.86</v>
      </c>
      <c r="L2330" s="16" t="n">
        <f aca="false">H2330*J2330</f>
        <v>48</v>
      </c>
      <c r="M2330" s="16" t="n">
        <f aca="false">K2330-L2330</f>
        <v>63.86</v>
      </c>
      <c r="N2330" s="17" t="n">
        <f aca="false">IFERROR(M2330/K2330,0)</f>
        <v>0.570892186661899</v>
      </c>
    </row>
    <row r="2331" customFormat="false" ht="15" hidden="false" customHeight="false" outlineLevel="0" collapsed="false">
      <c r="A2331" s="15" t="n">
        <v>46119</v>
      </c>
      <c r="B2331" s="14" t="s">
        <v>69</v>
      </c>
      <c r="C2331" s="14" t="s">
        <v>70</v>
      </c>
      <c r="D2331" s="14" t="s">
        <v>71</v>
      </c>
      <c r="E2331" s="14" t="s">
        <v>56</v>
      </c>
      <c r="F2331" s="14" t="s">
        <v>67</v>
      </c>
      <c r="G2331" s="14" t="s">
        <v>68</v>
      </c>
      <c r="H2331" s="0" t="n">
        <v>7</v>
      </c>
      <c r="I2331" s="16" t="n">
        <v>37.23</v>
      </c>
      <c r="J2331" s="16" t="n">
        <v>15</v>
      </c>
      <c r="K2331" s="16" t="n">
        <f aca="false">H2331*I2331</f>
        <v>260.61</v>
      </c>
      <c r="L2331" s="16" t="n">
        <f aca="false">H2331*J2331</f>
        <v>105</v>
      </c>
      <c r="M2331" s="16" t="n">
        <f aca="false">K2331-L2331</f>
        <v>155.61</v>
      </c>
      <c r="N2331" s="17" t="n">
        <f aca="false">IFERROR(M2331/K2331,0)</f>
        <v>0.59709911361805</v>
      </c>
    </row>
    <row r="2332" customFormat="false" ht="15" hidden="false" customHeight="false" outlineLevel="0" collapsed="false">
      <c r="A2332" s="15" t="n">
        <v>46119</v>
      </c>
      <c r="B2332" s="14" t="s">
        <v>69</v>
      </c>
      <c r="C2332" s="14" t="s">
        <v>70</v>
      </c>
      <c r="D2332" s="14" t="s">
        <v>71</v>
      </c>
      <c r="E2332" s="14" t="s">
        <v>64</v>
      </c>
      <c r="F2332" s="14" t="s">
        <v>90</v>
      </c>
      <c r="G2332" s="14" t="s">
        <v>91</v>
      </c>
      <c r="H2332" s="0" t="n">
        <v>6</v>
      </c>
      <c r="I2332" s="16" t="n">
        <v>11.93</v>
      </c>
      <c r="J2332" s="16" t="n">
        <v>3.5</v>
      </c>
      <c r="K2332" s="16" t="n">
        <f aca="false">H2332*I2332</f>
        <v>71.58</v>
      </c>
      <c r="L2332" s="16" t="n">
        <f aca="false">H2332*J2332</f>
        <v>21</v>
      </c>
      <c r="M2332" s="16" t="n">
        <f aca="false">K2332-L2332</f>
        <v>50.58</v>
      </c>
      <c r="N2332" s="17" t="n">
        <f aca="false">IFERROR(M2332/K2332,0)</f>
        <v>0.706621961441744</v>
      </c>
    </row>
    <row r="2333" customFormat="false" ht="15" hidden="false" customHeight="false" outlineLevel="0" collapsed="false">
      <c r="A2333" s="15" t="n">
        <v>46119</v>
      </c>
      <c r="B2333" s="14" t="s">
        <v>81</v>
      </c>
      <c r="C2333" s="14" t="s">
        <v>82</v>
      </c>
      <c r="D2333" s="14" t="s">
        <v>83</v>
      </c>
      <c r="E2333" s="14" t="s">
        <v>53</v>
      </c>
      <c r="F2333" s="14" t="s">
        <v>54</v>
      </c>
      <c r="G2333" s="14" t="s">
        <v>55</v>
      </c>
      <c r="H2333" s="0" t="n">
        <v>4</v>
      </c>
      <c r="I2333" s="16" t="n">
        <v>54.83</v>
      </c>
      <c r="J2333" s="16" t="n">
        <v>22</v>
      </c>
      <c r="K2333" s="16" t="n">
        <f aca="false">H2333*I2333</f>
        <v>219.32</v>
      </c>
      <c r="L2333" s="16" t="n">
        <f aca="false">H2333*J2333</f>
        <v>88</v>
      </c>
      <c r="M2333" s="16" t="n">
        <f aca="false">K2333-L2333</f>
        <v>131.32</v>
      </c>
      <c r="N2333" s="17" t="n">
        <f aca="false">IFERROR(M2333/K2333,0)</f>
        <v>0.59875980302754</v>
      </c>
    </row>
    <row r="2334" customFormat="false" ht="15" hidden="false" customHeight="false" outlineLevel="0" collapsed="false">
      <c r="A2334" s="15" t="n">
        <v>46119</v>
      </c>
      <c r="B2334" s="14" t="s">
        <v>81</v>
      </c>
      <c r="C2334" s="14" t="s">
        <v>82</v>
      </c>
      <c r="D2334" s="14" t="s">
        <v>83</v>
      </c>
      <c r="E2334" s="14" t="s">
        <v>45</v>
      </c>
      <c r="F2334" s="14" t="s">
        <v>46</v>
      </c>
      <c r="G2334" s="14" t="s">
        <v>47</v>
      </c>
      <c r="H2334" s="0" t="n">
        <v>3</v>
      </c>
      <c r="I2334" s="16" t="n">
        <v>44.26</v>
      </c>
      <c r="J2334" s="16" t="n">
        <v>18</v>
      </c>
      <c r="K2334" s="16" t="n">
        <f aca="false">H2334*I2334</f>
        <v>132.78</v>
      </c>
      <c r="L2334" s="16" t="n">
        <f aca="false">H2334*J2334</f>
        <v>54</v>
      </c>
      <c r="M2334" s="16" t="n">
        <f aca="false">K2334-L2334</f>
        <v>78.78</v>
      </c>
      <c r="N2334" s="17" t="n">
        <f aca="false">IFERROR(M2334/K2334,0)</f>
        <v>0.593312245820154</v>
      </c>
    </row>
    <row r="2335" customFormat="false" ht="15" hidden="false" customHeight="false" outlineLevel="0" collapsed="false">
      <c r="A2335" s="15" t="n">
        <v>46119</v>
      </c>
      <c r="B2335" s="14" t="s">
        <v>81</v>
      </c>
      <c r="C2335" s="14" t="s">
        <v>82</v>
      </c>
      <c r="D2335" s="14" t="s">
        <v>83</v>
      </c>
      <c r="E2335" s="14" t="s">
        <v>64</v>
      </c>
      <c r="F2335" s="14" t="s">
        <v>90</v>
      </c>
      <c r="G2335" s="14" t="s">
        <v>91</v>
      </c>
      <c r="H2335" s="0" t="n">
        <v>6</v>
      </c>
      <c r="I2335" s="16" t="n">
        <v>11.45</v>
      </c>
      <c r="J2335" s="16" t="n">
        <v>3.5</v>
      </c>
      <c r="K2335" s="16" t="n">
        <f aca="false">H2335*I2335</f>
        <v>68.7</v>
      </c>
      <c r="L2335" s="16" t="n">
        <f aca="false">H2335*J2335</f>
        <v>21</v>
      </c>
      <c r="M2335" s="16" t="n">
        <f aca="false">K2335-L2335</f>
        <v>47.7</v>
      </c>
      <c r="N2335" s="17" t="n">
        <f aca="false">IFERROR(M2335/K2335,0)</f>
        <v>0.694323144104803</v>
      </c>
    </row>
    <row r="2336" customFormat="false" ht="15" hidden="false" customHeight="false" outlineLevel="0" collapsed="false">
      <c r="A2336" s="15" t="n">
        <v>46119</v>
      </c>
      <c r="B2336" s="14" t="s">
        <v>81</v>
      </c>
      <c r="C2336" s="14" t="s">
        <v>82</v>
      </c>
      <c r="D2336" s="14" t="s">
        <v>83</v>
      </c>
      <c r="E2336" s="14" t="s">
        <v>76</v>
      </c>
      <c r="F2336" s="14" t="s">
        <v>102</v>
      </c>
      <c r="G2336" s="14" t="s">
        <v>103</v>
      </c>
      <c r="H2336" s="0" t="n">
        <v>2</v>
      </c>
      <c r="I2336" s="16" t="n">
        <v>23.25</v>
      </c>
      <c r="J2336" s="16" t="n">
        <v>8.5</v>
      </c>
      <c r="K2336" s="16" t="n">
        <f aca="false">H2336*I2336</f>
        <v>46.5</v>
      </c>
      <c r="L2336" s="16" t="n">
        <f aca="false">H2336*J2336</f>
        <v>17</v>
      </c>
      <c r="M2336" s="16" t="n">
        <f aca="false">K2336-L2336</f>
        <v>29.5</v>
      </c>
      <c r="N2336" s="17" t="n">
        <f aca="false">IFERROR(M2336/K2336,0)</f>
        <v>0.634408602150538</v>
      </c>
    </row>
    <row r="2337" customFormat="false" ht="15" hidden="false" customHeight="false" outlineLevel="0" collapsed="false">
      <c r="A2337" s="15" t="n">
        <v>46119</v>
      </c>
      <c r="B2337" s="14" t="s">
        <v>88</v>
      </c>
      <c r="C2337" s="14" t="s">
        <v>89</v>
      </c>
      <c r="D2337" s="14" t="s">
        <v>44</v>
      </c>
      <c r="E2337" s="14" t="s">
        <v>53</v>
      </c>
      <c r="F2337" s="14" t="s">
        <v>92</v>
      </c>
      <c r="G2337" s="14" t="s">
        <v>93</v>
      </c>
      <c r="H2337" s="0" t="n">
        <v>7</v>
      </c>
      <c r="I2337" s="16" t="n">
        <v>119.02</v>
      </c>
      <c r="J2337" s="16" t="n">
        <v>52</v>
      </c>
      <c r="K2337" s="16" t="n">
        <f aca="false">H2337*I2337</f>
        <v>833.14</v>
      </c>
      <c r="L2337" s="16" t="n">
        <f aca="false">H2337*J2337</f>
        <v>364</v>
      </c>
      <c r="M2337" s="16" t="n">
        <f aca="false">K2337-L2337</f>
        <v>469.14</v>
      </c>
      <c r="N2337" s="17" t="n">
        <f aca="false">IFERROR(M2337/K2337,0)</f>
        <v>0.563098638884221</v>
      </c>
    </row>
    <row r="2338" customFormat="false" ht="15" hidden="false" customHeight="false" outlineLevel="0" collapsed="false">
      <c r="A2338" s="15" t="n">
        <v>46119</v>
      </c>
      <c r="B2338" s="14" t="s">
        <v>88</v>
      </c>
      <c r="C2338" s="14" t="s">
        <v>89</v>
      </c>
      <c r="D2338" s="14" t="s">
        <v>44</v>
      </c>
      <c r="E2338" s="14" t="s">
        <v>45</v>
      </c>
      <c r="F2338" s="14" t="s">
        <v>72</v>
      </c>
      <c r="G2338" s="14" t="s">
        <v>73</v>
      </c>
      <c r="H2338" s="0" t="n">
        <v>4</v>
      </c>
      <c r="I2338" s="16" t="n">
        <v>51.54</v>
      </c>
      <c r="J2338" s="16" t="n">
        <v>21</v>
      </c>
      <c r="K2338" s="16" t="n">
        <f aca="false">H2338*I2338</f>
        <v>206.16</v>
      </c>
      <c r="L2338" s="16" t="n">
        <f aca="false">H2338*J2338</f>
        <v>84</v>
      </c>
      <c r="M2338" s="16" t="n">
        <f aca="false">K2338-L2338</f>
        <v>122.16</v>
      </c>
      <c r="N2338" s="17" t="n">
        <f aca="false">IFERROR(M2338/K2338,0)</f>
        <v>0.592549476135041</v>
      </c>
    </row>
    <row r="2339" customFormat="false" ht="15" hidden="false" customHeight="false" outlineLevel="0" collapsed="false">
      <c r="A2339" s="15" t="n">
        <v>46119</v>
      </c>
      <c r="B2339" s="14" t="s">
        <v>88</v>
      </c>
      <c r="C2339" s="14" t="s">
        <v>89</v>
      </c>
      <c r="D2339" s="14" t="s">
        <v>44</v>
      </c>
      <c r="E2339" s="14" t="s">
        <v>56</v>
      </c>
      <c r="F2339" s="14" t="s">
        <v>67</v>
      </c>
      <c r="G2339" s="14" t="s">
        <v>68</v>
      </c>
      <c r="H2339" s="0" t="n">
        <v>8</v>
      </c>
      <c r="I2339" s="16" t="n">
        <v>35.85</v>
      </c>
      <c r="J2339" s="16" t="n">
        <v>15</v>
      </c>
      <c r="K2339" s="16" t="n">
        <f aca="false">H2339*I2339</f>
        <v>286.8</v>
      </c>
      <c r="L2339" s="16" t="n">
        <f aca="false">H2339*J2339</f>
        <v>120</v>
      </c>
      <c r="M2339" s="16" t="n">
        <f aca="false">K2339-L2339</f>
        <v>166.8</v>
      </c>
      <c r="N2339" s="17" t="n">
        <f aca="false">IFERROR(M2339/K2339,0)</f>
        <v>0.581589958158996</v>
      </c>
    </row>
    <row r="2340" customFormat="false" ht="15" hidden="false" customHeight="false" outlineLevel="0" collapsed="false">
      <c r="A2340" s="15" t="n">
        <v>46119</v>
      </c>
      <c r="B2340" s="14" t="s">
        <v>88</v>
      </c>
      <c r="C2340" s="14" t="s">
        <v>89</v>
      </c>
      <c r="D2340" s="14" t="s">
        <v>44</v>
      </c>
      <c r="E2340" s="14" t="s">
        <v>56</v>
      </c>
      <c r="F2340" s="14" t="s">
        <v>67</v>
      </c>
      <c r="G2340" s="14" t="s">
        <v>68</v>
      </c>
      <c r="H2340" s="0" t="n">
        <v>8</v>
      </c>
      <c r="I2340" s="16" t="n">
        <v>35.05</v>
      </c>
      <c r="J2340" s="16" t="n">
        <v>15</v>
      </c>
      <c r="K2340" s="16" t="n">
        <f aca="false">H2340*I2340</f>
        <v>280.4</v>
      </c>
      <c r="L2340" s="16" t="n">
        <f aca="false">H2340*J2340</f>
        <v>120</v>
      </c>
      <c r="M2340" s="16" t="n">
        <f aca="false">K2340-L2340</f>
        <v>160.4</v>
      </c>
      <c r="N2340" s="17" t="n">
        <f aca="false">IFERROR(M2340/K2340,0)</f>
        <v>0.572039942938659</v>
      </c>
    </row>
    <row r="2341" customFormat="false" ht="15" hidden="false" customHeight="false" outlineLevel="0" collapsed="false">
      <c r="A2341" s="15" t="n">
        <v>46119</v>
      </c>
      <c r="B2341" s="14" t="s">
        <v>88</v>
      </c>
      <c r="C2341" s="14" t="s">
        <v>89</v>
      </c>
      <c r="D2341" s="14" t="s">
        <v>44</v>
      </c>
      <c r="E2341" s="14" t="s">
        <v>53</v>
      </c>
      <c r="F2341" s="14" t="s">
        <v>92</v>
      </c>
      <c r="G2341" s="14" t="s">
        <v>93</v>
      </c>
      <c r="H2341" s="0" t="n">
        <v>8</v>
      </c>
      <c r="I2341" s="16" t="n">
        <v>117.99</v>
      </c>
      <c r="J2341" s="16" t="n">
        <v>52</v>
      </c>
      <c r="K2341" s="16" t="n">
        <f aca="false">H2341*I2341</f>
        <v>943.92</v>
      </c>
      <c r="L2341" s="16" t="n">
        <f aca="false">H2341*J2341</f>
        <v>416</v>
      </c>
      <c r="M2341" s="16" t="n">
        <f aca="false">K2341-L2341</f>
        <v>527.92</v>
      </c>
      <c r="N2341" s="17" t="n">
        <f aca="false">IFERROR(M2341/K2341,0)</f>
        <v>0.559284685142809</v>
      </c>
    </row>
    <row r="2342" customFormat="false" ht="15" hidden="false" customHeight="false" outlineLevel="0" collapsed="false">
      <c r="A2342" s="15" t="n">
        <v>46120</v>
      </c>
      <c r="B2342" s="14" t="s">
        <v>42</v>
      </c>
      <c r="C2342" s="14" t="s">
        <v>43</v>
      </c>
      <c r="D2342" s="14" t="s">
        <v>44</v>
      </c>
      <c r="E2342" s="14" t="s">
        <v>53</v>
      </c>
      <c r="F2342" s="14" t="s">
        <v>74</v>
      </c>
      <c r="G2342" s="14" t="s">
        <v>75</v>
      </c>
      <c r="H2342" s="0" t="n">
        <v>6</v>
      </c>
      <c r="I2342" s="16" t="n">
        <v>86.56</v>
      </c>
      <c r="J2342" s="16" t="n">
        <v>38</v>
      </c>
      <c r="K2342" s="16" t="n">
        <f aca="false">H2342*I2342</f>
        <v>519.36</v>
      </c>
      <c r="L2342" s="16" t="n">
        <f aca="false">H2342*J2342</f>
        <v>228</v>
      </c>
      <c r="M2342" s="16" t="n">
        <f aca="false">K2342-L2342</f>
        <v>291.36</v>
      </c>
      <c r="N2342" s="17" t="n">
        <f aca="false">IFERROR(M2342/K2342,0)</f>
        <v>0.560998151571165</v>
      </c>
    </row>
    <row r="2343" customFormat="false" ht="15" hidden="false" customHeight="false" outlineLevel="0" collapsed="false">
      <c r="A2343" s="15" t="n">
        <v>46120</v>
      </c>
      <c r="B2343" s="14" t="s">
        <v>42</v>
      </c>
      <c r="C2343" s="14" t="s">
        <v>43</v>
      </c>
      <c r="D2343" s="14" t="s">
        <v>44</v>
      </c>
      <c r="E2343" s="14" t="s">
        <v>76</v>
      </c>
      <c r="F2343" s="14" t="s">
        <v>77</v>
      </c>
      <c r="G2343" s="14" t="s">
        <v>78</v>
      </c>
      <c r="H2343" s="0" t="n">
        <v>8</v>
      </c>
      <c r="I2343" s="16" t="n">
        <v>39.05</v>
      </c>
      <c r="J2343" s="16" t="n">
        <v>15</v>
      </c>
      <c r="K2343" s="16" t="n">
        <f aca="false">H2343*I2343</f>
        <v>312.4</v>
      </c>
      <c r="L2343" s="16" t="n">
        <f aca="false">H2343*J2343</f>
        <v>120</v>
      </c>
      <c r="M2343" s="16" t="n">
        <f aca="false">K2343-L2343</f>
        <v>192.4</v>
      </c>
      <c r="N2343" s="17" t="n">
        <f aca="false">IFERROR(M2343/K2343,0)</f>
        <v>0.615877080665813</v>
      </c>
    </row>
    <row r="2344" customFormat="false" ht="15" hidden="false" customHeight="false" outlineLevel="0" collapsed="false">
      <c r="A2344" s="15" t="n">
        <v>46120</v>
      </c>
      <c r="B2344" s="14" t="s">
        <v>42</v>
      </c>
      <c r="C2344" s="14" t="s">
        <v>43</v>
      </c>
      <c r="D2344" s="14" t="s">
        <v>44</v>
      </c>
      <c r="E2344" s="14" t="s">
        <v>76</v>
      </c>
      <c r="F2344" s="14" t="s">
        <v>79</v>
      </c>
      <c r="G2344" s="14" t="s">
        <v>80</v>
      </c>
      <c r="H2344" s="0" t="n">
        <v>8</v>
      </c>
      <c r="I2344" s="16" t="n">
        <v>28.11</v>
      </c>
      <c r="J2344" s="16" t="n">
        <v>11</v>
      </c>
      <c r="K2344" s="16" t="n">
        <f aca="false">H2344*I2344</f>
        <v>224.88</v>
      </c>
      <c r="L2344" s="16" t="n">
        <f aca="false">H2344*J2344</f>
        <v>88</v>
      </c>
      <c r="M2344" s="16" t="n">
        <f aca="false">K2344-L2344</f>
        <v>136.88</v>
      </c>
      <c r="N2344" s="17" t="n">
        <f aca="false">IFERROR(M2344/K2344,0)</f>
        <v>0.608680184987549</v>
      </c>
    </row>
    <row r="2345" customFormat="false" ht="15" hidden="false" customHeight="false" outlineLevel="0" collapsed="false">
      <c r="A2345" s="15" t="n">
        <v>46120</v>
      </c>
      <c r="B2345" s="14" t="s">
        <v>42</v>
      </c>
      <c r="C2345" s="14" t="s">
        <v>43</v>
      </c>
      <c r="D2345" s="14" t="s">
        <v>44</v>
      </c>
      <c r="E2345" s="14" t="s">
        <v>56</v>
      </c>
      <c r="F2345" s="14" t="s">
        <v>67</v>
      </c>
      <c r="G2345" s="14" t="s">
        <v>68</v>
      </c>
      <c r="H2345" s="0" t="n">
        <v>6</v>
      </c>
      <c r="I2345" s="16" t="n">
        <v>36.67</v>
      </c>
      <c r="J2345" s="16" t="n">
        <v>15</v>
      </c>
      <c r="K2345" s="16" t="n">
        <f aca="false">H2345*I2345</f>
        <v>220.02</v>
      </c>
      <c r="L2345" s="16" t="n">
        <f aca="false">H2345*J2345</f>
        <v>90</v>
      </c>
      <c r="M2345" s="16" t="n">
        <f aca="false">K2345-L2345</f>
        <v>130.02</v>
      </c>
      <c r="N2345" s="17" t="n">
        <f aca="false">IFERROR(M2345/K2345,0)</f>
        <v>0.590946277611126</v>
      </c>
    </row>
    <row r="2346" customFormat="false" ht="15" hidden="false" customHeight="false" outlineLevel="0" collapsed="false">
      <c r="A2346" s="15" t="n">
        <v>46120</v>
      </c>
      <c r="B2346" s="14" t="s">
        <v>50</v>
      </c>
      <c r="C2346" s="14" t="s">
        <v>51</v>
      </c>
      <c r="D2346" s="14" t="s">
        <v>52</v>
      </c>
      <c r="E2346" s="14" t="s">
        <v>76</v>
      </c>
      <c r="F2346" s="14" t="s">
        <v>77</v>
      </c>
      <c r="G2346" s="14" t="s">
        <v>78</v>
      </c>
      <c r="H2346" s="0" t="n">
        <v>5</v>
      </c>
      <c r="I2346" s="16" t="n">
        <v>38.99</v>
      </c>
      <c r="J2346" s="16" t="n">
        <v>15</v>
      </c>
      <c r="K2346" s="16" t="n">
        <f aca="false">H2346*I2346</f>
        <v>194.95</v>
      </c>
      <c r="L2346" s="16" t="n">
        <f aca="false">H2346*J2346</f>
        <v>75</v>
      </c>
      <c r="M2346" s="16" t="n">
        <f aca="false">K2346-L2346</f>
        <v>119.95</v>
      </c>
      <c r="N2346" s="17" t="n">
        <f aca="false">IFERROR(M2346/K2346,0)</f>
        <v>0.615285970761734</v>
      </c>
    </row>
    <row r="2347" customFormat="false" ht="15" hidden="false" customHeight="false" outlineLevel="0" collapsed="false">
      <c r="A2347" s="15" t="n">
        <v>46120</v>
      </c>
      <c r="B2347" s="14" t="s">
        <v>50</v>
      </c>
      <c r="C2347" s="14" t="s">
        <v>51</v>
      </c>
      <c r="D2347" s="14" t="s">
        <v>52</v>
      </c>
      <c r="E2347" s="14" t="s">
        <v>76</v>
      </c>
      <c r="F2347" s="14" t="s">
        <v>79</v>
      </c>
      <c r="G2347" s="14" t="s">
        <v>80</v>
      </c>
      <c r="H2347" s="0" t="n">
        <v>8</v>
      </c>
      <c r="I2347" s="16" t="n">
        <v>29.24</v>
      </c>
      <c r="J2347" s="16" t="n">
        <v>11</v>
      </c>
      <c r="K2347" s="16" t="n">
        <f aca="false">H2347*I2347</f>
        <v>233.92</v>
      </c>
      <c r="L2347" s="16" t="n">
        <f aca="false">H2347*J2347</f>
        <v>88</v>
      </c>
      <c r="M2347" s="16" t="n">
        <f aca="false">K2347-L2347</f>
        <v>145.92</v>
      </c>
      <c r="N2347" s="17" t="n">
        <f aca="false">IFERROR(M2347/K2347,0)</f>
        <v>0.623803009575923</v>
      </c>
    </row>
    <row r="2348" customFormat="false" ht="15" hidden="false" customHeight="false" outlineLevel="0" collapsed="false">
      <c r="A2348" s="15" t="n">
        <v>46120</v>
      </c>
      <c r="B2348" s="14" t="s">
        <v>50</v>
      </c>
      <c r="C2348" s="14" t="s">
        <v>51</v>
      </c>
      <c r="D2348" s="14" t="s">
        <v>52</v>
      </c>
      <c r="E2348" s="14" t="s">
        <v>64</v>
      </c>
      <c r="F2348" s="14" t="s">
        <v>94</v>
      </c>
      <c r="G2348" s="14" t="s">
        <v>95</v>
      </c>
      <c r="H2348" s="0" t="n">
        <v>7</v>
      </c>
      <c r="I2348" s="16" t="n">
        <v>92.65</v>
      </c>
      <c r="J2348" s="16" t="n">
        <v>42</v>
      </c>
      <c r="K2348" s="16" t="n">
        <f aca="false">H2348*I2348</f>
        <v>648.55</v>
      </c>
      <c r="L2348" s="16" t="n">
        <f aca="false">H2348*J2348</f>
        <v>294</v>
      </c>
      <c r="M2348" s="16" t="n">
        <f aca="false">K2348-L2348</f>
        <v>354.55</v>
      </c>
      <c r="N2348" s="17" t="n">
        <f aca="false">IFERROR(M2348/K2348,0)</f>
        <v>0.546681057744199</v>
      </c>
    </row>
    <row r="2349" customFormat="false" ht="15" hidden="false" customHeight="false" outlineLevel="0" collapsed="false">
      <c r="A2349" s="15" t="n">
        <v>46120</v>
      </c>
      <c r="B2349" s="14" t="s">
        <v>50</v>
      </c>
      <c r="C2349" s="14" t="s">
        <v>51</v>
      </c>
      <c r="D2349" s="14" t="s">
        <v>52</v>
      </c>
      <c r="E2349" s="14" t="s">
        <v>45</v>
      </c>
      <c r="F2349" s="14" t="s">
        <v>72</v>
      </c>
      <c r="G2349" s="14" t="s">
        <v>73</v>
      </c>
      <c r="H2349" s="0" t="n">
        <v>11</v>
      </c>
      <c r="I2349" s="16" t="n">
        <v>48.03</v>
      </c>
      <c r="J2349" s="16" t="n">
        <v>21</v>
      </c>
      <c r="K2349" s="16" t="n">
        <f aca="false">H2349*I2349</f>
        <v>528.33</v>
      </c>
      <c r="L2349" s="16" t="n">
        <f aca="false">H2349*J2349</f>
        <v>231</v>
      </c>
      <c r="M2349" s="16" t="n">
        <f aca="false">K2349-L2349</f>
        <v>297.33</v>
      </c>
      <c r="N2349" s="17" t="n">
        <f aca="false">IFERROR(M2349/K2349,0)</f>
        <v>0.562773266708307</v>
      </c>
    </row>
    <row r="2350" customFormat="false" ht="15" hidden="false" customHeight="false" outlineLevel="0" collapsed="false">
      <c r="A2350" s="15" t="n">
        <v>46120</v>
      </c>
      <c r="B2350" s="14" t="s">
        <v>50</v>
      </c>
      <c r="C2350" s="14" t="s">
        <v>51</v>
      </c>
      <c r="D2350" s="14" t="s">
        <v>52</v>
      </c>
      <c r="E2350" s="14" t="s">
        <v>76</v>
      </c>
      <c r="F2350" s="14" t="s">
        <v>100</v>
      </c>
      <c r="G2350" s="14" t="s">
        <v>101</v>
      </c>
      <c r="H2350" s="0" t="n">
        <v>2</v>
      </c>
      <c r="I2350" s="16" t="n">
        <v>14.88</v>
      </c>
      <c r="J2350" s="16" t="n">
        <v>5.5</v>
      </c>
      <c r="K2350" s="16" t="n">
        <f aca="false">H2350*I2350</f>
        <v>29.76</v>
      </c>
      <c r="L2350" s="16" t="n">
        <f aca="false">H2350*J2350</f>
        <v>11</v>
      </c>
      <c r="M2350" s="16" t="n">
        <f aca="false">K2350-L2350</f>
        <v>18.76</v>
      </c>
      <c r="N2350" s="17" t="n">
        <f aca="false">IFERROR(M2350/K2350,0)</f>
        <v>0.630376344086022</v>
      </c>
    </row>
    <row r="2351" customFormat="false" ht="15" hidden="false" customHeight="false" outlineLevel="0" collapsed="false">
      <c r="A2351" s="15" t="n">
        <v>46120</v>
      </c>
      <c r="B2351" s="14" t="s">
        <v>59</v>
      </c>
      <c r="C2351" s="14" t="s">
        <v>60</v>
      </c>
      <c r="D2351" s="14" t="s">
        <v>61</v>
      </c>
      <c r="E2351" s="14" t="s">
        <v>56</v>
      </c>
      <c r="F2351" s="14" t="s">
        <v>67</v>
      </c>
      <c r="G2351" s="14" t="s">
        <v>68</v>
      </c>
      <c r="H2351" s="0" t="n">
        <v>7</v>
      </c>
      <c r="I2351" s="16" t="n">
        <v>35.68</v>
      </c>
      <c r="J2351" s="16" t="n">
        <v>15</v>
      </c>
      <c r="K2351" s="16" t="n">
        <f aca="false">H2351*I2351</f>
        <v>249.76</v>
      </c>
      <c r="L2351" s="16" t="n">
        <f aca="false">H2351*J2351</f>
        <v>105</v>
      </c>
      <c r="M2351" s="16" t="n">
        <f aca="false">K2351-L2351</f>
        <v>144.76</v>
      </c>
      <c r="N2351" s="17" t="n">
        <f aca="false">IFERROR(M2351/K2351,0)</f>
        <v>0.579596412556054</v>
      </c>
    </row>
    <row r="2352" customFormat="false" ht="15" hidden="false" customHeight="false" outlineLevel="0" collapsed="false">
      <c r="A2352" s="15" t="n">
        <v>46120</v>
      </c>
      <c r="B2352" s="14" t="s">
        <v>59</v>
      </c>
      <c r="C2352" s="14" t="s">
        <v>60</v>
      </c>
      <c r="D2352" s="14" t="s">
        <v>61</v>
      </c>
      <c r="E2352" s="14" t="s">
        <v>45</v>
      </c>
      <c r="F2352" s="14" t="s">
        <v>46</v>
      </c>
      <c r="G2352" s="14" t="s">
        <v>47</v>
      </c>
      <c r="H2352" s="0" t="n">
        <v>1</v>
      </c>
      <c r="I2352" s="16" t="n">
        <v>43.72</v>
      </c>
      <c r="J2352" s="16" t="n">
        <v>18</v>
      </c>
      <c r="K2352" s="16" t="n">
        <f aca="false">H2352*I2352</f>
        <v>43.72</v>
      </c>
      <c r="L2352" s="16" t="n">
        <f aca="false">H2352*J2352</f>
        <v>18</v>
      </c>
      <c r="M2352" s="16" t="n">
        <f aca="false">K2352-L2352</f>
        <v>25.72</v>
      </c>
      <c r="N2352" s="17" t="n">
        <f aca="false">IFERROR(M2352/K2352,0)</f>
        <v>0.588289112534309</v>
      </c>
    </row>
    <row r="2353" customFormat="false" ht="15" hidden="false" customHeight="false" outlineLevel="0" collapsed="false">
      <c r="A2353" s="15" t="n">
        <v>46120</v>
      </c>
      <c r="B2353" s="14" t="s">
        <v>59</v>
      </c>
      <c r="C2353" s="14" t="s">
        <v>60</v>
      </c>
      <c r="D2353" s="14" t="s">
        <v>61</v>
      </c>
      <c r="E2353" s="14" t="s">
        <v>56</v>
      </c>
      <c r="F2353" s="14" t="s">
        <v>98</v>
      </c>
      <c r="G2353" s="14" t="s">
        <v>99</v>
      </c>
      <c r="H2353" s="0" t="n">
        <v>8</v>
      </c>
      <c r="I2353" s="16" t="n">
        <v>20.74</v>
      </c>
      <c r="J2353" s="16" t="n">
        <v>8</v>
      </c>
      <c r="K2353" s="16" t="n">
        <f aca="false">H2353*I2353</f>
        <v>165.92</v>
      </c>
      <c r="L2353" s="16" t="n">
        <f aca="false">H2353*J2353</f>
        <v>64</v>
      </c>
      <c r="M2353" s="16" t="n">
        <f aca="false">K2353-L2353</f>
        <v>101.92</v>
      </c>
      <c r="N2353" s="17" t="n">
        <f aca="false">IFERROR(M2353/K2353,0)</f>
        <v>0.61427193828351</v>
      </c>
    </row>
    <row r="2354" customFormat="false" ht="15" hidden="false" customHeight="false" outlineLevel="0" collapsed="false">
      <c r="A2354" s="15" t="n">
        <v>46120</v>
      </c>
      <c r="B2354" s="14" t="s">
        <v>69</v>
      </c>
      <c r="C2354" s="14" t="s">
        <v>70</v>
      </c>
      <c r="D2354" s="14" t="s">
        <v>71</v>
      </c>
      <c r="E2354" s="14" t="s">
        <v>45</v>
      </c>
      <c r="F2354" s="14" t="s">
        <v>48</v>
      </c>
      <c r="G2354" s="14" t="s">
        <v>49</v>
      </c>
      <c r="H2354" s="0" t="n">
        <v>6</v>
      </c>
      <c r="I2354" s="16" t="n">
        <v>66.07</v>
      </c>
      <c r="J2354" s="16" t="n">
        <v>27.5</v>
      </c>
      <c r="K2354" s="16" t="n">
        <f aca="false">H2354*I2354</f>
        <v>396.42</v>
      </c>
      <c r="L2354" s="16" t="n">
        <f aca="false">H2354*J2354</f>
        <v>165</v>
      </c>
      <c r="M2354" s="16" t="n">
        <f aca="false">K2354-L2354</f>
        <v>231.42</v>
      </c>
      <c r="N2354" s="17" t="n">
        <f aca="false">IFERROR(M2354/K2354,0)</f>
        <v>0.583774784319661</v>
      </c>
    </row>
    <row r="2355" customFormat="false" ht="15" hidden="false" customHeight="false" outlineLevel="0" collapsed="false">
      <c r="A2355" s="15" t="n">
        <v>46120</v>
      </c>
      <c r="B2355" s="14" t="s">
        <v>69</v>
      </c>
      <c r="C2355" s="14" t="s">
        <v>70</v>
      </c>
      <c r="D2355" s="14" t="s">
        <v>71</v>
      </c>
      <c r="E2355" s="14" t="s">
        <v>45</v>
      </c>
      <c r="F2355" s="14" t="s">
        <v>72</v>
      </c>
      <c r="G2355" s="14" t="s">
        <v>73</v>
      </c>
      <c r="H2355" s="0" t="n">
        <v>2</v>
      </c>
      <c r="I2355" s="16" t="n">
        <v>51.29</v>
      </c>
      <c r="J2355" s="16" t="n">
        <v>21</v>
      </c>
      <c r="K2355" s="16" t="n">
        <f aca="false">H2355*I2355</f>
        <v>102.58</v>
      </c>
      <c r="L2355" s="16" t="n">
        <f aca="false">H2355*J2355</f>
        <v>42</v>
      </c>
      <c r="M2355" s="16" t="n">
        <f aca="false">K2355-L2355</f>
        <v>60.58</v>
      </c>
      <c r="N2355" s="17" t="n">
        <f aca="false">IFERROR(M2355/K2355,0)</f>
        <v>0.590563462663287</v>
      </c>
    </row>
    <row r="2356" customFormat="false" ht="15" hidden="false" customHeight="false" outlineLevel="0" collapsed="false">
      <c r="A2356" s="15" t="n">
        <v>46120</v>
      </c>
      <c r="B2356" s="14" t="s">
        <v>69</v>
      </c>
      <c r="C2356" s="14" t="s">
        <v>70</v>
      </c>
      <c r="D2356" s="14" t="s">
        <v>71</v>
      </c>
      <c r="E2356" s="14" t="s">
        <v>64</v>
      </c>
      <c r="F2356" s="14" t="s">
        <v>94</v>
      </c>
      <c r="G2356" s="14" t="s">
        <v>95</v>
      </c>
      <c r="H2356" s="0" t="n">
        <v>4</v>
      </c>
      <c r="I2356" s="16" t="n">
        <v>93.59</v>
      </c>
      <c r="J2356" s="16" t="n">
        <v>42</v>
      </c>
      <c r="K2356" s="16" t="n">
        <f aca="false">H2356*I2356</f>
        <v>374.36</v>
      </c>
      <c r="L2356" s="16" t="n">
        <f aca="false">H2356*J2356</f>
        <v>168</v>
      </c>
      <c r="M2356" s="16" t="n">
        <f aca="false">K2356-L2356</f>
        <v>206.36</v>
      </c>
      <c r="N2356" s="17" t="n">
        <f aca="false">IFERROR(M2356/K2356,0)</f>
        <v>0.551234106207928</v>
      </c>
    </row>
    <row r="2357" customFormat="false" ht="15" hidden="false" customHeight="false" outlineLevel="0" collapsed="false">
      <c r="A2357" s="15" t="n">
        <v>46120</v>
      </c>
      <c r="B2357" s="14" t="s">
        <v>69</v>
      </c>
      <c r="C2357" s="14" t="s">
        <v>70</v>
      </c>
      <c r="D2357" s="14" t="s">
        <v>71</v>
      </c>
      <c r="E2357" s="14" t="s">
        <v>76</v>
      </c>
      <c r="F2357" s="14" t="s">
        <v>100</v>
      </c>
      <c r="G2357" s="14" t="s">
        <v>101</v>
      </c>
      <c r="H2357" s="0" t="n">
        <v>2</v>
      </c>
      <c r="I2357" s="16" t="n">
        <v>15.43</v>
      </c>
      <c r="J2357" s="16" t="n">
        <v>5.5</v>
      </c>
      <c r="K2357" s="16" t="n">
        <f aca="false">H2357*I2357</f>
        <v>30.86</v>
      </c>
      <c r="L2357" s="16" t="n">
        <f aca="false">H2357*J2357</f>
        <v>11</v>
      </c>
      <c r="M2357" s="16" t="n">
        <f aca="false">K2357-L2357</f>
        <v>19.86</v>
      </c>
      <c r="N2357" s="17" t="n">
        <f aca="false">IFERROR(M2357/K2357,0)</f>
        <v>0.643551523007129</v>
      </c>
    </row>
    <row r="2358" customFormat="false" ht="15" hidden="false" customHeight="false" outlineLevel="0" collapsed="false">
      <c r="A2358" s="15" t="n">
        <v>46120</v>
      </c>
      <c r="B2358" s="14" t="s">
        <v>69</v>
      </c>
      <c r="C2358" s="14" t="s">
        <v>70</v>
      </c>
      <c r="D2358" s="14" t="s">
        <v>71</v>
      </c>
      <c r="E2358" s="14" t="s">
        <v>76</v>
      </c>
      <c r="F2358" s="14" t="s">
        <v>100</v>
      </c>
      <c r="G2358" s="14" t="s">
        <v>101</v>
      </c>
      <c r="H2358" s="0" t="n">
        <v>1</v>
      </c>
      <c r="I2358" s="16" t="n">
        <v>15.22</v>
      </c>
      <c r="J2358" s="16" t="n">
        <v>5.5</v>
      </c>
      <c r="K2358" s="16" t="n">
        <f aca="false">H2358*I2358</f>
        <v>15.22</v>
      </c>
      <c r="L2358" s="16" t="n">
        <f aca="false">H2358*J2358</f>
        <v>5.5</v>
      </c>
      <c r="M2358" s="16" t="n">
        <f aca="false">K2358-L2358</f>
        <v>9.72</v>
      </c>
      <c r="N2358" s="17" t="n">
        <f aca="false">IFERROR(M2358/K2358,0)</f>
        <v>0.638633377135348</v>
      </c>
    </row>
    <row r="2359" customFormat="false" ht="15" hidden="false" customHeight="false" outlineLevel="0" collapsed="false">
      <c r="A2359" s="15" t="n">
        <v>46120</v>
      </c>
      <c r="B2359" s="14" t="s">
        <v>81</v>
      </c>
      <c r="C2359" s="14" t="s">
        <v>82</v>
      </c>
      <c r="D2359" s="14" t="s">
        <v>83</v>
      </c>
      <c r="E2359" s="14" t="s">
        <v>64</v>
      </c>
      <c r="F2359" s="14" t="s">
        <v>65</v>
      </c>
      <c r="G2359" s="14" t="s">
        <v>66</v>
      </c>
      <c r="H2359" s="0" t="n">
        <v>4</v>
      </c>
      <c r="I2359" s="16" t="n">
        <v>78.61</v>
      </c>
      <c r="J2359" s="16" t="n">
        <v>34</v>
      </c>
      <c r="K2359" s="16" t="n">
        <f aca="false">H2359*I2359</f>
        <v>314.44</v>
      </c>
      <c r="L2359" s="16" t="n">
        <f aca="false">H2359*J2359</f>
        <v>136</v>
      </c>
      <c r="M2359" s="16" t="n">
        <f aca="false">K2359-L2359</f>
        <v>178.44</v>
      </c>
      <c r="N2359" s="17" t="n">
        <f aca="false">IFERROR(M2359/K2359,0)</f>
        <v>0.567485052792266</v>
      </c>
    </row>
    <row r="2360" customFormat="false" ht="15" hidden="false" customHeight="false" outlineLevel="0" collapsed="false">
      <c r="A2360" s="15" t="n">
        <v>46120</v>
      </c>
      <c r="B2360" s="14" t="s">
        <v>81</v>
      </c>
      <c r="C2360" s="14" t="s">
        <v>82</v>
      </c>
      <c r="D2360" s="14" t="s">
        <v>83</v>
      </c>
      <c r="E2360" s="14" t="s">
        <v>45</v>
      </c>
      <c r="F2360" s="14" t="s">
        <v>48</v>
      </c>
      <c r="G2360" s="14" t="s">
        <v>49</v>
      </c>
      <c r="H2360" s="0" t="n">
        <v>4</v>
      </c>
      <c r="I2360" s="16" t="n">
        <v>62.82</v>
      </c>
      <c r="J2360" s="16" t="n">
        <v>27.5</v>
      </c>
      <c r="K2360" s="16" t="n">
        <f aca="false">H2360*I2360</f>
        <v>251.28</v>
      </c>
      <c r="L2360" s="16" t="n">
        <f aca="false">H2360*J2360</f>
        <v>110</v>
      </c>
      <c r="M2360" s="16" t="n">
        <f aca="false">K2360-L2360</f>
        <v>141.28</v>
      </c>
      <c r="N2360" s="17" t="n">
        <f aca="false">IFERROR(M2360/K2360,0)</f>
        <v>0.562241324418975</v>
      </c>
    </row>
    <row r="2361" customFormat="false" ht="15" hidden="false" customHeight="false" outlineLevel="0" collapsed="false">
      <c r="A2361" s="15" t="n">
        <v>46120</v>
      </c>
      <c r="B2361" s="14" t="s">
        <v>81</v>
      </c>
      <c r="C2361" s="14" t="s">
        <v>82</v>
      </c>
      <c r="D2361" s="14" t="s">
        <v>83</v>
      </c>
      <c r="E2361" s="14" t="s">
        <v>45</v>
      </c>
      <c r="F2361" s="14" t="s">
        <v>62</v>
      </c>
      <c r="G2361" s="14" t="s">
        <v>63</v>
      </c>
      <c r="H2361" s="0" t="n">
        <v>2</v>
      </c>
      <c r="I2361" s="16" t="n">
        <v>17.99</v>
      </c>
      <c r="J2361" s="16" t="n">
        <v>6.5</v>
      </c>
      <c r="K2361" s="16" t="n">
        <f aca="false">H2361*I2361</f>
        <v>35.98</v>
      </c>
      <c r="L2361" s="16" t="n">
        <f aca="false">H2361*J2361</f>
        <v>13</v>
      </c>
      <c r="M2361" s="16" t="n">
        <f aca="false">K2361-L2361</f>
        <v>22.98</v>
      </c>
      <c r="N2361" s="17" t="n">
        <f aca="false">IFERROR(M2361/K2361,0)</f>
        <v>0.638688160088938</v>
      </c>
    </row>
    <row r="2362" customFormat="false" ht="15" hidden="false" customHeight="false" outlineLevel="0" collapsed="false">
      <c r="A2362" s="15" t="n">
        <v>46120</v>
      </c>
      <c r="B2362" s="14" t="s">
        <v>81</v>
      </c>
      <c r="C2362" s="14" t="s">
        <v>82</v>
      </c>
      <c r="D2362" s="14" t="s">
        <v>83</v>
      </c>
      <c r="E2362" s="14" t="s">
        <v>64</v>
      </c>
      <c r="F2362" s="14" t="s">
        <v>96</v>
      </c>
      <c r="G2362" s="14" t="s">
        <v>97</v>
      </c>
      <c r="H2362" s="0" t="n">
        <v>2</v>
      </c>
      <c r="I2362" s="16" t="n">
        <v>54.7</v>
      </c>
      <c r="J2362" s="16" t="n">
        <v>24</v>
      </c>
      <c r="K2362" s="16" t="n">
        <f aca="false">H2362*I2362</f>
        <v>109.4</v>
      </c>
      <c r="L2362" s="16" t="n">
        <f aca="false">H2362*J2362</f>
        <v>48</v>
      </c>
      <c r="M2362" s="16" t="n">
        <f aca="false">K2362-L2362</f>
        <v>61.4</v>
      </c>
      <c r="N2362" s="17" t="n">
        <f aca="false">IFERROR(M2362/K2362,0)</f>
        <v>0.561243144424132</v>
      </c>
    </row>
    <row r="2363" customFormat="false" ht="15" hidden="false" customHeight="false" outlineLevel="0" collapsed="false">
      <c r="A2363" s="15" t="n">
        <v>46120</v>
      </c>
      <c r="B2363" s="14" t="s">
        <v>81</v>
      </c>
      <c r="C2363" s="14" t="s">
        <v>82</v>
      </c>
      <c r="D2363" s="14" t="s">
        <v>83</v>
      </c>
      <c r="E2363" s="14" t="s">
        <v>76</v>
      </c>
      <c r="F2363" s="14" t="s">
        <v>79</v>
      </c>
      <c r="G2363" s="14" t="s">
        <v>80</v>
      </c>
      <c r="H2363" s="0" t="n">
        <v>1</v>
      </c>
      <c r="I2363" s="16" t="n">
        <v>28.22</v>
      </c>
      <c r="J2363" s="16" t="n">
        <v>11</v>
      </c>
      <c r="K2363" s="16" t="n">
        <f aca="false">H2363*I2363</f>
        <v>28.22</v>
      </c>
      <c r="L2363" s="16" t="n">
        <f aca="false">H2363*J2363</f>
        <v>11</v>
      </c>
      <c r="M2363" s="16" t="n">
        <f aca="false">K2363-L2363</f>
        <v>17.22</v>
      </c>
      <c r="N2363" s="17" t="n">
        <f aca="false">IFERROR(M2363/K2363,0)</f>
        <v>0.61020552799433</v>
      </c>
    </row>
    <row r="2364" customFormat="false" ht="15" hidden="false" customHeight="false" outlineLevel="0" collapsed="false">
      <c r="A2364" s="15" t="n">
        <v>46120</v>
      </c>
      <c r="B2364" s="14" t="s">
        <v>88</v>
      </c>
      <c r="C2364" s="14" t="s">
        <v>89</v>
      </c>
      <c r="D2364" s="14" t="s">
        <v>44</v>
      </c>
      <c r="E2364" s="14" t="s">
        <v>45</v>
      </c>
      <c r="F2364" s="14" t="s">
        <v>48</v>
      </c>
      <c r="G2364" s="14" t="s">
        <v>49</v>
      </c>
      <c r="H2364" s="0" t="n">
        <v>6</v>
      </c>
      <c r="I2364" s="16" t="n">
        <v>62.97</v>
      </c>
      <c r="J2364" s="16" t="n">
        <v>27.5</v>
      </c>
      <c r="K2364" s="16" t="n">
        <f aca="false">H2364*I2364</f>
        <v>377.82</v>
      </c>
      <c r="L2364" s="16" t="n">
        <f aca="false">H2364*J2364</f>
        <v>165</v>
      </c>
      <c r="M2364" s="16" t="n">
        <f aca="false">K2364-L2364</f>
        <v>212.82</v>
      </c>
      <c r="N2364" s="17" t="n">
        <f aca="false">IFERROR(M2364/K2364,0)</f>
        <v>0.563284103541369</v>
      </c>
    </row>
    <row r="2365" customFormat="false" ht="15" hidden="false" customHeight="false" outlineLevel="0" collapsed="false">
      <c r="A2365" s="15" t="n">
        <v>46120</v>
      </c>
      <c r="B2365" s="14" t="s">
        <v>88</v>
      </c>
      <c r="C2365" s="14" t="s">
        <v>89</v>
      </c>
      <c r="D2365" s="14" t="s">
        <v>44</v>
      </c>
      <c r="E2365" s="14" t="s">
        <v>76</v>
      </c>
      <c r="F2365" s="14" t="s">
        <v>100</v>
      </c>
      <c r="G2365" s="14" t="s">
        <v>101</v>
      </c>
      <c r="H2365" s="0" t="n">
        <v>5</v>
      </c>
      <c r="I2365" s="16" t="n">
        <v>15.61</v>
      </c>
      <c r="J2365" s="16" t="n">
        <v>5.5</v>
      </c>
      <c r="K2365" s="16" t="n">
        <f aca="false">H2365*I2365</f>
        <v>78.05</v>
      </c>
      <c r="L2365" s="16" t="n">
        <f aca="false">H2365*J2365</f>
        <v>27.5</v>
      </c>
      <c r="M2365" s="16" t="n">
        <f aca="false">K2365-L2365</f>
        <v>50.55</v>
      </c>
      <c r="N2365" s="17" t="n">
        <f aca="false">IFERROR(M2365/K2365,0)</f>
        <v>0.647661755285074</v>
      </c>
    </row>
    <row r="2366" customFormat="false" ht="15" hidden="false" customHeight="false" outlineLevel="0" collapsed="false">
      <c r="A2366" s="15" t="n">
        <v>46121</v>
      </c>
      <c r="B2366" s="14" t="s">
        <v>42</v>
      </c>
      <c r="C2366" s="14" t="s">
        <v>43</v>
      </c>
      <c r="D2366" s="14" t="s">
        <v>44</v>
      </c>
      <c r="E2366" s="14" t="s">
        <v>56</v>
      </c>
      <c r="F2366" s="14" t="s">
        <v>57</v>
      </c>
      <c r="G2366" s="14" t="s">
        <v>58</v>
      </c>
      <c r="H2366" s="0" t="n">
        <v>3</v>
      </c>
      <c r="I2366" s="16" t="n">
        <v>25.11</v>
      </c>
      <c r="J2366" s="16" t="n">
        <v>10</v>
      </c>
      <c r="K2366" s="16" t="n">
        <f aca="false">H2366*I2366</f>
        <v>75.33</v>
      </c>
      <c r="L2366" s="16" t="n">
        <f aca="false">H2366*J2366</f>
        <v>30</v>
      </c>
      <c r="M2366" s="16" t="n">
        <f aca="false">K2366-L2366</f>
        <v>45.33</v>
      </c>
      <c r="N2366" s="17" t="n">
        <f aca="false">IFERROR(M2366/K2366,0)</f>
        <v>0.601752289924333</v>
      </c>
    </row>
    <row r="2367" customFormat="false" ht="15" hidden="false" customHeight="false" outlineLevel="0" collapsed="false">
      <c r="A2367" s="15" t="n">
        <v>46121</v>
      </c>
      <c r="B2367" s="14" t="s">
        <v>42</v>
      </c>
      <c r="C2367" s="14" t="s">
        <v>43</v>
      </c>
      <c r="D2367" s="14" t="s">
        <v>44</v>
      </c>
      <c r="E2367" s="14" t="s">
        <v>53</v>
      </c>
      <c r="F2367" s="14" t="s">
        <v>84</v>
      </c>
      <c r="G2367" s="14" t="s">
        <v>85</v>
      </c>
      <c r="H2367" s="0" t="n">
        <v>12</v>
      </c>
      <c r="I2367" s="16" t="n">
        <v>24.34</v>
      </c>
      <c r="J2367" s="16" t="n">
        <v>9</v>
      </c>
      <c r="K2367" s="16" t="n">
        <f aca="false">H2367*I2367</f>
        <v>292.08</v>
      </c>
      <c r="L2367" s="16" t="n">
        <f aca="false">H2367*J2367</f>
        <v>108</v>
      </c>
      <c r="M2367" s="16" t="n">
        <f aca="false">K2367-L2367</f>
        <v>184.08</v>
      </c>
      <c r="N2367" s="17" t="n">
        <f aca="false">IFERROR(M2367/K2367,0)</f>
        <v>0.630238290879211</v>
      </c>
    </row>
    <row r="2368" customFormat="false" ht="15" hidden="false" customHeight="false" outlineLevel="0" collapsed="false">
      <c r="A2368" s="15" t="n">
        <v>46121</v>
      </c>
      <c r="B2368" s="14" t="s">
        <v>42</v>
      </c>
      <c r="C2368" s="14" t="s">
        <v>43</v>
      </c>
      <c r="D2368" s="14" t="s">
        <v>44</v>
      </c>
      <c r="E2368" s="14" t="s">
        <v>56</v>
      </c>
      <c r="F2368" s="14" t="s">
        <v>86</v>
      </c>
      <c r="G2368" s="14" t="s">
        <v>87</v>
      </c>
      <c r="H2368" s="0" t="n">
        <v>11</v>
      </c>
      <c r="I2368" s="16" t="n">
        <v>14.59</v>
      </c>
      <c r="J2368" s="16" t="n">
        <v>5</v>
      </c>
      <c r="K2368" s="16" t="n">
        <f aca="false">H2368*I2368</f>
        <v>160.49</v>
      </c>
      <c r="L2368" s="16" t="n">
        <f aca="false">H2368*J2368</f>
        <v>55</v>
      </c>
      <c r="M2368" s="16" t="n">
        <f aca="false">K2368-L2368</f>
        <v>105.49</v>
      </c>
      <c r="N2368" s="17" t="n">
        <f aca="false">IFERROR(M2368/K2368,0)</f>
        <v>0.657299520219328</v>
      </c>
    </row>
    <row r="2369" customFormat="false" ht="15" hidden="false" customHeight="false" outlineLevel="0" collapsed="false">
      <c r="A2369" s="15" t="n">
        <v>46121</v>
      </c>
      <c r="B2369" s="14" t="s">
        <v>50</v>
      </c>
      <c r="C2369" s="14" t="s">
        <v>51</v>
      </c>
      <c r="D2369" s="14" t="s">
        <v>52</v>
      </c>
      <c r="E2369" s="14" t="s">
        <v>76</v>
      </c>
      <c r="F2369" s="14" t="s">
        <v>100</v>
      </c>
      <c r="G2369" s="14" t="s">
        <v>101</v>
      </c>
      <c r="H2369" s="0" t="n">
        <v>5</v>
      </c>
      <c r="I2369" s="16" t="n">
        <v>14.84</v>
      </c>
      <c r="J2369" s="16" t="n">
        <v>5.5</v>
      </c>
      <c r="K2369" s="16" t="n">
        <f aca="false">H2369*I2369</f>
        <v>74.2</v>
      </c>
      <c r="L2369" s="16" t="n">
        <f aca="false">H2369*J2369</f>
        <v>27.5</v>
      </c>
      <c r="M2369" s="16" t="n">
        <f aca="false">K2369-L2369</f>
        <v>46.7</v>
      </c>
      <c r="N2369" s="17" t="n">
        <f aca="false">IFERROR(M2369/K2369,0)</f>
        <v>0.629380053908356</v>
      </c>
    </row>
    <row r="2370" customFormat="false" ht="15" hidden="false" customHeight="false" outlineLevel="0" collapsed="false">
      <c r="A2370" s="15" t="n">
        <v>46121</v>
      </c>
      <c r="B2370" s="14" t="s">
        <v>50</v>
      </c>
      <c r="C2370" s="14" t="s">
        <v>51</v>
      </c>
      <c r="D2370" s="14" t="s">
        <v>52</v>
      </c>
      <c r="E2370" s="14" t="s">
        <v>76</v>
      </c>
      <c r="F2370" s="14" t="s">
        <v>79</v>
      </c>
      <c r="G2370" s="14" t="s">
        <v>80</v>
      </c>
      <c r="H2370" s="0" t="n">
        <v>7</v>
      </c>
      <c r="I2370" s="16" t="n">
        <v>28.94</v>
      </c>
      <c r="J2370" s="16" t="n">
        <v>11</v>
      </c>
      <c r="K2370" s="16" t="n">
        <f aca="false">H2370*I2370</f>
        <v>202.58</v>
      </c>
      <c r="L2370" s="16" t="n">
        <f aca="false">H2370*J2370</f>
        <v>77</v>
      </c>
      <c r="M2370" s="16" t="n">
        <f aca="false">K2370-L2370</f>
        <v>125.58</v>
      </c>
      <c r="N2370" s="17" t="n">
        <f aca="false">IFERROR(M2370/K2370,0)</f>
        <v>0.619903248099516</v>
      </c>
    </row>
    <row r="2371" customFormat="false" ht="15" hidden="false" customHeight="false" outlineLevel="0" collapsed="false">
      <c r="A2371" s="15" t="n">
        <v>46121</v>
      </c>
      <c r="B2371" s="14" t="s">
        <v>50</v>
      </c>
      <c r="C2371" s="14" t="s">
        <v>51</v>
      </c>
      <c r="D2371" s="14" t="s">
        <v>52</v>
      </c>
      <c r="E2371" s="14" t="s">
        <v>53</v>
      </c>
      <c r="F2371" s="14" t="s">
        <v>54</v>
      </c>
      <c r="G2371" s="14" t="s">
        <v>55</v>
      </c>
      <c r="H2371" s="0" t="n">
        <v>3</v>
      </c>
      <c r="I2371" s="16" t="n">
        <v>50.93</v>
      </c>
      <c r="J2371" s="16" t="n">
        <v>22</v>
      </c>
      <c r="K2371" s="16" t="n">
        <f aca="false">H2371*I2371</f>
        <v>152.79</v>
      </c>
      <c r="L2371" s="16" t="n">
        <f aca="false">H2371*J2371</f>
        <v>66</v>
      </c>
      <c r="M2371" s="16" t="n">
        <f aca="false">K2371-L2371</f>
        <v>86.79</v>
      </c>
      <c r="N2371" s="17" t="n">
        <f aca="false">IFERROR(M2371/K2371,0)</f>
        <v>0.568034557235421</v>
      </c>
    </row>
    <row r="2372" customFormat="false" ht="15" hidden="false" customHeight="false" outlineLevel="0" collapsed="false">
      <c r="A2372" s="15" t="n">
        <v>46121</v>
      </c>
      <c r="B2372" s="14" t="s">
        <v>50</v>
      </c>
      <c r="C2372" s="14" t="s">
        <v>51</v>
      </c>
      <c r="D2372" s="14" t="s">
        <v>52</v>
      </c>
      <c r="E2372" s="14" t="s">
        <v>64</v>
      </c>
      <c r="F2372" s="14" t="s">
        <v>65</v>
      </c>
      <c r="G2372" s="14" t="s">
        <v>66</v>
      </c>
      <c r="H2372" s="0" t="n">
        <v>4</v>
      </c>
      <c r="I2372" s="16" t="n">
        <v>72.76</v>
      </c>
      <c r="J2372" s="16" t="n">
        <v>34</v>
      </c>
      <c r="K2372" s="16" t="n">
        <f aca="false">H2372*I2372</f>
        <v>291.04</v>
      </c>
      <c r="L2372" s="16" t="n">
        <f aca="false">H2372*J2372</f>
        <v>136</v>
      </c>
      <c r="M2372" s="16" t="n">
        <f aca="false">K2372-L2372</f>
        <v>155.04</v>
      </c>
      <c r="N2372" s="17" t="n">
        <f aca="false">IFERROR(M2372/K2372,0)</f>
        <v>0.532710280373832</v>
      </c>
    </row>
    <row r="2373" customFormat="false" ht="15" hidden="false" customHeight="false" outlineLevel="0" collapsed="false">
      <c r="A2373" s="15" t="n">
        <v>46121</v>
      </c>
      <c r="B2373" s="14" t="s">
        <v>59</v>
      </c>
      <c r="C2373" s="14" t="s">
        <v>60</v>
      </c>
      <c r="D2373" s="14" t="s">
        <v>61</v>
      </c>
      <c r="E2373" s="14" t="s">
        <v>64</v>
      </c>
      <c r="F2373" s="14" t="s">
        <v>90</v>
      </c>
      <c r="G2373" s="14" t="s">
        <v>91</v>
      </c>
      <c r="H2373" s="0" t="n">
        <v>3</v>
      </c>
      <c r="I2373" s="16" t="n">
        <v>11.51</v>
      </c>
      <c r="J2373" s="16" t="n">
        <v>3.5</v>
      </c>
      <c r="K2373" s="16" t="n">
        <f aca="false">H2373*I2373</f>
        <v>34.53</v>
      </c>
      <c r="L2373" s="16" t="n">
        <f aca="false">H2373*J2373</f>
        <v>10.5</v>
      </c>
      <c r="M2373" s="16" t="n">
        <f aca="false">K2373-L2373</f>
        <v>24.03</v>
      </c>
      <c r="N2373" s="17" t="n">
        <f aca="false">IFERROR(M2373/K2373,0)</f>
        <v>0.695916594265856</v>
      </c>
    </row>
    <row r="2374" customFormat="false" ht="15" hidden="false" customHeight="false" outlineLevel="0" collapsed="false">
      <c r="A2374" s="15" t="n">
        <v>46121</v>
      </c>
      <c r="B2374" s="14" t="s">
        <v>59</v>
      </c>
      <c r="C2374" s="14" t="s">
        <v>60</v>
      </c>
      <c r="D2374" s="14" t="s">
        <v>61</v>
      </c>
      <c r="E2374" s="14" t="s">
        <v>76</v>
      </c>
      <c r="F2374" s="14" t="s">
        <v>77</v>
      </c>
      <c r="G2374" s="14" t="s">
        <v>78</v>
      </c>
      <c r="H2374" s="0" t="n">
        <v>5</v>
      </c>
      <c r="I2374" s="16" t="n">
        <v>41.2</v>
      </c>
      <c r="J2374" s="16" t="n">
        <v>15</v>
      </c>
      <c r="K2374" s="16" t="n">
        <f aca="false">H2374*I2374</f>
        <v>206</v>
      </c>
      <c r="L2374" s="16" t="n">
        <f aca="false">H2374*J2374</f>
        <v>75</v>
      </c>
      <c r="M2374" s="16" t="n">
        <f aca="false">K2374-L2374</f>
        <v>131</v>
      </c>
      <c r="N2374" s="17" t="n">
        <f aca="false">IFERROR(M2374/K2374,0)</f>
        <v>0.635922330097087</v>
      </c>
    </row>
    <row r="2375" customFormat="false" ht="15" hidden="false" customHeight="false" outlineLevel="0" collapsed="false">
      <c r="A2375" s="15" t="n">
        <v>46121</v>
      </c>
      <c r="B2375" s="14" t="s">
        <v>59</v>
      </c>
      <c r="C2375" s="14" t="s">
        <v>60</v>
      </c>
      <c r="D2375" s="14" t="s">
        <v>61</v>
      </c>
      <c r="E2375" s="14" t="s">
        <v>76</v>
      </c>
      <c r="F2375" s="14" t="s">
        <v>100</v>
      </c>
      <c r="G2375" s="14" t="s">
        <v>101</v>
      </c>
      <c r="H2375" s="0" t="n">
        <v>3</v>
      </c>
      <c r="I2375" s="16" t="n">
        <v>15.81</v>
      </c>
      <c r="J2375" s="16" t="n">
        <v>5.5</v>
      </c>
      <c r="K2375" s="16" t="n">
        <f aca="false">H2375*I2375</f>
        <v>47.43</v>
      </c>
      <c r="L2375" s="16" t="n">
        <f aca="false">H2375*J2375</f>
        <v>16.5</v>
      </c>
      <c r="M2375" s="16" t="n">
        <f aca="false">K2375-L2375</f>
        <v>30.93</v>
      </c>
      <c r="N2375" s="17" t="n">
        <f aca="false">IFERROR(M2375/K2375,0)</f>
        <v>0.652118912080961</v>
      </c>
    </row>
    <row r="2376" customFormat="false" ht="15" hidden="false" customHeight="false" outlineLevel="0" collapsed="false">
      <c r="A2376" s="15" t="n">
        <v>46121</v>
      </c>
      <c r="B2376" s="14" t="s">
        <v>69</v>
      </c>
      <c r="C2376" s="14" t="s">
        <v>70</v>
      </c>
      <c r="D2376" s="14" t="s">
        <v>71</v>
      </c>
      <c r="E2376" s="14" t="s">
        <v>53</v>
      </c>
      <c r="F2376" s="14" t="s">
        <v>54</v>
      </c>
      <c r="G2376" s="14" t="s">
        <v>55</v>
      </c>
      <c r="H2376" s="0" t="n">
        <v>6</v>
      </c>
      <c r="I2376" s="16" t="n">
        <v>52.3</v>
      </c>
      <c r="J2376" s="16" t="n">
        <v>22</v>
      </c>
      <c r="K2376" s="16" t="n">
        <f aca="false">H2376*I2376</f>
        <v>313.8</v>
      </c>
      <c r="L2376" s="16" t="n">
        <f aca="false">H2376*J2376</f>
        <v>132</v>
      </c>
      <c r="M2376" s="16" t="n">
        <f aca="false">K2376-L2376</f>
        <v>181.8</v>
      </c>
      <c r="N2376" s="17" t="n">
        <f aca="false">IFERROR(M2376/K2376,0)</f>
        <v>0.579349904397706</v>
      </c>
    </row>
    <row r="2377" customFormat="false" ht="15" hidden="false" customHeight="false" outlineLevel="0" collapsed="false">
      <c r="A2377" s="15" t="n">
        <v>46121</v>
      </c>
      <c r="B2377" s="14" t="s">
        <v>69</v>
      </c>
      <c r="C2377" s="14" t="s">
        <v>70</v>
      </c>
      <c r="D2377" s="14" t="s">
        <v>71</v>
      </c>
      <c r="E2377" s="14" t="s">
        <v>64</v>
      </c>
      <c r="F2377" s="14" t="s">
        <v>96</v>
      </c>
      <c r="G2377" s="14" t="s">
        <v>97</v>
      </c>
      <c r="H2377" s="0" t="n">
        <v>6</v>
      </c>
      <c r="I2377" s="16" t="n">
        <v>55.17</v>
      </c>
      <c r="J2377" s="16" t="n">
        <v>24</v>
      </c>
      <c r="K2377" s="16" t="n">
        <f aca="false">H2377*I2377</f>
        <v>331.02</v>
      </c>
      <c r="L2377" s="16" t="n">
        <f aca="false">H2377*J2377</f>
        <v>144</v>
      </c>
      <c r="M2377" s="16" t="n">
        <f aca="false">K2377-L2377</f>
        <v>187.02</v>
      </c>
      <c r="N2377" s="17" t="n">
        <f aca="false">IFERROR(M2377/K2377,0)</f>
        <v>0.564980967917346</v>
      </c>
    </row>
    <row r="2378" customFormat="false" ht="15" hidden="false" customHeight="false" outlineLevel="0" collapsed="false">
      <c r="A2378" s="15" t="n">
        <v>46121</v>
      </c>
      <c r="B2378" s="14" t="s">
        <v>81</v>
      </c>
      <c r="C2378" s="14" t="s">
        <v>82</v>
      </c>
      <c r="D2378" s="14" t="s">
        <v>83</v>
      </c>
      <c r="E2378" s="14" t="s">
        <v>64</v>
      </c>
      <c r="F2378" s="14" t="s">
        <v>96</v>
      </c>
      <c r="G2378" s="14" t="s">
        <v>97</v>
      </c>
      <c r="H2378" s="0" t="n">
        <v>4</v>
      </c>
      <c r="I2378" s="16" t="n">
        <v>58.77</v>
      </c>
      <c r="J2378" s="16" t="n">
        <v>24</v>
      </c>
      <c r="K2378" s="16" t="n">
        <f aca="false">H2378*I2378</f>
        <v>235.08</v>
      </c>
      <c r="L2378" s="16" t="n">
        <f aca="false">H2378*J2378</f>
        <v>96</v>
      </c>
      <c r="M2378" s="16" t="n">
        <f aca="false">K2378-L2378</f>
        <v>139.08</v>
      </c>
      <c r="N2378" s="17" t="n">
        <f aca="false">IFERROR(M2378/K2378,0)</f>
        <v>0.591628381827463</v>
      </c>
    </row>
    <row r="2379" customFormat="false" ht="15" hidden="false" customHeight="false" outlineLevel="0" collapsed="false">
      <c r="A2379" s="15" t="n">
        <v>46121</v>
      </c>
      <c r="B2379" s="14" t="s">
        <v>81</v>
      </c>
      <c r="C2379" s="14" t="s">
        <v>82</v>
      </c>
      <c r="D2379" s="14" t="s">
        <v>83</v>
      </c>
      <c r="E2379" s="14" t="s">
        <v>56</v>
      </c>
      <c r="F2379" s="14" t="s">
        <v>98</v>
      </c>
      <c r="G2379" s="14" t="s">
        <v>99</v>
      </c>
      <c r="H2379" s="0" t="n">
        <v>2</v>
      </c>
      <c r="I2379" s="16" t="n">
        <v>21.05</v>
      </c>
      <c r="J2379" s="16" t="n">
        <v>8</v>
      </c>
      <c r="K2379" s="16" t="n">
        <f aca="false">H2379*I2379</f>
        <v>42.1</v>
      </c>
      <c r="L2379" s="16" t="n">
        <f aca="false">H2379*J2379</f>
        <v>16</v>
      </c>
      <c r="M2379" s="16" t="n">
        <f aca="false">K2379-L2379</f>
        <v>26.1</v>
      </c>
      <c r="N2379" s="17" t="n">
        <f aca="false">IFERROR(M2379/K2379,0)</f>
        <v>0.619952494061758</v>
      </c>
    </row>
    <row r="2380" customFormat="false" ht="15" hidden="false" customHeight="false" outlineLevel="0" collapsed="false">
      <c r="A2380" s="15" t="n">
        <v>46121</v>
      </c>
      <c r="B2380" s="14" t="s">
        <v>81</v>
      </c>
      <c r="C2380" s="14" t="s">
        <v>82</v>
      </c>
      <c r="D2380" s="14" t="s">
        <v>83</v>
      </c>
      <c r="E2380" s="14" t="s">
        <v>45</v>
      </c>
      <c r="F2380" s="14" t="s">
        <v>48</v>
      </c>
      <c r="G2380" s="14" t="s">
        <v>49</v>
      </c>
      <c r="H2380" s="0" t="n">
        <v>4</v>
      </c>
      <c r="I2380" s="16" t="n">
        <v>62.65</v>
      </c>
      <c r="J2380" s="16" t="n">
        <v>27.5</v>
      </c>
      <c r="K2380" s="16" t="n">
        <f aca="false">H2380*I2380</f>
        <v>250.6</v>
      </c>
      <c r="L2380" s="16" t="n">
        <f aca="false">H2380*J2380</f>
        <v>110</v>
      </c>
      <c r="M2380" s="16" t="n">
        <f aca="false">K2380-L2380</f>
        <v>140.6</v>
      </c>
      <c r="N2380" s="17" t="n">
        <f aca="false">IFERROR(M2380/K2380,0)</f>
        <v>0.561053471667997</v>
      </c>
    </row>
    <row r="2381" customFormat="false" ht="15" hidden="false" customHeight="false" outlineLevel="0" collapsed="false">
      <c r="A2381" s="15" t="n">
        <v>46121</v>
      </c>
      <c r="B2381" s="14" t="s">
        <v>81</v>
      </c>
      <c r="C2381" s="14" t="s">
        <v>82</v>
      </c>
      <c r="D2381" s="14" t="s">
        <v>83</v>
      </c>
      <c r="E2381" s="14" t="s">
        <v>64</v>
      </c>
      <c r="F2381" s="14" t="s">
        <v>96</v>
      </c>
      <c r="G2381" s="14" t="s">
        <v>97</v>
      </c>
      <c r="H2381" s="0" t="n">
        <v>4</v>
      </c>
      <c r="I2381" s="16" t="n">
        <v>54.41</v>
      </c>
      <c r="J2381" s="16" t="n">
        <v>24</v>
      </c>
      <c r="K2381" s="16" t="n">
        <f aca="false">H2381*I2381</f>
        <v>217.64</v>
      </c>
      <c r="L2381" s="16" t="n">
        <f aca="false">H2381*J2381</f>
        <v>96</v>
      </c>
      <c r="M2381" s="16" t="n">
        <f aca="false">K2381-L2381</f>
        <v>121.64</v>
      </c>
      <c r="N2381" s="17" t="n">
        <f aca="false">IFERROR(M2381/K2381,0)</f>
        <v>0.558904613122588</v>
      </c>
    </row>
    <row r="2382" customFormat="false" ht="15" hidden="false" customHeight="false" outlineLevel="0" collapsed="false">
      <c r="A2382" s="15" t="n">
        <v>46121</v>
      </c>
      <c r="B2382" s="14" t="s">
        <v>88</v>
      </c>
      <c r="C2382" s="14" t="s">
        <v>89</v>
      </c>
      <c r="D2382" s="14" t="s">
        <v>44</v>
      </c>
      <c r="E2382" s="14" t="s">
        <v>64</v>
      </c>
      <c r="F2382" s="14" t="s">
        <v>94</v>
      </c>
      <c r="G2382" s="14" t="s">
        <v>95</v>
      </c>
      <c r="H2382" s="0" t="n">
        <v>5</v>
      </c>
      <c r="I2382" s="16" t="n">
        <v>92.02</v>
      </c>
      <c r="J2382" s="16" t="n">
        <v>42</v>
      </c>
      <c r="K2382" s="16" t="n">
        <f aca="false">H2382*I2382</f>
        <v>460.1</v>
      </c>
      <c r="L2382" s="16" t="n">
        <f aca="false">H2382*J2382</f>
        <v>210</v>
      </c>
      <c r="M2382" s="16" t="n">
        <f aca="false">K2382-L2382</f>
        <v>250.1</v>
      </c>
      <c r="N2382" s="17" t="n">
        <f aca="false">IFERROR(M2382/K2382,0)</f>
        <v>0.543577483155836</v>
      </c>
    </row>
    <row r="2383" customFormat="false" ht="15" hidden="false" customHeight="false" outlineLevel="0" collapsed="false">
      <c r="A2383" s="15" t="n">
        <v>46121</v>
      </c>
      <c r="B2383" s="14" t="s">
        <v>88</v>
      </c>
      <c r="C2383" s="14" t="s">
        <v>89</v>
      </c>
      <c r="D2383" s="14" t="s">
        <v>44</v>
      </c>
      <c r="E2383" s="14" t="s">
        <v>56</v>
      </c>
      <c r="F2383" s="14" t="s">
        <v>98</v>
      </c>
      <c r="G2383" s="14" t="s">
        <v>99</v>
      </c>
      <c r="H2383" s="0" t="n">
        <v>7</v>
      </c>
      <c r="I2383" s="16" t="n">
        <v>21</v>
      </c>
      <c r="J2383" s="16" t="n">
        <v>8</v>
      </c>
      <c r="K2383" s="16" t="n">
        <f aca="false">H2383*I2383</f>
        <v>147</v>
      </c>
      <c r="L2383" s="16" t="n">
        <f aca="false">H2383*J2383</f>
        <v>56</v>
      </c>
      <c r="M2383" s="16" t="n">
        <f aca="false">K2383-L2383</f>
        <v>91</v>
      </c>
      <c r="N2383" s="17" t="n">
        <f aca="false">IFERROR(M2383/K2383,0)</f>
        <v>0.619047619047619</v>
      </c>
    </row>
    <row r="2384" customFormat="false" ht="15" hidden="false" customHeight="false" outlineLevel="0" collapsed="false">
      <c r="A2384" s="15" t="n">
        <v>46121</v>
      </c>
      <c r="B2384" s="14" t="s">
        <v>88</v>
      </c>
      <c r="C2384" s="14" t="s">
        <v>89</v>
      </c>
      <c r="D2384" s="14" t="s">
        <v>44</v>
      </c>
      <c r="E2384" s="14" t="s">
        <v>53</v>
      </c>
      <c r="F2384" s="14" t="s">
        <v>84</v>
      </c>
      <c r="G2384" s="14" t="s">
        <v>85</v>
      </c>
      <c r="H2384" s="0" t="n">
        <v>8</v>
      </c>
      <c r="I2384" s="16" t="n">
        <v>24.02</v>
      </c>
      <c r="J2384" s="16" t="n">
        <v>9</v>
      </c>
      <c r="K2384" s="16" t="n">
        <f aca="false">H2384*I2384</f>
        <v>192.16</v>
      </c>
      <c r="L2384" s="16" t="n">
        <f aca="false">H2384*J2384</f>
        <v>72</v>
      </c>
      <c r="M2384" s="16" t="n">
        <f aca="false">K2384-L2384</f>
        <v>120.16</v>
      </c>
      <c r="N2384" s="17" t="n">
        <f aca="false">IFERROR(M2384/K2384,0)</f>
        <v>0.625312239800167</v>
      </c>
    </row>
    <row r="2385" customFormat="false" ht="15" hidden="false" customHeight="false" outlineLevel="0" collapsed="false">
      <c r="A2385" s="15" t="n">
        <v>46121</v>
      </c>
      <c r="B2385" s="14" t="s">
        <v>88</v>
      </c>
      <c r="C2385" s="14" t="s">
        <v>89</v>
      </c>
      <c r="D2385" s="14" t="s">
        <v>44</v>
      </c>
      <c r="E2385" s="14" t="s">
        <v>45</v>
      </c>
      <c r="F2385" s="14" t="s">
        <v>72</v>
      </c>
      <c r="G2385" s="14" t="s">
        <v>73</v>
      </c>
      <c r="H2385" s="0" t="n">
        <v>6</v>
      </c>
      <c r="I2385" s="16" t="n">
        <v>49.38</v>
      </c>
      <c r="J2385" s="16" t="n">
        <v>21</v>
      </c>
      <c r="K2385" s="16" t="n">
        <f aca="false">H2385*I2385</f>
        <v>296.28</v>
      </c>
      <c r="L2385" s="16" t="n">
        <f aca="false">H2385*J2385</f>
        <v>126</v>
      </c>
      <c r="M2385" s="16" t="n">
        <f aca="false">K2385-L2385</f>
        <v>170.28</v>
      </c>
      <c r="N2385" s="17" t="n">
        <f aca="false">IFERROR(M2385/K2385,0)</f>
        <v>0.574726609963548</v>
      </c>
    </row>
    <row r="2386" customFormat="false" ht="15" hidden="false" customHeight="false" outlineLevel="0" collapsed="false">
      <c r="A2386" s="15" t="n">
        <v>46121</v>
      </c>
      <c r="B2386" s="14" t="s">
        <v>88</v>
      </c>
      <c r="C2386" s="14" t="s">
        <v>89</v>
      </c>
      <c r="D2386" s="14" t="s">
        <v>44</v>
      </c>
      <c r="E2386" s="14" t="s">
        <v>45</v>
      </c>
      <c r="F2386" s="14" t="s">
        <v>72</v>
      </c>
      <c r="G2386" s="14" t="s">
        <v>73</v>
      </c>
      <c r="H2386" s="0" t="n">
        <v>9</v>
      </c>
      <c r="I2386" s="16" t="n">
        <v>48.65</v>
      </c>
      <c r="J2386" s="16" t="n">
        <v>21</v>
      </c>
      <c r="K2386" s="16" t="n">
        <f aca="false">H2386*I2386</f>
        <v>437.85</v>
      </c>
      <c r="L2386" s="16" t="n">
        <f aca="false">H2386*J2386</f>
        <v>189</v>
      </c>
      <c r="M2386" s="16" t="n">
        <f aca="false">K2386-L2386</f>
        <v>248.85</v>
      </c>
      <c r="N2386" s="17" t="n">
        <f aca="false">IFERROR(M2386/K2386,0)</f>
        <v>0.568345323741007</v>
      </c>
    </row>
    <row r="2387" customFormat="false" ht="15" hidden="false" customHeight="false" outlineLevel="0" collapsed="false">
      <c r="A2387" s="15" t="n">
        <v>46121</v>
      </c>
      <c r="B2387" s="14" t="s">
        <v>88</v>
      </c>
      <c r="C2387" s="14" t="s">
        <v>89</v>
      </c>
      <c r="D2387" s="14" t="s">
        <v>44</v>
      </c>
      <c r="E2387" s="14" t="s">
        <v>53</v>
      </c>
      <c r="F2387" s="14" t="s">
        <v>84</v>
      </c>
      <c r="G2387" s="14" t="s">
        <v>85</v>
      </c>
      <c r="H2387" s="0" t="n">
        <v>4</v>
      </c>
      <c r="I2387" s="16" t="n">
        <v>24.19</v>
      </c>
      <c r="J2387" s="16" t="n">
        <v>9</v>
      </c>
      <c r="K2387" s="16" t="n">
        <f aca="false">H2387*I2387</f>
        <v>96.76</v>
      </c>
      <c r="L2387" s="16" t="n">
        <f aca="false">H2387*J2387</f>
        <v>36</v>
      </c>
      <c r="M2387" s="16" t="n">
        <f aca="false">K2387-L2387</f>
        <v>60.76</v>
      </c>
      <c r="N2387" s="17" t="n">
        <f aca="false">IFERROR(M2387/K2387,0)</f>
        <v>0.627945431996693</v>
      </c>
    </row>
    <row r="2388" customFormat="false" ht="15" hidden="false" customHeight="false" outlineLevel="0" collapsed="false">
      <c r="A2388" s="15" t="n">
        <v>46122</v>
      </c>
      <c r="B2388" s="14" t="s">
        <v>42</v>
      </c>
      <c r="C2388" s="14" t="s">
        <v>43</v>
      </c>
      <c r="D2388" s="14" t="s">
        <v>44</v>
      </c>
      <c r="E2388" s="14" t="s">
        <v>56</v>
      </c>
      <c r="F2388" s="14" t="s">
        <v>57</v>
      </c>
      <c r="G2388" s="14" t="s">
        <v>58</v>
      </c>
      <c r="H2388" s="0" t="n">
        <v>10</v>
      </c>
      <c r="I2388" s="16" t="n">
        <v>25.08</v>
      </c>
      <c r="J2388" s="16" t="n">
        <v>10</v>
      </c>
      <c r="K2388" s="16" t="n">
        <f aca="false">H2388*I2388</f>
        <v>250.8</v>
      </c>
      <c r="L2388" s="16" t="n">
        <f aca="false">H2388*J2388</f>
        <v>100</v>
      </c>
      <c r="M2388" s="16" t="n">
        <f aca="false">K2388-L2388</f>
        <v>150.8</v>
      </c>
      <c r="N2388" s="17" t="n">
        <f aca="false">IFERROR(M2388/K2388,0)</f>
        <v>0.601275917065391</v>
      </c>
    </row>
    <row r="2389" customFormat="false" ht="15" hidden="false" customHeight="false" outlineLevel="0" collapsed="false">
      <c r="A2389" s="15" t="n">
        <v>46122</v>
      </c>
      <c r="B2389" s="14" t="s">
        <v>42</v>
      </c>
      <c r="C2389" s="14" t="s">
        <v>43</v>
      </c>
      <c r="D2389" s="14" t="s">
        <v>44</v>
      </c>
      <c r="E2389" s="14" t="s">
        <v>45</v>
      </c>
      <c r="F2389" s="14" t="s">
        <v>62</v>
      </c>
      <c r="G2389" s="14" t="s">
        <v>63</v>
      </c>
      <c r="H2389" s="0" t="n">
        <v>3</v>
      </c>
      <c r="I2389" s="16" t="n">
        <v>16.88</v>
      </c>
      <c r="J2389" s="16" t="n">
        <v>6.5</v>
      </c>
      <c r="K2389" s="16" t="n">
        <f aca="false">H2389*I2389</f>
        <v>50.64</v>
      </c>
      <c r="L2389" s="16" t="n">
        <f aca="false">H2389*J2389</f>
        <v>19.5</v>
      </c>
      <c r="M2389" s="16" t="n">
        <f aca="false">K2389-L2389</f>
        <v>31.14</v>
      </c>
      <c r="N2389" s="17" t="n">
        <f aca="false">IFERROR(M2389/K2389,0)</f>
        <v>0.614928909952607</v>
      </c>
    </row>
    <row r="2390" customFormat="false" ht="15" hidden="false" customHeight="false" outlineLevel="0" collapsed="false">
      <c r="A2390" s="15" t="n">
        <v>46122</v>
      </c>
      <c r="B2390" s="14" t="s">
        <v>42</v>
      </c>
      <c r="C2390" s="14" t="s">
        <v>43</v>
      </c>
      <c r="D2390" s="14" t="s">
        <v>44</v>
      </c>
      <c r="E2390" s="14" t="s">
        <v>45</v>
      </c>
      <c r="F2390" s="14" t="s">
        <v>48</v>
      </c>
      <c r="G2390" s="14" t="s">
        <v>49</v>
      </c>
      <c r="H2390" s="0" t="n">
        <v>8</v>
      </c>
      <c r="I2390" s="16" t="n">
        <v>63.86</v>
      </c>
      <c r="J2390" s="16" t="n">
        <v>27.5</v>
      </c>
      <c r="K2390" s="16" t="n">
        <f aca="false">H2390*I2390</f>
        <v>510.88</v>
      </c>
      <c r="L2390" s="16" t="n">
        <f aca="false">H2390*J2390</f>
        <v>220</v>
      </c>
      <c r="M2390" s="16" t="n">
        <f aca="false">K2390-L2390</f>
        <v>290.88</v>
      </c>
      <c r="N2390" s="17" t="n">
        <f aca="false">IFERROR(M2390/K2390,0)</f>
        <v>0.569370497964297</v>
      </c>
    </row>
    <row r="2391" customFormat="false" ht="15" hidden="false" customHeight="false" outlineLevel="0" collapsed="false">
      <c r="A2391" s="15" t="n">
        <v>46122</v>
      </c>
      <c r="B2391" s="14" t="s">
        <v>42</v>
      </c>
      <c r="C2391" s="14" t="s">
        <v>43</v>
      </c>
      <c r="D2391" s="14" t="s">
        <v>44</v>
      </c>
      <c r="E2391" s="14" t="s">
        <v>56</v>
      </c>
      <c r="F2391" s="14" t="s">
        <v>98</v>
      </c>
      <c r="G2391" s="14" t="s">
        <v>99</v>
      </c>
      <c r="H2391" s="0" t="n">
        <v>7</v>
      </c>
      <c r="I2391" s="16" t="n">
        <v>20.64</v>
      </c>
      <c r="J2391" s="16" t="n">
        <v>8</v>
      </c>
      <c r="K2391" s="16" t="n">
        <f aca="false">H2391*I2391</f>
        <v>144.48</v>
      </c>
      <c r="L2391" s="16" t="n">
        <f aca="false">H2391*J2391</f>
        <v>56</v>
      </c>
      <c r="M2391" s="16" t="n">
        <f aca="false">K2391-L2391</f>
        <v>88.48</v>
      </c>
      <c r="N2391" s="17" t="n">
        <f aca="false">IFERROR(M2391/K2391,0)</f>
        <v>0.612403100775194</v>
      </c>
    </row>
    <row r="2392" customFormat="false" ht="15" hidden="false" customHeight="false" outlineLevel="0" collapsed="false">
      <c r="A2392" s="15" t="n">
        <v>46122</v>
      </c>
      <c r="B2392" s="14" t="s">
        <v>42</v>
      </c>
      <c r="C2392" s="14" t="s">
        <v>43</v>
      </c>
      <c r="D2392" s="14" t="s">
        <v>44</v>
      </c>
      <c r="E2392" s="14" t="s">
        <v>56</v>
      </c>
      <c r="F2392" s="14" t="s">
        <v>57</v>
      </c>
      <c r="G2392" s="14" t="s">
        <v>58</v>
      </c>
      <c r="H2392" s="0" t="n">
        <v>10</v>
      </c>
      <c r="I2392" s="16" t="n">
        <v>25.69</v>
      </c>
      <c r="J2392" s="16" t="n">
        <v>10</v>
      </c>
      <c r="K2392" s="16" t="n">
        <f aca="false">H2392*I2392</f>
        <v>256.9</v>
      </c>
      <c r="L2392" s="16" t="n">
        <f aca="false">H2392*J2392</f>
        <v>100</v>
      </c>
      <c r="M2392" s="16" t="n">
        <f aca="false">K2392-L2392</f>
        <v>156.9</v>
      </c>
      <c r="N2392" s="17" t="n">
        <f aca="false">IFERROR(M2392/K2392,0)</f>
        <v>0.610743479953289</v>
      </c>
    </row>
    <row r="2393" customFormat="false" ht="15" hidden="false" customHeight="false" outlineLevel="0" collapsed="false">
      <c r="A2393" s="15" t="n">
        <v>46122</v>
      </c>
      <c r="B2393" s="14" t="s">
        <v>42</v>
      </c>
      <c r="C2393" s="14" t="s">
        <v>43</v>
      </c>
      <c r="D2393" s="14" t="s">
        <v>44</v>
      </c>
      <c r="E2393" s="14" t="s">
        <v>53</v>
      </c>
      <c r="F2393" s="14" t="s">
        <v>92</v>
      </c>
      <c r="G2393" s="14" t="s">
        <v>93</v>
      </c>
      <c r="H2393" s="0" t="n">
        <v>12</v>
      </c>
      <c r="I2393" s="16" t="n">
        <v>112.37</v>
      </c>
      <c r="J2393" s="16" t="n">
        <v>52</v>
      </c>
      <c r="K2393" s="16" t="n">
        <f aca="false">H2393*I2393</f>
        <v>1348.44</v>
      </c>
      <c r="L2393" s="16" t="n">
        <f aca="false">H2393*J2393</f>
        <v>624</v>
      </c>
      <c r="M2393" s="16" t="n">
        <f aca="false">K2393-L2393</f>
        <v>724.44</v>
      </c>
      <c r="N2393" s="17" t="n">
        <f aca="false">IFERROR(M2393/K2393,0)</f>
        <v>0.537243036397615</v>
      </c>
    </row>
    <row r="2394" customFormat="false" ht="15" hidden="false" customHeight="false" outlineLevel="0" collapsed="false">
      <c r="A2394" s="15" t="n">
        <v>46122</v>
      </c>
      <c r="B2394" s="14" t="s">
        <v>50</v>
      </c>
      <c r="C2394" s="14" t="s">
        <v>51</v>
      </c>
      <c r="D2394" s="14" t="s">
        <v>52</v>
      </c>
      <c r="E2394" s="14" t="s">
        <v>76</v>
      </c>
      <c r="F2394" s="14" t="s">
        <v>102</v>
      </c>
      <c r="G2394" s="14" t="s">
        <v>103</v>
      </c>
      <c r="H2394" s="0" t="n">
        <v>6</v>
      </c>
      <c r="I2394" s="16" t="n">
        <v>23.49</v>
      </c>
      <c r="J2394" s="16" t="n">
        <v>8.5</v>
      </c>
      <c r="K2394" s="16" t="n">
        <f aca="false">H2394*I2394</f>
        <v>140.94</v>
      </c>
      <c r="L2394" s="16" t="n">
        <f aca="false">H2394*J2394</f>
        <v>51</v>
      </c>
      <c r="M2394" s="16" t="n">
        <f aca="false">K2394-L2394</f>
        <v>89.94</v>
      </c>
      <c r="N2394" s="17" t="n">
        <f aca="false">IFERROR(M2394/K2394,0)</f>
        <v>0.638143891017454</v>
      </c>
    </row>
    <row r="2395" customFormat="false" ht="15" hidden="false" customHeight="false" outlineLevel="0" collapsed="false">
      <c r="A2395" s="15" t="n">
        <v>46122</v>
      </c>
      <c r="B2395" s="14" t="s">
        <v>50</v>
      </c>
      <c r="C2395" s="14" t="s">
        <v>51</v>
      </c>
      <c r="D2395" s="14" t="s">
        <v>52</v>
      </c>
      <c r="E2395" s="14" t="s">
        <v>45</v>
      </c>
      <c r="F2395" s="14" t="s">
        <v>62</v>
      </c>
      <c r="G2395" s="14" t="s">
        <v>63</v>
      </c>
      <c r="H2395" s="0" t="n">
        <v>11</v>
      </c>
      <c r="I2395" s="16" t="n">
        <v>17.62</v>
      </c>
      <c r="J2395" s="16" t="n">
        <v>6.5</v>
      </c>
      <c r="K2395" s="16" t="n">
        <f aca="false">H2395*I2395</f>
        <v>193.82</v>
      </c>
      <c r="L2395" s="16" t="n">
        <f aca="false">H2395*J2395</f>
        <v>71.5</v>
      </c>
      <c r="M2395" s="16" t="n">
        <f aca="false">K2395-L2395</f>
        <v>122.32</v>
      </c>
      <c r="N2395" s="17" t="n">
        <f aca="false">IFERROR(M2395/K2395,0)</f>
        <v>0.631101021566402</v>
      </c>
    </row>
    <row r="2396" customFormat="false" ht="15" hidden="false" customHeight="false" outlineLevel="0" collapsed="false">
      <c r="A2396" s="15" t="n">
        <v>46122</v>
      </c>
      <c r="B2396" s="14" t="s">
        <v>50</v>
      </c>
      <c r="C2396" s="14" t="s">
        <v>51</v>
      </c>
      <c r="D2396" s="14" t="s">
        <v>52</v>
      </c>
      <c r="E2396" s="14" t="s">
        <v>53</v>
      </c>
      <c r="F2396" s="14" t="s">
        <v>54</v>
      </c>
      <c r="G2396" s="14" t="s">
        <v>55</v>
      </c>
      <c r="H2396" s="0" t="n">
        <v>8</v>
      </c>
      <c r="I2396" s="16" t="n">
        <v>53.6</v>
      </c>
      <c r="J2396" s="16" t="n">
        <v>22</v>
      </c>
      <c r="K2396" s="16" t="n">
        <f aca="false">H2396*I2396</f>
        <v>428.8</v>
      </c>
      <c r="L2396" s="16" t="n">
        <f aca="false">H2396*J2396</f>
        <v>176</v>
      </c>
      <c r="M2396" s="16" t="n">
        <f aca="false">K2396-L2396</f>
        <v>252.8</v>
      </c>
      <c r="N2396" s="17" t="n">
        <f aca="false">IFERROR(M2396/K2396,0)</f>
        <v>0.58955223880597</v>
      </c>
    </row>
    <row r="2397" customFormat="false" ht="15" hidden="false" customHeight="false" outlineLevel="0" collapsed="false">
      <c r="A2397" s="15" t="n">
        <v>46122</v>
      </c>
      <c r="B2397" s="14" t="s">
        <v>59</v>
      </c>
      <c r="C2397" s="14" t="s">
        <v>60</v>
      </c>
      <c r="D2397" s="14" t="s">
        <v>61</v>
      </c>
      <c r="E2397" s="14" t="s">
        <v>53</v>
      </c>
      <c r="F2397" s="14" t="s">
        <v>92</v>
      </c>
      <c r="G2397" s="14" t="s">
        <v>93</v>
      </c>
      <c r="H2397" s="0" t="n">
        <v>8</v>
      </c>
      <c r="I2397" s="16" t="n">
        <v>111.76</v>
      </c>
      <c r="J2397" s="16" t="n">
        <v>52</v>
      </c>
      <c r="K2397" s="16" t="n">
        <f aca="false">H2397*I2397</f>
        <v>894.08</v>
      </c>
      <c r="L2397" s="16" t="n">
        <f aca="false">H2397*J2397</f>
        <v>416</v>
      </c>
      <c r="M2397" s="16" t="n">
        <f aca="false">K2397-L2397</f>
        <v>478.08</v>
      </c>
      <c r="N2397" s="17" t="n">
        <f aca="false">IFERROR(M2397/K2397,0)</f>
        <v>0.534717251252684</v>
      </c>
    </row>
    <row r="2398" customFormat="false" ht="15" hidden="false" customHeight="false" outlineLevel="0" collapsed="false">
      <c r="A2398" s="15" t="n">
        <v>46122</v>
      </c>
      <c r="B2398" s="14" t="s">
        <v>59</v>
      </c>
      <c r="C2398" s="14" t="s">
        <v>60</v>
      </c>
      <c r="D2398" s="14" t="s">
        <v>61</v>
      </c>
      <c r="E2398" s="14" t="s">
        <v>45</v>
      </c>
      <c r="F2398" s="14" t="s">
        <v>72</v>
      </c>
      <c r="G2398" s="14" t="s">
        <v>73</v>
      </c>
      <c r="H2398" s="0" t="n">
        <v>8</v>
      </c>
      <c r="I2398" s="16" t="n">
        <v>49.23</v>
      </c>
      <c r="J2398" s="16" t="n">
        <v>21</v>
      </c>
      <c r="K2398" s="16" t="n">
        <f aca="false">H2398*I2398</f>
        <v>393.84</v>
      </c>
      <c r="L2398" s="16" t="n">
        <f aca="false">H2398*J2398</f>
        <v>168</v>
      </c>
      <c r="M2398" s="16" t="n">
        <f aca="false">K2398-L2398</f>
        <v>225.84</v>
      </c>
      <c r="N2398" s="17" t="n">
        <f aca="false">IFERROR(M2398/K2398,0)</f>
        <v>0.573430834856795</v>
      </c>
    </row>
    <row r="2399" customFormat="false" ht="15" hidden="false" customHeight="false" outlineLevel="0" collapsed="false">
      <c r="A2399" s="15" t="n">
        <v>46122</v>
      </c>
      <c r="B2399" s="14" t="s">
        <v>59</v>
      </c>
      <c r="C2399" s="14" t="s">
        <v>60</v>
      </c>
      <c r="D2399" s="14" t="s">
        <v>61</v>
      </c>
      <c r="E2399" s="14" t="s">
        <v>53</v>
      </c>
      <c r="F2399" s="14" t="s">
        <v>92</v>
      </c>
      <c r="G2399" s="14" t="s">
        <v>93</v>
      </c>
      <c r="H2399" s="0" t="n">
        <v>2</v>
      </c>
      <c r="I2399" s="16" t="n">
        <v>112.04</v>
      </c>
      <c r="J2399" s="16" t="n">
        <v>52</v>
      </c>
      <c r="K2399" s="16" t="n">
        <f aca="false">H2399*I2399</f>
        <v>224.08</v>
      </c>
      <c r="L2399" s="16" t="n">
        <f aca="false">H2399*J2399</f>
        <v>104</v>
      </c>
      <c r="M2399" s="16" t="n">
        <f aca="false">K2399-L2399</f>
        <v>120.08</v>
      </c>
      <c r="N2399" s="17" t="n">
        <f aca="false">IFERROR(M2399/K2399,0)</f>
        <v>0.535880042841842</v>
      </c>
    </row>
    <row r="2400" customFormat="false" ht="15" hidden="false" customHeight="false" outlineLevel="0" collapsed="false">
      <c r="A2400" s="15" t="n">
        <v>46122</v>
      </c>
      <c r="B2400" s="14" t="s">
        <v>69</v>
      </c>
      <c r="C2400" s="14" t="s">
        <v>70</v>
      </c>
      <c r="D2400" s="14" t="s">
        <v>71</v>
      </c>
      <c r="E2400" s="14" t="s">
        <v>56</v>
      </c>
      <c r="F2400" s="14" t="s">
        <v>67</v>
      </c>
      <c r="G2400" s="14" t="s">
        <v>68</v>
      </c>
      <c r="H2400" s="0" t="n">
        <v>7</v>
      </c>
      <c r="I2400" s="16" t="n">
        <v>36.73</v>
      </c>
      <c r="J2400" s="16" t="n">
        <v>15</v>
      </c>
      <c r="K2400" s="16" t="n">
        <f aca="false">H2400*I2400</f>
        <v>257.11</v>
      </c>
      <c r="L2400" s="16" t="n">
        <f aca="false">H2400*J2400</f>
        <v>105</v>
      </c>
      <c r="M2400" s="16" t="n">
        <f aca="false">K2400-L2400</f>
        <v>152.11</v>
      </c>
      <c r="N2400" s="17" t="n">
        <f aca="false">IFERROR(M2400/K2400,0)</f>
        <v>0.591614484072965</v>
      </c>
    </row>
    <row r="2401" customFormat="false" ht="15" hidden="false" customHeight="false" outlineLevel="0" collapsed="false">
      <c r="A2401" s="15" t="n">
        <v>46122</v>
      </c>
      <c r="B2401" s="14" t="s">
        <v>69</v>
      </c>
      <c r="C2401" s="14" t="s">
        <v>70</v>
      </c>
      <c r="D2401" s="14" t="s">
        <v>71</v>
      </c>
      <c r="E2401" s="14" t="s">
        <v>64</v>
      </c>
      <c r="F2401" s="14" t="s">
        <v>96</v>
      </c>
      <c r="G2401" s="14" t="s">
        <v>97</v>
      </c>
      <c r="H2401" s="0" t="n">
        <v>6</v>
      </c>
      <c r="I2401" s="16" t="n">
        <v>54.8</v>
      </c>
      <c r="J2401" s="16" t="n">
        <v>24</v>
      </c>
      <c r="K2401" s="16" t="n">
        <f aca="false">H2401*I2401</f>
        <v>328.8</v>
      </c>
      <c r="L2401" s="16" t="n">
        <f aca="false">H2401*J2401</f>
        <v>144</v>
      </c>
      <c r="M2401" s="16" t="n">
        <f aca="false">K2401-L2401</f>
        <v>184.8</v>
      </c>
      <c r="N2401" s="17" t="n">
        <f aca="false">IFERROR(M2401/K2401,0)</f>
        <v>0.562043795620438</v>
      </c>
    </row>
    <row r="2402" customFormat="false" ht="15" hidden="false" customHeight="false" outlineLevel="0" collapsed="false">
      <c r="A2402" s="15" t="n">
        <v>46122</v>
      </c>
      <c r="B2402" s="14" t="s">
        <v>81</v>
      </c>
      <c r="C2402" s="14" t="s">
        <v>82</v>
      </c>
      <c r="D2402" s="14" t="s">
        <v>83</v>
      </c>
      <c r="E2402" s="14" t="s">
        <v>56</v>
      </c>
      <c r="F2402" s="14" t="s">
        <v>67</v>
      </c>
      <c r="G2402" s="14" t="s">
        <v>68</v>
      </c>
      <c r="H2402" s="0" t="n">
        <v>3</v>
      </c>
      <c r="I2402" s="16" t="n">
        <v>36.56</v>
      </c>
      <c r="J2402" s="16" t="n">
        <v>15</v>
      </c>
      <c r="K2402" s="16" t="n">
        <f aca="false">H2402*I2402</f>
        <v>109.68</v>
      </c>
      <c r="L2402" s="16" t="n">
        <f aca="false">H2402*J2402</f>
        <v>45</v>
      </c>
      <c r="M2402" s="16" t="n">
        <f aca="false">K2402-L2402</f>
        <v>64.68</v>
      </c>
      <c r="N2402" s="17" t="n">
        <f aca="false">IFERROR(M2402/K2402,0)</f>
        <v>0.589715536105033</v>
      </c>
    </row>
    <row r="2403" customFormat="false" ht="15" hidden="false" customHeight="false" outlineLevel="0" collapsed="false">
      <c r="A2403" s="15" t="n">
        <v>46122</v>
      </c>
      <c r="B2403" s="14" t="s">
        <v>81</v>
      </c>
      <c r="C2403" s="14" t="s">
        <v>82</v>
      </c>
      <c r="D2403" s="14" t="s">
        <v>83</v>
      </c>
      <c r="E2403" s="14" t="s">
        <v>53</v>
      </c>
      <c r="F2403" s="14" t="s">
        <v>54</v>
      </c>
      <c r="G2403" s="14" t="s">
        <v>55</v>
      </c>
      <c r="H2403" s="0" t="n">
        <v>2</v>
      </c>
      <c r="I2403" s="16" t="n">
        <v>51.04</v>
      </c>
      <c r="J2403" s="16" t="n">
        <v>22</v>
      </c>
      <c r="K2403" s="16" t="n">
        <f aca="false">H2403*I2403</f>
        <v>102.08</v>
      </c>
      <c r="L2403" s="16" t="n">
        <f aca="false">H2403*J2403</f>
        <v>44</v>
      </c>
      <c r="M2403" s="16" t="n">
        <f aca="false">K2403-L2403</f>
        <v>58.08</v>
      </c>
      <c r="N2403" s="17" t="n">
        <f aca="false">IFERROR(M2403/K2403,0)</f>
        <v>0.568965517241379</v>
      </c>
    </row>
    <row r="2404" customFormat="false" ht="15" hidden="false" customHeight="false" outlineLevel="0" collapsed="false">
      <c r="A2404" s="15" t="n">
        <v>46122</v>
      </c>
      <c r="B2404" s="14" t="s">
        <v>88</v>
      </c>
      <c r="C2404" s="14" t="s">
        <v>89</v>
      </c>
      <c r="D2404" s="14" t="s">
        <v>44</v>
      </c>
      <c r="E2404" s="14" t="s">
        <v>64</v>
      </c>
      <c r="F2404" s="14" t="s">
        <v>90</v>
      </c>
      <c r="G2404" s="14" t="s">
        <v>91</v>
      </c>
      <c r="H2404" s="0" t="n">
        <v>6</v>
      </c>
      <c r="I2404" s="16" t="n">
        <v>11.99</v>
      </c>
      <c r="J2404" s="16" t="n">
        <v>3.5</v>
      </c>
      <c r="K2404" s="16" t="n">
        <f aca="false">H2404*I2404</f>
        <v>71.94</v>
      </c>
      <c r="L2404" s="16" t="n">
        <f aca="false">H2404*J2404</f>
        <v>21</v>
      </c>
      <c r="M2404" s="16" t="n">
        <f aca="false">K2404-L2404</f>
        <v>50.94</v>
      </c>
      <c r="N2404" s="17" t="n">
        <f aca="false">IFERROR(M2404/K2404,0)</f>
        <v>0.708090075062552</v>
      </c>
    </row>
    <row r="2405" customFormat="false" ht="15" hidden="false" customHeight="false" outlineLevel="0" collapsed="false">
      <c r="A2405" s="15" t="n">
        <v>46122</v>
      </c>
      <c r="B2405" s="14" t="s">
        <v>88</v>
      </c>
      <c r="C2405" s="14" t="s">
        <v>89</v>
      </c>
      <c r="D2405" s="14" t="s">
        <v>44</v>
      </c>
      <c r="E2405" s="14" t="s">
        <v>76</v>
      </c>
      <c r="F2405" s="14" t="s">
        <v>100</v>
      </c>
      <c r="G2405" s="14" t="s">
        <v>101</v>
      </c>
      <c r="H2405" s="0" t="n">
        <v>5</v>
      </c>
      <c r="I2405" s="16" t="n">
        <v>15.19</v>
      </c>
      <c r="J2405" s="16" t="n">
        <v>5.5</v>
      </c>
      <c r="K2405" s="16" t="n">
        <f aca="false">H2405*I2405</f>
        <v>75.95</v>
      </c>
      <c r="L2405" s="16" t="n">
        <f aca="false">H2405*J2405</f>
        <v>27.5</v>
      </c>
      <c r="M2405" s="16" t="n">
        <f aca="false">K2405-L2405</f>
        <v>48.45</v>
      </c>
      <c r="N2405" s="17" t="n">
        <f aca="false">IFERROR(M2405/K2405,0)</f>
        <v>0.637919684002633</v>
      </c>
    </row>
    <row r="2406" customFormat="false" ht="15" hidden="false" customHeight="false" outlineLevel="0" collapsed="false">
      <c r="A2406" s="15" t="n">
        <v>46122</v>
      </c>
      <c r="B2406" s="14" t="s">
        <v>88</v>
      </c>
      <c r="C2406" s="14" t="s">
        <v>89</v>
      </c>
      <c r="D2406" s="14" t="s">
        <v>44</v>
      </c>
      <c r="E2406" s="14" t="s">
        <v>45</v>
      </c>
      <c r="F2406" s="14" t="s">
        <v>46</v>
      </c>
      <c r="G2406" s="14" t="s">
        <v>47</v>
      </c>
      <c r="H2406" s="0" t="n">
        <v>6</v>
      </c>
      <c r="I2406" s="16" t="n">
        <v>43.96</v>
      </c>
      <c r="J2406" s="16" t="n">
        <v>18</v>
      </c>
      <c r="K2406" s="16" t="n">
        <f aca="false">H2406*I2406</f>
        <v>263.76</v>
      </c>
      <c r="L2406" s="16" t="n">
        <f aca="false">H2406*J2406</f>
        <v>108</v>
      </c>
      <c r="M2406" s="16" t="n">
        <f aca="false">K2406-L2406</f>
        <v>155.76</v>
      </c>
      <c r="N2406" s="17" t="n">
        <f aca="false">IFERROR(M2406/K2406,0)</f>
        <v>0.590536851683349</v>
      </c>
    </row>
    <row r="2407" customFormat="false" ht="15" hidden="false" customHeight="false" outlineLevel="0" collapsed="false">
      <c r="A2407" s="15" t="n">
        <v>46122</v>
      </c>
      <c r="B2407" s="14" t="s">
        <v>88</v>
      </c>
      <c r="C2407" s="14" t="s">
        <v>89</v>
      </c>
      <c r="D2407" s="14" t="s">
        <v>44</v>
      </c>
      <c r="E2407" s="14" t="s">
        <v>56</v>
      </c>
      <c r="F2407" s="14" t="s">
        <v>57</v>
      </c>
      <c r="G2407" s="14" t="s">
        <v>58</v>
      </c>
      <c r="H2407" s="0" t="n">
        <v>2</v>
      </c>
      <c r="I2407" s="16" t="n">
        <v>25.42</v>
      </c>
      <c r="J2407" s="16" t="n">
        <v>10</v>
      </c>
      <c r="K2407" s="16" t="n">
        <f aca="false">H2407*I2407</f>
        <v>50.84</v>
      </c>
      <c r="L2407" s="16" t="n">
        <f aca="false">H2407*J2407</f>
        <v>20</v>
      </c>
      <c r="M2407" s="16" t="n">
        <f aca="false">K2407-L2407</f>
        <v>30.84</v>
      </c>
      <c r="N2407" s="17" t="n">
        <f aca="false">IFERROR(M2407/K2407,0)</f>
        <v>0.6066089693155</v>
      </c>
    </row>
    <row r="2408" customFormat="false" ht="15" hidden="false" customHeight="false" outlineLevel="0" collapsed="false">
      <c r="A2408" s="15" t="n">
        <v>46123</v>
      </c>
      <c r="B2408" s="14" t="s">
        <v>42</v>
      </c>
      <c r="C2408" s="14" t="s">
        <v>43</v>
      </c>
      <c r="D2408" s="14" t="s">
        <v>44</v>
      </c>
      <c r="E2408" s="14" t="s">
        <v>45</v>
      </c>
      <c r="F2408" s="14" t="s">
        <v>62</v>
      </c>
      <c r="G2408" s="14" t="s">
        <v>63</v>
      </c>
      <c r="H2408" s="0" t="n">
        <v>14</v>
      </c>
      <c r="I2408" s="16" t="n">
        <v>17.79</v>
      </c>
      <c r="J2408" s="16" t="n">
        <v>6.5</v>
      </c>
      <c r="K2408" s="16" t="n">
        <f aca="false">H2408*I2408</f>
        <v>249.06</v>
      </c>
      <c r="L2408" s="16" t="n">
        <f aca="false">H2408*J2408</f>
        <v>91</v>
      </c>
      <c r="M2408" s="16" t="n">
        <f aca="false">K2408-L2408</f>
        <v>158.06</v>
      </c>
      <c r="N2408" s="17" t="n">
        <f aca="false">IFERROR(M2408/K2408,0)</f>
        <v>0.634626194491287</v>
      </c>
    </row>
    <row r="2409" customFormat="false" ht="15" hidden="false" customHeight="false" outlineLevel="0" collapsed="false">
      <c r="A2409" s="15" t="n">
        <v>46123</v>
      </c>
      <c r="B2409" s="14" t="s">
        <v>42</v>
      </c>
      <c r="C2409" s="14" t="s">
        <v>43</v>
      </c>
      <c r="D2409" s="14" t="s">
        <v>44</v>
      </c>
      <c r="E2409" s="14" t="s">
        <v>53</v>
      </c>
      <c r="F2409" s="14" t="s">
        <v>92</v>
      </c>
      <c r="G2409" s="14" t="s">
        <v>93</v>
      </c>
      <c r="H2409" s="0" t="n">
        <v>15</v>
      </c>
      <c r="I2409" s="16" t="n">
        <v>110.7</v>
      </c>
      <c r="J2409" s="16" t="n">
        <v>52</v>
      </c>
      <c r="K2409" s="16" t="n">
        <f aca="false">H2409*I2409</f>
        <v>1660.5</v>
      </c>
      <c r="L2409" s="16" t="n">
        <f aca="false">H2409*J2409</f>
        <v>780</v>
      </c>
      <c r="M2409" s="16" t="n">
        <f aca="false">K2409-L2409</f>
        <v>880.5</v>
      </c>
      <c r="N2409" s="17" t="n">
        <f aca="false">IFERROR(M2409/K2409,0)</f>
        <v>0.53026196928636</v>
      </c>
    </row>
    <row r="2410" customFormat="false" ht="15" hidden="false" customHeight="false" outlineLevel="0" collapsed="false">
      <c r="A2410" s="15" t="n">
        <v>46123</v>
      </c>
      <c r="B2410" s="14" t="s">
        <v>42</v>
      </c>
      <c r="C2410" s="14" t="s">
        <v>43</v>
      </c>
      <c r="D2410" s="14" t="s">
        <v>44</v>
      </c>
      <c r="E2410" s="14" t="s">
        <v>56</v>
      </c>
      <c r="F2410" s="14" t="s">
        <v>57</v>
      </c>
      <c r="G2410" s="14" t="s">
        <v>58</v>
      </c>
      <c r="H2410" s="0" t="n">
        <v>11</v>
      </c>
      <c r="I2410" s="16" t="n">
        <v>25.29</v>
      </c>
      <c r="J2410" s="16" t="n">
        <v>10</v>
      </c>
      <c r="K2410" s="16" t="n">
        <f aca="false">H2410*I2410</f>
        <v>278.19</v>
      </c>
      <c r="L2410" s="16" t="n">
        <f aca="false">H2410*J2410</f>
        <v>110</v>
      </c>
      <c r="M2410" s="16" t="n">
        <f aca="false">K2410-L2410</f>
        <v>168.19</v>
      </c>
      <c r="N2410" s="17" t="n">
        <f aca="false">IFERROR(M2410/K2410,0)</f>
        <v>0.604586793198893</v>
      </c>
    </row>
    <row r="2411" customFormat="false" ht="15" hidden="false" customHeight="false" outlineLevel="0" collapsed="false">
      <c r="A2411" s="15" t="n">
        <v>46123</v>
      </c>
      <c r="B2411" s="14" t="s">
        <v>42</v>
      </c>
      <c r="C2411" s="14" t="s">
        <v>43</v>
      </c>
      <c r="D2411" s="14" t="s">
        <v>44</v>
      </c>
      <c r="E2411" s="14" t="s">
        <v>45</v>
      </c>
      <c r="F2411" s="14" t="s">
        <v>62</v>
      </c>
      <c r="G2411" s="14" t="s">
        <v>63</v>
      </c>
      <c r="H2411" s="0" t="n">
        <v>14</v>
      </c>
      <c r="I2411" s="16" t="n">
        <v>17.48</v>
      </c>
      <c r="J2411" s="16" t="n">
        <v>6.5</v>
      </c>
      <c r="K2411" s="16" t="n">
        <f aca="false">H2411*I2411</f>
        <v>244.72</v>
      </c>
      <c r="L2411" s="16" t="n">
        <f aca="false">H2411*J2411</f>
        <v>91</v>
      </c>
      <c r="M2411" s="16" t="n">
        <f aca="false">K2411-L2411</f>
        <v>153.72</v>
      </c>
      <c r="N2411" s="17" t="n">
        <f aca="false">IFERROR(M2411/K2411,0)</f>
        <v>0.628146453089245</v>
      </c>
    </row>
    <row r="2412" customFormat="false" ht="15" hidden="false" customHeight="false" outlineLevel="0" collapsed="false">
      <c r="A2412" s="15" t="n">
        <v>46123</v>
      </c>
      <c r="B2412" s="14" t="s">
        <v>42</v>
      </c>
      <c r="C2412" s="14" t="s">
        <v>43</v>
      </c>
      <c r="D2412" s="14" t="s">
        <v>44</v>
      </c>
      <c r="E2412" s="14" t="s">
        <v>76</v>
      </c>
      <c r="F2412" s="14" t="s">
        <v>100</v>
      </c>
      <c r="G2412" s="14" t="s">
        <v>101</v>
      </c>
      <c r="H2412" s="0" t="n">
        <v>5</v>
      </c>
      <c r="I2412" s="16" t="n">
        <v>15.06</v>
      </c>
      <c r="J2412" s="16" t="n">
        <v>5.5</v>
      </c>
      <c r="K2412" s="16" t="n">
        <f aca="false">H2412*I2412</f>
        <v>75.3</v>
      </c>
      <c r="L2412" s="16" t="n">
        <f aca="false">H2412*J2412</f>
        <v>27.5</v>
      </c>
      <c r="M2412" s="16" t="n">
        <f aca="false">K2412-L2412</f>
        <v>47.8</v>
      </c>
      <c r="N2412" s="17" t="n">
        <f aca="false">IFERROR(M2412/K2412,0)</f>
        <v>0.634794156706507</v>
      </c>
    </row>
    <row r="2413" customFormat="false" ht="15" hidden="false" customHeight="false" outlineLevel="0" collapsed="false">
      <c r="A2413" s="15" t="n">
        <v>46123</v>
      </c>
      <c r="B2413" s="14" t="s">
        <v>42</v>
      </c>
      <c r="C2413" s="14" t="s">
        <v>43</v>
      </c>
      <c r="D2413" s="14" t="s">
        <v>44</v>
      </c>
      <c r="E2413" s="14" t="s">
        <v>76</v>
      </c>
      <c r="F2413" s="14" t="s">
        <v>102</v>
      </c>
      <c r="G2413" s="14" t="s">
        <v>103</v>
      </c>
      <c r="H2413" s="0" t="n">
        <v>11</v>
      </c>
      <c r="I2413" s="16" t="n">
        <v>23.21</v>
      </c>
      <c r="J2413" s="16" t="n">
        <v>8.5</v>
      </c>
      <c r="K2413" s="16" t="n">
        <f aca="false">H2413*I2413</f>
        <v>255.31</v>
      </c>
      <c r="L2413" s="16" t="n">
        <f aca="false">H2413*J2413</f>
        <v>93.5</v>
      </c>
      <c r="M2413" s="16" t="n">
        <f aca="false">K2413-L2413</f>
        <v>161.81</v>
      </c>
      <c r="N2413" s="17" t="n">
        <f aca="false">IFERROR(M2413/K2413,0)</f>
        <v>0.63377854373115</v>
      </c>
    </row>
    <row r="2414" customFormat="false" ht="15" hidden="false" customHeight="false" outlineLevel="0" collapsed="false">
      <c r="A2414" s="15" t="n">
        <v>46123</v>
      </c>
      <c r="B2414" s="14" t="s">
        <v>50</v>
      </c>
      <c r="C2414" s="14" t="s">
        <v>51</v>
      </c>
      <c r="D2414" s="14" t="s">
        <v>52</v>
      </c>
      <c r="E2414" s="14" t="s">
        <v>76</v>
      </c>
      <c r="F2414" s="14" t="s">
        <v>77</v>
      </c>
      <c r="G2414" s="14" t="s">
        <v>78</v>
      </c>
      <c r="H2414" s="0" t="n">
        <v>1</v>
      </c>
      <c r="I2414" s="16" t="n">
        <v>40.59</v>
      </c>
      <c r="J2414" s="16" t="n">
        <v>15</v>
      </c>
      <c r="K2414" s="16" t="n">
        <f aca="false">H2414*I2414</f>
        <v>40.59</v>
      </c>
      <c r="L2414" s="16" t="n">
        <f aca="false">H2414*J2414</f>
        <v>15</v>
      </c>
      <c r="M2414" s="16" t="n">
        <f aca="false">K2414-L2414</f>
        <v>25.59</v>
      </c>
      <c r="N2414" s="17" t="n">
        <f aca="false">IFERROR(M2414/K2414,0)</f>
        <v>0.630450849963045</v>
      </c>
    </row>
    <row r="2415" customFormat="false" ht="15" hidden="false" customHeight="false" outlineLevel="0" collapsed="false">
      <c r="A2415" s="15" t="n">
        <v>46123</v>
      </c>
      <c r="B2415" s="14" t="s">
        <v>50</v>
      </c>
      <c r="C2415" s="14" t="s">
        <v>51</v>
      </c>
      <c r="D2415" s="14" t="s">
        <v>52</v>
      </c>
      <c r="E2415" s="14" t="s">
        <v>76</v>
      </c>
      <c r="F2415" s="14" t="s">
        <v>79</v>
      </c>
      <c r="G2415" s="14" t="s">
        <v>80</v>
      </c>
      <c r="H2415" s="0" t="n">
        <v>10</v>
      </c>
      <c r="I2415" s="16" t="n">
        <v>29.51</v>
      </c>
      <c r="J2415" s="16" t="n">
        <v>11</v>
      </c>
      <c r="K2415" s="16" t="n">
        <f aca="false">H2415*I2415</f>
        <v>295.1</v>
      </c>
      <c r="L2415" s="16" t="n">
        <f aca="false">H2415*J2415</f>
        <v>110</v>
      </c>
      <c r="M2415" s="16" t="n">
        <f aca="false">K2415-L2415</f>
        <v>185.1</v>
      </c>
      <c r="N2415" s="17" t="n">
        <f aca="false">IFERROR(M2415/K2415,0)</f>
        <v>0.627245001694341</v>
      </c>
    </row>
    <row r="2416" customFormat="false" ht="15" hidden="false" customHeight="false" outlineLevel="0" collapsed="false">
      <c r="A2416" s="15" t="n">
        <v>46123</v>
      </c>
      <c r="B2416" s="14" t="s">
        <v>50</v>
      </c>
      <c r="C2416" s="14" t="s">
        <v>51</v>
      </c>
      <c r="D2416" s="14" t="s">
        <v>52</v>
      </c>
      <c r="E2416" s="14" t="s">
        <v>56</v>
      </c>
      <c r="F2416" s="14" t="s">
        <v>67</v>
      </c>
      <c r="G2416" s="14" t="s">
        <v>68</v>
      </c>
      <c r="H2416" s="0" t="n">
        <v>8</v>
      </c>
      <c r="I2416" s="16" t="n">
        <v>35.29</v>
      </c>
      <c r="J2416" s="16" t="n">
        <v>15</v>
      </c>
      <c r="K2416" s="16" t="n">
        <f aca="false">H2416*I2416</f>
        <v>282.32</v>
      </c>
      <c r="L2416" s="16" t="n">
        <f aca="false">H2416*J2416</f>
        <v>120</v>
      </c>
      <c r="M2416" s="16" t="n">
        <f aca="false">K2416-L2416</f>
        <v>162.32</v>
      </c>
      <c r="N2416" s="17" t="n">
        <f aca="false">IFERROR(M2416/K2416,0)</f>
        <v>0.57495041088127</v>
      </c>
    </row>
    <row r="2417" customFormat="false" ht="15" hidden="false" customHeight="false" outlineLevel="0" collapsed="false">
      <c r="A2417" s="15" t="n">
        <v>46123</v>
      </c>
      <c r="B2417" s="14" t="s">
        <v>50</v>
      </c>
      <c r="C2417" s="14" t="s">
        <v>51</v>
      </c>
      <c r="D2417" s="14" t="s">
        <v>52</v>
      </c>
      <c r="E2417" s="14" t="s">
        <v>45</v>
      </c>
      <c r="F2417" s="14" t="s">
        <v>72</v>
      </c>
      <c r="G2417" s="14" t="s">
        <v>73</v>
      </c>
      <c r="H2417" s="0" t="n">
        <v>5</v>
      </c>
      <c r="I2417" s="16" t="n">
        <v>49.78</v>
      </c>
      <c r="J2417" s="16" t="n">
        <v>21</v>
      </c>
      <c r="K2417" s="16" t="n">
        <f aca="false">H2417*I2417</f>
        <v>248.9</v>
      </c>
      <c r="L2417" s="16" t="n">
        <f aca="false">H2417*J2417</f>
        <v>105</v>
      </c>
      <c r="M2417" s="16" t="n">
        <f aca="false">K2417-L2417</f>
        <v>143.9</v>
      </c>
      <c r="N2417" s="17" t="n">
        <f aca="false">IFERROR(M2417/K2417,0)</f>
        <v>0.578143832864604</v>
      </c>
    </row>
    <row r="2418" customFormat="false" ht="15" hidden="false" customHeight="false" outlineLevel="0" collapsed="false">
      <c r="A2418" s="15" t="n">
        <v>46123</v>
      </c>
      <c r="B2418" s="14" t="s">
        <v>59</v>
      </c>
      <c r="C2418" s="14" t="s">
        <v>60</v>
      </c>
      <c r="D2418" s="14" t="s">
        <v>61</v>
      </c>
      <c r="E2418" s="14" t="s">
        <v>56</v>
      </c>
      <c r="F2418" s="14" t="s">
        <v>67</v>
      </c>
      <c r="G2418" s="14" t="s">
        <v>68</v>
      </c>
      <c r="H2418" s="0" t="n">
        <v>4</v>
      </c>
      <c r="I2418" s="16" t="n">
        <v>35.88</v>
      </c>
      <c r="J2418" s="16" t="n">
        <v>15</v>
      </c>
      <c r="K2418" s="16" t="n">
        <f aca="false">H2418*I2418</f>
        <v>143.52</v>
      </c>
      <c r="L2418" s="16" t="n">
        <f aca="false">H2418*J2418</f>
        <v>60</v>
      </c>
      <c r="M2418" s="16" t="n">
        <f aca="false">K2418-L2418</f>
        <v>83.52</v>
      </c>
      <c r="N2418" s="17" t="n">
        <f aca="false">IFERROR(M2418/K2418,0)</f>
        <v>0.581939799331104</v>
      </c>
    </row>
    <row r="2419" customFormat="false" ht="15" hidden="false" customHeight="false" outlineLevel="0" collapsed="false">
      <c r="A2419" s="15" t="n">
        <v>46123</v>
      </c>
      <c r="B2419" s="14" t="s">
        <v>59</v>
      </c>
      <c r="C2419" s="14" t="s">
        <v>60</v>
      </c>
      <c r="D2419" s="14" t="s">
        <v>61</v>
      </c>
      <c r="E2419" s="14" t="s">
        <v>76</v>
      </c>
      <c r="F2419" s="14" t="s">
        <v>79</v>
      </c>
      <c r="G2419" s="14" t="s">
        <v>80</v>
      </c>
      <c r="H2419" s="0" t="n">
        <v>6</v>
      </c>
      <c r="I2419" s="16" t="n">
        <v>27.64</v>
      </c>
      <c r="J2419" s="16" t="n">
        <v>11</v>
      </c>
      <c r="K2419" s="16" t="n">
        <f aca="false">H2419*I2419</f>
        <v>165.84</v>
      </c>
      <c r="L2419" s="16" t="n">
        <f aca="false">H2419*J2419</f>
        <v>66</v>
      </c>
      <c r="M2419" s="16" t="n">
        <f aca="false">K2419-L2419</f>
        <v>99.84</v>
      </c>
      <c r="N2419" s="17" t="n">
        <f aca="false">IFERROR(M2419/K2419,0)</f>
        <v>0.602026049204052</v>
      </c>
    </row>
    <row r="2420" customFormat="false" ht="15" hidden="false" customHeight="false" outlineLevel="0" collapsed="false">
      <c r="A2420" s="15" t="n">
        <v>46123</v>
      </c>
      <c r="B2420" s="14" t="s">
        <v>59</v>
      </c>
      <c r="C2420" s="14" t="s">
        <v>60</v>
      </c>
      <c r="D2420" s="14" t="s">
        <v>61</v>
      </c>
      <c r="E2420" s="14" t="s">
        <v>45</v>
      </c>
      <c r="F2420" s="14" t="s">
        <v>62</v>
      </c>
      <c r="G2420" s="14" t="s">
        <v>63</v>
      </c>
      <c r="H2420" s="0" t="n">
        <v>7</v>
      </c>
      <c r="I2420" s="16" t="n">
        <v>17.75</v>
      </c>
      <c r="J2420" s="16" t="n">
        <v>6.5</v>
      </c>
      <c r="K2420" s="16" t="n">
        <f aca="false">H2420*I2420</f>
        <v>124.25</v>
      </c>
      <c r="L2420" s="16" t="n">
        <f aca="false">H2420*J2420</f>
        <v>45.5</v>
      </c>
      <c r="M2420" s="16" t="n">
        <f aca="false">K2420-L2420</f>
        <v>78.75</v>
      </c>
      <c r="N2420" s="17" t="n">
        <f aca="false">IFERROR(M2420/K2420,0)</f>
        <v>0.633802816901409</v>
      </c>
    </row>
    <row r="2421" customFormat="false" ht="15" hidden="false" customHeight="false" outlineLevel="0" collapsed="false">
      <c r="A2421" s="15" t="n">
        <v>46123</v>
      </c>
      <c r="B2421" s="14" t="s">
        <v>69</v>
      </c>
      <c r="C2421" s="14" t="s">
        <v>70</v>
      </c>
      <c r="D2421" s="14" t="s">
        <v>71</v>
      </c>
      <c r="E2421" s="14" t="s">
        <v>45</v>
      </c>
      <c r="F2421" s="14" t="s">
        <v>72</v>
      </c>
      <c r="G2421" s="14" t="s">
        <v>73</v>
      </c>
      <c r="H2421" s="0" t="n">
        <v>6</v>
      </c>
      <c r="I2421" s="16" t="n">
        <v>47.86</v>
      </c>
      <c r="J2421" s="16" t="n">
        <v>21</v>
      </c>
      <c r="K2421" s="16" t="n">
        <f aca="false">H2421*I2421</f>
        <v>287.16</v>
      </c>
      <c r="L2421" s="16" t="n">
        <f aca="false">H2421*J2421</f>
        <v>126</v>
      </c>
      <c r="M2421" s="16" t="n">
        <f aca="false">K2421-L2421</f>
        <v>161.16</v>
      </c>
      <c r="N2421" s="17" t="n">
        <f aca="false">IFERROR(M2421/K2421,0)</f>
        <v>0.56122022565817</v>
      </c>
    </row>
    <row r="2422" customFormat="false" ht="15" hidden="false" customHeight="false" outlineLevel="0" collapsed="false">
      <c r="A2422" s="15" t="n">
        <v>46123</v>
      </c>
      <c r="B2422" s="14" t="s">
        <v>69</v>
      </c>
      <c r="C2422" s="14" t="s">
        <v>70</v>
      </c>
      <c r="D2422" s="14" t="s">
        <v>71</v>
      </c>
      <c r="E2422" s="14" t="s">
        <v>76</v>
      </c>
      <c r="F2422" s="14" t="s">
        <v>79</v>
      </c>
      <c r="G2422" s="14" t="s">
        <v>80</v>
      </c>
      <c r="H2422" s="0" t="n">
        <v>1</v>
      </c>
      <c r="I2422" s="16" t="n">
        <v>28.2</v>
      </c>
      <c r="J2422" s="16" t="n">
        <v>11</v>
      </c>
      <c r="K2422" s="16" t="n">
        <f aca="false">H2422*I2422</f>
        <v>28.2</v>
      </c>
      <c r="L2422" s="16" t="n">
        <f aca="false">H2422*J2422</f>
        <v>11</v>
      </c>
      <c r="M2422" s="16" t="n">
        <f aca="false">K2422-L2422</f>
        <v>17.2</v>
      </c>
      <c r="N2422" s="17" t="n">
        <f aca="false">IFERROR(M2422/K2422,0)</f>
        <v>0.609929078014184</v>
      </c>
    </row>
    <row r="2423" customFormat="false" ht="15" hidden="false" customHeight="false" outlineLevel="0" collapsed="false">
      <c r="A2423" s="15" t="n">
        <v>46123</v>
      </c>
      <c r="B2423" s="14" t="s">
        <v>81</v>
      </c>
      <c r="C2423" s="14" t="s">
        <v>82</v>
      </c>
      <c r="D2423" s="14" t="s">
        <v>83</v>
      </c>
      <c r="E2423" s="14" t="s">
        <v>76</v>
      </c>
      <c r="F2423" s="14" t="s">
        <v>77</v>
      </c>
      <c r="G2423" s="14" t="s">
        <v>78</v>
      </c>
      <c r="H2423" s="0" t="n">
        <v>2</v>
      </c>
      <c r="I2423" s="16" t="n">
        <v>41.04</v>
      </c>
      <c r="J2423" s="16" t="n">
        <v>15</v>
      </c>
      <c r="K2423" s="16" t="n">
        <f aca="false">H2423*I2423</f>
        <v>82.08</v>
      </c>
      <c r="L2423" s="16" t="n">
        <f aca="false">H2423*J2423</f>
        <v>30</v>
      </c>
      <c r="M2423" s="16" t="n">
        <f aca="false">K2423-L2423</f>
        <v>52.08</v>
      </c>
      <c r="N2423" s="17" t="n">
        <f aca="false">IFERROR(M2423/K2423,0)</f>
        <v>0.634502923976608</v>
      </c>
    </row>
    <row r="2424" customFormat="false" ht="15" hidden="false" customHeight="false" outlineLevel="0" collapsed="false">
      <c r="A2424" s="15" t="n">
        <v>46123</v>
      </c>
      <c r="B2424" s="14" t="s">
        <v>81</v>
      </c>
      <c r="C2424" s="14" t="s">
        <v>82</v>
      </c>
      <c r="D2424" s="14" t="s">
        <v>83</v>
      </c>
      <c r="E2424" s="14" t="s">
        <v>53</v>
      </c>
      <c r="F2424" s="14" t="s">
        <v>54</v>
      </c>
      <c r="G2424" s="14" t="s">
        <v>55</v>
      </c>
      <c r="H2424" s="0" t="n">
        <v>8</v>
      </c>
      <c r="I2424" s="16" t="n">
        <v>53.17</v>
      </c>
      <c r="J2424" s="16" t="n">
        <v>22</v>
      </c>
      <c r="K2424" s="16" t="n">
        <f aca="false">H2424*I2424</f>
        <v>425.36</v>
      </c>
      <c r="L2424" s="16" t="n">
        <f aca="false">H2424*J2424</f>
        <v>176</v>
      </c>
      <c r="M2424" s="16" t="n">
        <f aca="false">K2424-L2424</f>
        <v>249.36</v>
      </c>
      <c r="N2424" s="17" t="n">
        <f aca="false">IFERROR(M2424/K2424,0)</f>
        <v>0.586232838066579</v>
      </c>
    </row>
    <row r="2425" customFormat="false" ht="15" hidden="false" customHeight="false" outlineLevel="0" collapsed="false">
      <c r="A2425" s="15" t="n">
        <v>46123</v>
      </c>
      <c r="B2425" s="14" t="s">
        <v>81</v>
      </c>
      <c r="C2425" s="14" t="s">
        <v>82</v>
      </c>
      <c r="D2425" s="14" t="s">
        <v>83</v>
      </c>
      <c r="E2425" s="14" t="s">
        <v>45</v>
      </c>
      <c r="F2425" s="14" t="s">
        <v>46</v>
      </c>
      <c r="G2425" s="14" t="s">
        <v>47</v>
      </c>
      <c r="H2425" s="0" t="n">
        <v>4</v>
      </c>
      <c r="I2425" s="16" t="n">
        <v>41.52</v>
      </c>
      <c r="J2425" s="16" t="n">
        <v>18</v>
      </c>
      <c r="K2425" s="16" t="n">
        <f aca="false">H2425*I2425</f>
        <v>166.08</v>
      </c>
      <c r="L2425" s="16" t="n">
        <f aca="false">H2425*J2425</f>
        <v>72</v>
      </c>
      <c r="M2425" s="16" t="n">
        <f aca="false">K2425-L2425</f>
        <v>94.08</v>
      </c>
      <c r="N2425" s="17" t="n">
        <f aca="false">IFERROR(M2425/K2425,0)</f>
        <v>0.566473988439306</v>
      </c>
    </row>
    <row r="2426" customFormat="false" ht="15" hidden="false" customHeight="false" outlineLevel="0" collapsed="false">
      <c r="A2426" s="15" t="n">
        <v>46123</v>
      </c>
      <c r="B2426" s="14" t="s">
        <v>81</v>
      </c>
      <c r="C2426" s="14" t="s">
        <v>82</v>
      </c>
      <c r="D2426" s="14" t="s">
        <v>83</v>
      </c>
      <c r="E2426" s="14" t="s">
        <v>76</v>
      </c>
      <c r="F2426" s="14" t="s">
        <v>77</v>
      </c>
      <c r="G2426" s="14" t="s">
        <v>78</v>
      </c>
      <c r="H2426" s="0" t="n">
        <v>7</v>
      </c>
      <c r="I2426" s="16" t="n">
        <v>40.06</v>
      </c>
      <c r="J2426" s="16" t="n">
        <v>15</v>
      </c>
      <c r="K2426" s="16" t="n">
        <f aca="false">H2426*I2426</f>
        <v>280.42</v>
      </c>
      <c r="L2426" s="16" t="n">
        <f aca="false">H2426*J2426</f>
        <v>105</v>
      </c>
      <c r="M2426" s="16" t="n">
        <f aca="false">K2426-L2426</f>
        <v>175.42</v>
      </c>
      <c r="N2426" s="17" t="n">
        <f aca="false">IFERROR(M2426/K2426,0)</f>
        <v>0.625561657513729</v>
      </c>
    </row>
    <row r="2427" customFormat="false" ht="15" hidden="false" customHeight="false" outlineLevel="0" collapsed="false">
      <c r="A2427" s="15" t="n">
        <v>46123</v>
      </c>
      <c r="B2427" s="14" t="s">
        <v>88</v>
      </c>
      <c r="C2427" s="14" t="s">
        <v>89</v>
      </c>
      <c r="D2427" s="14" t="s">
        <v>44</v>
      </c>
      <c r="E2427" s="14" t="s">
        <v>76</v>
      </c>
      <c r="F2427" s="14" t="s">
        <v>102</v>
      </c>
      <c r="G2427" s="14" t="s">
        <v>103</v>
      </c>
      <c r="H2427" s="0" t="n">
        <v>7</v>
      </c>
      <c r="I2427" s="16" t="n">
        <v>22.41</v>
      </c>
      <c r="J2427" s="16" t="n">
        <v>8.5</v>
      </c>
      <c r="K2427" s="16" t="n">
        <f aca="false">H2427*I2427</f>
        <v>156.87</v>
      </c>
      <c r="L2427" s="16" t="n">
        <f aca="false">H2427*J2427</f>
        <v>59.5</v>
      </c>
      <c r="M2427" s="16" t="n">
        <f aca="false">K2427-L2427</f>
        <v>97.37</v>
      </c>
      <c r="N2427" s="17" t="n">
        <f aca="false">IFERROR(M2427/K2427,0)</f>
        <v>0.620705042391789</v>
      </c>
    </row>
    <row r="2428" customFormat="false" ht="15" hidden="false" customHeight="false" outlineLevel="0" collapsed="false">
      <c r="A2428" s="15" t="n">
        <v>46123</v>
      </c>
      <c r="B2428" s="14" t="s">
        <v>88</v>
      </c>
      <c r="C2428" s="14" t="s">
        <v>89</v>
      </c>
      <c r="D2428" s="14" t="s">
        <v>44</v>
      </c>
      <c r="E2428" s="14" t="s">
        <v>64</v>
      </c>
      <c r="F2428" s="14" t="s">
        <v>94</v>
      </c>
      <c r="G2428" s="14" t="s">
        <v>95</v>
      </c>
      <c r="H2428" s="0" t="n">
        <v>4</v>
      </c>
      <c r="I2428" s="16" t="n">
        <v>96.49</v>
      </c>
      <c r="J2428" s="16" t="n">
        <v>42</v>
      </c>
      <c r="K2428" s="16" t="n">
        <f aca="false">H2428*I2428</f>
        <v>385.96</v>
      </c>
      <c r="L2428" s="16" t="n">
        <f aca="false">H2428*J2428</f>
        <v>168</v>
      </c>
      <c r="M2428" s="16" t="n">
        <f aca="false">K2428-L2428</f>
        <v>217.96</v>
      </c>
      <c r="N2428" s="17" t="n">
        <f aca="false">IFERROR(M2428/K2428,0)</f>
        <v>0.564721732822054</v>
      </c>
    </row>
    <row r="2429" customFormat="false" ht="15" hidden="false" customHeight="false" outlineLevel="0" collapsed="false">
      <c r="A2429" s="15" t="n">
        <v>46124</v>
      </c>
      <c r="B2429" s="14" t="s">
        <v>42</v>
      </c>
      <c r="C2429" s="14" t="s">
        <v>43</v>
      </c>
      <c r="D2429" s="14" t="s">
        <v>44</v>
      </c>
      <c r="E2429" s="14" t="s">
        <v>76</v>
      </c>
      <c r="F2429" s="14" t="s">
        <v>77</v>
      </c>
      <c r="G2429" s="14" t="s">
        <v>78</v>
      </c>
      <c r="H2429" s="0" t="n">
        <v>11</v>
      </c>
      <c r="I2429" s="16" t="n">
        <v>40.5</v>
      </c>
      <c r="J2429" s="16" t="n">
        <v>15</v>
      </c>
      <c r="K2429" s="16" t="n">
        <f aca="false">H2429*I2429</f>
        <v>445.5</v>
      </c>
      <c r="L2429" s="16" t="n">
        <f aca="false">H2429*J2429</f>
        <v>165</v>
      </c>
      <c r="M2429" s="16" t="n">
        <f aca="false">K2429-L2429</f>
        <v>280.5</v>
      </c>
      <c r="N2429" s="17" t="n">
        <f aca="false">IFERROR(M2429/K2429,0)</f>
        <v>0.62962962962963</v>
      </c>
    </row>
    <row r="2430" customFormat="false" ht="15" hidden="false" customHeight="false" outlineLevel="0" collapsed="false">
      <c r="A2430" s="15" t="n">
        <v>46124</v>
      </c>
      <c r="B2430" s="14" t="s">
        <v>42</v>
      </c>
      <c r="C2430" s="14" t="s">
        <v>43</v>
      </c>
      <c r="D2430" s="14" t="s">
        <v>44</v>
      </c>
      <c r="E2430" s="14" t="s">
        <v>76</v>
      </c>
      <c r="F2430" s="14" t="s">
        <v>102</v>
      </c>
      <c r="G2430" s="14" t="s">
        <v>103</v>
      </c>
      <c r="H2430" s="0" t="n">
        <v>3</v>
      </c>
      <c r="I2430" s="16" t="n">
        <v>22.65</v>
      </c>
      <c r="J2430" s="16" t="n">
        <v>8.5</v>
      </c>
      <c r="K2430" s="16" t="n">
        <f aca="false">H2430*I2430</f>
        <v>67.95</v>
      </c>
      <c r="L2430" s="16" t="n">
        <f aca="false">H2430*J2430</f>
        <v>25.5</v>
      </c>
      <c r="M2430" s="16" t="n">
        <f aca="false">K2430-L2430</f>
        <v>42.45</v>
      </c>
      <c r="N2430" s="17" t="n">
        <f aca="false">IFERROR(M2430/K2430,0)</f>
        <v>0.624724061810155</v>
      </c>
    </row>
    <row r="2431" customFormat="false" ht="15" hidden="false" customHeight="false" outlineLevel="0" collapsed="false">
      <c r="A2431" s="15" t="n">
        <v>46124</v>
      </c>
      <c r="B2431" s="14" t="s">
        <v>42</v>
      </c>
      <c r="C2431" s="14" t="s">
        <v>43</v>
      </c>
      <c r="D2431" s="14" t="s">
        <v>44</v>
      </c>
      <c r="E2431" s="14" t="s">
        <v>64</v>
      </c>
      <c r="F2431" s="14" t="s">
        <v>96</v>
      </c>
      <c r="G2431" s="14" t="s">
        <v>97</v>
      </c>
      <c r="H2431" s="0" t="n">
        <v>11</v>
      </c>
      <c r="I2431" s="16" t="n">
        <v>57.97</v>
      </c>
      <c r="J2431" s="16" t="n">
        <v>24</v>
      </c>
      <c r="K2431" s="16" t="n">
        <f aca="false">H2431*I2431</f>
        <v>637.67</v>
      </c>
      <c r="L2431" s="16" t="n">
        <f aca="false">H2431*J2431</f>
        <v>264</v>
      </c>
      <c r="M2431" s="16" t="n">
        <f aca="false">K2431-L2431</f>
        <v>373.67</v>
      </c>
      <c r="N2431" s="17" t="n">
        <f aca="false">IFERROR(M2431/K2431,0)</f>
        <v>0.58599275487321</v>
      </c>
    </row>
    <row r="2432" customFormat="false" ht="15" hidden="false" customHeight="false" outlineLevel="0" collapsed="false">
      <c r="A2432" s="15" t="n">
        <v>46124</v>
      </c>
      <c r="B2432" s="14" t="s">
        <v>50</v>
      </c>
      <c r="C2432" s="14" t="s">
        <v>51</v>
      </c>
      <c r="D2432" s="14" t="s">
        <v>52</v>
      </c>
      <c r="E2432" s="14" t="s">
        <v>45</v>
      </c>
      <c r="F2432" s="14" t="s">
        <v>62</v>
      </c>
      <c r="G2432" s="14" t="s">
        <v>63</v>
      </c>
      <c r="H2432" s="0" t="n">
        <v>14</v>
      </c>
      <c r="I2432" s="16" t="n">
        <v>17.56</v>
      </c>
      <c r="J2432" s="16" t="n">
        <v>6.5</v>
      </c>
      <c r="K2432" s="16" t="n">
        <f aca="false">H2432*I2432</f>
        <v>245.84</v>
      </c>
      <c r="L2432" s="16" t="n">
        <f aca="false">H2432*J2432</f>
        <v>91</v>
      </c>
      <c r="M2432" s="16" t="n">
        <f aca="false">K2432-L2432</f>
        <v>154.84</v>
      </c>
      <c r="N2432" s="17" t="n">
        <f aca="false">IFERROR(M2432/K2432,0)</f>
        <v>0.629840546697039</v>
      </c>
    </row>
    <row r="2433" customFormat="false" ht="15" hidden="false" customHeight="false" outlineLevel="0" collapsed="false">
      <c r="A2433" s="15" t="n">
        <v>46124</v>
      </c>
      <c r="B2433" s="14" t="s">
        <v>50</v>
      </c>
      <c r="C2433" s="14" t="s">
        <v>51</v>
      </c>
      <c r="D2433" s="14" t="s">
        <v>52</v>
      </c>
      <c r="E2433" s="14" t="s">
        <v>56</v>
      </c>
      <c r="F2433" s="14" t="s">
        <v>67</v>
      </c>
      <c r="G2433" s="14" t="s">
        <v>68</v>
      </c>
      <c r="H2433" s="0" t="n">
        <v>13</v>
      </c>
      <c r="I2433" s="16" t="n">
        <v>36.04</v>
      </c>
      <c r="J2433" s="16" t="n">
        <v>15</v>
      </c>
      <c r="K2433" s="16" t="n">
        <f aca="false">H2433*I2433</f>
        <v>468.52</v>
      </c>
      <c r="L2433" s="16" t="n">
        <f aca="false">H2433*J2433</f>
        <v>195</v>
      </c>
      <c r="M2433" s="16" t="n">
        <f aca="false">K2433-L2433</f>
        <v>273.52</v>
      </c>
      <c r="N2433" s="17" t="n">
        <f aca="false">IFERROR(M2433/K2433,0)</f>
        <v>0.583795782463929</v>
      </c>
    </row>
    <row r="2434" customFormat="false" ht="15" hidden="false" customHeight="false" outlineLevel="0" collapsed="false">
      <c r="A2434" s="15" t="n">
        <v>46124</v>
      </c>
      <c r="B2434" s="14" t="s">
        <v>50</v>
      </c>
      <c r="C2434" s="14" t="s">
        <v>51</v>
      </c>
      <c r="D2434" s="14" t="s">
        <v>52</v>
      </c>
      <c r="E2434" s="14" t="s">
        <v>64</v>
      </c>
      <c r="F2434" s="14" t="s">
        <v>90</v>
      </c>
      <c r="G2434" s="14" t="s">
        <v>91</v>
      </c>
      <c r="H2434" s="0" t="n">
        <v>10</v>
      </c>
      <c r="I2434" s="16" t="n">
        <v>11.48</v>
      </c>
      <c r="J2434" s="16" t="n">
        <v>3.5</v>
      </c>
      <c r="K2434" s="16" t="n">
        <f aca="false">H2434*I2434</f>
        <v>114.8</v>
      </c>
      <c r="L2434" s="16" t="n">
        <f aca="false">H2434*J2434</f>
        <v>35</v>
      </c>
      <c r="M2434" s="16" t="n">
        <f aca="false">K2434-L2434</f>
        <v>79.8</v>
      </c>
      <c r="N2434" s="17" t="n">
        <f aca="false">IFERROR(M2434/K2434,0)</f>
        <v>0.695121951219512</v>
      </c>
    </row>
    <row r="2435" customFormat="false" ht="15" hidden="false" customHeight="false" outlineLevel="0" collapsed="false">
      <c r="A2435" s="15" t="n">
        <v>46124</v>
      </c>
      <c r="B2435" s="14" t="s">
        <v>50</v>
      </c>
      <c r="C2435" s="14" t="s">
        <v>51</v>
      </c>
      <c r="D2435" s="14" t="s">
        <v>52</v>
      </c>
      <c r="E2435" s="14" t="s">
        <v>56</v>
      </c>
      <c r="F2435" s="14" t="s">
        <v>98</v>
      </c>
      <c r="G2435" s="14" t="s">
        <v>99</v>
      </c>
      <c r="H2435" s="0" t="n">
        <v>11</v>
      </c>
      <c r="I2435" s="16" t="n">
        <v>20.4</v>
      </c>
      <c r="J2435" s="16" t="n">
        <v>8</v>
      </c>
      <c r="K2435" s="16" t="n">
        <f aca="false">H2435*I2435</f>
        <v>224.4</v>
      </c>
      <c r="L2435" s="16" t="n">
        <f aca="false">H2435*J2435</f>
        <v>88</v>
      </c>
      <c r="M2435" s="16" t="n">
        <f aca="false">K2435-L2435</f>
        <v>136.4</v>
      </c>
      <c r="N2435" s="17" t="n">
        <f aca="false">IFERROR(M2435/K2435,0)</f>
        <v>0.607843137254902</v>
      </c>
    </row>
    <row r="2436" customFormat="false" ht="15" hidden="false" customHeight="false" outlineLevel="0" collapsed="false">
      <c r="A2436" s="15" t="n">
        <v>46124</v>
      </c>
      <c r="B2436" s="14" t="s">
        <v>50</v>
      </c>
      <c r="C2436" s="14" t="s">
        <v>51</v>
      </c>
      <c r="D2436" s="14" t="s">
        <v>52</v>
      </c>
      <c r="E2436" s="14" t="s">
        <v>53</v>
      </c>
      <c r="F2436" s="14" t="s">
        <v>92</v>
      </c>
      <c r="G2436" s="14" t="s">
        <v>93</v>
      </c>
      <c r="H2436" s="0" t="n">
        <v>7</v>
      </c>
      <c r="I2436" s="16" t="n">
        <v>115.97</v>
      </c>
      <c r="J2436" s="16" t="n">
        <v>52</v>
      </c>
      <c r="K2436" s="16" t="n">
        <f aca="false">H2436*I2436</f>
        <v>811.79</v>
      </c>
      <c r="L2436" s="16" t="n">
        <f aca="false">H2436*J2436</f>
        <v>364</v>
      </c>
      <c r="M2436" s="16" t="n">
        <f aca="false">K2436-L2436</f>
        <v>447.79</v>
      </c>
      <c r="N2436" s="17" t="n">
        <f aca="false">IFERROR(M2436/K2436,0)</f>
        <v>0.551608174527895</v>
      </c>
    </row>
    <row r="2437" customFormat="false" ht="15" hidden="false" customHeight="false" outlineLevel="0" collapsed="false">
      <c r="A2437" s="15" t="n">
        <v>46124</v>
      </c>
      <c r="B2437" s="14" t="s">
        <v>59</v>
      </c>
      <c r="C2437" s="14" t="s">
        <v>60</v>
      </c>
      <c r="D2437" s="14" t="s">
        <v>61</v>
      </c>
      <c r="E2437" s="14" t="s">
        <v>53</v>
      </c>
      <c r="F2437" s="14" t="s">
        <v>92</v>
      </c>
      <c r="G2437" s="14" t="s">
        <v>93</v>
      </c>
      <c r="H2437" s="0" t="n">
        <v>1</v>
      </c>
      <c r="I2437" s="16" t="n">
        <v>117.65</v>
      </c>
      <c r="J2437" s="16" t="n">
        <v>52</v>
      </c>
      <c r="K2437" s="16" t="n">
        <f aca="false">H2437*I2437</f>
        <v>117.65</v>
      </c>
      <c r="L2437" s="16" t="n">
        <f aca="false">H2437*J2437</f>
        <v>52</v>
      </c>
      <c r="M2437" s="16" t="n">
        <f aca="false">K2437-L2437</f>
        <v>65.65</v>
      </c>
      <c r="N2437" s="17" t="n">
        <f aca="false">IFERROR(M2437/K2437,0)</f>
        <v>0.558011049723757</v>
      </c>
    </row>
    <row r="2438" customFormat="false" ht="15" hidden="false" customHeight="false" outlineLevel="0" collapsed="false">
      <c r="A2438" s="15" t="n">
        <v>46124</v>
      </c>
      <c r="B2438" s="14" t="s">
        <v>59</v>
      </c>
      <c r="C2438" s="14" t="s">
        <v>60</v>
      </c>
      <c r="D2438" s="14" t="s">
        <v>61</v>
      </c>
      <c r="E2438" s="14" t="s">
        <v>64</v>
      </c>
      <c r="F2438" s="14" t="s">
        <v>96</v>
      </c>
      <c r="G2438" s="14" t="s">
        <v>97</v>
      </c>
      <c r="H2438" s="0" t="n">
        <v>7</v>
      </c>
      <c r="I2438" s="16" t="n">
        <v>57.44</v>
      </c>
      <c r="J2438" s="16" t="n">
        <v>24</v>
      </c>
      <c r="K2438" s="16" t="n">
        <f aca="false">H2438*I2438</f>
        <v>402.08</v>
      </c>
      <c r="L2438" s="16" t="n">
        <f aca="false">H2438*J2438</f>
        <v>168</v>
      </c>
      <c r="M2438" s="16" t="n">
        <f aca="false">K2438-L2438</f>
        <v>234.08</v>
      </c>
      <c r="N2438" s="17" t="n">
        <f aca="false">IFERROR(M2438/K2438,0)</f>
        <v>0.582172701949861</v>
      </c>
    </row>
    <row r="2439" customFormat="false" ht="15" hidden="false" customHeight="false" outlineLevel="0" collapsed="false">
      <c r="A2439" s="15" t="n">
        <v>46124</v>
      </c>
      <c r="B2439" s="14" t="s">
        <v>59</v>
      </c>
      <c r="C2439" s="14" t="s">
        <v>60</v>
      </c>
      <c r="D2439" s="14" t="s">
        <v>61</v>
      </c>
      <c r="E2439" s="14" t="s">
        <v>64</v>
      </c>
      <c r="F2439" s="14" t="s">
        <v>90</v>
      </c>
      <c r="G2439" s="14" t="s">
        <v>91</v>
      </c>
      <c r="H2439" s="0" t="n">
        <v>1</v>
      </c>
      <c r="I2439" s="16" t="n">
        <v>11.12</v>
      </c>
      <c r="J2439" s="16" t="n">
        <v>3.5</v>
      </c>
      <c r="K2439" s="16" t="n">
        <f aca="false">H2439*I2439</f>
        <v>11.12</v>
      </c>
      <c r="L2439" s="16" t="n">
        <f aca="false">H2439*J2439</f>
        <v>3.5</v>
      </c>
      <c r="M2439" s="16" t="n">
        <f aca="false">K2439-L2439</f>
        <v>7.62</v>
      </c>
      <c r="N2439" s="17" t="n">
        <f aca="false">IFERROR(M2439/K2439,0)</f>
        <v>0.685251798561151</v>
      </c>
    </row>
    <row r="2440" customFormat="false" ht="15" hidden="false" customHeight="false" outlineLevel="0" collapsed="false">
      <c r="A2440" s="15" t="n">
        <v>46124</v>
      </c>
      <c r="B2440" s="14" t="s">
        <v>59</v>
      </c>
      <c r="C2440" s="14" t="s">
        <v>60</v>
      </c>
      <c r="D2440" s="14" t="s">
        <v>61</v>
      </c>
      <c r="E2440" s="14" t="s">
        <v>76</v>
      </c>
      <c r="F2440" s="14" t="s">
        <v>79</v>
      </c>
      <c r="G2440" s="14" t="s">
        <v>80</v>
      </c>
      <c r="H2440" s="0" t="n">
        <v>7</v>
      </c>
      <c r="I2440" s="16" t="n">
        <v>29.03</v>
      </c>
      <c r="J2440" s="16" t="n">
        <v>11</v>
      </c>
      <c r="K2440" s="16" t="n">
        <f aca="false">H2440*I2440</f>
        <v>203.21</v>
      </c>
      <c r="L2440" s="16" t="n">
        <f aca="false">H2440*J2440</f>
        <v>77</v>
      </c>
      <c r="M2440" s="16" t="n">
        <f aca="false">K2440-L2440</f>
        <v>126.21</v>
      </c>
      <c r="N2440" s="17" t="n">
        <f aca="false">IFERROR(M2440/K2440,0)</f>
        <v>0.621081639683087</v>
      </c>
    </row>
    <row r="2441" customFormat="false" ht="15" hidden="false" customHeight="false" outlineLevel="0" collapsed="false">
      <c r="A2441" s="15" t="n">
        <v>46124</v>
      </c>
      <c r="B2441" s="14" t="s">
        <v>69</v>
      </c>
      <c r="C2441" s="14" t="s">
        <v>70</v>
      </c>
      <c r="D2441" s="14" t="s">
        <v>71</v>
      </c>
      <c r="E2441" s="14" t="s">
        <v>56</v>
      </c>
      <c r="F2441" s="14" t="s">
        <v>57</v>
      </c>
      <c r="G2441" s="14" t="s">
        <v>58</v>
      </c>
      <c r="H2441" s="0" t="n">
        <v>7</v>
      </c>
      <c r="I2441" s="16" t="n">
        <v>26.71</v>
      </c>
      <c r="J2441" s="16" t="n">
        <v>10</v>
      </c>
      <c r="K2441" s="16" t="n">
        <f aca="false">H2441*I2441</f>
        <v>186.97</v>
      </c>
      <c r="L2441" s="16" t="n">
        <f aca="false">H2441*J2441</f>
        <v>70</v>
      </c>
      <c r="M2441" s="16" t="n">
        <f aca="false">K2441-L2441</f>
        <v>116.97</v>
      </c>
      <c r="N2441" s="17" t="n">
        <f aca="false">IFERROR(M2441/K2441,0)</f>
        <v>0.625608386372145</v>
      </c>
    </row>
    <row r="2442" customFormat="false" ht="15" hidden="false" customHeight="false" outlineLevel="0" collapsed="false">
      <c r="A2442" s="15" t="n">
        <v>46124</v>
      </c>
      <c r="B2442" s="14" t="s">
        <v>69</v>
      </c>
      <c r="C2442" s="14" t="s">
        <v>70</v>
      </c>
      <c r="D2442" s="14" t="s">
        <v>71</v>
      </c>
      <c r="E2442" s="14" t="s">
        <v>45</v>
      </c>
      <c r="F2442" s="14" t="s">
        <v>48</v>
      </c>
      <c r="G2442" s="14" t="s">
        <v>49</v>
      </c>
      <c r="H2442" s="0" t="n">
        <v>5</v>
      </c>
      <c r="I2442" s="16" t="n">
        <v>65.37</v>
      </c>
      <c r="J2442" s="16" t="n">
        <v>27.5</v>
      </c>
      <c r="K2442" s="16" t="n">
        <f aca="false">H2442*I2442</f>
        <v>326.85</v>
      </c>
      <c r="L2442" s="16" t="n">
        <f aca="false">H2442*J2442</f>
        <v>137.5</v>
      </c>
      <c r="M2442" s="16" t="n">
        <f aca="false">K2442-L2442</f>
        <v>189.35</v>
      </c>
      <c r="N2442" s="17" t="n">
        <f aca="false">IFERROR(M2442/K2442,0)</f>
        <v>0.579317729845495</v>
      </c>
    </row>
    <row r="2443" customFormat="false" ht="15" hidden="false" customHeight="false" outlineLevel="0" collapsed="false">
      <c r="A2443" s="15" t="n">
        <v>46124</v>
      </c>
      <c r="B2443" s="14" t="s">
        <v>69</v>
      </c>
      <c r="C2443" s="14" t="s">
        <v>70</v>
      </c>
      <c r="D2443" s="14" t="s">
        <v>71</v>
      </c>
      <c r="E2443" s="14" t="s">
        <v>56</v>
      </c>
      <c r="F2443" s="14" t="s">
        <v>57</v>
      </c>
      <c r="G2443" s="14" t="s">
        <v>58</v>
      </c>
      <c r="H2443" s="0" t="n">
        <v>4</v>
      </c>
      <c r="I2443" s="16" t="n">
        <v>25.32</v>
      </c>
      <c r="J2443" s="16" t="n">
        <v>10</v>
      </c>
      <c r="K2443" s="16" t="n">
        <f aca="false">H2443*I2443</f>
        <v>101.28</v>
      </c>
      <c r="L2443" s="16" t="n">
        <f aca="false">H2443*J2443</f>
        <v>40</v>
      </c>
      <c r="M2443" s="16" t="n">
        <f aca="false">K2443-L2443</f>
        <v>61.28</v>
      </c>
      <c r="N2443" s="17" t="n">
        <f aca="false">IFERROR(M2443/K2443,0)</f>
        <v>0.605055292259084</v>
      </c>
    </row>
    <row r="2444" customFormat="false" ht="15" hidden="false" customHeight="false" outlineLevel="0" collapsed="false">
      <c r="A2444" s="15" t="n">
        <v>46124</v>
      </c>
      <c r="B2444" s="14" t="s">
        <v>69</v>
      </c>
      <c r="C2444" s="14" t="s">
        <v>70</v>
      </c>
      <c r="D2444" s="14" t="s">
        <v>71</v>
      </c>
      <c r="E2444" s="14" t="s">
        <v>53</v>
      </c>
      <c r="F2444" s="14" t="s">
        <v>92</v>
      </c>
      <c r="G2444" s="14" t="s">
        <v>93</v>
      </c>
      <c r="H2444" s="0" t="n">
        <v>6</v>
      </c>
      <c r="I2444" s="16" t="n">
        <v>117.3</v>
      </c>
      <c r="J2444" s="16" t="n">
        <v>52</v>
      </c>
      <c r="K2444" s="16" t="n">
        <f aca="false">H2444*I2444</f>
        <v>703.8</v>
      </c>
      <c r="L2444" s="16" t="n">
        <f aca="false">H2444*J2444</f>
        <v>312</v>
      </c>
      <c r="M2444" s="16" t="n">
        <f aca="false">K2444-L2444</f>
        <v>391.8</v>
      </c>
      <c r="N2444" s="17" t="n">
        <f aca="false">IFERROR(M2444/K2444,0)</f>
        <v>0.556692242114237</v>
      </c>
    </row>
    <row r="2445" customFormat="false" ht="15" hidden="false" customHeight="false" outlineLevel="0" collapsed="false">
      <c r="A2445" s="15" t="n">
        <v>46124</v>
      </c>
      <c r="B2445" s="14" t="s">
        <v>81</v>
      </c>
      <c r="C2445" s="14" t="s">
        <v>82</v>
      </c>
      <c r="D2445" s="14" t="s">
        <v>83</v>
      </c>
      <c r="E2445" s="14" t="s">
        <v>64</v>
      </c>
      <c r="F2445" s="14" t="s">
        <v>96</v>
      </c>
      <c r="G2445" s="14" t="s">
        <v>97</v>
      </c>
      <c r="H2445" s="0" t="n">
        <v>2</v>
      </c>
      <c r="I2445" s="16" t="n">
        <v>54.6</v>
      </c>
      <c r="J2445" s="16" t="n">
        <v>24</v>
      </c>
      <c r="K2445" s="16" t="n">
        <f aca="false">H2445*I2445</f>
        <v>109.2</v>
      </c>
      <c r="L2445" s="16" t="n">
        <f aca="false">H2445*J2445</f>
        <v>48</v>
      </c>
      <c r="M2445" s="16" t="n">
        <f aca="false">K2445-L2445</f>
        <v>61.2</v>
      </c>
      <c r="N2445" s="17" t="n">
        <f aca="false">IFERROR(M2445/K2445,0)</f>
        <v>0.56043956043956</v>
      </c>
    </row>
    <row r="2446" customFormat="false" ht="15" hidden="false" customHeight="false" outlineLevel="0" collapsed="false">
      <c r="A2446" s="15" t="n">
        <v>46124</v>
      </c>
      <c r="B2446" s="14" t="s">
        <v>81</v>
      </c>
      <c r="C2446" s="14" t="s">
        <v>82</v>
      </c>
      <c r="D2446" s="14" t="s">
        <v>83</v>
      </c>
      <c r="E2446" s="14" t="s">
        <v>53</v>
      </c>
      <c r="F2446" s="14" t="s">
        <v>74</v>
      </c>
      <c r="G2446" s="14" t="s">
        <v>75</v>
      </c>
      <c r="H2446" s="0" t="n">
        <v>2</v>
      </c>
      <c r="I2446" s="16" t="n">
        <v>83.64</v>
      </c>
      <c r="J2446" s="16" t="n">
        <v>38</v>
      </c>
      <c r="K2446" s="16" t="n">
        <f aca="false">H2446*I2446</f>
        <v>167.28</v>
      </c>
      <c r="L2446" s="16" t="n">
        <f aca="false">H2446*J2446</f>
        <v>76</v>
      </c>
      <c r="M2446" s="16" t="n">
        <f aca="false">K2446-L2446</f>
        <v>91.28</v>
      </c>
      <c r="N2446" s="17" t="n">
        <f aca="false">IFERROR(M2446/K2446,0)</f>
        <v>0.545671927307508</v>
      </c>
    </row>
    <row r="2447" customFormat="false" ht="15" hidden="false" customHeight="false" outlineLevel="0" collapsed="false">
      <c r="A2447" s="15" t="n">
        <v>46124</v>
      </c>
      <c r="B2447" s="14" t="s">
        <v>88</v>
      </c>
      <c r="C2447" s="14" t="s">
        <v>89</v>
      </c>
      <c r="D2447" s="14" t="s">
        <v>44</v>
      </c>
      <c r="E2447" s="14" t="s">
        <v>64</v>
      </c>
      <c r="F2447" s="14" t="s">
        <v>65</v>
      </c>
      <c r="G2447" s="14" t="s">
        <v>66</v>
      </c>
      <c r="H2447" s="0" t="n">
        <v>10</v>
      </c>
      <c r="I2447" s="16" t="n">
        <v>75.15</v>
      </c>
      <c r="J2447" s="16" t="n">
        <v>34</v>
      </c>
      <c r="K2447" s="16" t="n">
        <f aca="false">H2447*I2447</f>
        <v>751.5</v>
      </c>
      <c r="L2447" s="16" t="n">
        <f aca="false">H2447*J2447</f>
        <v>340</v>
      </c>
      <c r="M2447" s="16" t="n">
        <f aca="false">K2447-L2447</f>
        <v>411.5</v>
      </c>
      <c r="N2447" s="17" t="n">
        <f aca="false">IFERROR(M2447/K2447,0)</f>
        <v>0.547571523619428</v>
      </c>
    </row>
    <row r="2448" customFormat="false" ht="15" hidden="false" customHeight="false" outlineLevel="0" collapsed="false">
      <c r="A2448" s="15" t="n">
        <v>46124</v>
      </c>
      <c r="B2448" s="14" t="s">
        <v>88</v>
      </c>
      <c r="C2448" s="14" t="s">
        <v>89</v>
      </c>
      <c r="D2448" s="14" t="s">
        <v>44</v>
      </c>
      <c r="E2448" s="14" t="s">
        <v>45</v>
      </c>
      <c r="F2448" s="14" t="s">
        <v>46</v>
      </c>
      <c r="G2448" s="14" t="s">
        <v>47</v>
      </c>
      <c r="H2448" s="0" t="n">
        <v>11</v>
      </c>
      <c r="I2448" s="16" t="n">
        <v>43.14</v>
      </c>
      <c r="J2448" s="16" t="n">
        <v>18</v>
      </c>
      <c r="K2448" s="16" t="n">
        <f aca="false">H2448*I2448</f>
        <v>474.54</v>
      </c>
      <c r="L2448" s="16" t="n">
        <f aca="false">H2448*J2448</f>
        <v>198</v>
      </c>
      <c r="M2448" s="16" t="n">
        <f aca="false">K2448-L2448</f>
        <v>276.54</v>
      </c>
      <c r="N2448" s="17" t="n">
        <f aca="false">IFERROR(M2448/K2448,0)</f>
        <v>0.582753824756606</v>
      </c>
    </row>
    <row r="2449" customFormat="false" ht="15" hidden="false" customHeight="false" outlineLevel="0" collapsed="false">
      <c r="A2449" s="15" t="n">
        <v>46125</v>
      </c>
      <c r="B2449" s="14" t="s">
        <v>42</v>
      </c>
      <c r="C2449" s="14" t="s">
        <v>43</v>
      </c>
      <c r="D2449" s="14" t="s">
        <v>44</v>
      </c>
      <c r="E2449" s="14" t="s">
        <v>53</v>
      </c>
      <c r="F2449" s="14" t="s">
        <v>92</v>
      </c>
      <c r="G2449" s="14" t="s">
        <v>93</v>
      </c>
      <c r="H2449" s="0" t="n">
        <v>12</v>
      </c>
      <c r="I2449" s="16" t="n">
        <v>118.65</v>
      </c>
      <c r="J2449" s="16" t="n">
        <v>52</v>
      </c>
      <c r="K2449" s="16" t="n">
        <f aca="false">H2449*I2449</f>
        <v>1423.8</v>
      </c>
      <c r="L2449" s="16" t="n">
        <f aca="false">H2449*J2449</f>
        <v>624</v>
      </c>
      <c r="M2449" s="16" t="n">
        <f aca="false">K2449-L2449</f>
        <v>799.8</v>
      </c>
      <c r="N2449" s="17" t="n">
        <f aca="false">IFERROR(M2449/K2449,0)</f>
        <v>0.561736198904341</v>
      </c>
    </row>
    <row r="2450" customFormat="false" ht="15" hidden="false" customHeight="false" outlineLevel="0" collapsed="false">
      <c r="A2450" s="15" t="n">
        <v>46125</v>
      </c>
      <c r="B2450" s="14" t="s">
        <v>42</v>
      </c>
      <c r="C2450" s="14" t="s">
        <v>43</v>
      </c>
      <c r="D2450" s="14" t="s">
        <v>44</v>
      </c>
      <c r="E2450" s="14" t="s">
        <v>56</v>
      </c>
      <c r="F2450" s="14" t="s">
        <v>98</v>
      </c>
      <c r="G2450" s="14" t="s">
        <v>99</v>
      </c>
      <c r="H2450" s="0" t="n">
        <v>10</v>
      </c>
      <c r="I2450" s="16" t="n">
        <v>20.5</v>
      </c>
      <c r="J2450" s="16" t="n">
        <v>8</v>
      </c>
      <c r="K2450" s="16" t="n">
        <f aca="false">H2450*I2450</f>
        <v>205</v>
      </c>
      <c r="L2450" s="16" t="n">
        <f aca="false">H2450*J2450</f>
        <v>80</v>
      </c>
      <c r="M2450" s="16" t="n">
        <f aca="false">K2450-L2450</f>
        <v>125</v>
      </c>
      <c r="N2450" s="17" t="n">
        <f aca="false">IFERROR(M2450/K2450,0)</f>
        <v>0.609756097560976</v>
      </c>
    </row>
    <row r="2451" customFormat="false" ht="15" hidden="false" customHeight="false" outlineLevel="0" collapsed="false">
      <c r="A2451" s="15" t="n">
        <v>46125</v>
      </c>
      <c r="B2451" s="14" t="s">
        <v>42</v>
      </c>
      <c r="C2451" s="14" t="s">
        <v>43</v>
      </c>
      <c r="D2451" s="14" t="s">
        <v>44</v>
      </c>
      <c r="E2451" s="14" t="s">
        <v>45</v>
      </c>
      <c r="F2451" s="14" t="s">
        <v>62</v>
      </c>
      <c r="G2451" s="14" t="s">
        <v>63</v>
      </c>
      <c r="H2451" s="0" t="n">
        <v>5</v>
      </c>
      <c r="I2451" s="16" t="n">
        <v>17.74</v>
      </c>
      <c r="J2451" s="16" t="n">
        <v>6.5</v>
      </c>
      <c r="K2451" s="16" t="n">
        <f aca="false">H2451*I2451</f>
        <v>88.7</v>
      </c>
      <c r="L2451" s="16" t="n">
        <f aca="false">H2451*J2451</f>
        <v>32.5</v>
      </c>
      <c r="M2451" s="16" t="n">
        <f aca="false">K2451-L2451</f>
        <v>56.2</v>
      </c>
      <c r="N2451" s="17" t="n">
        <f aca="false">IFERROR(M2451/K2451,0)</f>
        <v>0.633596392333709</v>
      </c>
    </row>
    <row r="2452" customFormat="false" ht="15" hidden="false" customHeight="false" outlineLevel="0" collapsed="false">
      <c r="A2452" s="15" t="n">
        <v>46125</v>
      </c>
      <c r="B2452" s="14" t="s">
        <v>50</v>
      </c>
      <c r="C2452" s="14" t="s">
        <v>51</v>
      </c>
      <c r="D2452" s="14" t="s">
        <v>52</v>
      </c>
      <c r="E2452" s="14" t="s">
        <v>53</v>
      </c>
      <c r="F2452" s="14" t="s">
        <v>54</v>
      </c>
      <c r="G2452" s="14" t="s">
        <v>55</v>
      </c>
      <c r="H2452" s="0" t="n">
        <v>11</v>
      </c>
      <c r="I2452" s="16" t="n">
        <v>52.71</v>
      </c>
      <c r="J2452" s="16" t="n">
        <v>22</v>
      </c>
      <c r="K2452" s="16" t="n">
        <f aca="false">H2452*I2452</f>
        <v>579.81</v>
      </c>
      <c r="L2452" s="16" t="n">
        <f aca="false">H2452*J2452</f>
        <v>242</v>
      </c>
      <c r="M2452" s="16" t="n">
        <f aca="false">K2452-L2452</f>
        <v>337.81</v>
      </c>
      <c r="N2452" s="17" t="n">
        <f aca="false">IFERROR(M2452/K2452,0)</f>
        <v>0.582621893378866</v>
      </c>
    </row>
    <row r="2453" customFormat="false" ht="15" hidden="false" customHeight="false" outlineLevel="0" collapsed="false">
      <c r="A2453" s="15" t="n">
        <v>46125</v>
      </c>
      <c r="B2453" s="14" t="s">
        <v>50</v>
      </c>
      <c r="C2453" s="14" t="s">
        <v>51</v>
      </c>
      <c r="D2453" s="14" t="s">
        <v>52</v>
      </c>
      <c r="E2453" s="14" t="s">
        <v>76</v>
      </c>
      <c r="F2453" s="14" t="s">
        <v>79</v>
      </c>
      <c r="G2453" s="14" t="s">
        <v>80</v>
      </c>
      <c r="H2453" s="0" t="n">
        <v>9</v>
      </c>
      <c r="I2453" s="16" t="n">
        <v>28.48</v>
      </c>
      <c r="J2453" s="16" t="n">
        <v>11</v>
      </c>
      <c r="K2453" s="16" t="n">
        <f aca="false">H2453*I2453</f>
        <v>256.32</v>
      </c>
      <c r="L2453" s="16" t="n">
        <f aca="false">H2453*J2453</f>
        <v>99</v>
      </c>
      <c r="M2453" s="16" t="n">
        <f aca="false">K2453-L2453</f>
        <v>157.32</v>
      </c>
      <c r="N2453" s="17" t="n">
        <f aca="false">IFERROR(M2453/K2453,0)</f>
        <v>0.61376404494382</v>
      </c>
    </row>
    <row r="2454" customFormat="false" ht="15" hidden="false" customHeight="false" outlineLevel="0" collapsed="false">
      <c r="A2454" s="15" t="n">
        <v>46125</v>
      </c>
      <c r="B2454" s="14" t="s">
        <v>50</v>
      </c>
      <c r="C2454" s="14" t="s">
        <v>51</v>
      </c>
      <c r="D2454" s="14" t="s">
        <v>52</v>
      </c>
      <c r="E2454" s="14" t="s">
        <v>76</v>
      </c>
      <c r="F2454" s="14" t="s">
        <v>100</v>
      </c>
      <c r="G2454" s="14" t="s">
        <v>101</v>
      </c>
      <c r="H2454" s="0" t="n">
        <v>8</v>
      </c>
      <c r="I2454" s="16" t="n">
        <v>15.61</v>
      </c>
      <c r="J2454" s="16" t="n">
        <v>5.5</v>
      </c>
      <c r="K2454" s="16" t="n">
        <f aca="false">H2454*I2454</f>
        <v>124.88</v>
      </c>
      <c r="L2454" s="16" t="n">
        <f aca="false">H2454*J2454</f>
        <v>44</v>
      </c>
      <c r="M2454" s="16" t="n">
        <f aca="false">K2454-L2454</f>
        <v>80.88</v>
      </c>
      <c r="N2454" s="17" t="n">
        <f aca="false">IFERROR(M2454/K2454,0)</f>
        <v>0.647661755285074</v>
      </c>
    </row>
    <row r="2455" customFormat="false" ht="15" hidden="false" customHeight="false" outlineLevel="0" collapsed="false">
      <c r="A2455" s="15" t="n">
        <v>46125</v>
      </c>
      <c r="B2455" s="14" t="s">
        <v>59</v>
      </c>
      <c r="C2455" s="14" t="s">
        <v>60</v>
      </c>
      <c r="D2455" s="14" t="s">
        <v>61</v>
      </c>
      <c r="E2455" s="14" t="s">
        <v>64</v>
      </c>
      <c r="F2455" s="14" t="s">
        <v>90</v>
      </c>
      <c r="G2455" s="14" t="s">
        <v>91</v>
      </c>
      <c r="H2455" s="0" t="n">
        <v>6</v>
      </c>
      <c r="I2455" s="16" t="n">
        <v>11.18</v>
      </c>
      <c r="J2455" s="16" t="n">
        <v>3.5</v>
      </c>
      <c r="K2455" s="16" t="n">
        <f aca="false">H2455*I2455</f>
        <v>67.08</v>
      </c>
      <c r="L2455" s="16" t="n">
        <f aca="false">H2455*J2455</f>
        <v>21</v>
      </c>
      <c r="M2455" s="16" t="n">
        <f aca="false">K2455-L2455</f>
        <v>46.08</v>
      </c>
      <c r="N2455" s="17" t="n">
        <f aca="false">IFERROR(M2455/K2455,0)</f>
        <v>0.686940966010733</v>
      </c>
    </row>
    <row r="2456" customFormat="false" ht="15" hidden="false" customHeight="false" outlineLevel="0" collapsed="false">
      <c r="A2456" s="15" t="n">
        <v>46125</v>
      </c>
      <c r="B2456" s="14" t="s">
        <v>59</v>
      </c>
      <c r="C2456" s="14" t="s">
        <v>60</v>
      </c>
      <c r="D2456" s="14" t="s">
        <v>61</v>
      </c>
      <c r="E2456" s="14" t="s">
        <v>76</v>
      </c>
      <c r="F2456" s="14" t="s">
        <v>100</v>
      </c>
      <c r="G2456" s="14" t="s">
        <v>101</v>
      </c>
      <c r="H2456" s="0" t="n">
        <v>2</v>
      </c>
      <c r="I2456" s="16" t="n">
        <v>15.44</v>
      </c>
      <c r="J2456" s="16" t="n">
        <v>5.5</v>
      </c>
      <c r="K2456" s="16" t="n">
        <f aca="false">H2456*I2456</f>
        <v>30.88</v>
      </c>
      <c r="L2456" s="16" t="n">
        <f aca="false">H2456*J2456</f>
        <v>11</v>
      </c>
      <c r="M2456" s="16" t="n">
        <f aca="false">K2456-L2456</f>
        <v>19.88</v>
      </c>
      <c r="N2456" s="17" t="n">
        <f aca="false">IFERROR(M2456/K2456,0)</f>
        <v>0.643782383419689</v>
      </c>
    </row>
    <row r="2457" customFormat="false" ht="15" hidden="false" customHeight="false" outlineLevel="0" collapsed="false">
      <c r="A2457" s="15" t="n">
        <v>46125</v>
      </c>
      <c r="B2457" s="14" t="s">
        <v>69</v>
      </c>
      <c r="C2457" s="14" t="s">
        <v>70</v>
      </c>
      <c r="D2457" s="14" t="s">
        <v>71</v>
      </c>
      <c r="E2457" s="14" t="s">
        <v>56</v>
      </c>
      <c r="F2457" s="14" t="s">
        <v>67</v>
      </c>
      <c r="G2457" s="14" t="s">
        <v>68</v>
      </c>
      <c r="H2457" s="0" t="n">
        <v>1</v>
      </c>
      <c r="I2457" s="16" t="n">
        <v>36.92</v>
      </c>
      <c r="J2457" s="16" t="n">
        <v>15</v>
      </c>
      <c r="K2457" s="16" t="n">
        <f aca="false">H2457*I2457</f>
        <v>36.92</v>
      </c>
      <c r="L2457" s="16" t="n">
        <f aca="false">H2457*J2457</f>
        <v>15</v>
      </c>
      <c r="M2457" s="16" t="n">
        <f aca="false">K2457-L2457</f>
        <v>21.92</v>
      </c>
      <c r="N2457" s="17" t="n">
        <f aca="false">IFERROR(M2457/K2457,0)</f>
        <v>0.593716143011918</v>
      </c>
    </row>
    <row r="2458" customFormat="false" ht="15" hidden="false" customHeight="false" outlineLevel="0" collapsed="false">
      <c r="A2458" s="15" t="n">
        <v>46125</v>
      </c>
      <c r="B2458" s="14" t="s">
        <v>69</v>
      </c>
      <c r="C2458" s="14" t="s">
        <v>70</v>
      </c>
      <c r="D2458" s="14" t="s">
        <v>71</v>
      </c>
      <c r="E2458" s="14" t="s">
        <v>56</v>
      </c>
      <c r="F2458" s="14" t="s">
        <v>57</v>
      </c>
      <c r="G2458" s="14" t="s">
        <v>58</v>
      </c>
      <c r="H2458" s="0" t="n">
        <v>1</v>
      </c>
      <c r="I2458" s="16" t="n">
        <v>26.8</v>
      </c>
      <c r="J2458" s="16" t="n">
        <v>10</v>
      </c>
      <c r="K2458" s="16" t="n">
        <f aca="false">H2458*I2458</f>
        <v>26.8</v>
      </c>
      <c r="L2458" s="16" t="n">
        <f aca="false">H2458*J2458</f>
        <v>10</v>
      </c>
      <c r="M2458" s="16" t="n">
        <f aca="false">K2458-L2458</f>
        <v>16.8</v>
      </c>
      <c r="N2458" s="17" t="n">
        <f aca="false">IFERROR(M2458/K2458,0)</f>
        <v>0.626865671641791</v>
      </c>
    </row>
    <row r="2459" customFormat="false" ht="15" hidden="false" customHeight="false" outlineLevel="0" collapsed="false">
      <c r="A2459" s="15" t="n">
        <v>46125</v>
      </c>
      <c r="B2459" s="14" t="s">
        <v>81</v>
      </c>
      <c r="C2459" s="14" t="s">
        <v>82</v>
      </c>
      <c r="D2459" s="14" t="s">
        <v>83</v>
      </c>
      <c r="E2459" s="14" t="s">
        <v>53</v>
      </c>
      <c r="F2459" s="14" t="s">
        <v>84</v>
      </c>
      <c r="G2459" s="14" t="s">
        <v>85</v>
      </c>
      <c r="H2459" s="0" t="n">
        <v>7</v>
      </c>
      <c r="I2459" s="16" t="n">
        <v>23.55</v>
      </c>
      <c r="J2459" s="16" t="n">
        <v>9</v>
      </c>
      <c r="K2459" s="16" t="n">
        <f aca="false">H2459*I2459</f>
        <v>164.85</v>
      </c>
      <c r="L2459" s="16" t="n">
        <f aca="false">H2459*J2459</f>
        <v>63</v>
      </c>
      <c r="M2459" s="16" t="n">
        <f aca="false">K2459-L2459</f>
        <v>101.85</v>
      </c>
      <c r="N2459" s="17" t="n">
        <f aca="false">IFERROR(M2459/K2459,0)</f>
        <v>0.617834394904459</v>
      </c>
    </row>
    <row r="2460" customFormat="false" ht="15" hidden="false" customHeight="false" outlineLevel="0" collapsed="false">
      <c r="A2460" s="15" t="n">
        <v>46125</v>
      </c>
      <c r="B2460" s="14" t="s">
        <v>81</v>
      </c>
      <c r="C2460" s="14" t="s">
        <v>82</v>
      </c>
      <c r="D2460" s="14" t="s">
        <v>83</v>
      </c>
      <c r="E2460" s="14" t="s">
        <v>53</v>
      </c>
      <c r="F2460" s="14" t="s">
        <v>92</v>
      </c>
      <c r="G2460" s="14" t="s">
        <v>93</v>
      </c>
      <c r="H2460" s="0" t="n">
        <v>3</v>
      </c>
      <c r="I2460" s="16" t="n">
        <v>113.75</v>
      </c>
      <c r="J2460" s="16" t="n">
        <v>52</v>
      </c>
      <c r="K2460" s="16" t="n">
        <f aca="false">H2460*I2460</f>
        <v>341.25</v>
      </c>
      <c r="L2460" s="16" t="n">
        <f aca="false">H2460*J2460</f>
        <v>156</v>
      </c>
      <c r="M2460" s="16" t="n">
        <f aca="false">K2460-L2460</f>
        <v>185.25</v>
      </c>
      <c r="N2460" s="17" t="n">
        <f aca="false">IFERROR(M2460/K2460,0)</f>
        <v>0.542857142857143</v>
      </c>
    </row>
    <row r="2461" customFormat="false" ht="15" hidden="false" customHeight="false" outlineLevel="0" collapsed="false">
      <c r="A2461" s="15" t="n">
        <v>46125</v>
      </c>
      <c r="B2461" s="14" t="s">
        <v>81</v>
      </c>
      <c r="C2461" s="14" t="s">
        <v>82</v>
      </c>
      <c r="D2461" s="14" t="s">
        <v>83</v>
      </c>
      <c r="E2461" s="14" t="s">
        <v>56</v>
      </c>
      <c r="F2461" s="14" t="s">
        <v>57</v>
      </c>
      <c r="G2461" s="14" t="s">
        <v>58</v>
      </c>
      <c r="H2461" s="0" t="n">
        <v>2</v>
      </c>
      <c r="I2461" s="16" t="n">
        <v>25.22</v>
      </c>
      <c r="J2461" s="16" t="n">
        <v>10</v>
      </c>
      <c r="K2461" s="16" t="n">
        <f aca="false">H2461*I2461</f>
        <v>50.44</v>
      </c>
      <c r="L2461" s="16" t="n">
        <f aca="false">H2461*J2461</f>
        <v>20</v>
      </c>
      <c r="M2461" s="16" t="n">
        <f aca="false">K2461-L2461</f>
        <v>30.44</v>
      </c>
      <c r="N2461" s="17" t="n">
        <f aca="false">IFERROR(M2461/K2461,0)</f>
        <v>0.603489294210944</v>
      </c>
    </row>
    <row r="2462" customFormat="false" ht="15" hidden="false" customHeight="false" outlineLevel="0" collapsed="false">
      <c r="A2462" s="15" t="n">
        <v>46125</v>
      </c>
      <c r="B2462" s="14" t="s">
        <v>81</v>
      </c>
      <c r="C2462" s="14" t="s">
        <v>82</v>
      </c>
      <c r="D2462" s="14" t="s">
        <v>83</v>
      </c>
      <c r="E2462" s="14" t="s">
        <v>53</v>
      </c>
      <c r="F2462" s="14" t="s">
        <v>92</v>
      </c>
      <c r="G2462" s="14" t="s">
        <v>93</v>
      </c>
      <c r="H2462" s="0" t="n">
        <v>5</v>
      </c>
      <c r="I2462" s="16" t="n">
        <v>114.81</v>
      </c>
      <c r="J2462" s="16" t="n">
        <v>52</v>
      </c>
      <c r="K2462" s="16" t="n">
        <f aca="false">H2462*I2462</f>
        <v>574.05</v>
      </c>
      <c r="L2462" s="16" t="n">
        <f aca="false">H2462*J2462</f>
        <v>260</v>
      </c>
      <c r="M2462" s="16" t="n">
        <f aca="false">K2462-L2462</f>
        <v>314.05</v>
      </c>
      <c r="N2462" s="17" t="n">
        <f aca="false">IFERROR(M2462/K2462,0)</f>
        <v>0.547077780681125</v>
      </c>
    </row>
    <row r="2463" customFormat="false" ht="15" hidden="false" customHeight="false" outlineLevel="0" collapsed="false">
      <c r="A2463" s="15" t="n">
        <v>46125</v>
      </c>
      <c r="B2463" s="14" t="s">
        <v>88</v>
      </c>
      <c r="C2463" s="14" t="s">
        <v>89</v>
      </c>
      <c r="D2463" s="14" t="s">
        <v>44</v>
      </c>
      <c r="E2463" s="14" t="s">
        <v>76</v>
      </c>
      <c r="F2463" s="14" t="s">
        <v>102</v>
      </c>
      <c r="G2463" s="14" t="s">
        <v>103</v>
      </c>
      <c r="H2463" s="0" t="n">
        <v>7</v>
      </c>
      <c r="I2463" s="16" t="n">
        <v>22.21</v>
      </c>
      <c r="J2463" s="16" t="n">
        <v>8.5</v>
      </c>
      <c r="K2463" s="16" t="n">
        <f aca="false">H2463*I2463</f>
        <v>155.47</v>
      </c>
      <c r="L2463" s="16" t="n">
        <f aca="false">H2463*J2463</f>
        <v>59.5</v>
      </c>
      <c r="M2463" s="16" t="n">
        <f aca="false">K2463-L2463</f>
        <v>95.97</v>
      </c>
      <c r="N2463" s="17" t="n">
        <f aca="false">IFERROR(M2463/K2463,0)</f>
        <v>0.617289509230077</v>
      </c>
    </row>
    <row r="2464" customFormat="false" ht="15" hidden="false" customHeight="false" outlineLevel="0" collapsed="false">
      <c r="A2464" s="15" t="n">
        <v>46125</v>
      </c>
      <c r="B2464" s="14" t="s">
        <v>88</v>
      </c>
      <c r="C2464" s="14" t="s">
        <v>89</v>
      </c>
      <c r="D2464" s="14" t="s">
        <v>44</v>
      </c>
      <c r="E2464" s="14" t="s">
        <v>64</v>
      </c>
      <c r="F2464" s="14" t="s">
        <v>90</v>
      </c>
      <c r="G2464" s="14" t="s">
        <v>91</v>
      </c>
      <c r="H2464" s="0" t="n">
        <v>8</v>
      </c>
      <c r="I2464" s="16" t="n">
        <v>11.62</v>
      </c>
      <c r="J2464" s="16" t="n">
        <v>3.5</v>
      </c>
      <c r="K2464" s="16" t="n">
        <f aca="false">H2464*I2464</f>
        <v>92.96</v>
      </c>
      <c r="L2464" s="16" t="n">
        <f aca="false">H2464*J2464</f>
        <v>28</v>
      </c>
      <c r="M2464" s="16" t="n">
        <f aca="false">K2464-L2464</f>
        <v>64.96</v>
      </c>
      <c r="N2464" s="17" t="n">
        <f aca="false">IFERROR(M2464/K2464,0)</f>
        <v>0.698795180722892</v>
      </c>
    </row>
    <row r="2465" customFormat="false" ht="15" hidden="false" customHeight="false" outlineLevel="0" collapsed="false">
      <c r="A2465" s="15" t="n">
        <v>46125</v>
      </c>
      <c r="B2465" s="14" t="s">
        <v>88</v>
      </c>
      <c r="C2465" s="14" t="s">
        <v>89</v>
      </c>
      <c r="D2465" s="14" t="s">
        <v>44</v>
      </c>
      <c r="E2465" s="14" t="s">
        <v>53</v>
      </c>
      <c r="F2465" s="14" t="s">
        <v>92</v>
      </c>
      <c r="G2465" s="14" t="s">
        <v>93</v>
      </c>
      <c r="H2465" s="0" t="n">
        <v>4</v>
      </c>
      <c r="I2465" s="16" t="n">
        <v>117.1</v>
      </c>
      <c r="J2465" s="16" t="n">
        <v>52</v>
      </c>
      <c r="K2465" s="16" t="n">
        <f aca="false">H2465*I2465</f>
        <v>468.4</v>
      </c>
      <c r="L2465" s="16" t="n">
        <f aca="false">H2465*J2465</f>
        <v>208</v>
      </c>
      <c r="M2465" s="16" t="n">
        <f aca="false">K2465-L2465</f>
        <v>260.4</v>
      </c>
      <c r="N2465" s="17" t="n">
        <f aca="false">IFERROR(M2465/K2465,0)</f>
        <v>0.555935098206661</v>
      </c>
    </row>
    <row r="2466" customFormat="false" ht="15" hidden="false" customHeight="false" outlineLevel="0" collapsed="false">
      <c r="A2466" s="15" t="n">
        <v>46126</v>
      </c>
      <c r="B2466" s="14" t="s">
        <v>42</v>
      </c>
      <c r="C2466" s="14" t="s">
        <v>43</v>
      </c>
      <c r="D2466" s="14" t="s">
        <v>44</v>
      </c>
      <c r="E2466" s="14" t="s">
        <v>56</v>
      </c>
      <c r="F2466" s="14" t="s">
        <v>67</v>
      </c>
      <c r="G2466" s="14" t="s">
        <v>68</v>
      </c>
      <c r="H2466" s="0" t="n">
        <v>10</v>
      </c>
      <c r="I2466" s="16" t="n">
        <v>35.17</v>
      </c>
      <c r="J2466" s="16" t="n">
        <v>15</v>
      </c>
      <c r="K2466" s="16" t="n">
        <f aca="false">H2466*I2466</f>
        <v>351.7</v>
      </c>
      <c r="L2466" s="16" t="n">
        <f aca="false">H2466*J2466</f>
        <v>150</v>
      </c>
      <c r="M2466" s="16" t="n">
        <f aca="false">K2466-L2466</f>
        <v>201.7</v>
      </c>
      <c r="N2466" s="17" t="n">
        <f aca="false">IFERROR(M2466/K2466,0)</f>
        <v>0.573500142166619</v>
      </c>
    </row>
    <row r="2467" customFormat="false" ht="15" hidden="false" customHeight="false" outlineLevel="0" collapsed="false">
      <c r="A2467" s="15" t="n">
        <v>46126</v>
      </c>
      <c r="B2467" s="14" t="s">
        <v>42</v>
      </c>
      <c r="C2467" s="14" t="s">
        <v>43</v>
      </c>
      <c r="D2467" s="14" t="s">
        <v>44</v>
      </c>
      <c r="E2467" s="14" t="s">
        <v>45</v>
      </c>
      <c r="F2467" s="14" t="s">
        <v>62</v>
      </c>
      <c r="G2467" s="14" t="s">
        <v>63</v>
      </c>
      <c r="H2467" s="0" t="n">
        <v>6</v>
      </c>
      <c r="I2467" s="16" t="n">
        <v>16.7</v>
      </c>
      <c r="J2467" s="16" t="n">
        <v>6.5</v>
      </c>
      <c r="K2467" s="16" t="n">
        <f aca="false">H2467*I2467</f>
        <v>100.2</v>
      </c>
      <c r="L2467" s="16" t="n">
        <f aca="false">H2467*J2467</f>
        <v>39</v>
      </c>
      <c r="M2467" s="16" t="n">
        <f aca="false">K2467-L2467</f>
        <v>61.2</v>
      </c>
      <c r="N2467" s="17" t="n">
        <f aca="false">IFERROR(M2467/K2467,0)</f>
        <v>0.610778443113772</v>
      </c>
    </row>
    <row r="2468" customFormat="false" ht="15" hidden="false" customHeight="false" outlineLevel="0" collapsed="false">
      <c r="A2468" s="15" t="n">
        <v>46126</v>
      </c>
      <c r="B2468" s="14" t="s">
        <v>42</v>
      </c>
      <c r="C2468" s="14" t="s">
        <v>43</v>
      </c>
      <c r="D2468" s="14" t="s">
        <v>44</v>
      </c>
      <c r="E2468" s="14" t="s">
        <v>45</v>
      </c>
      <c r="F2468" s="14" t="s">
        <v>72</v>
      </c>
      <c r="G2468" s="14" t="s">
        <v>73</v>
      </c>
      <c r="H2468" s="0" t="n">
        <v>12</v>
      </c>
      <c r="I2468" s="16" t="n">
        <v>49.19</v>
      </c>
      <c r="J2468" s="16" t="n">
        <v>21</v>
      </c>
      <c r="K2468" s="16" t="n">
        <f aca="false">H2468*I2468</f>
        <v>590.28</v>
      </c>
      <c r="L2468" s="16" t="n">
        <f aca="false">H2468*J2468</f>
        <v>252</v>
      </c>
      <c r="M2468" s="16" t="n">
        <f aca="false">K2468-L2468</f>
        <v>338.28</v>
      </c>
      <c r="N2468" s="17" t="n">
        <f aca="false">IFERROR(M2468/K2468,0)</f>
        <v>0.573083960154503</v>
      </c>
    </row>
    <row r="2469" customFormat="false" ht="15" hidden="false" customHeight="false" outlineLevel="0" collapsed="false">
      <c r="A2469" s="15" t="n">
        <v>46126</v>
      </c>
      <c r="B2469" s="14" t="s">
        <v>42</v>
      </c>
      <c r="C2469" s="14" t="s">
        <v>43</v>
      </c>
      <c r="D2469" s="14" t="s">
        <v>44</v>
      </c>
      <c r="E2469" s="14" t="s">
        <v>53</v>
      </c>
      <c r="F2469" s="14" t="s">
        <v>54</v>
      </c>
      <c r="G2469" s="14" t="s">
        <v>55</v>
      </c>
      <c r="H2469" s="0" t="n">
        <v>3</v>
      </c>
      <c r="I2469" s="16" t="n">
        <v>54.56</v>
      </c>
      <c r="J2469" s="16" t="n">
        <v>22</v>
      </c>
      <c r="K2469" s="16" t="n">
        <f aca="false">H2469*I2469</f>
        <v>163.68</v>
      </c>
      <c r="L2469" s="16" t="n">
        <f aca="false">H2469*J2469</f>
        <v>66</v>
      </c>
      <c r="M2469" s="16" t="n">
        <f aca="false">K2469-L2469</f>
        <v>97.68</v>
      </c>
      <c r="N2469" s="17" t="n">
        <f aca="false">IFERROR(M2469/K2469,0)</f>
        <v>0.596774193548387</v>
      </c>
    </row>
    <row r="2470" customFormat="false" ht="15" hidden="false" customHeight="false" outlineLevel="0" collapsed="false">
      <c r="A2470" s="15" t="n">
        <v>46126</v>
      </c>
      <c r="B2470" s="14" t="s">
        <v>42</v>
      </c>
      <c r="C2470" s="14" t="s">
        <v>43</v>
      </c>
      <c r="D2470" s="14" t="s">
        <v>44</v>
      </c>
      <c r="E2470" s="14" t="s">
        <v>53</v>
      </c>
      <c r="F2470" s="14" t="s">
        <v>84</v>
      </c>
      <c r="G2470" s="14" t="s">
        <v>85</v>
      </c>
      <c r="H2470" s="0" t="n">
        <v>10</v>
      </c>
      <c r="I2470" s="16" t="n">
        <v>24.84</v>
      </c>
      <c r="J2470" s="16" t="n">
        <v>9</v>
      </c>
      <c r="K2470" s="16" t="n">
        <f aca="false">H2470*I2470</f>
        <v>248.4</v>
      </c>
      <c r="L2470" s="16" t="n">
        <f aca="false">H2470*J2470</f>
        <v>90</v>
      </c>
      <c r="M2470" s="16" t="n">
        <f aca="false">K2470-L2470</f>
        <v>158.4</v>
      </c>
      <c r="N2470" s="17" t="n">
        <f aca="false">IFERROR(M2470/K2470,0)</f>
        <v>0.63768115942029</v>
      </c>
    </row>
    <row r="2471" customFormat="false" ht="15" hidden="false" customHeight="false" outlineLevel="0" collapsed="false">
      <c r="A2471" s="15" t="n">
        <v>46126</v>
      </c>
      <c r="B2471" s="14" t="s">
        <v>42</v>
      </c>
      <c r="C2471" s="14" t="s">
        <v>43</v>
      </c>
      <c r="D2471" s="14" t="s">
        <v>44</v>
      </c>
      <c r="E2471" s="14" t="s">
        <v>45</v>
      </c>
      <c r="F2471" s="14" t="s">
        <v>46</v>
      </c>
      <c r="G2471" s="14" t="s">
        <v>47</v>
      </c>
      <c r="H2471" s="0" t="n">
        <v>3</v>
      </c>
      <c r="I2471" s="16" t="n">
        <v>41.53</v>
      </c>
      <c r="J2471" s="16" t="n">
        <v>18</v>
      </c>
      <c r="K2471" s="16" t="n">
        <f aca="false">H2471*I2471</f>
        <v>124.59</v>
      </c>
      <c r="L2471" s="16" t="n">
        <f aca="false">H2471*J2471</f>
        <v>54</v>
      </c>
      <c r="M2471" s="16" t="n">
        <f aca="false">K2471-L2471</f>
        <v>70.59</v>
      </c>
      <c r="N2471" s="17" t="n">
        <f aca="false">IFERROR(M2471/K2471,0)</f>
        <v>0.566578377076812</v>
      </c>
    </row>
    <row r="2472" customFormat="false" ht="15" hidden="false" customHeight="false" outlineLevel="0" collapsed="false">
      <c r="A2472" s="15" t="n">
        <v>46126</v>
      </c>
      <c r="B2472" s="14" t="s">
        <v>50</v>
      </c>
      <c r="C2472" s="14" t="s">
        <v>51</v>
      </c>
      <c r="D2472" s="14" t="s">
        <v>52</v>
      </c>
      <c r="E2472" s="14" t="s">
        <v>64</v>
      </c>
      <c r="F2472" s="14" t="s">
        <v>94</v>
      </c>
      <c r="G2472" s="14" t="s">
        <v>95</v>
      </c>
      <c r="H2472" s="0" t="n">
        <v>1</v>
      </c>
      <c r="I2472" s="16" t="n">
        <v>98.39</v>
      </c>
      <c r="J2472" s="16" t="n">
        <v>42</v>
      </c>
      <c r="K2472" s="16" t="n">
        <f aca="false">H2472*I2472</f>
        <v>98.39</v>
      </c>
      <c r="L2472" s="16" t="n">
        <f aca="false">H2472*J2472</f>
        <v>42</v>
      </c>
      <c r="M2472" s="16" t="n">
        <f aca="false">K2472-L2472</f>
        <v>56.39</v>
      </c>
      <c r="N2472" s="17" t="n">
        <f aca="false">IFERROR(M2472/K2472,0)</f>
        <v>0.573127350340482</v>
      </c>
    </row>
    <row r="2473" customFormat="false" ht="15" hidden="false" customHeight="false" outlineLevel="0" collapsed="false">
      <c r="A2473" s="15" t="n">
        <v>46126</v>
      </c>
      <c r="B2473" s="14" t="s">
        <v>50</v>
      </c>
      <c r="C2473" s="14" t="s">
        <v>51</v>
      </c>
      <c r="D2473" s="14" t="s">
        <v>52</v>
      </c>
      <c r="E2473" s="14" t="s">
        <v>76</v>
      </c>
      <c r="F2473" s="14" t="s">
        <v>79</v>
      </c>
      <c r="G2473" s="14" t="s">
        <v>80</v>
      </c>
      <c r="H2473" s="0" t="n">
        <v>9</v>
      </c>
      <c r="I2473" s="16" t="n">
        <v>28.51</v>
      </c>
      <c r="J2473" s="16" t="n">
        <v>11</v>
      </c>
      <c r="K2473" s="16" t="n">
        <f aca="false">H2473*I2473</f>
        <v>256.59</v>
      </c>
      <c r="L2473" s="16" t="n">
        <f aca="false">H2473*J2473</f>
        <v>99</v>
      </c>
      <c r="M2473" s="16" t="n">
        <f aca="false">K2473-L2473</f>
        <v>157.59</v>
      </c>
      <c r="N2473" s="17" t="n">
        <f aca="false">IFERROR(M2473/K2473,0)</f>
        <v>0.614170466502982</v>
      </c>
    </row>
    <row r="2474" customFormat="false" ht="15" hidden="false" customHeight="false" outlineLevel="0" collapsed="false">
      <c r="A2474" s="15" t="n">
        <v>46126</v>
      </c>
      <c r="B2474" s="14" t="s">
        <v>59</v>
      </c>
      <c r="C2474" s="14" t="s">
        <v>60</v>
      </c>
      <c r="D2474" s="14" t="s">
        <v>61</v>
      </c>
      <c r="E2474" s="14" t="s">
        <v>56</v>
      </c>
      <c r="F2474" s="14" t="s">
        <v>86</v>
      </c>
      <c r="G2474" s="14" t="s">
        <v>87</v>
      </c>
      <c r="H2474" s="0" t="n">
        <v>4</v>
      </c>
      <c r="I2474" s="16" t="n">
        <v>14.1</v>
      </c>
      <c r="J2474" s="16" t="n">
        <v>5</v>
      </c>
      <c r="K2474" s="16" t="n">
        <f aca="false">H2474*I2474</f>
        <v>56.4</v>
      </c>
      <c r="L2474" s="16" t="n">
        <f aca="false">H2474*J2474</f>
        <v>20</v>
      </c>
      <c r="M2474" s="16" t="n">
        <f aca="false">K2474-L2474</f>
        <v>36.4</v>
      </c>
      <c r="N2474" s="17" t="n">
        <f aca="false">IFERROR(M2474/K2474,0)</f>
        <v>0.645390070921986</v>
      </c>
    </row>
    <row r="2475" customFormat="false" ht="15" hidden="false" customHeight="false" outlineLevel="0" collapsed="false">
      <c r="A2475" s="15" t="n">
        <v>46126</v>
      </c>
      <c r="B2475" s="14" t="s">
        <v>59</v>
      </c>
      <c r="C2475" s="14" t="s">
        <v>60</v>
      </c>
      <c r="D2475" s="14" t="s">
        <v>61</v>
      </c>
      <c r="E2475" s="14" t="s">
        <v>64</v>
      </c>
      <c r="F2475" s="14" t="s">
        <v>94</v>
      </c>
      <c r="G2475" s="14" t="s">
        <v>95</v>
      </c>
      <c r="H2475" s="0" t="n">
        <v>3</v>
      </c>
      <c r="I2475" s="16" t="n">
        <v>92.67</v>
      </c>
      <c r="J2475" s="16" t="n">
        <v>42</v>
      </c>
      <c r="K2475" s="16" t="n">
        <f aca="false">H2475*I2475</f>
        <v>278.01</v>
      </c>
      <c r="L2475" s="16" t="n">
        <f aca="false">H2475*J2475</f>
        <v>126</v>
      </c>
      <c r="M2475" s="16" t="n">
        <f aca="false">K2475-L2475</f>
        <v>152.01</v>
      </c>
      <c r="N2475" s="17" t="n">
        <f aca="false">IFERROR(M2475/K2475,0)</f>
        <v>0.546778892845581</v>
      </c>
    </row>
    <row r="2476" customFormat="false" ht="15" hidden="false" customHeight="false" outlineLevel="0" collapsed="false">
      <c r="A2476" s="15" t="n">
        <v>46126</v>
      </c>
      <c r="B2476" s="14" t="s">
        <v>59</v>
      </c>
      <c r="C2476" s="14" t="s">
        <v>60</v>
      </c>
      <c r="D2476" s="14" t="s">
        <v>61</v>
      </c>
      <c r="E2476" s="14" t="s">
        <v>53</v>
      </c>
      <c r="F2476" s="14" t="s">
        <v>84</v>
      </c>
      <c r="G2476" s="14" t="s">
        <v>85</v>
      </c>
      <c r="H2476" s="0" t="n">
        <v>4</v>
      </c>
      <c r="I2476" s="16" t="n">
        <v>23.17</v>
      </c>
      <c r="J2476" s="16" t="n">
        <v>9</v>
      </c>
      <c r="K2476" s="16" t="n">
        <f aca="false">H2476*I2476</f>
        <v>92.68</v>
      </c>
      <c r="L2476" s="16" t="n">
        <f aca="false">H2476*J2476</f>
        <v>36</v>
      </c>
      <c r="M2476" s="16" t="n">
        <f aca="false">K2476-L2476</f>
        <v>56.68</v>
      </c>
      <c r="N2476" s="17" t="n">
        <f aca="false">IFERROR(M2476/K2476,0)</f>
        <v>0.611566681053086</v>
      </c>
    </row>
    <row r="2477" customFormat="false" ht="15" hidden="false" customHeight="false" outlineLevel="0" collapsed="false">
      <c r="A2477" s="15" t="n">
        <v>46126</v>
      </c>
      <c r="B2477" s="14" t="s">
        <v>59</v>
      </c>
      <c r="C2477" s="14" t="s">
        <v>60</v>
      </c>
      <c r="D2477" s="14" t="s">
        <v>61</v>
      </c>
      <c r="E2477" s="14" t="s">
        <v>45</v>
      </c>
      <c r="F2477" s="14" t="s">
        <v>48</v>
      </c>
      <c r="G2477" s="14" t="s">
        <v>49</v>
      </c>
      <c r="H2477" s="0" t="n">
        <v>4</v>
      </c>
      <c r="I2477" s="16" t="n">
        <v>62.74</v>
      </c>
      <c r="J2477" s="16" t="n">
        <v>27.5</v>
      </c>
      <c r="K2477" s="16" t="n">
        <f aca="false">H2477*I2477</f>
        <v>250.96</v>
      </c>
      <c r="L2477" s="16" t="n">
        <f aca="false">H2477*J2477</f>
        <v>110</v>
      </c>
      <c r="M2477" s="16" t="n">
        <f aca="false">K2477-L2477</f>
        <v>140.96</v>
      </c>
      <c r="N2477" s="17" t="n">
        <f aca="false">IFERROR(M2477/K2477,0)</f>
        <v>0.561683136754861</v>
      </c>
    </row>
    <row r="2478" customFormat="false" ht="15" hidden="false" customHeight="false" outlineLevel="0" collapsed="false">
      <c r="A2478" s="15" t="n">
        <v>46126</v>
      </c>
      <c r="B2478" s="14" t="s">
        <v>59</v>
      </c>
      <c r="C2478" s="14" t="s">
        <v>60</v>
      </c>
      <c r="D2478" s="14" t="s">
        <v>61</v>
      </c>
      <c r="E2478" s="14" t="s">
        <v>53</v>
      </c>
      <c r="F2478" s="14" t="s">
        <v>74</v>
      </c>
      <c r="G2478" s="14" t="s">
        <v>75</v>
      </c>
      <c r="H2478" s="0" t="n">
        <v>6</v>
      </c>
      <c r="I2478" s="16" t="n">
        <v>87.39</v>
      </c>
      <c r="J2478" s="16" t="n">
        <v>38</v>
      </c>
      <c r="K2478" s="16" t="n">
        <f aca="false">H2478*I2478</f>
        <v>524.34</v>
      </c>
      <c r="L2478" s="16" t="n">
        <f aca="false">H2478*J2478</f>
        <v>228</v>
      </c>
      <c r="M2478" s="16" t="n">
        <f aca="false">K2478-L2478</f>
        <v>296.34</v>
      </c>
      <c r="N2478" s="17" t="n">
        <f aca="false">IFERROR(M2478/K2478,0)</f>
        <v>0.565167639318</v>
      </c>
    </row>
    <row r="2479" customFormat="false" ht="15" hidden="false" customHeight="false" outlineLevel="0" collapsed="false">
      <c r="A2479" s="15" t="n">
        <v>46126</v>
      </c>
      <c r="B2479" s="14" t="s">
        <v>59</v>
      </c>
      <c r="C2479" s="14" t="s">
        <v>60</v>
      </c>
      <c r="D2479" s="14" t="s">
        <v>61</v>
      </c>
      <c r="E2479" s="14" t="s">
        <v>56</v>
      </c>
      <c r="F2479" s="14" t="s">
        <v>98</v>
      </c>
      <c r="G2479" s="14" t="s">
        <v>99</v>
      </c>
      <c r="H2479" s="0" t="n">
        <v>6</v>
      </c>
      <c r="I2479" s="16" t="n">
        <v>20.57</v>
      </c>
      <c r="J2479" s="16" t="n">
        <v>8</v>
      </c>
      <c r="K2479" s="16" t="n">
        <f aca="false">H2479*I2479</f>
        <v>123.42</v>
      </c>
      <c r="L2479" s="16" t="n">
        <f aca="false">H2479*J2479</f>
        <v>48</v>
      </c>
      <c r="M2479" s="16" t="n">
        <f aca="false">K2479-L2479</f>
        <v>75.42</v>
      </c>
      <c r="N2479" s="17" t="n">
        <f aca="false">IFERROR(M2479/K2479,0)</f>
        <v>0.611084103062713</v>
      </c>
    </row>
    <row r="2480" customFormat="false" ht="15" hidden="false" customHeight="false" outlineLevel="0" collapsed="false">
      <c r="A2480" s="15" t="n">
        <v>46126</v>
      </c>
      <c r="B2480" s="14" t="s">
        <v>69</v>
      </c>
      <c r="C2480" s="14" t="s">
        <v>70</v>
      </c>
      <c r="D2480" s="14" t="s">
        <v>71</v>
      </c>
      <c r="E2480" s="14" t="s">
        <v>64</v>
      </c>
      <c r="F2480" s="14" t="s">
        <v>96</v>
      </c>
      <c r="G2480" s="14" t="s">
        <v>97</v>
      </c>
      <c r="H2480" s="0" t="n">
        <v>3</v>
      </c>
      <c r="I2480" s="16" t="n">
        <v>56.97</v>
      </c>
      <c r="J2480" s="16" t="n">
        <v>24</v>
      </c>
      <c r="K2480" s="16" t="n">
        <f aca="false">H2480*I2480</f>
        <v>170.91</v>
      </c>
      <c r="L2480" s="16" t="n">
        <f aca="false">H2480*J2480</f>
        <v>72</v>
      </c>
      <c r="M2480" s="16" t="n">
        <f aca="false">K2480-L2480</f>
        <v>98.91</v>
      </c>
      <c r="N2480" s="17" t="n">
        <f aca="false">IFERROR(M2480/K2480,0)</f>
        <v>0.578725645076356</v>
      </c>
    </row>
    <row r="2481" customFormat="false" ht="15" hidden="false" customHeight="false" outlineLevel="0" collapsed="false">
      <c r="A2481" s="15" t="n">
        <v>46126</v>
      </c>
      <c r="B2481" s="14" t="s">
        <v>69</v>
      </c>
      <c r="C2481" s="14" t="s">
        <v>70</v>
      </c>
      <c r="D2481" s="14" t="s">
        <v>71</v>
      </c>
      <c r="E2481" s="14" t="s">
        <v>64</v>
      </c>
      <c r="F2481" s="14" t="s">
        <v>94</v>
      </c>
      <c r="G2481" s="14" t="s">
        <v>95</v>
      </c>
      <c r="H2481" s="0" t="n">
        <v>5</v>
      </c>
      <c r="I2481" s="16" t="n">
        <v>95.98</v>
      </c>
      <c r="J2481" s="16" t="n">
        <v>42</v>
      </c>
      <c r="K2481" s="16" t="n">
        <f aca="false">H2481*I2481</f>
        <v>479.9</v>
      </c>
      <c r="L2481" s="16" t="n">
        <f aca="false">H2481*J2481</f>
        <v>210</v>
      </c>
      <c r="M2481" s="16" t="n">
        <f aca="false">K2481-L2481</f>
        <v>269.9</v>
      </c>
      <c r="N2481" s="17" t="n">
        <f aca="false">IFERROR(M2481/K2481,0)</f>
        <v>0.562408835173995</v>
      </c>
    </row>
    <row r="2482" customFormat="false" ht="15" hidden="false" customHeight="false" outlineLevel="0" collapsed="false">
      <c r="A2482" s="15" t="n">
        <v>46126</v>
      </c>
      <c r="B2482" s="14" t="s">
        <v>69</v>
      </c>
      <c r="C2482" s="14" t="s">
        <v>70</v>
      </c>
      <c r="D2482" s="14" t="s">
        <v>71</v>
      </c>
      <c r="E2482" s="14" t="s">
        <v>56</v>
      </c>
      <c r="F2482" s="14" t="s">
        <v>86</v>
      </c>
      <c r="G2482" s="14" t="s">
        <v>87</v>
      </c>
      <c r="H2482" s="0" t="n">
        <v>2</v>
      </c>
      <c r="I2482" s="16" t="n">
        <v>14.33</v>
      </c>
      <c r="J2482" s="16" t="n">
        <v>5</v>
      </c>
      <c r="K2482" s="16" t="n">
        <f aca="false">H2482*I2482</f>
        <v>28.66</v>
      </c>
      <c r="L2482" s="16" t="n">
        <f aca="false">H2482*J2482</f>
        <v>10</v>
      </c>
      <c r="M2482" s="16" t="n">
        <f aca="false">K2482-L2482</f>
        <v>18.66</v>
      </c>
      <c r="N2482" s="17" t="n">
        <f aca="false">IFERROR(M2482/K2482,0)</f>
        <v>0.651081646894627</v>
      </c>
    </row>
    <row r="2483" customFormat="false" ht="15" hidden="false" customHeight="false" outlineLevel="0" collapsed="false">
      <c r="A2483" s="15" t="n">
        <v>46126</v>
      </c>
      <c r="B2483" s="14" t="s">
        <v>69</v>
      </c>
      <c r="C2483" s="14" t="s">
        <v>70</v>
      </c>
      <c r="D2483" s="14" t="s">
        <v>71</v>
      </c>
      <c r="E2483" s="14" t="s">
        <v>64</v>
      </c>
      <c r="F2483" s="14" t="s">
        <v>65</v>
      </c>
      <c r="G2483" s="14" t="s">
        <v>66</v>
      </c>
      <c r="H2483" s="0" t="n">
        <v>2</v>
      </c>
      <c r="I2483" s="16" t="n">
        <v>73.48</v>
      </c>
      <c r="J2483" s="16" t="n">
        <v>34</v>
      </c>
      <c r="K2483" s="16" t="n">
        <f aca="false">H2483*I2483</f>
        <v>146.96</v>
      </c>
      <c r="L2483" s="16" t="n">
        <f aca="false">H2483*J2483</f>
        <v>68</v>
      </c>
      <c r="M2483" s="16" t="n">
        <f aca="false">K2483-L2483</f>
        <v>78.96</v>
      </c>
      <c r="N2483" s="17" t="n">
        <f aca="false">IFERROR(M2483/K2483,0)</f>
        <v>0.537289058247142</v>
      </c>
    </row>
    <row r="2484" customFormat="false" ht="15" hidden="false" customHeight="false" outlineLevel="0" collapsed="false">
      <c r="A2484" s="15" t="n">
        <v>46126</v>
      </c>
      <c r="B2484" s="14" t="s">
        <v>69</v>
      </c>
      <c r="C2484" s="14" t="s">
        <v>70</v>
      </c>
      <c r="D2484" s="14" t="s">
        <v>71</v>
      </c>
      <c r="E2484" s="14" t="s">
        <v>56</v>
      </c>
      <c r="F2484" s="14" t="s">
        <v>67</v>
      </c>
      <c r="G2484" s="14" t="s">
        <v>68</v>
      </c>
      <c r="H2484" s="0" t="n">
        <v>2</v>
      </c>
      <c r="I2484" s="16" t="n">
        <v>35.32</v>
      </c>
      <c r="J2484" s="16" t="n">
        <v>15</v>
      </c>
      <c r="K2484" s="16" t="n">
        <f aca="false">H2484*I2484</f>
        <v>70.64</v>
      </c>
      <c r="L2484" s="16" t="n">
        <f aca="false">H2484*J2484</f>
        <v>30</v>
      </c>
      <c r="M2484" s="16" t="n">
        <f aca="false">K2484-L2484</f>
        <v>40.64</v>
      </c>
      <c r="N2484" s="17" t="n">
        <f aca="false">IFERROR(M2484/K2484,0)</f>
        <v>0.575311438278596</v>
      </c>
    </row>
    <row r="2485" customFormat="false" ht="15" hidden="false" customHeight="false" outlineLevel="0" collapsed="false">
      <c r="A2485" s="15" t="n">
        <v>46126</v>
      </c>
      <c r="B2485" s="14" t="s">
        <v>69</v>
      </c>
      <c r="C2485" s="14" t="s">
        <v>70</v>
      </c>
      <c r="D2485" s="14" t="s">
        <v>71</v>
      </c>
      <c r="E2485" s="14" t="s">
        <v>53</v>
      </c>
      <c r="F2485" s="14" t="s">
        <v>74</v>
      </c>
      <c r="G2485" s="14" t="s">
        <v>75</v>
      </c>
      <c r="H2485" s="0" t="n">
        <v>6</v>
      </c>
      <c r="I2485" s="16" t="n">
        <v>82.04</v>
      </c>
      <c r="J2485" s="16" t="n">
        <v>38</v>
      </c>
      <c r="K2485" s="16" t="n">
        <f aca="false">H2485*I2485</f>
        <v>492.24</v>
      </c>
      <c r="L2485" s="16" t="n">
        <f aca="false">H2485*J2485</f>
        <v>228</v>
      </c>
      <c r="M2485" s="16" t="n">
        <f aca="false">K2485-L2485</f>
        <v>264.24</v>
      </c>
      <c r="N2485" s="17" t="n">
        <f aca="false">IFERROR(M2485/K2485,0)</f>
        <v>0.536811311555339</v>
      </c>
    </row>
    <row r="2486" customFormat="false" ht="15" hidden="false" customHeight="false" outlineLevel="0" collapsed="false">
      <c r="A2486" s="15" t="n">
        <v>46126</v>
      </c>
      <c r="B2486" s="14" t="s">
        <v>81</v>
      </c>
      <c r="C2486" s="14" t="s">
        <v>82</v>
      </c>
      <c r="D2486" s="14" t="s">
        <v>83</v>
      </c>
      <c r="E2486" s="14" t="s">
        <v>76</v>
      </c>
      <c r="F2486" s="14" t="s">
        <v>100</v>
      </c>
      <c r="G2486" s="14" t="s">
        <v>101</v>
      </c>
      <c r="H2486" s="0" t="n">
        <v>4</v>
      </c>
      <c r="I2486" s="16" t="n">
        <v>14.81</v>
      </c>
      <c r="J2486" s="16" t="n">
        <v>5.5</v>
      </c>
      <c r="K2486" s="16" t="n">
        <f aca="false">H2486*I2486</f>
        <v>59.24</v>
      </c>
      <c r="L2486" s="16" t="n">
        <f aca="false">H2486*J2486</f>
        <v>22</v>
      </c>
      <c r="M2486" s="16" t="n">
        <f aca="false">K2486-L2486</f>
        <v>37.24</v>
      </c>
      <c r="N2486" s="17" t="n">
        <f aca="false">IFERROR(M2486/K2486,0)</f>
        <v>0.62862930452397</v>
      </c>
    </row>
    <row r="2487" customFormat="false" ht="15" hidden="false" customHeight="false" outlineLevel="0" collapsed="false">
      <c r="A2487" s="15" t="n">
        <v>46126</v>
      </c>
      <c r="B2487" s="14" t="s">
        <v>81</v>
      </c>
      <c r="C2487" s="14" t="s">
        <v>82</v>
      </c>
      <c r="D2487" s="14" t="s">
        <v>83</v>
      </c>
      <c r="E2487" s="14" t="s">
        <v>53</v>
      </c>
      <c r="F2487" s="14" t="s">
        <v>92</v>
      </c>
      <c r="G2487" s="14" t="s">
        <v>93</v>
      </c>
      <c r="H2487" s="0" t="n">
        <v>2</v>
      </c>
      <c r="I2487" s="16" t="n">
        <v>115.53</v>
      </c>
      <c r="J2487" s="16" t="n">
        <v>52</v>
      </c>
      <c r="K2487" s="16" t="n">
        <f aca="false">H2487*I2487</f>
        <v>231.06</v>
      </c>
      <c r="L2487" s="16" t="n">
        <f aca="false">H2487*J2487</f>
        <v>104</v>
      </c>
      <c r="M2487" s="16" t="n">
        <f aca="false">K2487-L2487</f>
        <v>127.06</v>
      </c>
      <c r="N2487" s="17" t="n">
        <f aca="false">IFERROR(M2487/K2487,0)</f>
        <v>0.549900458755302</v>
      </c>
    </row>
    <row r="2488" customFormat="false" ht="15" hidden="false" customHeight="false" outlineLevel="0" collapsed="false">
      <c r="A2488" s="15" t="n">
        <v>46126</v>
      </c>
      <c r="B2488" s="14" t="s">
        <v>81</v>
      </c>
      <c r="C2488" s="14" t="s">
        <v>82</v>
      </c>
      <c r="D2488" s="14" t="s">
        <v>83</v>
      </c>
      <c r="E2488" s="14" t="s">
        <v>53</v>
      </c>
      <c r="F2488" s="14" t="s">
        <v>92</v>
      </c>
      <c r="G2488" s="14" t="s">
        <v>93</v>
      </c>
      <c r="H2488" s="0" t="n">
        <v>6</v>
      </c>
      <c r="I2488" s="16" t="n">
        <v>116.34</v>
      </c>
      <c r="J2488" s="16" t="n">
        <v>52</v>
      </c>
      <c r="K2488" s="16" t="n">
        <f aca="false">H2488*I2488</f>
        <v>698.04</v>
      </c>
      <c r="L2488" s="16" t="n">
        <f aca="false">H2488*J2488</f>
        <v>312</v>
      </c>
      <c r="M2488" s="16" t="n">
        <f aca="false">K2488-L2488</f>
        <v>386.04</v>
      </c>
      <c r="N2488" s="17" t="n">
        <f aca="false">IFERROR(M2488/K2488,0)</f>
        <v>0.553034210073921</v>
      </c>
    </row>
    <row r="2489" customFormat="false" ht="15" hidden="false" customHeight="false" outlineLevel="0" collapsed="false">
      <c r="A2489" s="15" t="n">
        <v>46126</v>
      </c>
      <c r="B2489" s="14" t="s">
        <v>81</v>
      </c>
      <c r="C2489" s="14" t="s">
        <v>82</v>
      </c>
      <c r="D2489" s="14" t="s">
        <v>83</v>
      </c>
      <c r="E2489" s="14" t="s">
        <v>56</v>
      </c>
      <c r="F2489" s="14" t="s">
        <v>98</v>
      </c>
      <c r="G2489" s="14" t="s">
        <v>99</v>
      </c>
      <c r="H2489" s="0" t="n">
        <v>7</v>
      </c>
      <c r="I2489" s="16" t="n">
        <v>21.89</v>
      </c>
      <c r="J2489" s="16" t="n">
        <v>8</v>
      </c>
      <c r="K2489" s="16" t="n">
        <f aca="false">H2489*I2489</f>
        <v>153.23</v>
      </c>
      <c r="L2489" s="16" t="n">
        <f aca="false">H2489*J2489</f>
        <v>56</v>
      </c>
      <c r="M2489" s="16" t="n">
        <f aca="false">K2489-L2489</f>
        <v>97.23</v>
      </c>
      <c r="N2489" s="17" t="n">
        <f aca="false">IFERROR(M2489/K2489,0)</f>
        <v>0.634536317953403</v>
      </c>
    </row>
    <row r="2490" customFormat="false" ht="15" hidden="false" customHeight="false" outlineLevel="0" collapsed="false">
      <c r="A2490" s="15" t="n">
        <v>46126</v>
      </c>
      <c r="B2490" s="14" t="s">
        <v>88</v>
      </c>
      <c r="C2490" s="14" t="s">
        <v>89</v>
      </c>
      <c r="D2490" s="14" t="s">
        <v>44</v>
      </c>
      <c r="E2490" s="14" t="s">
        <v>45</v>
      </c>
      <c r="F2490" s="14" t="s">
        <v>48</v>
      </c>
      <c r="G2490" s="14" t="s">
        <v>49</v>
      </c>
      <c r="H2490" s="0" t="n">
        <v>8</v>
      </c>
      <c r="I2490" s="16" t="n">
        <v>64.85</v>
      </c>
      <c r="J2490" s="16" t="n">
        <v>27.5</v>
      </c>
      <c r="K2490" s="16" t="n">
        <f aca="false">H2490*I2490</f>
        <v>518.8</v>
      </c>
      <c r="L2490" s="16" t="n">
        <f aca="false">H2490*J2490</f>
        <v>220</v>
      </c>
      <c r="M2490" s="16" t="n">
        <f aca="false">K2490-L2490</f>
        <v>298.8</v>
      </c>
      <c r="N2490" s="17" t="n">
        <f aca="false">IFERROR(M2490/K2490,0)</f>
        <v>0.575944487278335</v>
      </c>
    </row>
    <row r="2491" customFormat="false" ht="15" hidden="false" customHeight="false" outlineLevel="0" collapsed="false">
      <c r="A2491" s="15" t="n">
        <v>46126</v>
      </c>
      <c r="B2491" s="14" t="s">
        <v>88</v>
      </c>
      <c r="C2491" s="14" t="s">
        <v>89</v>
      </c>
      <c r="D2491" s="14" t="s">
        <v>44</v>
      </c>
      <c r="E2491" s="14" t="s">
        <v>53</v>
      </c>
      <c r="F2491" s="14" t="s">
        <v>92</v>
      </c>
      <c r="G2491" s="14" t="s">
        <v>93</v>
      </c>
      <c r="H2491" s="0" t="n">
        <v>1</v>
      </c>
      <c r="I2491" s="16" t="n">
        <v>111.74</v>
      </c>
      <c r="J2491" s="16" t="n">
        <v>52</v>
      </c>
      <c r="K2491" s="16" t="n">
        <f aca="false">H2491*I2491</f>
        <v>111.74</v>
      </c>
      <c r="L2491" s="16" t="n">
        <f aca="false">H2491*J2491</f>
        <v>52</v>
      </c>
      <c r="M2491" s="16" t="n">
        <f aca="false">K2491-L2491</f>
        <v>59.74</v>
      </c>
      <c r="N2491" s="17" t="n">
        <f aca="false">IFERROR(M2491/K2491,0)</f>
        <v>0.534633971720064</v>
      </c>
    </row>
    <row r="2492" customFormat="false" ht="15" hidden="false" customHeight="false" outlineLevel="0" collapsed="false">
      <c r="A2492" s="15" t="n">
        <v>46126</v>
      </c>
      <c r="B2492" s="14" t="s">
        <v>88</v>
      </c>
      <c r="C2492" s="14" t="s">
        <v>89</v>
      </c>
      <c r="D2492" s="14" t="s">
        <v>44</v>
      </c>
      <c r="E2492" s="14" t="s">
        <v>56</v>
      </c>
      <c r="F2492" s="14" t="s">
        <v>67</v>
      </c>
      <c r="G2492" s="14" t="s">
        <v>68</v>
      </c>
      <c r="H2492" s="0" t="n">
        <v>1</v>
      </c>
      <c r="I2492" s="16" t="n">
        <v>35.68</v>
      </c>
      <c r="J2492" s="16" t="n">
        <v>15</v>
      </c>
      <c r="K2492" s="16" t="n">
        <f aca="false">H2492*I2492</f>
        <v>35.68</v>
      </c>
      <c r="L2492" s="16" t="n">
        <f aca="false">H2492*J2492</f>
        <v>15</v>
      </c>
      <c r="M2492" s="16" t="n">
        <f aca="false">K2492-L2492</f>
        <v>20.68</v>
      </c>
      <c r="N2492" s="17" t="n">
        <f aca="false">IFERROR(M2492/K2492,0)</f>
        <v>0.579596412556054</v>
      </c>
    </row>
    <row r="2493" customFormat="false" ht="15" hidden="false" customHeight="false" outlineLevel="0" collapsed="false">
      <c r="A2493" s="15" t="n">
        <v>46126</v>
      </c>
      <c r="B2493" s="14" t="s">
        <v>88</v>
      </c>
      <c r="C2493" s="14" t="s">
        <v>89</v>
      </c>
      <c r="D2493" s="14" t="s">
        <v>44</v>
      </c>
      <c r="E2493" s="14" t="s">
        <v>45</v>
      </c>
      <c r="F2493" s="14" t="s">
        <v>48</v>
      </c>
      <c r="G2493" s="14" t="s">
        <v>49</v>
      </c>
      <c r="H2493" s="0" t="n">
        <v>8</v>
      </c>
      <c r="I2493" s="16" t="n">
        <v>67.9</v>
      </c>
      <c r="J2493" s="16" t="n">
        <v>27.5</v>
      </c>
      <c r="K2493" s="16" t="n">
        <f aca="false">H2493*I2493</f>
        <v>543.2</v>
      </c>
      <c r="L2493" s="16" t="n">
        <f aca="false">H2493*J2493</f>
        <v>220</v>
      </c>
      <c r="M2493" s="16" t="n">
        <f aca="false">K2493-L2493</f>
        <v>323.2</v>
      </c>
      <c r="N2493" s="17" t="n">
        <f aca="false">IFERROR(M2493/K2493,0)</f>
        <v>0.59499263622975</v>
      </c>
    </row>
    <row r="2494" customFormat="false" ht="15" hidden="false" customHeight="false" outlineLevel="0" collapsed="false">
      <c r="A2494" s="15" t="n">
        <v>46127</v>
      </c>
      <c r="B2494" s="14" t="s">
        <v>42</v>
      </c>
      <c r="C2494" s="14" t="s">
        <v>43</v>
      </c>
      <c r="D2494" s="14" t="s">
        <v>44</v>
      </c>
      <c r="E2494" s="14" t="s">
        <v>56</v>
      </c>
      <c r="F2494" s="14" t="s">
        <v>98</v>
      </c>
      <c r="G2494" s="14" t="s">
        <v>99</v>
      </c>
      <c r="H2494" s="0" t="n">
        <v>11</v>
      </c>
      <c r="I2494" s="16" t="n">
        <v>21.91</v>
      </c>
      <c r="J2494" s="16" t="n">
        <v>8</v>
      </c>
      <c r="K2494" s="16" t="n">
        <f aca="false">H2494*I2494</f>
        <v>241.01</v>
      </c>
      <c r="L2494" s="16" t="n">
        <f aca="false">H2494*J2494</f>
        <v>88</v>
      </c>
      <c r="M2494" s="16" t="n">
        <f aca="false">K2494-L2494</f>
        <v>153.01</v>
      </c>
      <c r="N2494" s="17" t="n">
        <f aca="false">IFERROR(M2494/K2494,0)</f>
        <v>0.634869922409859</v>
      </c>
    </row>
    <row r="2495" customFormat="false" ht="15" hidden="false" customHeight="false" outlineLevel="0" collapsed="false">
      <c r="A2495" s="15" t="n">
        <v>46127</v>
      </c>
      <c r="B2495" s="14" t="s">
        <v>42</v>
      </c>
      <c r="C2495" s="14" t="s">
        <v>43</v>
      </c>
      <c r="D2495" s="14" t="s">
        <v>44</v>
      </c>
      <c r="E2495" s="14" t="s">
        <v>76</v>
      </c>
      <c r="F2495" s="14" t="s">
        <v>79</v>
      </c>
      <c r="G2495" s="14" t="s">
        <v>80</v>
      </c>
      <c r="H2495" s="0" t="n">
        <v>3</v>
      </c>
      <c r="I2495" s="16" t="n">
        <v>27.69</v>
      </c>
      <c r="J2495" s="16" t="n">
        <v>11</v>
      </c>
      <c r="K2495" s="16" t="n">
        <f aca="false">H2495*I2495</f>
        <v>83.07</v>
      </c>
      <c r="L2495" s="16" t="n">
        <f aca="false">H2495*J2495</f>
        <v>33</v>
      </c>
      <c r="M2495" s="16" t="n">
        <f aca="false">K2495-L2495</f>
        <v>50.07</v>
      </c>
      <c r="N2495" s="17" t="n">
        <f aca="false">IFERROR(M2495/K2495,0)</f>
        <v>0.602744673167208</v>
      </c>
    </row>
    <row r="2496" customFormat="false" ht="15" hidden="false" customHeight="false" outlineLevel="0" collapsed="false">
      <c r="A2496" s="15" t="n">
        <v>46127</v>
      </c>
      <c r="B2496" s="14" t="s">
        <v>42</v>
      </c>
      <c r="C2496" s="14" t="s">
        <v>43</v>
      </c>
      <c r="D2496" s="14" t="s">
        <v>44</v>
      </c>
      <c r="E2496" s="14" t="s">
        <v>56</v>
      </c>
      <c r="F2496" s="14" t="s">
        <v>86</v>
      </c>
      <c r="G2496" s="14" t="s">
        <v>87</v>
      </c>
      <c r="H2496" s="0" t="n">
        <v>9</v>
      </c>
      <c r="I2496" s="16" t="n">
        <v>14.32</v>
      </c>
      <c r="J2496" s="16" t="n">
        <v>5</v>
      </c>
      <c r="K2496" s="16" t="n">
        <f aca="false">H2496*I2496</f>
        <v>128.88</v>
      </c>
      <c r="L2496" s="16" t="n">
        <f aca="false">H2496*J2496</f>
        <v>45</v>
      </c>
      <c r="M2496" s="16" t="n">
        <f aca="false">K2496-L2496</f>
        <v>83.88</v>
      </c>
      <c r="N2496" s="17" t="n">
        <f aca="false">IFERROR(M2496/K2496,0)</f>
        <v>0.650837988826816</v>
      </c>
    </row>
    <row r="2497" customFormat="false" ht="15" hidden="false" customHeight="false" outlineLevel="0" collapsed="false">
      <c r="A2497" s="15" t="n">
        <v>46127</v>
      </c>
      <c r="B2497" s="14" t="s">
        <v>42</v>
      </c>
      <c r="C2497" s="14" t="s">
        <v>43</v>
      </c>
      <c r="D2497" s="14" t="s">
        <v>44</v>
      </c>
      <c r="E2497" s="14" t="s">
        <v>76</v>
      </c>
      <c r="F2497" s="14" t="s">
        <v>77</v>
      </c>
      <c r="G2497" s="14" t="s">
        <v>78</v>
      </c>
      <c r="H2497" s="0" t="n">
        <v>1</v>
      </c>
      <c r="I2497" s="16" t="n">
        <v>41.77</v>
      </c>
      <c r="J2497" s="16" t="n">
        <v>15</v>
      </c>
      <c r="K2497" s="16" t="n">
        <f aca="false">H2497*I2497</f>
        <v>41.77</v>
      </c>
      <c r="L2497" s="16" t="n">
        <f aca="false">H2497*J2497</f>
        <v>15</v>
      </c>
      <c r="M2497" s="16" t="n">
        <f aca="false">K2497-L2497</f>
        <v>26.77</v>
      </c>
      <c r="N2497" s="17" t="n">
        <f aca="false">IFERROR(M2497/K2497,0)</f>
        <v>0.640890591333493</v>
      </c>
    </row>
    <row r="2498" customFormat="false" ht="15" hidden="false" customHeight="false" outlineLevel="0" collapsed="false">
      <c r="A2498" s="15" t="n">
        <v>46127</v>
      </c>
      <c r="B2498" s="14" t="s">
        <v>42</v>
      </c>
      <c r="C2498" s="14" t="s">
        <v>43</v>
      </c>
      <c r="D2498" s="14" t="s">
        <v>44</v>
      </c>
      <c r="E2498" s="14" t="s">
        <v>45</v>
      </c>
      <c r="F2498" s="14" t="s">
        <v>62</v>
      </c>
      <c r="G2498" s="14" t="s">
        <v>63</v>
      </c>
      <c r="H2498" s="0" t="n">
        <v>11</v>
      </c>
      <c r="I2498" s="16" t="n">
        <v>17.54</v>
      </c>
      <c r="J2498" s="16" t="n">
        <v>6.5</v>
      </c>
      <c r="K2498" s="16" t="n">
        <f aca="false">H2498*I2498</f>
        <v>192.94</v>
      </c>
      <c r="L2498" s="16" t="n">
        <f aca="false">H2498*J2498</f>
        <v>71.5</v>
      </c>
      <c r="M2498" s="16" t="n">
        <f aca="false">K2498-L2498</f>
        <v>121.44</v>
      </c>
      <c r="N2498" s="17" t="n">
        <f aca="false">IFERROR(M2498/K2498,0)</f>
        <v>0.629418472063854</v>
      </c>
    </row>
    <row r="2499" customFormat="false" ht="15" hidden="false" customHeight="false" outlineLevel="0" collapsed="false">
      <c r="A2499" s="15" t="n">
        <v>46127</v>
      </c>
      <c r="B2499" s="14" t="s">
        <v>50</v>
      </c>
      <c r="C2499" s="14" t="s">
        <v>51</v>
      </c>
      <c r="D2499" s="14" t="s">
        <v>52</v>
      </c>
      <c r="E2499" s="14" t="s">
        <v>56</v>
      </c>
      <c r="F2499" s="14" t="s">
        <v>57</v>
      </c>
      <c r="G2499" s="14" t="s">
        <v>58</v>
      </c>
      <c r="H2499" s="0" t="n">
        <v>1</v>
      </c>
      <c r="I2499" s="16" t="n">
        <v>25.68</v>
      </c>
      <c r="J2499" s="16" t="n">
        <v>10</v>
      </c>
      <c r="K2499" s="16" t="n">
        <f aca="false">H2499*I2499</f>
        <v>25.68</v>
      </c>
      <c r="L2499" s="16" t="n">
        <f aca="false">H2499*J2499</f>
        <v>10</v>
      </c>
      <c r="M2499" s="16" t="n">
        <f aca="false">K2499-L2499</f>
        <v>15.68</v>
      </c>
      <c r="N2499" s="17" t="n">
        <f aca="false">IFERROR(M2499/K2499,0)</f>
        <v>0.610591900311526</v>
      </c>
    </row>
    <row r="2500" customFormat="false" ht="15" hidden="false" customHeight="false" outlineLevel="0" collapsed="false">
      <c r="A2500" s="15" t="n">
        <v>46127</v>
      </c>
      <c r="B2500" s="14" t="s">
        <v>50</v>
      </c>
      <c r="C2500" s="14" t="s">
        <v>51</v>
      </c>
      <c r="D2500" s="14" t="s">
        <v>52</v>
      </c>
      <c r="E2500" s="14" t="s">
        <v>64</v>
      </c>
      <c r="F2500" s="14" t="s">
        <v>96</v>
      </c>
      <c r="G2500" s="14" t="s">
        <v>97</v>
      </c>
      <c r="H2500" s="0" t="n">
        <v>8</v>
      </c>
      <c r="I2500" s="16" t="n">
        <v>57.59</v>
      </c>
      <c r="J2500" s="16" t="n">
        <v>24</v>
      </c>
      <c r="K2500" s="16" t="n">
        <f aca="false">H2500*I2500</f>
        <v>460.72</v>
      </c>
      <c r="L2500" s="16" t="n">
        <f aca="false">H2500*J2500</f>
        <v>192</v>
      </c>
      <c r="M2500" s="16" t="n">
        <f aca="false">K2500-L2500</f>
        <v>268.72</v>
      </c>
      <c r="N2500" s="17" t="n">
        <f aca="false">IFERROR(M2500/K2500,0)</f>
        <v>0.583260982809516</v>
      </c>
    </row>
    <row r="2501" customFormat="false" ht="15" hidden="false" customHeight="false" outlineLevel="0" collapsed="false">
      <c r="A2501" s="15" t="n">
        <v>46127</v>
      </c>
      <c r="B2501" s="14" t="s">
        <v>59</v>
      </c>
      <c r="C2501" s="14" t="s">
        <v>60</v>
      </c>
      <c r="D2501" s="14" t="s">
        <v>61</v>
      </c>
      <c r="E2501" s="14" t="s">
        <v>53</v>
      </c>
      <c r="F2501" s="14" t="s">
        <v>74</v>
      </c>
      <c r="G2501" s="14" t="s">
        <v>75</v>
      </c>
      <c r="H2501" s="0" t="n">
        <v>8</v>
      </c>
      <c r="I2501" s="16" t="n">
        <v>82.72</v>
      </c>
      <c r="J2501" s="16" t="n">
        <v>38</v>
      </c>
      <c r="K2501" s="16" t="n">
        <f aca="false">H2501*I2501</f>
        <v>661.76</v>
      </c>
      <c r="L2501" s="16" t="n">
        <f aca="false">H2501*J2501</f>
        <v>304</v>
      </c>
      <c r="M2501" s="16" t="n">
        <f aca="false">K2501-L2501</f>
        <v>357.76</v>
      </c>
      <c r="N2501" s="17" t="n">
        <f aca="false">IFERROR(M2501/K2501,0)</f>
        <v>0.540618955512573</v>
      </c>
    </row>
    <row r="2502" customFormat="false" ht="15" hidden="false" customHeight="false" outlineLevel="0" collapsed="false">
      <c r="A2502" s="15" t="n">
        <v>46127</v>
      </c>
      <c r="B2502" s="14" t="s">
        <v>59</v>
      </c>
      <c r="C2502" s="14" t="s">
        <v>60</v>
      </c>
      <c r="D2502" s="14" t="s">
        <v>61</v>
      </c>
      <c r="E2502" s="14" t="s">
        <v>56</v>
      </c>
      <c r="F2502" s="14" t="s">
        <v>67</v>
      </c>
      <c r="G2502" s="14" t="s">
        <v>68</v>
      </c>
      <c r="H2502" s="0" t="n">
        <v>6</v>
      </c>
      <c r="I2502" s="16" t="n">
        <v>35.55</v>
      </c>
      <c r="J2502" s="16" t="n">
        <v>15</v>
      </c>
      <c r="K2502" s="16" t="n">
        <f aca="false">H2502*I2502</f>
        <v>213.3</v>
      </c>
      <c r="L2502" s="16" t="n">
        <f aca="false">H2502*J2502</f>
        <v>90</v>
      </c>
      <c r="M2502" s="16" t="n">
        <f aca="false">K2502-L2502</f>
        <v>123.3</v>
      </c>
      <c r="N2502" s="17" t="n">
        <f aca="false">IFERROR(M2502/K2502,0)</f>
        <v>0.578059071729958</v>
      </c>
    </row>
    <row r="2503" customFormat="false" ht="15" hidden="false" customHeight="false" outlineLevel="0" collapsed="false">
      <c r="A2503" s="15" t="n">
        <v>46127</v>
      </c>
      <c r="B2503" s="14" t="s">
        <v>59</v>
      </c>
      <c r="C2503" s="14" t="s">
        <v>60</v>
      </c>
      <c r="D2503" s="14" t="s">
        <v>61</v>
      </c>
      <c r="E2503" s="14" t="s">
        <v>64</v>
      </c>
      <c r="F2503" s="14" t="s">
        <v>65</v>
      </c>
      <c r="G2503" s="14" t="s">
        <v>66</v>
      </c>
      <c r="H2503" s="0" t="n">
        <v>3</v>
      </c>
      <c r="I2503" s="16" t="n">
        <v>74.15</v>
      </c>
      <c r="J2503" s="16" t="n">
        <v>34</v>
      </c>
      <c r="K2503" s="16" t="n">
        <f aca="false">H2503*I2503</f>
        <v>222.45</v>
      </c>
      <c r="L2503" s="16" t="n">
        <f aca="false">H2503*J2503</f>
        <v>102</v>
      </c>
      <c r="M2503" s="16" t="n">
        <f aca="false">K2503-L2503</f>
        <v>120.45</v>
      </c>
      <c r="N2503" s="17" t="n">
        <f aca="false">IFERROR(M2503/K2503,0)</f>
        <v>0.541469993256912</v>
      </c>
    </row>
    <row r="2504" customFormat="false" ht="15" hidden="false" customHeight="false" outlineLevel="0" collapsed="false">
      <c r="A2504" s="15" t="n">
        <v>46127</v>
      </c>
      <c r="B2504" s="14" t="s">
        <v>59</v>
      </c>
      <c r="C2504" s="14" t="s">
        <v>60</v>
      </c>
      <c r="D2504" s="14" t="s">
        <v>61</v>
      </c>
      <c r="E2504" s="14" t="s">
        <v>56</v>
      </c>
      <c r="F2504" s="14" t="s">
        <v>98</v>
      </c>
      <c r="G2504" s="14" t="s">
        <v>99</v>
      </c>
      <c r="H2504" s="0" t="n">
        <v>4</v>
      </c>
      <c r="I2504" s="16" t="n">
        <v>20.97</v>
      </c>
      <c r="J2504" s="16" t="n">
        <v>8</v>
      </c>
      <c r="K2504" s="16" t="n">
        <f aca="false">H2504*I2504</f>
        <v>83.88</v>
      </c>
      <c r="L2504" s="16" t="n">
        <f aca="false">H2504*J2504</f>
        <v>32</v>
      </c>
      <c r="M2504" s="16" t="n">
        <f aca="false">K2504-L2504</f>
        <v>51.88</v>
      </c>
      <c r="N2504" s="17" t="n">
        <f aca="false">IFERROR(M2504/K2504,0)</f>
        <v>0.618502622794468</v>
      </c>
    </row>
    <row r="2505" customFormat="false" ht="15" hidden="false" customHeight="false" outlineLevel="0" collapsed="false">
      <c r="A2505" s="15" t="n">
        <v>46127</v>
      </c>
      <c r="B2505" s="14" t="s">
        <v>59</v>
      </c>
      <c r="C2505" s="14" t="s">
        <v>60</v>
      </c>
      <c r="D2505" s="14" t="s">
        <v>61</v>
      </c>
      <c r="E2505" s="14" t="s">
        <v>56</v>
      </c>
      <c r="F2505" s="14" t="s">
        <v>98</v>
      </c>
      <c r="G2505" s="14" t="s">
        <v>99</v>
      </c>
      <c r="H2505" s="0" t="n">
        <v>1</v>
      </c>
      <c r="I2505" s="16" t="n">
        <v>21.78</v>
      </c>
      <c r="J2505" s="16" t="n">
        <v>8</v>
      </c>
      <c r="K2505" s="16" t="n">
        <f aca="false">H2505*I2505</f>
        <v>21.78</v>
      </c>
      <c r="L2505" s="16" t="n">
        <f aca="false">H2505*J2505</f>
        <v>8</v>
      </c>
      <c r="M2505" s="16" t="n">
        <f aca="false">K2505-L2505</f>
        <v>13.78</v>
      </c>
      <c r="N2505" s="17" t="n">
        <f aca="false">IFERROR(M2505/K2505,0)</f>
        <v>0.632690541781451</v>
      </c>
    </row>
    <row r="2506" customFormat="false" ht="15" hidden="false" customHeight="false" outlineLevel="0" collapsed="false">
      <c r="A2506" s="15" t="n">
        <v>46127</v>
      </c>
      <c r="B2506" s="14" t="s">
        <v>59</v>
      </c>
      <c r="C2506" s="14" t="s">
        <v>60</v>
      </c>
      <c r="D2506" s="14" t="s">
        <v>61</v>
      </c>
      <c r="E2506" s="14" t="s">
        <v>53</v>
      </c>
      <c r="F2506" s="14" t="s">
        <v>74</v>
      </c>
      <c r="G2506" s="14" t="s">
        <v>75</v>
      </c>
      <c r="H2506" s="0" t="n">
        <v>2</v>
      </c>
      <c r="I2506" s="16" t="n">
        <v>82.28</v>
      </c>
      <c r="J2506" s="16" t="n">
        <v>38</v>
      </c>
      <c r="K2506" s="16" t="n">
        <f aca="false">H2506*I2506</f>
        <v>164.56</v>
      </c>
      <c r="L2506" s="16" t="n">
        <f aca="false">H2506*J2506</f>
        <v>76</v>
      </c>
      <c r="M2506" s="16" t="n">
        <f aca="false">K2506-L2506</f>
        <v>88.56</v>
      </c>
      <c r="N2506" s="17" t="n">
        <f aca="false">IFERROR(M2506/K2506,0)</f>
        <v>0.538162372386971</v>
      </c>
    </row>
    <row r="2507" customFormat="false" ht="15" hidden="false" customHeight="false" outlineLevel="0" collapsed="false">
      <c r="A2507" s="15" t="n">
        <v>46127</v>
      </c>
      <c r="B2507" s="14" t="s">
        <v>69</v>
      </c>
      <c r="C2507" s="14" t="s">
        <v>70</v>
      </c>
      <c r="D2507" s="14" t="s">
        <v>71</v>
      </c>
      <c r="E2507" s="14" t="s">
        <v>53</v>
      </c>
      <c r="F2507" s="14" t="s">
        <v>92</v>
      </c>
      <c r="G2507" s="14" t="s">
        <v>93</v>
      </c>
      <c r="H2507" s="0" t="n">
        <v>1</v>
      </c>
      <c r="I2507" s="16" t="n">
        <v>113.42</v>
      </c>
      <c r="J2507" s="16" t="n">
        <v>52</v>
      </c>
      <c r="K2507" s="16" t="n">
        <f aca="false">H2507*I2507</f>
        <v>113.42</v>
      </c>
      <c r="L2507" s="16" t="n">
        <f aca="false">H2507*J2507</f>
        <v>52</v>
      </c>
      <c r="M2507" s="16" t="n">
        <f aca="false">K2507-L2507</f>
        <v>61.42</v>
      </c>
      <c r="N2507" s="17" t="n">
        <f aca="false">IFERROR(M2507/K2507,0)</f>
        <v>0.54152706753659</v>
      </c>
    </row>
    <row r="2508" customFormat="false" ht="15" hidden="false" customHeight="false" outlineLevel="0" collapsed="false">
      <c r="A2508" s="15" t="n">
        <v>46127</v>
      </c>
      <c r="B2508" s="14" t="s">
        <v>69</v>
      </c>
      <c r="C2508" s="14" t="s">
        <v>70</v>
      </c>
      <c r="D2508" s="14" t="s">
        <v>71</v>
      </c>
      <c r="E2508" s="14" t="s">
        <v>56</v>
      </c>
      <c r="F2508" s="14" t="s">
        <v>86</v>
      </c>
      <c r="G2508" s="14" t="s">
        <v>87</v>
      </c>
      <c r="H2508" s="0" t="n">
        <v>5</v>
      </c>
      <c r="I2508" s="16" t="n">
        <v>13.96</v>
      </c>
      <c r="J2508" s="16" t="n">
        <v>5</v>
      </c>
      <c r="K2508" s="16" t="n">
        <f aca="false">H2508*I2508</f>
        <v>69.8</v>
      </c>
      <c r="L2508" s="16" t="n">
        <f aca="false">H2508*J2508</f>
        <v>25</v>
      </c>
      <c r="M2508" s="16" t="n">
        <f aca="false">K2508-L2508</f>
        <v>44.8</v>
      </c>
      <c r="N2508" s="17" t="n">
        <f aca="false">IFERROR(M2508/K2508,0)</f>
        <v>0.641833810888252</v>
      </c>
    </row>
    <row r="2509" customFormat="false" ht="15" hidden="false" customHeight="false" outlineLevel="0" collapsed="false">
      <c r="A2509" s="15" t="n">
        <v>46127</v>
      </c>
      <c r="B2509" s="14" t="s">
        <v>69</v>
      </c>
      <c r="C2509" s="14" t="s">
        <v>70</v>
      </c>
      <c r="D2509" s="14" t="s">
        <v>71</v>
      </c>
      <c r="E2509" s="14" t="s">
        <v>64</v>
      </c>
      <c r="F2509" s="14" t="s">
        <v>90</v>
      </c>
      <c r="G2509" s="14" t="s">
        <v>91</v>
      </c>
      <c r="H2509" s="0" t="n">
        <v>2</v>
      </c>
      <c r="I2509" s="16" t="n">
        <v>11.67</v>
      </c>
      <c r="J2509" s="16" t="n">
        <v>3.5</v>
      </c>
      <c r="K2509" s="16" t="n">
        <f aca="false">H2509*I2509</f>
        <v>23.34</v>
      </c>
      <c r="L2509" s="16" t="n">
        <f aca="false">H2509*J2509</f>
        <v>7</v>
      </c>
      <c r="M2509" s="16" t="n">
        <f aca="false">K2509-L2509</f>
        <v>16.34</v>
      </c>
      <c r="N2509" s="17" t="n">
        <f aca="false">IFERROR(M2509/K2509,0)</f>
        <v>0.700085689802913</v>
      </c>
    </row>
    <row r="2510" customFormat="false" ht="15" hidden="false" customHeight="false" outlineLevel="0" collapsed="false">
      <c r="A2510" s="15" t="n">
        <v>46127</v>
      </c>
      <c r="B2510" s="14" t="s">
        <v>69</v>
      </c>
      <c r="C2510" s="14" t="s">
        <v>70</v>
      </c>
      <c r="D2510" s="14" t="s">
        <v>71</v>
      </c>
      <c r="E2510" s="14" t="s">
        <v>45</v>
      </c>
      <c r="F2510" s="14" t="s">
        <v>46</v>
      </c>
      <c r="G2510" s="14" t="s">
        <v>47</v>
      </c>
      <c r="H2510" s="0" t="n">
        <v>4</v>
      </c>
      <c r="I2510" s="16" t="n">
        <v>43.18</v>
      </c>
      <c r="J2510" s="16" t="n">
        <v>18</v>
      </c>
      <c r="K2510" s="16" t="n">
        <f aca="false">H2510*I2510</f>
        <v>172.72</v>
      </c>
      <c r="L2510" s="16" t="n">
        <f aca="false">H2510*J2510</f>
        <v>72</v>
      </c>
      <c r="M2510" s="16" t="n">
        <f aca="false">K2510-L2510</f>
        <v>100.72</v>
      </c>
      <c r="N2510" s="17" t="n">
        <f aca="false">IFERROR(M2510/K2510,0)</f>
        <v>0.583140342751274</v>
      </c>
    </row>
    <row r="2511" customFormat="false" ht="15" hidden="false" customHeight="false" outlineLevel="0" collapsed="false">
      <c r="A2511" s="15" t="n">
        <v>46127</v>
      </c>
      <c r="B2511" s="14" t="s">
        <v>69</v>
      </c>
      <c r="C2511" s="14" t="s">
        <v>70</v>
      </c>
      <c r="D2511" s="14" t="s">
        <v>71</v>
      </c>
      <c r="E2511" s="14" t="s">
        <v>76</v>
      </c>
      <c r="F2511" s="14" t="s">
        <v>77</v>
      </c>
      <c r="G2511" s="14" t="s">
        <v>78</v>
      </c>
      <c r="H2511" s="0" t="n">
        <v>7</v>
      </c>
      <c r="I2511" s="16" t="n">
        <v>41.04</v>
      </c>
      <c r="J2511" s="16" t="n">
        <v>15</v>
      </c>
      <c r="K2511" s="16" t="n">
        <f aca="false">H2511*I2511</f>
        <v>287.28</v>
      </c>
      <c r="L2511" s="16" t="n">
        <f aca="false">H2511*J2511</f>
        <v>105</v>
      </c>
      <c r="M2511" s="16" t="n">
        <f aca="false">K2511-L2511</f>
        <v>182.28</v>
      </c>
      <c r="N2511" s="17" t="n">
        <f aca="false">IFERROR(M2511/K2511,0)</f>
        <v>0.634502923976608</v>
      </c>
    </row>
    <row r="2512" customFormat="false" ht="15" hidden="false" customHeight="false" outlineLevel="0" collapsed="false">
      <c r="A2512" s="15" t="n">
        <v>46127</v>
      </c>
      <c r="B2512" s="14" t="s">
        <v>81</v>
      </c>
      <c r="C2512" s="14" t="s">
        <v>82</v>
      </c>
      <c r="D2512" s="14" t="s">
        <v>83</v>
      </c>
      <c r="E2512" s="14" t="s">
        <v>56</v>
      </c>
      <c r="F2512" s="14" t="s">
        <v>67</v>
      </c>
      <c r="G2512" s="14" t="s">
        <v>68</v>
      </c>
      <c r="H2512" s="0" t="n">
        <v>3</v>
      </c>
      <c r="I2512" s="16" t="n">
        <v>36.56</v>
      </c>
      <c r="J2512" s="16" t="n">
        <v>15</v>
      </c>
      <c r="K2512" s="16" t="n">
        <f aca="false">H2512*I2512</f>
        <v>109.68</v>
      </c>
      <c r="L2512" s="16" t="n">
        <f aca="false">H2512*J2512</f>
        <v>45</v>
      </c>
      <c r="M2512" s="16" t="n">
        <f aca="false">K2512-L2512</f>
        <v>64.68</v>
      </c>
      <c r="N2512" s="17" t="n">
        <f aca="false">IFERROR(M2512/K2512,0)</f>
        <v>0.589715536105033</v>
      </c>
    </row>
    <row r="2513" customFormat="false" ht="15" hidden="false" customHeight="false" outlineLevel="0" collapsed="false">
      <c r="A2513" s="15" t="n">
        <v>46127</v>
      </c>
      <c r="B2513" s="14" t="s">
        <v>81</v>
      </c>
      <c r="C2513" s="14" t="s">
        <v>82</v>
      </c>
      <c r="D2513" s="14" t="s">
        <v>83</v>
      </c>
      <c r="E2513" s="14" t="s">
        <v>76</v>
      </c>
      <c r="F2513" s="14" t="s">
        <v>102</v>
      </c>
      <c r="G2513" s="14" t="s">
        <v>103</v>
      </c>
      <c r="H2513" s="0" t="n">
        <v>2</v>
      </c>
      <c r="I2513" s="16" t="n">
        <v>22.18</v>
      </c>
      <c r="J2513" s="16" t="n">
        <v>8.5</v>
      </c>
      <c r="K2513" s="16" t="n">
        <f aca="false">H2513*I2513</f>
        <v>44.36</v>
      </c>
      <c r="L2513" s="16" t="n">
        <f aca="false">H2513*J2513</f>
        <v>17</v>
      </c>
      <c r="M2513" s="16" t="n">
        <f aca="false">K2513-L2513</f>
        <v>27.36</v>
      </c>
      <c r="N2513" s="17" t="n">
        <f aca="false">IFERROR(M2513/K2513,0)</f>
        <v>0.616771866546438</v>
      </c>
    </row>
    <row r="2514" customFormat="false" ht="15" hidden="false" customHeight="false" outlineLevel="0" collapsed="false">
      <c r="A2514" s="15" t="n">
        <v>46127</v>
      </c>
      <c r="B2514" s="14" t="s">
        <v>81</v>
      </c>
      <c r="C2514" s="14" t="s">
        <v>82</v>
      </c>
      <c r="D2514" s="14" t="s">
        <v>83</v>
      </c>
      <c r="E2514" s="14" t="s">
        <v>64</v>
      </c>
      <c r="F2514" s="14" t="s">
        <v>90</v>
      </c>
      <c r="G2514" s="14" t="s">
        <v>91</v>
      </c>
      <c r="H2514" s="0" t="n">
        <v>4</v>
      </c>
      <c r="I2514" s="16" t="n">
        <v>11.12</v>
      </c>
      <c r="J2514" s="16" t="n">
        <v>3.5</v>
      </c>
      <c r="K2514" s="16" t="n">
        <f aca="false">H2514*I2514</f>
        <v>44.48</v>
      </c>
      <c r="L2514" s="16" t="n">
        <f aca="false">H2514*J2514</f>
        <v>14</v>
      </c>
      <c r="M2514" s="16" t="n">
        <f aca="false">K2514-L2514</f>
        <v>30.48</v>
      </c>
      <c r="N2514" s="17" t="n">
        <f aca="false">IFERROR(M2514/K2514,0)</f>
        <v>0.685251798561151</v>
      </c>
    </row>
    <row r="2515" customFormat="false" ht="15" hidden="false" customHeight="false" outlineLevel="0" collapsed="false">
      <c r="A2515" s="15" t="n">
        <v>46127</v>
      </c>
      <c r="B2515" s="14" t="s">
        <v>81</v>
      </c>
      <c r="C2515" s="14" t="s">
        <v>82</v>
      </c>
      <c r="D2515" s="14" t="s">
        <v>83</v>
      </c>
      <c r="E2515" s="14" t="s">
        <v>53</v>
      </c>
      <c r="F2515" s="14" t="s">
        <v>54</v>
      </c>
      <c r="G2515" s="14" t="s">
        <v>55</v>
      </c>
      <c r="H2515" s="0" t="n">
        <v>4</v>
      </c>
      <c r="I2515" s="16" t="n">
        <v>53.86</v>
      </c>
      <c r="J2515" s="16" t="n">
        <v>22</v>
      </c>
      <c r="K2515" s="16" t="n">
        <f aca="false">H2515*I2515</f>
        <v>215.44</v>
      </c>
      <c r="L2515" s="16" t="n">
        <f aca="false">H2515*J2515</f>
        <v>88</v>
      </c>
      <c r="M2515" s="16" t="n">
        <f aca="false">K2515-L2515</f>
        <v>127.44</v>
      </c>
      <c r="N2515" s="17" t="n">
        <f aca="false">IFERROR(M2515/K2515,0)</f>
        <v>0.591533605644263</v>
      </c>
    </row>
    <row r="2516" customFormat="false" ht="15" hidden="false" customHeight="false" outlineLevel="0" collapsed="false">
      <c r="A2516" s="15" t="n">
        <v>46127</v>
      </c>
      <c r="B2516" s="14" t="s">
        <v>88</v>
      </c>
      <c r="C2516" s="14" t="s">
        <v>89</v>
      </c>
      <c r="D2516" s="14" t="s">
        <v>44</v>
      </c>
      <c r="E2516" s="14" t="s">
        <v>45</v>
      </c>
      <c r="F2516" s="14" t="s">
        <v>46</v>
      </c>
      <c r="G2516" s="14" t="s">
        <v>47</v>
      </c>
      <c r="H2516" s="0" t="n">
        <v>4</v>
      </c>
      <c r="I2516" s="16" t="n">
        <v>41.53</v>
      </c>
      <c r="J2516" s="16" t="n">
        <v>18</v>
      </c>
      <c r="K2516" s="16" t="n">
        <f aca="false">H2516*I2516</f>
        <v>166.12</v>
      </c>
      <c r="L2516" s="16" t="n">
        <f aca="false">H2516*J2516</f>
        <v>72</v>
      </c>
      <c r="M2516" s="16" t="n">
        <f aca="false">K2516-L2516</f>
        <v>94.12</v>
      </c>
      <c r="N2516" s="17" t="n">
        <f aca="false">IFERROR(M2516/K2516,0)</f>
        <v>0.566578377076812</v>
      </c>
    </row>
    <row r="2517" customFormat="false" ht="15" hidden="false" customHeight="false" outlineLevel="0" collapsed="false">
      <c r="A2517" s="15" t="n">
        <v>46127</v>
      </c>
      <c r="B2517" s="14" t="s">
        <v>88</v>
      </c>
      <c r="C2517" s="14" t="s">
        <v>89</v>
      </c>
      <c r="D2517" s="14" t="s">
        <v>44</v>
      </c>
      <c r="E2517" s="14" t="s">
        <v>53</v>
      </c>
      <c r="F2517" s="14" t="s">
        <v>84</v>
      </c>
      <c r="G2517" s="14" t="s">
        <v>85</v>
      </c>
      <c r="H2517" s="0" t="n">
        <v>10</v>
      </c>
      <c r="I2517" s="16" t="n">
        <v>24.91</v>
      </c>
      <c r="J2517" s="16" t="n">
        <v>9</v>
      </c>
      <c r="K2517" s="16" t="n">
        <f aca="false">H2517*I2517</f>
        <v>249.1</v>
      </c>
      <c r="L2517" s="16" t="n">
        <f aca="false">H2517*J2517</f>
        <v>90</v>
      </c>
      <c r="M2517" s="16" t="n">
        <f aca="false">K2517-L2517</f>
        <v>159.1</v>
      </c>
      <c r="N2517" s="17" t="n">
        <f aca="false">IFERROR(M2517/K2517,0)</f>
        <v>0.638699317543155</v>
      </c>
    </row>
    <row r="2518" customFormat="false" ht="15" hidden="false" customHeight="false" outlineLevel="0" collapsed="false">
      <c r="A2518" s="15" t="n">
        <v>46127</v>
      </c>
      <c r="B2518" s="14" t="s">
        <v>88</v>
      </c>
      <c r="C2518" s="14" t="s">
        <v>89</v>
      </c>
      <c r="D2518" s="14" t="s">
        <v>44</v>
      </c>
      <c r="E2518" s="14" t="s">
        <v>45</v>
      </c>
      <c r="F2518" s="14" t="s">
        <v>72</v>
      </c>
      <c r="G2518" s="14" t="s">
        <v>73</v>
      </c>
      <c r="H2518" s="0" t="n">
        <v>1</v>
      </c>
      <c r="I2518" s="16" t="n">
        <v>48.96</v>
      </c>
      <c r="J2518" s="16" t="n">
        <v>21</v>
      </c>
      <c r="K2518" s="16" t="n">
        <f aca="false">H2518*I2518</f>
        <v>48.96</v>
      </c>
      <c r="L2518" s="16" t="n">
        <f aca="false">H2518*J2518</f>
        <v>21</v>
      </c>
      <c r="M2518" s="16" t="n">
        <f aca="false">K2518-L2518</f>
        <v>27.96</v>
      </c>
      <c r="N2518" s="17" t="n">
        <f aca="false">IFERROR(M2518/K2518,0)</f>
        <v>0.571078431372549</v>
      </c>
    </row>
    <row r="2519" customFormat="false" ht="15" hidden="false" customHeight="false" outlineLevel="0" collapsed="false">
      <c r="A2519" s="15" t="n">
        <v>46128</v>
      </c>
      <c r="B2519" s="14" t="s">
        <v>42</v>
      </c>
      <c r="C2519" s="14" t="s">
        <v>43</v>
      </c>
      <c r="D2519" s="14" t="s">
        <v>44</v>
      </c>
      <c r="E2519" s="14" t="s">
        <v>64</v>
      </c>
      <c r="F2519" s="14" t="s">
        <v>94</v>
      </c>
      <c r="G2519" s="14" t="s">
        <v>95</v>
      </c>
      <c r="H2519" s="0" t="n">
        <v>2</v>
      </c>
      <c r="I2519" s="16" t="n">
        <v>91.55</v>
      </c>
      <c r="J2519" s="16" t="n">
        <v>42</v>
      </c>
      <c r="K2519" s="16" t="n">
        <f aca="false">H2519*I2519</f>
        <v>183.1</v>
      </c>
      <c r="L2519" s="16" t="n">
        <f aca="false">H2519*J2519</f>
        <v>84</v>
      </c>
      <c r="M2519" s="16" t="n">
        <f aca="false">K2519-L2519</f>
        <v>99.1</v>
      </c>
      <c r="N2519" s="17" t="n">
        <f aca="false">IFERROR(M2519/K2519,0)</f>
        <v>0.541234298197706</v>
      </c>
    </row>
    <row r="2520" customFormat="false" ht="15" hidden="false" customHeight="false" outlineLevel="0" collapsed="false">
      <c r="A2520" s="15" t="n">
        <v>46128</v>
      </c>
      <c r="B2520" s="14" t="s">
        <v>42</v>
      </c>
      <c r="C2520" s="14" t="s">
        <v>43</v>
      </c>
      <c r="D2520" s="14" t="s">
        <v>44</v>
      </c>
      <c r="E2520" s="14" t="s">
        <v>56</v>
      </c>
      <c r="F2520" s="14" t="s">
        <v>57</v>
      </c>
      <c r="G2520" s="14" t="s">
        <v>58</v>
      </c>
      <c r="H2520" s="0" t="n">
        <v>11</v>
      </c>
      <c r="I2520" s="16" t="n">
        <v>24.88</v>
      </c>
      <c r="J2520" s="16" t="n">
        <v>10</v>
      </c>
      <c r="K2520" s="16" t="n">
        <f aca="false">H2520*I2520</f>
        <v>273.68</v>
      </c>
      <c r="L2520" s="16" t="n">
        <f aca="false">H2520*J2520</f>
        <v>110</v>
      </c>
      <c r="M2520" s="16" t="n">
        <f aca="false">K2520-L2520</f>
        <v>163.68</v>
      </c>
      <c r="N2520" s="17" t="n">
        <f aca="false">IFERROR(M2520/K2520,0)</f>
        <v>0.598070739549839</v>
      </c>
    </row>
    <row r="2521" customFormat="false" ht="15" hidden="false" customHeight="false" outlineLevel="0" collapsed="false">
      <c r="A2521" s="15" t="n">
        <v>46128</v>
      </c>
      <c r="B2521" s="14" t="s">
        <v>42</v>
      </c>
      <c r="C2521" s="14" t="s">
        <v>43</v>
      </c>
      <c r="D2521" s="14" t="s">
        <v>44</v>
      </c>
      <c r="E2521" s="14" t="s">
        <v>64</v>
      </c>
      <c r="F2521" s="14" t="s">
        <v>90</v>
      </c>
      <c r="G2521" s="14" t="s">
        <v>91</v>
      </c>
      <c r="H2521" s="0" t="n">
        <v>10</v>
      </c>
      <c r="I2521" s="16" t="n">
        <v>11.08</v>
      </c>
      <c r="J2521" s="16" t="n">
        <v>3.5</v>
      </c>
      <c r="K2521" s="16" t="n">
        <f aca="false">H2521*I2521</f>
        <v>110.8</v>
      </c>
      <c r="L2521" s="16" t="n">
        <f aca="false">H2521*J2521</f>
        <v>35</v>
      </c>
      <c r="M2521" s="16" t="n">
        <f aca="false">K2521-L2521</f>
        <v>75.8</v>
      </c>
      <c r="N2521" s="17" t="n">
        <f aca="false">IFERROR(M2521/K2521,0)</f>
        <v>0.684115523465704</v>
      </c>
    </row>
    <row r="2522" customFormat="false" ht="15" hidden="false" customHeight="false" outlineLevel="0" collapsed="false">
      <c r="A2522" s="15" t="n">
        <v>46128</v>
      </c>
      <c r="B2522" s="14" t="s">
        <v>42</v>
      </c>
      <c r="C2522" s="14" t="s">
        <v>43</v>
      </c>
      <c r="D2522" s="14" t="s">
        <v>44</v>
      </c>
      <c r="E2522" s="14" t="s">
        <v>53</v>
      </c>
      <c r="F2522" s="14" t="s">
        <v>84</v>
      </c>
      <c r="G2522" s="14" t="s">
        <v>85</v>
      </c>
      <c r="H2522" s="0" t="n">
        <v>4</v>
      </c>
      <c r="I2522" s="16" t="n">
        <v>24.32</v>
      </c>
      <c r="J2522" s="16" t="n">
        <v>9</v>
      </c>
      <c r="K2522" s="16" t="n">
        <f aca="false">H2522*I2522</f>
        <v>97.28</v>
      </c>
      <c r="L2522" s="16" t="n">
        <f aca="false">H2522*J2522</f>
        <v>36</v>
      </c>
      <c r="M2522" s="16" t="n">
        <f aca="false">K2522-L2522</f>
        <v>61.28</v>
      </c>
      <c r="N2522" s="17" t="n">
        <f aca="false">IFERROR(M2522/K2522,0)</f>
        <v>0.629934210526316</v>
      </c>
    </row>
    <row r="2523" customFormat="false" ht="15" hidden="false" customHeight="false" outlineLevel="0" collapsed="false">
      <c r="A2523" s="15" t="n">
        <v>46128</v>
      </c>
      <c r="B2523" s="14" t="s">
        <v>42</v>
      </c>
      <c r="C2523" s="14" t="s">
        <v>43</v>
      </c>
      <c r="D2523" s="14" t="s">
        <v>44</v>
      </c>
      <c r="E2523" s="14" t="s">
        <v>56</v>
      </c>
      <c r="F2523" s="14" t="s">
        <v>98</v>
      </c>
      <c r="G2523" s="14" t="s">
        <v>99</v>
      </c>
      <c r="H2523" s="0" t="n">
        <v>7</v>
      </c>
      <c r="I2523" s="16" t="n">
        <v>20.3</v>
      </c>
      <c r="J2523" s="16" t="n">
        <v>8</v>
      </c>
      <c r="K2523" s="16" t="n">
        <f aca="false">H2523*I2523</f>
        <v>142.1</v>
      </c>
      <c r="L2523" s="16" t="n">
        <f aca="false">H2523*J2523</f>
        <v>56</v>
      </c>
      <c r="M2523" s="16" t="n">
        <f aca="false">K2523-L2523</f>
        <v>86.1</v>
      </c>
      <c r="N2523" s="17" t="n">
        <f aca="false">IFERROR(M2523/K2523,0)</f>
        <v>0.605911330049261</v>
      </c>
    </row>
    <row r="2524" customFormat="false" ht="15" hidden="false" customHeight="false" outlineLevel="0" collapsed="false">
      <c r="A2524" s="15" t="n">
        <v>46128</v>
      </c>
      <c r="B2524" s="14" t="s">
        <v>42</v>
      </c>
      <c r="C2524" s="14" t="s">
        <v>43</v>
      </c>
      <c r="D2524" s="14" t="s">
        <v>44</v>
      </c>
      <c r="E2524" s="14" t="s">
        <v>76</v>
      </c>
      <c r="F2524" s="14" t="s">
        <v>79</v>
      </c>
      <c r="G2524" s="14" t="s">
        <v>80</v>
      </c>
      <c r="H2524" s="0" t="n">
        <v>8</v>
      </c>
      <c r="I2524" s="16" t="n">
        <v>29.81</v>
      </c>
      <c r="J2524" s="16" t="n">
        <v>11</v>
      </c>
      <c r="K2524" s="16" t="n">
        <f aca="false">H2524*I2524</f>
        <v>238.48</v>
      </c>
      <c r="L2524" s="16" t="n">
        <f aca="false">H2524*J2524</f>
        <v>88</v>
      </c>
      <c r="M2524" s="16" t="n">
        <f aca="false">K2524-L2524</f>
        <v>150.48</v>
      </c>
      <c r="N2524" s="17" t="n">
        <f aca="false">IFERROR(M2524/K2524,0)</f>
        <v>0.6309963099631</v>
      </c>
    </row>
    <row r="2525" customFormat="false" ht="15" hidden="false" customHeight="false" outlineLevel="0" collapsed="false">
      <c r="A2525" s="15" t="n">
        <v>46128</v>
      </c>
      <c r="B2525" s="14" t="s">
        <v>50</v>
      </c>
      <c r="C2525" s="14" t="s">
        <v>51</v>
      </c>
      <c r="D2525" s="14" t="s">
        <v>52</v>
      </c>
      <c r="E2525" s="14" t="s">
        <v>56</v>
      </c>
      <c r="F2525" s="14" t="s">
        <v>86</v>
      </c>
      <c r="G2525" s="14" t="s">
        <v>87</v>
      </c>
      <c r="H2525" s="0" t="n">
        <v>1</v>
      </c>
      <c r="I2525" s="16" t="n">
        <v>14.21</v>
      </c>
      <c r="J2525" s="16" t="n">
        <v>5</v>
      </c>
      <c r="K2525" s="16" t="n">
        <f aca="false">H2525*I2525</f>
        <v>14.21</v>
      </c>
      <c r="L2525" s="16" t="n">
        <f aca="false">H2525*J2525</f>
        <v>5</v>
      </c>
      <c r="M2525" s="16" t="n">
        <f aca="false">K2525-L2525</f>
        <v>9.21</v>
      </c>
      <c r="N2525" s="17" t="n">
        <f aca="false">IFERROR(M2525/K2525,0)</f>
        <v>0.648135116115412</v>
      </c>
    </row>
    <row r="2526" customFormat="false" ht="15" hidden="false" customHeight="false" outlineLevel="0" collapsed="false">
      <c r="A2526" s="15" t="n">
        <v>46128</v>
      </c>
      <c r="B2526" s="14" t="s">
        <v>50</v>
      </c>
      <c r="C2526" s="14" t="s">
        <v>51</v>
      </c>
      <c r="D2526" s="14" t="s">
        <v>52</v>
      </c>
      <c r="E2526" s="14" t="s">
        <v>56</v>
      </c>
      <c r="F2526" s="14" t="s">
        <v>57</v>
      </c>
      <c r="G2526" s="14" t="s">
        <v>58</v>
      </c>
      <c r="H2526" s="0" t="n">
        <v>9</v>
      </c>
      <c r="I2526" s="16" t="n">
        <v>26.53</v>
      </c>
      <c r="J2526" s="16" t="n">
        <v>10</v>
      </c>
      <c r="K2526" s="16" t="n">
        <f aca="false">H2526*I2526</f>
        <v>238.77</v>
      </c>
      <c r="L2526" s="16" t="n">
        <f aca="false">H2526*J2526</f>
        <v>90</v>
      </c>
      <c r="M2526" s="16" t="n">
        <f aca="false">K2526-L2526</f>
        <v>148.77</v>
      </c>
      <c r="N2526" s="17" t="n">
        <f aca="false">IFERROR(M2526/K2526,0)</f>
        <v>0.623068224651338</v>
      </c>
    </row>
    <row r="2527" customFormat="false" ht="15" hidden="false" customHeight="false" outlineLevel="0" collapsed="false">
      <c r="A2527" s="15" t="n">
        <v>46128</v>
      </c>
      <c r="B2527" s="14" t="s">
        <v>50</v>
      </c>
      <c r="C2527" s="14" t="s">
        <v>51</v>
      </c>
      <c r="D2527" s="14" t="s">
        <v>52</v>
      </c>
      <c r="E2527" s="14" t="s">
        <v>45</v>
      </c>
      <c r="F2527" s="14" t="s">
        <v>48</v>
      </c>
      <c r="G2527" s="14" t="s">
        <v>49</v>
      </c>
      <c r="H2527" s="0" t="n">
        <v>10</v>
      </c>
      <c r="I2527" s="16" t="n">
        <v>67.74</v>
      </c>
      <c r="J2527" s="16" t="n">
        <v>27.5</v>
      </c>
      <c r="K2527" s="16" t="n">
        <f aca="false">H2527*I2527</f>
        <v>677.4</v>
      </c>
      <c r="L2527" s="16" t="n">
        <f aca="false">H2527*J2527</f>
        <v>275</v>
      </c>
      <c r="M2527" s="16" t="n">
        <f aca="false">K2527-L2527</f>
        <v>402.4</v>
      </c>
      <c r="N2527" s="17" t="n">
        <f aca="false">IFERROR(M2527/K2527,0)</f>
        <v>0.594036020076764</v>
      </c>
    </row>
    <row r="2528" customFormat="false" ht="15" hidden="false" customHeight="false" outlineLevel="0" collapsed="false">
      <c r="A2528" s="15" t="n">
        <v>46128</v>
      </c>
      <c r="B2528" s="14" t="s">
        <v>50</v>
      </c>
      <c r="C2528" s="14" t="s">
        <v>51</v>
      </c>
      <c r="D2528" s="14" t="s">
        <v>52</v>
      </c>
      <c r="E2528" s="14" t="s">
        <v>76</v>
      </c>
      <c r="F2528" s="14" t="s">
        <v>100</v>
      </c>
      <c r="G2528" s="14" t="s">
        <v>101</v>
      </c>
      <c r="H2528" s="0" t="n">
        <v>8</v>
      </c>
      <c r="I2528" s="16" t="n">
        <v>15.45</v>
      </c>
      <c r="J2528" s="16" t="n">
        <v>5.5</v>
      </c>
      <c r="K2528" s="16" t="n">
        <f aca="false">H2528*I2528</f>
        <v>123.6</v>
      </c>
      <c r="L2528" s="16" t="n">
        <f aca="false">H2528*J2528</f>
        <v>44</v>
      </c>
      <c r="M2528" s="16" t="n">
        <f aca="false">K2528-L2528</f>
        <v>79.6</v>
      </c>
      <c r="N2528" s="17" t="n">
        <f aca="false">IFERROR(M2528/K2528,0)</f>
        <v>0.644012944983819</v>
      </c>
    </row>
    <row r="2529" customFormat="false" ht="15" hidden="false" customHeight="false" outlineLevel="0" collapsed="false">
      <c r="A2529" s="15" t="n">
        <v>46128</v>
      </c>
      <c r="B2529" s="14" t="s">
        <v>59</v>
      </c>
      <c r="C2529" s="14" t="s">
        <v>60</v>
      </c>
      <c r="D2529" s="14" t="s">
        <v>61</v>
      </c>
      <c r="E2529" s="14" t="s">
        <v>56</v>
      </c>
      <c r="F2529" s="14" t="s">
        <v>67</v>
      </c>
      <c r="G2529" s="14" t="s">
        <v>68</v>
      </c>
      <c r="H2529" s="0" t="n">
        <v>3</v>
      </c>
      <c r="I2529" s="16" t="n">
        <v>37.88</v>
      </c>
      <c r="J2529" s="16" t="n">
        <v>15</v>
      </c>
      <c r="K2529" s="16" t="n">
        <f aca="false">H2529*I2529</f>
        <v>113.64</v>
      </c>
      <c r="L2529" s="16" t="n">
        <f aca="false">H2529*J2529</f>
        <v>45</v>
      </c>
      <c r="M2529" s="16" t="n">
        <f aca="false">K2529-L2529</f>
        <v>68.64</v>
      </c>
      <c r="N2529" s="17" t="n">
        <f aca="false">IFERROR(M2529/K2529,0)</f>
        <v>0.604012671594509</v>
      </c>
    </row>
    <row r="2530" customFormat="false" ht="15" hidden="false" customHeight="false" outlineLevel="0" collapsed="false">
      <c r="A2530" s="15" t="n">
        <v>46128</v>
      </c>
      <c r="B2530" s="14" t="s">
        <v>59</v>
      </c>
      <c r="C2530" s="14" t="s">
        <v>60</v>
      </c>
      <c r="D2530" s="14" t="s">
        <v>61</v>
      </c>
      <c r="E2530" s="14" t="s">
        <v>64</v>
      </c>
      <c r="F2530" s="14" t="s">
        <v>96</v>
      </c>
      <c r="G2530" s="14" t="s">
        <v>97</v>
      </c>
      <c r="H2530" s="0" t="n">
        <v>3</v>
      </c>
      <c r="I2530" s="16" t="n">
        <v>58.56</v>
      </c>
      <c r="J2530" s="16" t="n">
        <v>24</v>
      </c>
      <c r="K2530" s="16" t="n">
        <f aca="false">H2530*I2530</f>
        <v>175.68</v>
      </c>
      <c r="L2530" s="16" t="n">
        <f aca="false">H2530*J2530</f>
        <v>72</v>
      </c>
      <c r="M2530" s="16" t="n">
        <f aca="false">K2530-L2530</f>
        <v>103.68</v>
      </c>
      <c r="N2530" s="17" t="n">
        <f aca="false">IFERROR(M2530/K2530,0)</f>
        <v>0.59016393442623</v>
      </c>
    </row>
    <row r="2531" customFormat="false" ht="15" hidden="false" customHeight="false" outlineLevel="0" collapsed="false">
      <c r="A2531" s="15" t="n">
        <v>46128</v>
      </c>
      <c r="B2531" s="14" t="s">
        <v>59</v>
      </c>
      <c r="C2531" s="14" t="s">
        <v>60</v>
      </c>
      <c r="D2531" s="14" t="s">
        <v>61</v>
      </c>
      <c r="E2531" s="14" t="s">
        <v>76</v>
      </c>
      <c r="F2531" s="14" t="s">
        <v>102</v>
      </c>
      <c r="G2531" s="14" t="s">
        <v>103</v>
      </c>
      <c r="H2531" s="0" t="n">
        <v>2</v>
      </c>
      <c r="I2531" s="16" t="n">
        <v>24</v>
      </c>
      <c r="J2531" s="16" t="n">
        <v>8.5</v>
      </c>
      <c r="K2531" s="16" t="n">
        <f aca="false">H2531*I2531</f>
        <v>48</v>
      </c>
      <c r="L2531" s="16" t="n">
        <f aca="false">H2531*J2531</f>
        <v>17</v>
      </c>
      <c r="M2531" s="16" t="n">
        <f aca="false">K2531-L2531</f>
        <v>31</v>
      </c>
      <c r="N2531" s="17" t="n">
        <f aca="false">IFERROR(M2531/K2531,0)</f>
        <v>0.645833333333333</v>
      </c>
    </row>
    <row r="2532" customFormat="false" ht="15" hidden="false" customHeight="false" outlineLevel="0" collapsed="false">
      <c r="A2532" s="15" t="n">
        <v>46128</v>
      </c>
      <c r="B2532" s="14" t="s">
        <v>59</v>
      </c>
      <c r="C2532" s="14" t="s">
        <v>60</v>
      </c>
      <c r="D2532" s="14" t="s">
        <v>61</v>
      </c>
      <c r="E2532" s="14" t="s">
        <v>56</v>
      </c>
      <c r="F2532" s="14" t="s">
        <v>67</v>
      </c>
      <c r="G2532" s="14" t="s">
        <v>68</v>
      </c>
      <c r="H2532" s="0" t="n">
        <v>6</v>
      </c>
      <c r="I2532" s="16" t="n">
        <v>36.7</v>
      </c>
      <c r="J2532" s="16" t="n">
        <v>15</v>
      </c>
      <c r="K2532" s="16" t="n">
        <f aca="false">H2532*I2532</f>
        <v>220.2</v>
      </c>
      <c r="L2532" s="16" t="n">
        <f aca="false">H2532*J2532</f>
        <v>90</v>
      </c>
      <c r="M2532" s="16" t="n">
        <f aca="false">K2532-L2532</f>
        <v>130.2</v>
      </c>
      <c r="N2532" s="17" t="n">
        <f aca="false">IFERROR(M2532/K2532,0)</f>
        <v>0.591280653950954</v>
      </c>
    </row>
    <row r="2533" customFormat="false" ht="15" hidden="false" customHeight="false" outlineLevel="0" collapsed="false">
      <c r="A2533" s="15" t="n">
        <v>46128</v>
      </c>
      <c r="B2533" s="14" t="s">
        <v>59</v>
      </c>
      <c r="C2533" s="14" t="s">
        <v>60</v>
      </c>
      <c r="D2533" s="14" t="s">
        <v>61</v>
      </c>
      <c r="E2533" s="14" t="s">
        <v>45</v>
      </c>
      <c r="F2533" s="14" t="s">
        <v>46</v>
      </c>
      <c r="G2533" s="14" t="s">
        <v>47</v>
      </c>
      <c r="H2533" s="0" t="n">
        <v>6</v>
      </c>
      <c r="I2533" s="16" t="n">
        <v>42.37</v>
      </c>
      <c r="J2533" s="16" t="n">
        <v>18</v>
      </c>
      <c r="K2533" s="16" t="n">
        <f aca="false">H2533*I2533</f>
        <v>254.22</v>
      </c>
      <c r="L2533" s="16" t="n">
        <f aca="false">H2533*J2533</f>
        <v>108</v>
      </c>
      <c r="M2533" s="16" t="n">
        <f aca="false">K2533-L2533</f>
        <v>146.22</v>
      </c>
      <c r="N2533" s="17" t="n">
        <f aca="false">IFERROR(M2533/K2533,0)</f>
        <v>0.575171111635591</v>
      </c>
    </row>
    <row r="2534" customFormat="false" ht="15" hidden="false" customHeight="false" outlineLevel="0" collapsed="false">
      <c r="A2534" s="15" t="n">
        <v>46128</v>
      </c>
      <c r="B2534" s="14" t="s">
        <v>59</v>
      </c>
      <c r="C2534" s="14" t="s">
        <v>60</v>
      </c>
      <c r="D2534" s="14" t="s">
        <v>61</v>
      </c>
      <c r="E2534" s="14" t="s">
        <v>76</v>
      </c>
      <c r="F2534" s="14" t="s">
        <v>79</v>
      </c>
      <c r="G2534" s="14" t="s">
        <v>80</v>
      </c>
      <c r="H2534" s="0" t="n">
        <v>2</v>
      </c>
      <c r="I2534" s="16" t="n">
        <v>28.34</v>
      </c>
      <c r="J2534" s="16" t="n">
        <v>11</v>
      </c>
      <c r="K2534" s="16" t="n">
        <f aca="false">H2534*I2534</f>
        <v>56.68</v>
      </c>
      <c r="L2534" s="16" t="n">
        <f aca="false">H2534*J2534</f>
        <v>22</v>
      </c>
      <c r="M2534" s="16" t="n">
        <f aca="false">K2534-L2534</f>
        <v>34.68</v>
      </c>
      <c r="N2534" s="17" t="n">
        <f aca="false">IFERROR(M2534/K2534,0)</f>
        <v>0.611856033874383</v>
      </c>
    </row>
    <row r="2535" customFormat="false" ht="15" hidden="false" customHeight="false" outlineLevel="0" collapsed="false">
      <c r="A2535" s="15" t="n">
        <v>46128</v>
      </c>
      <c r="B2535" s="14" t="s">
        <v>69</v>
      </c>
      <c r="C2535" s="14" t="s">
        <v>70</v>
      </c>
      <c r="D2535" s="14" t="s">
        <v>71</v>
      </c>
      <c r="E2535" s="14" t="s">
        <v>76</v>
      </c>
      <c r="F2535" s="14" t="s">
        <v>77</v>
      </c>
      <c r="G2535" s="14" t="s">
        <v>78</v>
      </c>
      <c r="H2535" s="0" t="n">
        <v>7</v>
      </c>
      <c r="I2535" s="16" t="n">
        <v>40.19</v>
      </c>
      <c r="J2535" s="16" t="n">
        <v>15</v>
      </c>
      <c r="K2535" s="16" t="n">
        <f aca="false">H2535*I2535</f>
        <v>281.33</v>
      </c>
      <c r="L2535" s="16" t="n">
        <f aca="false">H2535*J2535</f>
        <v>105</v>
      </c>
      <c r="M2535" s="16" t="n">
        <f aca="false">K2535-L2535</f>
        <v>176.33</v>
      </c>
      <c r="N2535" s="17" t="n">
        <f aca="false">IFERROR(M2535/K2535,0)</f>
        <v>0.626772829061956</v>
      </c>
    </row>
    <row r="2536" customFormat="false" ht="15" hidden="false" customHeight="false" outlineLevel="0" collapsed="false">
      <c r="A2536" s="15" t="n">
        <v>46128</v>
      </c>
      <c r="B2536" s="14" t="s">
        <v>69</v>
      </c>
      <c r="C2536" s="14" t="s">
        <v>70</v>
      </c>
      <c r="D2536" s="14" t="s">
        <v>71</v>
      </c>
      <c r="E2536" s="14" t="s">
        <v>64</v>
      </c>
      <c r="F2536" s="14" t="s">
        <v>65</v>
      </c>
      <c r="G2536" s="14" t="s">
        <v>66</v>
      </c>
      <c r="H2536" s="0" t="n">
        <v>6</v>
      </c>
      <c r="I2536" s="16" t="n">
        <v>72.91</v>
      </c>
      <c r="J2536" s="16" t="n">
        <v>34</v>
      </c>
      <c r="K2536" s="16" t="n">
        <f aca="false">H2536*I2536</f>
        <v>437.46</v>
      </c>
      <c r="L2536" s="16" t="n">
        <f aca="false">H2536*J2536</f>
        <v>204</v>
      </c>
      <c r="M2536" s="16" t="n">
        <f aca="false">K2536-L2536</f>
        <v>233.46</v>
      </c>
      <c r="N2536" s="17" t="n">
        <f aca="false">IFERROR(M2536/K2536,0)</f>
        <v>0.533671649979427</v>
      </c>
    </row>
    <row r="2537" customFormat="false" ht="15" hidden="false" customHeight="false" outlineLevel="0" collapsed="false">
      <c r="A2537" s="15" t="n">
        <v>46128</v>
      </c>
      <c r="B2537" s="14" t="s">
        <v>69</v>
      </c>
      <c r="C2537" s="14" t="s">
        <v>70</v>
      </c>
      <c r="D2537" s="14" t="s">
        <v>71</v>
      </c>
      <c r="E2537" s="14" t="s">
        <v>76</v>
      </c>
      <c r="F2537" s="14" t="s">
        <v>100</v>
      </c>
      <c r="G2537" s="14" t="s">
        <v>101</v>
      </c>
      <c r="H2537" s="0" t="n">
        <v>3</v>
      </c>
      <c r="I2537" s="16" t="n">
        <v>15.24</v>
      </c>
      <c r="J2537" s="16" t="n">
        <v>5.5</v>
      </c>
      <c r="K2537" s="16" t="n">
        <f aca="false">H2537*I2537</f>
        <v>45.72</v>
      </c>
      <c r="L2537" s="16" t="n">
        <f aca="false">H2537*J2537</f>
        <v>16.5</v>
      </c>
      <c r="M2537" s="16" t="n">
        <f aca="false">K2537-L2537</f>
        <v>29.22</v>
      </c>
      <c r="N2537" s="17" t="n">
        <f aca="false">IFERROR(M2537/K2537,0)</f>
        <v>0.639107611548556</v>
      </c>
    </row>
    <row r="2538" customFormat="false" ht="15" hidden="false" customHeight="false" outlineLevel="0" collapsed="false">
      <c r="A2538" s="15" t="n">
        <v>46128</v>
      </c>
      <c r="B2538" s="14" t="s">
        <v>69</v>
      </c>
      <c r="C2538" s="14" t="s">
        <v>70</v>
      </c>
      <c r="D2538" s="14" t="s">
        <v>71</v>
      </c>
      <c r="E2538" s="14" t="s">
        <v>56</v>
      </c>
      <c r="F2538" s="14" t="s">
        <v>98</v>
      </c>
      <c r="G2538" s="14" t="s">
        <v>99</v>
      </c>
      <c r="H2538" s="0" t="n">
        <v>5</v>
      </c>
      <c r="I2538" s="16" t="n">
        <v>21.82</v>
      </c>
      <c r="J2538" s="16" t="n">
        <v>8</v>
      </c>
      <c r="K2538" s="16" t="n">
        <f aca="false">H2538*I2538</f>
        <v>109.1</v>
      </c>
      <c r="L2538" s="16" t="n">
        <f aca="false">H2538*J2538</f>
        <v>40</v>
      </c>
      <c r="M2538" s="16" t="n">
        <f aca="false">K2538-L2538</f>
        <v>69.1</v>
      </c>
      <c r="N2538" s="17" t="n">
        <f aca="false">IFERROR(M2538/K2538,0)</f>
        <v>0.633363886342805</v>
      </c>
    </row>
    <row r="2539" customFormat="false" ht="15" hidden="false" customHeight="false" outlineLevel="0" collapsed="false">
      <c r="A2539" s="15" t="n">
        <v>46128</v>
      </c>
      <c r="B2539" s="14" t="s">
        <v>81</v>
      </c>
      <c r="C2539" s="14" t="s">
        <v>82</v>
      </c>
      <c r="D2539" s="14" t="s">
        <v>83</v>
      </c>
      <c r="E2539" s="14" t="s">
        <v>76</v>
      </c>
      <c r="F2539" s="14" t="s">
        <v>79</v>
      </c>
      <c r="G2539" s="14" t="s">
        <v>80</v>
      </c>
      <c r="H2539" s="0" t="n">
        <v>6</v>
      </c>
      <c r="I2539" s="16" t="n">
        <v>28.03</v>
      </c>
      <c r="J2539" s="16" t="n">
        <v>11</v>
      </c>
      <c r="K2539" s="16" t="n">
        <f aca="false">H2539*I2539</f>
        <v>168.18</v>
      </c>
      <c r="L2539" s="16" t="n">
        <f aca="false">H2539*J2539</f>
        <v>66</v>
      </c>
      <c r="M2539" s="16" t="n">
        <f aca="false">K2539-L2539</f>
        <v>102.18</v>
      </c>
      <c r="N2539" s="17" t="n">
        <f aca="false">IFERROR(M2539/K2539,0)</f>
        <v>0.607563325008919</v>
      </c>
    </row>
    <row r="2540" customFormat="false" ht="15" hidden="false" customHeight="false" outlineLevel="0" collapsed="false">
      <c r="A2540" s="15" t="n">
        <v>46128</v>
      </c>
      <c r="B2540" s="14" t="s">
        <v>81</v>
      </c>
      <c r="C2540" s="14" t="s">
        <v>82</v>
      </c>
      <c r="D2540" s="14" t="s">
        <v>83</v>
      </c>
      <c r="E2540" s="14" t="s">
        <v>76</v>
      </c>
      <c r="F2540" s="14" t="s">
        <v>102</v>
      </c>
      <c r="G2540" s="14" t="s">
        <v>103</v>
      </c>
      <c r="H2540" s="0" t="n">
        <v>6</v>
      </c>
      <c r="I2540" s="16" t="n">
        <v>22.32</v>
      </c>
      <c r="J2540" s="16" t="n">
        <v>8.5</v>
      </c>
      <c r="K2540" s="16" t="n">
        <f aca="false">H2540*I2540</f>
        <v>133.92</v>
      </c>
      <c r="L2540" s="16" t="n">
        <f aca="false">H2540*J2540</f>
        <v>51</v>
      </c>
      <c r="M2540" s="16" t="n">
        <f aca="false">K2540-L2540</f>
        <v>82.92</v>
      </c>
      <c r="N2540" s="17" t="n">
        <f aca="false">IFERROR(M2540/K2540,0)</f>
        <v>0.619175627240143</v>
      </c>
    </row>
    <row r="2541" customFormat="false" ht="15" hidden="false" customHeight="false" outlineLevel="0" collapsed="false">
      <c r="A2541" s="15" t="n">
        <v>46128</v>
      </c>
      <c r="B2541" s="14" t="s">
        <v>81</v>
      </c>
      <c r="C2541" s="14" t="s">
        <v>82</v>
      </c>
      <c r="D2541" s="14" t="s">
        <v>83</v>
      </c>
      <c r="E2541" s="14" t="s">
        <v>53</v>
      </c>
      <c r="F2541" s="14" t="s">
        <v>54</v>
      </c>
      <c r="G2541" s="14" t="s">
        <v>55</v>
      </c>
      <c r="H2541" s="0" t="n">
        <v>1</v>
      </c>
      <c r="I2541" s="16" t="n">
        <v>51.62</v>
      </c>
      <c r="J2541" s="16" t="n">
        <v>22</v>
      </c>
      <c r="K2541" s="16" t="n">
        <f aca="false">H2541*I2541</f>
        <v>51.62</v>
      </c>
      <c r="L2541" s="16" t="n">
        <f aca="false">H2541*J2541</f>
        <v>22</v>
      </c>
      <c r="M2541" s="16" t="n">
        <f aca="false">K2541-L2541</f>
        <v>29.62</v>
      </c>
      <c r="N2541" s="17" t="n">
        <f aca="false">IFERROR(M2541/K2541,0)</f>
        <v>0.573808601317319</v>
      </c>
    </row>
    <row r="2542" customFormat="false" ht="15" hidden="false" customHeight="false" outlineLevel="0" collapsed="false">
      <c r="A2542" s="15" t="n">
        <v>46128</v>
      </c>
      <c r="B2542" s="14" t="s">
        <v>81</v>
      </c>
      <c r="C2542" s="14" t="s">
        <v>82</v>
      </c>
      <c r="D2542" s="14" t="s">
        <v>83</v>
      </c>
      <c r="E2542" s="14" t="s">
        <v>45</v>
      </c>
      <c r="F2542" s="14" t="s">
        <v>62</v>
      </c>
      <c r="G2542" s="14" t="s">
        <v>63</v>
      </c>
      <c r="H2542" s="0" t="n">
        <v>7</v>
      </c>
      <c r="I2542" s="16" t="n">
        <v>17.4</v>
      </c>
      <c r="J2542" s="16" t="n">
        <v>6.5</v>
      </c>
      <c r="K2542" s="16" t="n">
        <f aca="false">H2542*I2542</f>
        <v>121.8</v>
      </c>
      <c r="L2542" s="16" t="n">
        <f aca="false">H2542*J2542</f>
        <v>45.5</v>
      </c>
      <c r="M2542" s="16" t="n">
        <f aca="false">K2542-L2542</f>
        <v>76.3</v>
      </c>
      <c r="N2542" s="17" t="n">
        <f aca="false">IFERROR(M2542/K2542,0)</f>
        <v>0.626436781609195</v>
      </c>
    </row>
    <row r="2543" customFormat="false" ht="15" hidden="false" customHeight="false" outlineLevel="0" collapsed="false">
      <c r="A2543" s="15" t="n">
        <v>46128</v>
      </c>
      <c r="B2543" s="14" t="s">
        <v>81</v>
      </c>
      <c r="C2543" s="14" t="s">
        <v>82</v>
      </c>
      <c r="D2543" s="14" t="s">
        <v>83</v>
      </c>
      <c r="E2543" s="14" t="s">
        <v>45</v>
      </c>
      <c r="F2543" s="14" t="s">
        <v>62</v>
      </c>
      <c r="G2543" s="14" t="s">
        <v>63</v>
      </c>
      <c r="H2543" s="0" t="n">
        <v>1</v>
      </c>
      <c r="I2543" s="16" t="n">
        <v>17.93</v>
      </c>
      <c r="J2543" s="16" t="n">
        <v>6.5</v>
      </c>
      <c r="K2543" s="16" t="n">
        <f aca="false">H2543*I2543</f>
        <v>17.93</v>
      </c>
      <c r="L2543" s="16" t="n">
        <f aca="false">H2543*J2543</f>
        <v>6.5</v>
      </c>
      <c r="M2543" s="16" t="n">
        <f aca="false">K2543-L2543</f>
        <v>11.43</v>
      </c>
      <c r="N2543" s="17" t="n">
        <f aca="false">IFERROR(M2543/K2543,0)</f>
        <v>0.637479085331846</v>
      </c>
    </row>
    <row r="2544" customFormat="false" ht="15" hidden="false" customHeight="false" outlineLevel="0" collapsed="false">
      <c r="A2544" s="15" t="n">
        <v>46128</v>
      </c>
      <c r="B2544" s="14" t="s">
        <v>81</v>
      </c>
      <c r="C2544" s="14" t="s">
        <v>82</v>
      </c>
      <c r="D2544" s="14" t="s">
        <v>83</v>
      </c>
      <c r="E2544" s="14" t="s">
        <v>76</v>
      </c>
      <c r="F2544" s="14" t="s">
        <v>102</v>
      </c>
      <c r="G2544" s="14" t="s">
        <v>103</v>
      </c>
      <c r="H2544" s="0" t="n">
        <v>1</v>
      </c>
      <c r="I2544" s="16" t="n">
        <v>23.38</v>
      </c>
      <c r="J2544" s="16" t="n">
        <v>8.5</v>
      </c>
      <c r="K2544" s="16" t="n">
        <f aca="false">H2544*I2544</f>
        <v>23.38</v>
      </c>
      <c r="L2544" s="16" t="n">
        <f aca="false">H2544*J2544</f>
        <v>8.5</v>
      </c>
      <c r="M2544" s="16" t="n">
        <f aca="false">K2544-L2544</f>
        <v>14.88</v>
      </c>
      <c r="N2544" s="17" t="n">
        <f aca="false">IFERROR(M2544/K2544,0)</f>
        <v>0.636441402908469</v>
      </c>
    </row>
    <row r="2545" customFormat="false" ht="15" hidden="false" customHeight="false" outlineLevel="0" collapsed="false">
      <c r="A2545" s="15" t="n">
        <v>46128</v>
      </c>
      <c r="B2545" s="14" t="s">
        <v>88</v>
      </c>
      <c r="C2545" s="14" t="s">
        <v>89</v>
      </c>
      <c r="D2545" s="14" t="s">
        <v>44</v>
      </c>
      <c r="E2545" s="14" t="s">
        <v>56</v>
      </c>
      <c r="F2545" s="14" t="s">
        <v>98</v>
      </c>
      <c r="G2545" s="14" t="s">
        <v>99</v>
      </c>
      <c r="H2545" s="0" t="n">
        <v>5</v>
      </c>
      <c r="I2545" s="16" t="n">
        <v>20.86</v>
      </c>
      <c r="J2545" s="16" t="n">
        <v>8</v>
      </c>
      <c r="K2545" s="16" t="n">
        <f aca="false">H2545*I2545</f>
        <v>104.3</v>
      </c>
      <c r="L2545" s="16" t="n">
        <f aca="false">H2545*J2545</f>
        <v>40</v>
      </c>
      <c r="M2545" s="16" t="n">
        <f aca="false">K2545-L2545</f>
        <v>64.3</v>
      </c>
      <c r="N2545" s="17" t="n">
        <f aca="false">IFERROR(M2545/K2545,0)</f>
        <v>0.616490891658677</v>
      </c>
    </row>
    <row r="2546" customFormat="false" ht="15" hidden="false" customHeight="false" outlineLevel="0" collapsed="false">
      <c r="A2546" s="15" t="n">
        <v>46128</v>
      </c>
      <c r="B2546" s="14" t="s">
        <v>88</v>
      </c>
      <c r="C2546" s="14" t="s">
        <v>89</v>
      </c>
      <c r="D2546" s="14" t="s">
        <v>44</v>
      </c>
      <c r="E2546" s="14" t="s">
        <v>45</v>
      </c>
      <c r="F2546" s="14" t="s">
        <v>72</v>
      </c>
      <c r="G2546" s="14" t="s">
        <v>73</v>
      </c>
      <c r="H2546" s="0" t="n">
        <v>3</v>
      </c>
      <c r="I2546" s="16" t="n">
        <v>49.97</v>
      </c>
      <c r="J2546" s="16" t="n">
        <v>21</v>
      </c>
      <c r="K2546" s="16" t="n">
        <f aca="false">H2546*I2546</f>
        <v>149.91</v>
      </c>
      <c r="L2546" s="16" t="n">
        <f aca="false">H2546*J2546</f>
        <v>63</v>
      </c>
      <c r="M2546" s="16" t="n">
        <f aca="false">K2546-L2546</f>
        <v>86.91</v>
      </c>
      <c r="N2546" s="17" t="n">
        <f aca="false">IFERROR(M2546/K2546,0)</f>
        <v>0.579747848709226</v>
      </c>
    </row>
    <row r="2547" customFormat="false" ht="15" hidden="false" customHeight="false" outlineLevel="0" collapsed="false">
      <c r="A2547" s="15" t="n">
        <v>46128</v>
      </c>
      <c r="B2547" s="14" t="s">
        <v>88</v>
      </c>
      <c r="C2547" s="14" t="s">
        <v>89</v>
      </c>
      <c r="D2547" s="14" t="s">
        <v>44</v>
      </c>
      <c r="E2547" s="14" t="s">
        <v>53</v>
      </c>
      <c r="F2547" s="14" t="s">
        <v>54</v>
      </c>
      <c r="G2547" s="14" t="s">
        <v>55</v>
      </c>
      <c r="H2547" s="0" t="n">
        <v>7</v>
      </c>
      <c r="I2547" s="16" t="n">
        <v>53.11</v>
      </c>
      <c r="J2547" s="16" t="n">
        <v>22</v>
      </c>
      <c r="K2547" s="16" t="n">
        <f aca="false">H2547*I2547</f>
        <v>371.77</v>
      </c>
      <c r="L2547" s="16" t="n">
        <f aca="false">H2547*J2547</f>
        <v>154</v>
      </c>
      <c r="M2547" s="16" t="n">
        <f aca="false">K2547-L2547</f>
        <v>217.77</v>
      </c>
      <c r="N2547" s="17" t="n">
        <f aca="false">IFERROR(M2547/K2547,0)</f>
        <v>0.585765392581435</v>
      </c>
    </row>
    <row r="2548" customFormat="false" ht="15" hidden="false" customHeight="false" outlineLevel="0" collapsed="false">
      <c r="A2548" s="15" t="n">
        <v>46128</v>
      </c>
      <c r="B2548" s="14" t="s">
        <v>88</v>
      </c>
      <c r="C2548" s="14" t="s">
        <v>89</v>
      </c>
      <c r="D2548" s="14" t="s">
        <v>44</v>
      </c>
      <c r="E2548" s="14" t="s">
        <v>64</v>
      </c>
      <c r="F2548" s="14" t="s">
        <v>65</v>
      </c>
      <c r="G2548" s="14" t="s">
        <v>66</v>
      </c>
      <c r="H2548" s="0" t="n">
        <v>7</v>
      </c>
      <c r="I2548" s="16" t="n">
        <v>78.22</v>
      </c>
      <c r="J2548" s="16" t="n">
        <v>34</v>
      </c>
      <c r="K2548" s="16" t="n">
        <f aca="false">H2548*I2548</f>
        <v>547.54</v>
      </c>
      <c r="L2548" s="16" t="n">
        <f aca="false">H2548*J2548</f>
        <v>238</v>
      </c>
      <c r="M2548" s="16" t="n">
        <f aca="false">K2548-L2548</f>
        <v>309.54</v>
      </c>
      <c r="N2548" s="17" t="n">
        <f aca="false">IFERROR(M2548/K2548,0)</f>
        <v>0.565328560470468</v>
      </c>
    </row>
    <row r="2549" customFormat="false" ht="15" hidden="false" customHeight="false" outlineLevel="0" collapsed="false">
      <c r="A2549" s="15" t="n">
        <v>46129</v>
      </c>
      <c r="B2549" s="14" t="s">
        <v>42</v>
      </c>
      <c r="C2549" s="14" t="s">
        <v>43</v>
      </c>
      <c r="D2549" s="14" t="s">
        <v>44</v>
      </c>
      <c r="E2549" s="14" t="s">
        <v>45</v>
      </c>
      <c r="F2549" s="14" t="s">
        <v>46</v>
      </c>
      <c r="G2549" s="14" t="s">
        <v>47</v>
      </c>
      <c r="H2549" s="0" t="n">
        <v>9</v>
      </c>
      <c r="I2549" s="16" t="n">
        <v>42.61</v>
      </c>
      <c r="J2549" s="16" t="n">
        <v>18</v>
      </c>
      <c r="K2549" s="16" t="n">
        <f aca="false">H2549*I2549</f>
        <v>383.49</v>
      </c>
      <c r="L2549" s="16" t="n">
        <f aca="false">H2549*J2549</f>
        <v>162</v>
      </c>
      <c r="M2549" s="16" t="n">
        <f aca="false">K2549-L2549</f>
        <v>221.49</v>
      </c>
      <c r="N2549" s="17" t="n">
        <f aca="false">IFERROR(M2549/K2549,0)</f>
        <v>0.577563952123915</v>
      </c>
    </row>
    <row r="2550" customFormat="false" ht="15" hidden="false" customHeight="false" outlineLevel="0" collapsed="false">
      <c r="A2550" s="15" t="n">
        <v>46129</v>
      </c>
      <c r="B2550" s="14" t="s">
        <v>42</v>
      </c>
      <c r="C2550" s="14" t="s">
        <v>43</v>
      </c>
      <c r="D2550" s="14" t="s">
        <v>44</v>
      </c>
      <c r="E2550" s="14" t="s">
        <v>64</v>
      </c>
      <c r="F2550" s="14" t="s">
        <v>94</v>
      </c>
      <c r="G2550" s="14" t="s">
        <v>95</v>
      </c>
      <c r="H2550" s="0" t="n">
        <v>10</v>
      </c>
      <c r="I2550" s="16" t="n">
        <v>98.54</v>
      </c>
      <c r="J2550" s="16" t="n">
        <v>42</v>
      </c>
      <c r="K2550" s="16" t="n">
        <f aca="false">H2550*I2550</f>
        <v>985.4</v>
      </c>
      <c r="L2550" s="16" t="n">
        <f aca="false">H2550*J2550</f>
        <v>420</v>
      </c>
      <c r="M2550" s="16" t="n">
        <f aca="false">K2550-L2550</f>
        <v>565.4</v>
      </c>
      <c r="N2550" s="17" t="n">
        <f aca="false">IFERROR(M2550/K2550,0)</f>
        <v>0.573777146336513</v>
      </c>
    </row>
    <row r="2551" customFormat="false" ht="15" hidden="false" customHeight="false" outlineLevel="0" collapsed="false">
      <c r="A2551" s="15" t="n">
        <v>46129</v>
      </c>
      <c r="B2551" s="14" t="s">
        <v>42</v>
      </c>
      <c r="C2551" s="14" t="s">
        <v>43</v>
      </c>
      <c r="D2551" s="14" t="s">
        <v>44</v>
      </c>
      <c r="E2551" s="14" t="s">
        <v>76</v>
      </c>
      <c r="F2551" s="14" t="s">
        <v>79</v>
      </c>
      <c r="G2551" s="14" t="s">
        <v>80</v>
      </c>
      <c r="H2551" s="0" t="n">
        <v>4</v>
      </c>
      <c r="I2551" s="16" t="n">
        <v>28.48</v>
      </c>
      <c r="J2551" s="16" t="n">
        <v>11</v>
      </c>
      <c r="K2551" s="16" t="n">
        <f aca="false">H2551*I2551</f>
        <v>113.92</v>
      </c>
      <c r="L2551" s="16" t="n">
        <f aca="false">H2551*J2551</f>
        <v>44</v>
      </c>
      <c r="M2551" s="16" t="n">
        <f aca="false">K2551-L2551</f>
        <v>69.92</v>
      </c>
      <c r="N2551" s="17" t="n">
        <f aca="false">IFERROR(M2551/K2551,0)</f>
        <v>0.61376404494382</v>
      </c>
    </row>
    <row r="2552" customFormat="false" ht="15" hidden="false" customHeight="false" outlineLevel="0" collapsed="false">
      <c r="A2552" s="15" t="n">
        <v>46129</v>
      </c>
      <c r="B2552" s="14" t="s">
        <v>50</v>
      </c>
      <c r="C2552" s="14" t="s">
        <v>51</v>
      </c>
      <c r="D2552" s="14" t="s">
        <v>52</v>
      </c>
      <c r="E2552" s="14" t="s">
        <v>53</v>
      </c>
      <c r="F2552" s="14" t="s">
        <v>74</v>
      </c>
      <c r="G2552" s="14" t="s">
        <v>75</v>
      </c>
      <c r="H2552" s="0" t="n">
        <v>3</v>
      </c>
      <c r="I2552" s="16" t="n">
        <v>86.22</v>
      </c>
      <c r="J2552" s="16" t="n">
        <v>38</v>
      </c>
      <c r="K2552" s="16" t="n">
        <f aca="false">H2552*I2552</f>
        <v>258.66</v>
      </c>
      <c r="L2552" s="16" t="n">
        <f aca="false">H2552*J2552</f>
        <v>114</v>
      </c>
      <c r="M2552" s="16" t="n">
        <f aca="false">K2552-L2552</f>
        <v>144.66</v>
      </c>
      <c r="N2552" s="17" t="n">
        <f aca="false">IFERROR(M2552/K2552,0)</f>
        <v>0.559266991417305</v>
      </c>
    </row>
    <row r="2553" customFormat="false" ht="15" hidden="false" customHeight="false" outlineLevel="0" collapsed="false">
      <c r="A2553" s="15" t="n">
        <v>46129</v>
      </c>
      <c r="B2553" s="14" t="s">
        <v>50</v>
      </c>
      <c r="C2553" s="14" t="s">
        <v>51</v>
      </c>
      <c r="D2553" s="14" t="s">
        <v>52</v>
      </c>
      <c r="E2553" s="14" t="s">
        <v>76</v>
      </c>
      <c r="F2553" s="14" t="s">
        <v>102</v>
      </c>
      <c r="G2553" s="14" t="s">
        <v>103</v>
      </c>
      <c r="H2553" s="0" t="n">
        <v>5</v>
      </c>
      <c r="I2553" s="16" t="n">
        <v>22.81</v>
      </c>
      <c r="J2553" s="16" t="n">
        <v>8.5</v>
      </c>
      <c r="K2553" s="16" t="n">
        <f aca="false">H2553*I2553</f>
        <v>114.05</v>
      </c>
      <c r="L2553" s="16" t="n">
        <f aca="false">H2553*J2553</f>
        <v>42.5</v>
      </c>
      <c r="M2553" s="16" t="n">
        <f aca="false">K2553-L2553</f>
        <v>71.55</v>
      </c>
      <c r="N2553" s="17" t="n">
        <f aca="false">IFERROR(M2553/K2553,0)</f>
        <v>0.627356422621657</v>
      </c>
    </row>
    <row r="2554" customFormat="false" ht="15" hidden="false" customHeight="false" outlineLevel="0" collapsed="false">
      <c r="A2554" s="15" t="n">
        <v>46129</v>
      </c>
      <c r="B2554" s="14" t="s">
        <v>50</v>
      </c>
      <c r="C2554" s="14" t="s">
        <v>51</v>
      </c>
      <c r="D2554" s="14" t="s">
        <v>52</v>
      </c>
      <c r="E2554" s="14" t="s">
        <v>56</v>
      </c>
      <c r="F2554" s="14" t="s">
        <v>98</v>
      </c>
      <c r="G2554" s="14" t="s">
        <v>99</v>
      </c>
      <c r="H2554" s="0" t="n">
        <v>4</v>
      </c>
      <c r="I2554" s="16" t="n">
        <v>20.91</v>
      </c>
      <c r="J2554" s="16" t="n">
        <v>8</v>
      </c>
      <c r="K2554" s="16" t="n">
        <f aca="false">H2554*I2554</f>
        <v>83.64</v>
      </c>
      <c r="L2554" s="16" t="n">
        <f aca="false">H2554*J2554</f>
        <v>32</v>
      </c>
      <c r="M2554" s="16" t="n">
        <f aca="false">K2554-L2554</f>
        <v>51.64</v>
      </c>
      <c r="N2554" s="17" t="n">
        <f aca="false">IFERROR(M2554/K2554,0)</f>
        <v>0.61740793878527</v>
      </c>
    </row>
    <row r="2555" customFormat="false" ht="15" hidden="false" customHeight="false" outlineLevel="0" collapsed="false">
      <c r="A2555" s="15" t="n">
        <v>46129</v>
      </c>
      <c r="B2555" s="14" t="s">
        <v>50</v>
      </c>
      <c r="C2555" s="14" t="s">
        <v>51</v>
      </c>
      <c r="D2555" s="14" t="s">
        <v>52</v>
      </c>
      <c r="E2555" s="14" t="s">
        <v>45</v>
      </c>
      <c r="F2555" s="14" t="s">
        <v>48</v>
      </c>
      <c r="G2555" s="14" t="s">
        <v>49</v>
      </c>
      <c r="H2555" s="0" t="n">
        <v>6</v>
      </c>
      <c r="I2555" s="16" t="n">
        <v>65.64</v>
      </c>
      <c r="J2555" s="16" t="n">
        <v>27.5</v>
      </c>
      <c r="K2555" s="16" t="n">
        <f aca="false">H2555*I2555</f>
        <v>393.84</v>
      </c>
      <c r="L2555" s="16" t="n">
        <f aca="false">H2555*J2555</f>
        <v>165</v>
      </c>
      <c r="M2555" s="16" t="n">
        <f aca="false">K2555-L2555</f>
        <v>228.84</v>
      </c>
      <c r="N2555" s="17" t="n">
        <f aca="false">IFERROR(M2555/K2555,0)</f>
        <v>0.581048141377209</v>
      </c>
    </row>
    <row r="2556" customFormat="false" ht="15" hidden="false" customHeight="false" outlineLevel="0" collapsed="false">
      <c r="A2556" s="15" t="n">
        <v>46129</v>
      </c>
      <c r="B2556" s="14" t="s">
        <v>59</v>
      </c>
      <c r="C2556" s="14" t="s">
        <v>60</v>
      </c>
      <c r="D2556" s="14" t="s">
        <v>61</v>
      </c>
      <c r="E2556" s="14" t="s">
        <v>56</v>
      </c>
      <c r="F2556" s="14" t="s">
        <v>57</v>
      </c>
      <c r="G2556" s="14" t="s">
        <v>58</v>
      </c>
      <c r="H2556" s="0" t="n">
        <v>2</v>
      </c>
      <c r="I2556" s="16" t="n">
        <v>26.67</v>
      </c>
      <c r="J2556" s="16" t="n">
        <v>10</v>
      </c>
      <c r="K2556" s="16" t="n">
        <f aca="false">H2556*I2556</f>
        <v>53.34</v>
      </c>
      <c r="L2556" s="16" t="n">
        <f aca="false">H2556*J2556</f>
        <v>20</v>
      </c>
      <c r="M2556" s="16" t="n">
        <f aca="false">K2556-L2556</f>
        <v>33.34</v>
      </c>
      <c r="N2556" s="17" t="n">
        <f aca="false">IFERROR(M2556/K2556,0)</f>
        <v>0.625046869141357</v>
      </c>
    </row>
    <row r="2557" customFormat="false" ht="15" hidden="false" customHeight="false" outlineLevel="0" collapsed="false">
      <c r="A2557" s="15" t="n">
        <v>46129</v>
      </c>
      <c r="B2557" s="14" t="s">
        <v>59</v>
      </c>
      <c r="C2557" s="14" t="s">
        <v>60</v>
      </c>
      <c r="D2557" s="14" t="s">
        <v>61</v>
      </c>
      <c r="E2557" s="14" t="s">
        <v>56</v>
      </c>
      <c r="F2557" s="14" t="s">
        <v>98</v>
      </c>
      <c r="G2557" s="14" t="s">
        <v>99</v>
      </c>
      <c r="H2557" s="0" t="n">
        <v>8</v>
      </c>
      <c r="I2557" s="16" t="n">
        <v>21.4</v>
      </c>
      <c r="J2557" s="16" t="n">
        <v>8</v>
      </c>
      <c r="K2557" s="16" t="n">
        <f aca="false">H2557*I2557</f>
        <v>171.2</v>
      </c>
      <c r="L2557" s="16" t="n">
        <f aca="false">H2557*J2557</f>
        <v>64</v>
      </c>
      <c r="M2557" s="16" t="n">
        <f aca="false">K2557-L2557</f>
        <v>107.2</v>
      </c>
      <c r="N2557" s="17" t="n">
        <f aca="false">IFERROR(M2557/K2557,0)</f>
        <v>0.626168224299065</v>
      </c>
    </row>
    <row r="2558" customFormat="false" ht="15" hidden="false" customHeight="false" outlineLevel="0" collapsed="false">
      <c r="A2558" s="15" t="n">
        <v>46129</v>
      </c>
      <c r="B2558" s="14" t="s">
        <v>59</v>
      </c>
      <c r="C2558" s="14" t="s">
        <v>60</v>
      </c>
      <c r="D2558" s="14" t="s">
        <v>61</v>
      </c>
      <c r="E2558" s="14" t="s">
        <v>56</v>
      </c>
      <c r="F2558" s="14" t="s">
        <v>57</v>
      </c>
      <c r="G2558" s="14" t="s">
        <v>58</v>
      </c>
      <c r="H2558" s="0" t="n">
        <v>6</v>
      </c>
      <c r="I2558" s="16" t="n">
        <v>25.42</v>
      </c>
      <c r="J2558" s="16" t="n">
        <v>10</v>
      </c>
      <c r="K2558" s="16" t="n">
        <f aca="false">H2558*I2558</f>
        <v>152.52</v>
      </c>
      <c r="L2558" s="16" t="n">
        <f aca="false">H2558*J2558</f>
        <v>60</v>
      </c>
      <c r="M2558" s="16" t="n">
        <f aca="false">K2558-L2558</f>
        <v>92.52</v>
      </c>
      <c r="N2558" s="17" t="n">
        <f aca="false">IFERROR(M2558/K2558,0)</f>
        <v>0.6066089693155</v>
      </c>
    </row>
    <row r="2559" customFormat="false" ht="15" hidden="false" customHeight="false" outlineLevel="0" collapsed="false">
      <c r="A2559" s="15" t="n">
        <v>46129</v>
      </c>
      <c r="B2559" s="14" t="s">
        <v>59</v>
      </c>
      <c r="C2559" s="14" t="s">
        <v>60</v>
      </c>
      <c r="D2559" s="14" t="s">
        <v>61</v>
      </c>
      <c r="E2559" s="14" t="s">
        <v>56</v>
      </c>
      <c r="F2559" s="14" t="s">
        <v>67</v>
      </c>
      <c r="G2559" s="14" t="s">
        <v>68</v>
      </c>
      <c r="H2559" s="0" t="n">
        <v>4</v>
      </c>
      <c r="I2559" s="16" t="n">
        <v>35.96</v>
      </c>
      <c r="J2559" s="16" t="n">
        <v>15</v>
      </c>
      <c r="K2559" s="16" t="n">
        <f aca="false">H2559*I2559</f>
        <v>143.84</v>
      </c>
      <c r="L2559" s="16" t="n">
        <f aca="false">H2559*J2559</f>
        <v>60</v>
      </c>
      <c r="M2559" s="16" t="n">
        <f aca="false">K2559-L2559</f>
        <v>83.84</v>
      </c>
      <c r="N2559" s="17" t="n">
        <f aca="false">IFERROR(M2559/K2559,0)</f>
        <v>0.582869855394883</v>
      </c>
    </row>
    <row r="2560" customFormat="false" ht="15" hidden="false" customHeight="false" outlineLevel="0" collapsed="false">
      <c r="A2560" s="15" t="n">
        <v>46129</v>
      </c>
      <c r="B2560" s="14" t="s">
        <v>59</v>
      </c>
      <c r="C2560" s="14" t="s">
        <v>60</v>
      </c>
      <c r="D2560" s="14" t="s">
        <v>61</v>
      </c>
      <c r="E2560" s="14" t="s">
        <v>76</v>
      </c>
      <c r="F2560" s="14" t="s">
        <v>77</v>
      </c>
      <c r="G2560" s="14" t="s">
        <v>78</v>
      </c>
      <c r="H2560" s="0" t="n">
        <v>7</v>
      </c>
      <c r="I2560" s="16" t="n">
        <v>39.7</v>
      </c>
      <c r="J2560" s="16" t="n">
        <v>15</v>
      </c>
      <c r="K2560" s="16" t="n">
        <f aca="false">H2560*I2560</f>
        <v>277.9</v>
      </c>
      <c r="L2560" s="16" t="n">
        <f aca="false">H2560*J2560</f>
        <v>105</v>
      </c>
      <c r="M2560" s="16" t="n">
        <f aca="false">K2560-L2560</f>
        <v>172.9</v>
      </c>
      <c r="N2560" s="17" t="n">
        <f aca="false">IFERROR(M2560/K2560,0)</f>
        <v>0.622166246851385</v>
      </c>
    </row>
    <row r="2561" customFormat="false" ht="15" hidden="false" customHeight="false" outlineLevel="0" collapsed="false">
      <c r="A2561" s="15" t="n">
        <v>46129</v>
      </c>
      <c r="B2561" s="14" t="s">
        <v>59</v>
      </c>
      <c r="C2561" s="14" t="s">
        <v>60</v>
      </c>
      <c r="D2561" s="14" t="s">
        <v>61</v>
      </c>
      <c r="E2561" s="14" t="s">
        <v>45</v>
      </c>
      <c r="F2561" s="14" t="s">
        <v>62</v>
      </c>
      <c r="G2561" s="14" t="s">
        <v>63</v>
      </c>
      <c r="H2561" s="0" t="n">
        <v>9</v>
      </c>
      <c r="I2561" s="16" t="n">
        <v>17.62</v>
      </c>
      <c r="J2561" s="16" t="n">
        <v>6.5</v>
      </c>
      <c r="K2561" s="16" t="n">
        <f aca="false">H2561*I2561</f>
        <v>158.58</v>
      </c>
      <c r="L2561" s="16" t="n">
        <f aca="false">H2561*J2561</f>
        <v>58.5</v>
      </c>
      <c r="M2561" s="16" t="n">
        <f aca="false">K2561-L2561</f>
        <v>100.08</v>
      </c>
      <c r="N2561" s="17" t="n">
        <f aca="false">IFERROR(M2561/K2561,0)</f>
        <v>0.631101021566402</v>
      </c>
    </row>
    <row r="2562" customFormat="false" ht="15" hidden="false" customHeight="false" outlineLevel="0" collapsed="false">
      <c r="A2562" s="15" t="n">
        <v>46129</v>
      </c>
      <c r="B2562" s="14" t="s">
        <v>69</v>
      </c>
      <c r="C2562" s="14" t="s">
        <v>70</v>
      </c>
      <c r="D2562" s="14" t="s">
        <v>71</v>
      </c>
      <c r="E2562" s="14" t="s">
        <v>76</v>
      </c>
      <c r="F2562" s="14" t="s">
        <v>79</v>
      </c>
      <c r="G2562" s="14" t="s">
        <v>80</v>
      </c>
      <c r="H2562" s="0" t="n">
        <v>5</v>
      </c>
      <c r="I2562" s="16" t="n">
        <v>28.95</v>
      </c>
      <c r="J2562" s="16" t="n">
        <v>11</v>
      </c>
      <c r="K2562" s="16" t="n">
        <f aca="false">H2562*I2562</f>
        <v>144.75</v>
      </c>
      <c r="L2562" s="16" t="n">
        <f aca="false">H2562*J2562</f>
        <v>55</v>
      </c>
      <c r="M2562" s="16" t="n">
        <f aca="false">K2562-L2562</f>
        <v>89.75</v>
      </c>
      <c r="N2562" s="17" t="n">
        <f aca="false">IFERROR(M2562/K2562,0)</f>
        <v>0.620034542314335</v>
      </c>
    </row>
    <row r="2563" customFormat="false" ht="15" hidden="false" customHeight="false" outlineLevel="0" collapsed="false">
      <c r="A2563" s="15" t="n">
        <v>46129</v>
      </c>
      <c r="B2563" s="14" t="s">
        <v>69</v>
      </c>
      <c r="C2563" s="14" t="s">
        <v>70</v>
      </c>
      <c r="D2563" s="14" t="s">
        <v>71</v>
      </c>
      <c r="E2563" s="14" t="s">
        <v>45</v>
      </c>
      <c r="F2563" s="14" t="s">
        <v>46</v>
      </c>
      <c r="G2563" s="14" t="s">
        <v>47</v>
      </c>
      <c r="H2563" s="0" t="n">
        <v>8</v>
      </c>
      <c r="I2563" s="16" t="n">
        <v>43.58</v>
      </c>
      <c r="J2563" s="16" t="n">
        <v>18</v>
      </c>
      <c r="K2563" s="16" t="n">
        <f aca="false">H2563*I2563</f>
        <v>348.64</v>
      </c>
      <c r="L2563" s="16" t="n">
        <f aca="false">H2563*J2563</f>
        <v>144</v>
      </c>
      <c r="M2563" s="16" t="n">
        <f aca="false">K2563-L2563</f>
        <v>204.64</v>
      </c>
      <c r="N2563" s="17" t="n">
        <f aca="false">IFERROR(M2563/K2563,0)</f>
        <v>0.586966498393759</v>
      </c>
    </row>
    <row r="2564" customFormat="false" ht="15" hidden="false" customHeight="false" outlineLevel="0" collapsed="false">
      <c r="A2564" s="15" t="n">
        <v>46129</v>
      </c>
      <c r="B2564" s="14" t="s">
        <v>69</v>
      </c>
      <c r="C2564" s="14" t="s">
        <v>70</v>
      </c>
      <c r="D2564" s="14" t="s">
        <v>71</v>
      </c>
      <c r="E2564" s="14" t="s">
        <v>64</v>
      </c>
      <c r="F2564" s="14" t="s">
        <v>90</v>
      </c>
      <c r="G2564" s="14" t="s">
        <v>91</v>
      </c>
      <c r="H2564" s="0" t="n">
        <v>3</v>
      </c>
      <c r="I2564" s="16" t="n">
        <v>11.59</v>
      </c>
      <c r="J2564" s="16" t="n">
        <v>3.5</v>
      </c>
      <c r="K2564" s="16" t="n">
        <f aca="false">H2564*I2564</f>
        <v>34.77</v>
      </c>
      <c r="L2564" s="16" t="n">
        <f aca="false">H2564*J2564</f>
        <v>10.5</v>
      </c>
      <c r="M2564" s="16" t="n">
        <f aca="false">K2564-L2564</f>
        <v>24.27</v>
      </c>
      <c r="N2564" s="17" t="n">
        <f aca="false">IFERROR(M2564/K2564,0)</f>
        <v>0.698015530629853</v>
      </c>
    </row>
    <row r="2565" customFormat="false" ht="15" hidden="false" customHeight="false" outlineLevel="0" collapsed="false">
      <c r="A2565" s="15" t="n">
        <v>46129</v>
      </c>
      <c r="B2565" s="14" t="s">
        <v>69</v>
      </c>
      <c r="C2565" s="14" t="s">
        <v>70</v>
      </c>
      <c r="D2565" s="14" t="s">
        <v>71</v>
      </c>
      <c r="E2565" s="14" t="s">
        <v>53</v>
      </c>
      <c r="F2565" s="14" t="s">
        <v>54</v>
      </c>
      <c r="G2565" s="14" t="s">
        <v>55</v>
      </c>
      <c r="H2565" s="0" t="n">
        <v>7</v>
      </c>
      <c r="I2565" s="16" t="n">
        <v>53.57</v>
      </c>
      <c r="J2565" s="16" t="n">
        <v>22</v>
      </c>
      <c r="K2565" s="16" t="n">
        <f aca="false">H2565*I2565</f>
        <v>374.99</v>
      </c>
      <c r="L2565" s="16" t="n">
        <f aca="false">H2565*J2565</f>
        <v>154</v>
      </c>
      <c r="M2565" s="16" t="n">
        <f aca="false">K2565-L2565</f>
        <v>220.99</v>
      </c>
      <c r="N2565" s="17" t="n">
        <f aca="false">IFERROR(M2565/K2565,0)</f>
        <v>0.589322381930185</v>
      </c>
    </row>
    <row r="2566" customFormat="false" ht="15" hidden="false" customHeight="false" outlineLevel="0" collapsed="false">
      <c r="A2566" s="15" t="n">
        <v>46129</v>
      </c>
      <c r="B2566" s="14" t="s">
        <v>69</v>
      </c>
      <c r="C2566" s="14" t="s">
        <v>70</v>
      </c>
      <c r="D2566" s="14" t="s">
        <v>71</v>
      </c>
      <c r="E2566" s="14" t="s">
        <v>53</v>
      </c>
      <c r="F2566" s="14" t="s">
        <v>92</v>
      </c>
      <c r="G2566" s="14" t="s">
        <v>93</v>
      </c>
      <c r="H2566" s="0" t="n">
        <v>5</v>
      </c>
      <c r="I2566" s="16" t="n">
        <v>113.68</v>
      </c>
      <c r="J2566" s="16" t="n">
        <v>52</v>
      </c>
      <c r="K2566" s="16" t="n">
        <f aca="false">H2566*I2566</f>
        <v>568.4</v>
      </c>
      <c r="L2566" s="16" t="n">
        <f aca="false">H2566*J2566</f>
        <v>260</v>
      </c>
      <c r="M2566" s="16" t="n">
        <f aca="false">K2566-L2566</f>
        <v>308.4</v>
      </c>
      <c r="N2566" s="17" t="n">
        <f aca="false">IFERROR(M2566/K2566,0)</f>
        <v>0.542575650950035</v>
      </c>
    </row>
    <row r="2567" customFormat="false" ht="15" hidden="false" customHeight="false" outlineLevel="0" collapsed="false">
      <c r="A2567" s="15" t="n">
        <v>46129</v>
      </c>
      <c r="B2567" s="14" t="s">
        <v>81</v>
      </c>
      <c r="C2567" s="14" t="s">
        <v>82</v>
      </c>
      <c r="D2567" s="14" t="s">
        <v>83</v>
      </c>
      <c r="E2567" s="14" t="s">
        <v>45</v>
      </c>
      <c r="F2567" s="14" t="s">
        <v>72</v>
      </c>
      <c r="G2567" s="14" t="s">
        <v>73</v>
      </c>
      <c r="H2567" s="0" t="n">
        <v>6</v>
      </c>
      <c r="I2567" s="16" t="n">
        <v>49.94</v>
      </c>
      <c r="J2567" s="16" t="n">
        <v>21</v>
      </c>
      <c r="K2567" s="16" t="n">
        <f aca="false">H2567*I2567</f>
        <v>299.64</v>
      </c>
      <c r="L2567" s="16" t="n">
        <f aca="false">H2567*J2567</f>
        <v>126</v>
      </c>
      <c r="M2567" s="16" t="n">
        <f aca="false">K2567-L2567</f>
        <v>173.64</v>
      </c>
      <c r="N2567" s="17" t="n">
        <f aca="false">IFERROR(M2567/K2567,0)</f>
        <v>0.579495394473368</v>
      </c>
    </row>
    <row r="2568" customFormat="false" ht="15" hidden="false" customHeight="false" outlineLevel="0" collapsed="false">
      <c r="A2568" s="15" t="n">
        <v>46129</v>
      </c>
      <c r="B2568" s="14" t="s">
        <v>81</v>
      </c>
      <c r="C2568" s="14" t="s">
        <v>82</v>
      </c>
      <c r="D2568" s="14" t="s">
        <v>83</v>
      </c>
      <c r="E2568" s="14" t="s">
        <v>53</v>
      </c>
      <c r="F2568" s="14" t="s">
        <v>84</v>
      </c>
      <c r="G2568" s="14" t="s">
        <v>85</v>
      </c>
      <c r="H2568" s="0" t="n">
        <v>3</v>
      </c>
      <c r="I2568" s="16" t="n">
        <v>24.8</v>
      </c>
      <c r="J2568" s="16" t="n">
        <v>9</v>
      </c>
      <c r="K2568" s="16" t="n">
        <f aca="false">H2568*I2568</f>
        <v>74.4</v>
      </c>
      <c r="L2568" s="16" t="n">
        <f aca="false">H2568*J2568</f>
        <v>27</v>
      </c>
      <c r="M2568" s="16" t="n">
        <f aca="false">K2568-L2568</f>
        <v>47.4</v>
      </c>
      <c r="N2568" s="17" t="n">
        <f aca="false">IFERROR(M2568/K2568,0)</f>
        <v>0.637096774193548</v>
      </c>
    </row>
    <row r="2569" customFormat="false" ht="15" hidden="false" customHeight="false" outlineLevel="0" collapsed="false">
      <c r="A2569" s="15" t="n">
        <v>46129</v>
      </c>
      <c r="B2569" s="14" t="s">
        <v>88</v>
      </c>
      <c r="C2569" s="14" t="s">
        <v>89</v>
      </c>
      <c r="D2569" s="14" t="s">
        <v>44</v>
      </c>
      <c r="E2569" s="14" t="s">
        <v>45</v>
      </c>
      <c r="F2569" s="14" t="s">
        <v>62</v>
      </c>
      <c r="G2569" s="14" t="s">
        <v>63</v>
      </c>
      <c r="H2569" s="0" t="n">
        <v>3</v>
      </c>
      <c r="I2569" s="16" t="n">
        <v>17.16</v>
      </c>
      <c r="J2569" s="16" t="n">
        <v>6.5</v>
      </c>
      <c r="K2569" s="16" t="n">
        <f aca="false">H2569*I2569</f>
        <v>51.48</v>
      </c>
      <c r="L2569" s="16" t="n">
        <f aca="false">H2569*J2569</f>
        <v>19.5</v>
      </c>
      <c r="M2569" s="16" t="n">
        <f aca="false">K2569-L2569</f>
        <v>31.98</v>
      </c>
      <c r="N2569" s="17" t="n">
        <f aca="false">IFERROR(M2569/K2569,0)</f>
        <v>0.621212121212121</v>
      </c>
    </row>
    <row r="2570" customFormat="false" ht="15" hidden="false" customHeight="false" outlineLevel="0" collapsed="false">
      <c r="A2570" s="15" t="n">
        <v>46129</v>
      </c>
      <c r="B2570" s="14" t="s">
        <v>88</v>
      </c>
      <c r="C2570" s="14" t="s">
        <v>89</v>
      </c>
      <c r="D2570" s="14" t="s">
        <v>44</v>
      </c>
      <c r="E2570" s="14" t="s">
        <v>56</v>
      </c>
      <c r="F2570" s="14" t="s">
        <v>57</v>
      </c>
      <c r="G2570" s="14" t="s">
        <v>58</v>
      </c>
      <c r="H2570" s="0" t="n">
        <v>2</v>
      </c>
      <c r="I2570" s="16" t="n">
        <v>25.11</v>
      </c>
      <c r="J2570" s="16" t="n">
        <v>10</v>
      </c>
      <c r="K2570" s="16" t="n">
        <f aca="false">H2570*I2570</f>
        <v>50.22</v>
      </c>
      <c r="L2570" s="16" t="n">
        <f aca="false">H2570*J2570</f>
        <v>20</v>
      </c>
      <c r="M2570" s="16" t="n">
        <f aca="false">K2570-L2570</f>
        <v>30.22</v>
      </c>
      <c r="N2570" s="17" t="n">
        <f aca="false">IFERROR(M2570/K2570,0)</f>
        <v>0.601752289924333</v>
      </c>
    </row>
    <row r="2571" customFormat="false" ht="15" hidden="false" customHeight="false" outlineLevel="0" collapsed="false">
      <c r="A2571" s="15" t="n">
        <v>46129</v>
      </c>
      <c r="B2571" s="14" t="s">
        <v>88</v>
      </c>
      <c r="C2571" s="14" t="s">
        <v>89</v>
      </c>
      <c r="D2571" s="14" t="s">
        <v>44</v>
      </c>
      <c r="E2571" s="14" t="s">
        <v>45</v>
      </c>
      <c r="F2571" s="14" t="s">
        <v>72</v>
      </c>
      <c r="G2571" s="14" t="s">
        <v>73</v>
      </c>
      <c r="H2571" s="0" t="n">
        <v>1</v>
      </c>
      <c r="I2571" s="16" t="n">
        <v>50.71</v>
      </c>
      <c r="J2571" s="16" t="n">
        <v>21</v>
      </c>
      <c r="K2571" s="16" t="n">
        <f aca="false">H2571*I2571</f>
        <v>50.71</v>
      </c>
      <c r="L2571" s="16" t="n">
        <f aca="false">H2571*J2571</f>
        <v>21</v>
      </c>
      <c r="M2571" s="16" t="n">
        <f aca="false">K2571-L2571</f>
        <v>29.71</v>
      </c>
      <c r="N2571" s="17" t="n">
        <f aca="false">IFERROR(M2571/K2571,0)</f>
        <v>0.585880496943404</v>
      </c>
    </row>
    <row r="2572" customFormat="false" ht="15" hidden="false" customHeight="false" outlineLevel="0" collapsed="false">
      <c r="A2572" s="15" t="n">
        <v>46129</v>
      </c>
      <c r="B2572" s="14" t="s">
        <v>88</v>
      </c>
      <c r="C2572" s="14" t="s">
        <v>89</v>
      </c>
      <c r="D2572" s="14" t="s">
        <v>44</v>
      </c>
      <c r="E2572" s="14" t="s">
        <v>45</v>
      </c>
      <c r="F2572" s="14" t="s">
        <v>62</v>
      </c>
      <c r="G2572" s="14" t="s">
        <v>63</v>
      </c>
      <c r="H2572" s="0" t="n">
        <v>9</v>
      </c>
      <c r="I2572" s="16" t="n">
        <v>17.86</v>
      </c>
      <c r="J2572" s="16" t="n">
        <v>6.5</v>
      </c>
      <c r="K2572" s="16" t="n">
        <f aca="false">H2572*I2572</f>
        <v>160.74</v>
      </c>
      <c r="L2572" s="16" t="n">
        <f aca="false">H2572*J2572</f>
        <v>58.5</v>
      </c>
      <c r="M2572" s="16" t="n">
        <f aca="false">K2572-L2572</f>
        <v>102.24</v>
      </c>
      <c r="N2572" s="17" t="n">
        <f aca="false">IFERROR(M2572/K2572,0)</f>
        <v>0.636058230683091</v>
      </c>
    </row>
    <row r="2573" customFormat="false" ht="15" hidden="false" customHeight="false" outlineLevel="0" collapsed="false">
      <c r="A2573" s="15" t="n">
        <v>46129</v>
      </c>
      <c r="B2573" s="14" t="s">
        <v>88</v>
      </c>
      <c r="C2573" s="14" t="s">
        <v>89</v>
      </c>
      <c r="D2573" s="14" t="s">
        <v>44</v>
      </c>
      <c r="E2573" s="14" t="s">
        <v>76</v>
      </c>
      <c r="F2573" s="14" t="s">
        <v>77</v>
      </c>
      <c r="G2573" s="14" t="s">
        <v>78</v>
      </c>
      <c r="H2573" s="0" t="n">
        <v>7</v>
      </c>
      <c r="I2573" s="16" t="n">
        <v>40.98</v>
      </c>
      <c r="J2573" s="16" t="n">
        <v>15</v>
      </c>
      <c r="K2573" s="16" t="n">
        <f aca="false">H2573*I2573</f>
        <v>286.86</v>
      </c>
      <c r="L2573" s="16" t="n">
        <f aca="false">H2573*J2573</f>
        <v>105</v>
      </c>
      <c r="M2573" s="16" t="n">
        <f aca="false">K2573-L2573</f>
        <v>181.86</v>
      </c>
      <c r="N2573" s="17" t="n">
        <f aca="false">IFERROR(M2573/K2573,0)</f>
        <v>0.633967789165447</v>
      </c>
    </row>
    <row r="2574" customFormat="false" ht="15" hidden="false" customHeight="false" outlineLevel="0" collapsed="false">
      <c r="A2574" s="15" t="n">
        <v>46130</v>
      </c>
      <c r="B2574" s="14" t="s">
        <v>42</v>
      </c>
      <c r="C2574" s="14" t="s">
        <v>43</v>
      </c>
      <c r="D2574" s="14" t="s">
        <v>44</v>
      </c>
      <c r="E2574" s="14" t="s">
        <v>76</v>
      </c>
      <c r="F2574" s="14" t="s">
        <v>79</v>
      </c>
      <c r="G2574" s="14" t="s">
        <v>80</v>
      </c>
      <c r="H2574" s="0" t="n">
        <v>10</v>
      </c>
      <c r="I2574" s="16" t="n">
        <v>29.75</v>
      </c>
      <c r="J2574" s="16" t="n">
        <v>11</v>
      </c>
      <c r="K2574" s="16" t="n">
        <f aca="false">H2574*I2574</f>
        <v>297.5</v>
      </c>
      <c r="L2574" s="16" t="n">
        <f aca="false">H2574*J2574</f>
        <v>110</v>
      </c>
      <c r="M2574" s="16" t="n">
        <f aca="false">K2574-L2574</f>
        <v>187.5</v>
      </c>
      <c r="N2574" s="17" t="n">
        <f aca="false">IFERROR(M2574/K2574,0)</f>
        <v>0.630252100840336</v>
      </c>
    </row>
    <row r="2575" customFormat="false" ht="15" hidden="false" customHeight="false" outlineLevel="0" collapsed="false">
      <c r="A2575" s="15" t="n">
        <v>46130</v>
      </c>
      <c r="B2575" s="14" t="s">
        <v>42</v>
      </c>
      <c r="C2575" s="14" t="s">
        <v>43</v>
      </c>
      <c r="D2575" s="14" t="s">
        <v>44</v>
      </c>
      <c r="E2575" s="14" t="s">
        <v>76</v>
      </c>
      <c r="F2575" s="14" t="s">
        <v>79</v>
      </c>
      <c r="G2575" s="14" t="s">
        <v>80</v>
      </c>
      <c r="H2575" s="0" t="n">
        <v>2</v>
      </c>
      <c r="I2575" s="16" t="n">
        <v>27.78</v>
      </c>
      <c r="J2575" s="16" t="n">
        <v>11</v>
      </c>
      <c r="K2575" s="16" t="n">
        <f aca="false">H2575*I2575</f>
        <v>55.56</v>
      </c>
      <c r="L2575" s="16" t="n">
        <f aca="false">H2575*J2575</f>
        <v>22</v>
      </c>
      <c r="M2575" s="16" t="n">
        <f aca="false">K2575-L2575</f>
        <v>33.56</v>
      </c>
      <c r="N2575" s="17" t="n">
        <f aca="false">IFERROR(M2575/K2575,0)</f>
        <v>0.604031677465803</v>
      </c>
    </row>
    <row r="2576" customFormat="false" ht="15" hidden="false" customHeight="false" outlineLevel="0" collapsed="false">
      <c r="A2576" s="15" t="n">
        <v>46130</v>
      </c>
      <c r="B2576" s="14" t="s">
        <v>42</v>
      </c>
      <c r="C2576" s="14" t="s">
        <v>43</v>
      </c>
      <c r="D2576" s="14" t="s">
        <v>44</v>
      </c>
      <c r="E2576" s="14" t="s">
        <v>76</v>
      </c>
      <c r="F2576" s="14" t="s">
        <v>100</v>
      </c>
      <c r="G2576" s="14" t="s">
        <v>101</v>
      </c>
      <c r="H2576" s="0" t="n">
        <v>11</v>
      </c>
      <c r="I2576" s="16" t="n">
        <v>15.53</v>
      </c>
      <c r="J2576" s="16" t="n">
        <v>5.5</v>
      </c>
      <c r="K2576" s="16" t="n">
        <f aca="false">H2576*I2576</f>
        <v>170.83</v>
      </c>
      <c r="L2576" s="16" t="n">
        <f aca="false">H2576*J2576</f>
        <v>60.5</v>
      </c>
      <c r="M2576" s="16" t="n">
        <f aca="false">K2576-L2576</f>
        <v>110.33</v>
      </c>
      <c r="N2576" s="17" t="n">
        <f aca="false">IFERROR(M2576/K2576,0)</f>
        <v>0.645846748229234</v>
      </c>
    </row>
    <row r="2577" customFormat="false" ht="15" hidden="false" customHeight="false" outlineLevel="0" collapsed="false">
      <c r="A2577" s="15" t="n">
        <v>46130</v>
      </c>
      <c r="B2577" s="14" t="s">
        <v>50</v>
      </c>
      <c r="C2577" s="14" t="s">
        <v>51</v>
      </c>
      <c r="D2577" s="14" t="s">
        <v>52</v>
      </c>
      <c r="E2577" s="14" t="s">
        <v>76</v>
      </c>
      <c r="F2577" s="14" t="s">
        <v>100</v>
      </c>
      <c r="G2577" s="14" t="s">
        <v>101</v>
      </c>
      <c r="H2577" s="0" t="n">
        <v>4</v>
      </c>
      <c r="I2577" s="16" t="n">
        <v>15.66</v>
      </c>
      <c r="J2577" s="16" t="n">
        <v>5.5</v>
      </c>
      <c r="K2577" s="16" t="n">
        <f aca="false">H2577*I2577</f>
        <v>62.64</v>
      </c>
      <c r="L2577" s="16" t="n">
        <f aca="false">H2577*J2577</f>
        <v>22</v>
      </c>
      <c r="M2577" s="16" t="n">
        <f aca="false">K2577-L2577</f>
        <v>40.64</v>
      </c>
      <c r="N2577" s="17" t="n">
        <f aca="false">IFERROR(M2577/K2577,0)</f>
        <v>0.648786717752235</v>
      </c>
    </row>
    <row r="2578" customFormat="false" ht="15" hidden="false" customHeight="false" outlineLevel="0" collapsed="false">
      <c r="A2578" s="15" t="n">
        <v>46130</v>
      </c>
      <c r="B2578" s="14" t="s">
        <v>50</v>
      </c>
      <c r="C2578" s="14" t="s">
        <v>51</v>
      </c>
      <c r="D2578" s="14" t="s">
        <v>52</v>
      </c>
      <c r="E2578" s="14" t="s">
        <v>56</v>
      </c>
      <c r="F2578" s="14" t="s">
        <v>98</v>
      </c>
      <c r="G2578" s="14" t="s">
        <v>99</v>
      </c>
      <c r="H2578" s="0" t="n">
        <v>5</v>
      </c>
      <c r="I2578" s="16" t="n">
        <v>21.82</v>
      </c>
      <c r="J2578" s="16" t="n">
        <v>8</v>
      </c>
      <c r="K2578" s="16" t="n">
        <f aca="false">H2578*I2578</f>
        <v>109.1</v>
      </c>
      <c r="L2578" s="16" t="n">
        <f aca="false">H2578*J2578</f>
        <v>40</v>
      </c>
      <c r="M2578" s="16" t="n">
        <f aca="false">K2578-L2578</f>
        <v>69.1</v>
      </c>
      <c r="N2578" s="17" t="n">
        <f aca="false">IFERROR(M2578/K2578,0)</f>
        <v>0.633363886342805</v>
      </c>
    </row>
    <row r="2579" customFormat="false" ht="15" hidden="false" customHeight="false" outlineLevel="0" collapsed="false">
      <c r="A2579" s="15" t="n">
        <v>46130</v>
      </c>
      <c r="B2579" s="14" t="s">
        <v>50</v>
      </c>
      <c r="C2579" s="14" t="s">
        <v>51</v>
      </c>
      <c r="D2579" s="14" t="s">
        <v>52</v>
      </c>
      <c r="E2579" s="14" t="s">
        <v>56</v>
      </c>
      <c r="F2579" s="14" t="s">
        <v>67</v>
      </c>
      <c r="G2579" s="14" t="s">
        <v>68</v>
      </c>
      <c r="H2579" s="0" t="n">
        <v>13</v>
      </c>
      <c r="I2579" s="16" t="n">
        <v>36.11</v>
      </c>
      <c r="J2579" s="16" t="n">
        <v>15</v>
      </c>
      <c r="K2579" s="16" t="n">
        <f aca="false">H2579*I2579</f>
        <v>469.43</v>
      </c>
      <c r="L2579" s="16" t="n">
        <f aca="false">H2579*J2579</f>
        <v>195</v>
      </c>
      <c r="M2579" s="16" t="n">
        <f aca="false">K2579-L2579</f>
        <v>274.43</v>
      </c>
      <c r="N2579" s="17" t="n">
        <f aca="false">IFERROR(M2579/K2579,0)</f>
        <v>0.58460260315702</v>
      </c>
    </row>
    <row r="2580" customFormat="false" ht="15" hidden="false" customHeight="false" outlineLevel="0" collapsed="false">
      <c r="A2580" s="15" t="n">
        <v>46130</v>
      </c>
      <c r="B2580" s="14" t="s">
        <v>50</v>
      </c>
      <c r="C2580" s="14" t="s">
        <v>51</v>
      </c>
      <c r="D2580" s="14" t="s">
        <v>52</v>
      </c>
      <c r="E2580" s="14" t="s">
        <v>64</v>
      </c>
      <c r="F2580" s="14" t="s">
        <v>96</v>
      </c>
      <c r="G2580" s="14" t="s">
        <v>97</v>
      </c>
      <c r="H2580" s="0" t="n">
        <v>7</v>
      </c>
      <c r="I2580" s="16" t="n">
        <v>58.74</v>
      </c>
      <c r="J2580" s="16" t="n">
        <v>24</v>
      </c>
      <c r="K2580" s="16" t="n">
        <f aca="false">H2580*I2580</f>
        <v>411.18</v>
      </c>
      <c r="L2580" s="16" t="n">
        <f aca="false">H2580*J2580</f>
        <v>168</v>
      </c>
      <c r="M2580" s="16" t="n">
        <f aca="false">K2580-L2580</f>
        <v>243.18</v>
      </c>
      <c r="N2580" s="17" t="n">
        <f aca="false">IFERROR(M2580/K2580,0)</f>
        <v>0.591419816138917</v>
      </c>
    </row>
    <row r="2581" customFormat="false" ht="15" hidden="false" customHeight="false" outlineLevel="0" collapsed="false">
      <c r="A2581" s="15" t="n">
        <v>46130</v>
      </c>
      <c r="B2581" s="14" t="s">
        <v>50</v>
      </c>
      <c r="C2581" s="14" t="s">
        <v>51</v>
      </c>
      <c r="D2581" s="14" t="s">
        <v>52</v>
      </c>
      <c r="E2581" s="14" t="s">
        <v>45</v>
      </c>
      <c r="F2581" s="14" t="s">
        <v>62</v>
      </c>
      <c r="G2581" s="14" t="s">
        <v>63</v>
      </c>
      <c r="H2581" s="0" t="n">
        <v>9</v>
      </c>
      <c r="I2581" s="16" t="n">
        <v>17.27</v>
      </c>
      <c r="J2581" s="16" t="n">
        <v>6.5</v>
      </c>
      <c r="K2581" s="16" t="n">
        <f aca="false">H2581*I2581</f>
        <v>155.43</v>
      </c>
      <c r="L2581" s="16" t="n">
        <f aca="false">H2581*J2581</f>
        <v>58.5</v>
      </c>
      <c r="M2581" s="16" t="n">
        <f aca="false">K2581-L2581</f>
        <v>96.93</v>
      </c>
      <c r="N2581" s="17" t="n">
        <f aca="false">IFERROR(M2581/K2581,0)</f>
        <v>0.623624782860452</v>
      </c>
    </row>
    <row r="2582" customFormat="false" ht="15" hidden="false" customHeight="false" outlineLevel="0" collapsed="false">
      <c r="A2582" s="15" t="n">
        <v>46130</v>
      </c>
      <c r="B2582" s="14" t="s">
        <v>59</v>
      </c>
      <c r="C2582" s="14" t="s">
        <v>60</v>
      </c>
      <c r="D2582" s="14" t="s">
        <v>61</v>
      </c>
      <c r="E2582" s="14" t="s">
        <v>56</v>
      </c>
      <c r="F2582" s="14" t="s">
        <v>57</v>
      </c>
      <c r="G2582" s="14" t="s">
        <v>58</v>
      </c>
      <c r="H2582" s="0" t="n">
        <v>6</v>
      </c>
      <c r="I2582" s="16" t="n">
        <v>25.54</v>
      </c>
      <c r="J2582" s="16" t="n">
        <v>10</v>
      </c>
      <c r="K2582" s="16" t="n">
        <f aca="false">H2582*I2582</f>
        <v>153.24</v>
      </c>
      <c r="L2582" s="16" t="n">
        <f aca="false">H2582*J2582</f>
        <v>60</v>
      </c>
      <c r="M2582" s="16" t="n">
        <f aca="false">K2582-L2582</f>
        <v>93.24</v>
      </c>
      <c r="N2582" s="17" t="n">
        <f aca="false">IFERROR(M2582/K2582,0)</f>
        <v>0.608457321848081</v>
      </c>
    </row>
    <row r="2583" customFormat="false" ht="15" hidden="false" customHeight="false" outlineLevel="0" collapsed="false">
      <c r="A2583" s="15" t="n">
        <v>46130</v>
      </c>
      <c r="B2583" s="14" t="s">
        <v>59</v>
      </c>
      <c r="C2583" s="14" t="s">
        <v>60</v>
      </c>
      <c r="D2583" s="14" t="s">
        <v>61</v>
      </c>
      <c r="E2583" s="14" t="s">
        <v>76</v>
      </c>
      <c r="F2583" s="14" t="s">
        <v>77</v>
      </c>
      <c r="G2583" s="14" t="s">
        <v>78</v>
      </c>
      <c r="H2583" s="0" t="n">
        <v>3</v>
      </c>
      <c r="I2583" s="16" t="n">
        <v>38.78</v>
      </c>
      <c r="J2583" s="16" t="n">
        <v>15</v>
      </c>
      <c r="K2583" s="16" t="n">
        <f aca="false">H2583*I2583</f>
        <v>116.34</v>
      </c>
      <c r="L2583" s="16" t="n">
        <f aca="false">H2583*J2583</f>
        <v>45</v>
      </c>
      <c r="M2583" s="16" t="n">
        <f aca="false">K2583-L2583</f>
        <v>71.34</v>
      </c>
      <c r="N2583" s="17" t="n">
        <f aca="false">IFERROR(M2583/K2583,0)</f>
        <v>0.61320268179474</v>
      </c>
    </row>
    <row r="2584" customFormat="false" ht="15" hidden="false" customHeight="false" outlineLevel="0" collapsed="false">
      <c r="A2584" s="15" t="n">
        <v>46130</v>
      </c>
      <c r="B2584" s="14" t="s">
        <v>69</v>
      </c>
      <c r="C2584" s="14" t="s">
        <v>70</v>
      </c>
      <c r="D2584" s="14" t="s">
        <v>71</v>
      </c>
      <c r="E2584" s="14" t="s">
        <v>64</v>
      </c>
      <c r="F2584" s="14" t="s">
        <v>94</v>
      </c>
      <c r="G2584" s="14" t="s">
        <v>95</v>
      </c>
      <c r="H2584" s="0" t="n">
        <v>6</v>
      </c>
      <c r="I2584" s="16" t="n">
        <v>91.87</v>
      </c>
      <c r="J2584" s="16" t="n">
        <v>42</v>
      </c>
      <c r="K2584" s="16" t="n">
        <f aca="false">H2584*I2584</f>
        <v>551.22</v>
      </c>
      <c r="L2584" s="16" t="n">
        <f aca="false">H2584*J2584</f>
        <v>252</v>
      </c>
      <c r="M2584" s="16" t="n">
        <f aca="false">K2584-L2584</f>
        <v>299.22</v>
      </c>
      <c r="N2584" s="17" t="n">
        <f aca="false">IFERROR(M2584/K2584,0)</f>
        <v>0.542832262980298</v>
      </c>
    </row>
    <row r="2585" customFormat="false" ht="15" hidden="false" customHeight="false" outlineLevel="0" collapsed="false">
      <c r="A2585" s="15" t="n">
        <v>46130</v>
      </c>
      <c r="B2585" s="14" t="s">
        <v>69</v>
      </c>
      <c r="C2585" s="14" t="s">
        <v>70</v>
      </c>
      <c r="D2585" s="14" t="s">
        <v>71</v>
      </c>
      <c r="E2585" s="14" t="s">
        <v>76</v>
      </c>
      <c r="F2585" s="14" t="s">
        <v>77</v>
      </c>
      <c r="G2585" s="14" t="s">
        <v>78</v>
      </c>
      <c r="H2585" s="0" t="n">
        <v>2</v>
      </c>
      <c r="I2585" s="16" t="n">
        <v>39.61</v>
      </c>
      <c r="J2585" s="16" t="n">
        <v>15</v>
      </c>
      <c r="K2585" s="16" t="n">
        <f aca="false">H2585*I2585</f>
        <v>79.22</v>
      </c>
      <c r="L2585" s="16" t="n">
        <f aca="false">H2585*J2585</f>
        <v>30</v>
      </c>
      <c r="M2585" s="16" t="n">
        <f aca="false">K2585-L2585</f>
        <v>49.22</v>
      </c>
      <c r="N2585" s="17" t="n">
        <f aca="false">IFERROR(M2585/K2585,0)</f>
        <v>0.621307750568038</v>
      </c>
    </row>
    <row r="2586" customFormat="false" ht="15" hidden="false" customHeight="false" outlineLevel="0" collapsed="false">
      <c r="A2586" s="15" t="n">
        <v>46130</v>
      </c>
      <c r="B2586" s="14" t="s">
        <v>69</v>
      </c>
      <c r="C2586" s="14" t="s">
        <v>70</v>
      </c>
      <c r="D2586" s="14" t="s">
        <v>71</v>
      </c>
      <c r="E2586" s="14" t="s">
        <v>64</v>
      </c>
      <c r="F2586" s="14" t="s">
        <v>90</v>
      </c>
      <c r="G2586" s="14" t="s">
        <v>91</v>
      </c>
      <c r="H2586" s="0" t="n">
        <v>4</v>
      </c>
      <c r="I2586" s="16" t="n">
        <v>11.89</v>
      </c>
      <c r="J2586" s="16" t="n">
        <v>3.5</v>
      </c>
      <c r="K2586" s="16" t="n">
        <f aca="false">H2586*I2586</f>
        <v>47.56</v>
      </c>
      <c r="L2586" s="16" t="n">
        <f aca="false">H2586*J2586</f>
        <v>14</v>
      </c>
      <c r="M2586" s="16" t="n">
        <f aca="false">K2586-L2586</f>
        <v>33.56</v>
      </c>
      <c r="N2586" s="17" t="n">
        <f aca="false">IFERROR(M2586/K2586,0)</f>
        <v>0.705634987384357</v>
      </c>
    </row>
    <row r="2587" customFormat="false" ht="15" hidden="false" customHeight="false" outlineLevel="0" collapsed="false">
      <c r="A2587" s="15" t="n">
        <v>46130</v>
      </c>
      <c r="B2587" s="14" t="s">
        <v>81</v>
      </c>
      <c r="C2587" s="14" t="s">
        <v>82</v>
      </c>
      <c r="D2587" s="14" t="s">
        <v>83</v>
      </c>
      <c r="E2587" s="14" t="s">
        <v>76</v>
      </c>
      <c r="F2587" s="14" t="s">
        <v>79</v>
      </c>
      <c r="G2587" s="14" t="s">
        <v>80</v>
      </c>
      <c r="H2587" s="0" t="n">
        <v>4</v>
      </c>
      <c r="I2587" s="16" t="n">
        <v>29.2</v>
      </c>
      <c r="J2587" s="16" t="n">
        <v>11</v>
      </c>
      <c r="K2587" s="16" t="n">
        <f aca="false">H2587*I2587</f>
        <v>116.8</v>
      </c>
      <c r="L2587" s="16" t="n">
        <f aca="false">H2587*J2587</f>
        <v>44</v>
      </c>
      <c r="M2587" s="16" t="n">
        <f aca="false">K2587-L2587</f>
        <v>72.8</v>
      </c>
      <c r="N2587" s="17" t="n">
        <f aca="false">IFERROR(M2587/K2587,0)</f>
        <v>0.623287671232877</v>
      </c>
    </row>
    <row r="2588" customFormat="false" ht="15" hidden="false" customHeight="false" outlineLevel="0" collapsed="false">
      <c r="A2588" s="15" t="n">
        <v>46130</v>
      </c>
      <c r="B2588" s="14" t="s">
        <v>81</v>
      </c>
      <c r="C2588" s="14" t="s">
        <v>82</v>
      </c>
      <c r="D2588" s="14" t="s">
        <v>83</v>
      </c>
      <c r="E2588" s="14" t="s">
        <v>53</v>
      </c>
      <c r="F2588" s="14" t="s">
        <v>74</v>
      </c>
      <c r="G2588" s="14" t="s">
        <v>75</v>
      </c>
      <c r="H2588" s="0" t="n">
        <v>4</v>
      </c>
      <c r="I2588" s="16" t="n">
        <v>85.81</v>
      </c>
      <c r="J2588" s="16" t="n">
        <v>38</v>
      </c>
      <c r="K2588" s="16" t="n">
        <f aca="false">H2588*I2588</f>
        <v>343.24</v>
      </c>
      <c r="L2588" s="16" t="n">
        <f aca="false">H2588*J2588</f>
        <v>152</v>
      </c>
      <c r="M2588" s="16" t="n">
        <f aca="false">K2588-L2588</f>
        <v>191.24</v>
      </c>
      <c r="N2588" s="17" t="n">
        <f aca="false">IFERROR(M2588/K2588,0)</f>
        <v>0.557161170026803</v>
      </c>
    </row>
    <row r="2589" customFormat="false" ht="15" hidden="false" customHeight="false" outlineLevel="0" collapsed="false">
      <c r="A2589" s="15" t="n">
        <v>46130</v>
      </c>
      <c r="B2589" s="14" t="s">
        <v>81</v>
      </c>
      <c r="C2589" s="14" t="s">
        <v>82</v>
      </c>
      <c r="D2589" s="14" t="s">
        <v>83</v>
      </c>
      <c r="E2589" s="14" t="s">
        <v>56</v>
      </c>
      <c r="F2589" s="14" t="s">
        <v>86</v>
      </c>
      <c r="G2589" s="14" t="s">
        <v>87</v>
      </c>
      <c r="H2589" s="0" t="n">
        <v>1</v>
      </c>
      <c r="I2589" s="16" t="n">
        <v>14.52</v>
      </c>
      <c r="J2589" s="16" t="n">
        <v>5</v>
      </c>
      <c r="K2589" s="16" t="n">
        <f aca="false">H2589*I2589</f>
        <v>14.52</v>
      </c>
      <c r="L2589" s="16" t="n">
        <f aca="false">H2589*J2589</f>
        <v>5</v>
      </c>
      <c r="M2589" s="16" t="n">
        <f aca="false">K2589-L2589</f>
        <v>9.52</v>
      </c>
      <c r="N2589" s="17" t="n">
        <f aca="false">IFERROR(M2589/K2589,0)</f>
        <v>0.65564738292011</v>
      </c>
    </row>
    <row r="2590" customFormat="false" ht="15" hidden="false" customHeight="false" outlineLevel="0" collapsed="false">
      <c r="A2590" s="15" t="n">
        <v>46130</v>
      </c>
      <c r="B2590" s="14" t="s">
        <v>81</v>
      </c>
      <c r="C2590" s="14" t="s">
        <v>82</v>
      </c>
      <c r="D2590" s="14" t="s">
        <v>83</v>
      </c>
      <c r="E2590" s="14" t="s">
        <v>45</v>
      </c>
      <c r="F2590" s="14" t="s">
        <v>62</v>
      </c>
      <c r="G2590" s="14" t="s">
        <v>63</v>
      </c>
      <c r="H2590" s="0" t="n">
        <v>1</v>
      </c>
      <c r="I2590" s="16" t="n">
        <v>17.26</v>
      </c>
      <c r="J2590" s="16" t="n">
        <v>6.5</v>
      </c>
      <c r="K2590" s="16" t="n">
        <f aca="false">H2590*I2590</f>
        <v>17.26</v>
      </c>
      <c r="L2590" s="16" t="n">
        <f aca="false">H2590*J2590</f>
        <v>6.5</v>
      </c>
      <c r="M2590" s="16" t="n">
        <f aca="false">K2590-L2590</f>
        <v>10.76</v>
      </c>
      <c r="N2590" s="17" t="n">
        <f aca="false">IFERROR(M2590/K2590,0)</f>
        <v>0.623406720741599</v>
      </c>
    </row>
    <row r="2591" customFormat="false" ht="15" hidden="false" customHeight="false" outlineLevel="0" collapsed="false">
      <c r="A2591" s="15" t="n">
        <v>46130</v>
      </c>
      <c r="B2591" s="14" t="s">
        <v>88</v>
      </c>
      <c r="C2591" s="14" t="s">
        <v>89</v>
      </c>
      <c r="D2591" s="14" t="s">
        <v>44</v>
      </c>
      <c r="E2591" s="14" t="s">
        <v>76</v>
      </c>
      <c r="F2591" s="14" t="s">
        <v>77</v>
      </c>
      <c r="G2591" s="14" t="s">
        <v>78</v>
      </c>
      <c r="H2591" s="0" t="n">
        <v>7</v>
      </c>
      <c r="I2591" s="16" t="n">
        <v>41.8</v>
      </c>
      <c r="J2591" s="16" t="n">
        <v>15</v>
      </c>
      <c r="K2591" s="16" t="n">
        <f aca="false">H2591*I2591</f>
        <v>292.6</v>
      </c>
      <c r="L2591" s="16" t="n">
        <f aca="false">H2591*J2591</f>
        <v>105</v>
      </c>
      <c r="M2591" s="16" t="n">
        <f aca="false">K2591-L2591</f>
        <v>187.6</v>
      </c>
      <c r="N2591" s="17" t="n">
        <f aca="false">IFERROR(M2591/K2591,0)</f>
        <v>0.641148325358852</v>
      </c>
    </row>
    <row r="2592" customFormat="false" ht="15" hidden="false" customHeight="false" outlineLevel="0" collapsed="false">
      <c r="A2592" s="15" t="n">
        <v>46130</v>
      </c>
      <c r="B2592" s="14" t="s">
        <v>88</v>
      </c>
      <c r="C2592" s="14" t="s">
        <v>89</v>
      </c>
      <c r="D2592" s="14" t="s">
        <v>44</v>
      </c>
      <c r="E2592" s="14" t="s">
        <v>56</v>
      </c>
      <c r="F2592" s="14" t="s">
        <v>57</v>
      </c>
      <c r="G2592" s="14" t="s">
        <v>58</v>
      </c>
      <c r="H2592" s="0" t="n">
        <v>12</v>
      </c>
      <c r="I2592" s="16" t="n">
        <v>25.97</v>
      </c>
      <c r="J2592" s="16" t="n">
        <v>10</v>
      </c>
      <c r="K2592" s="16" t="n">
        <f aca="false">H2592*I2592</f>
        <v>311.64</v>
      </c>
      <c r="L2592" s="16" t="n">
        <f aca="false">H2592*J2592</f>
        <v>120</v>
      </c>
      <c r="M2592" s="16" t="n">
        <f aca="false">K2592-L2592</f>
        <v>191.64</v>
      </c>
      <c r="N2592" s="17" t="n">
        <f aca="false">IFERROR(M2592/K2592,0)</f>
        <v>0.614940315748941</v>
      </c>
    </row>
    <row r="2593" customFormat="false" ht="15" hidden="false" customHeight="false" outlineLevel="0" collapsed="false">
      <c r="A2593" s="15" t="n">
        <v>46131</v>
      </c>
      <c r="B2593" s="14" t="s">
        <v>42</v>
      </c>
      <c r="C2593" s="14" t="s">
        <v>43</v>
      </c>
      <c r="D2593" s="14" t="s">
        <v>44</v>
      </c>
      <c r="E2593" s="14" t="s">
        <v>76</v>
      </c>
      <c r="F2593" s="14" t="s">
        <v>79</v>
      </c>
      <c r="G2593" s="14" t="s">
        <v>80</v>
      </c>
      <c r="H2593" s="0" t="n">
        <v>3</v>
      </c>
      <c r="I2593" s="16" t="n">
        <v>28.67</v>
      </c>
      <c r="J2593" s="16" t="n">
        <v>11</v>
      </c>
      <c r="K2593" s="16" t="n">
        <f aca="false">H2593*I2593</f>
        <v>86.01</v>
      </c>
      <c r="L2593" s="16" t="n">
        <f aca="false">H2593*J2593</f>
        <v>33</v>
      </c>
      <c r="M2593" s="16" t="n">
        <f aca="false">K2593-L2593</f>
        <v>53.01</v>
      </c>
      <c r="N2593" s="17" t="n">
        <f aca="false">IFERROR(M2593/K2593,0)</f>
        <v>0.61632368329264</v>
      </c>
    </row>
    <row r="2594" customFormat="false" ht="15" hidden="false" customHeight="false" outlineLevel="0" collapsed="false">
      <c r="A2594" s="15" t="n">
        <v>46131</v>
      </c>
      <c r="B2594" s="14" t="s">
        <v>42</v>
      </c>
      <c r="C2594" s="14" t="s">
        <v>43</v>
      </c>
      <c r="D2594" s="14" t="s">
        <v>44</v>
      </c>
      <c r="E2594" s="14" t="s">
        <v>64</v>
      </c>
      <c r="F2594" s="14" t="s">
        <v>90</v>
      </c>
      <c r="G2594" s="14" t="s">
        <v>91</v>
      </c>
      <c r="H2594" s="0" t="n">
        <v>8</v>
      </c>
      <c r="I2594" s="16" t="n">
        <v>11.12</v>
      </c>
      <c r="J2594" s="16" t="n">
        <v>3.5</v>
      </c>
      <c r="K2594" s="16" t="n">
        <f aca="false">H2594*I2594</f>
        <v>88.96</v>
      </c>
      <c r="L2594" s="16" t="n">
        <f aca="false">H2594*J2594</f>
        <v>28</v>
      </c>
      <c r="M2594" s="16" t="n">
        <f aca="false">K2594-L2594</f>
        <v>60.96</v>
      </c>
      <c r="N2594" s="17" t="n">
        <f aca="false">IFERROR(M2594/K2594,0)</f>
        <v>0.685251798561151</v>
      </c>
    </row>
    <row r="2595" customFormat="false" ht="15" hidden="false" customHeight="false" outlineLevel="0" collapsed="false">
      <c r="A2595" s="15" t="n">
        <v>46131</v>
      </c>
      <c r="B2595" s="14" t="s">
        <v>42</v>
      </c>
      <c r="C2595" s="14" t="s">
        <v>43</v>
      </c>
      <c r="D2595" s="14" t="s">
        <v>44</v>
      </c>
      <c r="E2595" s="14" t="s">
        <v>53</v>
      </c>
      <c r="F2595" s="14" t="s">
        <v>92</v>
      </c>
      <c r="G2595" s="14" t="s">
        <v>93</v>
      </c>
      <c r="H2595" s="0" t="n">
        <v>4</v>
      </c>
      <c r="I2595" s="16" t="n">
        <v>119.7</v>
      </c>
      <c r="J2595" s="16" t="n">
        <v>52</v>
      </c>
      <c r="K2595" s="16" t="n">
        <f aca="false">H2595*I2595</f>
        <v>478.8</v>
      </c>
      <c r="L2595" s="16" t="n">
        <f aca="false">H2595*J2595</f>
        <v>208</v>
      </c>
      <c r="M2595" s="16" t="n">
        <f aca="false">K2595-L2595</f>
        <v>270.8</v>
      </c>
      <c r="N2595" s="17" t="n">
        <f aca="false">IFERROR(M2595/K2595,0)</f>
        <v>0.565580618212197</v>
      </c>
    </row>
    <row r="2596" customFormat="false" ht="15" hidden="false" customHeight="false" outlineLevel="0" collapsed="false">
      <c r="A2596" s="15" t="n">
        <v>46131</v>
      </c>
      <c r="B2596" s="14" t="s">
        <v>42</v>
      </c>
      <c r="C2596" s="14" t="s">
        <v>43</v>
      </c>
      <c r="D2596" s="14" t="s">
        <v>44</v>
      </c>
      <c r="E2596" s="14" t="s">
        <v>45</v>
      </c>
      <c r="F2596" s="14" t="s">
        <v>62</v>
      </c>
      <c r="G2596" s="14" t="s">
        <v>63</v>
      </c>
      <c r="H2596" s="0" t="n">
        <v>4</v>
      </c>
      <c r="I2596" s="16" t="n">
        <v>17.03</v>
      </c>
      <c r="J2596" s="16" t="n">
        <v>6.5</v>
      </c>
      <c r="K2596" s="16" t="n">
        <f aca="false">H2596*I2596</f>
        <v>68.12</v>
      </c>
      <c r="L2596" s="16" t="n">
        <f aca="false">H2596*J2596</f>
        <v>26</v>
      </c>
      <c r="M2596" s="16" t="n">
        <f aca="false">K2596-L2596</f>
        <v>42.12</v>
      </c>
      <c r="N2596" s="17" t="n">
        <f aca="false">IFERROR(M2596/K2596,0)</f>
        <v>0.618320610687023</v>
      </c>
    </row>
    <row r="2597" customFormat="false" ht="15" hidden="false" customHeight="false" outlineLevel="0" collapsed="false">
      <c r="A2597" s="15" t="n">
        <v>46131</v>
      </c>
      <c r="B2597" s="14" t="s">
        <v>42</v>
      </c>
      <c r="C2597" s="14" t="s">
        <v>43</v>
      </c>
      <c r="D2597" s="14" t="s">
        <v>44</v>
      </c>
      <c r="E2597" s="14" t="s">
        <v>56</v>
      </c>
      <c r="F2597" s="14" t="s">
        <v>67</v>
      </c>
      <c r="G2597" s="14" t="s">
        <v>68</v>
      </c>
      <c r="H2597" s="0" t="n">
        <v>9</v>
      </c>
      <c r="I2597" s="16" t="n">
        <v>36.34</v>
      </c>
      <c r="J2597" s="16" t="n">
        <v>15</v>
      </c>
      <c r="K2597" s="16" t="n">
        <f aca="false">H2597*I2597</f>
        <v>327.06</v>
      </c>
      <c r="L2597" s="16" t="n">
        <f aca="false">H2597*J2597</f>
        <v>135</v>
      </c>
      <c r="M2597" s="16" t="n">
        <f aca="false">K2597-L2597</f>
        <v>192.06</v>
      </c>
      <c r="N2597" s="17" t="n">
        <f aca="false">IFERROR(M2597/K2597,0)</f>
        <v>0.587231700605394</v>
      </c>
    </row>
    <row r="2598" customFormat="false" ht="15" hidden="false" customHeight="false" outlineLevel="0" collapsed="false">
      <c r="A2598" s="15" t="n">
        <v>46131</v>
      </c>
      <c r="B2598" s="14" t="s">
        <v>50</v>
      </c>
      <c r="C2598" s="14" t="s">
        <v>51</v>
      </c>
      <c r="D2598" s="14" t="s">
        <v>52</v>
      </c>
      <c r="E2598" s="14" t="s">
        <v>45</v>
      </c>
      <c r="F2598" s="14" t="s">
        <v>46</v>
      </c>
      <c r="G2598" s="14" t="s">
        <v>47</v>
      </c>
      <c r="H2598" s="0" t="n">
        <v>2</v>
      </c>
      <c r="I2598" s="16" t="n">
        <v>42.96</v>
      </c>
      <c r="J2598" s="16" t="n">
        <v>18</v>
      </c>
      <c r="K2598" s="16" t="n">
        <f aca="false">H2598*I2598</f>
        <v>85.92</v>
      </c>
      <c r="L2598" s="16" t="n">
        <f aca="false">H2598*J2598</f>
        <v>36</v>
      </c>
      <c r="M2598" s="16" t="n">
        <f aca="false">K2598-L2598</f>
        <v>49.92</v>
      </c>
      <c r="N2598" s="17" t="n">
        <f aca="false">IFERROR(M2598/K2598,0)</f>
        <v>0.581005586592179</v>
      </c>
    </row>
    <row r="2599" customFormat="false" ht="15" hidden="false" customHeight="false" outlineLevel="0" collapsed="false">
      <c r="A2599" s="15" t="n">
        <v>46131</v>
      </c>
      <c r="B2599" s="14" t="s">
        <v>50</v>
      </c>
      <c r="C2599" s="14" t="s">
        <v>51</v>
      </c>
      <c r="D2599" s="14" t="s">
        <v>52</v>
      </c>
      <c r="E2599" s="14" t="s">
        <v>56</v>
      </c>
      <c r="F2599" s="14" t="s">
        <v>67</v>
      </c>
      <c r="G2599" s="14" t="s">
        <v>68</v>
      </c>
      <c r="H2599" s="0" t="n">
        <v>6</v>
      </c>
      <c r="I2599" s="16" t="n">
        <v>37.52</v>
      </c>
      <c r="J2599" s="16" t="n">
        <v>15</v>
      </c>
      <c r="K2599" s="16" t="n">
        <f aca="false">H2599*I2599</f>
        <v>225.12</v>
      </c>
      <c r="L2599" s="16" t="n">
        <f aca="false">H2599*J2599</f>
        <v>90</v>
      </c>
      <c r="M2599" s="16" t="n">
        <f aca="false">K2599-L2599</f>
        <v>135.12</v>
      </c>
      <c r="N2599" s="17" t="n">
        <f aca="false">IFERROR(M2599/K2599,0)</f>
        <v>0.600213219616205</v>
      </c>
    </row>
    <row r="2600" customFormat="false" ht="15" hidden="false" customHeight="false" outlineLevel="0" collapsed="false">
      <c r="A2600" s="15" t="n">
        <v>46131</v>
      </c>
      <c r="B2600" s="14" t="s">
        <v>50</v>
      </c>
      <c r="C2600" s="14" t="s">
        <v>51</v>
      </c>
      <c r="D2600" s="14" t="s">
        <v>52</v>
      </c>
      <c r="E2600" s="14" t="s">
        <v>45</v>
      </c>
      <c r="F2600" s="14" t="s">
        <v>48</v>
      </c>
      <c r="G2600" s="14" t="s">
        <v>49</v>
      </c>
      <c r="H2600" s="0" t="n">
        <v>7</v>
      </c>
      <c r="I2600" s="16" t="n">
        <v>63.3</v>
      </c>
      <c r="J2600" s="16" t="n">
        <v>27.5</v>
      </c>
      <c r="K2600" s="16" t="n">
        <f aca="false">H2600*I2600</f>
        <v>443.1</v>
      </c>
      <c r="L2600" s="16" t="n">
        <f aca="false">H2600*J2600</f>
        <v>192.5</v>
      </c>
      <c r="M2600" s="16" t="n">
        <f aca="false">K2600-L2600</f>
        <v>250.6</v>
      </c>
      <c r="N2600" s="17" t="n">
        <f aca="false">IFERROR(M2600/K2600,0)</f>
        <v>0.565560821484992</v>
      </c>
    </row>
    <row r="2601" customFormat="false" ht="15" hidden="false" customHeight="false" outlineLevel="0" collapsed="false">
      <c r="A2601" s="15" t="n">
        <v>46131</v>
      </c>
      <c r="B2601" s="14" t="s">
        <v>50</v>
      </c>
      <c r="C2601" s="14" t="s">
        <v>51</v>
      </c>
      <c r="D2601" s="14" t="s">
        <v>52</v>
      </c>
      <c r="E2601" s="14" t="s">
        <v>64</v>
      </c>
      <c r="F2601" s="14" t="s">
        <v>96</v>
      </c>
      <c r="G2601" s="14" t="s">
        <v>97</v>
      </c>
      <c r="H2601" s="0" t="n">
        <v>5</v>
      </c>
      <c r="I2601" s="16" t="n">
        <v>55.53</v>
      </c>
      <c r="J2601" s="16" t="n">
        <v>24</v>
      </c>
      <c r="K2601" s="16" t="n">
        <f aca="false">H2601*I2601</f>
        <v>277.65</v>
      </c>
      <c r="L2601" s="16" t="n">
        <f aca="false">H2601*J2601</f>
        <v>120</v>
      </c>
      <c r="M2601" s="16" t="n">
        <f aca="false">K2601-L2601</f>
        <v>157.65</v>
      </c>
      <c r="N2601" s="17" t="n">
        <f aca="false">IFERROR(M2601/K2601,0)</f>
        <v>0.567801188546732</v>
      </c>
    </row>
    <row r="2602" customFormat="false" ht="15" hidden="false" customHeight="false" outlineLevel="0" collapsed="false">
      <c r="A2602" s="15" t="n">
        <v>46131</v>
      </c>
      <c r="B2602" s="14" t="s">
        <v>50</v>
      </c>
      <c r="C2602" s="14" t="s">
        <v>51</v>
      </c>
      <c r="D2602" s="14" t="s">
        <v>52</v>
      </c>
      <c r="E2602" s="14" t="s">
        <v>53</v>
      </c>
      <c r="F2602" s="14" t="s">
        <v>84</v>
      </c>
      <c r="G2602" s="14" t="s">
        <v>85</v>
      </c>
      <c r="H2602" s="0" t="n">
        <v>5</v>
      </c>
      <c r="I2602" s="16" t="n">
        <v>24.47</v>
      </c>
      <c r="J2602" s="16" t="n">
        <v>9</v>
      </c>
      <c r="K2602" s="16" t="n">
        <f aca="false">H2602*I2602</f>
        <v>122.35</v>
      </c>
      <c r="L2602" s="16" t="n">
        <f aca="false">H2602*J2602</f>
        <v>45</v>
      </c>
      <c r="M2602" s="16" t="n">
        <f aca="false">K2602-L2602</f>
        <v>77.35</v>
      </c>
      <c r="N2602" s="17" t="n">
        <f aca="false">IFERROR(M2602/K2602,0)</f>
        <v>0.632202697180221</v>
      </c>
    </row>
    <row r="2603" customFormat="false" ht="15" hidden="false" customHeight="false" outlineLevel="0" collapsed="false">
      <c r="A2603" s="15" t="n">
        <v>46131</v>
      </c>
      <c r="B2603" s="14" t="s">
        <v>50</v>
      </c>
      <c r="C2603" s="14" t="s">
        <v>51</v>
      </c>
      <c r="D2603" s="14" t="s">
        <v>52</v>
      </c>
      <c r="E2603" s="14" t="s">
        <v>76</v>
      </c>
      <c r="F2603" s="14" t="s">
        <v>77</v>
      </c>
      <c r="G2603" s="14" t="s">
        <v>78</v>
      </c>
      <c r="H2603" s="0" t="n">
        <v>6</v>
      </c>
      <c r="I2603" s="16" t="n">
        <v>40.77</v>
      </c>
      <c r="J2603" s="16" t="n">
        <v>15</v>
      </c>
      <c r="K2603" s="16" t="n">
        <f aca="false">H2603*I2603</f>
        <v>244.62</v>
      </c>
      <c r="L2603" s="16" t="n">
        <f aca="false">H2603*J2603</f>
        <v>90</v>
      </c>
      <c r="M2603" s="16" t="n">
        <f aca="false">K2603-L2603</f>
        <v>154.62</v>
      </c>
      <c r="N2603" s="17" t="n">
        <f aca="false">IFERROR(M2603/K2603,0)</f>
        <v>0.632082413539367</v>
      </c>
    </row>
    <row r="2604" customFormat="false" ht="15" hidden="false" customHeight="false" outlineLevel="0" collapsed="false">
      <c r="A2604" s="15" t="n">
        <v>46131</v>
      </c>
      <c r="B2604" s="14" t="s">
        <v>59</v>
      </c>
      <c r="C2604" s="14" t="s">
        <v>60</v>
      </c>
      <c r="D2604" s="14" t="s">
        <v>61</v>
      </c>
      <c r="E2604" s="14" t="s">
        <v>56</v>
      </c>
      <c r="F2604" s="14" t="s">
        <v>86</v>
      </c>
      <c r="G2604" s="14" t="s">
        <v>87</v>
      </c>
      <c r="H2604" s="0" t="n">
        <v>1</v>
      </c>
      <c r="I2604" s="16" t="n">
        <v>14.32</v>
      </c>
      <c r="J2604" s="16" t="n">
        <v>5</v>
      </c>
      <c r="K2604" s="16" t="n">
        <f aca="false">H2604*I2604</f>
        <v>14.32</v>
      </c>
      <c r="L2604" s="16" t="n">
        <f aca="false">H2604*J2604</f>
        <v>5</v>
      </c>
      <c r="M2604" s="16" t="n">
        <f aca="false">K2604-L2604</f>
        <v>9.32</v>
      </c>
      <c r="N2604" s="17" t="n">
        <f aca="false">IFERROR(M2604/K2604,0)</f>
        <v>0.650837988826816</v>
      </c>
    </row>
    <row r="2605" customFormat="false" ht="15" hidden="false" customHeight="false" outlineLevel="0" collapsed="false">
      <c r="A2605" s="15" t="n">
        <v>46131</v>
      </c>
      <c r="B2605" s="14" t="s">
        <v>59</v>
      </c>
      <c r="C2605" s="14" t="s">
        <v>60</v>
      </c>
      <c r="D2605" s="14" t="s">
        <v>61</v>
      </c>
      <c r="E2605" s="14" t="s">
        <v>64</v>
      </c>
      <c r="F2605" s="14" t="s">
        <v>96</v>
      </c>
      <c r="G2605" s="14" t="s">
        <v>97</v>
      </c>
      <c r="H2605" s="0" t="n">
        <v>3</v>
      </c>
      <c r="I2605" s="16" t="n">
        <v>54.46</v>
      </c>
      <c r="J2605" s="16" t="n">
        <v>24</v>
      </c>
      <c r="K2605" s="16" t="n">
        <f aca="false">H2605*I2605</f>
        <v>163.38</v>
      </c>
      <c r="L2605" s="16" t="n">
        <f aca="false">H2605*J2605</f>
        <v>72</v>
      </c>
      <c r="M2605" s="16" t="n">
        <f aca="false">K2605-L2605</f>
        <v>91.38</v>
      </c>
      <c r="N2605" s="17" t="n">
        <f aca="false">IFERROR(M2605/K2605,0)</f>
        <v>0.559309585016526</v>
      </c>
    </row>
    <row r="2606" customFormat="false" ht="15" hidden="false" customHeight="false" outlineLevel="0" collapsed="false">
      <c r="A2606" s="15" t="n">
        <v>46131</v>
      </c>
      <c r="B2606" s="14" t="s">
        <v>69</v>
      </c>
      <c r="C2606" s="14" t="s">
        <v>70</v>
      </c>
      <c r="D2606" s="14" t="s">
        <v>71</v>
      </c>
      <c r="E2606" s="14" t="s">
        <v>56</v>
      </c>
      <c r="F2606" s="14" t="s">
        <v>57</v>
      </c>
      <c r="G2606" s="14" t="s">
        <v>58</v>
      </c>
      <c r="H2606" s="0" t="n">
        <v>5</v>
      </c>
      <c r="I2606" s="16" t="n">
        <v>26.22</v>
      </c>
      <c r="J2606" s="16" t="n">
        <v>10</v>
      </c>
      <c r="K2606" s="16" t="n">
        <f aca="false">H2606*I2606</f>
        <v>131.1</v>
      </c>
      <c r="L2606" s="16" t="n">
        <f aca="false">H2606*J2606</f>
        <v>50</v>
      </c>
      <c r="M2606" s="16" t="n">
        <f aca="false">K2606-L2606</f>
        <v>81.1</v>
      </c>
      <c r="N2606" s="17" t="n">
        <f aca="false">IFERROR(M2606/K2606,0)</f>
        <v>0.6186117467582</v>
      </c>
    </row>
    <row r="2607" customFormat="false" ht="15" hidden="false" customHeight="false" outlineLevel="0" collapsed="false">
      <c r="A2607" s="15" t="n">
        <v>46131</v>
      </c>
      <c r="B2607" s="14" t="s">
        <v>69</v>
      </c>
      <c r="C2607" s="14" t="s">
        <v>70</v>
      </c>
      <c r="D2607" s="14" t="s">
        <v>71</v>
      </c>
      <c r="E2607" s="14" t="s">
        <v>64</v>
      </c>
      <c r="F2607" s="14" t="s">
        <v>96</v>
      </c>
      <c r="G2607" s="14" t="s">
        <v>97</v>
      </c>
      <c r="H2607" s="0" t="n">
        <v>5</v>
      </c>
      <c r="I2607" s="16" t="n">
        <v>58.25</v>
      </c>
      <c r="J2607" s="16" t="n">
        <v>24</v>
      </c>
      <c r="K2607" s="16" t="n">
        <f aca="false">H2607*I2607</f>
        <v>291.25</v>
      </c>
      <c r="L2607" s="16" t="n">
        <f aca="false">H2607*J2607</f>
        <v>120</v>
      </c>
      <c r="M2607" s="16" t="n">
        <f aca="false">K2607-L2607</f>
        <v>171.25</v>
      </c>
      <c r="N2607" s="17" t="n">
        <f aca="false">IFERROR(M2607/K2607,0)</f>
        <v>0.587982832618026</v>
      </c>
    </row>
    <row r="2608" customFormat="false" ht="15" hidden="false" customHeight="false" outlineLevel="0" collapsed="false">
      <c r="A2608" s="15" t="n">
        <v>46131</v>
      </c>
      <c r="B2608" s="14" t="s">
        <v>69</v>
      </c>
      <c r="C2608" s="14" t="s">
        <v>70</v>
      </c>
      <c r="D2608" s="14" t="s">
        <v>71</v>
      </c>
      <c r="E2608" s="14" t="s">
        <v>76</v>
      </c>
      <c r="F2608" s="14" t="s">
        <v>100</v>
      </c>
      <c r="G2608" s="14" t="s">
        <v>101</v>
      </c>
      <c r="H2608" s="0" t="n">
        <v>8</v>
      </c>
      <c r="I2608" s="16" t="n">
        <v>15.74</v>
      </c>
      <c r="J2608" s="16" t="n">
        <v>5.5</v>
      </c>
      <c r="K2608" s="16" t="n">
        <f aca="false">H2608*I2608</f>
        <v>125.92</v>
      </c>
      <c r="L2608" s="16" t="n">
        <f aca="false">H2608*J2608</f>
        <v>44</v>
      </c>
      <c r="M2608" s="16" t="n">
        <f aca="false">K2608-L2608</f>
        <v>81.92</v>
      </c>
      <c r="N2608" s="17" t="n">
        <f aca="false">IFERROR(M2608/K2608,0)</f>
        <v>0.650571791613723</v>
      </c>
    </row>
    <row r="2609" customFormat="false" ht="15" hidden="false" customHeight="false" outlineLevel="0" collapsed="false">
      <c r="A2609" s="15" t="n">
        <v>46131</v>
      </c>
      <c r="B2609" s="14" t="s">
        <v>69</v>
      </c>
      <c r="C2609" s="14" t="s">
        <v>70</v>
      </c>
      <c r="D2609" s="14" t="s">
        <v>71</v>
      </c>
      <c r="E2609" s="14" t="s">
        <v>64</v>
      </c>
      <c r="F2609" s="14" t="s">
        <v>94</v>
      </c>
      <c r="G2609" s="14" t="s">
        <v>95</v>
      </c>
      <c r="H2609" s="0" t="n">
        <v>8</v>
      </c>
      <c r="I2609" s="16" t="n">
        <v>93.42</v>
      </c>
      <c r="J2609" s="16" t="n">
        <v>42</v>
      </c>
      <c r="K2609" s="16" t="n">
        <f aca="false">H2609*I2609</f>
        <v>747.36</v>
      </c>
      <c r="L2609" s="16" t="n">
        <f aca="false">H2609*J2609</f>
        <v>336</v>
      </c>
      <c r="M2609" s="16" t="n">
        <f aca="false">K2609-L2609</f>
        <v>411.36</v>
      </c>
      <c r="N2609" s="17" t="n">
        <f aca="false">IFERROR(M2609/K2609,0)</f>
        <v>0.550417469492614</v>
      </c>
    </row>
    <row r="2610" customFormat="false" ht="15" hidden="false" customHeight="false" outlineLevel="0" collapsed="false">
      <c r="A2610" s="15" t="n">
        <v>46131</v>
      </c>
      <c r="B2610" s="14" t="s">
        <v>81</v>
      </c>
      <c r="C2610" s="14" t="s">
        <v>82</v>
      </c>
      <c r="D2610" s="14" t="s">
        <v>83</v>
      </c>
      <c r="E2610" s="14" t="s">
        <v>45</v>
      </c>
      <c r="F2610" s="14" t="s">
        <v>46</v>
      </c>
      <c r="G2610" s="14" t="s">
        <v>47</v>
      </c>
      <c r="H2610" s="0" t="n">
        <v>8</v>
      </c>
      <c r="I2610" s="16" t="n">
        <v>44.89</v>
      </c>
      <c r="J2610" s="16" t="n">
        <v>18</v>
      </c>
      <c r="K2610" s="16" t="n">
        <f aca="false">H2610*I2610</f>
        <v>359.12</v>
      </c>
      <c r="L2610" s="16" t="n">
        <f aca="false">H2610*J2610</f>
        <v>144</v>
      </c>
      <c r="M2610" s="16" t="n">
        <f aca="false">K2610-L2610</f>
        <v>215.12</v>
      </c>
      <c r="N2610" s="17" t="n">
        <f aca="false">IFERROR(M2610/K2610,0)</f>
        <v>0.599019826241925</v>
      </c>
    </row>
    <row r="2611" customFormat="false" ht="15" hidden="false" customHeight="false" outlineLevel="0" collapsed="false">
      <c r="A2611" s="15" t="n">
        <v>46131</v>
      </c>
      <c r="B2611" s="14" t="s">
        <v>81</v>
      </c>
      <c r="C2611" s="14" t="s">
        <v>82</v>
      </c>
      <c r="D2611" s="14" t="s">
        <v>83</v>
      </c>
      <c r="E2611" s="14" t="s">
        <v>76</v>
      </c>
      <c r="F2611" s="14" t="s">
        <v>77</v>
      </c>
      <c r="G2611" s="14" t="s">
        <v>78</v>
      </c>
      <c r="H2611" s="0" t="n">
        <v>7</v>
      </c>
      <c r="I2611" s="16" t="n">
        <v>39.03</v>
      </c>
      <c r="J2611" s="16" t="n">
        <v>15</v>
      </c>
      <c r="K2611" s="16" t="n">
        <f aca="false">H2611*I2611</f>
        <v>273.21</v>
      </c>
      <c r="L2611" s="16" t="n">
        <f aca="false">H2611*J2611</f>
        <v>105</v>
      </c>
      <c r="M2611" s="16" t="n">
        <f aca="false">K2611-L2611</f>
        <v>168.21</v>
      </c>
      <c r="N2611" s="17" t="n">
        <f aca="false">IFERROR(M2611/K2611,0)</f>
        <v>0.615680245964643</v>
      </c>
    </row>
    <row r="2612" customFormat="false" ht="15" hidden="false" customHeight="false" outlineLevel="0" collapsed="false">
      <c r="A2612" s="15" t="n">
        <v>46131</v>
      </c>
      <c r="B2612" s="14" t="s">
        <v>81</v>
      </c>
      <c r="C2612" s="14" t="s">
        <v>82</v>
      </c>
      <c r="D2612" s="14" t="s">
        <v>83</v>
      </c>
      <c r="E2612" s="14" t="s">
        <v>64</v>
      </c>
      <c r="F2612" s="14" t="s">
        <v>94</v>
      </c>
      <c r="G2612" s="14" t="s">
        <v>95</v>
      </c>
      <c r="H2612" s="0" t="n">
        <v>2</v>
      </c>
      <c r="I2612" s="16" t="n">
        <v>93.83</v>
      </c>
      <c r="J2612" s="16" t="n">
        <v>42</v>
      </c>
      <c r="K2612" s="16" t="n">
        <f aca="false">H2612*I2612</f>
        <v>187.66</v>
      </c>
      <c r="L2612" s="16" t="n">
        <f aca="false">H2612*J2612</f>
        <v>84</v>
      </c>
      <c r="M2612" s="16" t="n">
        <f aca="false">K2612-L2612</f>
        <v>103.66</v>
      </c>
      <c r="N2612" s="17" t="n">
        <f aca="false">IFERROR(M2612/K2612,0)</f>
        <v>0.552381967387829</v>
      </c>
    </row>
    <row r="2613" customFormat="false" ht="15" hidden="false" customHeight="false" outlineLevel="0" collapsed="false">
      <c r="A2613" s="15" t="n">
        <v>46131</v>
      </c>
      <c r="B2613" s="14" t="s">
        <v>88</v>
      </c>
      <c r="C2613" s="14" t="s">
        <v>89</v>
      </c>
      <c r="D2613" s="14" t="s">
        <v>44</v>
      </c>
      <c r="E2613" s="14" t="s">
        <v>53</v>
      </c>
      <c r="F2613" s="14" t="s">
        <v>84</v>
      </c>
      <c r="G2613" s="14" t="s">
        <v>85</v>
      </c>
      <c r="H2613" s="0" t="n">
        <v>12</v>
      </c>
      <c r="I2613" s="16" t="n">
        <v>24.2</v>
      </c>
      <c r="J2613" s="16" t="n">
        <v>9</v>
      </c>
      <c r="K2613" s="16" t="n">
        <f aca="false">H2613*I2613</f>
        <v>290.4</v>
      </c>
      <c r="L2613" s="16" t="n">
        <f aca="false">H2613*J2613</f>
        <v>108</v>
      </c>
      <c r="M2613" s="16" t="n">
        <f aca="false">K2613-L2613</f>
        <v>182.4</v>
      </c>
      <c r="N2613" s="17" t="n">
        <f aca="false">IFERROR(M2613/K2613,0)</f>
        <v>0.628099173553719</v>
      </c>
    </row>
    <row r="2614" customFormat="false" ht="15" hidden="false" customHeight="false" outlineLevel="0" collapsed="false">
      <c r="A2614" s="15" t="n">
        <v>46131</v>
      </c>
      <c r="B2614" s="14" t="s">
        <v>88</v>
      </c>
      <c r="C2614" s="14" t="s">
        <v>89</v>
      </c>
      <c r="D2614" s="14" t="s">
        <v>44</v>
      </c>
      <c r="E2614" s="14" t="s">
        <v>53</v>
      </c>
      <c r="F2614" s="14" t="s">
        <v>74</v>
      </c>
      <c r="G2614" s="14" t="s">
        <v>75</v>
      </c>
      <c r="H2614" s="0" t="n">
        <v>8</v>
      </c>
      <c r="I2614" s="16" t="n">
        <v>83.79</v>
      </c>
      <c r="J2614" s="16" t="n">
        <v>38</v>
      </c>
      <c r="K2614" s="16" t="n">
        <f aca="false">H2614*I2614</f>
        <v>670.32</v>
      </c>
      <c r="L2614" s="16" t="n">
        <f aca="false">H2614*J2614</f>
        <v>304</v>
      </c>
      <c r="M2614" s="16" t="n">
        <f aca="false">K2614-L2614</f>
        <v>366.32</v>
      </c>
      <c r="N2614" s="17" t="n">
        <f aca="false">IFERROR(M2614/K2614,0)</f>
        <v>0.546485260770975</v>
      </c>
    </row>
    <row r="2615" customFormat="false" ht="15" hidden="false" customHeight="false" outlineLevel="0" collapsed="false">
      <c r="A2615" s="15" t="n">
        <v>46131</v>
      </c>
      <c r="B2615" s="14" t="s">
        <v>88</v>
      </c>
      <c r="C2615" s="14" t="s">
        <v>89</v>
      </c>
      <c r="D2615" s="14" t="s">
        <v>44</v>
      </c>
      <c r="E2615" s="14" t="s">
        <v>53</v>
      </c>
      <c r="F2615" s="14" t="s">
        <v>84</v>
      </c>
      <c r="G2615" s="14" t="s">
        <v>85</v>
      </c>
      <c r="H2615" s="0" t="n">
        <v>2</v>
      </c>
      <c r="I2615" s="16" t="n">
        <v>24.12</v>
      </c>
      <c r="J2615" s="16" t="n">
        <v>9</v>
      </c>
      <c r="K2615" s="16" t="n">
        <f aca="false">H2615*I2615</f>
        <v>48.24</v>
      </c>
      <c r="L2615" s="16" t="n">
        <f aca="false">H2615*J2615</f>
        <v>18</v>
      </c>
      <c r="M2615" s="16" t="n">
        <f aca="false">K2615-L2615</f>
        <v>30.24</v>
      </c>
      <c r="N2615" s="17" t="n">
        <f aca="false">IFERROR(M2615/K2615,0)</f>
        <v>0.626865671641791</v>
      </c>
    </row>
    <row r="2616" customFormat="false" ht="15" hidden="false" customHeight="false" outlineLevel="0" collapsed="false">
      <c r="A2616" s="15" t="n">
        <v>46131</v>
      </c>
      <c r="B2616" s="14" t="s">
        <v>88</v>
      </c>
      <c r="C2616" s="14" t="s">
        <v>89</v>
      </c>
      <c r="D2616" s="14" t="s">
        <v>44</v>
      </c>
      <c r="E2616" s="14" t="s">
        <v>76</v>
      </c>
      <c r="F2616" s="14" t="s">
        <v>102</v>
      </c>
      <c r="G2616" s="14" t="s">
        <v>103</v>
      </c>
      <c r="H2616" s="0" t="n">
        <v>8</v>
      </c>
      <c r="I2616" s="16" t="n">
        <v>22.87</v>
      </c>
      <c r="J2616" s="16" t="n">
        <v>8.5</v>
      </c>
      <c r="K2616" s="16" t="n">
        <f aca="false">H2616*I2616</f>
        <v>182.96</v>
      </c>
      <c r="L2616" s="16" t="n">
        <f aca="false">H2616*J2616</f>
        <v>68</v>
      </c>
      <c r="M2616" s="16" t="n">
        <f aca="false">K2616-L2616</f>
        <v>114.96</v>
      </c>
      <c r="N2616" s="17" t="n">
        <f aca="false">IFERROR(M2616/K2616,0)</f>
        <v>0.628334062090074</v>
      </c>
    </row>
    <row r="2617" customFormat="false" ht="15" hidden="false" customHeight="false" outlineLevel="0" collapsed="false">
      <c r="A2617" s="15" t="n">
        <v>46131</v>
      </c>
      <c r="B2617" s="14" t="s">
        <v>88</v>
      </c>
      <c r="C2617" s="14" t="s">
        <v>89</v>
      </c>
      <c r="D2617" s="14" t="s">
        <v>44</v>
      </c>
      <c r="E2617" s="14" t="s">
        <v>64</v>
      </c>
      <c r="F2617" s="14" t="s">
        <v>90</v>
      </c>
      <c r="G2617" s="14" t="s">
        <v>91</v>
      </c>
      <c r="H2617" s="0" t="n">
        <v>9</v>
      </c>
      <c r="I2617" s="16" t="n">
        <v>11.29</v>
      </c>
      <c r="J2617" s="16" t="n">
        <v>3.5</v>
      </c>
      <c r="K2617" s="16" t="n">
        <f aca="false">H2617*I2617</f>
        <v>101.61</v>
      </c>
      <c r="L2617" s="16" t="n">
        <f aca="false">H2617*J2617</f>
        <v>31.5</v>
      </c>
      <c r="M2617" s="16" t="n">
        <f aca="false">K2617-L2617</f>
        <v>70.11</v>
      </c>
      <c r="N2617" s="17" t="n">
        <f aca="false">IFERROR(M2617/K2617,0)</f>
        <v>0.689991142604074</v>
      </c>
    </row>
    <row r="2618" customFormat="false" ht="15" hidden="false" customHeight="false" outlineLevel="0" collapsed="false">
      <c r="A2618" s="15" t="n">
        <v>46132</v>
      </c>
      <c r="B2618" s="14" t="s">
        <v>42</v>
      </c>
      <c r="C2618" s="14" t="s">
        <v>43</v>
      </c>
      <c r="D2618" s="14" t="s">
        <v>44</v>
      </c>
      <c r="E2618" s="14" t="s">
        <v>76</v>
      </c>
      <c r="F2618" s="14" t="s">
        <v>100</v>
      </c>
      <c r="G2618" s="14" t="s">
        <v>101</v>
      </c>
      <c r="H2618" s="0" t="n">
        <v>5</v>
      </c>
      <c r="I2618" s="16" t="n">
        <v>15.15</v>
      </c>
      <c r="J2618" s="16" t="n">
        <v>5.5</v>
      </c>
      <c r="K2618" s="16" t="n">
        <f aca="false">H2618*I2618</f>
        <v>75.75</v>
      </c>
      <c r="L2618" s="16" t="n">
        <f aca="false">H2618*J2618</f>
        <v>27.5</v>
      </c>
      <c r="M2618" s="16" t="n">
        <f aca="false">K2618-L2618</f>
        <v>48.25</v>
      </c>
      <c r="N2618" s="17" t="n">
        <f aca="false">IFERROR(M2618/K2618,0)</f>
        <v>0.636963696369637</v>
      </c>
    </row>
    <row r="2619" customFormat="false" ht="15" hidden="false" customHeight="false" outlineLevel="0" collapsed="false">
      <c r="A2619" s="15" t="n">
        <v>46132</v>
      </c>
      <c r="B2619" s="14" t="s">
        <v>42</v>
      </c>
      <c r="C2619" s="14" t="s">
        <v>43</v>
      </c>
      <c r="D2619" s="14" t="s">
        <v>44</v>
      </c>
      <c r="E2619" s="14" t="s">
        <v>45</v>
      </c>
      <c r="F2619" s="14" t="s">
        <v>46</v>
      </c>
      <c r="G2619" s="14" t="s">
        <v>47</v>
      </c>
      <c r="H2619" s="0" t="n">
        <v>12</v>
      </c>
      <c r="I2619" s="16" t="n">
        <v>42.88</v>
      </c>
      <c r="J2619" s="16" t="n">
        <v>18</v>
      </c>
      <c r="K2619" s="16" t="n">
        <f aca="false">H2619*I2619</f>
        <v>514.56</v>
      </c>
      <c r="L2619" s="16" t="n">
        <f aca="false">H2619*J2619</f>
        <v>216</v>
      </c>
      <c r="M2619" s="16" t="n">
        <f aca="false">K2619-L2619</f>
        <v>298.56</v>
      </c>
      <c r="N2619" s="17" t="n">
        <f aca="false">IFERROR(M2619/K2619,0)</f>
        <v>0.580223880597015</v>
      </c>
    </row>
    <row r="2620" customFormat="false" ht="15" hidden="false" customHeight="false" outlineLevel="0" collapsed="false">
      <c r="A2620" s="15" t="n">
        <v>46132</v>
      </c>
      <c r="B2620" s="14" t="s">
        <v>50</v>
      </c>
      <c r="C2620" s="14" t="s">
        <v>51</v>
      </c>
      <c r="D2620" s="14" t="s">
        <v>52</v>
      </c>
      <c r="E2620" s="14" t="s">
        <v>53</v>
      </c>
      <c r="F2620" s="14" t="s">
        <v>54</v>
      </c>
      <c r="G2620" s="14" t="s">
        <v>55</v>
      </c>
      <c r="H2620" s="0" t="n">
        <v>3</v>
      </c>
      <c r="I2620" s="16" t="n">
        <v>54.77</v>
      </c>
      <c r="J2620" s="16" t="n">
        <v>22</v>
      </c>
      <c r="K2620" s="16" t="n">
        <f aca="false">H2620*I2620</f>
        <v>164.31</v>
      </c>
      <c r="L2620" s="16" t="n">
        <f aca="false">H2620*J2620</f>
        <v>66</v>
      </c>
      <c r="M2620" s="16" t="n">
        <f aca="false">K2620-L2620</f>
        <v>98.31</v>
      </c>
      <c r="N2620" s="17" t="n">
        <f aca="false">IFERROR(M2620/K2620,0)</f>
        <v>0.598320248311119</v>
      </c>
    </row>
    <row r="2621" customFormat="false" ht="15" hidden="false" customHeight="false" outlineLevel="0" collapsed="false">
      <c r="A2621" s="15" t="n">
        <v>46132</v>
      </c>
      <c r="B2621" s="14" t="s">
        <v>50</v>
      </c>
      <c r="C2621" s="14" t="s">
        <v>51</v>
      </c>
      <c r="D2621" s="14" t="s">
        <v>52</v>
      </c>
      <c r="E2621" s="14" t="s">
        <v>56</v>
      </c>
      <c r="F2621" s="14" t="s">
        <v>67</v>
      </c>
      <c r="G2621" s="14" t="s">
        <v>68</v>
      </c>
      <c r="H2621" s="0" t="n">
        <v>4</v>
      </c>
      <c r="I2621" s="16" t="n">
        <v>36.8</v>
      </c>
      <c r="J2621" s="16" t="n">
        <v>15</v>
      </c>
      <c r="K2621" s="16" t="n">
        <f aca="false">H2621*I2621</f>
        <v>147.2</v>
      </c>
      <c r="L2621" s="16" t="n">
        <f aca="false">H2621*J2621</f>
        <v>60</v>
      </c>
      <c r="M2621" s="16" t="n">
        <f aca="false">K2621-L2621</f>
        <v>87.2</v>
      </c>
      <c r="N2621" s="17" t="n">
        <f aca="false">IFERROR(M2621/K2621,0)</f>
        <v>0.592391304347826</v>
      </c>
    </row>
    <row r="2622" customFormat="false" ht="15" hidden="false" customHeight="false" outlineLevel="0" collapsed="false">
      <c r="A2622" s="15" t="n">
        <v>46132</v>
      </c>
      <c r="B2622" s="14" t="s">
        <v>50</v>
      </c>
      <c r="C2622" s="14" t="s">
        <v>51</v>
      </c>
      <c r="D2622" s="14" t="s">
        <v>52</v>
      </c>
      <c r="E2622" s="14" t="s">
        <v>45</v>
      </c>
      <c r="F2622" s="14" t="s">
        <v>48</v>
      </c>
      <c r="G2622" s="14" t="s">
        <v>49</v>
      </c>
      <c r="H2622" s="0" t="n">
        <v>10</v>
      </c>
      <c r="I2622" s="16" t="n">
        <v>63.05</v>
      </c>
      <c r="J2622" s="16" t="n">
        <v>27.5</v>
      </c>
      <c r="K2622" s="16" t="n">
        <f aca="false">H2622*I2622</f>
        <v>630.5</v>
      </c>
      <c r="L2622" s="16" t="n">
        <f aca="false">H2622*J2622</f>
        <v>275</v>
      </c>
      <c r="M2622" s="16" t="n">
        <f aca="false">K2622-L2622</f>
        <v>355.5</v>
      </c>
      <c r="N2622" s="17" t="n">
        <f aca="false">IFERROR(M2622/K2622,0)</f>
        <v>0.563838223632038</v>
      </c>
    </row>
    <row r="2623" customFormat="false" ht="15" hidden="false" customHeight="false" outlineLevel="0" collapsed="false">
      <c r="A2623" s="15" t="n">
        <v>46132</v>
      </c>
      <c r="B2623" s="14" t="s">
        <v>50</v>
      </c>
      <c r="C2623" s="14" t="s">
        <v>51</v>
      </c>
      <c r="D2623" s="14" t="s">
        <v>52</v>
      </c>
      <c r="E2623" s="14" t="s">
        <v>76</v>
      </c>
      <c r="F2623" s="14" t="s">
        <v>102</v>
      </c>
      <c r="G2623" s="14" t="s">
        <v>103</v>
      </c>
      <c r="H2623" s="0" t="n">
        <v>2</v>
      </c>
      <c r="I2623" s="16" t="n">
        <v>23.34</v>
      </c>
      <c r="J2623" s="16" t="n">
        <v>8.5</v>
      </c>
      <c r="K2623" s="16" t="n">
        <f aca="false">H2623*I2623</f>
        <v>46.68</v>
      </c>
      <c r="L2623" s="16" t="n">
        <f aca="false">H2623*J2623</f>
        <v>17</v>
      </c>
      <c r="M2623" s="16" t="n">
        <f aca="false">K2623-L2623</f>
        <v>29.68</v>
      </c>
      <c r="N2623" s="17" t="n">
        <f aca="false">IFERROR(M2623/K2623,0)</f>
        <v>0.635818337617824</v>
      </c>
    </row>
    <row r="2624" customFormat="false" ht="15" hidden="false" customHeight="false" outlineLevel="0" collapsed="false">
      <c r="A2624" s="15" t="n">
        <v>46132</v>
      </c>
      <c r="B2624" s="14" t="s">
        <v>50</v>
      </c>
      <c r="C2624" s="14" t="s">
        <v>51</v>
      </c>
      <c r="D2624" s="14" t="s">
        <v>52</v>
      </c>
      <c r="E2624" s="14" t="s">
        <v>56</v>
      </c>
      <c r="F2624" s="14" t="s">
        <v>86</v>
      </c>
      <c r="G2624" s="14" t="s">
        <v>87</v>
      </c>
      <c r="H2624" s="0" t="n">
        <v>8</v>
      </c>
      <c r="I2624" s="16" t="n">
        <v>14.44</v>
      </c>
      <c r="J2624" s="16" t="n">
        <v>5</v>
      </c>
      <c r="K2624" s="16" t="n">
        <f aca="false">H2624*I2624</f>
        <v>115.52</v>
      </c>
      <c r="L2624" s="16" t="n">
        <f aca="false">H2624*J2624</f>
        <v>40</v>
      </c>
      <c r="M2624" s="16" t="n">
        <f aca="false">K2624-L2624</f>
        <v>75.52</v>
      </c>
      <c r="N2624" s="17" t="n">
        <f aca="false">IFERROR(M2624/K2624,0)</f>
        <v>0.653739612188366</v>
      </c>
    </row>
    <row r="2625" customFormat="false" ht="15" hidden="false" customHeight="false" outlineLevel="0" collapsed="false">
      <c r="A2625" s="15" t="n">
        <v>46132</v>
      </c>
      <c r="B2625" s="14" t="s">
        <v>50</v>
      </c>
      <c r="C2625" s="14" t="s">
        <v>51</v>
      </c>
      <c r="D2625" s="14" t="s">
        <v>52</v>
      </c>
      <c r="E2625" s="14" t="s">
        <v>53</v>
      </c>
      <c r="F2625" s="14" t="s">
        <v>84</v>
      </c>
      <c r="G2625" s="14" t="s">
        <v>85</v>
      </c>
      <c r="H2625" s="0" t="n">
        <v>5</v>
      </c>
      <c r="I2625" s="16" t="n">
        <v>23.58</v>
      </c>
      <c r="J2625" s="16" t="n">
        <v>9</v>
      </c>
      <c r="K2625" s="16" t="n">
        <f aca="false">H2625*I2625</f>
        <v>117.9</v>
      </c>
      <c r="L2625" s="16" t="n">
        <f aca="false">H2625*J2625</f>
        <v>45</v>
      </c>
      <c r="M2625" s="16" t="n">
        <f aca="false">K2625-L2625</f>
        <v>72.9</v>
      </c>
      <c r="N2625" s="17" t="n">
        <f aca="false">IFERROR(M2625/K2625,0)</f>
        <v>0.618320610687023</v>
      </c>
    </row>
    <row r="2626" customFormat="false" ht="15" hidden="false" customHeight="false" outlineLevel="0" collapsed="false">
      <c r="A2626" s="15" t="n">
        <v>46132</v>
      </c>
      <c r="B2626" s="14" t="s">
        <v>59</v>
      </c>
      <c r="C2626" s="14" t="s">
        <v>60</v>
      </c>
      <c r="D2626" s="14" t="s">
        <v>61</v>
      </c>
      <c r="E2626" s="14" t="s">
        <v>76</v>
      </c>
      <c r="F2626" s="14" t="s">
        <v>102</v>
      </c>
      <c r="G2626" s="14" t="s">
        <v>103</v>
      </c>
      <c r="H2626" s="0" t="n">
        <v>6</v>
      </c>
      <c r="I2626" s="16" t="n">
        <v>22.49</v>
      </c>
      <c r="J2626" s="16" t="n">
        <v>8.5</v>
      </c>
      <c r="K2626" s="16" t="n">
        <f aca="false">H2626*I2626</f>
        <v>134.94</v>
      </c>
      <c r="L2626" s="16" t="n">
        <f aca="false">H2626*J2626</f>
        <v>51</v>
      </c>
      <c r="M2626" s="16" t="n">
        <f aca="false">K2626-L2626</f>
        <v>83.94</v>
      </c>
      <c r="N2626" s="17" t="n">
        <f aca="false">IFERROR(M2626/K2626,0)</f>
        <v>0.622054246331703</v>
      </c>
    </row>
    <row r="2627" customFormat="false" ht="15" hidden="false" customHeight="false" outlineLevel="0" collapsed="false">
      <c r="A2627" s="15" t="n">
        <v>46132</v>
      </c>
      <c r="B2627" s="14" t="s">
        <v>59</v>
      </c>
      <c r="C2627" s="14" t="s">
        <v>60</v>
      </c>
      <c r="D2627" s="14" t="s">
        <v>61</v>
      </c>
      <c r="E2627" s="14" t="s">
        <v>53</v>
      </c>
      <c r="F2627" s="14" t="s">
        <v>74</v>
      </c>
      <c r="G2627" s="14" t="s">
        <v>75</v>
      </c>
      <c r="H2627" s="0" t="n">
        <v>1</v>
      </c>
      <c r="I2627" s="16" t="n">
        <v>87.9</v>
      </c>
      <c r="J2627" s="16" t="n">
        <v>38</v>
      </c>
      <c r="K2627" s="16" t="n">
        <f aca="false">H2627*I2627</f>
        <v>87.9</v>
      </c>
      <c r="L2627" s="16" t="n">
        <f aca="false">H2627*J2627</f>
        <v>38</v>
      </c>
      <c r="M2627" s="16" t="n">
        <f aca="false">K2627-L2627</f>
        <v>49.9</v>
      </c>
      <c r="N2627" s="17" t="n">
        <f aca="false">IFERROR(M2627/K2627,0)</f>
        <v>0.56769055745165</v>
      </c>
    </row>
    <row r="2628" customFormat="false" ht="15" hidden="false" customHeight="false" outlineLevel="0" collapsed="false">
      <c r="A2628" s="15" t="n">
        <v>46132</v>
      </c>
      <c r="B2628" s="14" t="s">
        <v>59</v>
      </c>
      <c r="C2628" s="14" t="s">
        <v>60</v>
      </c>
      <c r="D2628" s="14" t="s">
        <v>61</v>
      </c>
      <c r="E2628" s="14" t="s">
        <v>56</v>
      </c>
      <c r="F2628" s="14" t="s">
        <v>98</v>
      </c>
      <c r="G2628" s="14" t="s">
        <v>99</v>
      </c>
      <c r="H2628" s="0" t="n">
        <v>7</v>
      </c>
      <c r="I2628" s="16" t="n">
        <v>21.63</v>
      </c>
      <c r="J2628" s="16" t="n">
        <v>8</v>
      </c>
      <c r="K2628" s="16" t="n">
        <f aca="false">H2628*I2628</f>
        <v>151.41</v>
      </c>
      <c r="L2628" s="16" t="n">
        <f aca="false">H2628*J2628</f>
        <v>56</v>
      </c>
      <c r="M2628" s="16" t="n">
        <f aca="false">K2628-L2628</f>
        <v>95.41</v>
      </c>
      <c r="N2628" s="17" t="n">
        <f aca="false">IFERROR(M2628/K2628,0)</f>
        <v>0.630143319463708</v>
      </c>
    </row>
    <row r="2629" customFormat="false" ht="15" hidden="false" customHeight="false" outlineLevel="0" collapsed="false">
      <c r="A2629" s="15" t="n">
        <v>46132</v>
      </c>
      <c r="B2629" s="14" t="s">
        <v>69</v>
      </c>
      <c r="C2629" s="14" t="s">
        <v>70</v>
      </c>
      <c r="D2629" s="14" t="s">
        <v>71</v>
      </c>
      <c r="E2629" s="14" t="s">
        <v>53</v>
      </c>
      <c r="F2629" s="14" t="s">
        <v>92</v>
      </c>
      <c r="G2629" s="14" t="s">
        <v>93</v>
      </c>
      <c r="H2629" s="0" t="n">
        <v>5</v>
      </c>
      <c r="I2629" s="16" t="n">
        <v>110.63</v>
      </c>
      <c r="J2629" s="16" t="n">
        <v>52</v>
      </c>
      <c r="K2629" s="16" t="n">
        <f aca="false">H2629*I2629</f>
        <v>553.15</v>
      </c>
      <c r="L2629" s="16" t="n">
        <f aca="false">H2629*J2629</f>
        <v>260</v>
      </c>
      <c r="M2629" s="16" t="n">
        <f aca="false">K2629-L2629</f>
        <v>293.15</v>
      </c>
      <c r="N2629" s="17" t="n">
        <f aca="false">IFERROR(M2629/K2629,0)</f>
        <v>0.529964747356052</v>
      </c>
    </row>
    <row r="2630" customFormat="false" ht="15" hidden="false" customHeight="false" outlineLevel="0" collapsed="false">
      <c r="A2630" s="15" t="n">
        <v>46132</v>
      </c>
      <c r="B2630" s="14" t="s">
        <v>69</v>
      </c>
      <c r="C2630" s="14" t="s">
        <v>70</v>
      </c>
      <c r="D2630" s="14" t="s">
        <v>71</v>
      </c>
      <c r="E2630" s="14" t="s">
        <v>53</v>
      </c>
      <c r="F2630" s="14" t="s">
        <v>74</v>
      </c>
      <c r="G2630" s="14" t="s">
        <v>75</v>
      </c>
      <c r="H2630" s="0" t="n">
        <v>5</v>
      </c>
      <c r="I2630" s="16" t="n">
        <v>87.22</v>
      </c>
      <c r="J2630" s="16" t="n">
        <v>38</v>
      </c>
      <c r="K2630" s="16" t="n">
        <f aca="false">H2630*I2630</f>
        <v>436.1</v>
      </c>
      <c r="L2630" s="16" t="n">
        <f aca="false">H2630*J2630</f>
        <v>190</v>
      </c>
      <c r="M2630" s="16" t="n">
        <f aca="false">K2630-L2630</f>
        <v>246.1</v>
      </c>
      <c r="N2630" s="17" t="n">
        <f aca="false">IFERROR(M2630/K2630,0)</f>
        <v>0.564320110066499</v>
      </c>
    </row>
    <row r="2631" customFormat="false" ht="15" hidden="false" customHeight="false" outlineLevel="0" collapsed="false">
      <c r="A2631" s="15" t="n">
        <v>46132</v>
      </c>
      <c r="B2631" s="14" t="s">
        <v>81</v>
      </c>
      <c r="C2631" s="14" t="s">
        <v>82</v>
      </c>
      <c r="D2631" s="14" t="s">
        <v>83</v>
      </c>
      <c r="E2631" s="14" t="s">
        <v>64</v>
      </c>
      <c r="F2631" s="14" t="s">
        <v>96</v>
      </c>
      <c r="G2631" s="14" t="s">
        <v>97</v>
      </c>
      <c r="H2631" s="0" t="n">
        <v>4</v>
      </c>
      <c r="I2631" s="16" t="n">
        <v>58.35</v>
      </c>
      <c r="J2631" s="16" t="n">
        <v>24</v>
      </c>
      <c r="K2631" s="16" t="n">
        <f aca="false">H2631*I2631</f>
        <v>233.4</v>
      </c>
      <c r="L2631" s="16" t="n">
        <f aca="false">H2631*J2631</f>
        <v>96</v>
      </c>
      <c r="M2631" s="16" t="n">
        <f aca="false">K2631-L2631</f>
        <v>137.4</v>
      </c>
      <c r="N2631" s="17" t="n">
        <f aca="false">IFERROR(M2631/K2631,0)</f>
        <v>0.588688946015424</v>
      </c>
    </row>
    <row r="2632" customFormat="false" ht="15" hidden="false" customHeight="false" outlineLevel="0" collapsed="false">
      <c r="A2632" s="15" t="n">
        <v>46132</v>
      </c>
      <c r="B2632" s="14" t="s">
        <v>81</v>
      </c>
      <c r="C2632" s="14" t="s">
        <v>82</v>
      </c>
      <c r="D2632" s="14" t="s">
        <v>83</v>
      </c>
      <c r="E2632" s="14" t="s">
        <v>45</v>
      </c>
      <c r="F2632" s="14" t="s">
        <v>48</v>
      </c>
      <c r="G2632" s="14" t="s">
        <v>49</v>
      </c>
      <c r="H2632" s="0" t="n">
        <v>6</v>
      </c>
      <c r="I2632" s="16" t="n">
        <v>62.67</v>
      </c>
      <c r="J2632" s="16" t="n">
        <v>27.5</v>
      </c>
      <c r="K2632" s="16" t="n">
        <f aca="false">H2632*I2632</f>
        <v>376.02</v>
      </c>
      <c r="L2632" s="16" t="n">
        <f aca="false">H2632*J2632</f>
        <v>165</v>
      </c>
      <c r="M2632" s="16" t="n">
        <f aca="false">K2632-L2632</f>
        <v>211.02</v>
      </c>
      <c r="N2632" s="17" t="n">
        <f aca="false">IFERROR(M2632/K2632,0)</f>
        <v>0.561193553534387</v>
      </c>
    </row>
    <row r="2633" customFormat="false" ht="15" hidden="false" customHeight="false" outlineLevel="0" collapsed="false">
      <c r="A2633" s="15" t="n">
        <v>46132</v>
      </c>
      <c r="B2633" s="14" t="s">
        <v>81</v>
      </c>
      <c r="C2633" s="14" t="s">
        <v>82</v>
      </c>
      <c r="D2633" s="14" t="s">
        <v>83</v>
      </c>
      <c r="E2633" s="14" t="s">
        <v>56</v>
      </c>
      <c r="F2633" s="14" t="s">
        <v>86</v>
      </c>
      <c r="G2633" s="14" t="s">
        <v>87</v>
      </c>
      <c r="H2633" s="0" t="n">
        <v>2</v>
      </c>
      <c r="I2633" s="16" t="n">
        <v>14.68</v>
      </c>
      <c r="J2633" s="16" t="n">
        <v>5</v>
      </c>
      <c r="K2633" s="16" t="n">
        <f aca="false">H2633*I2633</f>
        <v>29.36</v>
      </c>
      <c r="L2633" s="16" t="n">
        <f aca="false">H2633*J2633</f>
        <v>10</v>
      </c>
      <c r="M2633" s="16" t="n">
        <f aca="false">K2633-L2633</f>
        <v>19.36</v>
      </c>
      <c r="N2633" s="17" t="n">
        <f aca="false">IFERROR(M2633/K2633,0)</f>
        <v>0.659400544959128</v>
      </c>
    </row>
    <row r="2634" customFormat="false" ht="15" hidden="false" customHeight="false" outlineLevel="0" collapsed="false">
      <c r="A2634" s="15" t="n">
        <v>46132</v>
      </c>
      <c r="B2634" s="14" t="s">
        <v>81</v>
      </c>
      <c r="C2634" s="14" t="s">
        <v>82</v>
      </c>
      <c r="D2634" s="14" t="s">
        <v>83</v>
      </c>
      <c r="E2634" s="14" t="s">
        <v>64</v>
      </c>
      <c r="F2634" s="14" t="s">
        <v>96</v>
      </c>
      <c r="G2634" s="14" t="s">
        <v>97</v>
      </c>
      <c r="H2634" s="0" t="n">
        <v>4</v>
      </c>
      <c r="I2634" s="16" t="n">
        <v>57.98</v>
      </c>
      <c r="J2634" s="16" t="n">
        <v>24</v>
      </c>
      <c r="K2634" s="16" t="n">
        <f aca="false">H2634*I2634</f>
        <v>231.92</v>
      </c>
      <c r="L2634" s="16" t="n">
        <f aca="false">H2634*J2634</f>
        <v>96</v>
      </c>
      <c r="M2634" s="16" t="n">
        <f aca="false">K2634-L2634</f>
        <v>135.92</v>
      </c>
      <c r="N2634" s="17" t="n">
        <f aca="false">IFERROR(M2634/K2634,0)</f>
        <v>0.586064160055192</v>
      </c>
    </row>
    <row r="2635" customFormat="false" ht="15" hidden="false" customHeight="false" outlineLevel="0" collapsed="false">
      <c r="A2635" s="15" t="n">
        <v>46132</v>
      </c>
      <c r="B2635" s="14" t="s">
        <v>81</v>
      </c>
      <c r="C2635" s="14" t="s">
        <v>82</v>
      </c>
      <c r="D2635" s="14" t="s">
        <v>83</v>
      </c>
      <c r="E2635" s="14" t="s">
        <v>64</v>
      </c>
      <c r="F2635" s="14" t="s">
        <v>65</v>
      </c>
      <c r="G2635" s="14" t="s">
        <v>66</v>
      </c>
      <c r="H2635" s="0" t="n">
        <v>4</v>
      </c>
      <c r="I2635" s="16" t="n">
        <v>74.41</v>
      </c>
      <c r="J2635" s="16" t="n">
        <v>34</v>
      </c>
      <c r="K2635" s="16" t="n">
        <f aca="false">H2635*I2635</f>
        <v>297.64</v>
      </c>
      <c r="L2635" s="16" t="n">
        <f aca="false">H2635*J2635</f>
        <v>136</v>
      </c>
      <c r="M2635" s="16" t="n">
        <f aca="false">K2635-L2635</f>
        <v>161.64</v>
      </c>
      <c r="N2635" s="17" t="n">
        <f aca="false">IFERROR(M2635/K2635,0)</f>
        <v>0.543072167719393</v>
      </c>
    </row>
    <row r="2636" customFormat="false" ht="15" hidden="false" customHeight="false" outlineLevel="0" collapsed="false">
      <c r="A2636" s="15" t="n">
        <v>46132</v>
      </c>
      <c r="B2636" s="14" t="s">
        <v>88</v>
      </c>
      <c r="C2636" s="14" t="s">
        <v>89</v>
      </c>
      <c r="D2636" s="14" t="s">
        <v>44</v>
      </c>
      <c r="E2636" s="14" t="s">
        <v>45</v>
      </c>
      <c r="F2636" s="14" t="s">
        <v>46</v>
      </c>
      <c r="G2636" s="14" t="s">
        <v>47</v>
      </c>
      <c r="H2636" s="0" t="n">
        <v>10</v>
      </c>
      <c r="I2636" s="16" t="n">
        <v>42.76</v>
      </c>
      <c r="J2636" s="16" t="n">
        <v>18</v>
      </c>
      <c r="K2636" s="16" t="n">
        <f aca="false">H2636*I2636</f>
        <v>427.6</v>
      </c>
      <c r="L2636" s="16" t="n">
        <f aca="false">H2636*J2636</f>
        <v>180</v>
      </c>
      <c r="M2636" s="16" t="n">
        <f aca="false">K2636-L2636</f>
        <v>247.6</v>
      </c>
      <c r="N2636" s="17" t="n">
        <f aca="false">IFERROR(M2636/K2636,0)</f>
        <v>0.579045837231057</v>
      </c>
    </row>
    <row r="2637" customFormat="false" ht="15" hidden="false" customHeight="false" outlineLevel="0" collapsed="false">
      <c r="A2637" s="15" t="n">
        <v>46132</v>
      </c>
      <c r="B2637" s="14" t="s">
        <v>88</v>
      </c>
      <c r="C2637" s="14" t="s">
        <v>89</v>
      </c>
      <c r="D2637" s="14" t="s">
        <v>44</v>
      </c>
      <c r="E2637" s="14" t="s">
        <v>64</v>
      </c>
      <c r="F2637" s="14" t="s">
        <v>65</v>
      </c>
      <c r="G2637" s="14" t="s">
        <v>66</v>
      </c>
      <c r="H2637" s="0" t="n">
        <v>4</v>
      </c>
      <c r="I2637" s="16" t="n">
        <v>78.79</v>
      </c>
      <c r="J2637" s="16" t="n">
        <v>34</v>
      </c>
      <c r="K2637" s="16" t="n">
        <f aca="false">H2637*I2637</f>
        <v>315.16</v>
      </c>
      <c r="L2637" s="16" t="n">
        <f aca="false">H2637*J2637</f>
        <v>136</v>
      </c>
      <c r="M2637" s="16" t="n">
        <f aca="false">K2637-L2637</f>
        <v>179.16</v>
      </c>
      <c r="N2637" s="17" t="n">
        <f aca="false">IFERROR(M2637/K2637,0)</f>
        <v>0.568473156491941</v>
      </c>
    </row>
    <row r="2638" customFormat="false" ht="15" hidden="false" customHeight="false" outlineLevel="0" collapsed="false">
      <c r="A2638" s="15" t="n">
        <v>46132</v>
      </c>
      <c r="B2638" s="14" t="s">
        <v>88</v>
      </c>
      <c r="C2638" s="14" t="s">
        <v>89</v>
      </c>
      <c r="D2638" s="14" t="s">
        <v>44</v>
      </c>
      <c r="E2638" s="14" t="s">
        <v>56</v>
      </c>
      <c r="F2638" s="14" t="s">
        <v>67</v>
      </c>
      <c r="G2638" s="14" t="s">
        <v>68</v>
      </c>
      <c r="H2638" s="0" t="n">
        <v>9</v>
      </c>
      <c r="I2638" s="16" t="n">
        <v>35.82</v>
      </c>
      <c r="J2638" s="16" t="n">
        <v>15</v>
      </c>
      <c r="K2638" s="16" t="n">
        <f aca="false">H2638*I2638</f>
        <v>322.38</v>
      </c>
      <c r="L2638" s="16" t="n">
        <f aca="false">H2638*J2638</f>
        <v>135</v>
      </c>
      <c r="M2638" s="16" t="n">
        <f aca="false">K2638-L2638</f>
        <v>187.38</v>
      </c>
      <c r="N2638" s="17" t="n">
        <f aca="false">IFERROR(M2638/K2638,0)</f>
        <v>0.581239530988275</v>
      </c>
    </row>
    <row r="2639" customFormat="false" ht="15" hidden="false" customHeight="false" outlineLevel="0" collapsed="false">
      <c r="A2639" s="15" t="n">
        <v>46133</v>
      </c>
      <c r="B2639" s="14" t="s">
        <v>42</v>
      </c>
      <c r="C2639" s="14" t="s">
        <v>43</v>
      </c>
      <c r="D2639" s="14" t="s">
        <v>44</v>
      </c>
      <c r="E2639" s="14" t="s">
        <v>56</v>
      </c>
      <c r="F2639" s="14" t="s">
        <v>86</v>
      </c>
      <c r="G2639" s="14" t="s">
        <v>87</v>
      </c>
      <c r="H2639" s="0" t="n">
        <v>10</v>
      </c>
      <c r="I2639" s="16" t="n">
        <v>13.82</v>
      </c>
      <c r="J2639" s="16" t="n">
        <v>5</v>
      </c>
      <c r="K2639" s="16" t="n">
        <f aca="false">H2639*I2639</f>
        <v>138.2</v>
      </c>
      <c r="L2639" s="16" t="n">
        <f aca="false">H2639*J2639</f>
        <v>50</v>
      </c>
      <c r="M2639" s="16" t="n">
        <f aca="false">K2639-L2639</f>
        <v>88.2</v>
      </c>
      <c r="N2639" s="17" t="n">
        <f aca="false">IFERROR(M2639/K2639,0)</f>
        <v>0.638205499276411</v>
      </c>
    </row>
    <row r="2640" customFormat="false" ht="15" hidden="false" customHeight="false" outlineLevel="0" collapsed="false">
      <c r="A2640" s="15" t="n">
        <v>46133</v>
      </c>
      <c r="B2640" s="14" t="s">
        <v>42</v>
      </c>
      <c r="C2640" s="14" t="s">
        <v>43</v>
      </c>
      <c r="D2640" s="14" t="s">
        <v>44</v>
      </c>
      <c r="E2640" s="14" t="s">
        <v>64</v>
      </c>
      <c r="F2640" s="14" t="s">
        <v>90</v>
      </c>
      <c r="G2640" s="14" t="s">
        <v>91</v>
      </c>
      <c r="H2640" s="0" t="n">
        <v>7</v>
      </c>
      <c r="I2640" s="16" t="n">
        <v>11.77</v>
      </c>
      <c r="J2640" s="16" t="n">
        <v>3.5</v>
      </c>
      <c r="K2640" s="16" t="n">
        <f aca="false">H2640*I2640</f>
        <v>82.39</v>
      </c>
      <c r="L2640" s="16" t="n">
        <f aca="false">H2640*J2640</f>
        <v>24.5</v>
      </c>
      <c r="M2640" s="16" t="n">
        <f aca="false">K2640-L2640</f>
        <v>57.89</v>
      </c>
      <c r="N2640" s="17" t="n">
        <f aca="false">IFERROR(M2640/K2640,0)</f>
        <v>0.702633814783348</v>
      </c>
    </row>
    <row r="2641" customFormat="false" ht="15" hidden="false" customHeight="false" outlineLevel="0" collapsed="false">
      <c r="A2641" s="15" t="n">
        <v>46133</v>
      </c>
      <c r="B2641" s="14" t="s">
        <v>42</v>
      </c>
      <c r="C2641" s="14" t="s">
        <v>43</v>
      </c>
      <c r="D2641" s="14" t="s">
        <v>44</v>
      </c>
      <c r="E2641" s="14" t="s">
        <v>45</v>
      </c>
      <c r="F2641" s="14" t="s">
        <v>72</v>
      </c>
      <c r="G2641" s="14" t="s">
        <v>73</v>
      </c>
      <c r="H2641" s="0" t="n">
        <v>6</v>
      </c>
      <c r="I2641" s="16" t="n">
        <v>50.24</v>
      </c>
      <c r="J2641" s="16" t="n">
        <v>21</v>
      </c>
      <c r="K2641" s="16" t="n">
        <f aca="false">H2641*I2641</f>
        <v>301.44</v>
      </c>
      <c r="L2641" s="16" t="n">
        <f aca="false">H2641*J2641</f>
        <v>126</v>
      </c>
      <c r="M2641" s="16" t="n">
        <f aca="false">K2641-L2641</f>
        <v>175.44</v>
      </c>
      <c r="N2641" s="17" t="n">
        <f aca="false">IFERROR(M2641/K2641,0)</f>
        <v>0.582006369426752</v>
      </c>
    </row>
    <row r="2642" customFormat="false" ht="15" hidden="false" customHeight="false" outlineLevel="0" collapsed="false">
      <c r="A2642" s="15" t="n">
        <v>46133</v>
      </c>
      <c r="B2642" s="14" t="s">
        <v>42</v>
      </c>
      <c r="C2642" s="14" t="s">
        <v>43</v>
      </c>
      <c r="D2642" s="14" t="s">
        <v>44</v>
      </c>
      <c r="E2642" s="14" t="s">
        <v>45</v>
      </c>
      <c r="F2642" s="14" t="s">
        <v>72</v>
      </c>
      <c r="G2642" s="14" t="s">
        <v>73</v>
      </c>
      <c r="H2642" s="0" t="n">
        <v>6</v>
      </c>
      <c r="I2642" s="16" t="n">
        <v>49.7</v>
      </c>
      <c r="J2642" s="16" t="n">
        <v>21</v>
      </c>
      <c r="K2642" s="16" t="n">
        <f aca="false">H2642*I2642</f>
        <v>298.2</v>
      </c>
      <c r="L2642" s="16" t="n">
        <f aca="false">H2642*J2642</f>
        <v>126</v>
      </c>
      <c r="M2642" s="16" t="n">
        <f aca="false">K2642-L2642</f>
        <v>172.2</v>
      </c>
      <c r="N2642" s="17" t="n">
        <f aca="false">IFERROR(M2642/K2642,0)</f>
        <v>0.577464788732395</v>
      </c>
    </row>
    <row r="2643" customFormat="false" ht="15" hidden="false" customHeight="false" outlineLevel="0" collapsed="false">
      <c r="A2643" s="15" t="n">
        <v>46133</v>
      </c>
      <c r="B2643" s="14" t="s">
        <v>42</v>
      </c>
      <c r="C2643" s="14" t="s">
        <v>43</v>
      </c>
      <c r="D2643" s="14" t="s">
        <v>44</v>
      </c>
      <c r="E2643" s="14" t="s">
        <v>64</v>
      </c>
      <c r="F2643" s="14" t="s">
        <v>65</v>
      </c>
      <c r="G2643" s="14" t="s">
        <v>66</v>
      </c>
      <c r="H2643" s="0" t="n">
        <v>6</v>
      </c>
      <c r="I2643" s="16" t="n">
        <v>74.78</v>
      </c>
      <c r="J2643" s="16" t="n">
        <v>34</v>
      </c>
      <c r="K2643" s="16" t="n">
        <f aca="false">H2643*I2643</f>
        <v>448.68</v>
      </c>
      <c r="L2643" s="16" t="n">
        <f aca="false">H2643*J2643</f>
        <v>204</v>
      </c>
      <c r="M2643" s="16" t="n">
        <f aca="false">K2643-L2643</f>
        <v>244.68</v>
      </c>
      <c r="N2643" s="17" t="n">
        <f aca="false">IFERROR(M2643/K2643,0)</f>
        <v>0.545332976731746</v>
      </c>
    </row>
    <row r="2644" customFormat="false" ht="15" hidden="false" customHeight="false" outlineLevel="0" collapsed="false">
      <c r="A2644" s="15" t="n">
        <v>46133</v>
      </c>
      <c r="B2644" s="14" t="s">
        <v>42</v>
      </c>
      <c r="C2644" s="14" t="s">
        <v>43</v>
      </c>
      <c r="D2644" s="14" t="s">
        <v>44</v>
      </c>
      <c r="E2644" s="14" t="s">
        <v>45</v>
      </c>
      <c r="F2644" s="14" t="s">
        <v>48</v>
      </c>
      <c r="G2644" s="14" t="s">
        <v>49</v>
      </c>
      <c r="H2644" s="0" t="n">
        <v>5</v>
      </c>
      <c r="I2644" s="16" t="n">
        <v>63.69</v>
      </c>
      <c r="J2644" s="16" t="n">
        <v>27.5</v>
      </c>
      <c r="K2644" s="16" t="n">
        <f aca="false">H2644*I2644</f>
        <v>318.45</v>
      </c>
      <c r="L2644" s="16" t="n">
        <f aca="false">H2644*J2644</f>
        <v>137.5</v>
      </c>
      <c r="M2644" s="16" t="n">
        <f aca="false">K2644-L2644</f>
        <v>180.95</v>
      </c>
      <c r="N2644" s="17" t="n">
        <f aca="false">IFERROR(M2644/K2644,0)</f>
        <v>0.568221070811744</v>
      </c>
    </row>
    <row r="2645" customFormat="false" ht="15" hidden="false" customHeight="false" outlineLevel="0" collapsed="false">
      <c r="A2645" s="15" t="n">
        <v>46133</v>
      </c>
      <c r="B2645" s="14" t="s">
        <v>50</v>
      </c>
      <c r="C2645" s="14" t="s">
        <v>51</v>
      </c>
      <c r="D2645" s="14" t="s">
        <v>52</v>
      </c>
      <c r="E2645" s="14" t="s">
        <v>56</v>
      </c>
      <c r="F2645" s="14" t="s">
        <v>86</v>
      </c>
      <c r="G2645" s="14" t="s">
        <v>87</v>
      </c>
      <c r="H2645" s="0" t="n">
        <v>3</v>
      </c>
      <c r="I2645" s="16" t="n">
        <v>13.97</v>
      </c>
      <c r="J2645" s="16" t="n">
        <v>5</v>
      </c>
      <c r="K2645" s="16" t="n">
        <f aca="false">H2645*I2645</f>
        <v>41.91</v>
      </c>
      <c r="L2645" s="16" t="n">
        <f aca="false">H2645*J2645</f>
        <v>15</v>
      </c>
      <c r="M2645" s="16" t="n">
        <f aca="false">K2645-L2645</f>
        <v>26.91</v>
      </c>
      <c r="N2645" s="17" t="n">
        <f aca="false">IFERROR(M2645/K2645,0)</f>
        <v>0.642090193271296</v>
      </c>
    </row>
    <row r="2646" customFormat="false" ht="15" hidden="false" customHeight="false" outlineLevel="0" collapsed="false">
      <c r="A2646" s="15" t="n">
        <v>46133</v>
      </c>
      <c r="B2646" s="14" t="s">
        <v>50</v>
      </c>
      <c r="C2646" s="14" t="s">
        <v>51</v>
      </c>
      <c r="D2646" s="14" t="s">
        <v>52</v>
      </c>
      <c r="E2646" s="14" t="s">
        <v>56</v>
      </c>
      <c r="F2646" s="14" t="s">
        <v>57</v>
      </c>
      <c r="G2646" s="14" t="s">
        <v>58</v>
      </c>
      <c r="H2646" s="0" t="n">
        <v>5</v>
      </c>
      <c r="I2646" s="16" t="n">
        <v>24.97</v>
      </c>
      <c r="J2646" s="16" t="n">
        <v>10</v>
      </c>
      <c r="K2646" s="16" t="n">
        <f aca="false">H2646*I2646</f>
        <v>124.85</v>
      </c>
      <c r="L2646" s="16" t="n">
        <f aca="false">H2646*J2646</f>
        <v>50</v>
      </c>
      <c r="M2646" s="16" t="n">
        <f aca="false">K2646-L2646</f>
        <v>74.85</v>
      </c>
      <c r="N2646" s="17" t="n">
        <f aca="false">IFERROR(M2646/K2646,0)</f>
        <v>0.59951942330797</v>
      </c>
    </row>
    <row r="2647" customFormat="false" ht="15" hidden="false" customHeight="false" outlineLevel="0" collapsed="false">
      <c r="A2647" s="15" t="n">
        <v>46133</v>
      </c>
      <c r="B2647" s="14" t="s">
        <v>50</v>
      </c>
      <c r="C2647" s="14" t="s">
        <v>51</v>
      </c>
      <c r="D2647" s="14" t="s">
        <v>52</v>
      </c>
      <c r="E2647" s="14" t="s">
        <v>64</v>
      </c>
      <c r="F2647" s="14" t="s">
        <v>94</v>
      </c>
      <c r="G2647" s="14" t="s">
        <v>95</v>
      </c>
      <c r="H2647" s="0" t="n">
        <v>8</v>
      </c>
      <c r="I2647" s="16" t="n">
        <v>93.55</v>
      </c>
      <c r="J2647" s="16" t="n">
        <v>42</v>
      </c>
      <c r="K2647" s="16" t="n">
        <f aca="false">H2647*I2647</f>
        <v>748.4</v>
      </c>
      <c r="L2647" s="16" t="n">
        <f aca="false">H2647*J2647</f>
        <v>336</v>
      </c>
      <c r="M2647" s="16" t="n">
        <f aca="false">K2647-L2647</f>
        <v>412.4</v>
      </c>
      <c r="N2647" s="17" t="n">
        <f aca="false">IFERROR(M2647/K2647,0)</f>
        <v>0.551042223409941</v>
      </c>
    </row>
    <row r="2648" customFormat="false" ht="15" hidden="false" customHeight="false" outlineLevel="0" collapsed="false">
      <c r="A2648" s="15" t="n">
        <v>46133</v>
      </c>
      <c r="B2648" s="14" t="s">
        <v>50</v>
      </c>
      <c r="C2648" s="14" t="s">
        <v>51</v>
      </c>
      <c r="D2648" s="14" t="s">
        <v>52</v>
      </c>
      <c r="E2648" s="14" t="s">
        <v>76</v>
      </c>
      <c r="F2648" s="14" t="s">
        <v>77</v>
      </c>
      <c r="G2648" s="14" t="s">
        <v>78</v>
      </c>
      <c r="H2648" s="0" t="n">
        <v>1</v>
      </c>
      <c r="I2648" s="16" t="n">
        <v>39.72</v>
      </c>
      <c r="J2648" s="16" t="n">
        <v>15</v>
      </c>
      <c r="K2648" s="16" t="n">
        <f aca="false">H2648*I2648</f>
        <v>39.72</v>
      </c>
      <c r="L2648" s="16" t="n">
        <f aca="false">H2648*J2648</f>
        <v>15</v>
      </c>
      <c r="M2648" s="16" t="n">
        <f aca="false">K2648-L2648</f>
        <v>24.72</v>
      </c>
      <c r="N2648" s="17" t="n">
        <f aca="false">IFERROR(M2648/K2648,0)</f>
        <v>0.622356495468278</v>
      </c>
    </row>
    <row r="2649" customFormat="false" ht="15" hidden="false" customHeight="false" outlineLevel="0" collapsed="false">
      <c r="A2649" s="15" t="n">
        <v>46133</v>
      </c>
      <c r="B2649" s="14" t="s">
        <v>50</v>
      </c>
      <c r="C2649" s="14" t="s">
        <v>51</v>
      </c>
      <c r="D2649" s="14" t="s">
        <v>52</v>
      </c>
      <c r="E2649" s="14" t="s">
        <v>56</v>
      </c>
      <c r="F2649" s="14" t="s">
        <v>57</v>
      </c>
      <c r="G2649" s="14" t="s">
        <v>58</v>
      </c>
      <c r="H2649" s="0" t="n">
        <v>1</v>
      </c>
      <c r="I2649" s="16" t="n">
        <v>25.42</v>
      </c>
      <c r="J2649" s="16" t="n">
        <v>10</v>
      </c>
      <c r="K2649" s="16" t="n">
        <f aca="false">H2649*I2649</f>
        <v>25.42</v>
      </c>
      <c r="L2649" s="16" t="n">
        <f aca="false">H2649*J2649</f>
        <v>10</v>
      </c>
      <c r="M2649" s="16" t="n">
        <f aca="false">K2649-L2649</f>
        <v>15.42</v>
      </c>
      <c r="N2649" s="17" t="n">
        <f aca="false">IFERROR(M2649/K2649,0)</f>
        <v>0.6066089693155</v>
      </c>
    </row>
    <row r="2650" customFormat="false" ht="15" hidden="false" customHeight="false" outlineLevel="0" collapsed="false">
      <c r="A2650" s="15" t="n">
        <v>46133</v>
      </c>
      <c r="B2650" s="14" t="s">
        <v>59</v>
      </c>
      <c r="C2650" s="14" t="s">
        <v>60</v>
      </c>
      <c r="D2650" s="14" t="s">
        <v>61</v>
      </c>
      <c r="E2650" s="14" t="s">
        <v>56</v>
      </c>
      <c r="F2650" s="14" t="s">
        <v>57</v>
      </c>
      <c r="G2650" s="14" t="s">
        <v>58</v>
      </c>
      <c r="H2650" s="0" t="n">
        <v>8</v>
      </c>
      <c r="I2650" s="16" t="n">
        <v>25.52</v>
      </c>
      <c r="J2650" s="16" t="n">
        <v>10</v>
      </c>
      <c r="K2650" s="16" t="n">
        <f aca="false">H2650*I2650</f>
        <v>204.16</v>
      </c>
      <c r="L2650" s="16" t="n">
        <f aca="false">H2650*J2650</f>
        <v>80</v>
      </c>
      <c r="M2650" s="16" t="n">
        <f aca="false">K2650-L2650</f>
        <v>124.16</v>
      </c>
      <c r="N2650" s="17" t="n">
        <f aca="false">IFERROR(M2650/K2650,0)</f>
        <v>0.608150470219436</v>
      </c>
    </row>
    <row r="2651" customFormat="false" ht="15" hidden="false" customHeight="false" outlineLevel="0" collapsed="false">
      <c r="A2651" s="15" t="n">
        <v>46133</v>
      </c>
      <c r="B2651" s="14" t="s">
        <v>59</v>
      </c>
      <c r="C2651" s="14" t="s">
        <v>60</v>
      </c>
      <c r="D2651" s="14" t="s">
        <v>61</v>
      </c>
      <c r="E2651" s="14" t="s">
        <v>53</v>
      </c>
      <c r="F2651" s="14" t="s">
        <v>92</v>
      </c>
      <c r="G2651" s="14" t="s">
        <v>93</v>
      </c>
      <c r="H2651" s="0" t="n">
        <v>8</v>
      </c>
      <c r="I2651" s="16" t="n">
        <v>117.21</v>
      </c>
      <c r="J2651" s="16" t="n">
        <v>52</v>
      </c>
      <c r="K2651" s="16" t="n">
        <f aca="false">H2651*I2651</f>
        <v>937.68</v>
      </c>
      <c r="L2651" s="16" t="n">
        <f aca="false">H2651*J2651</f>
        <v>416</v>
      </c>
      <c r="M2651" s="16" t="n">
        <f aca="false">K2651-L2651</f>
        <v>521.68</v>
      </c>
      <c r="N2651" s="17" t="n">
        <f aca="false">IFERROR(M2651/K2651,0)</f>
        <v>0.556351847112021</v>
      </c>
    </row>
    <row r="2652" customFormat="false" ht="15" hidden="false" customHeight="false" outlineLevel="0" collapsed="false">
      <c r="A2652" s="15" t="n">
        <v>46133</v>
      </c>
      <c r="B2652" s="14" t="s">
        <v>59</v>
      </c>
      <c r="C2652" s="14" t="s">
        <v>60</v>
      </c>
      <c r="D2652" s="14" t="s">
        <v>61</v>
      </c>
      <c r="E2652" s="14" t="s">
        <v>56</v>
      </c>
      <c r="F2652" s="14" t="s">
        <v>98</v>
      </c>
      <c r="G2652" s="14" t="s">
        <v>99</v>
      </c>
      <c r="H2652" s="0" t="n">
        <v>2</v>
      </c>
      <c r="I2652" s="16" t="n">
        <v>20.99</v>
      </c>
      <c r="J2652" s="16" t="n">
        <v>8</v>
      </c>
      <c r="K2652" s="16" t="n">
        <f aca="false">H2652*I2652</f>
        <v>41.98</v>
      </c>
      <c r="L2652" s="16" t="n">
        <f aca="false">H2652*J2652</f>
        <v>16</v>
      </c>
      <c r="M2652" s="16" t="n">
        <f aca="false">K2652-L2652</f>
        <v>25.98</v>
      </c>
      <c r="N2652" s="17" t="n">
        <f aca="false">IFERROR(M2652/K2652,0)</f>
        <v>0.618866126727013</v>
      </c>
    </row>
    <row r="2653" customFormat="false" ht="15" hidden="false" customHeight="false" outlineLevel="0" collapsed="false">
      <c r="A2653" s="15" t="n">
        <v>46133</v>
      </c>
      <c r="B2653" s="14" t="s">
        <v>69</v>
      </c>
      <c r="C2653" s="14" t="s">
        <v>70</v>
      </c>
      <c r="D2653" s="14" t="s">
        <v>71</v>
      </c>
      <c r="E2653" s="14" t="s">
        <v>64</v>
      </c>
      <c r="F2653" s="14" t="s">
        <v>96</v>
      </c>
      <c r="G2653" s="14" t="s">
        <v>97</v>
      </c>
      <c r="H2653" s="0" t="n">
        <v>1</v>
      </c>
      <c r="I2653" s="16" t="n">
        <v>55.05</v>
      </c>
      <c r="J2653" s="16" t="n">
        <v>24</v>
      </c>
      <c r="K2653" s="16" t="n">
        <f aca="false">H2653*I2653</f>
        <v>55.05</v>
      </c>
      <c r="L2653" s="16" t="n">
        <f aca="false">H2653*J2653</f>
        <v>24</v>
      </c>
      <c r="M2653" s="16" t="n">
        <f aca="false">K2653-L2653</f>
        <v>31.05</v>
      </c>
      <c r="N2653" s="17" t="n">
        <f aca="false">IFERROR(M2653/K2653,0)</f>
        <v>0.564032697547684</v>
      </c>
    </row>
    <row r="2654" customFormat="false" ht="15" hidden="false" customHeight="false" outlineLevel="0" collapsed="false">
      <c r="A2654" s="15" t="n">
        <v>46133</v>
      </c>
      <c r="B2654" s="14" t="s">
        <v>69</v>
      </c>
      <c r="C2654" s="14" t="s">
        <v>70</v>
      </c>
      <c r="D2654" s="14" t="s">
        <v>71</v>
      </c>
      <c r="E2654" s="14" t="s">
        <v>45</v>
      </c>
      <c r="F2654" s="14" t="s">
        <v>62</v>
      </c>
      <c r="G2654" s="14" t="s">
        <v>63</v>
      </c>
      <c r="H2654" s="0" t="n">
        <v>4</v>
      </c>
      <c r="I2654" s="16" t="n">
        <v>17.19</v>
      </c>
      <c r="J2654" s="16" t="n">
        <v>6.5</v>
      </c>
      <c r="K2654" s="16" t="n">
        <f aca="false">H2654*I2654</f>
        <v>68.76</v>
      </c>
      <c r="L2654" s="16" t="n">
        <f aca="false">H2654*J2654</f>
        <v>26</v>
      </c>
      <c r="M2654" s="16" t="n">
        <f aca="false">K2654-L2654</f>
        <v>42.76</v>
      </c>
      <c r="N2654" s="17" t="n">
        <f aca="false">IFERROR(M2654/K2654,0)</f>
        <v>0.621873182082606</v>
      </c>
    </row>
    <row r="2655" customFormat="false" ht="15" hidden="false" customHeight="false" outlineLevel="0" collapsed="false">
      <c r="A2655" s="15" t="n">
        <v>46133</v>
      </c>
      <c r="B2655" s="14" t="s">
        <v>81</v>
      </c>
      <c r="C2655" s="14" t="s">
        <v>82</v>
      </c>
      <c r="D2655" s="14" t="s">
        <v>83</v>
      </c>
      <c r="E2655" s="14" t="s">
        <v>45</v>
      </c>
      <c r="F2655" s="14" t="s">
        <v>72</v>
      </c>
      <c r="G2655" s="14" t="s">
        <v>73</v>
      </c>
      <c r="H2655" s="0" t="n">
        <v>7</v>
      </c>
      <c r="I2655" s="16" t="n">
        <v>48.55</v>
      </c>
      <c r="J2655" s="16" t="n">
        <v>21</v>
      </c>
      <c r="K2655" s="16" t="n">
        <f aca="false">H2655*I2655</f>
        <v>339.85</v>
      </c>
      <c r="L2655" s="16" t="n">
        <f aca="false">H2655*J2655</f>
        <v>147</v>
      </c>
      <c r="M2655" s="16" t="n">
        <f aca="false">K2655-L2655</f>
        <v>192.85</v>
      </c>
      <c r="N2655" s="17" t="n">
        <f aca="false">IFERROR(M2655/K2655,0)</f>
        <v>0.56745623069001</v>
      </c>
    </row>
    <row r="2656" customFormat="false" ht="15" hidden="false" customHeight="false" outlineLevel="0" collapsed="false">
      <c r="A2656" s="15" t="n">
        <v>46133</v>
      </c>
      <c r="B2656" s="14" t="s">
        <v>81</v>
      </c>
      <c r="C2656" s="14" t="s">
        <v>82</v>
      </c>
      <c r="D2656" s="14" t="s">
        <v>83</v>
      </c>
      <c r="E2656" s="14" t="s">
        <v>56</v>
      </c>
      <c r="F2656" s="14" t="s">
        <v>57</v>
      </c>
      <c r="G2656" s="14" t="s">
        <v>58</v>
      </c>
      <c r="H2656" s="0" t="n">
        <v>2</v>
      </c>
      <c r="I2656" s="16" t="n">
        <v>26.46</v>
      </c>
      <c r="J2656" s="16" t="n">
        <v>10</v>
      </c>
      <c r="K2656" s="16" t="n">
        <f aca="false">H2656*I2656</f>
        <v>52.92</v>
      </c>
      <c r="L2656" s="16" t="n">
        <f aca="false">H2656*J2656</f>
        <v>20</v>
      </c>
      <c r="M2656" s="16" t="n">
        <f aca="false">K2656-L2656</f>
        <v>32.92</v>
      </c>
      <c r="N2656" s="17" t="n">
        <f aca="false">IFERROR(M2656/K2656,0)</f>
        <v>0.622071050642479</v>
      </c>
    </row>
    <row r="2657" customFormat="false" ht="15" hidden="false" customHeight="false" outlineLevel="0" collapsed="false">
      <c r="A2657" s="15" t="n">
        <v>46133</v>
      </c>
      <c r="B2657" s="14" t="s">
        <v>88</v>
      </c>
      <c r="C2657" s="14" t="s">
        <v>89</v>
      </c>
      <c r="D2657" s="14" t="s">
        <v>44</v>
      </c>
      <c r="E2657" s="14" t="s">
        <v>64</v>
      </c>
      <c r="F2657" s="14" t="s">
        <v>90</v>
      </c>
      <c r="G2657" s="14" t="s">
        <v>91</v>
      </c>
      <c r="H2657" s="0" t="n">
        <v>1</v>
      </c>
      <c r="I2657" s="16" t="n">
        <v>11.32</v>
      </c>
      <c r="J2657" s="16" t="n">
        <v>3.5</v>
      </c>
      <c r="K2657" s="16" t="n">
        <f aca="false">H2657*I2657</f>
        <v>11.32</v>
      </c>
      <c r="L2657" s="16" t="n">
        <f aca="false">H2657*J2657</f>
        <v>3.5</v>
      </c>
      <c r="M2657" s="16" t="n">
        <f aca="false">K2657-L2657</f>
        <v>7.82</v>
      </c>
      <c r="N2657" s="17" t="n">
        <f aca="false">IFERROR(M2657/K2657,0)</f>
        <v>0.690812720848057</v>
      </c>
    </row>
    <row r="2658" customFormat="false" ht="15" hidden="false" customHeight="false" outlineLevel="0" collapsed="false">
      <c r="A2658" s="15" t="n">
        <v>46133</v>
      </c>
      <c r="B2658" s="14" t="s">
        <v>88</v>
      </c>
      <c r="C2658" s="14" t="s">
        <v>89</v>
      </c>
      <c r="D2658" s="14" t="s">
        <v>44</v>
      </c>
      <c r="E2658" s="14" t="s">
        <v>64</v>
      </c>
      <c r="F2658" s="14" t="s">
        <v>94</v>
      </c>
      <c r="G2658" s="14" t="s">
        <v>95</v>
      </c>
      <c r="H2658" s="0" t="n">
        <v>5</v>
      </c>
      <c r="I2658" s="16" t="n">
        <v>95.22</v>
      </c>
      <c r="J2658" s="16" t="n">
        <v>42</v>
      </c>
      <c r="K2658" s="16" t="n">
        <f aca="false">H2658*I2658</f>
        <v>476.1</v>
      </c>
      <c r="L2658" s="16" t="n">
        <f aca="false">H2658*J2658</f>
        <v>210</v>
      </c>
      <c r="M2658" s="16" t="n">
        <f aca="false">K2658-L2658</f>
        <v>266.1</v>
      </c>
      <c r="N2658" s="17" t="n">
        <f aca="false">IFERROR(M2658/K2658,0)</f>
        <v>0.558916194076875</v>
      </c>
    </row>
    <row r="2659" customFormat="false" ht="15" hidden="false" customHeight="false" outlineLevel="0" collapsed="false">
      <c r="A2659" s="15" t="n">
        <v>46133</v>
      </c>
      <c r="B2659" s="14" t="s">
        <v>88</v>
      </c>
      <c r="C2659" s="14" t="s">
        <v>89</v>
      </c>
      <c r="D2659" s="14" t="s">
        <v>44</v>
      </c>
      <c r="E2659" s="14" t="s">
        <v>56</v>
      </c>
      <c r="F2659" s="14" t="s">
        <v>67</v>
      </c>
      <c r="G2659" s="14" t="s">
        <v>68</v>
      </c>
      <c r="H2659" s="0" t="n">
        <v>3</v>
      </c>
      <c r="I2659" s="16" t="n">
        <v>35.39</v>
      </c>
      <c r="J2659" s="16" t="n">
        <v>15</v>
      </c>
      <c r="K2659" s="16" t="n">
        <f aca="false">H2659*I2659</f>
        <v>106.17</v>
      </c>
      <c r="L2659" s="16" t="n">
        <f aca="false">H2659*J2659</f>
        <v>45</v>
      </c>
      <c r="M2659" s="16" t="n">
        <f aca="false">K2659-L2659</f>
        <v>61.17</v>
      </c>
      <c r="N2659" s="17" t="n">
        <f aca="false">IFERROR(M2659/K2659,0)</f>
        <v>0.576151455213337</v>
      </c>
    </row>
    <row r="2660" customFormat="false" ht="15" hidden="false" customHeight="false" outlineLevel="0" collapsed="false">
      <c r="A2660" s="15" t="n">
        <v>46133</v>
      </c>
      <c r="B2660" s="14" t="s">
        <v>88</v>
      </c>
      <c r="C2660" s="14" t="s">
        <v>89</v>
      </c>
      <c r="D2660" s="14" t="s">
        <v>44</v>
      </c>
      <c r="E2660" s="14" t="s">
        <v>56</v>
      </c>
      <c r="F2660" s="14" t="s">
        <v>86</v>
      </c>
      <c r="G2660" s="14" t="s">
        <v>87</v>
      </c>
      <c r="H2660" s="0" t="n">
        <v>7</v>
      </c>
      <c r="I2660" s="16" t="n">
        <v>14.42</v>
      </c>
      <c r="J2660" s="16" t="n">
        <v>5</v>
      </c>
      <c r="K2660" s="16" t="n">
        <f aca="false">H2660*I2660</f>
        <v>100.94</v>
      </c>
      <c r="L2660" s="16" t="n">
        <f aca="false">H2660*J2660</f>
        <v>35</v>
      </c>
      <c r="M2660" s="16" t="n">
        <f aca="false">K2660-L2660</f>
        <v>65.94</v>
      </c>
      <c r="N2660" s="17" t="n">
        <f aca="false">IFERROR(M2660/K2660,0)</f>
        <v>0.653259361997226</v>
      </c>
    </row>
    <row r="2661" customFormat="false" ht="15" hidden="false" customHeight="false" outlineLevel="0" collapsed="false">
      <c r="A2661" s="15" t="n">
        <v>46133</v>
      </c>
      <c r="B2661" s="14" t="s">
        <v>88</v>
      </c>
      <c r="C2661" s="14" t="s">
        <v>89</v>
      </c>
      <c r="D2661" s="14" t="s">
        <v>44</v>
      </c>
      <c r="E2661" s="14" t="s">
        <v>76</v>
      </c>
      <c r="F2661" s="14" t="s">
        <v>100</v>
      </c>
      <c r="G2661" s="14" t="s">
        <v>101</v>
      </c>
      <c r="H2661" s="0" t="n">
        <v>8</v>
      </c>
      <c r="I2661" s="16" t="n">
        <v>14.99</v>
      </c>
      <c r="J2661" s="16" t="n">
        <v>5.5</v>
      </c>
      <c r="K2661" s="16" t="n">
        <f aca="false">H2661*I2661</f>
        <v>119.92</v>
      </c>
      <c r="L2661" s="16" t="n">
        <f aca="false">H2661*J2661</f>
        <v>44</v>
      </c>
      <c r="M2661" s="16" t="n">
        <f aca="false">K2661-L2661</f>
        <v>75.92</v>
      </c>
      <c r="N2661" s="17" t="n">
        <f aca="false">IFERROR(M2661/K2661,0)</f>
        <v>0.633088725817211</v>
      </c>
    </row>
    <row r="2662" customFormat="false" ht="15" hidden="false" customHeight="false" outlineLevel="0" collapsed="false">
      <c r="A2662" s="15" t="n">
        <v>46133</v>
      </c>
      <c r="B2662" s="14" t="s">
        <v>88</v>
      </c>
      <c r="C2662" s="14" t="s">
        <v>89</v>
      </c>
      <c r="D2662" s="14" t="s">
        <v>44</v>
      </c>
      <c r="E2662" s="14" t="s">
        <v>76</v>
      </c>
      <c r="F2662" s="14" t="s">
        <v>77</v>
      </c>
      <c r="G2662" s="14" t="s">
        <v>78</v>
      </c>
      <c r="H2662" s="0" t="n">
        <v>3</v>
      </c>
      <c r="I2662" s="16" t="n">
        <v>40.4</v>
      </c>
      <c r="J2662" s="16" t="n">
        <v>15</v>
      </c>
      <c r="K2662" s="16" t="n">
        <f aca="false">H2662*I2662</f>
        <v>121.2</v>
      </c>
      <c r="L2662" s="16" t="n">
        <f aca="false">H2662*J2662</f>
        <v>45</v>
      </c>
      <c r="M2662" s="16" t="n">
        <f aca="false">K2662-L2662</f>
        <v>76.2</v>
      </c>
      <c r="N2662" s="17" t="n">
        <f aca="false">IFERROR(M2662/K2662,0)</f>
        <v>0.628712871287129</v>
      </c>
    </row>
    <row r="2663" customFormat="false" ht="15" hidden="false" customHeight="false" outlineLevel="0" collapsed="false">
      <c r="A2663" s="15" t="n">
        <v>46134</v>
      </c>
      <c r="B2663" s="14" t="s">
        <v>42</v>
      </c>
      <c r="C2663" s="14" t="s">
        <v>43</v>
      </c>
      <c r="D2663" s="14" t="s">
        <v>44</v>
      </c>
      <c r="E2663" s="14" t="s">
        <v>45</v>
      </c>
      <c r="F2663" s="14" t="s">
        <v>46</v>
      </c>
      <c r="G2663" s="14" t="s">
        <v>47</v>
      </c>
      <c r="H2663" s="0" t="n">
        <v>11</v>
      </c>
      <c r="I2663" s="16" t="n">
        <v>42.05</v>
      </c>
      <c r="J2663" s="16" t="n">
        <v>18</v>
      </c>
      <c r="K2663" s="16" t="n">
        <f aca="false">H2663*I2663</f>
        <v>462.55</v>
      </c>
      <c r="L2663" s="16" t="n">
        <f aca="false">H2663*J2663</f>
        <v>198</v>
      </c>
      <c r="M2663" s="16" t="n">
        <f aca="false">K2663-L2663</f>
        <v>264.55</v>
      </c>
      <c r="N2663" s="17" t="n">
        <f aca="false">IFERROR(M2663/K2663,0)</f>
        <v>0.571938168846611</v>
      </c>
    </row>
    <row r="2664" customFormat="false" ht="15" hidden="false" customHeight="false" outlineLevel="0" collapsed="false">
      <c r="A2664" s="15" t="n">
        <v>46134</v>
      </c>
      <c r="B2664" s="14" t="s">
        <v>42</v>
      </c>
      <c r="C2664" s="14" t="s">
        <v>43</v>
      </c>
      <c r="D2664" s="14" t="s">
        <v>44</v>
      </c>
      <c r="E2664" s="14" t="s">
        <v>64</v>
      </c>
      <c r="F2664" s="14" t="s">
        <v>65</v>
      </c>
      <c r="G2664" s="14" t="s">
        <v>66</v>
      </c>
      <c r="H2664" s="0" t="n">
        <v>1</v>
      </c>
      <c r="I2664" s="16" t="n">
        <v>74.65</v>
      </c>
      <c r="J2664" s="16" t="n">
        <v>34</v>
      </c>
      <c r="K2664" s="16" t="n">
        <f aca="false">H2664*I2664</f>
        <v>74.65</v>
      </c>
      <c r="L2664" s="16" t="n">
        <f aca="false">H2664*J2664</f>
        <v>34</v>
      </c>
      <c r="M2664" s="16" t="n">
        <f aca="false">K2664-L2664</f>
        <v>40.65</v>
      </c>
      <c r="N2664" s="17" t="n">
        <f aca="false">IFERROR(M2664/K2664,0)</f>
        <v>0.544541192230409</v>
      </c>
    </row>
    <row r="2665" customFormat="false" ht="15" hidden="false" customHeight="false" outlineLevel="0" collapsed="false">
      <c r="A2665" s="15" t="n">
        <v>46134</v>
      </c>
      <c r="B2665" s="14" t="s">
        <v>42</v>
      </c>
      <c r="C2665" s="14" t="s">
        <v>43</v>
      </c>
      <c r="D2665" s="14" t="s">
        <v>44</v>
      </c>
      <c r="E2665" s="14" t="s">
        <v>53</v>
      </c>
      <c r="F2665" s="14" t="s">
        <v>54</v>
      </c>
      <c r="G2665" s="14" t="s">
        <v>55</v>
      </c>
      <c r="H2665" s="0" t="n">
        <v>3</v>
      </c>
      <c r="I2665" s="16" t="n">
        <v>52.97</v>
      </c>
      <c r="J2665" s="16" t="n">
        <v>22</v>
      </c>
      <c r="K2665" s="16" t="n">
        <f aca="false">H2665*I2665</f>
        <v>158.91</v>
      </c>
      <c r="L2665" s="16" t="n">
        <f aca="false">H2665*J2665</f>
        <v>66</v>
      </c>
      <c r="M2665" s="16" t="n">
        <f aca="false">K2665-L2665</f>
        <v>92.91</v>
      </c>
      <c r="N2665" s="17" t="n">
        <f aca="false">IFERROR(M2665/K2665,0)</f>
        <v>0.584670568246177</v>
      </c>
    </row>
    <row r="2666" customFormat="false" ht="15" hidden="false" customHeight="false" outlineLevel="0" collapsed="false">
      <c r="A2666" s="15" t="n">
        <v>46134</v>
      </c>
      <c r="B2666" s="14" t="s">
        <v>42</v>
      </c>
      <c r="C2666" s="14" t="s">
        <v>43</v>
      </c>
      <c r="D2666" s="14" t="s">
        <v>44</v>
      </c>
      <c r="E2666" s="14" t="s">
        <v>76</v>
      </c>
      <c r="F2666" s="14" t="s">
        <v>79</v>
      </c>
      <c r="G2666" s="14" t="s">
        <v>80</v>
      </c>
      <c r="H2666" s="0" t="n">
        <v>1</v>
      </c>
      <c r="I2666" s="16" t="n">
        <v>29.1</v>
      </c>
      <c r="J2666" s="16" t="n">
        <v>11</v>
      </c>
      <c r="K2666" s="16" t="n">
        <f aca="false">H2666*I2666</f>
        <v>29.1</v>
      </c>
      <c r="L2666" s="16" t="n">
        <f aca="false">H2666*J2666</f>
        <v>11</v>
      </c>
      <c r="M2666" s="16" t="n">
        <f aca="false">K2666-L2666</f>
        <v>18.1</v>
      </c>
      <c r="N2666" s="17" t="n">
        <f aca="false">IFERROR(M2666/K2666,0)</f>
        <v>0.621993127147766</v>
      </c>
    </row>
    <row r="2667" customFormat="false" ht="15" hidden="false" customHeight="false" outlineLevel="0" collapsed="false">
      <c r="A2667" s="15" t="n">
        <v>46134</v>
      </c>
      <c r="B2667" s="14" t="s">
        <v>42</v>
      </c>
      <c r="C2667" s="14" t="s">
        <v>43</v>
      </c>
      <c r="D2667" s="14" t="s">
        <v>44</v>
      </c>
      <c r="E2667" s="14" t="s">
        <v>56</v>
      </c>
      <c r="F2667" s="14" t="s">
        <v>86</v>
      </c>
      <c r="G2667" s="14" t="s">
        <v>87</v>
      </c>
      <c r="H2667" s="0" t="n">
        <v>3</v>
      </c>
      <c r="I2667" s="16" t="n">
        <v>14.22</v>
      </c>
      <c r="J2667" s="16" t="n">
        <v>5</v>
      </c>
      <c r="K2667" s="16" t="n">
        <f aca="false">H2667*I2667</f>
        <v>42.66</v>
      </c>
      <c r="L2667" s="16" t="n">
        <f aca="false">H2667*J2667</f>
        <v>15</v>
      </c>
      <c r="M2667" s="16" t="n">
        <f aca="false">K2667-L2667</f>
        <v>27.66</v>
      </c>
      <c r="N2667" s="17" t="n">
        <f aca="false">IFERROR(M2667/K2667,0)</f>
        <v>0.648382559774965</v>
      </c>
    </row>
    <row r="2668" customFormat="false" ht="15" hidden="false" customHeight="false" outlineLevel="0" collapsed="false">
      <c r="A2668" s="15" t="n">
        <v>46134</v>
      </c>
      <c r="B2668" s="14" t="s">
        <v>50</v>
      </c>
      <c r="C2668" s="14" t="s">
        <v>51</v>
      </c>
      <c r="D2668" s="14" t="s">
        <v>52</v>
      </c>
      <c r="E2668" s="14" t="s">
        <v>53</v>
      </c>
      <c r="F2668" s="14" t="s">
        <v>92</v>
      </c>
      <c r="G2668" s="14" t="s">
        <v>93</v>
      </c>
      <c r="H2668" s="0" t="n">
        <v>1</v>
      </c>
      <c r="I2668" s="16" t="n">
        <v>119.31</v>
      </c>
      <c r="J2668" s="16" t="n">
        <v>52</v>
      </c>
      <c r="K2668" s="16" t="n">
        <f aca="false">H2668*I2668</f>
        <v>119.31</v>
      </c>
      <c r="L2668" s="16" t="n">
        <f aca="false">H2668*J2668</f>
        <v>52</v>
      </c>
      <c r="M2668" s="16" t="n">
        <f aca="false">K2668-L2668</f>
        <v>67.31</v>
      </c>
      <c r="N2668" s="17" t="n">
        <f aca="false">IFERROR(M2668/K2668,0)</f>
        <v>0.564160590059509</v>
      </c>
    </row>
    <row r="2669" customFormat="false" ht="15" hidden="false" customHeight="false" outlineLevel="0" collapsed="false">
      <c r="A2669" s="15" t="n">
        <v>46134</v>
      </c>
      <c r="B2669" s="14" t="s">
        <v>50</v>
      </c>
      <c r="C2669" s="14" t="s">
        <v>51</v>
      </c>
      <c r="D2669" s="14" t="s">
        <v>52</v>
      </c>
      <c r="E2669" s="14" t="s">
        <v>76</v>
      </c>
      <c r="F2669" s="14" t="s">
        <v>102</v>
      </c>
      <c r="G2669" s="14" t="s">
        <v>103</v>
      </c>
      <c r="H2669" s="0" t="n">
        <v>8</v>
      </c>
      <c r="I2669" s="16" t="n">
        <v>23.2</v>
      </c>
      <c r="J2669" s="16" t="n">
        <v>8.5</v>
      </c>
      <c r="K2669" s="16" t="n">
        <f aca="false">H2669*I2669</f>
        <v>185.6</v>
      </c>
      <c r="L2669" s="16" t="n">
        <f aca="false">H2669*J2669</f>
        <v>68</v>
      </c>
      <c r="M2669" s="16" t="n">
        <f aca="false">K2669-L2669</f>
        <v>117.6</v>
      </c>
      <c r="N2669" s="17" t="n">
        <f aca="false">IFERROR(M2669/K2669,0)</f>
        <v>0.633620689655172</v>
      </c>
    </row>
    <row r="2670" customFormat="false" ht="15" hidden="false" customHeight="false" outlineLevel="0" collapsed="false">
      <c r="A2670" s="15" t="n">
        <v>46134</v>
      </c>
      <c r="B2670" s="14" t="s">
        <v>50</v>
      </c>
      <c r="C2670" s="14" t="s">
        <v>51</v>
      </c>
      <c r="D2670" s="14" t="s">
        <v>52</v>
      </c>
      <c r="E2670" s="14" t="s">
        <v>76</v>
      </c>
      <c r="F2670" s="14" t="s">
        <v>102</v>
      </c>
      <c r="G2670" s="14" t="s">
        <v>103</v>
      </c>
      <c r="H2670" s="0" t="n">
        <v>8</v>
      </c>
      <c r="I2670" s="16" t="n">
        <v>23.87</v>
      </c>
      <c r="J2670" s="16" t="n">
        <v>8.5</v>
      </c>
      <c r="K2670" s="16" t="n">
        <f aca="false">H2670*I2670</f>
        <v>190.96</v>
      </c>
      <c r="L2670" s="16" t="n">
        <f aca="false">H2670*J2670</f>
        <v>68</v>
      </c>
      <c r="M2670" s="16" t="n">
        <f aca="false">K2670-L2670</f>
        <v>122.96</v>
      </c>
      <c r="N2670" s="17" t="n">
        <f aca="false">IFERROR(M2670/K2670,0)</f>
        <v>0.64390448261416</v>
      </c>
    </row>
    <row r="2671" customFormat="false" ht="15" hidden="false" customHeight="false" outlineLevel="0" collapsed="false">
      <c r="A2671" s="15" t="n">
        <v>46134</v>
      </c>
      <c r="B2671" s="14" t="s">
        <v>50</v>
      </c>
      <c r="C2671" s="14" t="s">
        <v>51</v>
      </c>
      <c r="D2671" s="14" t="s">
        <v>52</v>
      </c>
      <c r="E2671" s="14" t="s">
        <v>56</v>
      </c>
      <c r="F2671" s="14" t="s">
        <v>86</v>
      </c>
      <c r="G2671" s="14" t="s">
        <v>87</v>
      </c>
      <c r="H2671" s="0" t="n">
        <v>3</v>
      </c>
      <c r="I2671" s="16" t="n">
        <v>14.51</v>
      </c>
      <c r="J2671" s="16" t="n">
        <v>5</v>
      </c>
      <c r="K2671" s="16" t="n">
        <f aca="false">H2671*I2671</f>
        <v>43.53</v>
      </c>
      <c r="L2671" s="16" t="n">
        <f aca="false">H2671*J2671</f>
        <v>15</v>
      </c>
      <c r="M2671" s="16" t="n">
        <f aca="false">K2671-L2671</f>
        <v>28.53</v>
      </c>
      <c r="N2671" s="17" t="n">
        <f aca="false">IFERROR(M2671/K2671,0)</f>
        <v>0.655410062026189</v>
      </c>
    </row>
    <row r="2672" customFormat="false" ht="15" hidden="false" customHeight="false" outlineLevel="0" collapsed="false">
      <c r="A2672" s="15" t="n">
        <v>46134</v>
      </c>
      <c r="B2672" s="14" t="s">
        <v>50</v>
      </c>
      <c r="C2672" s="14" t="s">
        <v>51</v>
      </c>
      <c r="D2672" s="14" t="s">
        <v>52</v>
      </c>
      <c r="E2672" s="14" t="s">
        <v>45</v>
      </c>
      <c r="F2672" s="14" t="s">
        <v>62</v>
      </c>
      <c r="G2672" s="14" t="s">
        <v>63</v>
      </c>
      <c r="H2672" s="0" t="n">
        <v>7</v>
      </c>
      <c r="I2672" s="16" t="n">
        <v>16.82</v>
      </c>
      <c r="J2672" s="16" t="n">
        <v>6.5</v>
      </c>
      <c r="K2672" s="16" t="n">
        <f aca="false">H2672*I2672</f>
        <v>117.74</v>
      </c>
      <c r="L2672" s="16" t="n">
        <f aca="false">H2672*J2672</f>
        <v>45.5</v>
      </c>
      <c r="M2672" s="16" t="n">
        <f aca="false">K2672-L2672</f>
        <v>72.24</v>
      </c>
      <c r="N2672" s="17" t="n">
        <f aca="false">IFERROR(M2672/K2672,0)</f>
        <v>0.613555291319857</v>
      </c>
    </row>
    <row r="2673" customFormat="false" ht="15" hidden="false" customHeight="false" outlineLevel="0" collapsed="false">
      <c r="A2673" s="15" t="n">
        <v>46134</v>
      </c>
      <c r="B2673" s="14" t="s">
        <v>50</v>
      </c>
      <c r="C2673" s="14" t="s">
        <v>51</v>
      </c>
      <c r="D2673" s="14" t="s">
        <v>52</v>
      </c>
      <c r="E2673" s="14" t="s">
        <v>56</v>
      </c>
      <c r="F2673" s="14" t="s">
        <v>98</v>
      </c>
      <c r="G2673" s="14" t="s">
        <v>99</v>
      </c>
      <c r="H2673" s="0" t="n">
        <v>4</v>
      </c>
      <c r="I2673" s="16" t="n">
        <v>21.64</v>
      </c>
      <c r="J2673" s="16" t="n">
        <v>8</v>
      </c>
      <c r="K2673" s="16" t="n">
        <f aca="false">H2673*I2673</f>
        <v>86.56</v>
      </c>
      <c r="L2673" s="16" t="n">
        <f aca="false">H2673*J2673</f>
        <v>32</v>
      </c>
      <c r="M2673" s="16" t="n">
        <f aca="false">K2673-L2673</f>
        <v>54.56</v>
      </c>
      <c r="N2673" s="17" t="n">
        <f aca="false">IFERROR(M2673/K2673,0)</f>
        <v>0.630314232902033</v>
      </c>
    </row>
    <row r="2674" customFormat="false" ht="15" hidden="false" customHeight="false" outlineLevel="0" collapsed="false">
      <c r="A2674" s="15" t="n">
        <v>46134</v>
      </c>
      <c r="B2674" s="14" t="s">
        <v>59</v>
      </c>
      <c r="C2674" s="14" t="s">
        <v>60</v>
      </c>
      <c r="D2674" s="14" t="s">
        <v>61</v>
      </c>
      <c r="E2674" s="14" t="s">
        <v>64</v>
      </c>
      <c r="F2674" s="14" t="s">
        <v>94</v>
      </c>
      <c r="G2674" s="14" t="s">
        <v>95</v>
      </c>
      <c r="H2674" s="0" t="n">
        <v>4</v>
      </c>
      <c r="I2674" s="16" t="n">
        <v>98.74</v>
      </c>
      <c r="J2674" s="16" t="n">
        <v>42</v>
      </c>
      <c r="K2674" s="16" t="n">
        <f aca="false">H2674*I2674</f>
        <v>394.96</v>
      </c>
      <c r="L2674" s="16" t="n">
        <f aca="false">H2674*J2674</f>
        <v>168</v>
      </c>
      <c r="M2674" s="16" t="n">
        <f aca="false">K2674-L2674</f>
        <v>226.96</v>
      </c>
      <c r="N2674" s="17" t="n">
        <f aca="false">IFERROR(M2674/K2674,0)</f>
        <v>0.574640469921005</v>
      </c>
    </row>
    <row r="2675" customFormat="false" ht="15" hidden="false" customHeight="false" outlineLevel="0" collapsed="false">
      <c r="A2675" s="15" t="n">
        <v>46134</v>
      </c>
      <c r="B2675" s="14" t="s">
        <v>59</v>
      </c>
      <c r="C2675" s="14" t="s">
        <v>60</v>
      </c>
      <c r="D2675" s="14" t="s">
        <v>61</v>
      </c>
      <c r="E2675" s="14" t="s">
        <v>56</v>
      </c>
      <c r="F2675" s="14" t="s">
        <v>57</v>
      </c>
      <c r="G2675" s="14" t="s">
        <v>58</v>
      </c>
      <c r="H2675" s="0" t="n">
        <v>4</v>
      </c>
      <c r="I2675" s="16" t="n">
        <v>25.2</v>
      </c>
      <c r="J2675" s="16" t="n">
        <v>10</v>
      </c>
      <c r="K2675" s="16" t="n">
        <f aca="false">H2675*I2675</f>
        <v>100.8</v>
      </c>
      <c r="L2675" s="16" t="n">
        <f aca="false">H2675*J2675</f>
        <v>40</v>
      </c>
      <c r="M2675" s="16" t="n">
        <f aca="false">K2675-L2675</f>
        <v>60.8</v>
      </c>
      <c r="N2675" s="17" t="n">
        <f aca="false">IFERROR(M2675/K2675,0)</f>
        <v>0.603174603174603</v>
      </c>
    </row>
    <row r="2676" customFormat="false" ht="15" hidden="false" customHeight="false" outlineLevel="0" collapsed="false">
      <c r="A2676" s="15" t="n">
        <v>46134</v>
      </c>
      <c r="B2676" s="14" t="s">
        <v>59</v>
      </c>
      <c r="C2676" s="14" t="s">
        <v>60</v>
      </c>
      <c r="D2676" s="14" t="s">
        <v>61</v>
      </c>
      <c r="E2676" s="14" t="s">
        <v>53</v>
      </c>
      <c r="F2676" s="14" t="s">
        <v>54</v>
      </c>
      <c r="G2676" s="14" t="s">
        <v>55</v>
      </c>
      <c r="H2676" s="0" t="n">
        <v>2</v>
      </c>
      <c r="I2676" s="16" t="n">
        <v>54.69</v>
      </c>
      <c r="J2676" s="16" t="n">
        <v>22</v>
      </c>
      <c r="K2676" s="16" t="n">
        <f aca="false">H2676*I2676</f>
        <v>109.38</v>
      </c>
      <c r="L2676" s="16" t="n">
        <f aca="false">H2676*J2676</f>
        <v>44</v>
      </c>
      <c r="M2676" s="16" t="n">
        <f aca="false">K2676-L2676</f>
        <v>65.38</v>
      </c>
      <c r="N2676" s="17" t="n">
        <f aca="false">IFERROR(M2676/K2676,0)</f>
        <v>0.597732675077711</v>
      </c>
    </row>
    <row r="2677" customFormat="false" ht="15" hidden="false" customHeight="false" outlineLevel="0" collapsed="false">
      <c r="A2677" s="15" t="n">
        <v>46134</v>
      </c>
      <c r="B2677" s="14" t="s">
        <v>59</v>
      </c>
      <c r="C2677" s="14" t="s">
        <v>60</v>
      </c>
      <c r="D2677" s="14" t="s">
        <v>61</v>
      </c>
      <c r="E2677" s="14" t="s">
        <v>56</v>
      </c>
      <c r="F2677" s="14" t="s">
        <v>86</v>
      </c>
      <c r="G2677" s="14" t="s">
        <v>87</v>
      </c>
      <c r="H2677" s="0" t="n">
        <v>3</v>
      </c>
      <c r="I2677" s="16" t="n">
        <v>14</v>
      </c>
      <c r="J2677" s="16" t="n">
        <v>5</v>
      </c>
      <c r="K2677" s="16" t="n">
        <f aca="false">H2677*I2677</f>
        <v>42</v>
      </c>
      <c r="L2677" s="16" t="n">
        <f aca="false">H2677*J2677</f>
        <v>15</v>
      </c>
      <c r="M2677" s="16" t="n">
        <f aca="false">K2677-L2677</f>
        <v>27</v>
      </c>
      <c r="N2677" s="17" t="n">
        <f aca="false">IFERROR(M2677/K2677,0)</f>
        <v>0.642857142857143</v>
      </c>
    </row>
    <row r="2678" customFormat="false" ht="15" hidden="false" customHeight="false" outlineLevel="0" collapsed="false">
      <c r="A2678" s="15" t="n">
        <v>46134</v>
      </c>
      <c r="B2678" s="14" t="s">
        <v>59</v>
      </c>
      <c r="C2678" s="14" t="s">
        <v>60</v>
      </c>
      <c r="D2678" s="14" t="s">
        <v>61</v>
      </c>
      <c r="E2678" s="14" t="s">
        <v>45</v>
      </c>
      <c r="F2678" s="14" t="s">
        <v>46</v>
      </c>
      <c r="G2678" s="14" t="s">
        <v>47</v>
      </c>
      <c r="H2678" s="0" t="n">
        <v>2</v>
      </c>
      <c r="I2678" s="16" t="n">
        <v>44.63</v>
      </c>
      <c r="J2678" s="16" t="n">
        <v>18</v>
      </c>
      <c r="K2678" s="16" t="n">
        <f aca="false">H2678*I2678</f>
        <v>89.26</v>
      </c>
      <c r="L2678" s="16" t="n">
        <f aca="false">H2678*J2678</f>
        <v>36</v>
      </c>
      <c r="M2678" s="16" t="n">
        <f aca="false">K2678-L2678</f>
        <v>53.26</v>
      </c>
      <c r="N2678" s="17" t="n">
        <f aca="false">IFERROR(M2678/K2678,0)</f>
        <v>0.596683844947345</v>
      </c>
    </row>
    <row r="2679" customFormat="false" ht="15" hidden="false" customHeight="false" outlineLevel="0" collapsed="false">
      <c r="A2679" s="15" t="n">
        <v>46134</v>
      </c>
      <c r="B2679" s="14" t="s">
        <v>59</v>
      </c>
      <c r="C2679" s="14" t="s">
        <v>60</v>
      </c>
      <c r="D2679" s="14" t="s">
        <v>61</v>
      </c>
      <c r="E2679" s="14" t="s">
        <v>45</v>
      </c>
      <c r="F2679" s="14" t="s">
        <v>62</v>
      </c>
      <c r="G2679" s="14" t="s">
        <v>63</v>
      </c>
      <c r="H2679" s="0" t="n">
        <v>9</v>
      </c>
      <c r="I2679" s="16" t="n">
        <v>17.17</v>
      </c>
      <c r="J2679" s="16" t="n">
        <v>6.5</v>
      </c>
      <c r="K2679" s="16" t="n">
        <f aca="false">H2679*I2679</f>
        <v>154.53</v>
      </c>
      <c r="L2679" s="16" t="n">
        <f aca="false">H2679*J2679</f>
        <v>58.5</v>
      </c>
      <c r="M2679" s="16" t="n">
        <f aca="false">K2679-L2679</f>
        <v>96.03</v>
      </c>
      <c r="N2679" s="17" t="n">
        <f aca="false">IFERROR(M2679/K2679,0)</f>
        <v>0.621432731508445</v>
      </c>
    </row>
    <row r="2680" customFormat="false" ht="15" hidden="false" customHeight="false" outlineLevel="0" collapsed="false">
      <c r="A2680" s="15" t="n">
        <v>46134</v>
      </c>
      <c r="B2680" s="14" t="s">
        <v>69</v>
      </c>
      <c r="C2680" s="14" t="s">
        <v>70</v>
      </c>
      <c r="D2680" s="14" t="s">
        <v>71</v>
      </c>
      <c r="E2680" s="14" t="s">
        <v>76</v>
      </c>
      <c r="F2680" s="14" t="s">
        <v>102</v>
      </c>
      <c r="G2680" s="14" t="s">
        <v>103</v>
      </c>
      <c r="H2680" s="0" t="n">
        <v>2</v>
      </c>
      <c r="I2680" s="16" t="n">
        <v>22.54</v>
      </c>
      <c r="J2680" s="16" t="n">
        <v>8.5</v>
      </c>
      <c r="K2680" s="16" t="n">
        <f aca="false">H2680*I2680</f>
        <v>45.08</v>
      </c>
      <c r="L2680" s="16" t="n">
        <f aca="false">H2680*J2680</f>
        <v>17</v>
      </c>
      <c r="M2680" s="16" t="n">
        <f aca="false">K2680-L2680</f>
        <v>28.08</v>
      </c>
      <c r="N2680" s="17" t="n">
        <f aca="false">IFERROR(M2680/K2680,0)</f>
        <v>0.622892635314996</v>
      </c>
    </row>
    <row r="2681" customFormat="false" ht="15" hidden="false" customHeight="false" outlineLevel="0" collapsed="false">
      <c r="A2681" s="15" t="n">
        <v>46134</v>
      </c>
      <c r="B2681" s="14" t="s">
        <v>69</v>
      </c>
      <c r="C2681" s="14" t="s">
        <v>70</v>
      </c>
      <c r="D2681" s="14" t="s">
        <v>71</v>
      </c>
      <c r="E2681" s="14" t="s">
        <v>64</v>
      </c>
      <c r="F2681" s="14" t="s">
        <v>90</v>
      </c>
      <c r="G2681" s="14" t="s">
        <v>91</v>
      </c>
      <c r="H2681" s="0" t="n">
        <v>6</v>
      </c>
      <c r="I2681" s="16" t="n">
        <v>11.72</v>
      </c>
      <c r="J2681" s="16" t="n">
        <v>3.5</v>
      </c>
      <c r="K2681" s="16" t="n">
        <f aca="false">H2681*I2681</f>
        <v>70.32</v>
      </c>
      <c r="L2681" s="16" t="n">
        <f aca="false">H2681*J2681</f>
        <v>21</v>
      </c>
      <c r="M2681" s="16" t="n">
        <f aca="false">K2681-L2681</f>
        <v>49.32</v>
      </c>
      <c r="N2681" s="17" t="n">
        <f aca="false">IFERROR(M2681/K2681,0)</f>
        <v>0.701365187713311</v>
      </c>
    </row>
    <row r="2682" customFormat="false" ht="15" hidden="false" customHeight="false" outlineLevel="0" collapsed="false">
      <c r="A2682" s="15" t="n">
        <v>46134</v>
      </c>
      <c r="B2682" s="14" t="s">
        <v>69</v>
      </c>
      <c r="C2682" s="14" t="s">
        <v>70</v>
      </c>
      <c r="D2682" s="14" t="s">
        <v>71</v>
      </c>
      <c r="E2682" s="14" t="s">
        <v>76</v>
      </c>
      <c r="F2682" s="14" t="s">
        <v>102</v>
      </c>
      <c r="G2682" s="14" t="s">
        <v>103</v>
      </c>
      <c r="H2682" s="0" t="n">
        <v>5</v>
      </c>
      <c r="I2682" s="16" t="n">
        <v>23.1</v>
      </c>
      <c r="J2682" s="16" t="n">
        <v>8.5</v>
      </c>
      <c r="K2682" s="16" t="n">
        <f aca="false">H2682*I2682</f>
        <v>115.5</v>
      </c>
      <c r="L2682" s="16" t="n">
        <f aca="false">H2682*J2682</f>
        <v>42.5</v>
      </c>
      <c r="M2682" s="16" t="n">
        <f aca="false">K2682-L2682</f>
        <v>73</v>
      </c>
      <c r="N2682" s="17" t="n">
        <f aca="false">IFERROR(M2682/K2682,0)</f>
        <v>0.632034632034632</v>
      </c>
    </row>
    <row r="2683" customFormat="false" ht="15" hidden="false" customHeight="false" outlineLevel="0" collapsed="false">
      <c r="A2683" s="15" t="n">
        <v>46134</v>
      </c>
      <c r="B2683" s="14" t="s">
        <v>69</v>
      </c>
      <c r="C2683" s="14" t="s">
        <v>70</v>
      </c>
      <c r="D2683" s="14" t="s">
        <v>71</v>
      </c>
      <c r="E2683" s="14" t="s">
        <v>56</v>
      </c>
      <c r="F2683" s="14" t="s">
        <v>86</v>
      </c>
      <c r="G2683" s="14" t="s">
        <v>87</v>
      </c>
      <c r="H2683" s="0" t="n">
        <v>3</v>
      </c>
      <c r="I2683" s="16" t="n">
        <v>14.93</v>
      </c>
      <c r="J2683" s="16" t="n">
        <v>5</v>
      </c>
      <c r="K2683" s="16" t="n">
        <f aca="false">H2683*I2683</f>
        <v>44.79</v>
      </c>
      <c r="L2683" s="16" t="n">
        <f aca="false">H2683*J2683</f>
        <v>15</v>
      </c>
      <c r="M2683" s="16" t="n">
        <f aca="false">K2683-L2683</f>
        <v>29.79</v>
      </c>
      <c r="N2683" s="17" t="n">
        <f aca="false">IFERROR(M2683/K2683,0)</f>
        <v>0.665103817816477</v>
      </c>
    </row>
    <row r="2684" customFormat="false" ht="15" hidden="false" customHeight="false" outlineLevel="0" collapsed="false">
      <c r="A2684" s="15" t="n">
        <v>46134</v>
      </c>
      <c r="B2684" s="14" t="s">
        <v>69</v>
      </c>
      <c r="C2684" s="14" t="s">
        <v>70</v>
      </c>
      <c r="D2684" s="14" t="s">
        <v>71</v>
      </c>
      <c r="E2684" s="14" t="s">
        <v>76</v>
      </c>
      <c r="F2684" s="14" t="s">
        <v>77</v>
      </c>
      <c r="G2684" s="14" t="s">
        <v>78</v>
      </c>
      <c r="H2684" s="0" t="n">
        <v>6</v>
      </c>
      <c r="I2684" s="16" t="n">
        <v>40.52</v>
      </c>
      <c r="J2684" s="16" t="n">
        <v>15</v>
      </c>
      <c r="K2684" s="16" t="n">
        <f aca="false">H2684*I2684</f>
        <v>243.12</v>
      </c>
      <c r="L2684" s="16" t="n">
        <f aca="false">H2684*J2684</f>
        <v>90</v>
      </c>
      <c r="M2684" s="16" t="n">
        <f aca="false">K2684-L2684</f>
        <v>153.12</v>
      </c>
      <c r="N2684" s="17" t="n">
        <f aca="false">IFERROR(M2684/K2684,0)</f>
        <v>0.629812438302073</v>
      </c>
    </row>
    <row r="2685" customFormat="false" ht="15" hidden="false" customHeight="false" outlineLevel="0" collapsed="false">
      <c r="A2685" s="15" t="n">
        <v>46134</v>
      </c>
      <c r="B2685" s="14" t="s">
        <v>81</v>
      </c>
      <c r="C2685" s="14" t="s">
        <v>82</v>
      </c>
      <c r="D2685" s="14" t="s">
        <v>83</v>
      </c>
      <c r="E2685" s="14" t="s">
        <v>76</v>
      </c>
      <c r="F2685" s="14" t="s">
        <v>79</v>
      </c>
      <c r="G2685" s="14" t="s">
        <v>80</v>
      </c>
      <c r="H2685" s="0" t="n">
        <v>5</v>
      </c>
      <c r="I2685" s="16" t="n">
        <v>29.17</v>
      </c>
      <c r="J2685" s="16" t="n">
        <v>11</v>
      </c>
      <c r="K2685" s="16" t="n">
        <f aca="false">H2685*I2685</f>
        <v>145.85</v>
      </c>
      <c r="L2685" s="16" t="n">
        <f aca="false">H2685*J2685</f>
        <v>55</v>
      </c>
      <c r="M2685" s="16" t="n">
        <f aca="false">K2685-L2685</f>
        <v>90.85</v>
      </c>
      <c r="N2685" s="17" t="n">
        <f aca="false">IFERROR(M2685/K2685,0)</f>
        <v>0.622900239972575</v>
      </c>
    </row>
    <row r="2686" customFormat="false" ht="15" hidden="false" customHeight="false" outlineLevel="0" collapsed="false">
      <c r="A2686" s="15" t="n">
        <v>46134</v>
      </c>
      <c r="B2686" s="14" t="s">
        <v>81</v>
      </c>
      <c r="C2686" s="14" t="s">
        <v>82</v>
      </c>
      <c r="D2686" s="14" t="s">
        <v>83</v>
      </c>
      <c r="E2686" s="14" t="s">
        <v>53</v>
      </c>
      <c r="F2686" s="14" t="s">
        <v>74</v>
      </c>
      <c r="G2686" s="14" t="s">
        <v>75</v>
      </c>
      <c r="H2686" s="0" t="n">
        <v>5</v>
      </c>
      <c r="I2686" s="16" t="n">
        <v>87.97</v>
      </c>
      <c r="J2686" s="16" t="n">
        <v>38</v>
      </c>
      <c r="K2686" s="16" t="n">
        <f aca="false">H2686*I2686</f>
        <v>439.85</v>
      </c>
      <c r="L2686" s="16" t="n">
        <f aca="false">H2686*J2686</f>
        <v>190</v>
      </c>
      <c r="M2686" s="16" t="n">
        <f aca="false">K2686-L2686</f>
        <v>249.85</v>
      </c>
      <c r="N2686" s="17" t="n">
        <f aca="false">IFERROR(M2686/K2686,0)</f>
        <v>0.568034557235421</v>
      </c>
    </row>
    <row r="2687" customFormat="false" ht="15" hidden="false" customHeight="false" outlineLevel="0" collapsed="false">
      <c r="A2687" s="15" t="n">
        <v>46134</v>
      </c>
      <c r="B2687" s="14" t="s">
        <v>81</v>
      </c>
      <c r="C2687" s="14" t="s">
        <v>82</v>
      </c>
      <c r="D2687" s="14" t="s">
        <v>83</v>
      </c>
      <c r="E2687" s="14" t="s">
        <v>76</v>
      </c>
      <c r="F2687" s="14" t="s">
        <v>100</v>
      </c>
      <c r="G2687" s="14" t="s">
        <v>101</v>
      </c>
      <c r="H2687" s="0" t="n">
        <v>3</v>
      </c>
      <c r="I2687" s="16" t="n">
        <v>15.51</v>
      </c>
      <c r="J2687" s="16" t="n">
        <v>5.5</v>
      </c>
      <c r="K2687" s="16" t="n">
        <f aca="false">H2687*I2687</f>
        <v>46.53</v>
      </c>
      <c r="L2687" s="16" t="n">
        <f aca="false">H2687*J2687</f>
        <v>16.5</v>
      </c>
      <c r="M2687" s="16" t="n">
        <f aca="false">K2687-L2687</f>
        <v>30.03</v>
      </c>
      <c r="N2687" s="17" t="n">
        <f aca="false">IFERROR(M2687/K2687,0)</f>
        <v>0.645390070921986</v>
      </c>
    </row>
    <row r="2688" customFormat="false" ht="15" hidden="false" customHeight="false" outlineLevel="0" collapsed="false">
      <c r="A2688" s="15" t="n">
        <v>46134</v>
      </c>
      <c r="B2688" s="14" t="s">
        <v>81</v>
      </c>
      <c r="C2688" s="14" t="s">
        <v>82</v>
      </c>
      <c r="D2688" s="14" t="s">
        <v>83</v>
      </c>
      <c r="E2688" s="14" t="s">
        <v>53</v>
      </c>
      <c r="F2688" s="14" t="s">
        <v>84</v>
      </c>
      <c r="G2688" s="14" t="s">
        <v>85</v>
      </c>
      <c r="H2688" s="0" t="n">
        <v>5</v>
      </c>
      <c r="I2688" s="16" t="n">
        <v>23.36</v>
      </c>
      <c r="J2688" s="16" t="n">
        <v>9</v>
      </c>
      <c r="K2688" s="16" t="n">
        <f aca="false">H2688*I2688</f>
        <v>116.8</v>
      </c>
      <c r="L2688" s="16" t="n">
        <f aca="false">H2688*J2688</f>
        <v>45</v>
      </c>
      <c r="M2688" s="16" t="n">
        <f aca="false">K2688-L2688</f>
        <v>71.8</v>
      </c>
      <c r="N2688" s="17" t="n">
        <f aca="false">IFERROR(M2688/K2688,0)</f>
        <v>0.61472602739726</v>
      </c>
    </row>
    <row r="2689" customFormat="false" ht="15" hidden="false" customHeight="false" outlineLevel="0" collapsed="false">
      <c r="A2689" s="15" t="n">
        <v>46134</v>
      </c>
      <c r="B2689" s="14" t="s">
        <v>81</v>
      </c>
      <c r="C2689" s="14" t="s">
        <v>82</v>
      </c>
      <c r="D2689" s="14" t="s">
        <v>83</v>
      </c>
      <c r="E2689" s="14" t="s">
        <v>45</v>
      </c>
      <c r="F2689" s="14" t="s">
        <v>62</v>
      </c>
      <c r="G2689" s="14" t="s">
        <v>63</v>
      </c>
      <c r="H2689" s="0" t="n">
        <v>7</v>
      </c>
      <c r="I2689" s="16" t="n">
        <v>17.08</v>
      </c>
      <c r="J2689" s="16" t="n">
        <v>6.5</v>
      </c>
      <c r="K2689" s="16" t="n">
        <f aca="false">H2689*I2689</f>
        <v>119.56</v>
      </c>
      <c r="L2689" s="16" t="n">
        <f aca="false">H2689*J2689</f>
        <v>45.5</v>
      </c>
      <c r="M2689" s="16" t="n">
        <f aca="false">K2689-L2689</f>
        <v>74.06</v>
      </c>
      <c r="N2689" s="17" t="n">
        <f aca="false">IFERROR(M2689/K2689,0)</f>
        <v>0.61943793911007</v>
      </c>
    </row>
    <row r="2690" customFormat="false" ht="15" hidden="false" customHeight="false" outlineLevel="0" collapsed="false">
      <c r="A2690" s="15" t="n">
        <v>46134</v>
      </c>
      <c r="B2690" s="14" t="s">
        <v>88</v>
      </c>
      <c r="C2690" s="14" t="s">
        <v>89</v>
      </c>
      <c r="D2690" s="14" t="s">
        <v>44</v>
      </c>
      <c r="E2690" s="14" t="s">
        <v>45</v>
      </c>
      <c r="F2690" s="14" t="s">
        <v>46</v>
      </c>
      <c r="G2690" s="14" t="s">
        <v>47</v>
      </c>
      <c r="H2690" s="0" t="n">
        <v>8</v>
      </c>
      <c r="I2690" s="16" t="n">
        <v>41.74</v>
      </c>
      <c r="J2690" s="16" t="n">
        <v>18</v>
      </c>
      <c r="K2690" s="16" t="n">
        <f aca="false">H2690*I2690</f>
        <v>333.92</v>
      </c>
      <c r="L2690" s="16" t="n">
        <f aca="false">H2690*J2690</f>
        <v>144</v>
      </c>
      <c r="M2690" s="16" t="n">
        <f aca="false">K2690-L2690</f>
        <v>189.92</v>
      </c>
      <c r="N2690" s="17" t="n">
        <f aca="false">IFERROR(M2690/K2690,0)</f>
        <v>0.568758984187829</v>
      </c>
    </row>
    <row r="2691" customFormat="false" ht="15" hidden="false" customHeight="false" outlineLevel="0" collapsed="false">
      <c r="A2691" s="15" t="n">
        <v>46134</v>
      </c>
      <c r="B2691" s="14" t="s">
        <v>88</v>
      </c>
      <c r="C2691" s="14" t="s">
        <v>89</v>
      </c>
      <c r="D2691" s="14" t="s">
        <v>44</v>
      </c>
      <c r="E2691" s="14" t="s">
        <v>76</v>
      </c>
      <c r="F2691" s="14" t="s">
        <v>102</v>
      </c>
      <c r="G2691" s="14" t="s">
        <v>103</v>
      </c>
      <c r="H2691" s="0" t="n">
        <v>1</v>
      </c>
      <c r="I2691" s="16" t="n">
        <v>23.25</v>
      </c>
      <c r="J2691" s="16" t="n">
        <v>8.5</v>
      </c>
      <c r="K2691" s="16" t="n">
        <f aca="false">H2691*I2691</f>
        <v>23.25</v>
      </c>
      <c r="L2691" s="16" t="n">
        <f aca="false">H2691*J2691</f>
        <v>8.5</v>
      </c>
      <c r="M2691" s="16" t="n">
        <f aca="false">K2691-L2691</f>
        <v>14.75</v>
      </c>
      <c r="N2691" s="17" t="n">
        <f aca="false">IFERROR(M2691/K2691,0)</f>
        <v>0.634408602150538</v>
      </c>
    </row>
    <row r="2692" customFormat="false" ht="15" hidden="false" customHeight="false" outlineLevel="0" collapsed="false">
      <c r="A2692" s="15" t="n">
        <v>46134</v>
      </c>
      <c r="B2692" s="14" t="s">
        <v>88</v>
      </c>
      <c r="C2692" s="14" t="s">
        <v>89</v>
      </c>
      <c r="D2692" s="14" t="s">
        <v>44</v>
      </c>
      <c r="E2692" s="14" t="s">
        <v>45</v>
      </c>
      <c r="F2692" s="14" t="s">
        <v>46</v>
      </c>
      <c r="G2692" s="14" t="s">
        <v>47</v>
      </c>
      <c r="H2692" s="0" t="n">
        <v>10</v>
      </c>
      <c r="I2692" s="16" t="n">
        <v>42.83</v>
      </c>
      <c r="J2692" s="16" t="n">
        <v>18</v>
      </c>
      <c r="K2692" s="16" t="n">
        <f aca="false">H2692*I2692</f>
        <v>428.3</v>
      </c>
      <c r="L2692" s="16" t="n">
        <f aca="false">H2692*J2692</f>
        <v>180</v>
      </c>
      <c r="M2692" s="16" t="n">
        <f aca="false">K2692-L2692</f>
        <v>248.3</v>
      </c>
      <c r="N2692" s="17" t="n">
        <f aca="false">IFERROR(M2692/K2692,0)</f>
        <v>0.57973383142657</v>
      </c>
    </row>
    <row r="2693" customFormat="false" ht="15" hidden="false" customHeight="false" outlineLevel="0" collapsed="false">
      <c r="A2693" s="15" t="n">
        <v>46135</v>
      </c>
      <c r="B2693" s="14" t="s">
        <v>42</v>
      </c>
      <c r="C2693" s="14" t="s">
        <v>43</v>
      </c>
      <c r="D2693" s="14" t="s">
        <v>44</v>
      </c>
      <c r="E2693" s="14" t="s">
        <v>76</v>
      </c>
      <c r="F2693" s="14" t="s">
        <v>79</v>
      </c>
      <c r="G2693" s="14" t="s">
        <v>80</v>
      </c>
      <c r="H2693" s="0" t="n">
        <v>1</v>
      </c>
      <c r="I2693" s="16" t="n">
        <v>29.67</v>
      </c>
      <c r="J2693" s="16" t="n">
        <v>11</v>
      </c>
      <c r="K2693" s="16" t="n">
        <f aca="false">H2693*I2693</f>
        <v>29.67</v>
      </c>
      <c r="L2693" s="16" t="n">
        <f aca="false">H2693*J2693</f>
        <v>11</v>
      </c>
      <c r="M2693" s="16" t="n">
        <f aca="false">K2693-L2693</f>
        <v>18.67</v>
      </c>
      <c r="N2693" s="17" t="n">
        <f aca="false">IFERROR(M2693/K2693,0)</f>
        <v>0.629255139871925</v>
      </c>
    </row>
    <row r="2694" customFormat="false" ht="15" hidden="false" customHeight="false" outlineLevel="0" collapsed="false">
      <c r="A2694" s="15" t="n">
        <v>46135</v>
      </c>
      <c r="B2694" s="14" t="s">
        <v>42</v>
      </c>
      <c r="C2694" s="14" t="s">
        <v>43</v>
      </c>
      <c r="D2694" s="14" t="s">
        <v>44</v>
      </c>
      <c r="E2694" s="14" t="s">
        <v>64</v>
      </c>
      <c r="F2694" s="14" t="s">
        <v>90</v>
      </c>
      <c r="G2694" s="14" t="s">
        <v>91</v>
      </c>
      <c r="H2694" s="0" t="n">
        <v>10</v>
      </c>
      <c r="I2694" s="16" t="n">
        <v>11.21</v>
      </c>
      <c r="J2694" s="16" t="n">
        <v>3.5</v>
      </c>
      <c r="K2694" s="16" t="n">
        <f aca="false">H2694*I2694</f>
        <v>112.1</v>
      </c>
      <c r="L2694" s="16" t="n">
        <f aca="false">H2694*J2694</f>
        <v>35</v>
      </c>
      <c r="M2694" s="16" t="n">
        <f aca="false">K2694-L2694</f>
        <v>77.1</v>
      </c>
      <c r="N2694" s="17" t="n">
        <f aca="false">IFERROR(M2694/K2694,0)</f>
        <v>0.687778768956289</v>
      </c>
    </row>
    <row r="2695" customFormat="false" ht="15" hidden="false" customHeight="false" outlineLevel="0" collapsed="false">
      <c r="A2695" s="15" t="n">
        <v>46135</v>
      </c>
      <c r="B2695" s="14" t="s">
        <v>42</v>
      </c>
      <c r="C2695" s="14" t="s">
        <v>43</v>
      </c>
      <c r="D2695" s="14" t="s">
        <v>44</v>
      </c>
      <c r="E2695" s="14" t="s">
        <v>56</v>
      </c>
      <c r="F2695" s="14" t="s">
        <v>98</v>
      </c>
      <c r="G2695" s="14" t="s">
        <v>99</v>
      </c>
      <c r="H2695" s="0" t="n">
        <v>1</v>
      </c>
      <c r="I2695" s="16" t="n">
        <v>20.89</v>
      </c>
      <c r="J2695" s="16" t="n">
        <v>8</v>
      </c>
      <c r="K2695" s="16" t="n">
        <f aca="false">H2695*I2695</f>
        <v>20.89</v>
      </c>
      <c r="L2695" s="16" t="n">
        <f aca="false">H2695*J2695</f>
        <v>8</v>
      </c>
      <c r="M2695" s="16" t="n">
        <f aca="false">K2695-L2695</f>
        <v>12.89</v>
      </c>
      <c r="N2695" s="17" t="n">
        <f aca="false">IFERROR(M2695/K2695,0)</f>
        <v>0.617041646720919</v>
      </c>
    </row>
    <row r="2696" customFormat="false" ht="15" hidden="false" customHeight="false" outlineLevel="0" collapsed="false">
      <c r="A2696" s="15" t="n">
        <v>46135</v>
      </c>
      <c r="B2696" s="14" t="s">
        <v>42</v>
      </c>
      <c r="C2696" s="14" t="s">
        <v>43</v>
      </c>
      <c r="D2696" s="14" t="s">
        <v>44</v>
      </c>
      <c r="E2696" s="14" t="s">
        <v>56</v>
      </c>
      <c r="F2696" s="14" t="s">
        <v>86</v>
      </c>
      <c r="G2696" s="14" t="s">
        <v>87</v>
      </c>
      <c r="H2696" s="0" t="n">
        <v>4</v>
      </c>
      <c r="I2696" s="16" t="n">
        <v>14.85</v>
      </c>
      <c r="J2696" s="16" t="n">
        <v>5</v>
      </c>
      <c r="K2696" s="16" t="n">
        <f aca="false">H2696*I2696</f>
        <v>59.4</v>
      </c>
      <c r="L2696" s="16" t="n">
        <f aca="false">H2696*J2696</f>
        <v>20</v>
      </c>
      <c r="M2696" s="16" t="n">
        <f aca="false">K2696-L2696</f>
        <v>39.4</v>
      </c>
      <c r="N2696" s="17" t="n">
        <f aca="false">IFERROR(M2696/K2696,0)</f>
        <v>0.663299663299663</v>
      </c>
    </row>
    <row r="2697" customFormat="false" ht="15" hidden="false" customHeight="false" outlineLevel="0" collapsed="false">
      <c r="A2697" s="15" t="n">
        <v>46135</v>
      </c>
      <c r="B2697" s="14" t="s">
        <v>50</v>
      </c>
      <c r="C2697" s="14" t="s">
        <v>51</v>
      </c>
      <c r="D2697" s="14" t="s">
        <v>52</v>
      </c>
      <c r="E2697" s="14" t="s">
        <v>45</v>
      </c>
      <c r="F2697" s="14" t="s">
        <v>72</v>
      </c>
      <c r="G2697" s="14" t="s">
        <v>73</v>
      </c>
      <c r="H2697" s="0" t="n">
        <v>3</v>
      </c>
      <c r="I2697" s="16" t="n">
        <v>48.07</v>
      </c>
      <c r="J2697" s="16" t="n">
        <v>21</v>
      </c>
      <c r="K2697" s="16" t="n">
        <f aca="false">H2697*I2697</f>
        <v>144.21</v>
      </c>
      <c r="L2697" s="16" t="n">
        <f aca="false">H2697*J2697</f>
        <v>63</v>
      </c>
      <c r="M2697" s="16" t="n">
        <f aca="false">K2697-L2697</f>
        <v>81.21</v>
      </c>
      <c r="N2697" s="17" t="n">
        <f aca="false">IFERROR(M2697/K2697,0)</f>
        <v>0.563137091741211</v>
      </c>
    </row>
    <row r="2698" customFormat="false" ht="15" hidden="false" customHeight="false" outlineLevel="0" collapsed="false">
      <c r="A2698" s="15" t="n">
        <v>46135</v>
      </c>
      <c r="B2698" s="14" t="s">
        <v>50</v>
      </c>
      <c r="C2698" s="14" t="s">
        <v>51</v>
      </c>
      <c r="D2698" s="14" t="s">
        <v>52</v>
      </c>
      <c r="E2698" s="14" t="s">
        <v>45</v>
      </c>
      <c r="F2698" s="14" t="s">
        <v>46</v>
      </c>
      <c r="G2698" s="14" t="s">
        <v>47</v>
      </c>
      <c r="H2698" s="0" t="n">
        <v>3</v>
      </c>
      <c r="I2698" s="16" t="n">
        <v>44.49</v>
      </c>
      <c r="J2698" s="16" t="n">
        <v>18</v>
      </c>
      <c r="K2698" s="16" t="n">
        <f aca="false">H2698*I2698</f>
        <v>133.47</v>
      </c>
      <c r="L2698" s="16" t="n">
        <f aca="false">H2698*J2698</f>
        <v>54</v>
      </c>
      <c r="M2698" s="16" t="n">
        <f aca="false">K2698-L2698</f>
        <v>79.47</v>
      </c>
      <c r="N2698" s="17" t="n">
        <f aca="false">IFERROR(M2698/K2698,0)</f>
        <v>0.595414699932569</v>
      </c>
    </row>
    <row r="2699" customFormat="false" ht="15" hidden="false" customHeight="false" outlineLevel="0" collapsed="false">
      <c r="A2699" s="15" t="n">
        <v>46135</v>
      </c>
      <c r="B2699" s="14" t="s">
        <v>50</v>
      </c>
      <c r="C2699" s="14" t="s">
        <v>51</v>
      </c>
      <c r="D2699" s="14" t="s">
        <v>52</v>
      </c>
      <c r="E2699" s="14" t="s">
        <v>76</v>
      </c>
      <c r="F2699" s="14" t="s">
        <v>77</v>
      </c>
      <c r="G2699" s="14" t="s">
        <v>78</v>
      </c>
      <c r="H2699" s="0" t="n">
        <v>1</v>
      </c>
      <c r="I2699" s="16" t="n">
        <v>39.76</v>
      </c>
      <c r="J2699" s="16" t="n">
        <v>15</v>
      </c>
      <c r="K2699" s="16" t="n">
        <f aca="false">H2699*I2699</f>
        <v>39.76</v>
      </c>
      <c r="L2699" s="16" t="n">
        <f aca="false">H2699*J2699</f>
        <v>15</v>
      </c>
      <c r="M2699" s="16" t="n">
        <f aca="false">K2699-L2699</f>
        <v>24.76</v>
      </c>
      <c r="N2699" s="17" t="n">
        <f aca="false">IFERROR(M2699/K2699,0)</f>
        <v>0.622736418511066</v>
      </c>
    </row>
    <row r="2700" customFormat="false" ht="15" hidden="false" customHeight="false" outlineLevel="0" collapsed="false">
      <c r="A2700" s="15" t="n">
        <v>46135</v>
      </c>
      <c r="B2700" s="14" t="s">
        <v>59</v>
      </c>
      <c r="C2700" s="14" t="s">
        <v>60</v>
      </c>
      <c r="D2700" s="14" t="s">
        <v>61</v>
      </c>
      <c r="E2700" s="14" t="s">
        <v>53</v>
      </c>
      <c r="F2700" s="14" t="s">
        <v>92</v>
      </c>
      <c r="G2700" s="14" t="s">
        <v>93</v>
      </c>
      <c r="H2700" s="0" t="n">
        <v>1</v>
      </c>
      <c r="I2700" s="16" t="n">
        <v>119.43</v>
      </c>
      <c r="J2700" s="16" t="n">
        <v>52</v>
      </c>
      <c r="K2700" s="16" t="n">
        <f aca="false">H2700*I2700</f>
        <v>119.43</v>
      </c>
      <c r="L2700" s="16" t="n">
        <f aca="false">H2700*J2700</f>
        <v>52</v>
      </c>
      <c r="M2700" s="16" t="n">
        <f aca="false">K2700-L2700</f>
        <v>67.43</v>
      </c>
      <c r="N2700" s="17" t="n">
        <f aca="false">IFERROR(M2700/K2700,0)</f>
        <v>0.564598509587206</v>
      </c>
    </row>
    <row r="2701" customFormat="false" ht="15" hidden="false" customHeight="false" outlineLevel="0" collapsed="false">
      <c r="A2701" s="15" t="n">
        <v>46135</v>
      </c>
      <c r="B2701" s="14" t="s">
        <v>59</v>
      </c>
      <c r="C2701" s="14" t="s">
        <v>60</v>
      </c>
      <c r="D2701" s="14" t="s">
        <v>61</v>
      </c>
      <c r="E2701" s="14" t="s">
        <v>64</v>
      </c>
      <c r="F2701" s="14" t="s">
        <v>90</v>
      </c>
      <c r="G2701" s="14" t="s">
        <v>91</v>
      </c>
      <c r="H2701" s="0" t="n">
        <v>1</v>
      </c>
      <c r="I2701" s="16" t="n">
        <v>11.1</v>
      </c>
      <c r="J2701" s="16" t="n">
        <v>3.5</v>
      </c>
      <c r="K2701" s="16" t="n">
        <f aca="false">H2701*I2701</f>
        <v>11.1</v>
      </c>
      <c r="L2701" s="16" t="n">
        <f aca="false">H2701*J2701</f>
        <v>3.5</v>
      </c>
      <c r="M2701" s="16" t="n">
        <f aca="false">K2701-L2701</f>
        <v>7.6</v>
      </c>
      <c r="N2701" s="17" t="n">
        <f aca="false">IFERROR(M2701/K2701,0)</f>
        <v>0.684684684684685</v>
      </c>
    </row>
    <row r="2702" customFormat="false" ht="15" hidden="false" customHeight="false" outlineLevel="0" collapsed="false">
      <c r="A2702" s="15" t="n">
        <v>46135</v>
      </c>
      <c r="B2702" s="14" t="s">
        <v>59</v>
      </c>
      <c r="C2702" s="14" t="s">
        <v>60</v>
      </c>
      <c r="D2702" s="14" t="s">
        <v>61</v>
      </c>
      <c r="E2702" s="14" t="s">
        <v>56</v>
      </c>
      <c r="F2702" s="14" t="s">
        <v>86</v>
      </c>
      <c r="G2702" s="14" t="s">
        <v>87</v>
      </c>
      <c r="H2702" s="0" t="n">
        <v>5</v>
      </c>
      <c r="I2702" s="16" t="n">
        <v>13.9</v>
      </c>
      <c r="J2702" s="16" t="n">
        <v>5</v>
      </c>
      <c r="K2702" s="16" t="n">
        <f aca="false">H2702*I2702</f>
        <v>69.5</v>
      </c>
      <c r="L2702" s="16" t="n">
        <f aca="false">H2702*J2702</f>
        <v>25</v>
      </c>
      <c r="M2702" s="16" t="n">
        <f aca="false">K2702-L2702</f>
        <v>44.5</v>
      </c>
      <c r="N2702" s="17" t="n">
        <f aca="false">IFERROR(M2702/K2702,0)</f>
        <v>0.640287769784173</v>
      </c>
    </row>
    <row r="2703" customFormat="false" ht="15" hidden="false" customHeight="false" outlineLevel="0" collapsed="false">
      <c r="A2703" s="15" t="n">
        <v>46135</v>
      </c>
      <c r="B2703" s="14" t="s">
        <v>59</v>
      </c>
      <c r="C2703" s="14" t="s">
        <v>60</v>
      </c>
      <c r="D2703" s="14" t="s">
        <v>61</v>
      </c>
      <c r="E2703" s="14" t="s">
        <v>64</v>
      </c>
      <c r="F2703" s="14" t="s">
        <v>65</v>
      </c>
      <c r="G2703" s="14" t="s">
        <v>66</v>
      </c>
      <c r="H2703" s="0" t="n">
        <v>4</v>
      </c>
      <c r="I2703" s="16" t="n">
        <v>76.53</v>
      </c>
      <c r="J2703" s="16" t="n">
        <v>34</v>
      </c>
      <c r="K2703" s="16" t="n">
        <f aca="false">H2703*I2703</f>
        <v>306.12</v>
      </c>
      <c r="L2703" s="16" t="n">
        <f aca="false">H2703*J2703</f>
        <v>136</v>
      </c>
      <c r="M2703" s="16" t="n">
        <f aca="false">K2703-L2703</f>
        <v>170.12</v>
      </c>
      <c r="N2703" s="17" t="n">
        <f aca="false">IFERROR(M2703/K2703,0)</f>
        <v>0.555729779171567</v>
      </c>
    </row>
    <row r="2704" customFormat="false" ht="15" hidden="false" customHeight="false" outlineLevel="0" collapsed="false">
      <c r="A2704" s="15" t="n">
        <v>46135</v>
      </c>
      <c r="B2704" s="14" t="s">
        <v>69</v>
      </c>
      <c r="C2704" s="14" t="s">
        <v>70</v>
      </c>
      <c r="D2704" s="14" t="s">
        <v>71</v>
      </c>
      <c r="E2704" s="14" t="s">
        <v>64</v>
      </c>
      <c r="F2704" s="14" t="s">
        <v>96</v>
      </c>
      <c r="G2704" s="14" t="s">
        <v>97</v>
      </c>
      <c r="H2704" s="0" t="n">
        <v>1</v>
      </c>
      <c r="I2704" s="16" t="n">
        <v>55.75</v>
      </c>
      <c r="J2704" s="16" t="n">
        <v>24</v>
      </c>
      <c r="K2704" s="16" t="n">
        <f aca="false">H2704*I2704</f>
        <v>55.75</v>
      </c>
      <c r="L2704" s="16" t="n">
        <f aca="false">H2704*J2704</f>
        <v>24</v>
      </c>
      <c r="M2704" s="16" t="n">
        <f aca="false">K2704-L2704</f>
        <v>31.75</v>
      </c>
      <c r="N2704" s="17" t="n">
        <f aca="false">IFERROR(M2704/K2704,0)</f>
        <v>0.569506726457399</v>
      </c>
    </row>
    <row r="2705" customFormat="false" ht="15" hidden="false" customHeight="false" outlineLevel="0" collapsed="false">
      <c r="A2705" s="15" t="n">
        <v>46135</v>
      </c>
      <c r="B2705" s="14" t="s">
        <v>69</v>
      </c>
      <c r="C2705" s="14" t="s">
        <v>70</v>
      </c>
      <c r="D2705" s="14" t="s">
        <v>71</v>
      </c>
      <c r="E2705" s="14" t="s">
        <v>56</v>
      </c>
      <c r="F2705" s="14" t="s">
        <v>67</v>
      </c>
      <c r="G2705" s="14" t="s">
        <v>68</v>
      </c>
      <c r="H2705" s="0" t="n">
        <v>2</v>
      </c>
      <c r="I2705" s="16" t="n">
        <v>36</v>
      </c>
      <c r="J2705" s="16" t="n">
        <v>15</v>
      </c>
      <c r="K2705" s="16" t="n">
        <f aca="false">H2705*I2705</f>
        <v>72</v>
      </c>
      <c r="L2705" s="16" t="n">
        <f aca="false">H2705*J2705</f>
        <v>30</v>
      </c>
      <c r="M2705" s="16" t="n">
        <f aca="false">K2705-L2705</f>
        <v>42</v>
      </c>
      <c r="N2705" s="17" t="n">
        <f aca="false">IFERROR(M2705/K2705,0)</f>
        <v>0.583333333333333</v>
      </c>
    </row>
    <row r="2706" customFormat="false" ht="15" hidden="false" customHeight="false" outlineLevel="0" collapsed="false">
      <c r="A2706" s="15" t="n">
        <v>46135</v>
      </c>
      <c r="B2706" s="14" t="s">
        <v>69</v>
      </c>
      <c r="C2706" s="14" t="s">
        <v>70</v>
      </c>
      <c r="D2706" s="14" t="s">
        <v>71</v>
      </c>
      <c r="E2706" s="14" t="s">
        <v>56</v>
      </c>
      <c r="F2706" s="14" t="s">
        <v>98</v>
      </c>
      <c r="G2706" s="14" t="s">
        <v>99</v>
      </c>
      <c r="H2706" s="0" t="n">
        <v>7</v>
      </c>
      <c r="I2706" s="16" t="n">
        <v>20.4</v>
      </c>
      <c r="J2706" s="16" t="n">
        <v>8</v>
      </c>
      <c r="K2706" s="16" t="n">
        <f aca="false">H2706*I2706</f>
        <v>142.8</v>
      </c>
      <c r="L2706" s="16" t="n">
        <f aca="false">H2706*J2706</f>
        <v>56</v>
      </c>
      <c r="M2706" s="16" t="n">
        <f aca="false">K2706-L2706</f>
        <v>86.8</v>
      </c>
      <c r="N2706" s="17" t="n">
        <f aca="false">IFERROR(M2706/K2706,0)</f>
        <v>0.607843137254902</v>
      </c>
    </row>
    <row r="2707" customFormat="false" ht="15" hidden="false" customHeight="false" outlineLevel="0" collapsed="false">
      <c r="A2707" s="15" t="n">
        <v>46135</v>
      </c>
      <c r="B2707" s="14" t="s">
        <v>69</v>
      </c>
      <c r="C2707" s="14" t="s">
        <v>70</v>
      </c>
      <c r="D2707" s="14" t="s">
        <v>71</v>
      </c>
      <c r="E2707" s="14" t="s">
        <v>45</v>
      </c>
      <c r="F2707" s="14" t="s">
        <v>62</v>
      </c>
      <c r="G2707" s="14" t="s">
        <v>63</v>
      </c>
      <c r="H2707" s="0" t="n">
        <v>2</v>
      </c>
      <c r="I2707" s="16" t="n">
        <v>16.83</v>
      </c>
      <c r="J2707" s="16" t="n">
        <v>6.5</v>
      </c>
      <c r="K2707" s="16" t="n">
        <f aca="false">H2707*I2707</f>
        <v>33.66</v>
      </c>
      <c r="L2707" s="16" t="n">
        <f aca="false">H2707*J2707</f>
        <v>13</v>
      </c>
      <c r="M2707" s="16" t="n">
        <f aca="false">K2707-L2707</f>
        <v>20.66</v>
      </c>
      <c r="N2707" s="17" t="n">
        <f aca="false">IFERROR(M2707/K2707,0)</f>
        <v>0.613784907902555</v>
      </c>
    </row>
    <row r="2708" customFormat="false" ht="15" hidden="false" customHeight="false" outlineLevel="0" collapsed="false">
      <c r="A2708" s="15" t="n">
        <v>46135</v>
      </c>
      <c r="B2708" s="14" t="s">
        <v>69</v>
      </c>
      <c r="C2708" s="14" t="s">
        <v>70</v>
      </c>
      <c r="D2708" s="14" t="s">
        <v>71</v>
      </c>
      <c r="E2708" s="14" t="s">
        <v>56</v>
      </c>
      <c r="F2708" s="14" t="s">
        <v>98</v>
      </c>
      <c r="G2708" s="14" t="s">
        <v>99</v>
      </c>
      <c r="H2708" s="0" t="n">
        <v>3</v>
      </c>
      <c r="I2708" s="16" t="n">
        <v>21.63</v>
      </c>
      <c r="J2708" s="16" t="n">
        <v>8</v>
      </c>
      <c r="K2708" s="16" t="n">
        <f aca="false">H2708*I2708</f>
        <v>64.89</v>
      </c>
      <c r="L2708" s="16" t="n">
        <f aca="false">H2708*J2708</f>
        <v>24</v>
      </c>
      <c r="M2708" s="16" t="n">
        <f aca="false">K2708-L2708</f>
        <v>40.89</v>
      </c>
      <c r="N2708" s="17" t="n">
        <f aca="false">IFERROR(M2708/K2708,0)</f>
        <v>0.630143319463708</v>
      </c>
    </row>
    <row r="2709" customFormat="false" ht="15" hidden="false" customHeight="false" outlineLevel="0" collapsed="false">
      <c r="A2709" s="15" t="n">
        <v>46135</v>
      </c>
      <c r="B2709" s="14" t="s">
        <v>69</v>
      </c>
      <c r="C2709" s="14" t="s">
        <v>70</v>
      </c>
      <c r="D2709" s="14" t="s">
        <v>71</v>
      </c>
      <c r="E2709" s="14" t="s">
        <v>53</v>
      </c>
      <c r="F2709" s="14" t="s">
        <v>92</v>
      </c>
      <c r="G2709" s="14" t="s">
        <v>93</v>
      </c>
      <c r="H2709" s="0" t="n">
        <v>8</v>
      </c>
      <c r="I2709" s="16" t="n">
        <v>111.18</v>
      </c>
      <c r="J2709" s="16" t="n">
        <v>52</v>
      </c>
      <c r="K2709" s="16" t="n">
        <f aca="false">H2709*I2709</f>
        <v>889.44</v>
      </c>
      <c r="L2709" s="16" t="n">
        <f aca="false">H2709*J2709</f>
        <v>416</v>
      </c>
      <c r="M2709" s="16" t="n">
        <f aca="false">K2709-L2709</f>
        <v>473.44</v>
      </c>
      <c r="N2709" s="17" t="n">
        <f aca="false">IFERROR(M2709/K2709,0)</f>
        <v>0.532289980212269</v>
      </c>
    </row>
    <row r="2710" customFormat="false" ht="15" hidden="false" customHeight="false" outlineLevel="0" collapsed="false">
      <c r="A2710" s="15" t="n">
        <v>46135</v>
      </c>
      <c r="B2710" s="14" t="s">
        <v>81</v>
      </c>
      <c r="C2710" s="14" t="s">
        <v>82</v>
      </c>
      <c r="D2710" s="14" t="s">
        <v>83</v>
      </c>
      <c r="E2710" s="14" t="s">
        <v>76</v>
      </c>
      <c r="F2710" s="14" t="s">
        <v>77</v>
      </c>
      <c r="G2710" s="14" t="s">
        <v>78</v>
      </c>
      <c r="H2710" s="0" t="n">
        <v>2</v>
      </c>
      <c r="I2710" s="16" t="n">
        <v>39.68</v>
      </c>
      <c r="J2710" s="16" t="n">
        <v>15</v>
      </c>
      <c r="K2710" s="16" t="n">
        <f aca="false">H2710*I2710</f>
        <v>79.36</v>
      </c>
      <c r="L2710" s="16" t="n">
        <f aca="false">H2710*J2710</f>
        <v>30</v>
      </c>
      <c r="M2710" s="16" t="n">
        <f aca="false">K2710-L2710</f>
        <v>49.36</v>
      </c>
      <c r="N2710" s="17" t="n">
        <f aca="false">IFERROR(M2710/K2710,0)</f>
        <v>0.621975806451613</v>
      </c>
    </row>
    <row r="2711" customFormat="false" ht="15" hidden="false" customHeight="false" outlineLevel="0" collapsed="false">
      <c r="A2711" s="15" t="n">
        <v>46135</v>
      </c>
      <c r="B2711" s="14" t="s">
        <v>81</v>
      </c>
      <c r="C2711" s="14" t="s">
        <v>82</v>
      </c>
      <c r="D2711" s="14" t="s">
        <v>83</v>
      </c>
      <c r="E2711" s="14" t="s">
        <v>64</v>
      </c>
      <c r="F2711" s="14" t="s">
        <v>94</v>
      </c>
      <c r="G2711" s="14" t="s">
        <v>95</v>
      </c>
      <c r="H2711" s="0" t="n">
        <v>2</v>
      </c>
      <c r="I2711" s="16" t="n">
        <v>93.29</v>
      </c>
      <c r="J2711" s="16" t="n">
        <v>42</v>
      </c>
      <c r="K2711" s="16" t="n">
        <f aca="false">H2711*I2711</f>
        <v>186.58</v>
      </c>
      <c r="L2711" s="16" t="n">
        <f aca="false">H2711*J2711</f>
        <v>84</v>
      </c>
      <c r="M2711" s="16" t="n">
        <f aca="false">K2711-L2711</f>
        <v>102.58</v>
      </c>
      <c r="N2711" s="17" t="n">
        <f aca="false">IFERROR(M2711/K2711,0)</f>
        <v>0.549790974380963</v>
      </c>
    </row>
    <row r="2712" customFormat="false" ht="15" hidden="false" customHeight="false" outlineLevel="0" collapsed="false">
      <c r="A2712" s="15" t="n">
        <v>46135</v>
      </c>
      <c r="B2712" s="14" t="s">
        <v>81</v>
      </c>
      <c r="C2712" s="14" t="s">
        <v>82</v>
      </c>
      <c r="D2712" s="14" t="s">
        <v>83</v>
      </c>
      <c r="E2712" s="14" t="s">
        <v>56</v>
      </c>
      <c r="F2712" s="14" t="s">
        <v>67</v>
      </c>
      <c r="G2712" s="14" t="s">
        <v>68</v>
      </c>
      <c r="H2712" s="0" t="n">
        <v>6</v>
      </c>
      <c r="I2712" s="16" t="n">
        <v>35.65</v>
      </c>
      <c r="J2712" s="16" t="n">
        <v>15</v>
      </c>
      <c r="K2712" s="16" t="n">
        <f aca="false">H2712*I2712</f>
        <v>213.9</v>
      </c>
      <c r="L2712" s="16" t="n">
        <f aca="false">H2712*J2712</f>
        <v>90</v>
      </c>
      <c r="M2712" s="16" t="n">
        <f aca="false">K2712-L2712</f>
        <v>123.9</v>
      </c>
      <c r="N2712" s="17" t="n">
        <f aca="false">IFERROR(M2712/K2712,0)</f>
        <v>0.579242636746143</v>
      </c>
    </row>
    <row r="2713" customFormat="false" ht="15" hidden="false" customHeight="false" outlineLevel="0" collapsed="false">
      <c r="A2713" s="15" t="n">
        <v>46135</v>
      </c>
      <c r="B2713" s="14" t="s">
        <v>88</v>
      </c>
      <c r="C2713" s="14" t="s">
        <v>89</v>
      </c>
      <c r="D2713" s="14" t="s">
        <v>44</v>
      </c>
      <c r="E2713" s="14" t="s">
        <v>76</v>
      </c>
      <c r="F2713" s="14" t="s">
        <v>77</v>
      </c>
      <c r="G2713" s="14" t="s">
        <v>78</v>
      </c>
      <c r="H2713" s="0" t="n">
        <v>3</v>
      </c>
      <c r="I2713" s="16" t="n">
        <v>41.93</v>
      </c>
      <c r="J2713" s="16" t="n">
        <v>15</v>
      </c>
      <c r="K2713" s="16" t="n">
        <f aca="false">H2713*I2713</f>
        <v>125.79</v>
      </c>
      <c r="L2713" s="16" t="n">
        <f aca="false">H2713*J2713</f>
        <v>45</v>
      </c>
      <c r="M2713" s="16" t="n">
        <f aca="false">K2713-L2713</f>
        <v>80.79</v>
      </c>
      <c r="N2713" s="17" t="n">
        <f aca="false">IFERROR(M2713/K2713,0)</f>
        <v>0.642260911042213</v>
      </c>
    </row>
    <row r="2714" customFormat="false" ht="15" hidden="false" customHeight="false" outlineLevel="0" collapsed="false">
      <c r="A2714" s="15" t="n">
        <v>46135</v>
      </c>
      <c r="B2714" s="14" t="s">
        <v>88</v>
      </c>
      <c r="C2714" s="14" t="s">
        <v>89</v>
      </c>
      <c r="D2714" s="14" t="s">
        <v>44</v>
      </c>
      <c r="E2714" s="14" t="s">
        <v>76</v>
      </c>
      <c r="F2714" s="14" t="s">
        <v>100</v>
      </c>
      <c r="G2714" s="14" t="s">
        <v>101</v>
      </c>
      <c r="H2714" s="0" t="n">
        <v>5</v>
      </c>
      <c r="I2714" s="16" t="n">
        <v>14.84</v>
      </c>
      <c r="J2714" s="16" t="n">
        <v>5.5</v>
      </c>
      <c r="K2714" s="16" t="n">
        <f aca="false">H2714*I2714</f>
        <v>74.2</v>
      </c>
      <c r="L2714" s="16" t="n">
        <f aca="false">H2714*J2714</f>
        <v>27.5</v>
      </c>
      <c r="M2714" s="16" t="n">
        <f aca="false">K2714-L2714</f>
        <v>46.7</v>
      </c>
      <c r="N2714" s="17" t="n">
        <f aca="false">IFERROR(M2714/K2714,0)</f>
        <v>0.629380053908356</v>
      </c>
    </row>
    <row r="2715" customFormat="false" ht="15" hidden="false" customHeight="false" outlineLevel="0" collapsed="false">
      <c r="A2715" s="15" t="n">
        <v>46135</v>
      </c>
      <c r="B2715" s="14" t="s">
        <v>88</v>
      </c>
      <c r="C2715" s="14" t="s">
        <v>89</v>
      </c>
      <c r="D2715" s="14" t="s">
        <v>44</v>
      </c>
      <c r="E2715" s="14" t="s">
        <v>76</v>
      </c>
      <c r="F2715" s="14" t="s">
        <v>102</v>
      </c>
      <c r="G2715" s="14" t="s">
        <v>103</v>
      </c>
      <c r="H2715" s="0" t="n">
        <v>6</v>
      </c>
      <c r="I2715" s="16" t="n">
        <v>23.56</v>
      </c>
      <c r="J2715" s="16" t="n">
        <v>8.5</v>
      </c>
      <c r="K2715" s="16" t="n">
        <f aca="false">H2715*I2715</f>
        <v>141.36</v>
      </c>
      <c r="L2715" s="16" t="n">
        <f aca="false">H2715*J2715</f>
        <v>51</v>
      </c>
      <c r="M2715" s="16" t="n">
        <f aca="false">K2715-L2715</f>
        <v>90.36</v>
      </c>
      <c r="N2715" s="17" t="n">
        <f aca="false">IFERROR(M2715/K2715,0)</f>
        <v>0.639219015280136</v>
      </c>
    </row>
    <row r="2716" customFormat="false" ht="15" hidden="false" customHeight="false" outlineLevel="0" collapsed="false">
      <c r="A2716" s="15" t="n">
        <v>46136</v>
      </c>
      <c r="B2716" s="14" t="s">
        <v>42</v>
      </c>
      <c r="C2716" s="14" t="s">
        <v>43</v>
      </c>
      <c r="D2716" s="14" t="s">
        <v>44</v>
      </c>
      <c r="E2716" s="14" t="s">
        <v>64</v>
      </c>
      <c r="F2716" s="14" t="s">
        <v>96</v>
      </c>
      <c r="G2716" s="14" t="s">
        <v>97</v>
      </c>
      <c r="H2716" s="0" t="n">
        <v>1</v>
      </c>
      <c r="I2716" s="16" t="n">
        <v>58.76</v>
      </c>
      <c r="J2716" s="16" t="n">
        <v>24</v>
      </c>
      <c r="K2716" s="16" t="n">
        <f aca="false">H2716*I2716</f>
        <v>58.76</v>
      </c>
      <c r="L2716" s="16" t="n">
        <f aca="false">H2716*J2716</f>
        <v>24</v>
      </c>
      <c r="M2716" s="16" t="n">
        <f aca="false">K2716-L2716</f>
        <v>34.76</v>
      </c>
      <c r="N2716" s="17" t="n">
        <f aca="false">IFERROR(M2716/K2716,0)</f>
        <v>0.591558883594282</v>
      </c>
    </row>
    <row r="2717" customFormat="false" ht="15" hidden="false" customHeight="false" outlineLevel="0" collapsed="false">
      <c r="A2717" s="15" t="n">
        <v>46136</v>
      </c>
      <c r="B2717" s="14" t="s">
        <v>42</v>
      </c>
      <c r="C2717" s="14" t="s">
        <v>43</v>
      </c>
      <c r="D2717" s="14" t="s">
        <v>44</v>
      </c>
      <c r="E2717" s="14" t="s">
        <v>56</v>
      </c>
      <c r="F2717" s="14" t="s">
        <v>57</v>
      </c>
      <c r="G2717" s="14" t="s">
        <v>58</v>
      </c>
      <c r="H2717" s="0" t="n">
        <v>4</v>
      </c>
      <c r="I2717" s="16" t="n">
        <v>26</v>
      </c>
      <c r="J2717" s="16" t="n">
        <v>10</v>
      </c>
      <c r="K2717" s="16" t="n">
        <f aca="false">H2717*I2717</f>
        <v>104</v>
      </c>
      <c r="L2717" s="16" t="n">
        <f aca="false">H2717*J2717</f>
        <v>40</v>
      </c>
      <c r="M2717" s="16" t="n">
        <f aca="false">K2717-L2717</f>
        <v>64</v>
      </c>
      <c r="N2717" s="17" t="n">
        <f aca="false">IFERROR(M2717/K2717,0)</f>
        <v>0.615384615384615</v>
      </c>
    </row>
    <row r="2718" customFormat="false" ht="15" hidden="false" customHeight="false" outlineLevel="0" collapsed="false">
      <c r="A2718" s="15" t="n">
        <v>46136</v>
      </c>
      <c r="B2718" s="14" t="s">
        <v>42</v>
      </c>
      <c r="C2718" s="14" t="s">
        <v>43</v>
      </c>
      <c r="D2718" s="14" t="s">
        <v>44</v>
      </c>
      <c r="E2718" s="14" t="s">
        <v>53</v>
      </c>
      <c r="F2718" s="14" t="s">
        <v>84</v>
      </c>
      <c r="G2718" s="14" t="s">
        <v>85</v>
      </c>
      <c r="H2718" s="0" t="n">
        <v>9</v>
      </c>
      <c r="I2718" s="16" t="n">
        <v>24.29</v>
      </c>
      <c r="J2718" s="16" t="n">
        <v>9</v>
      </c>
      <c r="K2718" s="16" t="n">
        <f aca="false">H2718*I2718</f>
        <v>218.61</v>
      </c>
      <c r="L2718" s="16" t="n">
        <f aca="false">H2718*J2718</f>
        <v>81</v>
      </c>
      <c r="M2718" s="16" t="n">
        <f aca="false">K2718-L2718</f>
        <v>137.61</v>
      </c>
      <c r="N2718" s="17" t="n">
        <f aca="false">IFERROR(M2718/K2718,0)</f>
        <v>0.629477151090984</v>
      </c>
    </row>
    <row r="2719" customFormat="false" ht="15" hidden="false" customHeight="false" outlineLevel="0" collapsed="false">
      <c r="A2719" s="15" t="n">
        <v>46136</v>
      </c>
      <c r="B2719" s="14" t="s">
        <v>42</v>
      </c>
      <c r="C2719" s="14" t="s">
        <v>43</v>
      </c>
      <c r="D2719" s="14" t="s">
        <v>44</v>
      </c>
      <c r="E2719" s="14" t="s">
        <v>76</v>
      </c>
      <c r="F2719" s="14" t="s">
        <v>77</v>
      </c>
      <c r="G2719" s="14" t="s">
        <v>78</v>
      </c>
      <c r="H2719" s="0" t="n">
        <v>8</v>
      </c>
      <c r="I2719" s="16" t="n">
        <v>40.99</v>
      </c>
      <c r="J2719" s="16" t="n">
        <v>15</v>
      </c>
      <c r="K2719" s="16" t="n">
        <f aca="false">H2719*I2719</f>
        <v>327.92</v>
      </c>
      <c r="L2719" s="16" t="n">
        <f aca="false">H2719*J2719</f>
        <v>120</v>
      </c>
      <c r="M2719" s="16" t="n">
        <f aca="false">K2719-L2719</f>
        <v>207.92</v>
      </c>
      <c r="N2719" s="17" t="n">
        <f aca="false">IFERROR(M2719/K2719,0)</f>
        <v>0.634057087094413</v>
      </c>
    </row>
    <row r="2720" customFormat="false" ht="15" hidden="false" customHeight="false" outlineLevel="0" collapsed="false">
      <c r="A2720" s="15" t="n">
        <v>46136</v>
      </c>
      <c r="B2720" s="14" t="s">
        <v>42</v>
      </c>
      <c r="C2720" s="14" t="s">
        <v>43</v>
      </c>
      <c r="D2720" s="14" t="s">
        <v>44</v>
      </c>
      <c r="E2720" s="14" t="s">
        <v>56</v>
      </c>
      <c r="F2720" s="14" t="s">
        <v>67</v>
      </c>
      <c r="G2720" s="14" t="s">
        <v>68</v>
      </c>
      <c r="H2720" s="0" t="n">
        <v>3</v>
      </c>
      <c r="I2720" s="16" t="n">
        <v>36.52</v>
      </c>
      <c r="J2720" s="16" t="n">
        <v>15</v>
      </c>
      <c r="K2720" s="16" t="n">
        <f aca="false">H2720*I2720</f>
        <v>109.56</v>
      </c>
      <c r="L2720" s="16" t="n">
        <f aca="false">H2720*J2720</f>
        <v>45</v>
      </c>
      <c r="M2720" s="16" t="n">
        <f aca="false">K2720-L2720</f>
        <v>64.56</v>
      </c>
      <c r="N2720" s="17" t="n">
        <f aca="false">IFERROR(M2720/K2720,0)</f>
        <v>0.589266155531216</v>
      </c>
    </row>
    <row r="2721" customFormat="false" ht="15" hidden="false" customHeight="false" outlineLevel="0" collapsed="false">
      <c r="A2721" s="15" t="n">
        <v>46136</v>
      </c>
      <c r="B2721" s="14" t="s">
        <v>42</v>
      </c>
      <c r="C2721" s="14" t="s">
        <v>43</v>
      </c>
      <c r="D2721" s="14" t="s">
        <v>44</v>
      </c>
      <c r="E2721" s="14" t="s">
        <v>53</v>
      </c>
      <c r="F2721" s="14" t="s">
        <v>92</v>
      </c>
      <c r="G2721" s="14" t="s">
        <v>93</v>
      </c>
      <c r="H2721" s="0" t="n">
        <v>6</v>
      </c>
      <c r="I2721" s="16" t="n">
        <v>114.89</v>
      </c>
      <c r="J2721" s="16" t="n">
        <v>52</v>
      </c>
      <c r="K2721" s="16" t="n">
        <f aca="false">H2721*I2721</f>
        <v>689.34</v>
      </c>
      <c r="L2721" s="16" t="n">
        <f aca="false">H2721*J2721</f>
        <v>312</v>
      </c>
      <c r="M2721" s="16" t="n">
        <f aca="false">K2721-L2721</f>
        <v>377.34</v>
      </c>
      <c r="N2721" s="17" t="n">
        <f aca="false">IFERROR(M2721/K2721,0)</f>
        <v>0.547393158673514</v>
      </c>
    </row>
    <row r="2722" customFormat="false" ht="15" hidden="false" customHeight="false" outlineLevel="0" collapsed="false">
      <c r="A2722" s="15" t="n">
        <v>46136</v>
      </c>
      <c r="B2722" s="14" t="s">
        <v>50</v>
      </c>
      <c r="C2722" s="14" t="s">
        <v>51</v>
      </c>
      <c r="D2722" s="14" t="s">
        <v>52</v>
      </c>
      <c r="E2722" s="14" t="s">
        <v>45</v>
      </c>
      <c r="F2722" s="14" t="s">
        <v>62</v>
      </c>
      <c r="G2722" s="14" t="s">
        <v>63</v>
      </c>
      <c r="H2722" s="0" t="n">
        <v>11</v>
      </c>
      <c r="I2722" s="16" t="n">
        <v>16.76</v>
      </c>
      <c r="J2722" s="16" t="n">
        <v>6.5</v>
      </c>
      <c r="K2722" s="16" t="n">
        <f aca="false">H2722*I2722</f>
        <v>184.36</v>
      </c>
      <c r="L2722" s="16" t="n">
        <f aca="false">H2722*J2722</f>
        <v>71.5</v>
      </c>
      <c r="M2722" s="16" t="n">
        <f aca="false">K2722-L2722</f>
        <v>112.86</v>
      </c>
      <c r="N2722" s="17" t="n">
        <f aca="false">IFERROR(M2722/K2722,0)</f>
        <v>0.612171837708831</v>
      </c>
    </row>
    <row r="2723" customFormat="false" ht="15" hidden="false" customHeight="false" outlineLevel="0" collapsed="false">
      <c r="A2723" s="15" t="n">
        <v>46136</v>
      </c>
      <c r="B2723" s="14" t="s">
        <v>50</v>
      </c>
      <c r="C2723" s="14" t="s">
        <v>51</v>
      </c>
      <c r="D2723" s="14" t="s">
        <v>52</v>
      </c>
      <c r="E2723" s="14" t="s">
        <v>56</v>
      </c>
      <c r="F2723" s="14" t="s">
        <v>67</v>
      </c>
      <c r="G2723" s="14" t="s">
        <v>68</v>
      </c>
      <c r="H2723" s="0" t="n">
        <v>8</v>
      </c>
      <c r="I2723" s="16" t="n">
        <v>36.67</v>
      </c>
      <c r="J2723" s="16" t="n">
        <v>15</v>
      </c>
      <c r="K2723" s="16" t="n">
        <f aca="false">H2723*I2723</f>
        <v>293.36</v>
      </c>
      <c r="L2723" s="16" t="n">
        <f aca="false">H2723*J2723</f>
        <v>120</v>
      </c>
      <c r="M2723" s="16" t="n">
        <f aca="false">K2723-L2723</f>
        <v>173.36</v>
      </c>
      <c r="N2723" s="17" t="n">
        <f aca="false">IFERROR(M2723/K2723,0)</f>
        <v>0.590946277611126</v>
      </c>
    </row>
    <row r="2724" customFormat="false" ht="15" hidden="false" customHeight="false" outlineLevel="0" collapsed="false">
      <c r="A2724" s="15" t="n">
        <v>46136</v>
      </c>
      <c r="B2724" s="14" t="s">
        <v>59</v>
      </c>
      <c r="C2724" s="14" t="s">
        <v>60</v>
      </c>
      <c r="D2724" s="14" t="s">
        <v>61</v>
      </c>
      <c r="E2724" s="14" t="s">
        <v>45</v>
      </c>
      <c r="F2724" s="14" t="s">
        <v>46</v>
      </c>
      <c r="G2724" s="14" t="s">
        <v>47</v>
      </c>
      <c r="H2724" s="0" t="n">
        <v>2</v>
      </c>
      <c r="I2724" s="16" t="n">
        <v>43.67</v>
      </c>
      <c r="J2724" s="16" t="n">
        <v>18</v>
      </c>
      <c r="K2724" s="16" t="n">
        <f aca="false">H2724*I2724</f>
        <v>87.34</v>
      </c>
      <c r="L2724" s="16" t="n">
        <f aca="false">H2724*J2724</f>
        <v>36</v>
      </c>
      <c r="M2724" s="16" t="n">
        <f aca="false">K2724-L2724</f>
        <v>51.34</v>
      </c>
      <c r="N2724" s="17" t="n">
        <f aca="false">IFERROR(M2724/K2724,0)</f>
        <v>0.587817723837875</v>
      </c>
    </row>
    <row r="2725" customFormat="false" ht="15" hidden="false" customHeight="false" outlineLevel="0" collapsed="false">
      <c r="A2725" s="15" t="n">
        <v>46136</v>
      </c>
      <c r="B2725" s="14" t="s">
        <v>59</v>
      </c>
      <c r="C2725" s="14" t="s">
        <v>60</v>
      </c>
      <c r="D2725" s="14" t="s">
        <v>61</v>
      </c>
      <c r="E2725" s="14" t="s">
        <v>45</v>
      </c>
      <c r="F2725" s="14" t="s">
        <v>62</v>
      </c>
      <c r="G2725" s="14" t="s">
        <v>63</v>
      </c>
      <c r="H2725" s="0" t="n">
        <v>8</v>
      </c>
      <c r="I2725" s="16" t="n">
        <v>17.24</v>
      </c>
      <c r="J2725" s="16" t="n">
        <v>6.5</v>
      </c>
      <c r="K2725" s="16" t="n">
        <f aca="false">H2725*I2725</f>
        <v>137.92</v>
      </c>
      <c r="L2725" s="16" t="n">
        <f aca="false">H2725*J2725</f>
        <v>52</v>
      </c>
      <c r="M2725" s="16" t="n">
        <f aca="false">K2725-L2725</f>
        <v>85.92</v>
      </c>
      <c r="N2725" s="17" t="n">
        <f aca="false">IFERROR(M2725/K2725,0)</f>
        <v>0.622969837587007</v>
      </c>
    </row>
    <row r="2726" customFormat="false" ht="15" hidden="false" customHeight="false" outlineLevel="0" collapsed="false">
      <c r="A2726" s="15" t="n">
        <v>46136</v>
      </c>
      <c r="B2726" s="14" t="s">
        <v>59</v>
      </c>
      <c r="C2726" s="14" t="s">
        <v>60</v>
      </c>
      <c r="D2726" s="14" t="s">
        <v>61</v>
      </c>
      <c r="E2726" s="14" t="s">
        <v>76</v>
      </c>
      <c r="F2726" s="14" t="s">
        <v>79</v>
      </c>
      <c r="G2726" s="14" t="s">
        <v>80</v>
      </c>
      <c r="H2726" s="0" t="n">
        <v>3</v>
      </c>
      <c r="I2726" s="16" t="n">
        <v>29.79</v>
      </c>
      <c r="J2726" s="16" t="n">
        <v>11</v>
      </c>
      <c r="K2726" s="16" t="n">
        <f aca="false">H2726*I2726</f>
        <v>89.37</v>
      </c>
      <c r="L2726" s="16" t="n">
        <f aca="false">H2726*J2726</f>
        <v>33</v>
      </c>
      <c r="M2726" s="16" t="n">
        <f aca="false">K2726-L2726</f>
        <v>56.37</v>
      </c>
      <c r="N2726" s="17" t="n">
        <f aca="false">IFERROR(M2726/K2726,0)</f>
        <v>0.630748573346761</v>
      </c>
    </row>
    <row r="2727" customFormat="false" ht="15" hidden="false" customHeight="false" outlineLevel="0" collapsed="false">
      <c r="A2727" s="15" t="n">
        <v>46136</v>
      </c>
      <c r="B2727" s="14" t="s">
        <v>59</v>
      </c>
      <c r="C2727" s="14" t="s">
        <v>60</v>
      </c>
      <c r="D2727" s="14" t="s">
        <v>61</v>
      </c>
      <c r="E2727" s="14" t="s">
        <v>76</v>
      </c>
      <c r="F2727" s="14" t="s">
        <v>77</v>
      </c>
      <c r="G2727" s="14" t="s">
        <v>78</v>
      </c>
      <c r="H2727" s="0" t="n">
        <v>7</v>
      </c>
      <c r="I2727" s="16" t="n">
        <v>40.48</v>
      </c>
      <c r="J2727" s="16" t="n">
        <v>15</v>
      </c>
      <c r="K2727" s="16" t="n">
        <f aca="false">H2727*I2727</f>
        <v>283.36</v>
      </c>
      <c r="L2727" s="16" t="n">
        <f aca="false">H2727*J2727</f>
        <v>105</v>
      </c>
      <c r="M2727" s="16" t="n">
        <f aca="false">K2727-L2727</f>
        <v>178.36</v>
      </c>
      <c r="N2727" s="17" t="n">
        <f aca="false">IFERROR(M2727/K2727,0)</f>
        <v>0.629446640316206</v>
      </c>
    </row>
    <row r="2728" customFormat="false" ht="15" hidden="false" customHeight="false" outlineLevel="0" collapsed="false">
      <c r="A2728" s="15" t="n">
        <v>46136</v>
      </c>
      <c r="B2728" s="14" t="s">
        <v>59</v>
      </c>
      <c r="C2728" s="14" t="s">
        <v>60</v>
      </c>
      <c r="D2728" s="14" t="s">
        <v>61</v>
      </c>
      <c r="E2728" s="14" t="s">
        <v>45</v>
      </c>
      <c r="F2728" s="14" t="s">
        <v>72</v>
      </c>
      <c r="G2728" s="14" t="s">
        <v>73</v>
      </c>
      <c r="H2728" s="0" t="n">
        <v>9</v>
      </c>
      <c r="I2728" s="16" t="n">
        <v>50.31</v>
      </c>
      <c r="J2728" s="16" t="n">
        <v>21</v>
      </c>
      <c r="K2728" s="16" t="n">
        <f aca="false">H2728*I2728</f>
        <v>452.79</v>
      </c>
      <c r="L2728" s="16" t="n">
        <f aca="false">H2728*J2728</f>
        <v>189</v>
      </c>
      <c r="M2728" s="16" t="n">
        <f aca="false">K2728-L2728</f>
        <v>263.79</v>
      </c>
      <c r="N2728" s="17" t="n">
        <f aca="false">IFERROR(M2728/K2728,0)</f>
        <v>0.582587954680978</v>
      </c>
    </row>
    <row r="2729" customFormat="false" ht="15" hidden="false" customHeight="false" outlineLevel="0" collapsed="false">
      <c r="A2729" s="15" t="n">
        <v>46136</v>
      </c>
      <c r="B2729" s="14" t="s">
        <v>59</v>
      </c>
      <c r="C2729" s="14" t="s">
        <v>60</v>
      </c>
      <c r="D2729" s="14" t="s">
        <v>61</v>
      </c>
      <c r="E2729" s="14" t="s">
        <v>64</v>
      </c>
      <c r="F2729" s="14" t="s">
        <v>90</v>
      </c>
      <c r="G2729" s="14" t="s">
        <v>91</v>
      </c>
      <c r="H2729" s="0" t="n">
        <v>7</v>
      </c>
      <c r="I2729" s="16" t="n">
        <v>11.84</v>
      </c>
      <c r="J2729" s="16" t="n">
        <v>3.5</v>
      </c>
      <c r="K2729" s="16" t="n">
        <f aca="false">H2729*I2729</f>
        <v>82.88</v>
      </c>
      <c r="L2729" s="16" t="n">
        <f aca="false">H2729*J2729</f>
        <v>24.5</v>
      </c>
      <c r="M2729" s="16" t="n">
        <f aca="false">K2729-L2729</f>
        <v>58.38</v>
      </c>
      <c r="N2729" s="17" t="n">
        <f aca="false">IFERROR(M2729/K2729,0)</f>
        <v>0.704391891891892</v>
      </c>
    </row>
    <row r="2730" customFormat="false" ht="15" hidden="false" customHeight="false" outlineLevel="0" collapsed="false">
      <c r="A2730" s="15" t="n">
        <v>46136</v>
      </c>
      <c r="B2730" s="14" t="s">
        <v>69</v>
      </c>
      <c r="C2730" s="14" t="s">
        <v>70</v>
      </c>
      <c r="D2730" s="14" t="s">
        <v>71</v>
      </c>
      <c r="E2730" s="14" t="s">
        <v>76</v>
      </c>
      <c r="F2730" s="14" t="s">
        <v>102</v>
      </c>
      <c r="G2730" s="14" t="s">
        <v>103</v>
      </c>
      <c r="H2730" s="0" t="n">
        <v>7</v>
      </c>
      <c r="I2730" s="16" t="n">
        <v>23.38</v>
      </c>
      <c r="J2730" s="16" t="n">
        <v>8.5</v>
      </c>
      <c r="K2730" s="16" t="n">
        <f aca="false">H2730*I2730</f>
        <v>163.66</v>
      </c>
      <c r="L2730" s="16" t="n">
        <f aca="false">H2730*J2730</f>
        <v>59.5</v>
      </c>
      <c r="M2730" s="16" t="n">
        <f aca="false">K2730-L2730</f>
        <v>104.16</v>
      </c>
      <c r="N2730" s="17" t="n">
        <f aca="false">IFERROR(M2730/K2730,0)</f>
        <v>0.636441402908469</v>
      </c>
    </row>
    <row r="2731" customFormat="false" ht="15" hidden="false" customHeight="false" outlineLevel="0" collapsed="false">
      <c r="A2731" s="15" t="n">
        <v>46136</v>
      </c>
      <c r="B2731" s="14" t="s">
        <v>69</v>
      </c>
      <c r="C2731" s="14" t="s">
        <v>70</v>
      </c>
      <c r="D2731" s="14" t="s">
        <v>71</v>
      </c>
      <c r="E2731" s="14" t="s">
        <v>76</v>
      </c>
      <c r="F2731" s="14" t="s">
        <v>79</v>
      </c>
      <c r="G2731" s="14" t="s">
        <v>80</v>
      </c>
      <c r="H2731" s="0" t="n">
        <v>3</v>
      </c>
      <c r="I2731" s="16" t="n">
        <v>29.43</v>
      </c>
      <c r="J2731" s="16" t="n">
        <v>11</v>
      </c>
      <c r="K2731" s="16" t="n">
        <f aca="false">H2731*I2731</f>
        <v>88.29</v>
      </c>
      <c r="L2731" s="16" t="n">
        <f aca="false">H2731*J2731</f>
        <v>33</v>
      </c>
      <c r="M2731" s="16" t="n">
        <f aca="false">K2731-L2731</f>
        <v>55.29</v>
      </c>
      <c r="N2731" s="17" t="n">
        <f aca="false">IFERROR(M2731/K2731,0)</f>
        <v>0.626231736323479</v>
      </c>
    </row>
    <row r="2732" customFormat="false" ht="15" hidden="false" customHeight="false" outlineLevel="0" collapsed="false">
      <c r="A2732" s="15" t="n">
        <v>46136</v>
      </c>
      <c r="B2732" s="14" t="s">
        <v>69</v>
      </c>
      <c r="C2732" s="14" t="s">
        <v>70</v>
      </c>
      <c r="D2732" s="14" t="s">
        <v>71</v>
      </c>
      <c r="E2732" s="14" t="s">
        <v>56</v>
      </c>
      <c r="F2732" s="14" t="s">
        <v>98</v>
      </c>
      <c r="G2732" s="14" t="s">
        <v>99</v>
      </c>
      <c r="H2732" s="0" t="n">
        <v>7</v>
      </c>
      <c r="I2732" s="16" t="n">
        <v>20.99</v>
      </c>
      <c r="J2732" s="16" t="n">
        <v>8</v>
      </c>
      <c r="K2732" s="16" t="n">
        <f aca="false">H2732*I2732</f>
        <v>146.93</v>
      </c>
      <c r="L2732" s="16" t="n">
        <f aca="false">H2732*J2732</f>
        <v>56</v>
      </c>
      <c r="M2732" s="16" t="n">
        <f aca="false">K2732-L2732</f>
        <v>90.93</v>
      </c>
      <c r="N2732" s="17" t="n">
        <f aca="false">IFERROR(M2732/K2732,0)</f>
        <v>0.618866126727013</v>
      </c>
    </row>
    <row r="2733" customFormat="false" ht="15" hidden="false" customHeight="false" outlineLevel="0" collapsed="false">
      <c r="A2733" s="15" t="n">
        <v>46136</v>
      </c>
      <c r="B2733" s="14" t="s">
        <v>69</v>
      </c>
      <c r="C2733" s="14" t="s">
        <v>70</v>
      </c>
      <c r="D2733" s="14" t="s">
        <v>71</v>
      </c>
      <c r="E2733" s="14" t="s">
        <v>76</v>
      </c>
      <c r="F2733" s="14" t="s">
        <v>100</v>
      </c>
      <c r="G2733" s="14" t="s">
        <v>101</v>
      </c>
      <c r="H2733" s="0" t="n">
        <v>1</v>
      </c>
      <c r="I2733" s="16" t="n">
        <v>14.93</v>
      </c>
      <c r="J2733" s="16" t="n">
        <v>5.5</v>
      </c>
      <c r="K2733" s="16" t="n">
        <f aca="false">H2733*I2733</f>
        <v>14.93</v>
      </c>
      <c r="L2733" s="16" t="n">
        <f aca="false">H2733*J2733</f>
        <v>5.5</v>
      </c>
      <c r="M2733" s="16" t="n">
        <f aca="false">K2733-L2733</f>
        <v>9.43</v>
      </c>
      <c r="N2733" s="17" t="n">
        <f aca="false">IFERROR(M2733/K2733,0)</f>
        <v>0.631614199598125</v>
      </c>
    </row>
    <row r="2734" customFormat="false" ht="15" hidden="false" customHeight="false" outlineLevel="0" collapsed="false">
      <c r="A2734" s="15" t="n">
        <v>46136</v>
      </c>
      <c r="B2734" s="14" t="s">
        <v>81</v>
      </c>
      <c r="C2734" s="14" t="s">
        <v>82</v>
      </c>
      <c r="D2734" s="14" t="s">
        <v>83</v>
      </c>
      <c r="E2734" s="14" t="s">
        <v>76</v>
      </c>
      <c r="F2734" s="14" t="s">
        <v>77</v>
      </c>
      <c r="G2734" s="14" t="s">
        <v>78</v>
      </c>
      <c r="H2734" s="0" t="n">
        <v>2</v>
      </c>
      <c r="I2734" s="16" t="n">
        <v>39.08</v>
      </c>
      <c r="J2734" s="16" t="n">
        <v>15</v>
      </c>
      <c r="K2734" s="16" t="n">
        <f aca="false">H2734*I2734</f>
        <v>78.16</v>
      </c>
      <c r="L2734" s="16" t="n">
        <f aca="false">H2734*J2734</f>
        <v>30</v>
      </c>
      <c r="M2734" s="16" t="n">
        <f aca="false">K2734-L2734</f>
        <v>48.16</v>
      </c>
      <c r="N2734" s="17" t="n">
        <f aca="false">IFERROR(M2734/K2734,0)</f>
        <v>0.616171954964176</v>
      </c>
    </row>
    <row r="2735" customFormat="false" ht="15" hidden="false" customHeight="false" outlineLevel="0" collapsed="false">
      <c r="A2735" s="15" t="n">
        <v>46136</v>
      </c>
      <c r="B2735" s="14" t="s">
        <v>81</v>
      </c>
      <c r="C2735" s="14" t="s">
        <v>82</v>
      </c>
      <c r="D2735" s="14" t="s">
        <v>83</v>
      </c>
      <c r="E2735" s="14" t="s">
        <v>76</v>
      </c>
      <c r="F2735" s="14" t="s">
        <v>79</v>
      </c>
      <c r="G2735" s="14" t="s">
        <v>80</v>
      </c>
      <c r="H2735" s="0" t="n">
        <v>2</v>
      </c>
      <c r="I2735" s="16" t="n">
        <v>28.34</v>
      </c>
      <c r="J2735" s="16" t="n">
        <v>11</v>
      </c>
      <c r="K2735" s="16" t="n">
        <f aca="false">H2735*I2735</f>
        <v>56.68</v>
      </c>
      <c r="L2735" s="16" t="n">
        <f aca="false">H2735*J2735</f>
        <v>22</v>
      </c>
      <c r="M2735" s="16" t="n">
        <f aca="false">K2735-L2735</f>
        <v>34.68</v>
      </c>
      <c r="N2735" s="17" t="n">
        <f aca="false">IFERROR(M2735/K2735,0)</f>
        <v>0.611856033874383</v>
      </c>
    </row>
    <row r="2736" customFormat="false" ht="15" hidden="false" customHeight="false" outlineLevel="0" collapsed="false">
      <c r="A2736" s="15" t="n">
        <v>46136</v>
      </c>
      <c r="B2736" s="14" t="s">
        <v>81</v>
      </c>
      <c r="C2736" s="14" t="s">
        <v>82</v>
      </c>
      <c r="D2736" s="14" t="s">
        <v>83</v>
      </c>
      <c r="E2736" s="14" t="s">
        <v>53</v>
      </c>
      <c r="F2736" s="14" t="s">
        <v>92</v>
      </c>
      <c r="G2736" s="14" t="s">
        <v>93</v>
      </c>
      <c r="H2736" s="0" t="n">
        <v>7</v>
      </c>
      <c r="I2736" s="16" t="n">
        <v>114.2</v>
      </c>
      <c r="J2736" s="16" t="n">
        <v>52</v>
      </c>
      <c r="K2736" s="16" t="n">
        <f aca="false">H2736*I2736</f>
        <v>799.4</v>
      </c>
      <c r="L2736" s="16" t="n">
        <f aca="false">H2736*J2736</f>
        <v>364</v>
      </c>
      <c r="M2736" s="16" t="n">
        <f aca="false">K2736-L2736</f>
        <v>435.4</v>
      </c>
      <c r="N2736" s="17" t="n">
        <f aca="false">IFERROR(M2736/K2736,0)</f>
        <v>0.544658493870403</v>
      </c>
    </row>
    <row r="2737" customFormat="false" ht="15" hidden="false" customHeight="false" outlineLevel="0" collapsed="false">
      <c r="A2737" s="15" t="n">
        <v>46136</v>
      </c>
      <c r="B2737" s="14" t="s">
        <v>88</v>
      </c>
      <c r="C2737" s="14" t="s">
        <v>89</v>
      </c>
      <c r="D2737" s="14" t="s">
        <v>44</v>
      </c>
      <c r="E2737" s="14" t="s">
        <v>45</v>
      </c>
      <c r="F2737" s="14" t="s">
        <v>62</v>
      </c>
      <c r="G2737" s="14" t="s">
        <v>63</v>
      </c>
      <c r="H2737" s="0" t="n">
        <v>5</v>
      </c>
      <c r="I2737" s="16" t="n">
        <v>17.83</v>
      </c>
      <c r="J2737" s="16" t="n">
        <v>6.5</v>
      </c>
      <c r="K2737" s="16" t="n">
        <f aca="false">H2737*I2737</f>
        <v>89.15</v>
      </c>
      <c r="L2737" s="16" t="n">
        <f aca="false">H2737*J2737</f>
        <v>32.5</v>
      </c>
      <c r="M2737" s="16" t="n">
        <f aca="false">K2737-L2737</f>
        <v>56.65</v>
      </c>
      <c r="N2737" s="17" t="n">
        <f aca="false">IFERROR(M2737/K2737,0)</f>
        <v>0.635445877734156</v>
      </c>
    </row>
    <row r="2738" customFormat="false" ht="15" hidden="false" customHeight="false" outlineLevel="0" collapsed="false">
      <c r="A2738" s="15" t="n">
        <v>46136</v>
      </c>
      <c r="B2738" s="14" t="s">
        <v>88</v>
      </c>
      <c r="C2738" s="14" t="s">
        <v>89</v>
      </c>
      <c r="D2738" s="14" t="s">
        <v>44</v>
      </c>
      <c r="E2738" s="14" t="s">
        <v>76</v>
      </c>
      <c r="F2738" s="14" t="s">
        <v>102</v>
      </c>
      <c r="G2738" s="14" t="s">
        <v>103</v>
      </c>
      <c r="H2738" s="0" t="n">
        <v>2</v>
      </c>
      <c r="I2738" s="16" t="n">
        <v>22.43</v>
      </c>
      <c r="J2738" s="16" t="n">
        <v>8.5</v>
      </c>
      <c r="K2738" s="16" t="n">
        <f aca="false">H2738*I2738</f>
        <v>44.86</v>
      </c>
      <c r="L2738" s="16" t="n">
        <f aca="false">H2738*J2738</f>
        <v>17</v>
      </c>
      <c r="M2738" s="16" t="n">
        <f aca="false">K2738-L2738</f>
        <v>27.86</v>
      </c>
      <c r="N2738" s="17" t="n">
        <f aca="false">IFERROR(M2738/K2738,0)</f>
        <v>0.621043245653143</v>
      </c>
    </row>
    <row r="2739" customFormat="false" ht="15" hidden="false" customHeight="false" outlineLevel="0" collapsed="false">
      <c r="A2739" s="15" t="n">
        <v>46136</v>
      </c>
      <c r="B2739" s="14" t="s">
        <v>88</v>
      </c>
      <c r="C2739" s="14" t="s">
        <v>89</v>
      </c>
      <c r="D2739" s="14" t="s">
        <v>44</v>
      </c>
      <c r="E2739" s="14" t="s">
        <v>53</v>
      </c>
      <c r="F2739" s="14" t="s">
        <v>84</v>
      </c>
      <c r="G2739" s="14" t="s">
        <v>85</v>
      </c>
      <c r="H2739" s="0" t="n">
        <v>2</v>
      </c>
      <c r="I2739" s="16" t="n">
        <v>24.45</v>
      </c>
      <c r="J2739" s="16" t="n">
        <v>9</v>
      </c>
      <c r="K2739" s="16" t="n">
        <f aca="false">H2739*I2739</f>
        <v>48.9</v>
      </c>
      <c r="L2739" s="16" t="n">
        <f aca="false">H2739*J2739</f>
        <v>18</v>
      </c>
      <c r="M2739" s="16" t="n">
        <f aca="false">K2739-L2739</f>
        <v>30.9</v>
      </c>
      <c r="N2739" s="17" t="n">
        <f aca="false">IFERROR(M2739/K2739,0)</f>
        <v>0.631901840490798</v>
      </c>
    </row>
    <row r="2740" customFormat="false" ht="15" hidden="false" customHeight="false" outlineLevel="0" collapsed="false">
      <c r="A2740" s="15" t="n">
        <v>46136</v>
      </c>
      <c r="B2740" s="14" t="s">
        <v>88</v>
      </c>
      <c r="C2740" s="14" t="s">
        <v>89</v>
      </c>
      <c r="D2740" s="14" t="s">
        <v>44</v>
      </c>
      <c r="E2740" s="14" t="s">
        <v>53</v>
      </c>
      <c r="F2740" s="14" t="s">
        <v>92</v>
      </c>
      <c r="G2740" s="14" t="s">
        <v>93</v>
      </c>
      <c r="H2740" s="0" t="n">
        <v>1</v>
      </c>
      <c r="I2740" s="16" t="n">
        <v>114.98</v>
      </c>
      <c r="J2740" s="16" t="n">
        <v>52</v>
      </c>
      <c r="K2740" s="16" t="n">
        <f aca="false">H2740*I2740</f>
        <v>114.98</v>
      </c>
      <c r="L2740" s="16" t="n">
        <f aca="false">H2740*J2740</f>
        <v>52</v>
      </c>
      <c r="M2740" s="16" t="n">
        <f aca="false">K2740-L2740</f>
        <v>62.98</v>
      </c>
      <c r="N2740" s="17" t="n">
        <f aca="false">IFERROR(M2740/K2740,0)</f>
        <v>0.547747434336406</v>
      </c>
    </row>
    <row r="2741" customFormat="false" ht="15" hidden="false" customHeight="false" outlineLevel="0" collapsed="false">
      <c r="A2741" s="15" t="n">
        <v>46136</v>
      </c>
      <c r="B2741" s="14" t="s">
        <v>88</v>
      </c>
      <c r="C2741" s="14" t="s">
        <v>89</v>
      </c>
      <c r="D2741" s="14" t="s">
        <v>44</v>
      </c>
      <c r="E2741" s="14" t="s">
        <v>76</v>
      </c>
      <c r="F2741" s="14" t="s">
        <v>79</v>
      </c>
      <c r="G2741" s="14" t="s">
        <v>80</v>
      </c>
      <c r="H2741" s="0" t="n">
        <v>8</v>
      </c>
      <c r="I2741" s="16" t="n">
        <v>28.92</v>
      </c>
      <c r="J2741" s="16" t="n">
        <v>11</v>
      </c>
      <c r="K2741" s="16" t="n">
        <f aca="false">H2741*I2741</f>
        <v>231.36</v>
      </c>
      <c r="L2741" s="16" t="n">
        <f aca="false">H2741*J2741</f>
        <v>88</v>
      </c>
      <c r="M2741" s="16" t="n">
        <f aca="false">K2741-L2741</f>
        <v>143.36</v>
      </c>
      <c r="N2741" s="17" t="n">
        <f aca="false">IFERROR(M2741/K2741,0)</f>
        <v>0.619640387275242</v>
      </c>
    </row>
    <row r="2742" customFormat="false" ht="15" hidden="false" customHeight="false" outlineLevel="0" collapsed="false">
      <c r="A2742" s="15" t="n">
        <v>46137</v>
      </c>
      <c r="B2742" s="14" t="s">
        <v>42</v>
      </c>
      <c r="C2742" s="14" t="s">
        <v>43</v>
      </c>
      <c r="D2742" s="14" t="s">
        <v>44</v>
      </c>
      <c r="E2742" s="14" t="s">
        <v>53</v>
      </c>
      <c r="F2742" s="14" t="s">
        <v>84</v>
      </c>
      <c r="G2742" s="14" t="s">
        <v>85</v>
      </c>
      <c r="H2742" s="0" t="n">
        <v>13</v>
      </c>
      <c r="I2742" s="16" t="n">
        <v>24.66</v>
      </c>
      <c r="J2742" s="16" t="n">
        <v>9</v>
      </c>
      <c r="K2742" s="16" t="n">
        <f aca="false">H2742*I2742</f>
        <v>320.58</v>
      </c>
      <c r="L2742" s="16" t="n">
        <f aca="false">H2742*J2742</f>
        <v>117</v>
      </c>
      <c r="M2742" s="16" t="n">
        <f aca="false">K2742-L2742</f>
        <v>203.58</v>
      </c>
      <c r="N2742" s="17" t="n">
        <f aca="false">IFERROR(M2742/K2742,0)</f>
        <v>0.635036496350365</v>
      </c>
    </row>
    <row r="2743" customFormat="false" ht="15" hidden="false" customHeight="false" outlineLevel="0" collapsed="false">
      <c r="A2743" s="15" t="n">
        <v>46137</v>
      </c>
      <c r="B2743" s="14" t="s">
        <v>42</v>
      </c>
      <c r="C2743" s="14" t="s">
        <v>43</v>
      </c>
      <c r="D2743" s="14" t="s">
        <v>44</v>
      </c>
      <c r="E2743" s="14" t="s">
        <v>53</v>
      </c>
      <c r="F2743" s="14" t="s">
        <v>74</v>
      </c>
      <c r="G2743" s="14" t="s">
        <v>75</v>
      </c>
      <c r="H2743" s="0" t="n">
        <v>13</v>
      </c>
      <c r="I2743" s="16" t="n">
        <v>82.79</v>
      </c>
      <c r="J2743" s="16" t="n">
        <v>38</v>
      </c>
      <c r="K2743" s="16" t="n">
        <f aca="false">H2743*I2743</f>
        <v>1076.27</v>
      </c>
      <c r="L2743" s="16" t="n">
        <f aca="false">H2743*J2743</f>
        <v>494</v>
      </c>
      <c r="M2743" s="16" t="n">
        <f aca="false">K2743-L2743</f>
        <v>582.27</v>
      </c>
      <c r="N2743" s="17" t="n">
        <f aca="false">IFERROR(M2743/K2743,0)</f>
        <v>0.541007368039618</v>
      </c>
    </row>
    <row r="2744" customFormat="false" ht="15" hidden="false" customHeight="false" outlineLevel="0" collapsed="false">
      <c r="A2744" s="15" t="n">
        <v>46137</v>
      </c>
      <c r="B2744" s="14" t="s">
        <v>42</v>
      </c>
      <c r="C2744" s="14" t="s">
        <v>43</v>
      </c>
      <c r="D2744" s="14" t="s">
        <v>44</v>
      </c>
      <c r="E2744" s="14" t="s">
        <v>53</v>
      </c>
      <c r="F2744" s="14" t="s">
        <v>84</v>
      </c>
      <c r="G2744" s="14" t="s">
        <v>85</v>
      </c>
      <c r="H2744" s="0" t="n">
        <v>11</v>
      </c>
      <c r="I2744" s="16" t="n">
        <v>24.8</v>
      </c>
      <c r="J2744" s="16" t="n">
        <v>9</v>
      </c>
      <c r="K2744" s="16" t="n">
        <f aca="false">H2744*I2744</f>
        <v>272.8</v>
      </c>
      <c r="L2744" s="16" t="n">
        <f aca="false">H2744*J2744</f>
        <v>99</v>
      </c>
      <c r="M2744" s="16" t="n">
        <f aca="false">K2744-L2744</f>
        <v>173.8</v>
      </c>
      <c r="N2744" s="17" t="n">
        <f aca="false">IFERROR(M2744/K2744,0)</f>
        <v>0.637096774193548</v>
      </c>
    </row>
    <row r="2745" customFormat="false" ht="15" hidden="false" customHeight="false" outlineLevel="0" collapsed="false">
      <c r="A2745" s="15" t="n">
        <v>46137</v>
      </c>
      <c r="B2745" s="14" t="s">
        <v>42</v>
      </c>
      <c r="C2745" s="14" t="s">
        <v>43</v>
      </c>
      <c r="D2745" s="14" t="s">
        <v>44</v>
      </c>
      <c r="E2745" s="14" t="s">
        <v>64</v>
      </c>
      <c r="F2745" s="14" t="s">
        <v>90</v>
      </c>
      <c r="G2745" s="14" t="s">
        <v>91</v>
      </c>
      <c r="H2745" s="0" t="n">
        <v>3</v>
      </c>
      <c r="I2745" s="16" t="n">
        <v>11.37</v>
      </c>
      <c r="J2745" s="16" t="n">
        <v>3.5</v>
      </c>
      <c r="K2745" s="16" t="n">
        <f aca="false">H2745*I2745</f>
        <v>34.11</v>
      </c>
      <c r="L2745" s="16" t="n">
        <f aca="false">H2745*J2745</f>
        <v>10.5</v>
      </c>
      <c r="M2745" s="16" t="n">
        <f aca="false">K2745-L2745</f>
        <v>23.61</v>
      </c>
      <c r="N2745" s="17" t="n">
        <f aca="false">IFERROR(M2745/K2745,0)</f>
        <v>0.692172383465259</v>
      </c>
    </row>
    <row r="2746" customFormat="false" ht="15" hidden="false" customHeight="false" outlineLevel="0" collapsed="false">
      <c r="A2746" s="15" t="n">
        <v>46137</v>
      </c>
      <c r="B2746" s="14" t="s">
        <v>42</v>
      </c>
      <c r="C2746" s="14" t="s">
        <v>43</v>
      </c>
      <c r="D2746" s="14" t="s">
        <v>44</v>
      </c>
      <c r="E2746" s="14" t="s">
        <v>56</v>
      </c>
      <c r="F2746" s="14" t="s">
        <v>98</v>
      </c>
      <c r="G2746" s="14" t="s">
        <v>99</v>
      </c>
      <c r="H2746" s="0" t="n">
        <v>7</v>
      </c>
      <c r="I2746" s="16" t="n">
        <v>21.8</v>
      </c>
      <c r="J2746" s="16" t="n">
        <v>8</v>
      </c>
      <c r="K2746" s="16" t="n">
        <f aca="false">H2746*I2746</f>
        <v>152.6</v>
      </c>
      <c r="L2746" s="16" t="n">
        <f aca="false">H2746*J2746</f>
        <v>56</v>
      </c>
      <c r="M2746" s="16" t="n">
        <f aca="false">K2746-L2746</f>
        <v>96.6</v>
      </c>
      <c r="N2746" s="17" t="n">
        <f aca="false">IFERROR(M2746/K2746,0)</f>
        <v>0.63302752293578</v>
      </c>
    </row>
    <row r="2747" customFormat="false" ht="15" hidden="false" customHeight="false" outlineLevel="0" collapsed="false">
      <c r="A2747" s="15" t="n">
        <v>46137</v>
      </c>
      <c r="B2747" s="14" t="s">
        <v>50</v>
      </c>
      <c r="C2747" s="14" t="s">
        <v>51</v>
      </c>
      <c r="D2747" s="14" t="s">
        <v>52</v>
      </c>
      <c r="E2747" s="14" t="s">
        <v>53</v>
      </c>
      <c r="F2747" s="14" t="s">
        <v>92</v>
      </c>
      <c r="G2747" s="14" t="s">
        <v>93</v>
      </c>
      <c r="H2747" s="0" t="n">
        <v>10</v>
      </c>
      <c r="I2747" s="16" t="n">
        <v>113.66</v>
      </c>
      <c r="J2747" s="16" t="n">
        <v>52</v>
      </c>
      <c r="K2747" s="16" t="n">
        <f aca="false">H2747*I2747</f>
        <v>1136.6</v>
      </c>
      <c r="L2747" s="16" t="n">
        <f aca="false">H2747*J2747</f>
        <v>520</v>
      </c>
      <c r="M2747" s="16" t="n">
        <f aca="false">K2747-L2747</f>
        <v>616.6</v>
      </c>
      <c r="N2747" s="17" t="n">
        <f aca="false">IFERROR(M2747/K2747,0)</f>
        <v>0.542495161006511</v>
      </c>
    </row>
    <row r="2748" customFormat="false" ht="15" hidden="false" customHeight="false" outlineLevel="0" collapsed="false">
      <c r="A2748" s="15" t="n">
        <v>46137</v>
      </c>
      <c r="B2748" s="14" t="s">
        <v>50</v>
      </c>
      <c r="C2748" s="14" t="s">
        <v>51</v>
      </c>
      <c r="D2748" s="14" t="s">
        <v>52</v>
      </c>
      <c r="E2748" s="14" t="s">
        <v>45</v>
      </c>
      <c r="F2748" s="14" t="s">
        <v>72</v>
      </c>
      <c r="G2748" s="14" t="s">
        <v>73</v>
      </c>
      <c r="H2748" s="0" t="n">
        <v>3</v>
      </c>
      <c r="I2748" s="16" t="n">
        <v>50.53</v>
      </c>
      <c r="J2748" s="16" t="n">
        <v>21</v>
      </c>
      <c r="K2748" s="16" t="n">
        <f aca="false">H2748*I2748</f>
        <v>151.59</v>
      </c>
      <c r="L2748" s="16" t="n">
        <f aca="false">H2748*J2748</f>
        <v>63</v>
      </c>
      <c r="M2748" s="16" t="n">
        <f aca="false">K2748-L2748</f>
        <v>88.59</v>
      </c>
      <c r="N2748" s="17" t="n">
        <f aca="false">IFERROR(M2748/K2748,0)</f>
        <v>0.584405303779933</v>
      </c>
    </row>
    <row r="2749" customFormat="false" ht="15" hidden="false" customHeight="false" outlineLevel="0" collapsed="false">
      <c r="A2749" s="15" t="n">
        <v>46137</v>
      </c>
      <c r="B2749" s="14" t="s">
        <v>50</v>
      </c>
      <c r="C2749" s="14" t="s">
        <v>51</v>
      </c>
      <c r="D2749" s="14" t="s">
        <v>52</v>
      </c>
      <c r="E2749" s="14" t="s">
        <v>53</v>
      </c>
      <c r="F2749" s="14" t="s">
        <v>84</v>
      </c>
      <c r="G2749" s="14" t="s">
        <v>85</v>
      </c>
      <c r="H2749" s="0" t="n">
        <v>7</v>
      </c>
      <c r="I2749" s="16" t="n">
        <v>23.09</v>
      </c>
      <c r="J2749" s="16" t="n">
        <v>9</v>
      </c>
      <c r="K2749" s="16" t="n">
        <f aca="false">H2749*I2749</f>
        <v>161.63</v>
      </c>
      <c r="L2749" s="16" t="n">
        <f aca="false">H2749*J2749</f>
        <v>63</v>
      </c>
      <c r="M2749" s="16" t="n">
        <f aca="false">K2749-L2749</f>
        <v>98.63</v>
      </c>
      <c r="N2749" s="17" t="n">
        <f aca="false">IFERROR(M2749/K2749,0)</f>
        <v>0.610220874837592</v>
      </c>
    </row>
    <row r="2750" customFormat="false" ht="15" hidden="false" customHeight="false" outlineLevel="0" collapsed="false">
      <c r="A2750" s="15" t="n">
        <v>46137</v>
      </c>
      <c r="B2750" s="14" t="s">
        <v>59</v>
      </c>
      <c r="C2750" s="14" t="s">
        <v>60</v>
      </c>
      <c r="D2750" s="14" t="s">
        <v>61</v>
      </c>
      <c r="E2750" s="14" t="s">
        <v>64</v>
      </c>
      <c r="F2750" s="14" t="s">
        <v>65</v>
      </c>
      <c r="G2750" s="14" t="s">
        <v>66</v>
      </c>
      <c r="H2750" s="0" t="n">
        <v>6</v>
      </c>
      <c r="I2750" s="16" t="n">
        <v>75.11</v>
      </c>
      <c r="J2750" s="16" t="n">
        <v>34</v>
      </c>
      <c r="K2750" s="16" t="n">
        <f aca="false">H2750*I2750</f>
        <v>450.66</v>
      </c>
      <c r="L2750" s="16" t="n">
        <f aca="false">H2750*J2750</f>
        <v>204</v>
      </c>
      <c r="M2750" s="16" t="n">
        <f aca="false">K2750-L2750</f>
        <v>246.66</v>
      </c>
      <c r="N2750" s="17" t="n">
        <f aca="false">IFERROR(M2750/K2750,0)</f>
        <v>0.54733058181334</v>
      </c>
    </row>
    <row r="2751" customFormat="false" ht="15" hidden="false" customHeight="false" outlineLevel="0" collapsed="false">
      <c r="A2751" s="15" t="n">
        <v>46137</v>
      </c>
      <c r="B2751" s="14" t="s">
        <v>59</v>
      </c>
      <c r="C2751" s="14" t="s">
        <v>60</v>
      </c>
      <c r="D2751" s="14" t="s">
        <v>61</v>
      </c>
      <c r="E2751" s="14" t="s">
        <v>53</v>
      </c>
      <c r="F2751" s="14" t="s">
        <v>84</v>
      </c>
      <c r="G2751" s="14" t="s">
        <v>85</v>
      </c>
      <c r="H2751" s="0" t="n">
        <v>4</v>
      </c>
      <c r="I2751" s="16" t="n">
        <v>23.57</v>
      </c>
      <c r="J2751" s="16" t="n">
        <v>9</v>
      </c>
      <c r="K2751" s="16" t="n">
        <f aca="false">H2751*I2751</f>
        <v>94.28</v>
      </c>
      <c r="L2751" s="16" t="n">
        <f aca="false">H2751*J2751</f>
        <v>36</v>
      </c>
      <c r="M2751" s="16" t="n">
        <f aca="false">K2751-L2751</f>
        <v>58.28</v>
      </c>
      <c r="N2751" s="17" t="n">
        <f aca="false">IFERROR(M2751/K2751,0)</f>
        <v>0.618158676283411</v>
      </c>
    </row>
    <row r="2752" customFormat="false" ht="15" hidden="false" customHeight="false" outlineLevel="0" collapsed="false">
      <c r="A2752" s="15" t="n">
        <v>46137</v>
      </c>
      <c r="B2752" s="14" t="s">
        <v>59</v>
      </c>
      <c r="C2752" s="14" t="s">
        <v>60</v>
      </c>
      <c r="D2752" s="14" t="s">
        <v>61</v>
      </c>
      <c r="E2752" s="14" t="s">
        <v>64</v>
      </c>
      <c r="F2752" s="14" t="s">
        <v>90</v>
      </c>
      <c r="G2752" s="14" t="s">
        <v>91</v>
      </c>
      <c r="H2752" s="0" t="n">
        <v>1</v>
      </c>
      <c r="I2752" s="16" t="n">
        <v>11.29</v>
      </c>
      <c r="J2752" s="16" t="n">
        <v>3.5</v>
      </c>
      <c r="K2752" s="16" t="n">
        <f aca="false">H2752*I2752</f>
        <v>11.29</v>
      </c>
      <c r="L2752" s="16" t="n">
        <f aca="false">H2752*J2752</f>
        <v>3.5</v>
      </c>
      <c r="M2752" s="16" t="n">
        <f aca="false">K2752-L2752</f>
        <v>7.79</v>
      </c>
      <c r="N2752" s="17" t="n">
        <f aca="false">IFERROR(M2752/K2752,0)</f>
        <v>0.689991142604074</v>
      </c>
    </row>
    <row r="2753" customFormat="false" ht="15" hidden="false" customHeight="false" outlineLevel="0" collapsed="false">
      <c r="A2753" s="15" t="n">
        <v>46137</v>
      </c>
      <c r="B2753" s="14" t="s">
        <v>59</v>
      </c>
      <c r="C2753" s="14" t="s">
        <v>60</v>
      </c>
      <c r="D2753" s="14" t="s">
        <v>61</v>
      </c>
      <c r="E2753" s="14" t="s">
        <v>64</v>
      </c>
      <c r="F2753" s="14" t="s">
        <v>96</v>
      </c>
      <c r="G2753" s="14" t="s">
        <v>97</v>
      </c>
      <c r="H2753" s="0" t="n">
        <v>3</v>
      </c>
      <c r="I2753" s="16" t="n">
        <v>56.16</v>
      </c>
      <c r="J2753" s="16" t="n">
        <v>24</v>
      </c>
      <c r="K2753" s="16" t="n">
        <f aca="false">H2753*I2753</f>
        <v>168.48</v>
      </c>
      <c r="L2753" s="16" t="n">
        <f aca="false">H2753*J2753</f>
        <v>72</v>
      </c>
      <c r="M2753" s="16" t="n">
        <f aca="false">K2753-L2753</f>
        <v>96.48</v>
      </c>
      <c r="N2753" s="17" t="n">
        <f aca="false">IFERROR(M2753/K2753,0)</f>
        <v>0.572649572649573</v>
      </c>
    </row>
    <row r="2754" customFormat="false" ht="15" hidden="false" customHeight="false" outlineLevel="0" collapsed="false">
      <c r="A2754" s="15" t="n">
        <v>46137</v>
      </c>
      <c r="B2754" s="14" t="s">
        <v>69</v>
      </c>
      <c r="C2754" s="14" t="s">
        <v>70</v>
      </c>
      <c r="D2754" s="14" t="s">
        <v>71</v>
      </c>
      <c r="E2754" s="14" t="s">
        <v>45</v>
      </c>
      <c r="F2754" s="14" t="s">
        <v>72</v>
      </c>
      <c r="G2754" s="14" t="s">
        <v>73</v>
      </c>
      <c r="H2754" s="0" t="n">
        <v>3</v>
      </c>
      <c r="I2754" s="16" t="n">
        <v>49.28</v>
      </c>
      <c r="J2754" s="16" t="n">
        <v>21</v>
      </c>
      <c r="K2754" s="16" t="n">
        <f aca="false">H2754*I2754</f>
        <v>147.84</v>
      </c>
      <c r="L2754" s="16" t="n">
        <f aca="false">H2754*J2754</f>
        <v>63</v>
      </c>
      <c r="M2754" s="16" t="n">
        <f aca="false">K2754-L2754</f>
        <v>84.84</v>
      </c>
      <c r="N2754" s="17" t="n">
        <f aca="false">IFERROR(M2754/K2754,0)</f>
        <v>0.573863636363636</v>
      </c>
    </row>
    <row r="2755" customFormat="false" ht="15" hidden="false" customHeight="false" outlineLevel="0" collapsed="false">
      <c r="A2755" s="15" t="n">
        <v>46137</v>
      </c>
      <c r="B2755" s="14" t="s">
        <v>69</v>
      </c>
      <c r="C2755" s="14" t="s">
        <v>70</v>
      </c>
      <c r="D2755" s="14" t="s">
        <v>71</v>
      </c>
      <c r="E2755" s="14" t="s">
        <v>45</v>
      </c>
      <c r="F2755" s="14" t="s">
        <v>72</v>
      </c>
      <c r="G2755" s="14" t="s">
        <v>73</v>
      </c>
      <c r="H2755" s="0" t="n">
        <v>1</v>
      </c>
      <c r="I2755" s="16" t="n">
        <v>48.51</v>
      </c>
      <c r="J2755" s="16" t="n">
        <v>21</v>
      </c>
      <c r="K2755" s="16" t="n">
        <f aca="false">H2755*I2755</f>
        <v>48.51</v>
      </c>
      <c r="L2755" s="16" t="n">
        <f aca="false">H2755*J2755</f>
        <v>21</v>
      </c>
      <c r="M2755" s="16" t="n">
        <f aca="false">K2755-L2755</f>
        <v>27.51</v>
      </c>
      <c r="N2755" s="17" t="n">
        <f aca="false">IFERROR(M2755/K2755,0)</f>
        <v>0.567099567099567</v>
      </c>
    </row>
    <row r="2756" customFormat="false" ht="15" hidden="false" customHeight="false" outlineLevel="0" collapsed="false">
      <c r="A2756" s="15" t="n">
        <v>46137</v>
      </c>
      <c r="B2756" s="14" t="s">
        <v>69</v>
      </c>
      <c r="C2756" s="14" t="s">
        <v>70</v>
      </c>
      <c r="D2756" s="14" t="s">
        <v>71</v>
      </c>
      <c r="E2756" s="14" t="s">
        <v>53</v>
      </c>
      <c r="F2756" s="14" t="s">
        <v>84</v>
      </c>
      <c r="G2756" s="14" t="s">
        <v>85</v>
      </c>
      <c r="H2756" s="0" t="n">
        <v>10</v>
      </c>
      <c r="I2756" s="16" t="n">
        <v>23.02</v>
      </c>
      <c r="J2756" s="16" t="n">
        <v>9</v>
      </c>
      <c r="K2756" s="16" t="n">
        <f aca="false">H2756*I2756</f>
        <v>230.2</v>
      </c>
      <c r="L2756" s="16" t="n">
        <f aca="false">H2756*J2756</f>
        <v>90</v>
      </c>
      <c r="M2756" s="16" t="n">
        <f aca="false">K2756-L2756</f>
        <v>140.2</v>
      </c>
      <c r="N2756" s="17" t="n">
        <f aca="false">IFERROR(M2756/K2756,0)</f>
        <v>0.609035621198957</v>
      </c>
    </row>
    <row r="2757" customFormat="false" ht="15" hidden="false" customHeight="false" outlineLevel="0" collapsed="false">
      <c r="A2757" s="15" t="n">
        <v>46137</v>
      </c>
      <c r="B2757" s="14" t="s">
        <v>69</v>
      </c>
      <c r="C2757" s="14" t="s">
        <v>70</v>
      </c>
      <c r="D2757" s="14" t="s">
        <v>71</v>
      </c>
      <c r="E2757" s="14" t="s">
        <v>64</v>
      </c>
      <c r="F2757" s="14" t="s">
        <v>90</v>
      </c>
      <c r="G2757" s="14" t="s">
        <v>91</v>
      </c>
      <c r="H2757" s="0" t="n">
        <v>1</v>
      </c>
      <c r="I2757" s="16" t="n">
        <v>11.33</v>
      </c>
      <c r="J2757" s="16" t="n">
        <v>3.5</v>
      </c>
      <c r="K2757" s="16" t="n">
        <f aca="false">H2757*I2757</f>
        <v>11.33</v>
      </c>
      <c r="L2757" s="16" t="n">
        <f aca="false">H2757*J2757</f>
        <v>3.5</v>
      </c>
      <c r="M2757" s="16" t="n">
        <f aca="false">K2757-L2757</f>
        <v>7.83</v>
      </c>
      <c r="N2757" s="17" t="n">
        <f aca="false">IFERROR(M2757/K2757,0)</f>
        <v>0.691085613415711</v>
      </c>
    </row>
    <row r="2758" customFormat="false" ht="15" hidden="false" customHeight="false" outlineLevel="0" collapsed="false">
      <c r="A2758" s="15" t="n">
        <v>46137</v>
      </c>
      <c r="B2758" s="14" t="s">
        <v>69</v>
      </c>
      <c r="C2758" s="14" t="s">
        <v>70</v>
      </c>
      <c r="D2758" s="14" t="s">
        <v>71</v>
      </c>
      <c r="E2758" s="14" t="s">
        <v>76</v>
      </c>
      <c r="F2758" s="14" t="s">
        <v>79</v>
      </c>
      <c r="G2758" s="14" t="s">
        <v>80</v>
      </c>
      <c r="H2758" s="0" t="n">
        <v>8</v>
      </c>
      <c r="I2758" s="16" t="n">
        <v>28.8</v>
      </c>
      <c r="J2758" s="16" t="n">
        <v>11</v>
      </c>
      <c r="K2758" s="16" t="n">
        <f aca="false">H2758*I2758</f>
        <v>230.4</v>
      </c>
      <c r="L2758" s="16" t="n">
        <f aca="false">H2758*J2758</f>
        <v>88</v>
      </c>
      <c r="M2758" s="16" t="n">
        <f aca="false">K2758-L2758</f>
        <v>142.4</v>
      </c>
      <c r="N2758" s="17" t="n">
        <f aca="false">IFERROR(M2758/K2758,0)</f>
        <v>0.618055555555556</v>
      </c>
    </row>
    <row r="2759" customFormat="false" ht="15" hidden="false" customHeight="false" outlineLevel="0" collapsed="false">
      <c r="A2759" s="15" t="n">
        <v>46137</v>
      </c>
      <c r="B2759" s="14" t="s">
        <v>69</v>
      </c>
      <c r="C2759" s="14" t="s">
        <v>70</v>
      </c>
      <c r="D2759" s="14" t="s">
        <v>71</v>
      </c>
      <c r="E2759" s="14" t="s">
        <v>64</v>
      </c>
      <c r="F2759" s="14" t="s">
        <v>94</v>
      </c>
      <c r="G2759" s="14" t="s">
        <v>95</v>
      </c>
      <c r="H2759" s="0" t="n">
        <v>6</v>
      </c>
      <c r="I2759" s="16" t="n">
        <v>91.96</v>
      </c>
      <c r="J2759" s="16" t="n">
        <v>42</v>
      </c>
      <c r="K2759" s="16" t="n">
        <f aca="false">H2759*I2759</f>
        <v>551.76</v>
      </c>
      <c r="L2759" s="16" t="n">
        <f aca="false">H2759*J2759</f>
        <v>252</v>
      </c>
      <c r="M2759" s="16" t="n">
        <f aca="false">K2759-L2759</f>
        <v>299.76</v>
      </c>
      <c r="N2759" s="17" t="n">
        <f aca="false">IFERROR(M2759/K2759,0)</f>
        <v>0.543279686820357</v>
      </c>
    </row>
    <row r="2760" customFormat="false" ht="15" hidden="false" customHeight="false" outlineLevel="0" collapsed="false">
      <c r="A2760" s="15" t="n">
        <v>46137</v>
      </c>
      <c r="B2760" s="14" t="s">
        <v>81</v>
      </c>
      <c r="C2760" s="14" t="s">
        <v>82</v>
      </c>
      <c r="D2760" s="14" t="s">
        <v>83</v>
      </c>
      <c r="E2760" s="14" t="s">
        <v>64</v>
      </c>
      <c r="F2760" s="14" t="s">
        <v>90</v>
      </c>
      <c r="G2760" s="14" t="s">
        <v>91</v>
      </c>
      <c r="H2760" s="0" t="n">
        <v>2</v>
      </c>
      <c r="I2760" s="16" t="n">
        <v>11.18</v>
      </c>
      <c r="J2760" s="16" t="n">
        <v>3.5</v>
      </c>
      <c r="K2760" s="16" t="n">
        <f aca="false">H2760*I2760</f>
        <v>22.36</v>
      </c>
      <c r="L2760" s="16" t="n">
        <f aca="false">H2760*J2760</f>
        <v>7</v>
      </c>
      <c r="M2760" s="16" t="n">
        <f aca="false">K2760-L2760</f>
        <v>15.36</v>
      </c>
      <c r="N2760" s="17" t="n">
        <f aca="false">IFERROR(M2760/K2760,0)</f>
        <v>0.686940966010733</v>
      </c>
    </row>
    <row r="2761" customFormat="false" ht="15" hidden="false" customHeight="false" outlineLevel="0" collapsed="false">
      <c r="A2761" s="15" t="n">
        <v>46137</v>
      </c>
      <c r="B2761" s="14" t="s">
        <v>81</v>
      </c>
      <c r="C2761" s="14" t="s">
        <v>82</v>
      </c>
      <c r="D2761" s="14" t="s">
        <v>83</v>
      </c>
      <c r="E2761" s="14" t="s">
        <v>76</v>
      </c>
      <c r="F2761" s="14" t="s">
        <v>102</v>
      </c>
      <c r="G2761" s="14" t="s">
        <v>103</v>
      </c>
      <c r="H2761" s="0" t="n">
        <v>4</v>
      </c>
      <c r="I2761" s="16" t="n">
        <v>23.07</v>
      </c>
      <c r="J2761" s="16" t="n">
        <v>8.5</v>
      </c>
      <c r="K2761" s="16" t="n">
        <f aca="false">H2761*I2761</f>
        <v>92.28</v>
      </c>
      <c r="L2761" s="16" t="n">
        <f aca="false">H2761*J2761</f>
        <v>34</v>
      </c>
      <c r="M2761" s="16" t="n">
        <f aca="false">K2761-L2761</f>
        <v>58.28</v>
      </c>
      <c r="N2761" s="17" t="n">
        <f aca="false">IFERROR(M2761/K2761,0)</f>
        <v>0.631556133506719</v>
      </c>
    </row>
    <row r="2762" customFormat="false" ht="15" hidden="false" customHeight="false" outlineLevel="0" collapsed="false">
      <c r="A2762" s="15" t="n">
        <v>46137</v>
      </c>
      <c r="B2762" s="14" t="s">
        <v>81</v>
      </c>
      <c r="C2762" s="14" t="s">
        <v>82</v>
      </c>
      <c r="D2762" s="14" t="s">
        <v>83</v>
      </c>
      <c r="E2762" s="14" t="s">
        <v>56</v>
      </c>
      <c r="F2762" s="14" t="s">
        <v>57</v>
      </c>
      <c r="G2762" s="14" t="s">
        <v>58</v>
      </c>
      <c r="H2762" s="0" t="n">
        <v>7</v>
      </c>
      <c r="I2762" s="16" t="n">
        <v>24.94</v>
      </c>
      <c r="J2762" s="16" t="n">
        <v>10</v>
      </c>
      <c r="K2762" s="16" t="n">
        <f aca="false">H2762*I2762</f>
        <v>174.58</v>
      </c>
      <c r="L2762" s="16" t="n">
        <f aca="false">H2762*J2762</f>
        <v>70</v>
      </c>
      <c r="M2762" s="16" t="n">
        <f aca="false">K2762-L2762</f>
        <v>104.58</v>
      </c>
      <c r="N2762" s="17" t="n">
        <f aca="false">IFERROR(M2762/K2762,0)</f>
        <v>0.599037690457097</v>
      </c>
    </row>
    <row r="2763" customFormat="false" ht="15" hidden="false" customHeight="false" outlineLevel="0" collapsed="false">
      <c r="A2763" s="15" t="n">
        <v>46137</v>
      </c>
      <c r="B2763" s="14" t="s">
        <v>88</v>
      </c>
      <c r="C2763" s="14" t="s">
        <v>89</v>
      </c>
      <c r="D2763" s="14" t="s">
        <v>44</v>
      </c>
      <c r="E2763" s="14" t="s">
        <v>45</v>
      </c>
      <c r="F2763" s="14" t="s">
        <v>48</v>
      </c>
      <c r="G2763" s="14" t="s">
        <v>49</v>
      </c>
      <c r="H2763" s="0" t="n">
        <v>13</v>
      </c>
      <c r="I2763" s="16" t="n">
        <v>65.06</v>
      </c>
      <c r="J2763" s="16" t="n">
        <v>27.5</v>
      </c>
      <c r="K2763" s="16" t="n">
        <f aca="false">H2763*I2763</f>
        <v>845.78</v>
      </c>
      <c r="L2763" s="16" t="n">
        <f aca="false">H2763*J2763</f>
        <v>357.5</v>
      </c>
      <c r="M2763" s="16" t="n">
        <f aca="false">K2763-L2763</f>
        <v>488.28</v>
      </c>
      <c r="N2763" s="17" t="n">
        <f aca="false">IFERROR(M2763/K2763,0)</f>
        <v>0.577313249308331</v>
      </c>
    </row>
    <row r="2764" customFormat="false" ht="15" hidden="false" customHeight="false" outlineLevel="0" collapsed="false">
      <c r="A2764" s="15" t="n">
        <v>46137</v>
      </c>
      <c r="B2764" s="14" t="s">
        <v>88</v>
      </c>
      <c r="C2764" s="14" t="s">
        <v>89</v>
      </c>
      <c r="D2764" s="14" t="s">
        <v>44</v>
      </c>
      <c r="E2764" s="14" t="s">
        <v>45</v>
      </c>
      <c r="F2764" s="14" t="s">
        <v>46</v>
      </c>
      <c r="G2764" s="14" t="s">
        <v>47</v>
      </c>
      <c r="H2764" s="0" t="n">
        <v>8</v>
      </c>
      <c r="I2764" s="16" t="n">
        <v>42.93</v>
      </c>
      <c r="J2764" s="16" t="n">
        <v>18</v>
      </c>
      <c r="K2764" s="16" t="n">
        <f aca="false">H2764*I2764</f>
        <v>343.44</v>
      </c>
      <c r="L2764" s="16" t="n">
        <f aca="false">H2764*J2764</f>
        <v>144</v>
      </c>
      <c r="M2764" s="16" t="n">
        <f aca="false">K2764-L2764</f>
        <v>199.44</v>
      </c>
      <c r="N2764" s="17" t="n">
        <f aca="false">IFERROR(M2764/K2764,0)</f>
        <v>0.580712788259958</v>
      </c>
    </row>
    <row r="2765" customFormat="false" ht="15" hidden="false" customHeight="false" outlineLevel="0" collapsed="false">
      <c r="A2765" s="15" t="n">
        <v>46137</v>
      </c>
      <c r="B2765" s="14" t="s">
        <v>88</v>
      </c>
      <c r="C2765" s="14" t="s">
        <v>89</v>
      </c>
      <c r="D2765" s="14" t="s">
        <v>44</v>
      </c>
      <c r="E2765" s="14" t="s">
        <v>76</v>
      </c>
      <c r="F2765" s="14" t="s">
        <v>79</v>
      </c>
      <c r="G2765" s="14" t="s">
        <v>80</v>
      </c>
      <c r="H2765" s="0" t="n">
        <v>7</v>
      </c>
      <c r="I2765" s="16" t="n">
        <v>28.03</v>
      </c>
      <c r="J2765" s="16" t="n">
        <v>11</v>
      </c>
      <c r="K2765" s="16" t="n">
        <f aca="false">H2765*I2765</f>
        <v>196.21</v>
      </c>
      <c r="L2765" s="16" t="n">
        <f aca="false">H2765*J2765</f>
        <v>77</v>
      </c>
      <c r="M2765" s="16" t="n">
        <f aca="false">K2765-L2765</f>
        <v>119.21</v>
      </c>
      <c r="N2765" s="17" t="n">
        <f aca="false">IFERROR(M2765/K2765,0)</f>
        <v>0.607563325008919</v>
      </c>
    </row>
    <row r="2766" customFormat="false" ht="15" hidden="false" customHeight="false" outlineLevel="0" collapsed="false">
      <c r="A2766" s="15" t="n">
        <v>46137</v>
      </c>
      <c r="B2766" s="14" t="s">
        <v>88</v>
      </c>
      <c r="C2766" s="14" t="s">
        <v>89</v>
      </c>
      <c r="D2766" s="14" t="s">
        <v>44</v>
      </c>
      <c r="E2766" s="14" t="s">
        <v>76</v>
      </c>
      <c r="F2766" s="14" t="s">
        <v>100</v>
      </c>
      <c r="G2766" s="14" t="s">
        <v>101</v>
      </c>
      <c r="H2766" s="0" t="n">
        <v>1</v>
      </c>
      <c r="I2766" s="16" t="n">
        <v>15.29</v>
      </c>
      <c r="J2766" s="16" t="n">
        <v>5.5</v>
      </c>
      <c r="K2766" s="16" t="n">
        <f aca="false">H2766*I2766</f>
        <v>15.29</v>
      </c>
      <c r="L2766" s="16" t="n">
        <f aca="false">H2766*J2766</f>
        <v>5.5</v>
      </c>
      <c r="M2766" s="16" t="n">
        <f aca="false">K2766-L2766</f>
        <v>9.79</v>
      </c>
      <c r="N2766" s="17" t="n">
        <f aca="false">IFERROR(M2766/K2766,0)</f>
        <v>0.640287769784173</v>
      </c>
    </row>
    <row r="2767" customFormat="false" ht="15" hidden="false" customHeight="false" outlineLevel="0" collapsed="false">
      <c r="A2767" s="15" t="n">
        <v>46138</v>
      </c>
      <c r="B2767" s="14" t="s">
        <v>42</v>
      </c>
      <c r="C2767" s="14" t="s">
        <v>43</v>
      </c>
      <c r="D2767" s="14" t="s">
        <v>44</v>
      </c>
      <c r="E2767" s="14" t="s">
        <v>45</v>
      </c>
      <c r="F2767" s="14" t="s">
        <v>48</v>
      </c>
      <c r="G2767" s="14" t="s">
        <v>49</v>
      </c>
      <c r="H2767" s="0" t="n">
        <v>12</v>
      </c>
      <c r="I2767" s="16" t="n">
        <v>66.54</v>
      </c>
      <c r="J2767" s="16" t="n">
        <v>27.5</v>
      </c>
      <c r="K2767" s="16" t="n">
        <f aca="false">H2767*I2767</f>
        <v>798.48</v>
      </c>
      <c r="L2767" s="16" t="n">
        <f aca="false">H2767*J2767</f>
        <v>330</v>
      </c>
      <c r="M2767" s="16" t="n">
        <f aca="false">K2767-L2767</f>
        <v>468.48</v>
      </c>
      <c r="N2767" s="17" t="n">
        <f aca="false">IFERROR(M2767/K2767,0)</f>
        <v>0.586714758040277</v>
      </c>
    </row>
    <row r="2768" customFormat="false" ht="15" hidden="false" customHeight="false" outlineLevel="0" collapsed="false">
      <c r="A2768" s="15" t="n">
        <v>46138</v>
      </c>
      <c r="B2768" s="14" t="s">
        <v>42</v>
      </c>
      <c r="C2768" s="14" t="s">
        <v>43</v>
      </c>
      <c r="D2768" s="14" t="s">
        <v>44</v>
      </c>
      <c r="E2768" s="14" t="s">
        <v>56</v>
      </c>
      <c r="F2768" s="14" t="s">
        <v>57</v>
      </c>
      <c r="G2768" s="14" t="s">
        <v>58</v>
      </c>
      <c r="H2768" s="0" t="n">
        <v>7</v>
      </c>
      <c r="I2768" s="16" t="n">
        <v>25.22</v>
      </c>
      <c r="J2768" s="16" t="n">
        <v>10</v>
      </c>
      <c r="K2768" s="16" t="n">
        <f aca="false">H2768*I2768</f>
        <v>176.54</v>
      </c>
      <c r="L2768" s="16" t="n">
        <f aca="false">H2768*J2768</f>
        <v>70</v>
      </c>
      <c r="M2768" s="16" t="n">
        <f aca="false">K2768-L2768</f>
        <v>106.54</v>
      </c>
      <c r="N2768" s="17" t="n">
        <f aca="false">IFERROR(M2768/K2768,0)</f>
        <v>0.603489294210944</v>
      </c>
    </row>
    <row r="2769" customFormat="false" ht="15" hidden="false" customHeight="false" outlineLevel="0" collapsed="false">
      <c r="A2769" s="15" t="n">
        <v>46138</v>
      </c>
      <c r="B2769" s="14" t="s">
        <v>42</v>
      </c>
      <c r="C2769" s="14" t="s">
        <v>43</v>
      </c>
      <c r="D2769" s="14" t="s">
        <v>44</v>
      </c>
      <c r="E2769" s="14" t="s">
        <v>56</v>
      </c>
      <c r="F2769" s="14" t="s">
        <v>98</v>
      </c>
      <c r="G2769" s="14" t="s">
        <v>99</v>
      </c>
      <c r="H2769" s="0" t="n">
        <v>5</v>
      </c>
      <c r="I2769" s="16" t="n">
        <v>21.52</v>
      </c>
      <c r="J2769" s="16" t="n">
        <v>8</v>
      </c>
      <c r="K2769" s="16" t="n">
        <f aca="false">H2769*I2769</f>
        <v>107.6</v>
      </c>
      <c r="L2769" s="16" t="n">
        <f aca="false">H2769*J2769</f>
        <v>40</v>
      </c>
      <c r="M2769" s="16" t="n">
        <f aca="false">K2769-L2769</f>
        <v>67.6</v>
      </c>
      <c r="N2769" s="17" t="n">
        <f aca="false">IFERROR(M2769/K2769,0)</f>
        <v>0.628252788104089</v>
      </c>
    </row>
    <row r="2770" customFormat="false" ht="15" hidden="false" customHeight="false" outlineLevel="0" collapsed="false">
      <c r="A2770" s="15" t="n">
        <v>46138</v>
      </c>
      <c r="B2770" s="14" t="s">
        <v>42</v>
      </c>
      <c r="C2770" s="14" t="s">
        <v>43</v>
      </c>
      <c r="D2770" s="14" t="s">
        <v>44</v>
      </c>
      <c r="E2770" s="14" t="s">
        <v>64</v>
      </c>
      <c r="F2770" s="14" t="s">
        <v>90</v>
      </c>
      <c r="G2770" s="14" t="s">
        <v>91</v>
      </c>
      <c r="H2770" s="0" t="n">
        <v>8</v>
      </c>
      <c r="I2770" s="16" t="n">
        <v>11.37</v>
      </c>
      <c r="J2770" s="16" t="n">
        <v>3.5</v>
      </c>
      <c r="K2770" s="16" t="n">
        <f aca="false">H2770*I2770</f>
        <v>90.96</v>
      </c>
      <c r="L2770" s="16" t="n">
        <f aca="false">H2770*J2770</f>
        <v>28</v>
      </c>
      <c r="M2770" s="16" t="n">
        <f aca="false">K2770-L2770</f>
        <v>62.96</v>
      </c>
      <c r="N2770" s="17" t="n">
        <f aca="false">IFERROR(M2770/K2770,0)</f>
        <v>0.692172383465259</v>
      </c>
    </row>
    <row r="2771" customFormat="false" ht="15" hidden="false" customHeight="false" outlineLevel="0" collapsed="false">
      <c r="A2771" s="15" t="n">
        <v>46138</v>
      </c>
      <c r="B2771" s="14" t="s">
        <v>50</v>
      </c>
      <c r="C2771" s="14" t="s">
        <v>51</v>
      </c>
      <c r="D2771" s="14" t="s">
        <v>52</v>
      </c>
      <c r="E2771" s="14" t="s">
        <v>56</v>
      </c>
      <c r="F2771" s="14" t="s">
        <v>86</v>
      </c>
      <c r="G2771" s="14" t="s">
        <v>87</v>
      </c>
      <c r="H2771" s="0" t="n">
        <v>13</v>
      </c>
      <c r="I2771" s="16" t="n">
        <v>13.85</v>
      </c>
      <c r="J2771" s="16" t="n">
        <v>5</v>
      </c>
      <c r="K2771" s="16" t="n">
        <f aca="false">H2771*I2771</f>
        <v>180.05</v>
      </c>
      <c r="L2771" s="16" t="n">
        <f aca="false">H2771*J2771</f>
        <v>65</v>
      </c>
      <c r="M2771" s="16" t="n">
        <f aca="false">K2771-L2771</f>
        <v>115.05</v>
      </c>
      <c r="N2771" s="17" t="n">
        <f aca="false">IFERROR(M2771/K2771,0)</f>
        <v>0.63898916967509</v>
      </c>
    </row>
    <row r="2772" customFormat="false" ht="15" hidden="false" customHeight="false" outlineLevel="0" collapsed="false">
      <c r="A2772" s="15" t="n">
        <v>46138</v>
      </c>
      <c r="B2772" s="14" t="s">
        <v>50</v>
      </c>
      <c r="C2772" s="14" t="s">
        <v>51</v>
      </c>
      <c r="D2772" s="14" t="s">
        <v>52</v>
      </c>
      <c r="E2772" s="14" t="s">
        <v>76</v>
      </c>
      <c r="F2772" s="14" t="s">
        <v>102</v>
      </c>
      <c r="G2772" s="14" t="s">
        <v>103</v>
      </c>
      <c r="H2772" s="0" t="n">
        <v>1</v>
      </c>
      <c r="I2772" s="16" t="n">
        <v>22.36</v>
      </c>
      <c r="J2772" s="16" t="n">
        <v>8.5</v>
      </c>
      <c r="K2772" s="16" t="n">
        <f aca="false">H2772*I2772</f>
        <v>22.36</v>
      </c>
      <c r="L2772" s="16" t="n">
        <f aca="false">H2772*J2772</f>
        <v>8.5</v>
      </c>
      <c r="M2772" s="16" t="n">
        <f aca="false">K2772-L2772</f>
        <v>13.86</v>
      </c>
      <c r="N2772" s="17" t="n">
        <f aca="false">IFERROR(M2772/K2772,0)</f>
        <v>0.619856887298748</v>
      </c>
    </row>
    <row r="2773" customFormat="false" ht="15" hidden="false" customHeight="false" outlineLevel="0" collapsed="false">
      <c r="A2773" s="15" t="n">
        <v>46138</v>
      </c>
      <c r="B2773" s="14" t="s">
        <v>50</v>
      </c>
      <c r="C2773" s="14" t="s">
        <v>51</v>
      </c>
      <c r="D2773" s="14" t="s">
        <v>52</v>
      </c>
      <c r="E2773" s="14" t="s">
        <v>45</v>
      </c>
      <c r="F2773" s="14" t="s">
        <v>72</v>
      </c>
      <c r="G2773" s="14" t="s">
        <v>73</v>
      </c>
      <c r="H2773" s="0" t="n">
        <v>3</v>
      </c>
      <c r="I2773" s="16" t="n">
        <v>49.25</v>
      </c>
      <c r="J2773" s="16" t="n">
        <v>21</v>
      </c>
      <c r="K2773" s="16" t="n">
        <f aca="false">H2773*I2773</f>
        <v>147.75</v>
      </c>
      <c r="L2773" s="16" t="n">
        <f aca="false">H2773*J2773</f>
        <v>63</v>
      </c>
      <c r="M2773" s="16" t="n">
        <f aca="false">K2773-L2773</f>
        <v>84.75</v>
      </c>
      <c r="N2773" s="17" t="n">
        <f aca="false">IFERROR(M2773/K2773,0)</f>
        <v>0.573604060913706</v>
      </c>
    </row>
    <row r="2774" customFormat="false" ht="15" hidden="false" customHeight="false" outlineLevel="0" collapsed="false">
      <c r="A2774" s="15" t="n">
        <v>46138</v>
      </c>
      <c r="B2774" s="14" t="s">
        <v>50</v>
      </c>
      <c r="C2774" s="14" t="s">
        <v>51</v>
      </c>
      <c r="D2774" s="14" t="s">
        <v>52</v>
      </c>
      <c r="E2774" s="14" t="s">
        <v>76</v>
      </c>
      <c r="F2774" s="14" t="s">
        <v>100</v>
      </c>
      <c r="G2774" s="14" t="s">
        <v>101</v>
      </c>
      <c r="H2774" s="0" t="n">
        <v>10</v>
      </c>
      <c r="I2774" s="16" t="n">
        <v>14.75</v>
      </c>
      <c r="J2774" s="16" t="n">
        <v>5.5</v>
      </c>
      <c r="K2774" s="16" t="n">
        <f aca="false">H2774*I2774</f>
        <v>147.5</v>
      </c>
      <c r="L2774" s="16" t="n">
        <f aca="false">H2774*J2774</f>
        <v>55</v>
      </c>
      <c r="M2774" s="16" t="n">
        <f aca="false">K2774-L2774</f>
        <v>92.5</v>
      </c>
      <c r="N2774" s="17" t="n">
        <f aca="false">IFERROR(M2774/K2774,0)</f>
        <v>0.627118644067797</v>
      </c>
    </row>
    <row r="2775" customFormat="false" ht="15" hidden="false" customHeight="false" outlineLevel="0" collapsed="false">
      <c r="A2775" s="15" t="n">
        <v>46138</v>
      </c>
      <c r="B2775" s="14" t="s">
        <v>50</v>
      </c>
      <c r="C2775" s="14" t="s">
        <v>51</v>
      </c>
      <c r="D2775" s="14" t="s">
        <v>52</v>
      </c>
      <c r="E2775" s="14" t="s">
        <v>76</v>
      </c>
      <c r="F2775" s="14" t="s">
        <v>79</v>
      </c>
      <c r="G2775" s="14" t="s">
        <v>80</v>
      </c>
      <c r="H2775" s="0" t="n">
        <v>10</v>
      </c>
      <c r="I2775" s="16" t="n">
        <v>29.92</v>
      </c>
      <c r="J2775" s="16" t="n">
        <v>11</v>
      </c>
      <c r="K2775" s="16" t="n">
        <f aca="false">H2775*I2775</f>
        <v>299.2</v>
      </c>
      <c r="L2775" s="16" t="n">
        <f aca="false">H2775*J2775</f>
        <v>110</v>
      </c>
      <c r="M2775" s="16" t="n">
        <f aca="false">K2775-L2775</f>
        <v>189.2</v>
      </c>
      <c r="N2775" s="17" t="n">
        <f aca="false">IFERROR(M2775/K2775,0)</f>
        <v>0.632352941176471</v>
      </c>
    </row>
    <row r="2776" customFormat="false" ht="15" hidden="false" customHeight="false" outlineLevel="0" collapsed="false">
      <c r="A2776" s="15" t="n">
        <v>46138</v>
      </c>
      <c r="B2776" s="14" t="s">
        <v>59</v>
      </c>
      <c r="C2776" s="14" t="s">
        <v>60</v>
      </c>
      <c r="D2776" s="14" t="s">
        <v>61</v>
      </c>
      <c r="E2776" s="14" t="s">
        <v>56</v>
      </c>
      <c r="F2776" s="14" t="s">
        <v>67</v>
      </c>
      <c r="G2776" s="14" t="s">
        <v>68</v>
      </c>
      <c r="H2776" s="0" t="n">
        <v>6</v>
      </c>
      <c r="I2776" s="16" t="n">
        <v>36.83</v>
      </c>
      <c r="J2776" s="16" t="n">
        <v>15</v>
      </c>
      <c r="K2776" s="16" t="n">
        <f aca="false">H2776*I2776</f>
        <v>220.98</v>
      </c>
      <c r="L2776" s="16" t="n">
        <f aca="false">H2776*J2776</f>
        <v>90</v>
      </c>
      <c r="M2776" s="16" t="n">
        <f aca="false">K2776-L2776</f>
        <v>130.98</v>
      </c>
      <c r="N2776" s="17" t="n">
        <f aca="false">IFERROR(M2776/K2776,0)</f>
        <v>0.592723323377681</v>
      </c>
    </row>
    <row r="2777" customFormat="false" ht="15" hidden="false" customHeight="false" outlineLevel="0" collapsed="false">
      <c r="A2777" s="15" t="n">
        <v>46138</v>
      </c>
      <c r="B2777" s="14" t="s">
        <v>59</v>
      </c>
      <c r="C2777" s="14" t="s">
        <v>60</v>
      </c>
      <c r="D2777" s="14" t="s">
        <v>61</v>
      </c>
      <c r="E2777" s="14" t="s">
        <v>56</v>
      </c>
      <c r="F2777" s="14" t="s">
        <v>86</v>
      </c>
      <c r="G2777" s="14" t="s">
        <v>87</v>
      </c>
      <c r="H2777" s="0" t="n">
        <v>1</v>
      </c>
      <c r="I2777" s="16" t="n">
        <v>14.25</v>
      </c>
      <c r="J2777" s="16" t="n">
        <v>5</v>
      </c>
      <c r="K2777" s="16" t="n">
        <f aca="false">H2777*I2777</f>
        <v>14.25</v>
      </c>
      <c r="L2777" s="16" t="n">
        <f aca="false">H2777*J2777</f>
        <v>5</v>
      </c>
      <c r="M2777" s="16" t="n">
        <f aca="false">K2777-L2777</f>
        <v>9.25</v>
      </c>
      <c r="N2777" s="17" t="n">
        <f aca="false">IFERROR(M2777/K2777,0)</f>
        <v>0.649122807017544</v>
      </c>
    </row>
    <row r="2778" customFormat="false" ht="15" hidden="false" customHeight="false" outlineLevel="0" collapsed="false">
      <c r="A2778" s="15" t="n">
        <v>46138</v>
      </c>
      <c r="B2778" s="14" t="s">
        <v>59</v>
      </c>
      <c r="C2778" s="14" t="s">
        <v>60</v>
      </c>
      <c r="D2778" s="14" t="s">
        <v>61</v>
      </c>
      <c r="E2778" s="14" t="s">
        <v>64</v>
      </c>
      <c r="F2778" s="14" t="s">
        <v>96</v>
      </c>
      <c r="G2778" s="14" t="s">
        <v>97</v>
      </c>
      <c r="H2778" s="0" t="n">
        <v>7</v>
      </c>
      <c r="I2778" s="16" t="n">
        <v>55.58</v>
      </c>
      <c r="J2778" s="16" t="n">
        <v>24</v>
      </c>
      <c r="K2778" s="16" t="n">
        <f aca="false">H2778*I2778</f>
        <v>389.06</v>
      </c>
      <c r="L2778" s="16" t="n">
        <f aca="false">H2778*J2778</f>
        <v>168</v>
      </c>
      <c r="M2778" s="16" t="n">
        <f aca="false">K2778-L2778</f>
        <v>221.06</v>
      </c>
      <c r="N2778" s="17" t="n">
        <f aca="false">IFERROR(M2778/K2778,0)</f>
        <v>0.568189996401583</v>
      </c>
    </row>
    <row r="2779" customFormat="false" ht="15" hidden="false" customHeight="false" outlineLevel="0" collapsed="false">
      <c r="A2779" s="15" t="n">
        <v>46138</v>
      </c>
      <c r="B2779" s="14" t="s">
        <v>69</v>
      </c>
      <c r="C2779" s="14" t="s">
        <v>70</v>
      </c>
      <c r="D2779" s="14" t="s">
        <v>71</v>
      </c>
      <c r="E2779" s="14" t="s">
        <v>76</v>
      </c>
      <c r="F2779" s="14" t="s">
        <v>79</v>
      </c>
      <c r="G2779" s="14" t="s">
        <v>80</v>
      </c>
      <c r="H2779" s="0" t="n">
        <v>7</v>
      </c>
      <c r="I2779" s="16" t="n">
        <v>29.78</v>
      </c>
      <c r="J2779" s="16" t="n">
        <v>11</v>
      </c>
      <c r="K2779" s="16" t="n">
        <f aca="false">H2779*I2779</f>
        <v>208.46</v>
      </c>
      <c r="L2779" s="16" t="n">
        <f aca="false">H2779*J2779</f>
        <v>77</v>
      </c>
      <c r="M2779" s="16" t="n">
        <f aca="false">K2779-L2779</f>
        <v>131.46</v>
      </c>
      <c r="N2779" s="17" t="n">
        <f aca="false">IFERROR(M2779/K2779,0)</f>
        <v>0.630624580255205</v>
      </c>
    </row>
    <row r="2780" customFormat="false" ht="15" hidden="false" customHeight="false" outlineLevel="0" collapsed="false">
      <c r="A2780" s="15" t="n">
        <v>46138</v>
      </c>
      <c r="B2780" s="14" t="s">
        <v>69</v>
      </c>
      <c r="C2780" s="14" t="s">
        <v>70</v>
      </c>
      <c r="D2780" s="14" t="s">
        <v>71</v>
      </c>
      <c r="E2780" s="14" t="s">
        <v>76</v>
      </c>
      <c r="F2780" s="14" t="s">
        <v>102</v>
      </c>
      <c r="G2780" s="14" t="s">
        <v>103</v>
      </c>
      <c r="H2780" s="0" t="n">
        <v>1</v>
      </c>
      <c r="I2780" s="16" t="n">
        <v>22.86</v>
      </c>
      <c r="J2780" s="16" t="n">
        <v>8.5</v>
      </c>
      <c r="K2780" s="16" t="n">
        <f aca="false">H2780*I2780</f>
        <v>22.86</v>
      </c>
      <c r="L2780" s="16" t="n">
        <f aca="false">H2780*J2780</f>
        <v>8.5</v>
      </c>
      <c r="M2780" s="16" t="n">
        <f aca="false">K2780-L2780</f>
        <v>14.36</v>
      </c>
      <c r="N2780" s="17" t="n">
        <f aca="false">IFERROR(M2780/K2780,0)</f>
        <v>0.628171478565179</v>
      </c>
    </row>
    <row r="2781" customFormat="false" ht="15" hidden="false" customHeight="false" outlineLevel="0" collapsed="false">
      <c r="A2781" s="15" t="n">
        <v>46138</v>
      </c>
      <c r="B2781" s="14" t="s">
        <v>69</v>
      </c>
      <c r="C2781" s="14" t="s">
        <v>70</v>
      </c>
      <c r="D2781" s="14" t="s">
        <v>71</v>
      </c>
      <c r="E2781" s="14" t="s">
        <v>45</v>
      </c>
      <c r="F2781" s="14" t="s">
        <v>72</v>
      </c>
      <c r="G2781" s="14" t="s">
        <v>73</v>
      </c>
      <c r="H2781" s="0" t="n">
        <v>4</v>
      </c>
      <c r="I2781" s="16" t="n">
        <v>48.98</v>
      </c>
      <c r="J2781" s="16" t="n">
        <v>21</v>
      </c>
      <c r="K2781" s="16" t="n">
        <f aca="false">H2781*I2781</f>
        <v>195.92</v>
      </c>
      <c r="L2781" s="16" t="n">
        <f aca="false">H2781*J2781</f>
        <v>84</v>
      </c>
      <c r="M2781" s="16" t="n">
        <f aca="false">K2781-L2781</f>
        <v>111.92</v>
      </c>
      <c r="N2781" s="17" t="n">
        <f aca="false">IFERROR(M2781/K2781,0)</f>
        <v>0.571253572886893</v>
      </c>
    </row>
    <row r="2782" customFormat="false" ht="15" hidden="false" customHeight="false" outlineLevel="0" collapsed="false">
      <c r="A2782" s="15" t="n">
        <v>46138</v>
      </c>
      <c r="B2782" s="14" t="s">
        <v>81</v>
      </c>
      <c r="C2782" s="14" t="s">
        <v>82</v>
      </c>
      <c r="D2782" s="14" t="s">
        <v>83</v>
      </c>
      <c r="E2782" s="14" t="s">
        <v>56</v>
      </c>
      <c r="F2782" s="14" t="s">
        <v>67</v>
      </c>
      <c r="G2782" s="14" t="s">
        <v>68</v>
      </c>
      <c r="H2782" s="0" t="n">
        <v>2</v>
      </c>
      <c r="I2782" s="16" t="n">
        <v>35.63</v>
      </c>
      <c r="J2782" s="16" t="n">
        <v>15</v>
      </c>
      <c r="K2782" s="16" t="n">
        <f aca="false">H2782*I2782</f>
        <v>71.26</v>
      </c>
      <c r="L2782" s="16" t="n">
        <f aca="false">H2782*J2782</f>
        <v>30</v>
      </c>
      <c r="M2782" s="16" t="n">
        <f aca="false">K2782-L2782</f>
        <v>41.26</v>
      </c>
      <c r="N2782" s="17" t="n">
        <f aca="false">IFERROR(M2782/K2782,0)</f>
        <v>0.579006455234353</v>
      </c>
    </row>
    <row r="2783" customFormat="false" ht="15" hidden="false" customHeight="false" outlineLevel="0" collapsed="false">
      <c r="A2783" s="15" t="n">
        <v>46138</v>
      </c>
      <c r="B2783" s="14" t="s">
        <v>81</v>
      </c>
      <c r="C2783" s="14" t="s">
        <v>82</v>
      </c>
      <c r="D2783" s="14" t="s">
        <v>83</v>
      </c>
      <c r="E2783" s="14" t="s">
        <v>45</v>
      </c>
      <c r="F2783" s="14" t="s">
        <v>46</v>
      </c>
      <c r="G2783" s="14" t="s">
        <v>47</v>
      </c>
      <c r="H2783" s="0" t="n">
        <v>4</v>
      </c>
      <c r="I2783" s="16" t="n">
        <v>41.63</v>
      </c>
      <c r="J2783" s="16" t="n">
        <v>18</v>
      </c>
      <c r="K2783" s="16" t="n">
        <f aca="false">H2783*I2783</f>
        <v>166.52</v>
      </c>
      <c r="L2783" s="16" t="n">
        <f aca="false">H2783*J2783</f>
        <v>72</v>
      </c>
      <c r="M2783" s="16" t="n">
        <f aca="false">K2783-L2783</f>
        <v>94.52</v>
      </c>
      <c r="N2783" s="17" t="n">
        <f aca="false">IFERROR(M2783/K2783,0)</f>
        <v>0.567619505164545</v>
      </c>
    </row>
    <row r="2784" customFormat="false" ht="15" hidden="false" customHeight="false" outlineLevel="0" collapsed="false">
      <c r="A2784" s="15" t="n">
        <v>46138</v>
      </c>
      <c r="B2784" s="14" t="s">
        <v>81</v>
      </c>
      <c r="C2784" s="14" t="s">
        <v>82</v>
      </c>
      <c r="D2784" s="14" t="s">
        <v>83</v>
      </c>
      <c r="E2784" s="14" t="s">
        <v>76</v>
      </c>
      <c r="F2784" s="14" t="s">
        <v>100</v>
      </c>
      <c r="G2784" s="14" t="s">
        <v>101</v>
      </c>
      <c r="H2784" s="0" t="n">
        <v>7</v>
      </c>
      <c r="I2784" s="16" t="n">
        <v>15.53</v>
      </c>
      <c r="J2784" s="16" t="n">
        <v>5.5</v>
      </c>
      <c r="K2784" s="16" t="n">
        <f aca="false">H2784*I2784</f>
        <v>108.71</v>
      </c>
      <c r="L2784" s="16" t="n">
        <f aca="false">H2784*J2784</f>
        <v>38.5</v>
      </c>
      <c r="M2784" s="16" t="n">
        <f aca="false">K2784-L2784</f>
        <v>70.21</v>
      </c>
      <c r="N2784" s="17" t="n">
        <f aca="false">IFERROR(M2784/K2784,0)</f>
        <v>0.645846748229234</v>
      </c>
    </row>
    <row r="2785" customFormat="false" ht="15" hidden="false" customHeight="false" outlineLevel="0" collapsed="false">
      <c r="A2785" s="15" t="n">
        <v>46138</v>
      </c>
      <c r="B2785" s="14" t="s">
        <v>81</v>
      </c>
      <c r="C2785" s="14" t="s">
        <v>82</v>
      </c>
      <c r="D2785" s="14" t="s">
        <v>83</v>
      </c>
      <c r="E2785" s="14" t="s">
        <v>76</v>
      </c>
      <c r="F2785" s="14" t="s">
        <v>100</v>
      </c>
      <c r="G2785" s="14" t="s">
        <v>101</v>
      </c>
      <c r="H2785" s="0" t="n">
        <v>8</v>
      </c>
      <c r="I2785" s="16" t="n">
        <v>15.91</v>
      </c>
      <c r="J2785" s="16" t="n">
        <v>5.5</v>
      </c>
      <c r="K2785" s="16" t="n">
        <f aca="false">H2785*I2785</f>
        <v>127.28</v>
      </c>
      <c r="L2785" s="16" t="n">
        <f aca="false">H2785*J2785</f>
        <v>44</v>
      </c>
      <c r="M2785" s="16" t="n">
        <f aca="false">K2785-L2785</f>
        <v>83.28</v>
      </c>
      <c r="N2785" s="17" t="n">
        <f aca="false">IFERROR(M2785/K2785,0)</f>
        <v>0.654305468258957</v>
      </c>
    </row>
    <row r="2786" customFormat="false" ht="15" hidden="false" customHeight="false" outlineLevel="0" collapsed="false">
      <c r="A2786" s="15" t="n">
        <v>46138</v>
      </c>
      <c r="B2786" s="14" t="s">
        <v>81</v>
      </c>
      <c r="C2786" s="14" t="s">
        <v>82</v>
      </c>
      <c r="D2786" s="14" t="s">
        <v>83</v>
      </c>
      <c r="E2786" s="14" t="s">
        <v>45</v>
      </c>
      <c r="F2786" s="14" t="s">
        <v>46</v>
      </c>
      <c r="G2786" s="14" t="s">
        <v>47</v>
      </c>
      <c r="H2786" s="0" t="n">
        <v>7</v>
      </c>
      <c r="I2786" s="16" t="n">
        <v>42.55</v>
      </c>
      <c r="J2786" s="16" t="n">
        <v>18</v>
      </c>
      <c r="K2786" s="16" t="n">
        <f aca="false">H2786*I2786</f>
        <v>297.85</v>
      </c>
      <c r="L2786" s="16" t="n">
        <f aca="false">H2786*J2786</f>
        <v>126</v>
      </c>
      <c r="M2786" s="16" t="n">
        <f aca="false">K2786-L2786</f>
        <v>171.85</v>
      </c>
      <c r="N2786" s="17" t="n">
        <f aca="false">IFERROR(M2786/K2786,0)</f>
        <v>0.576968272620447</v>
      </c>
    </row>
    <row r="2787" customFormat="false" ht="15" hidden="false" customHeight="false" outlineLevel="0" collapsed="false">
      <c r="A2787" s="15" t="n">
        <v>46138</v>
      </c>
      <c r="B2787" s="14" t="s">
        <v>88</v>
      </c>
      <c r="C2787" s="14" t="s">
        <v>89</v>
      </c>
      <c r="D2787" s="14" t="s">
        <v>44</v>
      </c>
      <c r="E2787" s="14" t="s">
        <v>53</v>
      </c>
      <c r="F2787" s="14" t="s">
        <v>84</v>
      </c>
      <c r="G2787" s="14" t="s">
        <v>85</v>
      </c>
      <c r="H2787" s="0" t="n">
        <v>12</v>
      </c>
      <c r="I2787" s="16" t="n">
        <v>23.42</v>
      </c>
      <c r="J2787" s="16" t="n">
        <v>9</v>
      </c>
      <c r="K2787" s="16" t="n">
        <f aca="false">H2787*I2787</f>
        <v>281.04</v>
      </c>
      <c r="L2787" s="16" t="n">
        <f aca="false">H2787*J2787</f>
        <v>108</v>
      </c>
      <c r="M2787" s="16" t="n">
        <f aca="false">K2787-L2787</f>
        <v>173.04</v>
      </c>
      <c r="N2787" s="17" t="n">
        <f aca="false">IFERROR(M2787/K2787,0)</f>
        <v>0.615713065755764</v>
      </c>
    </row>
    <row r="2788" customFormat="false" ht="15" hidden="false" customHeight="false" outlineLevel="0" collapsed="false">
      <c r="A2788" s="15" t="n">
        <v>46138</v>
      </c>
      <c r="B2788" s="14" t="s">
        <v>88</v>
      </c>
      <c r="C2788" s="14" t="s">
        <v>89</v>
      </c>
      <c r="D2788" s="14" t="s">
        <v>44</v>
      </c>
      <c r="E2788" s="14" t="s">
        <v>53</v>
      </c>
      <c r="F2788" s="14" t="s">
        <v>84</v>
      </c>
      <c r="G2788" s="14" t="s">
        <v>85</v>
      </c>
      <c r="H2788" s="0" t="n">
        <v>8</v>
      </c>
      <c r="I2788" s="16" t="n">
        <v>23.81</v>
      </c>
      <c r="J2788" s="16" t="n">
        <v>9</v>
      </c>
      <c r="K2788" s="16" t="n">
        <f aca="false">H2788*I2788</f>
        <v>190.48</v>
      </c>
      <c r="L2788" s="16" t="n">
        <f aca="false">H2788*J2788</f>
        <v>72</v>
      </c>
      <c r="M2788" s="16" t="n">
        <f aca="false">K2788-L2788</f>
        <v>118.48</v>
      </c>
      <c r="N2788" s="17" t="n">
        <f aca="false">IFERROR(M2788/K2788,0)</f>
        <v>0.622007559848803</v>
      </c>
    </row>
    <row r="2789" customFormat="false" ht="15" hidden="false" customHeight="false" outlineLevel="0" collapsed="false">
      <c r="A2789" s="15" t="n">
        <v>46138</v>
      </c>
      <c r="B2789" s="14" t="s">
        <v>88</v>
      </c>
      <c r="C2789" s="14" t="s">
        <v>89</v>
      </c>
      <c r="D2789" s="14" t="s">
        <v>44</v>
      </c>
      <c r="E2789" s="14" t="s">
        <v>56</v>
      </c>
      <c r="F2789" s="14" t="s">
        <v>98</v>
      </c>
      <c r="G2789" s="14" t="s">
        <v>99</v>
      </c>
      <c r="H2789" s="0" t="n">
        <v>12</v>
      </c>
      <c r="I2789" s="16" t="n">
        <v>21.23</v>
      </c>
      <c r="J2789" s="16" t="n">
        <v>8</v>
      </c>
      <c r="K2789" s="16" t="n">
        <f aca="false">H2789*I2789</f>
        <v>254.76</v>
      </c>
      <c r="L2789" s="16" t="n">
        <f aca="false">H2789*J2789</f>
        <v>96</v>
      </c>
      <c r="M2789" s="16" t="n">
        <f aca="false">K2789-L2789</f>
        <v>158.76</v>
      </c>
      <c r="N2789" s="17" t="n">
        <f aca="false">IFERROR(M2789/K2789,0)</f>
        <v>0.623174752708432</v>
      </c>
    </row>
    <row r="2790" customFormat="false" ht="15" hidden="false" customHeight="false" outlineLevel="0" collapsed="false">
      <c r="A2790" s="15" t="n">
        <v>46138</v>
      </c>
      <c r="B2790" s="14" t="s">
        <v>88</v>
      </c>
      <c r="C2790" s="14" t="s">
        <v>89</v>
      </c>
      <c r="D2790" s="14" t="s">
        <v>44</v>
      </c>
      <c r="E2790" s="14" t="s">
        <v>76</v>
      </c>
      <c r="F2790" s="14" t="s">
        <v>79</v>
      </c>
      <c r="G2790" s="14" t="s">
        <v>80</v>
      </c>
      <c r="H2790" s="0" t="n">
        <v>5</v>
      </c>
      <c r="I2790" s="16" t="n">
        <v>29.4</v>
      </c>
      <c r="J2790" s="16" t="n">
        <v>11</v>
      </c>
      <c r="K2790" s="16" t="n">
        <f aca="false">H2790*I2790</f>
        <v>147</v>
      </c>
      <c r="L2790" s="16" t="n">
        <f aca="false">H2790*J2790</f>
        <v>55</v>
      </c>
      <c r="M2790" s="16" t="n">
        <f aca="false">K2790-L2790</f>
        <v>92</v>
      </c>
      <c r="N2790" s="17" t="n">
        <f aca="false">IFERROR(M2790/K2790,0)</f>
        <v>0.625850340136055</v>
      </c>
    </row>
    <row r="2791" customFormat="false" ht="15" hidden="false" customHeight="false" outlineLevel="0" collapsed="false">
      <c r="A2791" s="15" t="n">
        <v>46138</v>
      </c>
      <c r="B2791" s="14" t="s">
        <v>88</v>
      </c>
      <c r="C2791" s="14" t="s">
        <v>89</v>
      </c>
      <c r="D2791" s="14" t="s">
        <v>44</v>
      </c>
      <c r="E2791" s="14" t="s">
        <v>56</v>
      </c>
      <c r="F2791" s="14" t="s">
        <v>67</v>
      </c>
      <c r="G2791" s="14" t="s">
        <v>68</v>
      </c>
      <c r="H2791" s="0" t="n">
        <v>7</v>
      </c>
      <c r="I2791" s="16" t="n">
        <v>35.85</v>
      </c>
      <c r="J2791" s="16" t="n">
        <v>15</v>
      </c>
      <c r="K2791" s="16" t="n">
        <f aca="false">H2791*I2791</f>
        <v>250.95</v>
      </c>
      <c r="L2791" s="16" t="n">
        <f aca="false">H2791*J2791</f>
        <v>105</v>
      </c>
      <c r="M2791" s="16" t="n">
        <f aca="false">K2791-L2791</f>
        <v>145.95</v>
      </c>
      <c r="N2791" s="17" t="n">
        <f aca="false">IFERROR(M2791/K2791,0)</f>
        <v>0.581589958158996</v>
      </c>
    </row>
    <row r="2792" customFormat="false" ht="15" hidden="false" customHeight="false" outlineLevel="0" collapsed="false">
      <c r="A2792" s="15" t="n">
        <v>46139</v>
      </c>
      <c r="B2792" s="14" t="s">
        <v>42</v>
      </c>
      <c r="C2792" s="14" t="s">
        <v>43</v>
      </c>
      <c r="D2792" s="14" t="s">
        <v>44</v>
      </c>
      <c r="E2792" s="14" t="s">
        <v>64</v>
      </c>
      <c r="F2792" s="14" t="s">
        <v>90</v>
      </c>
      <c r="G2792" s="14" t="s">
        <v>91</v>
      </c>
      <c r="H2792" s="0" t="n">
        <v>1</v>
      </c>
      <c r="I2792" s="16" t="n">
        <v>11.19</v>
      </c>
      <c r="J2792" s="16" t="n">
        <v>3.5</v>
      </c>
      <c r="K2792" s="16" t="n">
        <f aca="false">H2792*I2792</f>
        <v>11.19</v>
      </c>
      <c r="L2792" s="16" t="n">
        <f aca="false">H2792*J2792</f>
        <v>3.5</v>
      </c>
      <c r="M2792" s="16" t="n">
        <f aca="false">K2792-L2792</f>
        <v>7.69</v>
      </c>
      <c r="N2792" s="17" t="n">
        <f aca="false">IFERROR(M2792/K2792,0)</f>
        <v>0.68722073279714</v>
      </c>
    </row>
    <row r="2793" customFormat="false" ht="15" hidden="false" customHeight="false" outlineLevel="0" collapsed="false">
      <c r="A2793" s="15" t="n">
        <v>46139</v>
      </c>
      <c r="B2793" s="14" t="s">
        <v>42</v>
      </c>
      <c r="C2793" s="14" t="s">
        <v>43</v>
      </c>
      <c r="D2793" s="14" t="s">
        <v>44</v>
      </c>
      <c r="E2793" s="14" t="s">
        <v>56</v>
      </c>
      <c r="F2793" s="14" t="s">
        <v>86</v>
      </c>
      <c r="G2793" s="14" t="s">
        <v>87</v>
      </c>
      <c r="H2793" s="0" t="n">
        <v>9</v>
      </c>
      <c r="I2793" s="16" t="n">
        <v>14.48</v>
      </c>
      <c r="J2793" s="16" t="n">
        <v>5</v>
      </c>
      <c r="K2793" s="16" t="n">
        <f aca="false">H2793*I2793</f>
        <v>130.32</v>
      </c>
      <c r="L2793" s="16" t="n">
        <f aca="false">H2793*J2793</f>
        <v>45</v>
      </c>
      <c r="M2793" s="16" t="n">
        <f aca="false">K2793-L2793</f>
        <v>85.32</v>
      </c>
      <c r="N2793" s="17" t="n">
        <f aca="false">IFERROR(M2793/K2793,0)</f>
        <v>0.654696132596685</v>
      </c>
    </row>
    <row r="2794" customFormat="false" ht="15" hidden="false" customHeight="false" outlineLevel="0" collapsed="false">
      <c r="A2794" s="15" t="n">
        <v>46139</v>
      </c>
      <c r="B2794" s="14" t="s">
        <v>42</v>
      </c>
      <c r="C2794" s="14" t="s">
        <v>43</v>
      </c>
      <c r="D2794" s="14" t="s">
        <v>44</v>
      </c>
      <c r="E2794" s="14" t="s">
        <v>64</v>
      </c>
      <c r="F2794" s="14" t="s">
        <v>65</v>
      </c>
      <c r="G2794" s="14" t="s">
        <v>66</v>
      </c>
      <c r="H2794" s="0" t="n">
        <v>6</v>
      </c>
      <c r="I2794" s="16" t="n">
        <v>76.2</v>
      </c>
      <c r="J2794" s="16" t="n">
        <v>34</v>
      </c>
      <c r="K2794" s="16" t="n">
        <f aca="false">H2794*I2794</f>
        <v>457.2</v>
      </c>
      <c r="L2794" s="16" t="n">
        <f aca="false">H2794*J2794</f>
        <v>204</v>
      </c>
      <c r="M2794" s="16" t="n">
        <f aca="false">K2794-L2794</f>
        <v>253.2</v>
      </c>
      <c r="N2794" s="17" t="n">
        <f aca="false">IFERROR(M2794/K2794,0)</f>
        <v>0.553805774278215</v>
      </c>
    </row>
    <row r="2795" customFormat="false" ht="15" hidden="false" customHeight="false" outlineLevel="0" collapsed="false">
      <c r="A2795" s="15" t="n">
        <v>46139</v>
      </c>
      <c r="B2795" s="14" t="s">
        <v>42</v>
      </c>
      <c r="C2795" s="14" t="s">
        <v>43</v>
      </c>
      <c r="D2795" s="14" t="s">
        <v>44</v>
      </c>
      <c r="E2795" s="14" t="s">
        <v>64</v>
      </c>
      <c r="F2795" s="14" t="s">
        <v>96</v>
      </c>
      <c r="G2795" s="14" t="s">
        <v>97</v>
      </c>
      <c r="H2795" s="0" t="n">
        <v>9</v>
      </c>
      <c r="I2795" s="16" t="n">
        <v>58.63</v>
      </c>
      <c r="J2795" s="16" t="n">
        <v>24</v>
      </c>
      <c r="K2795" s="16" t="n">
        <f aca="false">H2795*I2795</f>
        <v>527.67</v>
      </c>
      <c r="L2795" s="16" t="n">
        <f aca="false">H2795*J2795</f>
        <v>216</v>
      </c>
      <c r="M2795" s="16" t="n">
        <f aca="false">K2795-L2795</f>
        <v>311.67</v>
      </c>
      <c r="N2795" s="17" t="n">
        <f aca="false">IFERROR(M2795/K2795,0)</f>
        <v>0.590653249189835</v>
      </c>
    </row>
    <row r="2796" customFormat="false" ht="15" hidden="false" customHeight="false" outlineLevel="0" collapsed="false">
      <c r="A2796" s="15" t="n">
        <v>46139</v>
      </c>
      <c r="B2796" s="14" t="s">
        <v>50</v>
      </c>
      <c r="C2796" s="14" t="s">
        <v>51</v>
      </c>
      <c r="D2796" s="14" t="s">
        <v>52</v>
      </c>
      <c r="E2796" s="14" t="s">
        <v>64</v>
      </c>
      <c r="F2796" s="14" t="s">
        <v>65</v>
      </c>
      <c r="G2796" s="14" t="s">
        <v>66</v>
      </c>
      <c r="H2796" s="0" t="n">
        <v>2</v>
      </c>
      <c r="I2796" s="16" t="n">
        <v>75.18</v>
      </c>
      <c r="J2796" s="16" t="n">
        <v>34</v>
      </c>
      <c r="K2796" s="16" t="n">
        <f aca="false">H2796*I2796</f>
        <v>150.36</v>
      </c>
      <c r="L2796" s="16" t="n">
        <f aca="false">H2796*J2796</f>
        <v>68</v>
      </c>
      <c r="M2796" s="16" t="n">
        <f aca="false">K2796-L2796</f>
        <v>82.36</v>
      </c>
      <c r="N2796" s="17" t="n">
        <f aca="false">IFERROR(M2796/K2796,0)</f>
        <v>0.547752061718542</v>
      </c>
    </row>
    <row r="2797" customFormat="false" ht="15" hidden="false" customHeight="false" outlineLevel="0" collapsed="false">
      <c r="A2797" s="15" t="n">
        <v>46139</v>
      </c>
      <c r="B2797" s="14" t="s">
        <v>50</v>
      </c>
      <c r="C2797" s="14" t="s">
        <v>51</v>
      </c>
      <c r="D2797" s="14" t="s">
        <v>52</v>
      </c>
      <c r="E2797" s="14" t="s">
        <v>53</v>
      </c>
      <c r="F2797" s="14" t="s">
        <v>74</v>
      </c>
      <c r="G2797" s="14" t="s">
        <v>75</v>
      </c>
      <c r="H2797" s="0" t="n">
        <v>7</v>
      </c>
      <c r="I2797" s="16" t="n">
        <v>83.15</v>
      </c>
      <c r="J2797" s="16" t="n">
        <v>38</v>
      </c>
      <c r="K2797" s="16" t="n">
        <f aca="false">H2797*I2797</f>
        <v>582.05</v>
      </c>
      <c r="L2797" s="16" t="n">
        <f aca="false">H2797*J2797</f>
        <v>266</v>
      </c>
      <c r="M2797" s="16" t="n">
        <f aca="false">K2797-L2797</f>
        <v>316.05</v>
      </c>
      <c r="N2797" s="17" t="n">
        <f aca="false">IFERROR(M2797/K2797,0)</f>
        <v>0.542994588093806</v>
      </c>
    </row>
    <row r="2798" customFormat="false" ht="15" hidden="false" customHeight="false" outlineLevel="0" collapsed="false">
      <c r="A2798" s="15" t="n">
        <v>46139</v>
      </c>
      <c r="B2798" s="14" t="s">
        <v>50</v>
      </c>
      <c r="C2798" s="14" t="s">
        <v>51</v>
      </c>
      <c r="D2798" s="14" t="s">
        <v>52</v>
      </c>
      <c r="E2798" s="14" t="s">
        <v>53</v>
      </c>
      <c r="F2798" s="14" t="s">
        <v>84</v>
      </c>
      <c r="G2798" s="14" t="s">
        <v>85</v>
      </c>
      <c r="H2798" s="0" t="n">
        <v>9</v>
      </c>
      <c r="I2798" s="16" t="n">
        <v>23.7</v>
      </c>
      <c r="J2798" s="16" t="n">
        <v>9</v>
      </c>
      <c r="K2798" s="16" t="n">
        <f aca="false">H2798*I2798</f>
        <v>213.3</v>
      </c>
      <c r="L2798" s="16" t="n">
        <f aca="false">H2798*J2798</f>
        <v>81</v>
      </c>
      <c r="M2798" s="16" t="n">
        <f aca="false">K2798-L2798</f>
        <v>132.3</v>
      </c>
      <c r="N2798" s="17" t="n">
        <f aca="false">IFERROR(M2798/K2798,0)</f>
        <v>0.620253164556962</v>
      </c>
    </row>
    <row r="2799" customFormat="false" ht="15" hidden="false" customHeight="false" outlineLevel="0" collapsed="false">
      <c r="A2799" s="15" t="n">
        <v>46139</v>
      </c>
      <c r="B2799" s="14" t="s">
        <v>59</v>
      </c>
      <c r="C2799" s="14" t="s">
        <v>60</v>
      </c>
      <c r="D2799" s="14" t="s">
        <v>61</v>
      </c>
      <c r="E2799" s="14" t="s">
        <v>64</v>
      </c>
      <c r="F2799" s="14" t="s">
        <v>94</v>
      </c>
      <c r="G2799" s="14" t="s">
        <v>95</v>
      </c>
      <c r="H2799" s="0" t="n">
        <v>5</v>
      </c>
      <c r="I2799" s="16" t="n">
        <v>97.18</v>
      </c>
      <c r="J2799" s="16" t="n">
        <v>42</v>
      </c>
      <c r="K2799" s="16" t="n">
        <f aca="false">H2799*I2799</f>
        <v>485.9</v>
      </c>
      <c r="L2799" s="16" t="n">
        <f aca="false">H2799*J2799</f>
        <v>210</v>
      </c>
      <c r="M2799" s="16" t="n">
        <f aca="false">K2799-L2799</f>
        <v>275.9</v>
      </c>
      <c r="N2799" s="17" t="n">
        <f aca="false">IFERROR(M2799/K2799,0)</f>
        <v>0.567812307059066</v>
      </c>
    </row>
    <row r="2800" customFormat="false" ht="15" hidden="false" customHeight="false" outlineLevel="0" collapsed="false">
      <c r="A2800" s="15" t="n">
        <v>46139</v>
      </c>
      <c r="B2800" s="14" t="s">
        <v>59</v>
      </c>
      <c r="C2800" s="14" t="s">
        <v>60</v>
      </c>
      <c r="D2800" s="14" t="s">
        <v>61</v>
      </c>
      <c r="E2800" s="14" t="s">
        <v>45</v>
      </c>
      <c r="F2800" s="14" t="s">
        <v>46</v>
      </c>
      <c r="G2800" s="14" t="s">
        <v>47</v>
      </c>
      <c r="H2800" s="0" t="n">
        <v>8</v>
      </c>
      <c r="I2800" s="16" t="n">
        <v>42.21</v>
      </c>
      <c r="J2800" s="16" t="n">
        <v>18</v>
      </c>
      <c r="K2800" s="16" t="n">
        <f aca="false">H2800*I2800</f>
        <v>337.68</v>
      </c>
      <c r="L2800" s="16" t="n">
        <f aca="false">H2800*J2800</f>
        <v>144</v>
      </c>
      <c r="M2800" s="16" t="n">
        <f aca="false">K2800-L2800</f>
        <v>193.68</v>
      </c>
      <c r="N2800" s="17" t="n">
        <f aca="false">IFERROR(M2800/K2800,0)</f>
        <v>0.573560767590618</v>
      </c>
    </row>
    <row r="2801" customFormat="false" ht="15" hidden="false" customHeight="false" outlineLevel="0" collapsed="false">
      <c r="A2801" s="15" t="n">
        <v>46139</v>
      </c>
      <c r="B2801" s="14" t="s">
        <v>59</v>
      </c>
      <c r="C2801" s="14" t="s">
        <v>60</v>
      </c>
      <c r="D2801" s="14" t="s">
        <v>61</v>
      </c>
      <c r="E2801" s="14" t="s">
        <v>64</v>
      </c>
      <c r="F2801" s="14" t="s">
        <v>90</v>
      </c>
      <c r="G2801" s="14" t="s">
        <v>91</v>
      </c>
      <c r="H2801" s="0" t="n">
        <v>7</v>
      </c>
      <c r="I2801" s="16" t="n">
        <v>11.31</v>
      </c>
      <c r="J2801" s="16" t="n">
        <v>3.5</v>
      </c>
      <c r="K2801" s="16" t="n">
        <f aca="false">H2801*I2801</f>
        <v>79.17</v>
      </c>
      <c r="L2801" s="16" t="n">
        <f aca="false">H2801*J2801</f>
        <v>24.5</v>
      </c>
      <c r="M2801" s="16" t="n">
        <f aca="false">K2801-L2801</f>
        <v>54.67</v>
      </c>
      <c r="N2801" s="17" t="n">
        <f aca="false">IFERROR(M2801/K2801,0)</f>
        <v>0.69053934571176</v>
      </c>
    </row>
    <row r="2802" customFormat="false" ht="15" hidden="false" customHeight="false" outlineLevel="0" collapsed="false">
      <c r="A2802" s="15" t="n">
        <v>46139</v>
      </c>
      <c r="B2802" s="14" t="s">
        <v>69</v>
      </c>
      <c r="C2802" s="14" t="s">
        <v>70</v>
      </c>
      <c r="D2802" s="14" t="s">
        <v>71</v>
      </c>
      <c r="E2802" s="14" t="s">
        <v>53</v>
      </c>
      <c r="F2802" s="14" t="s">
        <v>54</v>
      </c>
      <c r="G2802" s="14" t="s">
        <v>55</v>
      </c>
      <c r="H2802" s="0" t="n">
        <v>7</v>
      </c>
      <c r="I2802" s="16" t="n">
        <v>51.87</v>
      </c>
      <c r="J2802" s="16" t="n">
        <v>22</v>
      </c>
      <c r="K2802" s="16" t="n">
        <f aca="false">H2802*I2802</f>
        <v>363.09</v>
      </c>
      <c r="L2802" s="16" t="n">
        <f aca="false">H2802*J2802</f>
        <v>154</v>
      </c>
      <c r="M2802" s="16" t="n">
        <f aca="false">K2802-L2802</f>
        <v>209.09</v>
      </c>
      <c r="N2802" s="17" t="n">
        <f aca="false">IFERROR(M2802/K2802,0)</f>
        <v>0.575862733757471</v>
      </c>
    </row>
    <row r="2803" customFormat="false" ht="15" hidden="false" customHeight="false" outlineLevel="0" collapsed="false">
      <c r="A2803" s="15" t="n">
        <v>46139</v>
      </c>
      <c r="B2803" s="14" t="s">
        <v>69</v>
      </c>
      <c r="C2803" s="14" t="s">
        <v>70</v>
      </c>
      <c r="D2803" s="14" t="s">
        <v>71</v>
      </c>
      <c r="E2803" s="14" t="s">
        <v>56</v>
      </c>
      <c r="F2803" s="14" t="s">
        <v>67</v>
      </c>
      <c r="G2803" s="14" t="s">
        <v>68</v>
      </c>
      <c r="H2803" s="0" t="n">
        <v>7</v>
      </c>
      <c r="I2803" s="16" t="n">
        <v>36.95</v>
      </c>
      <c r="J2803" s="16" t="n">
        <v>15</v>
      </c>
      <c r="K2803" s="16" t="n">
        <f aca="false">H2803*I2803</f>
        <v>258.65</v>
      </c>
      <c r="L2803" s="16" t="n">
        <f aca="false">H2803*J2803</f>
        <v>105</v>
      </c>
      <c r="M2803" s="16" t="n">
        <f aca="false">K2803-L2803</f>
        <v>153.65</v>
      </c>
      <c r="N2803" s="17" t="n">
        <f aca="false">IFERROR(M2803/K2803,0)</f>
        <v>0.59404600811908</v>
      </c>
    </row>
    <row r="2804" customFormat="false" ht="15" hidden="false" customHeight="false" outlineLevel="0" collapsed="false">
      <c r="A2804" s="15" t="n">
        <v>46139</v>
      </c>
      <c r="B2804" s="14" t="s">
        <v>69</v>
      </c>
      <c r="C2804" s="14" t="s">
        <v>70</v>
      </c>
      <c r="D2804" s="14" t="s">
        <v>71</v>
      </c>
      <c r="E2804" s="14" t="s">
        <v>45</v>
      </c>
      <c r="F2804" s="14" t="s">
        <v>72</v>
      </c>
      <c r="G2804" s="14" t="s">
        <v>73</v>
      </c>
      <c r="H2804" s="0" t="n">
        <v>7</v>
      </c>
      <c r="I2804" s="16" t="n">
        <v>51.89</v>
      </c>
      <c r="J2804" s="16" t="n">
        <v>21</v>
      </c>
      <c r="K2804" s="16" t="n">
        <f aca="false">H2804*I2804</f>
        <v>363.23</v>
      </c>
      <c r="L2804" s="16" t="n">
        <f aca="false">H2804*J2804</f>
        <v>147</v>
      </c>
      <c r="M2804" s="16" t="n">
        <f aca="false">K2804-L2804</f>
        <v>216.23</v>
      </c>
      <c r="N2804" s="17" t="n">
        <f aca="false">IFERROR(M2804/K2804,0)</f>
        <v>0.595297745230295</v>
      </c>
    </row>
    <row r="2805" customFormat="false" ht="15" hidden="false" customHeight="false" outlineLevel="0" collapsed="false">
      <c r="A2805" s="15" t="n">
        <v>46139</v>
      </c>
      <c r="B2805" s="14" t="s">
        <v>69</v>
      </c>
      <c r="C2805" s="14" t="s">
        <v>70</v>
      </c>
      <c r="D2805" s="14" t="s">
        <v>71</v>
      </c>
      <c r="E2805" s="14" t="s">
        <v>64</v>
      </c>
      <c r="F2805" s="14" t="s">
        <v>96</v>
      </c>
      <c r="G2805" s="14" t="s">
        <v>97</v>
      </c>
      <c r="H2805" s="0" t="n">
        <v>1</v>
      </c>
      <c r="I2805" s="16" t="n">
        <v>57.2</v>
      </c>
      <c r="J2805" s="16" t="n">
        <v>24</v>
      </c>
      <c r="K2805" s="16" t="n">
        <f aca="false">H2805*I2805</f>
        <v>57.2</v>
      </c>
      <c r="L2805" s="16" t="n">
        <f aca="false">H2805*J2805</f>
        <v>24</v>
      </c>
      <c r="M2805" s="16" t="n">
        <f aca="false">K2805-L2805</f>
        <v>33.2</v>
      </c>
      <c r="N2805" s="17" t="n">
        <f aca="false">IFERROR(M2805/K2805,0)</f>
        <v>0.58041958041958</v>
      </c>
    </row>
    <row r="2806" customFormat="false" ht="15" hidden="false" customHeight="false" outlineLevel="0" collapsed="false">
      <c r="A2806" s="15" t="n">
        <v>46139</v>
      </c>
      <c r="B2806" s="14" t="s">
        <v>69</v>
      </c>
      <c r="C2806" s="14" t="s">
        <v>70</v>
      </c>
      <c r="D2806" s="14" t="s">
        <v>71</v>
      </c>
      <c r="E2806" s="14" t="s">
        <v>53</v>
      </c>
      <c r="F2806" s="14" t="s">
        <v>74</v>
      </c>
      <c r="G2806" s="14" t="s">
        <v>75</v>
      </c>
      <c r="H2806" s="0" t="n">
        <v>7</v>
      </c>
      <c r="I2806" s="16" t="n">
        <v>88.61</v>
      </c>
      <c r="J2806" s="16" t="n">
        <v>38</v>
      </c>
      <c r="K2806" s="16" t="n">
        <f aca="false">H2806*I2806</f>
        <v>620.27</v>
      </c>
      <c r="L2806" s="16" t="n">
        <f aca="false">H2806*J2806</f>
        <v>266</v>
      </c>
      <c r="M2806" s="16" t="n">
        <f aca="false">K2806-L2806</f>
        <v>354.27</v>
      </c>
      <c r="N2806" s="17" t="n">
        <f aca="false">IFERROR(M2806/K2806,0)</f>
        <v>0.571154497235075</v>
      </c>
    </row>
    <row r="2807" customFormat="false" ht="15" hidden="false" customHeight="false" outlineLevel="0" collapsed="false">
      <c r="A2807" s="15" t="n">
        <v>46139</v>
      </c>
      <c r="B2807" s="14" t="s">
        <v>81</v>
      </c>
      <c r="C2807" s="14" t="s">
        <v>82</v>
      </c>
      <c r="D2807" s="14" t="s">
        <v>83</v>
      </c>
      <c r="E2807" s="14" t="s">
        <v>56</v>
      </c>
      <c r="F2807" s="14" t="s">
        <v>86</v>
      </c>
      <c r="G2807" s="14" t="s">
        <v>87</v>
      </c>
      <c r="H2807" s="0" t="n">
        <v>2</v>
      </c>
      <c r="I2807" s="16" t="n">
        <v>14.48</v>
      </c>
      <c r="J2807" s="16" t="n">
        <v>5</v>
      </c>
      <c r="K2807" s="16" t="n">
        <f aca="false">H2807*I2807</f>
        <v>28.96</v>
      </c>
      <c r="L2807" s="16" t="n">
        <f aca="false">H2807*J2807</f>
        <v>10</v>
      </c>
      <c r="M2807" s="16" t="n">
        <f aca="false">K2807-L2807</f>
        <v>18.96</v>
      </c>
      <c r="N2807" s="17" t="n">
        <f aca="false">IFERROR(M2807/K2807,0)</f>
        <v>0.654696132596685</v>
      </c>
    </row>
    <row r="2808" customFormat="false" ht="15" hidden="false" customHeight="false" outlineLevel="0" collapsed="false">
      <c r="A2808" s="15" t="n">
        <v>46139</v>
      </c>
      <c r="B2808" s="14" t="s">
        <v>81</v>
      </c>
      <c r="C2808" s="14" t="s">
        <v>82</v>
      </c>
      <c r="D2808" s="14" t="s">
        <v>83</v>
      </c>
      <c r="E2808" s="14" t="s">
        <v>64</v>
      </c>
      <c r="F2808" s="14" t="s">
        <v>65</v>
      </c>
      <c r="G2808" s="14" t="s">
        <v>66</v>
      </c>
      <c r="H2808" s="0" t="n">
        <v>4</v>
      </c>
      <c r="I2808" s="16" t="n">
        <v>72.82</v>
      </c>
      <c r="J2808" s="16" t="n">
        <v>34</v>
      </c>
      <c r="K2808" s="16" t="n">
        <f aca="false">H2808*I2808</f>
        <v>291.28</v>
      </c>
      <c r="L2808" s="16" t="n">
        <f aca="false">H2808*J2808</f>
        <v>136</v>
      </c>
      <c r="M2808" s="16" t="n">
        <f aca="false">K2808-L2808</f>
        <v>155.28</v>
      </c>
      <c r="N2808" s="17" t="n">
        <f aca="false">IFERROR(M2808/K2808,0)</f>
        <v>0.533095303488053</v>
      </c>
    </row>
    <row r="2809" customFormat="false" ht="15" hidden="false" customHeight="false" outlineLevel="0" collapsed="false">
      <c r="A2809" s="15" t="n">
        <v>46139</v>
      </c>
      <c r="B2809" s="14" t="s">
        <v>81</v>
      </c>
      <c r="C2809" s="14" t="s">
        <v>82</v>
      </c>
      <c r="D2809" s="14" t="s">
        <v>83</v>
      </c>
      <c r="E2809" s="14" t="s">
        <v>56</v>
      </c>
      <c r="F2809" s="14" t="s">
        <v>57</v>
      </c>
      <c r="G2809" s="14" t="s">
        <v>58</v>
      </c>
      <c r="H2809" s="0" t="n">
        <v>3</v>
      </c>
      <c r="I2809" s="16" t="n">
        <v>26.68</v>
      </c>
      <c r="J2809" s="16" t="n">
        <v>10</v>
      </c>
      <c r="K2809" s="16" t="n">
        <f aca="false">H2809*I2809</f>
        <v>80.04</v>
      </c>
      <c r="L2809" s="16" t="n">
        <f aca="false">H2809*J2809</f>
        <v>30</v>
      </c>
      <c r="M2809" s="16" t="n">
        <f aca="false">K2809-L2809</f>
        <v>50.04</v>
      </c>
      <c r="N2809" s="17" t="n">
        <f aca="false">IFERROR(M2809/K2809,0)</f>
        <v>0.625187406296852</v>
      </c>
    </row>
    <row r="2810" customFormat="false" ht="15" hidden="false" customHeight="false" outlineLevel="0" collapsed="false">
      <c r="A2810" s="15" t="n">
        <v>46139</v>
      </c>
      <c r="B2810" s="14" t="s">
        <v>81</v>
      </c>
      <c r="C2810" s="14" t="s">
        <v>82</v>
      </c>
      <c r="D2810" s="14" t="s">
        <v>83</v>
      </c>
      <c r="E2810" s="14" t="s">
        <v>53</v>
      </c>
      <c r="F2810" s="14" t="s">
        <v>84</v>
      </c>
      <c r="G2810" s="14" t="s">
        <v>85</v>
      </c>
      <c r="H2810" s="0" t="n">
        <v>5</v>
      </c>
      <c r="I2810" s="16" t="n">
        <v>24.45</v>
      </c>
      <c r="J2810" s="16" t="n">
        <v>9</v>
      </c>
      <c r="K2810" s="16" t="n">
        <f aca="false">H2810*I2810</f>
        <v>122.25</v>
      </c>
      <c r="L2810" s="16" t="n">
        <f aca="false">H2810*J2810</f>
        <v>45</v>
      </c>
      <c r="M2810" s="16" t="n">
        <f aca="false">K2810-L2810</f>
        <v>77.25</v>
      </c>
      <c r="N2810" s="17" t="n">
        <f aca="false">IFERROR(M2810/K2810,0)</f>
        <v>0.631901840490798</v>
      </c>
    </row>
    <row r="2811" customFormat="false" ht="15" hidden="false" customHeight="false" outlineLevel="0" collapsed="false">
      <c r="A2811" s="15" t="n">
        <v>46139</v>
      </c>
      <c r="B2811" s="14" t="s">
        <v>88</v>
      </c>
      <c r="C2811" s="14" t="s">
        <v>89</v>
      </c>
      <c r="D2811" s="14" t="s">
        <v>44</v>
      </c>
      <c r="E2811" s="14" t="s">
        <v>53</v>
      </c>
      <c r="F2811" s="14" t="s">
        <v>84</v>
      </c>
      <c r="G2811" s="14" t="s">
        <v>85</v>
      </c>
      <c r="H2811" s="0" t="n">
        <v>5</v>
      </c>
      <c r="I2811" s="16" t="n">
        <v>23.65</v>
      </c>
      <c r="J2811" s="16" t="n">
        <v>9</v>
      </c>
      <c r="K2811" s="16" t="n">
        <f aca="false">H2811*I2811</f>
        <v>118.25</v>
      </c>
      <c r="L2811" s="16" t="n">
        <f aca="false">H2811*J2811</f>
        <v>45</v>
      </c>
      <c r="M2811" s="16" t="n">
        <f aca="false">K2811-L2811</f>
        <v>73.25</v>
      </c>
      <c r="N2811" s="17" t="n">
        <f aca="false">IFERROR(M2811/K2811,0)</f>
        <v>0.619450317124736</v>
      </c>
    </row>
    <row r="2812" customFormat="false" ht="15" hidden="false" customHeight="false" outlineLevel="0" collapsed="false">
      <c r="A2812" s="15" t="n">
        <v>46139</v>
      </c>
      <c r="B2812" s="14" t="s">
        <v>88</v>
      </c>
      <c r="C2812" s="14" t="s">
        <v>89</v>
      </c>
      <c r="D2812" s="14" t="s">
        <v>44</v>
      </c>
      <c r="E2812" s="14" t="s">
        <v>76</v>
      </c>
      <c r="F2812" s="14" t="s">
        <v>79</v>
      </c>
      <c r="G2812" s="14" t="s">
        <v>80</v>
      </c>
      <c r="H2812" s="0" t="n">
        <v>1</v>
      </c>
      <c r="I2812" s="16" t="n">
        <v>28.1</v>
      </c>
      <c r="J2812" s="16" t="n">
        <v>11</v>
      </c>
      <c r="K2812" s="16" t="n">
        <f aca="false">H2812*I2812</f>
        <v>28.1</v>
      </c>
      <c r="L2812" s="16" t="n">
        <f aca="false">H2812*J2812</f>
        <v>11</v>
      </c>
      <c r="M2812" s="16" t="n">
        <f aca="false">K2812-L2812</f>
        <v>17.1</v>
      </c>
      <c r="N2812" s="17" t="n">
        <f aca="false">IFERROR(M2812/K2812,0)</f>
        <v>0.608540925266904</v>
      </c>
    </row>
    <row r="2813" customFormat="false" ht="15" hidden="false" customHeight="false" outlineLevel="0" collapsed="false">
      <c r="A2813" s="15" t="n">
        <v>46139</v>
      </c>
      <c r="B2813" s="14" t="s">
        <v>88</v>
      </c>
      <c r="C2813" s="14" t="s">
        <v>89</v>
      </c>
      <c r="D2813" s="14" t="s">
        <v>44</v>
      </c>
      <c r="E2813" s="14" t="s">
        <v>64</v>
      </c>
      <c r="F2813" s="14" t="s">
        <v>90</v>
      </c>
      <c r="G2813" s="14" t="s">
        <v>91</v>
      </c>
      <c r="H2813" s="0" t="n">
        <v>4</v>
      </c>
      <c r="I2813" s="16" t="n">
        <v>11.7</v>
      </c>
      <c r="J2813" s="16" t="n">
        <v>3.5</v>
      </c>
      <c r="K2813" s="16" t="n">
        <f aca="false">H2813*I2813</f>
        <v>46.8</v>
      </c>
      <c r="L2813" s="16" t="n">
        <f aca="false">H2813*J2813</f>
        <v>14</v>
      </c>
      <c r="M2813" s="16" t="n">
        <f aca="false">K2813-L2813</f>
        <v>32.8</v>
      </c>
      <c r="N2813" s="17" t="n">
        <f aca="false">IFERROR(M2813/K2813,0)</f>
        <v>0.700854700854701</v>
      </c>
    </row>
    <row r="2814" customFormat="false" ht="15" hidden="false" customHeight="false" outlineLevel="0" collapsed="false">
      <c r="A2814" s="15" t="n">
        <v>46140</v>
      </c>
      <c r="B2814" s="14" t="s">
        <v>42</v>
      </c>
      <c r="C2814" s="14" t="s">
        <v>43</v>
      </c>
      <c r="D2814" s="14" t="s">
        <v>44</v>
      </c>
      <c r="E2814" s="14" t="s">
        <v>53</v>
      </c>
      <c r="F2814" s="14" t="s">
        <v>54</v>
      </c>
      <c r="G2814" s="14" t="s">
        <v>55</v>
      </c>
      <c r="H2814" s="0" t="n">
        <v>12</v>
      </c>
      <c r="I2814" s="16" t="n">
        <v>52.8</v>
      </c>
      <c r="J2814" s="16" t="n">
        <v>22</v>
      </c>
      <c r="K2814" s="16" t="n">
        <f aca="false">H2814*I2814</f>
        <v>633.6</v>
      </c>
      <c r="L2814" s="16" t="n">
        <f aca="false">H2814*J2814</f>
        <v>264</v>
      </c>
      <c r="M2814" s="16" t="n">
        <f aca="false">K2814-L2814</f>
        <v>369.6</v>
      </c>
      <c r="N2814" s="17" t="n">
        <f aca="false">IFERROR(M2814/K2814,0)</f>
        <v>0.583333333333333</v>
      </c>
    </row>
    <row r="2815" customFormat="false" ht="15" hidden="false" customHeight="false" outlineLevel="0" collapsed="false">
      <c r="A2815" s="15" t="n">
        <v>46140</v>
      </c>
      <c r="B2815" s="14" t="s">
        <v>42</v>
      </c>
      <c r="C2815" s="14" t="s">
        <v>43</v>
      </c>
      <c r="D2815" s="14" t="s">
        <v>44</v>
      </c>
      <c r="E2815" s="14" t="s">
        <v>45</v>
      </c>
      <c r="F2815" s="14" t="s">
        <v>46</v>
      </c>
      <c r="G2815" s="14" t="s">
        <v>47</v>
      </c>
      <c r="H2815" s="0" t="n">
        <v>5</v>
      </c>
      <c r="I2815" s="16" t="n">
        <v>42.28</v>
      </c>
      <c r="J2815" s="16" t="n">
        <v>18</v>
      </c>
      <c r="K2815" s="16" t="n">
        <f aca="false">H2815*I2815</f>
        <v>211.4</v>
      </c>
      <c r="L2815" s="16" t="n">
        <f aca="false">H2815*J2815</f>
        <v>90</v>
      </c>
      <c r="M2815" s="16" t="n">
        <f aca="false">K2815-L2815</f>
        <v>121.4</v>
      </c>
      <c r="N2815" s="17" t="n">
        <f aca="false">IFERROR(M2815/K2815,0)</f>
        <v>0.574266792809839</v>
      </c>
    </row>
    <row r="2816" customFormat="false" ht="15" hidden="false" customHeight="false" outlineLevel="0" collapsed="false">
      <c r="A2816" s="15" t="n">
        <v>46140</v>
      </c>
      <c r="B2816" s="14" t="s">
        <v>42</v>
      </c>
      <c r="C2816" s="14" t="s">
        <v>43</v>
      </c>
      <c r="D2816" s="14" t="s">
        <v>44</v>
      </c>
      <c r="E2816" s="14" t="s">
        <v>45</v>
      </c>
      <c r="F2816" s="14" t="s">
        <v>48</v>
      </c>
      <c r="G2816" s="14" t="s">
        <v>49</v>
      </c>
      <c r="H2816" s="0" t="n">
        <v>2</v>
      </c>
      <c r="I2816" s="16" t="n">
        <v>66.27</v>
      </c>
      <c r="J2816" s="16" t="n">
        <v>27.5</v>
      </c>
      <c r="K2816" s="16" t="n">
        <f aca="false">H2816*I2816</f>
        <v>132.54</v>
      </c>
      <c r="L2816" s="16" t="n">
        <f aca="false">H2816*J2816</f>
        <v>55</v>
      </c>
      <c r="M2816" s="16" t="n">
        <f aca="false">K2816-L2816</f>
        <v>77.54</v>
      </c>
      <c r="N2816" s="17" t="n">
        <f aca="false">IFERROR(M2816/K2816,0)</f>
        <v>0.585030934057643</v>
      </c>
    </row>
    <row r="2817" customFormat="false" ht="15" hidden="false" customHeight="false" outlineLevel="0" collapsed="false">
      <c r="A2817" s="15" t="n">
        <v>46140</v>
      </c>
      <c r="B2817" s="14" t="s">
        <v>42</v>
      </c>
      <c r="C2817" s="14" t="s">
        <v>43</v>
      </c>
      <c r="D2817" s="14" t="s">
        <v>44</v>
      </c>
      <c r="E2817" s="14" t="s">
        <v>64</v>
      </c>
      <c r="F2817" s="14" t="s">
        <v>90</v>
      </c>
      <c r="G2817" s="14" t="s">
        <v>91</v>
      </c>
      <c r="H2817" s="0" t="n">
        <v>9</v>
      </c>
      <c r="I2817" s="16" t="n">
        <v>11.11</v>
      </c>
      <c r="J2817" s="16" t="n">
        <v>3.5</v>
      </c>
      <c r="K2817" s="16" t="n">
        <f aca="false">H2817*I2817</f>
        <v>99.99</v>
      </c>
      <c r="L2817" s="16" t="n">
        <f aca="false">H2817*J2817</f>
        <v>31.5</v>
      </c>
      <c r="M2817" s="16" t="n">
        <f aca="false">K2817-L2817</f>
        <v>68.49</v>
      </c>
      <c r="N2817" s="17" t="n">
        <f aca="false">IFERROR(M2817/K2817,0)</f>
        <v>0.684968496849685</v>
      </c>
    </row>
    <row r="2818" customFormat="false" ht="15" hidden="false" customHeight="false" outlineLevel="0" collapsed="false">
      <c r="A2818" s="15" t="n">
        <v>46140</v>
      </c>
      <c r="B2818" s="14" t="s">
        <v>42</v>
      </c>
      <c r="C2818" s="14" t="s">
        <v>43</v>
      </c>
      <c r="D2818" s="14" t="s">
        <v>44</v>
      </c>
      <c r="E2818" s="14" t="s">
        <v>64</v>
      </c>
      <c r="F2818" s="14" t="s">
        <v>94</v>
      </c>
      <c r="G2818" s="14" t="s">
        <v>95</v>
      </c>
      <c r="H2818" s="0" t="n">
        <v>2</v>
      </c>
      <c r="I2818" s="16" t="n">
        <v>96.75</v>
      </c>
      <c r="J2818" s="16" t="n">
        <v>42</v>
      </c>
      <c r="K2818" s="16" t="n">
        <f aca="false">H2818*I2818</f>
        <v>193.5</v>
      </c>
      <c r="L2818" s="16" t="n">
        <f aca="false">H2818*J2818</f>
        <v>84</v>
      </c>
      <c r="M2818" s="16" t="n">
        <f aca="false">K2818-L2818</f>
        <v>109.5</v>
      </c>
      <c r="N2818" s="17" t="n">
        <f aca="false">IFERROR(M2818/K2818,0)</f>
        <v>0.565891472868217</v>
      </c>
    </row>
    <row r="2819" customFormat="false" ht="15" hidden="false" customHeight="false" outlineLevel="0" collapsed="false">
      <c r="A2819" s="15" t="n">
        <v>46140</v>
      </c>
      <c r="B2819" s="14" t="s">
        <v>50</v>
      </c>
      <c r="C2819" s="14" t="s">
        <v>51</v>
      </c>
      <c r="D2819" s="14" t="s">
        <v>52</v>
      </c>
      <c r="E2819" s="14" t="s">
        <v>56</v>
      </c>
      <c r="F2819" s="14" t="s">
        <v>98</v>
      </c>
      <c r="G2819" s="14" t="s">
        <v>99</v>
      </c>
      <c r="H2819" s="0" t="n">
        <v>10</v>
      </c>
      <c r="I2819" s="16" t="n">
        <v>21.09</v>
      </c>
      <c r="J2819" s="16" t="n">
        <v>8</v>
      </c>
      <c r="K2819" s="16" t="n">
        <f aca="false">H2819*I2819</f>
        <v>210.9</v>
      </c>
      <c r="L2819" s="16" t="n">
        <f aca="false">H2819*J2819</f>
        <v>80</v>
      </c>
      <c r="M2819" s="16" t="n">
        <f aca="false">K2819-L2819</f>
        <v>130.9</v>
      </c>
      <c r="N2819" s="17" t="n">
        <f aca="false">IFERROR(M2819/K2819,0)</f>
        <v>0.620673304883831</v>
      </c>
    </row>
    <row r="2820" customFormat="false" ht="15" hidden="false" customHeight="false" outlineLevel="0" collapsed="false">
      <c r="A2820" s="15" t="n">
        <v>46140</v>
      </c>
      <c r="B2820" s="14" t="s">
        <v>50</v>
      </c>
      <c r="C2820" s="14" t="s">
        <v>51</v>
      </c>
      <c r="D2820" s="14" t="s">
        <v>52</v>
      </c>
      <c r="E2820" s="14" t="s">
        <v>45</v>
      </c>
      <c r="F2820" s="14" t="s">
        <v>46</v>
      </c>
      <c r="G2820" s="14" t="s">
        <v>47</v>
      </c>
      <c r="H2820" s="0" t="n">
        <v>10</v>
      </c>
      <c r="I2820" s="16" t="n">
        <v>44.38</v>
      </c>
      <c r="J2820" s="16" t="n">
        <v>18</v>
      </c>
      <c r="K2820" s="16" t="n">
        <f aca="false">H2820*I2820</f>
        <v>443.8</v>
      </c>
      <c r="L2820" s="16" t="n">
        <f aca="false">H2820*J2820</f>
        <v>180</v>
      </c>
      <c r="M2820" s="16" t="n">
        <f aca="false">K2820-L2820</f>
        <v>263.8</v>
      </c>
      <c r="N2820" s="17" t="n">
        <f aca="false">IFERROR(M2820/K2820,0)</f>
        <v>0.594411897251014</v>
      </c>
    </row>
    <row r="2821" customFormat="false" ht="15" hidden="false" customHeight="false" outlineLevel="0" collapsed="false">
      <c r="A2821" s="15" t="n">
        <v>46140</v>
      </c>
      <c r="B2821" s="14" t="s">
        <v>50</v>
      </c>
      <c r="C2821" s="14" t="s">
        <v>51</v>
      </c>
      <c r="D2821" s="14" t="s">
        <v>52</v>
      </c>
      <c r="E2821" s="14" t="s">
        <v>45</v>
      </c>
      <c r="F2821" s="14" t="s">
        <v>46</v>
      </c>
      <c r="G2821" s="14" t="s">
        <v>47</v>
      </c>
      <c r="H2821" s="0" t="n">
        <v>10</v>
      </c>
      <c r="I2821" s="16" t="n">
        <v>43.98</v>
      </c>
      <c r="J2821" s="16" t="n">
        <v>18</v>
      </c>
      <c r="K2821" s="16" t="n">
        <f aca="false">H2821*I2821</f>
        <v>439.8</v>
      </c>
      <c r="L2821" s="16" t="n">
        <f aca="false">H2821*J2821</f>
        <v>180</v>
      </c>
      <c r="M2821" s="16" t="n">
        <f aca="false">K2821-L2821</f>
        <v>259.8</v>
      </c>
      <c r="N2821" s="17" t="n">
        <f aca="false">IFERROR(M2821/K2821,0)</f>
        <v>0.590723055934516</v>
      </c>
    </row>
    <row r="2822" customFormat="false" ht="15" hidden="false" customHeight="false" outlineLevel="0" collapsed="false">
      <c r="A2822" s="15" t="n">
        <v>46140</v>
      </c>
      <c r="B2822" s="14" t="s">
        <v>50</v>
      </c>
      <c r="C2822" s="14" t="s">
        <v>51</v>
      </c>
      <c r="D2822" s="14" t="s">
        <v>52</v>
      </c>
      <c r="E2822" s="14" t="s">
        <v>56</v>
      </c>
      <c r="F2822" s="14" t="s">
        <v>57</v>
      </c>
      <c r="G2822" s="14" t="s">
        <v>58</v>
      </c>
      <c r="H2822" s="0" t="n">
        <v>9</v>
      </c>
      <c r="I2822" s="16" t="n">
        <v>26.54</v>
      </c>
      <c r="J2822" s="16" t="n">
        <v>10</v>
      </c>
      <c r="K2822" s="16" t="n">
        <f aca="false">H2822*I2822</f>
        <v>238.86</v>
      </c>
      <c r="L2822" s="16" t="n">
        <f aca="false">H2822*J2822</f>
        <v>90</v>
      </c>
      <c r="M2822" s="16" t="n">
        <f aca="false">K2822-L2822</f>
        <v>148.86</v>
      </c>
      <c r="N2822" s="17" t="n">
        <f aca="false">IFERROR(M2822/K2822,0)</f>
        <v>0.623210248681236</v>
      </c>
    </row>
    <row r="2823" customFormat="false" ht="15" hidden="false" customHeight="false" outlineLevel="0" collapsed="false">
      <c r="A2823" s="15" t="n">
        <v>46140</v>
      </c>
      <c r="B2823" s="14" t="s">
        <v>50</v>
      </c>
      <c r="C2823" s="14" t="s">
        <v>51</v>
      </c>
      <c r="D2823" s="14" t="s">
        <v>52</v>
      </c>
      <c r="E2823" s="14" t="s">
        <v>45</v>
      </c>
      <c r="F2823" s="14" t="s">
        <v>62</v>
      </c>
      <c r="G2823" s="14" t="s">
        <v>63</v>
      </c>
      <c r="H2823" s="0" t="n">
        <v>7</v>
      </c>
      <c r="I2823" s="16" t="n">
        <v>17.65</v>
      </c>
      <c r="J2823" s="16" t="n">
        <v>6.5</v>
      </c>
      <c r="K2823" s="16" t="n">
        <f aca="false">H2823*I2823</f>
        <v>123.55</v>
      </c>
      <c r="L2823" s="16" t="n">
        <f aca="false">H2823*J2823</f>
        <v>45.5</v>
      </c>
      <c r="M2823" s="16" t="n">
        <f aca="false">K2823-L2823</f>
        <v>78.05</v>
      </c>
      <c r="N2823" s="17" t="n">
        <f aca="false">IFERROR(M2823/K2823,0)</f>
        <v>0.631728045325779</v>
      </c>
    </row>
    <row r="2824" customFormat="false" ht="15" hidden="false" customHeight="false" outlineLevel="0" collapsed="false">
      <c r="A2824" s="15" t="n">
        <v>46140</v>
      </c>
      <c r="B2824" s="14" t="s">
        <v>50</v>
      </c>
      <c r="C2824" s="14" t="s">
        <v>51</v>
      </c>
      <c r="D2824" s="14" t="s">
        <v>52</v>
      </c>
      <c r="E2824" s="14" t="s">
        <v>56</v>
      </c>
      <c r="F2824" s="14" t="s">
        <v>98</v>
      </c>
      <c r="G2824" s="14" t="s">
        <v>99</v>
      </c>
      <c r="H2824" s="0" t="n">
        <v>4</v>
      </c>
      <c r="I2824" s="16" t="n">
        <v>20.88</v>
      </c>
      <c r="J2824" s="16" t="n">
        <v>8</v>
      </c>
      <c r="K2824" s="16" t="n">
        <f aca="false">H2824*I2824</f>
        <v>83.52</v>
      </c>
      <c r="L2824" s="16" t="n">
        <f aca="false">H2824*J2824</f>
        <v>32</v>
      </c>
      <c r="M2824" s="16" t="n">
        <f aca="false">K2824-L2824</f>
        <v>51.52</v>
      </c>
      <c r="N2824" s="17" t="n">
        <f aca="false">IFERROR(M2824/K2824,0)</f>
        <v>0.616858237547893</v>
      </c>
    </row>
    <row r="2825" customFormat="false" ht="15" hidden="false" customHeight="false" outlineLevel="0" collapsed="false">
      <c r="A2825" s="15" t="n">
        <v>46140</v>
      </c>
      <c r="B2825" s="14" t="s">
        <v>59</v>
      </c>
      <c r="C2825" s="14" t="s">
        <v>60</v>
      </c>
      <c r="D2825" s="14" t="s">
        <v>61</v>
      </c>
      <c r="E2825" s="14" t="s">
        <v>53</v>
      </c>
      <c r="F2825" s="14" t="s">
        <v>54</v>
      </c>
      <c r="G2825" s="14" t="s">
        <v>55</v>
      </c>
      <c r="H2825" s="0" t="n">
        <v>8</v>
      </c>
      <c r="I2825" s="16" t="n">
        <v>51.52</v>
      </c>
      <c r="J2825" s="16" t="n">
        <v>22</v>
      </c>
      <c r="K2825" s="16" t="n">
        <f aca="false">H2825*I2825</f>
        <v>412.16</v>
      </c>
      <c r="L2825" s="16" t="n">
        <f aca="false">H2825*J2825</f>
        <v>176</v>
      </c>
      <c r="M2825" s="16" t="n">
        <f aca="false">K2825-L2825</f>
        <v>236.16</v>
      </c>
      <c r="N2825" s="17" t="n">
        <f aca="false">IFERROR(M2825/K2825,0)</f>
        <v>0.572981366459627</v>
      </c>
    </row>
    <row r="2826" customFormat="false" ht="15" hidden="false" customHeight="false" outlineLevel="0" collapsed="false">
      <c r="A2826" s="15" t="n">
        <v>46140</v>
      </c>
      <c r="B2826" s="14" t="s">
        <v>59</v>
      </c>
      <c r="C2826" s="14" t="s">
        <v>60</v>
      </c>
      <c r="D2826" s="14" t="s">
        <v>61</v>
      </c>
      <c r="E2826" s="14" t="s">
        <v>45</v>
      </c>
      <c r="F2826" s="14" t="s">
        <v>46</v>
      </c>
      <c r="G2826" s="14" t="s">
        <v>47</v>
      </c>
      <c r="H2826" s="0" t="n">
        <v>2</v>
      </c>
      <c r="I2826" s="16" t="n">
        <v>43.05</v>
      </c>
      <c r="J2826" s="16" t="n">
        <v>18</v>
      </c>
      <c r="K2826" s="16" t="n">
        <f aca="false">H2826*I2826</f>
        <v>86.1</v>
      </c>
      <c r="L2826" s="16" t="n">
        <f aca="false">H2826*J2826</f>
        <v>36</v>
      </c>
      <c r="M2826" s="16" t="n">
        <f aca="false">K2826-L2826</f>
        <v>50.1</v>
      </c>
      <c r="N2826" s="17" t="n">
        <f aca="false">IFERROR(M2826/K2826,0)</f>
        <v>0.581881533101045</v>
      </c>
    </row>
    <row r="2827" customFormat="false" ht="15" hidden="false" customHeight="false" outlineLevel="0" collapsed="false">
      <c r="A2827" s="15" t="n">
        <v>46140</v>
      </c>
      <c r="B2827" s="14" t="s">
        <v>59</v>
      </c>
      <c r="C2827" s="14" t="s">
        <v>60</v>
      </c>
      <c r="D2827" s="14" t="s">
        <v>61</v>
      </c>
      <c r="E2827" s="14" t="s">
        <v>64</v>
      </c>
      <c r="F2827" s="14" t="s">
        <v>96</v>
      </c>
      <c r="G2827" s="14" t="s">
        <v>97</v>
      </c>
      <c r="H2827" s="0" t="n">
        <v>4</v>
      </c>
      <c r="I2827" s="16" t="n">
        <v>55.9</v>
      </c>
      <c r="J2827" s="16" t="n">
        <v>24</v>
      </c>
      <c r="K2827" s="16" t="n">
        <f aca="false">H2827*I2827</f>
        <v>223.6</v>
      </c>
      <c r="L2827" s="16" t="n">
        <f aca="false">H2827*J2827</f>
        <v>96</v>
      </c>
      <c r="M2827" s="16" t="n">
        <f aca="false">K2827-L2827</f>
        <v>127.6</v>
      </c>
      <c r="N2827" s="17" t="n">
        <f aca="false">IFERROR(M2827/K2827,0)</f>
        <v>0.570661896243292</v>
      </c>
    </row>
    <row r="2828" customFormat="false" ht="15" hidden="false" customHeight="false" outlineLevel="0" collapsed="false">
      <c r="A2828" s="15" t="n">
        <v>46140</v>
      </c>
      <c r="B2828" s="14" t="s">
        <v>59</v>
      </c>
      <c r="C2828" s="14" t="s">
        <v>60</v>
      </c>
      <c r="D2828" s="14" t="s">
        <v>61</v>
      </c>
      <c r="E2828" s="14" t="s">
        <v>64</v>
      </c>
      <c r="F2828" s="14" t="s">
        <v>94</v>
      </c>
      <c r="G2828" s="14" t="s">
        <v>95</v>
      </c>
      <c r="H2828" s="0" t="n">
        <v>7</v>
      </c>
      <c r="I2828" s="16" t="n">
        <v>96.62</v>
      </c>
      <c r="J2828" s="16" t="n">
        <v>42</v>
      </c>
      <c r="K2828" s="16" t="n">
        <f aca="false">H2828*I2828</f>
        <v>676.34</v>
      </c>
      <c r="L2828" s="16" t="n">
        <f aca="false">H2828*J2828</f>
        <v>294</v>
      </c>
      <c r="M2828" s="16" t="n">
        <f aca="false">K2828-L2828</f>
        <v>382.34</v>
      </c>
      <c r="N2828" s="17" t="n">
        <f aca="false">IFERROR(M2828/K2828,0)</f>
        <v>0.565307389774374</v>
      </c>
    </row>
    <row r="2829" customFormat="false" ht="15" hidden="false" customHeight="false" outlineLevel="0" collapsed="false">
      <c r="A2829" s="15" t="n">
        <v>46140</v>
      </c>
      <c r="B2829" s="14" t="s">
        <v>69</v>
      </c>
      <c r="C2829" s="14" t="s">
        <v>70</v>
      </c>
      <c r="D2829" s="14" t="s">
        <v>71</v>
      </c>
      <c r="E2829" s="14" t="s">
        <v>76</v>
      </c>
      <c r="F2829" s="14" t="s">
        <v>79</v>
      </c>
      <c r="G2829" s="14" t="s">
        <v>80</v>
      </c>
      <c r="H2829" s="0" t="n">
        <v>3</v>
      </c>
      <c r="I2829" s="16" t="n">
        <v>27.96</v>
      </c>
      <c r="J2829" s="16" t="n">
        <v>11</v>
      </c>
      <c r="K2829" s="16" t="n">
        <f aca="false">H2829*I2829</f>
        <v>83.88</v>
      </c>
      <c r="L2829" s="16" t="n">
        <f aca="false">H2829*J2829</f>
        <v>33</v>
      </c>
      <c r="M2829" s="16" t="n">
        <f aca="false">K2829-L2829</f>
        <v>50.88</v>
      </c>
      <c r="N2829" s="17" t="n">
        <f aca="false">IFERROR(M2829/K2829,0)</f>
        <v>0.606580829756795</v>
      </c>
    </row>
    <row r="2830" customFormat="false" ht="15" hidden="false" customHeight="false" outlineLevel="0" collapsed="false">
      <c r="A2830" s="15" t="n">
        <v>46140</v>
      </c>
      <c r="B2830" s="14" t="s">
        <v>69</v>
      </c>
      <c r="C2830" s="14" t="s">
        <v>70</v>
      </c>
      <c r="D2830" s="14" t="s">
        <v>71</v>
      </c>
      <c r="E2830" s="14" t="s">
        <v>76</v>
      </c>
      <c r="F2830" s="14" t="s">
        <v>79</v>
      </c>
      <c r="G2830" s="14" t="s">
        <v>80</v>
      </c>
      <c r="H2830" s="0" t="n">
        <v>3</v>
      </c>
      <c r="I2830" s="16" t="n">
        <v>29.71</v>
      </c>
      <c r="J2830" s="16" t="n">
        <v>11</v>
      </c>
      <c r="K2830" s="16" t="n">
        <f aca="false">H2830*I2830</f>
        <v>89.13</v>
      </c>
      <c r="L2830" s="16" t="n">
        <f aca="false">H2830*J2830</f>
        <v>33</v>
      </c>
      <c r="M2830" s="16" t="n">
        <f aca="false">K2830-L2830</f>
        <v>56.13</v>
      </c>
      <c r="N2830" s="17" t="n">
        <f aca="false">IFERROR(M2830/K2830,0)</f>
        <v>0.629754291484349</v>
      </c>
    </row>
    <row r="2831" customFormat="false" ht="15" hidden="false" customHeight="false" outlineLevel="0" collapsed="false">
      <c r="A2831" s="15" t="n">
        <v>46140</v>
      </c>
      <c r="B2831" s="14" t="s">
        <v>69</v>
      </c>
      <c r="C2831" s="14" t="s">
        <v>70</v>
      </c>
      <c r="D2831" s="14" t="s">
        <v>71</v>
      </c>
      <c r="E2831" s="14" t="s">
        <v>56</v>
      </c>
      <c r="F2831" s="14" t="s">
        <v>67</v>
      </c>
      <c r="G2831" s="14" t="s">
        <v>68</v>
      </c>
      <c r="H2831" s="0" t="n">
        <v>5</v>
      </c>
      <c r="I2831" s="16" t="n">
        <v>35.89</v>
      </c>
      <c r="J2831" s="16" t="n">
        <v>15</v>
      </c>
      <c r="K2831" s="16" t="n">
        <f aca="false">H2831*I2831</f>
        <v>179.45</v>
      </c>
      <c r="L2831" s="16" t="n">
        <f aca="false">H2831*J2831</f>
        <v>75</v>
      </c>
      <c r="M2831" s="16" t="n">
        <f aca="false">K2831-L2831</f>
        <v>104.45</v>
      </c>
      <c r="N2831" s="17" t="n">
        <f aca="false">IFERROR(M2831/K2831,0)</f>
        <v>0.582056283087211</v>
      </c>
    </row>
    <row r="2832" customFormat="false" ht="15" hidden="false" customHeight="false" outlineLevel="0" collapsed="false">
      <c r="A2832" s="15" t="n">
        <v>46140</v>
      </c>
      <c r="B2832" s="14" t="s">
        <v>69</v>
      </c>
      <c r="C2832" s="14" t="s">
        <v>70</v>
      </c>
      <c r="D2832" s="14" t="s">
        <v>71</v>
      </c>
      <c r="E2832" s="14" t="s">
        <v>53</v>
      </c>
      <c r="F2832" s="14" t="s">
        <v>92</v>
      </c>
      <c r="G2832" s="14" t="s">
        <v>93</v>
      </c>
      <c r="H2832" s="0" t="n">
        <v>8</v>
      </c>
      <c r="I2832" s="16" t="n">
        <v>117.25</v>
      </c>
      <c r="J2832" s="16" t="n">
        <v>52</v>
      </c>
      <c r="K2832" s="16" t="n">
        <f aca="false">H2832*I2832</f>
        <v>938</v>
      </c>
      <c r="L2832" s="16" t="n">
        <f aca="false">H2832*J2832</f>
        <v>416</v>
      </c>
      <c r="M2832" s="16" t="n">
        <f aca="false">K2832-L2832</f>
        <v>522</v>
      </c>
      <c r="N2832" s="17" t="n">
        <f aca="false">IFERROR(M2832/K2832,0)</f>
        <v>0.556503198294243</v>
      </c>
    </row>
    <row r="2833" customFormat="false" ht="15" hidden="false" customHeight="false" outlineLevel="0" collapsed="false">
      <c r="A2833" s="15" t="n">
        <v>46140</v>
      </c>
      <c r="B2833" s="14" t="s">
        <v>69</v>
      </c>
      <c r="C2833" s="14" t="s">
        <v>70</v>
      </c>
      <c r="D2833" s="14" t="s">
        <v>71</v>
      </c>
      <c r="E2833" s="14" t="s">
        <v>76</v>
      </c>
      <c r="F2833" s="14" t="s">
        <v>77</v>
      </c>
      <c r="G2833" s="14" t="s">
        <v>78</v>
      </c>
      <c r="H2833" s="0" t="n">
        <v>3</v>
      </c>
      <c r="I2833" s="16" t="n">
        <v>39.13</v>
      </c>
      <c r="J2833" s="16" t="n">
        <v>15</v>
      </c>
      <c r="K2833" s="16" t="n">
        <f aca="false">H2833*I2833</f>
        <v>117.39</v>
      </c>
      <c r="L2833" s="16" t="n">
        <f aca="false">H2833*J2833</f>
        <v>45</v>
      </c>
      <c r="M2833" s="16" t="n">
        <f aca="false">K2833-L2833</f>
        <v>72.39</v>
      </c>
      <c r="N2833" s="17" t="n">
        <f aca="false">IFERROR(M2833/K2833,0)</f>
        <v>0.616662407360082</v>
      </c>
    </row>
    <row r="2834" customFormat="false" ht="15" hidden="false" customHeight="false" outlineLevel="0" collapsed="false">
      <c r="A2834" s="15" t="n">
        <v>46140</v>
      </c>
      <c r="B2834" s="14" t="s">
        <v>69</v>
      </c>
      <c r="C2834" s="14" t="s">
        <v>70</v>
      </c>
      <c r="D2834" s="14" t="s">
        <v>71</v>
      </c>
      <c r="E2834" s="14" t="s">
        <v>76</v>
      </c>
      <c r="F2834" s="14" t="s">
        <v>100</v>
      </c>
      <c r="G2834" s="14" t="s">
        <v>101</v>
      </c>
      <c r="H2834" s="0" t="n">
        <v>4</v>
      </c>
      <c r="I2834" s="16" t="n">
        <v>15.54</v>
      </c>
      <c r="J2834" s="16" t="n">
        <v>5.5</v>
      </c>
      <c r="K2834" s="16" t="n">
        <f aca="false">H2834*I2834</f>
        <v>62.16</v>
      </c>
      <c r="L2834" s="16" t="n">
        <f aca="false">H2834*J2834</f>
        <v>22</v>
      </c>
      <c r="M2834" s="16" t="n">
        <f aca="false">K2834-L2834</f>
        <v>40.16</v>
      </c>
      <c r="N2834" s="17" t="n">
        <f aca="false">IFERROR(M2834/K2834,0)</f>
        <v>0.646074646074646</v>
      </c>
    </row>
    <row r="2835" customFormat="false" ht="15" hidden="false" customHeight="false" outlineLevel="0" collapsed="false">
      <c r="A2835" s="15" t="n">
        <v>46140</v>
      </c>
      <c r="B2835" s="14" t="s">
        <v>81</v>
      </c>
      <c r="C2835" s="14" t="s">
        <v>82</v>
      </c>
      <c r="D2835" s="14" t="s">
        <v>83</v>
      </c>
      <c r="E2835" s="14" t="s">
        <v>53</v>
      </c>
      <c r="F2835" s="14" t="s">
        <v>92</v>
      </c>
      <c r="G2835" s="14" t="s">
        <v>93</v>
      </c>
      <c r="H2835" s="0" t="n">
        <v>3</v>
      </c>
      <c r="I2835" s="16" t="n">
        <v>116.01</v>
      </c>
      <c r="J2835" s="16" t="n">
        <v>52</v>
      </c>
      <c r="K2835" s="16" t="n">
        <f aca="false">H2835*I2835</f>
        <v>348.03</v>
      </c>
      <c r="L2835" s="16" t="n">
        <f aca="false">H2835*J2835</f>
        <v>156</v>
      </c>
      <c r="M2835" s="16" t="n">
        <f aca="false">K2835-L2835</f>
        <v>192.03</v>
      </c>
      <c r="N2835" s="17" t="n">
        <f aca="false">IFERROR(M2835/K2835,0)</f>
        <v>0.55176277907077</v>
      </c>
    </row>
    <row r="2836" customFormat="false" ht="15" hidden="false" customHeight="false" outlineLevel="0" collapsed="false">
      <c r="A2836" s="15" t="n">
        <v>46140</v>
      </c>
      <c r="B2836" s="14" t="s">
        <v>81</v>
      </c>
      <c r="C2836" s="14" t="s">
        <v>82</v>
      </c>
      <c r="D2836" s="14" t="s">
        <v>83</v>
      </c>
      <c r="E2836" s="14" t="s">
        <v>76</v>
      </c>
      <c r="F2836" s="14" t="s">
        <v>102</v>
      </c>
      <c r="G2836" s="14" t="s">
        <v>103</v>
      </c>
      <c r="H2836" s="0" t="n">
        <v>5</v>
      </c>
      <c r="I2836" s="16" t="n">
        <v>23</v>
      </c>
      <c r="J2836" s="16" t="n">
        <v>8.5</v>
      </c>
      <c r="K2836" s="16" t="n">
        <f aca="false">H2836*I2836</f>
        <v>115</v>
      </c>
      <c r="L2836" s="16" t="n">
        <f aca="false">H2836*J2836</f>
        <v>42.5</v>
      </c>
      <c r="M2836" s="16" t="n">
        <f aca="false">K2836-L2836</f>
        <v>72.5</v>
      </c>
      <c r="N2836" s="17" t="n">
        <f aca="false">IFERROR(M2836/K2836,0)</f>
        <v>0.630434782608696</v>
      </c>
    </row>
    <row r="2837" customFormat="false" ht="15" hidden="false" customHeight="false" outlineLevel="0" collapsed="false">
      <c r="A2837" s="15" t="n">
        <v>46140</v>
      </c>
      <c r="B2837" s="14" t="s">
        <v>88</v>
      </c>
      <c r="C2837" s="14" t="s">
        <v>89</v>
      </c>
      <c r="D2837" s="14" t="s">
        <v>44</v>
      </c>
      <c r="E2837" s="14" t="s">
        <v>76</v>
      </c>
      <c r="F2837" s="14" t="s">
        <v>77</v>
      </c>
      <c r="G2837" s="14" t="s">
        <v>78</v>
      </c>
      <c r="H2837" s="0" t="n">
        <v>6</v>
      </c>
      <c r="I2837" s="16" t="n">
        <v>40.4</v>
      </c>
      <c r="J2837" s="16" t="n">
        <v>15</v>
      </c>
      <c r="K2837" s="16" t="n">
        <f aca="false">H2837*I2837</f>
        <v>242.4</v>
      </c>
      <c r="L2837" s="16" t="n">
        <f aca="false">H2837*J2837</f>
        <v>90</v>
      </c>
      <c r="M2837" s="16" t="n">
        <f aca="false">K2837-L2837</f>
        <v>152.4</v>
      </c>
      <c r="N2837" s="17" t="n">
        <f aca="false">IFERROR(M2837/K2837,0)</f>
        <v>0.628712871287129</v>
      </c>
    </row>
    <row r="2838" customFormat="false" ht="15" hidden="false" customHeight="false" outlineLevel="0" collapsed="false">
      <c r="A2838" s="15" t="n">
        <v>46140</v>
      </c>
      <c r="B2838" s="14" t="s">
        <v>88</v>
      </c>
      <c r="C2838" s="14" t="s">
        <v>89</v>
      </c>
      <c r="D2838" s="14" t="s">
        <v>44</v>
      </c>
      <c r="E2838" s="14" t="s">
        <v>64</v>
      </c>
      <c r="F2838" s="14" t="s">
        <v>90</v>
      </c>
      <c r="G2838" s="14" t="s">
        <v>91</v>
      </c>
      <c r="H2838" s="0" t="n">
        <v>3</v>
      </c>
      <c r="I2838" s="16" t="n">
        <v>11.88</v>
      </c>
      <c r="J2838" s="16" t="n">
        <v>3.5</v>
      </c>
      <c r="K2838" s="16" t="n">
        <f aca="false">H2838*I2838</f>
        <v>35.64</v>
      </c>
      <c r="L2838" s="16" t="n">
        <f aca="false">H2838*J2838</f>
        <v>10.5</v>
      </c>
      <c r="M2838" s="16" t="n">
        <f aca="false">K2838-L2838</f>
        <v>25.14</v>
      </c>
      <c r="N2838" s="17" t="n">
        <f aca="false">IFERROR(M2838/K2838,0)</f>
        <v>0.705387205387205</v>
      </c>
    </row>
    <row r="2839" customFormat="false" ht="15" hidden="false" customHeight="false" outlineLevel="0" collapsed="false">
      <c r="A2839" s="15" t="n">
        <v>46140</v>
      </c>
      <c r="B2839" s="14" t="s">
        <v>88</v>
      </c>
      <c r="C2839" s="14" t="s">
        <v>89</v>
      </c>
      <c r="D2839" s="14" t="s">
        <v>44</v>
      </c>
      <c r="E2839" s="14" t="s">
        <v>64</v>
      </c>
      <c r="F2839" s="14" t="s">
        <v>96</v>
      </c>
      <c r="G2839" s="14" t="s">
        <v>97</v>
      </c>
      <c r="H2839" s="0" t="n">
        <v>8</v>
      </c>
      <c r="I2839" s="16" t="n">
        <v>58.51</v>
      </c>
      <c r="J2839" s="16" t="n">
        <v>24</v>
      </c>
      <c r="K2839" s="16" t="n">
        <f aca="false">H2839*I2839</f>
        <v>468.08</v>
      </c>
      <c r="L2839" s="16" t="n">
        <f aca="false">H2839*J2839</f>
        <v>192</v>
      </c>
      <c r="M2839" s="16" t="n">
        <f aca="false">K2839-L2839</f>
        <v>276.08</v>
      </c>
      <c r="N2839" s="17" t="n">
        <f aca="false">IFERROR(M2839/K2839,0)</f>
        <v>0.589813707058623</v>
      </c>
    </row>
    <row r="2840" customFormat="false" ht="15" hidden="false" customHeight="false" outlineLevel="0" collapsed="false">
      <c r="A2840" s="15" t="n">
        <v>46141</v>
      </c>
      <c r="B2840" s="14" t="s">
        <v>42</v>
      </c>
      <c r="C2840" s="14" t="s">
        <v>43</v>
      </c>
      <c r="D2840" s="14" t="s">
        <v>44</v>
      </c>
      <c r="E2840" s="14" t="s">
        <v>45</v>
      </c>
      <c r="F2840" s="14" t="s">
        <v>46</v>
      </c>
      <c r="G2840" s="14" t="s">
        <v>47</v>
      </c>
      <c r="H2840" s="0" t="n">
        <v>6</v>
      </c>
      <c r="I2840" s="16" t="n">
        <v>42.51</v>
      </c>
      <c r="J2840" s="16" t="n">
        <v>18</v>
      </c>
      <c r="K2840" s="16" t="n">
        <f aca="false">H2840*I2840</f>
        <v>255.06</v>
      </c>
      <c r="L2840" s="16" t="n">
        <f aca="false">H2840*J2840</f>
        <v>108</v>
      </c>
      <c r="M2840" s="16" t="n">
        <f aca="false">K2840-L2840</f>
        <v>147.06</v>
      </c>
      <c r="N2840" s="17" t="n">
        <f aca="false">IFERROR(M2840/K2840,0)</f>
        <v>0.576570218772054</v>
      </c>
    </row>
    <row r="2841" customFormat="false" ht="15" hidden="false" customHeight="false" outlineLevel="0" collapsed="false">
      <c r="A2841" s="15" t="n">
        <v>46141</v>
      </c>
      <c r="B2841" s="14" t="s">
        <v>42</v>
      </c>
      <c r="C2841" s="14" t="s">
        <v>43</v>
      </c>
      <c r="D2841" s="14" t="s">
        <v>44</v>
      </c>
      <c r="E2841" s="14" t="s">
        <v>53</v>
      </c>
      <c r="F2841" s="14" t="s">
        <v>54</v>
      </c>
      <c r="G2841" s="14" t="s">
        <v>55</v>
      </c>
      <c r="H2841" s="0" t="n">
        <v>7</v>
      </c>
      <c r="I2841" s="16" t="n">
        <v>53.28</v>
      </c>
      <c r="J2841" s="16" t="n">
        <v>22</v>
      </c>
      <c r="K2841" s="16" t="n">
        <f aca="false">H2841*I2841</f>
        <v>372.96</v>
      </c>
      <c r="L2841" s="16" t="n">
        <f aca="false">H2841*J2841</f>
        <v>154</v>
      </c>
      <c r="M2841" s="16" t="n">
        <f aca="false">K2841-L2841</f>
        <v>218.96</v>
      </c>
      <c r="N2841" s="17" t="n">
        <f aca="false">IFERROR(M2841/K2841,0)</f>
        <v>0.587087087087087</v>
      </c>
    </row>
    <row r="2842" customFormat="false" ht="15" hidden="false" customHeight="false" outlineLevel="0" collapsed="false">
      <c r="A2842" s="15" t="n">
        <v>46141</v>
      </c>
      <c r="B2842" s="14" t="s">
        <v>50</v>
      </c>
      <c r="C2842" s="14" t="s">
        <v>51</v>
      </c>
      <c r="D2842" s="14" t="s">
        <v>52</v>
      </c>
      <c r="E2842" s="14" t="s">
        <v>53</v>
      </c>
      <c r="F2842" s="14" t="s">
        <v>92</v>
      </c>
      <c r="G2842" s="14" t="s">
        <v>93</v>
      </c>
      <c r="H2842" s="0" t="n">
        <v>11</v>
      </c>
      <c r="I2842" s="16" t="n">
        <v>114.81</v>
      </c>
      <c r="J2842" s="16" t="n">
        <v>52</v>
      </c>
      <c r="K2842" s="16" t="n">
        <f aca="false">H2842*I2842</f>
        <v>1262.91</v>
      </c>
      <c r="L2842" s="16" t="n">
        <f aca="false">H2842*J2842</f>
        <v>572</v>
      </c>
      <c r="M2842" s="16" t="n">
        <f aca="false">K2842-L2842</f>
        <v>690.91</v>
      </c>
      <c r="N2842" s="17" t="n">
        <f aca="false">IFERROR(M2842/K2842,0)</f>
        <v>0.547077780681125</v>
      </c>
    </row>
    <row r="2843" customFormat="false" ht="15" hidden="false" customHeight="false" outlineLevel="0" collapsed="false">
      <c r="A2843" s="15" t="n">
        <v>46141</v>
      </c>
      <c r="B2843" s="14" t="s">
        <v>50</v>
      </c>
      <c r="C2843" s="14" t="s">
        <v>51</v>
      </c>
      <c r="D2843" s="14" t="s">
        <v>52</v>
      </c>
      <c r="E2843" s="14" t="s">
        <v>45</v>
      </c>
      <c r="F2843" s="14" t="s">
        <v>62</v>
      </c>
      <c r="G2843" s="14" t="s">
        <v>63</v>
      </c>
      <c r="H2843" s="0" t="n">
        <v>6</v>
      </c>
      <c r="I2843" s="16" t="n">
        <v>17.08</v>
      </c>
      <c r="J2843" s="16" t="n">
        <v>6.5</v>
      </c>
      <c r="K2843" s="16" t="n">
        <f aca="false">H2843*I2843</f>
        <v>102.48</v>
      </c>
      <c r="L2843" s="16" t="n">
        <f aca="false">H2843*J2843</f>
        <v>39</v>
      </c>
      <c r="M2843" s="16" t="n">
        <f aca="false">K2843-L2843</f>
        <v>63.48</v>
      </c>
      <c r="N2843" s="17" t="n">
        <f aca="false">IFERROR(M2843/K2843,0)</f>
        <v>0.61943793911007</v>
      </c>
    </row>
    <row r="2844" customFormat="false" ht="15" hidden="false" customHeight="false" outlineLevel="0" collapsed="false">
      <c r="A2844" s="15" t="n">
        <v>46141</v>
      </c>
      <c r="B2844" s="14" t="s">
        <v>59</v>
      </c>
      <c r="C2844" s="14" t="s">
        <v>60</v>
      </c>
      <c r="D2844" s="14" t="s">
        <v>61</v>
      </c>
      <c r="E2844" s="14" t="s">
        <v>64</v>
      </c>
      <c r="F2844" s="14" t="s">
        <v>65</v>
      </c>
      <c r="G2844" s="14" t="s">
        <v>66</v>
      </c>
      <c r="H2844" s="0" t="n">
        <v>5</v>
      </c>
      <c r="I2844" s="16" t="n">
        <v>75.89</v>
      </c>
      <c r="J2844" s="16" t="n">
        <v>34</v>
      </c>
      <c r="K2844" s="16" t="n">
        <f aca="false">H2844*I2844</f>
        <v>379.45</v>
      </c>
      <c r="L2844" s="16" t="n">
        <f aca="false">H2844*J2844</f>
        <v>170</v>
      </c>
      <c r="M2844" s="16" t="n">
        <f aca="false">K2844-L2844</f>
        <v>209.45</v>
      </c>
      <c r="N2844" s="17" t="n">
        <f aca="false">IFERROR(M2844/K2844,0)</f>
        <v>0.551983133482672</v>
      </c>
    </row>
    <row r="2845" customFormat="false" ht="15" hidden="false" customHeight="false" outlineLevel="0" collapsed="false">
      <c r="A2845" s="15" t="n">
        <v>46141</v>
      </c>
      <c r="B2845" s="14" t="s">
        <v>59</v>
      </c>
      <c r="C2845" s="14" t="s">
        <v>60</v>
      </c>
      <c r="D2845" s="14" t="s">
        <v>61</v>
      </c>
      <c r="E2845" s="14" t="s">
        <v>76</v>
      </c>
      <c r="F2845" s="14" t="s">
        <v>79</v>
      </c>
      <c r="G2845" s="14" t="s">
        <v>80</v>
      </c>
      <c r="H2845" s="0" t="n">
        <v>1</v>
      </c>
      <c r="I2845" s="16" t="n">
        <v>28.67</v>
      </c>
      <c r="J2845" s="16" t="n">
        <v>11</v>
      </c>
      <c r="K2845" s="16" t="n">
        <f aca="false">H2845*I2845</f>
        <v>28.67</v>
      </c>
      <c r="L2845" s="16" t="n">
        <f aca="false">H2845*J2845</f>
        <v>11</v>
      </c>
      <c r="M2845" s="16" t="n">
        <f aca="false">K2845-L2845</f>
        <v>17.67</v>
      </c>
      <c r="N2845" s="17" t="n">
        <f aca="false">IFERROR(M2845/K2845,0)</f>
        <v>0.61632368329264</v>
      </c>
    </row>
    <row r="2846" customFormat="false" ht="15" hidden="false" customHeight="false" outlineLevel="0" collapsed="false">
      <c r="A2846" s="15" t="n">
        <v>46141</v>
      </c>
      <c r="B2846" s="14" t="s">
        <v>69</v>
      </c>
      <c r="C2846" s="14" t="s">
        <v>70</v>
      </c>
      <c r="D2846" s="14" t="s">
        <v>71</v>
      </c>
      <c r="E2846" s="14" t="s">
        <v>53</v>
      </c>
      <c r="F2846" s="14" t="s">
        <v>54</v>
      </c>
      <c r="G2846" s="14" t="s">
        <v>55</v>
      </c>
      <c r="H2846" s="0" t="n">
        <v>5</v>
      </c>
      <c r="I2846" s="16" t="n">
        <v>54.11</v>
      </c>
      <c r="J2846" s="16" t="n">
        <v>22</v>
      </c>
      <c r="K2846" s="16" t="n">
        <f aca="false">H2846*I2846</f>
        <v>270.55</v>
      </c>
      <c r="L2846" s="16" t="n">
        <f aca="false">H2846*J2846</f>
        <v>110</v>
      </c>
      <c r="M2846" s="16" t="n">
        <f aca="false">K2846-L2846</f>
        <v>160.55</v>
      </c>
      <c r="N2846" s="17" t="n">
        <f aca="false">IFERROR(M2846/K2846,0)</f>
        <v>0.593420809462207</v>
      </c>
    </row>
    <row r="2847" customFormat="false" ht="15" hidden="false" customHeight="false" outlineLevel="0" collapsed="false">
      <c r="A2847" s="15" t="n">
        <v>46141</v>
      </c>
      <c r="B2847" s="14" t="s">
        <v>69</v>
      </c>
      <c r="C2847" s="14" t="s">
        <v>70</v>
      </c>
      <c r="D2847" s="14" t="s">
        <v>71</v>
      </c>
      <c r="E2847" s="14" t="s">
        <v>53</v>
      </c>
      <c r="F2847" s="14" t="s">
        <v>54</v>
      </c>
      <c r="G2847" s="14" t="s">
        <v>55</v>
      </c>
      <c r="H2847" s="0" t="n">
        <v>4</v>
      </c>
      <c r="I2847" s="16" t="n">
        <v>53.63</v>
      </c>
      <c r="J2847" s="16" t="n">
        <v>22</v>
      </c>
      <c r="K2847" s="16" t="n">
        <f aca="false">H2847*I2847</f>
        <v>214.52</v>
      </c>
      <c r="L2847" s="16" t="n">
        <f aca="false">H2847*J2847</f>
        <v>88</v>
      </c>
      <c r="M2847" s="16" t="n">
        <f aca="false">K2847-L2847</f>
        <v>126.52</v>
      </c>
      <c r="N2847" s="17" t="n">
        <f aca="false">IFERROR(M2847/K2847,0)</f>
        <v>0.589781838523215</v>
      </c>
    </row>
    <row r="2848" customFormat="false" ht="15" hidden="false" customHeight="false" outlineLevel="0" collapsed="false">
      <c r="A2848" s="15" t="n">
        <v>46141</v>
      </c>
      <c r="B2848" s="14" t="s">
        <v>69</v>
      </c>
      <c r="C2848" s="14" t="s">
        <v>70</v>
      </c>
      <c r="D2848" s="14" t="s">
        <v>71</v>
      </c>
      <c r="E2848" s="14" t="s">
        <v>64</v>
      </c>
      <c r="F2848" s="14" t="s">
        <v>96</v>
      </c>
      <c r="G2848" s="14" t="s">
        <v>97</v>
      </c>
      <c r="H2848" s="0" t="n">
        <v>1</v>
      </c>
      <c r="I2848" s="16" t="n">
        <v>58.9</v>
      </c>
      <c r="J2848" s="16" t="n">
        <v>24</v>
      </c>
      <c r="K2848" s="16" t="n">
        <f aca="false">H2848*I2848</f>
        <v>58.9</v>
      </c>
      <c r="L2848" s="16" t="n">
        <f aca="false">H2848*J2848</f>
        <v>24</v>
      </c>
      <c r="M2848" s="16" t="n">
        <f aca="false">K2848-L2848</f>
        <v>34.9</v>
      </c>
      <c r="N2848" s="17" t="n">
        <f aca="false">IFERROR(M2848/K2848,0)</f>
        <v>0.592529711375212</v>
      </c>
    </row>
    <row r="2849" customFormat="false" ht="15" hidden="false" customHeight="false" outlineLevel="0" collapsed="false">
      <c r="A2849" s="15" t="n">
        <v>46141</v>
      </c>
      <c r="B2849" s="14" t="s">
        <v>69</v>
      </c>
      <c r="C2849" s="14" t="s">
        <v>70</v>
      </c>
      <c r="D2849" s="14" t="s">
        <v>71</v>
      </c>
      <c r="E2849" s="14" t="s">
        <v>76</v>
      </c>
      <c r="F2849" s="14" t="s">
        <v>102</v>
      </c>
      <c r="G2849" s="14" t="s">
        <v>103</v>
      </c>
      <c r="H2849" s="0" t="n">
        <v>2</v>
      </c>
      <c r="I2849" s="16" t="n">
        <v>23.51</v>
      </c>
      <c r="J2849" s="16" t="n">
        <v>8.5</v>
      </c>
      <c r="K2849" s="16" t="n">
        <f aca="false">H2849*I2849</f>
        <v>47.02</v>
      </c>
      <c r="L2849" s="16" t="n">
        <f aca="false">H2849*J2849</f>
        <v>17</v>
      </c>
      <c r="M2849" s="16" t="n">
        <f aca="false">K2849-L2849</f>
        <v>30.02</v>
      </c>
      <c r="N2849" s="17" t="n">
        <f aca="false">IFERROR(M2849/K2849,0)</f>
        <v>0.638451722671204</v>
      </c>
    </row>
    <row r="2850" customFormat="false" ht="15" hidden="false" customHeight="false" outlineLevel="0" collapsed="false">
      <c r="A2850" s="15" t="n">
        <v>46141</v>
      </c>
      <c r="B2850" s="14" t="s">
        <v>69</v>
      </c>
      <c r="C2850" s="14" t="s">
        <v>70</v>
      </c>
      <c r="D2850" s="14" t="s">
        <v>71</v>
      </c>
      <c r="E2850" s="14" t="s">
        <v>45</v>
      </c>
      <c r="F2850" s="14" t="s">
        <v>62</v>
      </c>
      <c r="G2850" s="14" t="s">
        <v>63</v>
      </c>
      <c r="H2850" s="0" t="n">
        <v>5</v>
      </c>
      <c r="I2850" s="16" t="n">
        <v>16.65</v>
      </c>
      <c r="J2850" s="16" t="n">
        <v>6.5</v>
      </c>
      <c r="K2850" s="16" t="n">
        <f aca="false">H2850*I2850</f>
        <v>83.25</v>
      </c>
      <c r="L2850" s="16" t="n">
        <f aca="false">H2850*J2850</f>
        <v>32.5</v>
      </c>
      <c r="M2850" s="16" t="n">
        <f aca="false">K2850-L2850</f>
        <v>50.75</v>
      </c>
      <c r="N2850" s="17" t="n">
        <f aca="false">IFERROR(M2850/K2850,0)</f>
        <v>0.60960960960961</v>
      </c>
    </row>
    <row r="2851" customFormat="false" ht="15" hidden="false" customHeight="false" outlineLevel="0" collapsed="false">
      <c r="A2851" s="15" t="n">
        <v>46141</v>
      </c>
      <c r="B2851" s="14" t="s">
        <v>69</v>
      </c>
      <c r="C2851" s="14" t="s">
        <v>70</v>
      </c>
      <c r="D2851" s="14" t="s">
        <v>71</v>
      </c>
      <c r="E2851" s="14" t="s">
        <v>53</v>
      </c>
      <c r="F2851" s="14" t="s">
        <v>54</v>
      </c>
      <c r="G2851" s="14" t="s">
        <v>55</v>
      </c>
      <c r="H2851" s="0" t="n">
        <v>8</v>
      </c>
      <c r="I2851" s="16" t="n">
        <v>52.64</v>
      </c>
      <c r="J2851" s="16" t="n">
        <v>22</v>
      </c>
      <c r="K2851" s="16" t="n">
        <f aca="false">H2851*I2851</f>
        <v>421.12</v>
      </c>
      <c r="L2851" s="16" t="n">
        <f aca="false">H2851*J2851</f>
        <v>176</v>
      </c>
      <c r="M2851" s="16" t="n">
        <f aca="false">K2851-L2851</f>
        <v>245.12</v>
      </c>
      <c r="N2851" s="17" t="n">
        <f aca="false">IFERROR(M2851/K2851,0)</f>
        <v>0.582066869300912</v>
      </c>
    </row>
    <row r="2852" customFormat="false" ht="15" hidden="false" customHeight="false" outlineLevel="0" collapsed="false">
      <c r="A2852" s="15" t="n">
        <v>46141</v>
      </c>
      <c r="B2852" s="14" t="s">
        <v>81</v>
      </c>
      <c r="C2852" s="14" t="s">
        <v>82</v>
      </c>
      <c r="D2852" s="14" t="s">
        <v>83</v>
      </c>
      <c r="E2852" s="14" t="s">
        <v>45</v>
      </c>
      <c r="F2852" s="14" t="s">
        <v>46</v>
      </c>
      <c r="G2852" s="14" t="s">
        <v>47</v>
      </c>
      <c r="H2852" s="0" t="n">
        <v>2</v>
      </c>
      <c r="I2852" s="16" t="n">
        <v>42.11</v>
      </c>
      <c r="J2852" s="16" t="n">
        <v>18</v>
      </c>
      <c r="K2852" s="16" t="n">
        <f aca="false">H2852*I2852</f>
        <v>84.22</v>
      </c>
      <c r="L2852" s="16" t="n">
        <f aca="false">H2852*J2852</f>
        <v>36</v>
      </c>
      <c r="M2852" s="16" t="n">
        <f aca="false">K2852-L2852</f>
        <v>48.22</v>
      </c>
      <c r="N2852" s="17" t="n">
        <f aca="false">IFERROR(M2852/K2852,0)</f>
        <v>0.572548088340062</v>
      </c>
    </row>
    <row r="2853" customFormat="false" ht="15" hidden="false" customHeight="false" outlineLevel="0" collapsed="false">
      <c r="A2853" s="15" t="n">
        <v>46141</v>
      </c>
      <c r="B2853" s="14" t="s">
        <v>81</v>
      </c>
      <c r="C2853" s="14" t="s">
        <v>82</v>
      </c>
      <c r="D2853" s="14" t="s">
        <v>83</v>
      </c>
      <c r="E2853" s="14" t="s">
        <v>45</v>
      </c>
      <c r="F2853" s="14" t="s">
        <v>72</v>
      </c>
      <c r="G2853" s="14" t="s">
        <v>73</v>
      </c>
      <c r="H2853" s="0" t="n">
        <v>2</v>
      </c>
      <c r="I2853" s="16" t="n">
        <v>49.82</v>
      </c>
      <c r="J2853" s="16" t="n">
        <v>21</v>
      </c>
      <c r="K2853" s="16" t="n">
        <f aca="false">H2853*I2853</f>
        <v>99.64</v>
      </c>
      <c r="L2853" s="16" t="n">
        <f aca="false">H2853*J2853</f>
        <v>42</v>
      </c>
      <c r="M2853" s="16" t="n">
        <f aca="false">K2853-L2853</f>
        <v>57.64</v>
      </c>
      <c r="N2853" s="17" t="n">
        <f aca="false">IFERROR(M2853/K2853,0)</f>
        <v>0.578482537133681</v>
      </c>
    </row>
    <row r="2854" customFormat="false" ht="15" hidden="false" customHeight="false" outlineLevel="0" collapsed="false">
      <c r="A2854" s="15" t="n">
        <v>46141</v>
      </c>
      <c r="B2854" s="14" t="s">
        <v>81</v>
      </c>
      <c r="C2854" s="14" t="s">
        <v>82</v>
      </c>
      <c r="D2854" s="14" t="s">
        <v>83</v>
      </c>
      <c r="E2854" s="14" t="s">
        <v>45</v>
      </c>
      <c r="F2854" s="14" t="s">
        <v>62</v>
      </c>
      <c r="G2854" s="14" t="s">
        <v>63</v>
      </c>
      <c r="H2854" s="0" t="n">
        <v>7</v>
      </c>
      <c r="I2854" s="16" t="n">
        <v>16.99</v>
      </c>
      <c r="J2854" s="16" t="n">
        <v>6.5</v>
      </c>
      <c r="K2854" s="16" t="n">
        <f aca="false">H2854*I2854</f>
        <v>118.93</v>
      </c>
      <c r="L2854" s="16" t="n">
        <f aca="false">H2854*J2854</f>
        <v>45.5</v>
      </c>
      <c r="M2854" s="16" t="n">
        <f aca="false">K2854-L2854</f>
        <v>73.43</v>
      </c>
      <c r="N2854" s="17" t="n">
        <f aca="false">IFERROR(M2854/K2854,0)</f>
        <v>0.617422012948793</v>
      </c>
    </row>
    <row r="2855" customFormat="false" ht="15" hidden="false" customHeight="false" outlineLevel="0" collapsed="false">
      <c r="A2855" s="15" t="n">
        <v>46141</v>
      </c>
      <c r="B2855" s="14" t="s">
        <v>81</v>
      </c>
      <c r="C2855" s="14" t="s">
        <v>82</v>
      </c>
      <c r="D2855" s="14" t="s">
        <v>83</v>
      </c>
      <c r="E2855" s="14" t="s">
        <v>45</v>
      </c>
      <c r="F2855" s="14" t="s">
        <v>72</v>
      </c>
      <c r="G2855" s="14" t="s">
        <v>73</v>
      </c>
      <c r="H2855" s="0" t="n">
        <v>2</v>
      </c>
      <c r="I2855" s="16" t="n">
        <v>50.84</v>
      </c>
      <c r="J2855" s="16" t="n">
        <v>21</v>
      </c>
      <c r="K2855" s="16" t="n">
        <f aca="false">H2855*I2855</f>
        <v>101.68</v>
      </c>
      <c r="L2855" s="16" t="n">
        <f aca="false">H2855*J2855</f>
        <v>42</v>
      </c>
      <c r="M2855" s="16" t="n">
        <f aca="false">K2855-L2855</f>
        <v>59.68</v>
      </c>
      <c r="N2855" s="17" t="n">
        <f aca="false">IFERROR(M2855/K2855,0)</f>
        <v>0.586939417781275</v>
      </c>
    </row>
    <row r="2856" customFormat="false" ht="15" hidden="false" customHeight="false" outlineLevel="0" collapsed="false">
      <c r="A2856" s="15" t="n">
        <v>46141</v>
      </c>
      <c r="B2856" s="14" t="s">
        <v>81</v>
      </c>
      <c r="C2856" s="14" t="s">
        <v>82</v>
      </c>
      <c r="D2856" s="14" t="s">
        <v>83</v>
      </c>
      <c r="E2856" s="14" t="s">
        <v>64</v>
      </c>
      <c r="F2856" s="14" t="s">
        <v>96</v>
      </c>
      <c r="G2856" s="14" t="s">
        <v>97</v>
      </c>
      <c r="H2856" s="0" t="n">
        <v>6</v>
      </c>
      <c r="I2856" s="16" t="n">
        <v>58.96</v>
      </c>
      <c r="J2856" s="16" t="n">
        <v>24</v>
      </c>
      <c r="K2856" s="16" t="n">
        <f aca="false">H2856*I2856</f>
        <v>353.76</v>
      </c>
      <c r="L2856" s="16" t="n">
        <f aca="false">H2856*J2856</f>
        <v>144</v>
      </c>
      <c r="M2856" s="16" t="n">
        <f aca="false">K2856-L2856</f>
        <v>209.76</v>
      </c>
      <c r="N2856" s="17" t="n">
        <f aca="false">IFERROR(M2856/K2856,0)</f>
        <v>0.592944369063772</v>
      </c>
    </row>
    <row r="2857" customFormat="false" ht="15" hidden="false" customHeight="false" outlineLevel="0" collapsed="false">
      <c r="A2857" s="15" t="n">
        <v>46141</v>
      </c>
      <c r="B2857" s="14" t="s">
        <v>81</v>
      </c>
      <c r="C2857" s="14" t="s">
        <v>82</v>
      </c>
      <c r="D2857" s="14" t="s">
        <v>83</v>
      </c>
      <c r="E2857" s="14" t="s">
        <v>76</v>
      </c>
      <c r="F2857" s="14" t="s">
        <v>100</v>
      </c>
      <c r="G2857" s="14" t="s">
        <v>101</v>
      </c>
      <c r="H2857" s="0" t="n">
        <v>4</v>
      </c>
      <c r="I2857" s="16" t="n">
        <v>15.35</v>
      </c>
      <c r="J2857" s="16" t="n">
        <v>5.5</v>
      </c>
      <c r="K2857" s="16" t="n">
        <f aca="false">H2857*I2857</f>
        <v>61.4</v>
      </c>
      <c r="L2857" s="16" t="n">
        <f aca="false">H2857*J2857</f>
        <v>22</v>
      </c>
      <c r="M2857" s="16" t="n">
        <f aca="false">K2857-L2857</f>
        <v>39.4</v>
      </c>
      <c r="N2857" s="17" t="n">
        <f aca="false">IFERROR(M2857/K2857,0)</f>
        <v>0.641693811074919</v>
      </c>
    </row>
    <row r="2858" customFormat="false" ht="15" hidden="false" customHeight="false" outlineLevel="0" collapsed="false">
      <c r="A2858" s="15" t="n">
        <v>46141</v>
      </c>
      <c r="B2858" s="14" t="s">
        <v>88</v>
      </c>
      <c r="C2858" s="14" t="s">
        <v>89</v>
      </c>
      <c r="D2858" s="14" t="s">
        <v>44</v>
      </c>
      <c r="E2858" s="14" t="s">
        <v>76</v>
      </c>
      <c r="F2858" s="14" t="s">
        <v>100</v>
      </c>
      <c r="G2858" s="14" t="s">
        <v>101</v>
      </c>
      <c r="H2858" s="0" t="n">
        <v>5</v>
      </c>
      <c r="I2858" s="16" t="n">
        <v>15.94</v>
      </c>
      <c r="J2858" s="16" t="n">
        <v>5.5</v>
      </c>
      <c r="K2858" s="16" t="n">
        <f aca="false">H2858*I2858</f>
        <v>79.7</v>
      </c>
      <c r="L2858" s="16" t="n">
        <f aca="false">H2858*J2858</f>
        <v>27.5</v>
      </c>
      <c r="M2858" s="16" t="n">
        <f aca="false">K2858-L2858</f>
        <v>52.2</v>
      </c>
      <c r="N2858" s="17" t="n">
        <f aca="false">IFERROR(M2858/K2858,0)</f>
        <v>0.65495608531995</v>
      </c>
    </row>
    <row r="2859" customFormat="false" ht="15" hidden="false" customHeight="false" outlineLevel="0" collapsed="false">
      <c r="A2859" s="15" t="n">
        <v>46141</v>
      </c>
      <c r="B2859" s="14" t="s">
        <v>88</v>
      </c>
      <c r="C2859" s="14" t="s">
        <v>89</v>
      </c>
      <c r="D2859" s="14" t="s">
        <v>44</v>
      </c>
      <c r="E2859" s="14" t="s">
        <v>76</v>
      </c>
      <c r="F2859" s="14" t="s">
        <v>102</v>
      </c>
      <c r="G2859" s="14" t="s">
        <v>103</v>
      </c>
      <c r="H2859" s="0" t="n">
        <v>4</v>
      </c>
      <c r="I2859" s="16" t="n">
        <v>22.73</v>
      </c>
      <c r="J2859" s="16" t="n">
        <v>8.5</v>
      </c>
      <c r="K2859" s="16" t="n">
        <f aca="false">H2859*I2859</f>
        <v>90.92</v>
      </c>
      <c r="L2859" s="16" t="n">
        <f aca="false">H2859*J2859</f>
        <v>34</v>
      </c>
      <c r="M2859" s="16" t="n">
        <f aca="false">K2859-L2859</f>
        <v>56.92</v>
      </c>
      <c r="N2859" s="17" t="n">
        <f aca="false">IFERROR(M2859/K2859,0)</f>
        <v>0.626044874615046</v>
      </c>
    </row>
    <row r="2860" customFormat="false" ht="15" hidden="false" customHeight="false" outlineLevel="0" collapsed="false">
      <c r="A2860" s="15" t="n">
        <v>46141</v>
      </c>
      <c r="B2860" s="14" t="s">
        <v>88</v>
      </c>
      <c r="C2860" s="14" t="s">
        <v>89</v>
      </c>
      <c r="D2860" s="14" t="s">
        <v>44</v>
      </c>
      <c r="E2860" s="14" t="s">
        <v>56</v>
      </c>
      <c r="F2860" s="14" t="s">
        <v>67</v>
      </c>
      <c r="G2860" s="14" t="s">
        <v>68</v>
      </c>
      <c r="H2860" s="0" t="n">
        <v>9</v>
      </c>
      <c r="I2860" s="16" t="n">
        <v>35.3</v>
      </c>
      <c r="J2860" s="16" t="n">
        <v>15</v>
      </c>
      <c r="K2860" s="16" t="n">
        <f aca="false">H2860*I2860</f>
        <v>317.7</v>
      </c>
      <c r="L2860" s="16" t="n">
        <f aca="false">H2860*J2860</f>
        <v>135</v>
      </c>
      <c r="M2860" s="16" t="n">
        <f aca="false">K2860-L2860</f>
        <v>182.7</v>
      </c>
      <c r="N2860" s="17" t="n">
        <f aca="false">IFERROR(M2860/K2860,0)</f>
        <v>0.575070821529745</v>
      </c>
    </row>
    <row r="2861" customFormat="false" ht="15" hidden="false" customHeight="false" outlineLevel="0" collapsed="false">
      <c r="A2861" s="15" t="n">
        <v>46142</v>
      </c>
      <c r="B2861" s="14" t="s">
        <v>42</v>
      </c>
      <c r="C2861" s="14" t="s">
        <v>43</v>
      </c>
      <c r="D2861" s="14" t="s">
        <v>44</v>
      </c>
      <c r="E2861" s="14" t="s">
        <v>64</v>
      </c>
      <c r="F2861" s="14" t="s">
        <v>65</v>
      </c>
      <c r="G2861" s="14" t="s">
        <v>66</v>
      </c>
      <c r="H2861" s="0" t="n">
        <v>7</v>
      </c>
      <c r="I2861" s="16" t="n">
        <v>78.33</v>
      </c>
      <c r="J2861" s="16" t="n">
        <v>34</v>
      </c>
      <c r="K2861" s="16" t="n">
        <f aca="false">H2861*I2861</f>
        <v>548.31</v>
      </c>
      <c r="L2861" s="16" t="n">
        <f aca="false">H2861*J2861</f>
        <v>238</v>
      </c>
      <c r="M2861" s="16" t="n">
        <f aca="false">K2861-L2861</f>
        <v>310.31</v>
      </c>
      <c r="N2861" s="17" t="n">
        <f aca="false">IFERROR(M2861/K2861,0)</f>
        <v>0.565938976126644</v>
      </c>
    </row>
    <row r="2862" customFormat="false" ht="15" hidden="false" customHeight="false" outlineLevel="0" collapsed="false">
      <c r="A2862" s="15" t="n">
        <v>46142</v>
      </c>
      <c r="B2862" s="14" t="s">
        <v>42</v>
      </c>
      <c r="C2862" s="14" t="s">
        <v>43</v>
      </c>
      <c r="D2862" s="14" t="s">
        <v>44</v>
      </c>
      <c r="E2862" s="14" t="s">
        <v>56</v>
      </c>
      <c r="F2862" s="14" t="s">
        <v>57</v>
      </c>
      <c r="G2862" s="14" t="s">
        <v>58</v>
      </c>
      <c r="H2862" s="0" t="n">
        <v>11</v>
      </c>
      <c r="I2862" s="16" t="n">
        <v>25.19</v>
      </c>
      <c r="J2862" s="16" t="n">
        <v>10</v>
      </c>
      <c r="K2862" s="16" t="n">
        <f aca="false">H2862*I2862</f>
        <v>277.09</v>
      </c>
      <c r="L2862" s="16" t="n">
        <f aca="false">H2862*J2862</f>
        <v>110</v>
      </c>
      <c r="M2862" s="16" t="n">
        <f aca="false">K2862-L2862</f>
        <v>167.09</v>
      </c>
      <c r="N2862" s="17" t="n">
        <f aca="false">IFERROR(M2862/K2862,0)</f>
        <v>0.603017070265979</v>
      </c>
    </row>
    <row r="2863" customFormat="false" ht="15" hidden="false" customHeight="false" outlineLevel="0" collapsed="false">
      <c r="A2863" s="15" t="n">
        <v>46142</v>
      </c>
      <c r="B2863" s="14" t="s">
        <v>42</v>
      </c>
      <c r="C2863" s="14" t="s">
        <v>43</v>
      </c>
      <c r="D2863" s="14" t="s">
        <v>44</v>
      </c>
      <c r="E2863" s="14" t="s">
        <v>45</v>
      </c>
      <c r="F2863" s="14" t="s">
        <v>72</v>
      </c>
      <c r="G2863" s="14" t="s">
        <v>73</v>
      </c>
      <c r="H2863" s="0" t="n">
        <v>8</v>
      </c>
      <c r="I2863" s="16" t="n">
        <v>48.23</v>
      </c>
      <c r="J2863" s="16" t="n">
        <v>21</v>
      </c>
      <c r="K2863" s="16" t="n">
        <f aca="false">H2863*I2863</f>
        <v>385.84</v>
      </c>
      <c r="L2863" s="16" t="n">
        <f aca="false">H2863*J2863</f>
        <v>168</v>
      </c>
      <c r="M2863" s="16" t="n">
        <f aca="false">K2863-L2863</f>
        <v>217.84</v>
      </c>
      <c r="N2863" s="17" t="n">
        <f aca="false">IFERROR(M2863/K2863,0)</f>
        <v>0.564586357039187</v>
      </c>
    </row>
    <row r="2864" customFormat="false" ht="15" hidden="false" customHeight="false" outlineLevel="0" collapsed="false">
      <c r="A2864" s="15" t="n">
        <v>46142</v>
      </c>
      <c r="B2864" s="14" t="s">
        <v>50</v>
      </c>
      <c r="C2864" s="14" t="s">
        <v>51</v>
      </c>
      <c r="D2864" s="14" t="s">
        <v>52</v>
      </c>
      <c r="E2864" s="14" t="s">
        <v>76</v>
      </c>
      <c r="F2864" s="14" t="s">
        <v>77</v>
      </c>
      <c r="G2864" s="14" t="s">
        <v>78</v>
      </c>
      <c r="H2864" s="0" t="n">
        <v>5</v>
      </c>
      <c r="I2864" s="16" t="n">
        <v>41.26</v>
      </c>
      <c r="J2864" s="16" t="n">
        <v>15</v>
      </c>
      <c r="K2864" s="16" t="n">
        <f aca="false">H2864*I2864</f>
        <v>206.3</v>
      </c>
      <c r="L2864" s="16" t="n">
        <f aca="false">H2864*J2864</f>
        <v>75</v>
      </c>
      <c r="M2864" s="16" t="n">
        <f aca="false">K2864-L2864</f>
        <v>131.3</v>
      </c>
      <c r="N2864" s="17" t="n">
        <f aca="false">IFERROR(M2864/K2864,0)</f>
        <v>0.636451769268056</v>
      </c>
    </row>
    <row r="2865" customFormat="false" ht="15" hidden="false" customHeight="false" outlineLevel="0" collapsed="false">
      <c r="A2865" s="15" t="n">
        <v>46142</v>
      </c>
      <c r="B2865" s="14" t="s">
        <v>50</v>
      </c>
      <c r="C2865" s="14" t="s">
        <v>51</v>
      </c>
      <c r="D2865" s="14" t="s">
        <v>52</v>
      </c>
      <c r="E2865" s="14" t="s">
        <v>53</v>
      </c>
      <c r="F2865" s="14" t="s">
        <v>54</v>
      </c>
      <c r="G2865" s="14" t="s">
        <v>55</v>
      </c>
      <c r="H2865" s="0" t="n">
        <v>7</v>
      </c>
      <c r="I2865" s="16" t="n">
        <v>52.81</v>
      </c>
      <c r="J2865" s="16" t="n">
        <v>22</v>
      </c>
      <c r="K2865" s="16" t="n">
        <f aca="false">H2865*I2865</f>
        <v>369.67</v>
      </c>
      <c r="L2865" s="16" t="n">
        <f aca="false">H2865*J2865</f>
        <v>154</v>
      </c>
      <c r="M2865" s="16" t="n">
        <f aca="false">K2865-L2865</f>
        <v>215.67</v>
      </c>
      <c r="N2865" s="17" t="n">
        <f aca="false">IFERROR(M2865/K2865,0)</f>
        <v>0.583412232531718</v>
      </c>
    </row>
    <row r="2866" customFormat="false" ht="15" hidden="false" customHeight="false" outlineLevel="0" collapsed="false">
      <c r="A2866" s="15" t="n">
        <v>46142</v>
      </c>
      <c r="B2866" s="14" t="s">
        <v>50</v>
      </c>
      <c r="C2866" s="14" t="s">
        <v>51</v>
      </c>
      <c r="D2866" s="14" t="s">
        <v>52</v>
      </c>
      <c r="E2866" s="14" t="s">
        <v>76</v>
      </c>
      <c r="F2866" s="14" t="s">
        <v>100</v>
      </c>
      <c r="G2866" s="14" t="s">
        <v>101</v>
      </c>
      <c r="H2866" s="0" t="n">
        <v>2</v>
      </c>
      <c r="I2866" s="16" t="n">
        <v>15.6</v>
      </c>
      <c r="J2866" s="16" t="n">
        <v>5.5</v>
      </c>
      <c r="K2866" s="16" t="n">
        <f aca="false">H2866*I2866</f>
        <v>31.2</v>
      </c>
      <c r="L2866" s="16" t="n">
        <f aca="false">H2866*J2866</f>
        <v>11</v>
      </c>
      <c r="M2866" s="16" t="n">
        <f aca="false">K2866-L2866</f>
        <v>20.2</v>
      </c>
      <c r="N2866" s="17" t="n">
        <f aca="false">IFERROR(M2866/K2866,0)</f>
        <v>0.647435897435898</v>
      </c>
    </row>
    <row r="2867" customFormat="false" ht="15" hidden="false" customHeight="false" outlineLevel="0" collapsed="false">
      <c r="A2867" s="15" t="n">
        <v>46142</v>
      </c>
      <c r="B2867" s="14" t="s">
        <v>50</v>
      </c>
      <c r="C2867" s="14" t="s">
        <v>51</v>
      </c>
      <c r="D2867" s="14" t="s">
        <v>52</v>
      </c>
      <c r="E2867" s="14" t="s">
        <v>56</v>
      </c>
      <c r="F2867" s="14" t="s">
        <v>86</v>
      </c>
      <c r="G2867" s="14" t="s">
        <v>87</v>
      </c>
      <c r="H2867" s="0" t="n">
        <v>4</v>
      </c>
      <c r="I2867" s="16" t="n">
        <v>14.19</v>
      </c>
      <c r="J2867" s="16" t="n">
        <v>5</v>
      </c>
      <c r="K2867" s="16" t="n">
        <f aca="false">H2867*I2867</f>
        <v>56.76</v>
      </c>
      <c r="L2867" s="16" t="n">
        <f aca="false">H2867*J2867</f>
        <v>20</v>
      </c>
      <c r="M2867" s="16" t="n">
        <f aca="false">K2867-L2867</f>
        <v>36.76</v>
      </c>
      <c r="N2867" s="17" t="n">
        <f aca="false">IFERROR(M2867/K2867,0)</f>
        <v>0.647639182522903</v>
      </c>
    </row>
    <row r="2868" customFormat="false" ht="15" hidden="false" customHeight="false" outlineLevel="0" collapsed="false">
      <c r="A2868" s="15" t="n">
        <v>46142</v>
      </c>
      <c r="B2868" s="14" t="s">
        <v>50</v>
      </c>
      <c r="C2868" s="14" t="s">
        <v>51</v>
      </c>
      <c r="D2868" s="14" t="s">
        <v>52</v>
      </c>
      <c r="E2868" s="14" t="s">
        <v>53</v>
      </c>
      <c r="F2868" s="14" t="s">
        <v>84</v>
      </c>
      <c r="G2868" s="14" t="s">
        <v>85</v>
      </c>
      <c r="H2868" s="0" t="n">
        <v>4</v>
      </c>
      <c r="I2868" s="16" t="n">
        <v>24.7</v>
      </c>
      <c r="J2868" s="16" t="n">
        <v>9</v>
      </c>
      <c r="K2868" s="16" t="n">
        <f aca="false">H2868*I2868</f>
        <v>98.8</v>
      </c>
      <c r="L2868" s="16" t="n">
        <f aca="false">H2868*J2868</f>
        <v>36</v>
      </c>
      <c r="M2868" s="16" t="n">
        <f aca="false">K2868-L2868</f>
        <v>62.8</v>
      </c>
      <c r="N2868" s="17" t="n">
        <f aca="false">IFERROR(M2868/K2868,0)</f>
        <v>0.635627530364373</v>
      </c>
    </row>
    <row r="2869" customFormat="false" ht="15" hidden="false" customHeight="false" outlineLevel="0" collapsed="false">
      <c r="A2869" s="15" t="n">
        <v>46142</v>
      </c>
      <c r="B2869" s="14" t="s">
        <v>59</v>
      </c>
      <c r="C2869" s="14" t="s">
        <v>60</v>
      </c>
      <c r="D2869" s="14" t="s">
        <v>61</v>
      </c>
      <c r="E2869" s="14" t="s">
        <v>53</v>
      </c>
      <c r="F2869" s="14" t="s">
        <v>92</v>
      </c>
      <c r="G2869" s="14" t="s">
        <v>93</v>
      </c>
      <c r="H2869" s="0" t="n">
        <v>8</v>
      </c>
      <c r="I2869" s="16" t="n">
        <v>116.67</v>
      </c>
      <c r="J2869" s="16" t="n">
        <v>52</v>
      </c>
      <c r="K2869" s="16" t="n">
        <f aca="false">H2869*I2869</f>
        <v>933.36</v>
      </c>
      <c r="L2869" s="16" t="n">
        <f aca="false">H2869*J2869</f>
        <v>416</v>
      </c>
      <c r="M2869" s="16" t="n">
        <f aca="false">K2869-L2869</f>
        <v>517.36</v>
      </c>
      <c r="N2869" s="17" t="n">
        <f aca="false">IFERROR(M2869/K2869,0)</f>
        <v>0.554298448615754</v>
      </c>
    </row>
    <row r="2870" customFormat="false" ht="15" hidden="false" customHeight="false" outlineLevel="0" collapsed="false">
      <c r="A2870" s="15" t="n">
        <v>46142</v>
      </c>
      <c r="B2870" s="14" t="s">
        <v>59</v>
      </c>
      <c r="C2870" s="14" t="s">
        <v>60</v>
      </c>
      <c r="D2870" s="14" t="s">
        <v>61</v>
      </c>
      <c r="E2870" s="14" t="s">
        <v>64</v>
      </c>
      <c r="F2870" s="14" t="s">
        <v>94</v>
      </c>
      <c r="G2870" s="14" t="s">
        <v>95</v>
      </c>
      <c r="H2870" s="0" t="n">
        <v>3</v>
      </c>
      <c r="I2870" s="16" t="n">
        <v>98.47</v>
      </c>
      <c r="J2870" s="16" t="n">
        <v>42</v>
      </c>
      <c r="K2870" s="16" t="n">
        <f aca="false">H2870*I2870</f>
        <v>295.41</v>
      </c>
      <c r="L2870" s="16" t="n">
        <f aca="false">H2870*J2870</f>
        <v>126</v>
      </c>
      <c r="M2870" s="16" t="n">
        <f aca="false">K2870-L2870</f>
        <v>169.41</v>
      </c>
      <c r="N2870" s="17" t="n">
        <f aca="false">IFERROR(M2870/K2870,0)</f>
        <v>0.573474154564842</v>
      </c>
    </row>
    <row r="2871" customFormat="false" ht="15" hidden="false" customHeight="false" outlineLevel="0" collapsed="false">
      <c r="A2871" s="15" t="n">
        <v>46142</v>
      </c>
      <c r="B2871" s="14" t="s">
        <v>59</v>
      </c>
      <c r="C2871" s="14" t="s">
        <v>60</v>
      </c>
      <c r="D2871" s="14" t="s">
        <v>61</v>
      </c>
      <c r="E2871" s="14" t="s">
        <v>64</v>
      </c>
      <c r="F2871" s="14" t="s">
        <v>94</v>
      </c>
      <c r="G2871" s="14" t="s">
        <v>95</v>
      </c>
      <c r="H2871" s="0" t="n">
        <v>5</v>
      </c>
      <c r="I2871" s="16" t="n">
        <v>92.23</v>
      </c>
      <c r="J2871" s="16" t="n">
        <v>42</v>
      </c>
      <c r="K2871" s="16" t="n">
        <f aca="false">H2871*I2871</f>
        <v>461.15</v>
      </c>
      <c r="L2871" s="16" t="n">
        <f aca="false">H2871*J2871</f>
        <v>210</v>
      </c>
      <c r="M2871" s="16" t="n">
        <f aca="false">K2871-L2871</f>
        <v>251.15</v>
      </c>
      <c r="N2871" s="17" t="n">
        <f aca="false">IFERROR(M2871/K2871,0)</f>
        <v>0.544616719071886</v>
      </c>
    </row>
    <row r="2872" customFormat="false" ht="15" hidden="false" customHeight="false" outlineLevel="0" collapsed="false">
      <c r="A2872" s="15" t="n">
        <v>46142</v>
      </c>
      <c r="B2872" s="14" t="s">
        <v>59</v>
      </c>
      <c r="C2872" s="14" t="s">
        <v>60</v>
      </c>
      <c r="D2872" s="14" t="s">
        <v>61</v>
      </c>
      <c r="E2872" s="14" t="s">
        <v>76</v>
      </c>
      <c r="F2872" s="14" t="s">
        <v>102</v>
      </c>
      <c r="G2872" s="14" t="s">
        <v>103</v>
      </c>
      <c r="H2872" s="0" t="n">
        <v>5</v>
      </c>
      <c r="I2872" s="16" t="n">
        <v>22.94</v>
      </c>
      <c r="J2872" s="16" t="n">
        <v>8.5</v>
      </c>
      <c r="K2872" s="16" t="n">
        <f aca="false">H2872*I2872</f>
        <v>114.7</v>
      </c>
      <c r="L2872" s="16" t="n">
        <f aca="false">H2872*J2872</f>
        <v>42.5</v>
      </c>
      <c r="M2872" s="16" t="n">
        <f aca="false">K2872-L2872</f>
        <v>72.2</v>
      </c>
      <c r="N2872" s="17" t="n">
        <f aca="false">IFERROR(M2872/K2872,0)</f>
        <v>0.629468177855275</v>
      </c>
    </row>
    <row r="2873" customFormat="false" ht="15" hidden="false" customHeight="false" outlineLevel="0" collapsed="false">
      <c r="A2873" s="15" t="n">
        <v>46142</v>
      </c>
      <c r="B2873" s="14" t="s">
        <v>59</v>
      </c>
      <c r="C2873" s="14" t="s">
        <v>60</v>
      </c>
      <c r="D2873" s="14" t="s">
        <v>61</v>
      </c>
      <c r="E2873" s="14" t="s">
        <v>64</v>
      </c>
      <c r="F2873" s="14" t="s">
        <v>90</v>
      </c>
      <c r="G2873" s="14" t="s">
        <v>91</v>
      </c>
      <c r="H2873" s="0" t="n">
        <v>6</v>
      </c>
      <c r="I2873" s="16" t="n">
        <v>11.05</v>
      </c>
      <c r="J2873" s="16" t="n">
        <v>3.5</v>
      </c>
      <c r="K2873" s="16" t="n">
        <f aca="false">H2873*I2873</f>
        <v>66.3</v>
      </c>
      <c r="L2873" s="16" t="n">
        <f aca="false">H2873*J2873</f>
        <v>21</v>
      </c>
      <c r="M2873" s="16" t="n">
        <f aca="false">K2873-L2873</f>
        <v>45.3</v>
      </c>
      <c r="N2873" s="17" t="n">
        <f aca="false">IFERROR(M2873/K2873,0)</f>
        <v>0.683257918552036</v>
      </c>
    </row>
    <row r="2874" customFormat="false" ht="15" hidden="false" customHeight="false" outlineLevel="0" collapsed="false">
      <c r="A2874" s="15" t="n">
        <v>46142</v>
      </c>
      <c r="B2874" s="14" t="s">
        <v>59</v>
      </c>
      <c r="C2874" s="14" t="s">
        <v>60</v>
      </c>
      <c r="D2874" s="14" t="s">
        <v>61</v>
      </c>
      <c r="E2874" s="14" t="s">
        <v>64</v>
      </c>
      <c r="F2874" s="14" t="s">
        <v>65</v>
      </c>
      <c r="G2874" s="14" t="s">
        <v>66</v>
      </c>
      <c r="H2874" s="0" t="n">
        <v>6</v>
      </c>
      <c r="I2874" s="16" t="n">
        <v>74.91</v>
      </c>
      <c r="J2874" s="16" t="n">
        <v>34</v>
      </c>
      <c r="K2874" s="16" t="n">
        <f aca="false">H2874*I2874</f>
        <v>449.46</v>
      </c>
      <c r="L2874" s="16" t="n">
        <f aca="false">H2874*J2874</f>
        <v>204</v>
      </c>
      <c r="M2874" s="16" t="n">
        <f aca="false">K2874-L2874</f>
        <v>245.46</v>
      </c>
      <c r="N2874" s="17" t="n">
        <f aca="false">IFERROR(M2874/K2874,0)</f>
        <v>0.546122013082366</v>
      </c>
    </row>
    <row r="2875" customFormat="false" ht="15" hidden="false" customHeight="false" outlineLevel="0" collapsed="false">
      <c r="A2875" s="15" t="n">
        <v>46142</v>
      </c>
      <c r="B2875" s="14" t="s">
        <v>69</v>
      </c>
      <c r="C2875" s="14" t="s">
        <v>70</v>
      </c>
      <c r="D2875" s="14" t="s">
        <v>71</v>
      </c>
      <c r="E2875" s="14" t="s">
        <v>64</v>
      </c>
      <c r="F2875" s="14" t="s">
        <v>94</v>
      </c>
      <c r="G2875" s="14" t="s">
        <v>95</v>
      </c>
      <c r="H2875" s="0" t="n">
        <v>1</v>
      </c>
      <c r="I2875" s="16" t="n">
        <v>97.56</v>
      </c>
      <c r="J2875" s="16" t="n">
        <v>42</v>
      </c>
      <c r="K2875" s="16" t="n">
        <f aca="false">H2875*I2875</f>
        <v>97.56</v>
      </c>
      <c r="L2875" s="16" t="n">
        <f aca="false">H2875*J2875</f>
        <v>42</v>
      </c>
      <c r="M2875" s="16" t="n">
        <f aca="false">K2875-L2875</f>
        <v>55.56</v>
      </c>
      <c r="N2875" s="17" t="n">
        <f aca="false">IFERROR(M2875/K2875,0)</f>
        <v>0.56949569495695</v>
      </c>
    </row>
    <row r="2876" customFormat="false" ht="15" hidden="false" customHeight="false" outlineLevel="0" collapsed="false">
      <c r="A2876" s="15" t="n">
        <v>46142</v>
      </c>
      <c r="B2876" s="14" t="s">
        <v>69</v>
      </c>
      <c r="C2876" s="14" t="s">
        <v>70</v>
      </c>
      <c r="D2876" s="14" t="s">
        <v>71</v>
      </c>
      <c r="E2876" s="14" t="s">
        <v>53</v>
      </c>
      <c r="F2876" s="14" t="s">
        <v>54</v>
      </c>
      <c r="G2876" s="14" t="s">
        <v>55</v>
      </c>
      <c r="H2876" s="0" t="n">
        <v>5</v>
      </c>
      <c r="I2876" s="16" t="n">
        <v>51.9</v>
      </c>
      <c r="J2876" s="16" t="n">
        <v>22</v>
      </c>
      <c r="K2876" s="16" t="n">
        <f aca="false">H2876*I2876</f>
        <v>259.5</v>
      </c>
      <c r="L2876" s="16" t="n">
        <f aca="false">H2876*J2876</f>
        <v>110</v>
      </c>
      <c r="M2876" s="16" t="n">
        <f aca="false">K2876-L2876</f>
        <v>149.5</v>
      </c>
      <c r="N2876" s="17" t="n">
        <f aca="false">IFERROR(M2876/K2876,0)</f>
        <v>0.576107899807322</v>
      </c>
    </row>
    <row r="2877" customFormat="false" ht="15" hidden="false" customHeight="false" outlineLevel="0" collapsed="false">
      <c r="A2877" s="15" t="n">
        <v>46142</v>
      </c>
      <c r="B2877" s="14" t="s">
        <v>69</v>
      </c>
      <c r="C2877" s="14" t="s">
        <v>70</v>
      </c>
      <c r="D2877" s="14" t="s">
        <v>71</v>
      </c>
      <c r="E2877" s="14" t="s">
        <v>76</v>
      </c>
      <c r="F2877" s="14" t="s">
        <v>79</v>
      </c>
      <c r="G2877" s="14" t="s">
        <v>80</v>
      </c>
      <c r="H2877" s="0" t="n">
        <v>5</v>
      </c>
      <c r="I2877" s="16" t="n">
        <v>28.63</v>
      </c>
      <c r="J2877" s="16" t="n">
        <v>11</v>
      </c>
      <c r="K2877" s="16" t="n">
        <f aca="false">H2877*I2877</f>
        <v>143.15</v>
      </c>
      <c r="L2877" s="16" t="n">
        <f aca="false">H2877*J2877</f>
        <v>55</v>
      </c>
      <c r="M2877" s="16" t="n">
        <f aca="false">K2877-L2877</f>
        <v>88.15</v>
      </c>
      <c r="N2877" s="17" t="n">
        <f aca="false">IFERROR(M2877/K2877,0)</f>
        <v>0.615787635347538</v>
      </c>
    </row>
    <row r="2878" customFormat="false" ht="15" hidden="false" customHeight="false" outlineLevel="0" collapsed="false">
      <c r="A2878" s="15" t="n">
        <v>46142</v>
      </c>
      <c r="B2878" s="14" t="s">
        <v>81</v>
      </c>
      <c r="C2878" s="14" t="s">
        <v>82</v>
      </c>
      <c r="D2878" s="14" t="s">
        <v>83</v>
      </c>
      <c r="E2878" s="14" t="s">
        <v>76</v>
      </c>
      <c r="F2878" s="14" t="s">
        <v>77</v>
      </c>
      <c r="G2878" s="14" t="s">
        <v>78</v>
      </c>
      <c r="H2878" s="0" t="n">
        <v>3</v>
      </c>
      <c r="I2878" s="16" t="n">
        <v>40.71</v>
      </c>
      <c r="J2878" s="16" t="n">
        <v>15</v>
      </c>
      <c r="K2878" s="16" t="n">
        <f aca="false">H2878*I2878</f>
        <v>122.13</v>
      </c>
      <c r="L2878" s="16" t="n">
        <f aca="false">H2878*J2878</f>
        <v>45</v>
      </c>
      <c r="M2878" s="16" t="n">
        <f aca="false">K2878-L2878</f>
        <v>77.13</v>
      </c>
      <c r="N2878" s="17" t="n">
        <f aca="false">IFERROR(M2878/K2878,0)</f>
        <v>0.631540162122329</v>
      </c>
    </row>
    <row r="2879" customFormat="false" ht="15" hidden="false" customHeight="false" outlineLevel="0" collapsed="false">
      <c r="A2879" s="15" t="n">
        <v>46142</v>
      </c>
      <c r="B2879" s="14" t="s">
        <v>81</v>
      </c>
      <c r="C2879" s="14" t="s">
        <v>82</v>
      </c>
      <c r="D2879" s="14" t="s">
        <v>83</v>
      </c>
      <c r="E2879" s="14" t="s">
        <v>64</v>
      </c>
      <c r="F2879" s="14" t="s">
        <v>94</v>
      </c>
      <c r="G2879" s="14" t="s">
        <v>95</v>
      </c>
      <c r="H2879" s="0" t="n">
        <v>1</v>
      </c>
      <c r="I2879" s="16" t="n">
        <v>91.67</v>
      </c>
      <c r="J2879" s="16" t="n">
        <v>42</v>
      </c>
      <c r="K2879" s="16" t="n">
        <f aca="false">H2879*I2879</f>
        <v>91.67</v>
      </c>
      <c r="L2879" s="16" t="n">
        <f aca="false">H2879*J2879</f>
        <v>42</v>
      </c>
      <c r="M2879" s="16" t="n">
        <f aca="false">K2879-L2879</f>
        <v>49.67</v>
      </c>
      <c r="N2879" s="17" t="n">
        <f aca="false">IFERROR(M2879/K2879,0)</f>
        <v>0.541834842369368</v>
      </c>
    </row>
    <row r="2880" customFormat="false" ht="15" hidden="false" customHeight="false" outlineLevel="0" collapsed="false">
      <c r="A2880" s="15" t="n">
        <v>46142</v>
      </c>
      <c r="B2880" s="14" t="s">
        <v>81</v>
      </c>
      <c r="C2880" s="14" t="s">
        <v>82</v>
      </c>
      <c r="D2880" s="14" t="s">
        <v>83</v>
      </c>
      <c r="E2880" s="14" t="s">
        <v>53</v>
      </c>
      <c r="F2880" s="14" t="s">
        <v>92</v>
      </c>
      <c r="G2880" s="14" t="s">
        <v>93</v>
      </c>
      <c r="H2880" s="0" t="n">
        <v>7</v>
      </c>
      <c r="I2880" s="16" t="n">
        <v>119.44</v>
      </c>
      <c r="J2880" s="16" t="n">
        <v>52</v>
      </c>
      <c r="K2880" s="16" t="n">
        <f aca="false">H2880*I2880</f>
        <v>836.08</v>
      </c>
      <c r="L2880" s="16" t="n">
        <f aca="false">H2880*J2880</f>
        <v>364</v>
      </c>
      <c r="M2880" s="16" t="n">
        <f aca="false">K2880-L2880</f>
        <v>472.08</v>
      </c>
      <c r="N2880" s="17" t="n">
        <f aca="false">IFERROR(M2880/K2880,0)</f>
        <v>0.56463496316142</v>
      </c>
    </row>
    <row r="2881" customFormat="false" ht="15" hidden="false" customHeight="false" outlineLevel="0" collapsed="false">
      <c r="A2881" s="15" t="n">
        <v>46142</v>
      </c>
      <c r="B2881" s="14" t="s">
        <v>81</v>
      </c>
      <c r="C2881" s="14" t="s">
        <v>82</v>
      </c>
      <c r="D2881" s="14" t="s">
        <v>83</v>
      </c>
      <c r="E2881" s="14" t="s">
        <v>56</v>
      </c>
      <c r="F2881" s="14" t="s">
        <v>57</v>
      </c>
      <c r="G2881" s="14" t="s">
        <v>58</v>
      </c>
      <c r="H2881" s="0" t="n">
        <v>1</v>
      </c>
      <c r="I2881" s="16" t="n">
        <v>26.53</v>
      </c>
      <c r="J2881" s="16" t="n">
        <v>10</v>
      </c>
      <c r="K2881" s="16" t="n">
        <f aca="false">H2881*I2881</f>
        <v>26.53</v>
      </c>
      <c r="L2881" s="16" t="n">
        <f aca="false">H2881*J2881</f>
        <v>10</v>
      </c>
      <c r="M2881" s="16" t="n">
        <f aca="false">K2881-L2881</f>
        <v>16.53</v>
      </c>
      <c r="N2881" s="17" t="n">
        <f aca="false">IFERROR(M2881/K2881,0)</f>
        <v>0.623068224651338</v>
      </c>
    </row>
    <row r="2882" customFormat="false" ht="15" hidden="false" customHeight="false" outlineLevel="0" collapsed="false">
      <c r="A2882" s="15" t="n">
        <v>46142</v>
      </c>
      <c r="B2882" s="14" t="s">
        <v>81</v>
      </c>
      <c r="C2882" s="14" t="s">
        <v>82</v>
      </c>
      <c r="D2882" s="14" t="s">
        <v>83</v>
      </c>
      <c r="E2882" s="14" t="s">
        <v>64</v>
      </c>
      <c r="F2882" s="14" t="s">
        <v>90</v>
      </c>
      <c r="G2882" s="14" t="s">
        <v>91</v>
      </c>
      <c r="H2882" s="0" t="n">
        <v>3</v>
      </c>
      <c r="I2882" s="16" t="n">
        <v>11.31</v>
      </c>
      <c r="J2882" s="16" t="n">
        <v>3.5</v>
      </c>
      <c r="K2882" s="16" t="n">
        <f aca="false">H2882*I2882</f>
        <v>33.93</v>
      </c>
      <c r="L2882" s="16" t="n">
        <f aca="false">H2882*J2882</f>
        <v>10.5</v>
      </c>
      <c r="M2882" s="16" t="n">
        <f aca="false">K2882-L2882</f>
        <v>23.43</v>
      </c>
      <c r="N2882" s="17" t="n">
        <f aca="false">IFERROR(M2882/K2882,0)</f>
        <v>0.69053934571176</v>
      </c>
    </row>
    <row r="2883" customFormat="false" ht="15" hidden="false" customHeight="false" outlineLevel="0" collapsed="false">
      <c r="A2883" s="15" t="n">
        <v>46142</v>
      </c>
      <c r="B2883" s="14" t="s">
        <v>88</v>
      </c>
      <c r="C2883" s="14" t="s">
        <v>89</v>
      </c>
      <c r="D2883" s="14" t="s">
        <v>44</v>
      </c>
      <c r="E2883" s="14" t="s">
        <v>56</v>
      </c>
      <c r="F2883" s="14" t="s">
        <v>57</v>
      </c>
      <c r="G2883" s="14" t="s">
        <v>58</v>
      </c>
      <c r="H2883" s="0" t="n">
        <v>1</v>
      </c>
      <c r="I2883" s="16" t="n">
        <v>25.06</v>
      </c>
      <c r="J2883" s="16" t="n">
        <v>10</v>
      </c>
      <c r="K2883" s="16" t="n">
        <f aca="false">H2883*I2883</f>
        <v>25.06</v>
      </c>
      <c r="L2883" s="16" t="n">
        <f aca="false">H2883*J2883</f>
        <v>10</v>
      </c>
      <c r="M2883" s="16" t="n">
        <f aca="false">K2883-L2883</f>
        <v>15.06</v>
      </c>
      <c r="N2883" s="17" t="n">
        <f aca="false">IFERROR(M2883/K2883,0)</f>
        <v>0.600957701516361</v>
      </c>
    </row>
    <row r="2884" customFormat="false" ht="15" hidden="false" customHeight="false" outlineLevel="0" collapsed="false">
      <c r="A2884" s="15" t="n">
        <v>46142</v>
      </c>
      <c r="B2884" s="14" t="s">
        <v>88</v>
      </c>
      <c r="C2884" s="14" t="s">
        <v>89</v>
      </c>
      <c r="D2884" s="14" t="s">
        <v>44</v>
      </c>
      <c r="E2884" s="14" t="s">
        <v>76</v>
      </c>
      <c r="F2884" s="14" t="s">
        <v>102</v>
      </c>
      <c r="G2884" s="14" t="s">
        <v>103</v>
      </c>
      <c r="H2884" s="0" t="n">
        <v>6</v>
      </c>
      <c r="I2884" s="16" t="n">
        <v>22.92</v>
      </c>
      <c r="J2884" s="16" t="n">
        <v>8.5</v>
      </c>
      <c r="K2884" s="16" t="n">
        <f aca="false">H2884*I2884</f>
        <v>137.52</v>
      </c>
      <c r="L2884" s="16" t="n">
        <f aca="false">H2884*J2884</f>
        <v>51</v>
      </c>
      <c r="M2884" s="16" t="n">
        <f aca="false">K2884-L2884</f>
        <v>86.52</v>
      </c>
      <c r="N2884" s="17" t="n">
        <f aca="false">IFERROR(M2884/K2884,0)</f>
        <v>0.629144851657941</v>
      </c>
    </row>
    <row r="2885" customFormat="false" ht="15" hidden="false" customHeight="false" outlineLevel="0" collapsed="false">
      <c r="A2885" s="15" t="n">
        <v>46142</v>
      </c>
      <c r="B2885" s="14" t="s">
        <v>88</v>
      </c>
      <c r="C2885" s="14" t="s">
        <v>89</v>
      </c>
      <c r="D2885" s="14" t="s">
        <v>44</v>
      </c>
      <c r="E2885" s="14" t="s">
        <v>76</v>
      </c>
      <c r="F2885" s="14" t="s">
        <v>79</v>
      </c>
      <c r="G2885" s="14" t="s">
        <v>80</v>
      </c>
      <c r="H2885" s="0" t="n">
        <v>8</v>
      </c>
      <c r="I2885" s="16" t="n">
        <v>27.92</v>
      </c>
      <c r="J2885" s="16" t="n">
        <v>11</v>
      </c>
      <c r="K2885" s="16" t="n">
        <f aca="false">H2885*I2885</f>
        <v>223.36</v>
      </c>
      <c r="L2885" s="16" t="n">
        <f aca="false">H2885*J2885</f>
        <v>88</v>
      </c>
      <c r="M2885" s="16" t="n">
        <f aca="false">K2885-L2885</f>
        <v>135.36</v>
      </c>
      <c r="N2885" s="17" t="n">
        <f aca="false">IFERROR(M2885/K2885,0)</f>
        <v>0.606017191977077</v>
      </c>
    </row>
    <row r="2886" customFormat="false" ht="15" hidden="false" customHeight="false" outlineLevel="0" collapsed="false">
      <c r="A2886" s="15" t="n">
        <v>46142</v>
      </c>
      <c r="B2886" s="14" t="s">
        <v>88</v>
      </c>
      <c r="C2886" s="14" t="s">
        <v>89</v>
      </c>
      <c r="D2886" s="14" t="s">
        <v>44</v>
      </c>
      <c r="E2886" s="14" t="s">
        <v>45</v>
      </c>
      <c r="F2886" s="14" t="s">
        <v>46</v>
      </c>
      <c r="G2886" s="14" t="s">
        <v>47</v>
      </c>
      <c r="H2886" s="0" t="n">
        <v>9</v>
      </c>
      <c r="I2886" s="16" t="n">
        <v>44.37</v>
      </c>
      <c r="J2886" s="16" t="n">
        <v>18</v>
      </c>
      <c r="K2886" s="16" t="n">
        <f aca="false">H2886*I2886</f>
        <v>399.33</v>
      </c>
      <c r="L2886" s="16" t="n">
        <f aca="false">H2886*J2886</f>
        <v>162</v>
      </c>
      <c r="M2886" s="16" t="n">
        <f aca="false">K2886-L2886</f>
        <v>237.33</v>
      </c>
      <c r="N2886" s="17" t="n">
        <f aca="false">IFERROR(M2886/K2886,0)</f>
        <v>0.594320486815416</v>
      </c>
    </row>
    <row r="2887" customFormat="false" ht="15" hidden="false" customHeight="false" outlineLevel="0" collapsed="false">
      <c r="A2887" s="15" t="n">
        <v>46142</v>
      </c>
      <c r="B2887" s="14" t="s">
        <v>88</v>
      </c>
      <c r="C2887" s="14" t="s">
        <v>89</v>
      </c>
      <c r="D2887" s="14" t="s">
        <v>44</v>
      </c>
      <c r="E2887" s="14" t="s">
        <v>53</v>
      </c>
      <c r="F2887" s="14" t="s">
        <v>92</v>
      </c>
      <c r="G2887" s="14" t="s">
        <v>93</v>
      </c>
      <c r="H2887" s="0" t="n">
        <v>5</v>
      </c>
      <c r="I2887" s="16" t="n">
        <v>115.79</v>
      </c>
      <c r="J2887" s="16" t="n">
        <v>52</v>
      </c>
      <c r="K2887" s="16" t="n">
        <f aca="false">H2887*I2887</f>
        <v>578.95</v>
      </c>
      <c r="L2887" s="16" t="n">
        <f aca="false">H2887*J2887</f>
        <v>260</v>
      </c>
      <c r="M2887" s="16" t="n">
        <f aca="false">K2887-L2887</f>
        <v>318.95</v>
      </c>
      <c r="N2887" s="17" t="n">
        <f aca="false">IFERROR(M2887/K2887,0)</f>
        <v>0.550911132222126</v>
      </c>
    </row>
    <row r="2888" customFormat="false" ht="15" hidden="false" customHeight="false" outlineLevel="0" collapsed="false">
      <c r="A2888" s="15" t="n">
        <v>46142</v>
      </c>
      <c r="B2888" s="14" t="s">
        <v>88</v>
      </c>
      <c r="C2888" s="14" t="s">
        <v>89</v>
      </c>
      <c r="D2888" s="14" t="s">
        <v>44</v>
      </c>
      <c r="E2888" s="14" t="s">
        <v>64</v>
      </c>
      <c r="F2888" s="14" t="s">
        <v>96</v>
      </c>
      <c r="G2888" s="14" t="s">
        <v>97</v>
      </c>
      <c r="H2888" s="0" t="n">
        <v>6</v>
      </c>
      <c r="I2888" s="16" t="n">
        <v>56.98</v>
      </c>
      <c r="J2888" s="16" t="n">
        <v>24</v>
      </c>
      <c r="K2888" s="16" t="n">
        <f aca="false">H2888*I2888</f>
        <v>341.88</v>
      </c>
      <c r="L2888" s="16" t="n">
        <f aca="false">H2888*J2888</f>
        <v>144</v>
      </c>
      <c r="M2888" s="16" t="n">
        <f aca="false">K2888-L2888</f>
        <v>197.88</v>
      </c>
      <c r="N2888" s="17" t="n">
        <f aca="false">IFERROR(M2888/K2888,0)</f>
        <v>0.578799578799579</v>
      </c>
    </row>
    <row r="2889" customFormat="false" ht="15" hidden="false" customHeight="false" outlineLevel="0" collapsed="false">
      <c r="A2889" s="15" t="n">
        <v>46143</v>
      </c>
      <c r="B2889" s="14" t="s">
        <v>42</v>
      </c>
      <c r="C2889" s="14" t="s">
        <v>43</v>
      </c>
      <c r="D2889" s="14" t="s">
        <v>44</v>
      </c>
      <c r="E2889" s="14" t="s">
        <v>56</v>
      </c>
      <c r="F2889" s="14" t="s">
        <v>67</v>
      </c>
      <c r="G2889" s="14" t="s">
        <v>68</v>
      </c>
      <c r="H2889" s="0" t="n">
        <v>1</v>
      </c>
      <c r="I2889" s="16" t="n">
        <v>35.39</v>
      </c>
      <c r="J2889" s="16" t="n">
        <v>15</v>
      </c>
      <c r="K2889" s="16" t="n">
        <f aca="false">H2889*I2889</f>
        <v>35.39</v>
      </c>
      <c r="L2889" s="16" t="n">
        <f aca="false">H2889*J2889</f>
        <v>15</v>
      </c>
      <c r="M2889" s="16" t="n">
        <f aca="false">K2889-L2889</f>
        <v>20.39</v>
      </c>
      <c r="N2889" s="17" t="n">
        <f aca="false">IFERROR(M2889/K2889,0)</f>
        <v>0.576151455213337</v>
      </c>
    </row>
    <row r="2890" customFormat="false" ht="15" hidden="false" customHeight="false" outlineLevel="0" collapsed="false">
      <c r="A2890" s="15" t="n">
        <v>46143</v>
      </c>
      <c r="B2890" s="14" t="s">
        <v>42</v>
      </c>
      <c r="C2890" s="14" t="s">
        <v>43</v>
      </c>
      <c r="D2890" s="14" t="s">
        <v>44</v>
      </c>
      <c r="E2890" s="14" t="s">
        <v>45</v>
      </c>
      <c r="F2890" s="14" t="s">
        <v>46</v>
      </c>
      <c r="G2890" s="14" t="s">
        <v>47</v>
      </c>
      <c r="H2890" s="0" t="n">
        <v>8</v>
      </c>
      <c r="I2890" s="16" t="n">
        <v>44.66</v>
      </c>
      <c r="J2890" s="16" t="n">
        <v>18</v>
      </c>
      <c r="K2890" s="16" t="n">
        <f aca="false">H2890*I2890</f>
        <v>357.28</v>
      </c>
      <c r="L2890" s="16" t="n">
        <f aca="false">H2890*J2890</f>
        <v>144</v>
      </c>
      <c r="M2890" s="16" t="n">
        <f aca="false">K2890-L2890</f>
        <v>213.28</v>
      </c>
      <c r="N2890" s="17" t="n">
        <f aca="false">IFERROR(M2890/K2890,0)</f>
        <v>0.596954769368562</v>
      </c>
    </row>
    <row r="2891" customFormat="false" ht="15" hidden="false" customHeight="false" outlineLevel="0" collapsed="false">
      <c r="A2891" s="15" t="n">
        <v>46143</v>
      </c>
      <c r="B2891" s="14" t="s">
        <v>42</v>
      </c>
      <c r="C2891" s="14" t="s">
        <v>43</v>
      </c>
      <c r="D2891" s="14" t="s">
        <v>44</v>
      </c>
      <c r="E2891" s="14" t="s">
        <v>64</v>
      </c>
      <c r="F2891" s="14" t="s">
        <v>96</v>
      </c>
      <c r="G2891" s="14" t="s">
        <v>97</v>
      </c>
      <c r="H2891" s="0" t="n">
        <v>4</v>
      </c>
      <c r="I2891" s="16" t="n">
        <v>55.8</v>
      </c>
      <c r="J2891" s="16" t="n">
        <v>24</v>
      </c>
      <c r="K2891" s="16" t="n">
        <f aca="false">H2891*I2891</f>
        <v>223.2</v>
      </c>
      <c r="L2891" s="16" t="n">
        <f aca="false">H2891*J2891</f>
        <v>96</v>
      </c>
      <c r="M2891" s="16" t="n">
        <f aca="false">K2891-L2891</f>
        <v>127.2</v>
      </c>
      <c r="N2891" s="17" t="n">
        <f aca="false">IFERROR(M2891/K2891,0)</f>
        <v>0.56989247311828</v>
      </c>
    </row>
    <row r="2892" customFormat="false" ht="15" hidden="false" customHeight="false" outlineLevel="0" collapsed="false">
      <c r="A2892" s="15" t="n">
        <v>46143</v>
      </c>
      <c r="B2892" s="14" t="s">
        <v>42</v>
      </c>
      <c r="C2892" s="14" t="s">
        <v>43</v>
      </c>
      <c r="D2892" s="14" t="s">
        <v>44</v>
      </c>
      <c r="E2892" s="14" t="s">
        <v>53</v>
      </c>
      <c r="F2892" s="14" t="s">
        <v>84</v>
      </c>
      <c r="G2892" s="14" t="s">
        <v>85</v>
      </c>
      <c r="H2892" s="0" t="n">
        <v>10</v>
      </c>
      <c r="I2892" s="16" t="n">
        <v>23.67</v>
      </c>
      <c r="J2892" s="16" t="n">
        <v>9</v>
      </c>
      <c r="K2892" s="16" t="n">
        <f aca="false">H2892*I2892</f>
        <v>236.7</v>
      </c>
      <c r="L2892" s="16" t="n">
        <f aca="false">H2892*J2892</f>
        <v>90</v>
      </c>
      <c r="M2892" s="16" t="n">
        <f aca="false">K2892-L2892</f>
        <v>146.7</v>
      </c>
      <c r="N2892" s="17" t="n">
        <f aca="false">IFERROR(M2892/K2892,0)</f>
        <v>0.619771863117871</v>
      </c>
    </row>
    <row r="2893" customFormat="false" ht="15" hidden="false" customHeight="false" outlineLevel="0" collapsed="false">
      <c r="A2893" s="15" t="n">
        <v>46143</v>
      </c>
      <c r="B2893" s="14" t="s">
        <v>50</v>
      </c>
      <c r="C2893" s="14" t="s">
        <v>51</v>
      </c>
      <c r="D2893" s="14" t="s">
        <v>52</v>
      </c>
      <c r="E2893" s="14" t="s">
        <v>76</v>
      </c>
      <c r="F2893" s="14" t="s">
        <v>79</v>
      </c>
      <c r="G2893" s="14" t="s">
        <v>80</v>
      </c>
      <c r="H2893" s="0" t="n">
        <v>4</v>
      </c>
      <c r="I2893" s="16" t="n">
        <v>27.89</v>
      </c>
      <c r="J2893" s="16" t="n">
        <v>11</v>
      </c>
      <c r="K2893" s="16" t="n">
        <f aca="false">H2893*I2893</f>
        <v>111.56</v>
      </c>
      <c r="L2893" s="16" t="n">
        <f aca="false">H2893*J2893</f>
        <v>44</v>
      </c>
      <c r="M2893" s="16" t="n">
        <f aca="false">K2893-L2893</f>
        <v>67.56</v>
      </c>
      <c r="N2893" s="17" t="n">
        <f aca="false">IFERROR(M2893/K2893,0)</f>
        <v>0.605593402653281</v>
      </c>
    </row>
    <row r="2894" customFormat="false" ht="15" hidden="false" customHeight="false" outlineLevel="0" collapsed="false">
      <c r="A2894" s="15" t="n">
        <v>46143</v>
      </c>
      <c r="B2894" s="14" t="s">
        <v>50</v>
      </c>
      <c r="C2894" s="14" t="s">
        <v>51</v>
      </c>
      <c r="D2894" s="14" t="s">
        <v>52</v>
      </c>
      <c r="E2894" s="14" t="s">
        <v>64</v>
      </c>
      <c r="F2894" s="14" t="s">
        <v>90</v>
      </c>
      <c r="G2894" s="14" t="s">
        <v>91</v>
      </c>
      <c r="H2894" s="0" t="n">
        <v>8</v>
      </c>
      <c r="I2894" s="16" t="n">
        <v>11.81</v>
      </c>
      <c r="J2894" s="16" t="n">
        <v>3.5</v>
      </c>
      <c r="K2894" s="16" t="n">
        <f aca="false">H2894*I2894</f>
        <v>94.48</v>
      </c>
      <c r="L2894" s="16" t="n">
        <f aca="false">H2894*J2894</f>
        <v>28</v>
      </c>
      <c r="M2894" s="16" t="n">
        <f aca="false">K2894-L2894</f>
        <v>66.48</v>
      </c>
      <c r="N2894" s="17" t="n">
        <f aca="false">IFERROR(M2894/K2894,0)</f>
        <v>0.703640982218459</v>
      </c>
    </row>
    <row r="2895" customFormat="false" ht="15" hidden="false" customHeight="false" outlineLevel="0" collapsed="false">
      <c r="A2895" s="15" t="n">
        <v>46143</v>
      </c>
      <c r="B2895" s="14" t="s">
        <v>50</v>
      </c>
      <c r="C2895" s="14" t="s">
        <v>51</v>
      </c>
      <c r="D2895" s="14" t="s">
        <v>52</v>
      </c>
      <c r="E2895" s="14" t="s">
        <v>45</v>
      </c>
      <c r="F2895" s="14" t="s">
        <v>48</v>
      </c>
      <c r="G2895" s="14" t="s">
        <v>49</v>
      </c>
      <c r="H2895" s="0" t="n">
        <v>7</v>
      </c>
      <c r="I2895" s="16" t="n">
        <v>62.65</v>
      </c>
      <c r="J2895" s="16" t="n">
        <v>27.5</v>
      </c>
      <c r="K2895" s="16" t="n">
        <f aca="false">H2895*I2895</f>
        <v>438.55</v>
      </c>
      <c r="L2895" s="16" t="n">
        <f aca="false">H2895*J2895</f>
        <v>192.5</v>
      </c>
      <c r="M2895" s="16" t="n">
        <f aca="false">K2895-L2895</f>
        <v>246.05</v>
      </c>
      <c r="N2895" s="17" t="n">
        <f aca="false">IFERROR(M2895/K2895,0)</f>
        <v>0.561053471667997</v>
      </c>
    </row>
    <row r="2896" customFormat="false" ht="15" hidden="false" customHeight="false" outlineLevel="0" collapsed="false">
      <c r="A2896" s="15" t="n">
        <v>46143</v>
      </c>
      <c r="B2896" s="14" t="s">
        <v>50</v>
      </c>
      <c r="C2896" s="14" t="s">
        <v>51</v>
      </c>
      <c r="D2896" s="14" t="s">
        <v>52</v>
      </c>
      <c r="E2896" s="14" t="s">
        <v>64</v>
      </c>
      <c r="F2896" s="14" t="s">
        <v>65</v>
      </c>
      <c r="G2896" s="14" t="s">
        <v>66</v>
      </c>
      <c r="H2896" s="0" t="n">
        <v>7</v>
      </c>
      <c r="I2896" s="16" t="n">
        <v>77.67</v>
      </c>
      <c r="J2896" s="16" t="n">
        <v>34</v>
      </c>
      <c r="K2896" s="16" t="n">
        <f aca="false">H2896*I2896</f>
        <v>543.69</v>
      </c>
      <c r="L2896" s="16" t="n">
        <f aca="false">H2896*J2896</f>
        <v>238</v>
      </c>
      <c r="M2896" s="16" t="n">
        <f aca="false">K2896-L2896</f>
        <v>305.69</v>
      </c>
      <c r="N2896" s="17" t="n">
        <f aca="false">IFERROR(M2896/K2896,0)</f>
        <v>0.562250547186816</v>
      </c>
    </row>
    <row r="2897" customFormat="false" ht="15" hidden="false" customHeight="false" outlineLevel="0" collapsed="false">
      <c r="A2897" s="15" t="n">
        <v>46143</v>
      </c>
      <c r="B2897" s="14" t="s">
        <v>59</v>
      </c>
      <c r="C2897" s="14" t="s">
        <v>60</v>
      </c>
      <c r="D2897" s="14" t="s">
        <v>61</v>
      </c>
      <c r="E2897" s="14" t="s">
        <v>76</v>
      </c>
      <c r="F2897" s="14" t="s">
        <v>102</v>
      </c>
      <c r="G2897" s="14" t="s">
        <v>103</v>
      </c>
      <c r="H2897" s="0" t="n">
        <v>2</v>
      </c>
      <c r="I2897" s="16" t="n">
        <v>23.49</v>
      </c>
      <c r="J2897" s="16" t="n">
        <v>8.5</v>
      </c>
      <c r="K2897" s="16" t="n">
        <f aca="false">H2897*I2897</f>
        <v>46.98</v>
      </c>
      <c r="L2897" s="16" t="n">
        <f aca="false">H2897*J2897</f>
        <v>17</v>
      </c>
      <c r="M2897" s="16" t="n">
        <f aca="false">K2897-L2897</f>
        <v>29.98</v>
      </c>
      <c r="N2897" s="17" t="n">
        <f aca="false">IFERROR(M2897/K2897,0)</f>
        <v>0.638143891017454</v>
      </c>
    </row>
    <row r="2898" customFormat="false" ht="15" hidden="false" customHeight="false" outlineLevel="0" collapsed="false">
      <c r="A2898" s="15" t="n">
        <v>46143</v>
      </c>
      <c r="B2898" s="14" t="s">
        <v>59</v>
      </c>
      <c r="C2898" s="14" t="s">
        <v>60</v>
      </c>
      <c r="D2898" s="14" t="s">
        <v>61</v>
      </c>
      <c r="E2898" s="14" t="s">
        <v>56</v>
      </c>
      <c r="F2898" s="14" t="s">
        <v>98</v>
      </c>
      <c r="G2898" s="14" t="s">
        <v>99</v>
      </c>
      <c r="H2898" s="0" t="n">
        <v>2</v>
      </c>
      <c r="I2898" s="16" t="n">
        <v>21.18</v>
      </c>
      <c r="J2898" s="16" t="n">
        <v>8</v>
      </c>
      <c r="K2898" s="16" t="n">
        <f aca="false">H2898*I2898</f>
        <v>42.36</v>
      </c>
      <c r="L2898" s="16" t="n">
        <f aca="false">H2898*J2898</f>
        <v>16</v>
      </c>
      <c r="M2898" s="16" t="n">
        <f aca="false">K2898-L2898</f>
        <v>26.36</v>
      </c>
      <c r="N2898" s="17" t="n">
        <f aca="false">IFERROR(M2898/K2898,0)</f>
        <v>0.622285174693107</v>
      </c>
    </row>
    <row r="2899" customFormat="false" ht="15" hidden="false" customHeight="false" outlineLevel="0" collapsed="false">
      <c r="A2899" s="15" t="n">
        <v>46143</v>
      </c>
      <c r="B2899" s="14" t="s">
        <v>59</v>
      </c>
      <c r="C2899" s="14" t="s">
        <v>60</v>
      </c>
      <c r="D2899" s="14" t="s">
        <v>61</v>
      </c>
      <c r="E2899" s="14" t="s">
        <v>56</v>
      </c>
      <c r="F2899" s="14" t="s">
        <v>98</v>
      </c>
      <c r="G2899" s="14" t="s">
        <v>99</v>
      </c>
      <c r="H2899" s="0" t="n">
        <v>7</v>
      </c>
      <c r="I2899" s="16" t="n">
        <v>21.31</v>
      </c>
      <c r="J2899" s="16" t="n">
        <v>8</v>
      </c>
      <c r="K2899" s="16" t="n">
        <f aca="false">H2899*I2899</f>
        <v>149.17</v>
      </c>
      <c r="L2899" s="16" t="n">
        <f aca="false">H2899*J2899</f>
        <v>56</v>
      </c>
      <c r="M2899" s="16" t="n">
        <f aca="false">K2899-L2899</f>
        <v>93.17</v>
      </c>
      <c r="N2899" s="17" t="n">
        <f aca="false">IFERROR(M2899/K2899,0)</f>
        <v>0.624589394650399</v>
      </c>
    </row>
    <row r="2900" customFormat="false" ht="15" hidden="false" customHeight="false" outlineLevel="0" collapsed="false">
      <c r="A2900" s="15" t="n">
        <v>46143</v>
      </c>
      <c r="B2900" s="14" t="s">
        <v>59</v>
      </c>
      <c r="C2900" s="14" t="s">
        <v>60</v>
      </c>
      <c r="D2900" s="14" t="s">
        <v>61</v>
      </c>
      <c r="E2900" s="14" t="s">
        <v>53</v>
      </c>
      <c r="F2900" s="14" t="s">
        <v>74</v>
      </c>
      <c r="G2900" s="14" t="s">
        <v>75</v>
      </c>
      <c r="H2900" s="0" t="n">
        <v>8</v>
      </c>
      <c r="I2900" s="16" t="n">
        <v>87.7</v>
      </c>
      <c r="J2900" s="16" t="n">
        <v>38</v>
      </c>
      <c r="K2900" s="16" t="n">
        <f aca="false">H2900*I2900</f>
        <v>701.6</v>
      </c>
      <c r="L2900" s="16" t="n">
        <f aca="false">H2900*J2900</f>
        <v>304</v>
      </c>
      <c r="M2900" s="16" t="n">
        <f aca="false">K2900-L2900</f>
        <v>397.6</v>
      </c>
      <c r="N2900" s="17" t="n">
        <f aca="false">IFERROR(M2900/K2900,0)</f>
        <v>0.566704675028506</v>
      </c>
    </row>
    <row r="2901" customFormat="false" ht="15" hidden="false" customHeight="false" outlineLevel="0" collapsed="false">
      <c r="A2901" s="15" t="n">
        <v>46143</v>
      </c>
      <c r="B2901" s="14" t="s">
        <v>59</v>
      </c>
      <c r="C2901" s="14" t="s">
        <v>60</v>
      </c>
      <c r="D2901" s="14" t="s">
        <v>61</v>
      </c>
      <c r="E2901" s="14" t="s">
        <v>64</v>
      </c>
      <c r="F2901" s="14" t="s">
        <v>90</v>
      </c>
      <c r="G2901" s="14" t="s">
        <v>91</v>
      </c>
      <c r="H2901" s="0" t="n">
        <v>3</v>
      </c>
      <c r="I2901" s="16" t="n">
        <v>11.66</v>
      </c>
      <c r="J2901" s="16" t="n">
        <v>3.5</v>
      </c>
      <c r="K2901" s="16" t="n">
        <f aca="false">H2901*I2901</f>
        <v>34.98</v>
      </c>
      <c r="L2901" s="16" t="n">
        <f aca="false">H2901*J2901</f>
        <v>10.5</v>
      </c>
      <c r="M2901" s="16" t="n">
        <f aca="false">K2901-L2901</f>
        <v>24.48</v>
      </c>
      <c r="N2901" s="17" t="n">
        <f aca="false">IFERROR(M2901/K2901,0)</f>
        <v>0.699828473413379</v>
      </c>
    </row>
    <row r="2902" customFormat="false" ht="15" hidden="false" customHeight="false" outlineLevel="0" collapsed="false">
      <c r="A2902" s="15" t="n">
        <v>46143</v>
      </c>
      <c r="B2902" s="14" t="s">
        <v>69</v>
      </c>
      <c r="C2902" s="14" t="s">
        <v>70</v>
      </c>
      <c r="D2902" s="14" t="s">
        <v>71</v>
      </c>
      <c r="E2902" s="14" t="s">
        <v>53</v>
      </c>
      <c r="F2902" s="14" t="s">
        <v>92</v>
      </c>
      <c r="G2902" s="14" t="s">
        <v>93</v>
      </c>
      <c r="H2902" s="0" t="n">
        <v>8</v>
      </c>
      <c r="I2902" s="16" t="n">
        <v>115.47</v>
      </c>
      <c r="J2902" s="16" t="n">
        <v>52</v>
      </c>
      <c r="K2902" s="16" t="n">
        <f aca="false">H2902*I2902</f>
        <v>923.76</v>
      </c>
      <c r="L2902" s="16" t="n">
        <f aca="false">H2902*J2902</f>
        <v>416</v>
      </c>
      <c r="M2902" s="16" t="n">
        <f aca="false">K2902-L2902</f>
        <v>507.76</v>
      </c>
      <c r="N2902" s="17" t="n">
        <f aca="false">IFERROR(M2902/K2902,0)</f>
        <v>0.549666580064086</v>
      </c>
    </row>
    <row r="2903" customFormat="false" ht="15" hidden="false" customHeight="false" outlineLevel="0" collapsed="false">
      <c r="A2903" s="15" t="n">
        <v>46143</v>
      </c>
      <c r="B2903" s="14" t="s">
        <v>69</v>
      </c>
      <c r="C2903" s="14" t="s">
        <v>70</v>
      </c>
      <c r="D2903" s="14" t="s">
        <v>71</v>
      </c>
      <c r="E2903" s="14" t="s">
        <v>64</v>
      </c>
      <c r="F2903" s="14" t="s">
        <v>65</v>
      </c>
      <c r="G2903" s="14" t="s">
        <v>66</v>
      </c>
      <c r="H2903" s="0" t="n">
        <v>6</v>
      </c>
      <c r="I2903" s="16" t="n">
        <v>76.31</v>
      </c>
      <c r="J2903" s="16" t="n">
        <v>34</v>
      </c>
      <c r="K2903" s="16" t="n">
        <f aca="false">H2903*I2903</f>
        <v>457.86</v>
      </c>
      <c r="L2903" s="16" t="n">
        <f aca="false">H2903*J2903</f>
        <v>204</v>
      </c>
      <c r="M2903" s="16" t="n">
        <f aca="false">K2903-L2903</f>
        <v>253.86</v>
      </c>
      <c r="N2903" s="17" t="n">
        <f aca="false">IFERROR(M2903/K2903,0)</f>
        <v>0.554448958196829</v>
      </c>
    </row>
    <row r="2904" customFormat="false" ht="15" hidden="false" customHeight="false" outlineLevel="0" collapsed="false">
      <c r="A2904" s="15" t="n">
        <v>46143</v>
      </c>
      <c r="B2904" s="14" t="s">
        <v>81</v>
      </c>
      <c r="C2904" s="14" t="s">
        <v>82</v>
      </c>
      <c r="D2904" s="14" t="s">
        <v>83</v>
      </c>
      <c r="E2904" s="14" t="s">
        <v>56</v>
      </c>
      <c r="F2904" s="14" t="s">
        <v>57</v>
      </c>
      <c r="G2904" s="14" t="s">
        <v>58</v>
      </c>
      <c r="H2904" s="0" t="n">
        <v>1</v>
      </c>
      <c r="I2904" s="16" t="n">
        <v>24.86</v>
      </c>
      <c r="J2904" s="16" t="n">
        <v>10</v>
      </c>
      <c r="K2904" s="16" t="n">
        <f aca="false">H2904*I2904</f>
        <v>24.86</v>
      </c>
      <c r="L2904" s="16" t="n">
        <f aca="false">H2904*J2904</f>
        <v>10</v>
      </c>
      <c r="M2904" s="16" t="n">
        <f aca="false">K2904-L2904</f>
        <v>14.86</v>
      </c>
      <c r="N2904" s="17" t="n">
        <f aca="false">IFERROR(M2904/K2904,0)</f>
        <v>0.597747385358005</v>
      </c>
    </row>
    <row r="2905" customFormat="false" ht="15" hidden="false" customHeight="false" outlineLevel="0" collapsed="false">
      <c r="A2905" s="15" t="n">
        <v>46143</v>
      </c>
      <c r="B2905" s="14" t="s">
        <v>81</v>
      </c>
      <c r="C2905" s="14" t="s">
        <v>82</v>
      </c>
      <c r="D2905" s="14" t="s">
        <v>83</v>
      </c>
      <c r="E2905" s="14" t="s">
        <v>76</v>
      </c>
      <c r="F2905" s="14" t="s">
        <v>100</v>
      </c>
      <c r="G2905" s="14" t="s">
        <v>101</v>
      </c>
      <c r="H2905" s="0" t="n">
        <v>2</v>
      </c>
      <c r="I2905" s="16" t="n">
        <v>15.05</v>
      </c>
      <c r="J2905" s="16" t="n">
        <v>5.5</v>
      </c>
      <c r="K2905" s="16" t="n">
        <f aca="false">H2905*I2905</f>
        <v>30.1</v>
      </c>
      <c r="L2905" s="16" t="n">
        <f aca="false">H2905*J2905</f>
        <v>11</v>
      </c>
      <c r="M2905" s="16" t="n">
        <f aca="false">K2905-L2905</f>
        <v>19.1</v>
      </c>
      <c r="N2905" s="17" t="n">
        <f aca="false">IFERROR(M2905/K2905,0)</f>
        <v>0.634551495016611</v>
      </c>
    </row>
    <row r="2906" customFormat="false" ht="15" hidden="false" customHeight="false" outlineLevel="0" collapsed="false">
      <c r="A2906" s="15" t="n">
        <v>46143</v>
      </c>
      <c r="B2906" s="14" t="s">
        <v>88</v>
      </c>
      <c r="C2906" s="14" t="s">
        <v>89</v>
      </c>
      <c r="D2906" s="14" t="s">
        <v>44</v>
      </c>
      <c r="E2906" s="14" t="s">
        <v>56</v>
      </c>
      <c r="F2906" s="14" t="s">
        <v>67</v>
      </c>
      <c r="G2906" s="14" t="s">
        <v>68</v>
      </c>
      <c r="H2906" s="0" t="n">
        <v>8</v>
      </c>
      <c r="I2906" s="16" t="n">
        <v>36.95</v>
      </c>
      <c r="J2906" s="16" t="n">
        <v>15</v>
      </c>
      <c r="K2906" s="16" t="n">
        <f aca="false">H2906*I2906</f>
        <v>295.6</v>
      </c>
      <c r="L2906" s="16" t="n">
        <f aca="false">H2906*J2906</f>
        <v>120</v>
      </c>
      <c r="M2906" s="16" t="n">
        <f aca="false">K2906-L2906</f>
        <v>175.6</v>
      </c>
      <c r="N2906" s="17" t="n">
        <f aca="false">IFERROR(M2906/K2906,0)</f>
        <v>0.59404600811908</v>
      </c>
    </row>
    <row r="2907" customFormat="false" ht="15" hidden="false" customHeight="false" outlineLevel="0" collapsed="false">
      <c r="A2907" s="15" t="n">
        <v>46143</v>
      </c>
      <c r="B2907" s="14" t="s">
        <v>88</v>
      </c>
      <c r="C2907" s="14" t="s">
        <v>89</v>
      </c>
      <c r="D2907" s="14" t="s">
        <v>44</v>
      </c>
      <c r="E2907" s="14" t="s">
        <v>53</v>
      </c>
      <c r="F2907" s="14" t="s">
        <v>92</v>
      </c>
      <c r="G2907" s="14" t="s">
        <v>93</v>
      </c>
      <c r="H2907" s="0" t="n">
        <v>4</v>
      </c>
      <c r="I2907" s="16" t="n">
        <v>112.21</v>
      </c>
      <c r="J2907" s="16" t="n">
        <v>52</v>
      </c>
      <c r="K2907" s="16" t="n">
        <f aca="false">H2907*I2907</f>
        <v>448.84</v>
      </c>
      <c r="L2907" s="16" t="n">
        <f aca="false">H2907*J2907</f>
        <v>208</v>
      </c>
      <c r="M2907" s="16" t="n">
        <f aca="false">K2907-L2907</f>
        <v>240.84</v>
      </c>
      <c r="N2907" s="17" t="n">
        <f aca="false">IFERROR(M2907/K2907,0)</f>
        <v>0.536583192228857</v>
      </c>
    </row>
    <row r="2908" customFormat="false" ht="15" hidden="false" customHeight="false" outlineLevel="0" collapsed="false">
      <c r="A2908" s="15" t="n">
        <v>46143</v>
      </c>
      <c r="B2908" s="14" t="s">
        <v>88</v>
      </c>
      <c r="C2908" s="14" t="s">
        <v>89</v>
      </c>
      <c r="D2908" s="14" t="s">
        <v>44</v>
      </c>
      <c r="E2908" s="14" t="s">
        <v>53</v>
      </c>
      <c r="F2908" s="14" t="s">
        <v>54</v>
      </c>
      <c r="G2908" s="14" t="s">
        <v>55</v>
      </c>
      <c r="H2908" s="0" t="n">
        <v>7</v>
      </c>
      <c r="I2908" s="16" t="n">
        <v>51.4</v>
      </c>
      <c r="J2908" s="16" t="n">
        <v>22</v>
      </c>
      <c r="K2908" s="16" t="n">
        <f aca="false">H2908*I2908</f>
        <v>359.8</v>
      </c>
      <c r="L2908" s="16" t="n">
        <f aca="false">H2908*J2908</f>
        <v>154</v>
      </c>
      <c r="M2908" s="16" t="n">
        <f aca="false">K2908-L2908</f>
        <v>205.8</v>
      </c>
      <c r="N2908" s="17" t="n">
        <f aca="false">IFERROR(M2908/K2908,0)</f>
        <v>0.571984435797665</v>
      </c>
    </row>
    <row r="2909" customFormat="false" ht="15" hidden="false" customHeight="false" outlineLevel="0" collapsed="false">
      <c r="A2909" s="15" t="n">
        <v>46144</v>
      </c>
      <c r="B2909" s="14" t="s">
        <v>42</v>
      </c>
      <c r="C2909" s="14" t="s">
        <v>43</v>
      </c>
      <c r="D2909" s="14" t="s">
        <v>44</v>
      </c>
      <c r="E2909" s="14" t="s">
        <v>56</v>
      </c>
      <c r="F2909" s="14" t="s">
        <v>98</v>
      </c>
      <c r="G2909" s="14" t="s">
        <v>99</v>
      </c>
      <c r="H2909" s="0" t="n">
        <v>5</v>
      </c>
      <c r="I2909" s="16" t="n">
        <v>21.19</v>
      </c>
      <c r="J2909" s="16" t="n">
        <v>8</v>
      </c>
      <c r="K2909" s="16" t="n">
        <f aca="false">H2909*I2909</f>
        <v>105.95</v>
      </c>
      <c r="L2909" s="16" t="n">
        <f aca="false">H2909*J2909</f>
        <v>40</v>
      </c>
      <c r="M2909" s="16" t="n">
        <f aca="false">K2909-L2909</f>
        <v>65.95</v>
      </c>
      <c r="N2909" s="17" t="n">
        <f aca="false">IFERROR(M2909/K2909,0)</f>
        <v>0.622463426144408</v>
      </c>
    </row>
    <row r="2910" customFormat="false" ht="15" hidden="false" customHeight="false" outlineLevel="0" collapsed="false">
      <c r="A2910" s="15" t="n">
        <v>46144</v>
      </c>
      <c r="B2910" s="14" t="s">
        <v>42</v>
      </c>
      <c r="C2910" s="14" t="s">
        <v>43</v>
      </c>
      <c r="D2910" s="14" t="s">
        <v>44</v>
      </c>
      <c r="E2910" s="14" t="s">
        <v>45</v>
      </c>
      <c r="F2910" s="14" t="s">
        <v>46</v>
      </c>
      <c r="G2910" s="14" t="s">
        <v>47</v>
      </c>
      <c r="H2910" s="0" t="n">
        <v>10</v>
      </c>
      <c r="I2910" s="16" t="n">
        <v>44.74</v>
      </c>
      <c r="J2910" s="16" t="n">
        <v>18</v>
      </c>
      <c r="K2910" s="16" t="n">
        <f aca="false">H2910*I2910</f>
        <v>447.4</v>
      </c>
      <c r="L2910" s="16" t="n">
        <f aca="false">H2910*J2910</f>
        <v>180</v>
      </c>
      <c r="M2910" s="16" t="n">
        <f aca="false">K2910-L2910</f>
        <v>267.4</v>
      </c>
      <c r="N2910" s="17" t="n">
        <f aca="false">IFERROR(M2910/K2910,0)</f>
        <v>0.59767545820295</v>
      </c>
    </row>
    <row r="2911" customFormat="false" ht="15" hidden="false" customHeight="false" outlineLevel="0" collapsed="false">
      <c r="A2911" s="15" t="n">
        <v>46144</v>
      </c>
      <c r="B2911" s="14" t="s">
        <v>50</v>
      </c>
      <c r="C2911" s="14" t="s">
        <v>51</v>
      </c>
      <c r="D2911" s="14" t="s">
        <v>52</v>
      </c>
      <c r="E2911" s="14" t="s">
        <v>53</v>
      </c>
      <c r="F2911" s="14" t="s">
        <v>92</v>
      </c>
      <c r="G2911" s="14" t="s">
        <v>93</v>
      </c>
      <c r="H2911" s="0" t="n">
        <v>5</v>
      </c>
      <c r="I2911" s="16" t="n">
        <v>114.47</v>
      </c>
      <c r="J2911" s="16" t="n">
        <v>52</v>
      </c>
      <c r="K2911" s="16" t="n">
        <f aca="false">H2911*I2911</f>
        <v>572.35</v>
      </c>
      <c r="L2911" s="16" t="n">
        <f aca="false">H2911*J2911</f>
        <v>260</v>
      </c>
      <c r="M2911" s="16" t="n">
        <f aca="false">K2911-L2911</f>
        <v>312.35</v>
      </c>
      <c r="N2911" s="17" t="n">
        <f aca="false">IFERROR(M2911/K2911,0)</f>
        <v>0.545732506333537</v>
      </c>
    </row>
    <row r="2912" customFormat="false" ht="15" hidden="false" customHeight="false" outlineLevel="0" collapsed="false">
      <c r="A2912" s="15" t="n">
        <v>46144</v>
      </c>
      <c r="B2912" s="14" t="s">
        <v>50</v>
      </c>
      <c r="C2912" s="14" t="s">
        <v>51</v>
      </c>
      <c r="D2912" s="14" t="s">
        <v>52</v>
      </c>
      <c r="E2912" s="14" t="s">
        <v>76</v>
      </c>
      <c r="F2912" s="14" t="s">
        <v>77</v>
      </c>
      <c r="G2912" s="14" t="s">
        <v>78</v>
      </c>
      <c r="H2912" s="0" t="n">
        <v>6</v>
      </c>
      <c r="I2912" s="16" t="n">
        <v>41.24</v>
      </c>
      <c r="J2912" s="16" t="n">
        <v>15</v>
      </c>
      <c r="K2912" s="16" t="n">
        <f aca="false">H2912*I2912</f>
        <v>247.44</v>
      </c>
      <c r="L2912" s="16" t="n">
        <f aca="false">H2912*J2912</f>
        <v>90</v>
      </c>
      <c r="M2912" s="16" t="n">
        <f aca="false">K2912-L2912</f>
        <v>157.44</v>
      </c>
      <c r="N2912" s="17" t="n">
        <f aca="false">IFERROR(M2912/K2912,0)</f>
        <v>0.63627546071775</v>
      </c>
    </row>
    <row r="2913" customFormat="false" ht="15" hidden="false" customHeight="false" outlineLevel="0" collapsed="false">
      <c r="A2913" s="15" t="n">
        <v>46144</v>
      </c>
      <c r="B2913" s="14" t="s">
        <v>50</v>
      </c>
      <c r="C2913" s="14" t="s">
        <v>51</v>
      </c>
      <c r="D2913" s="14" t="s">
        <v>52</v>
      </c>
      <c r="E2913" s="14" t="s">
        <v>45</v>
      </c>
      <c r="F2913" s="14" t="s">
        <v>62</v>
      </c>
      <c r="G2913" s="14" t="s">
        <v>63</v>
      </c>
      <c r="H2913" s="0" t="n">
        <v>12</v>
      </c>
      <c r="I2913" s="16" t="n">
        <v>16.74</v>
      </c>
      <c r="J2913" s="16" t="n">
        <v>6.5</v>
      </c>
      <c r="K2913" s="16" t="n">
        <f aca="false">H2913*I2913</f>
        <v>200.88</v>
      </c>
      <c r="L2913" s="16" t="n">
        <f aca="false">H2913*J2913</f>
        <v>78</v>
      </c>
      <c r="M2913" s="16" t="n">
        <f aca="false">K2913-L2913</f>
        <v>122.88</v>
      </c>
      <c r="N2913" s="17" t="n">
        <f aca="false">IFERROR(M2913/K2913,0)</f>
        <v>0.611708482676225</v>
      </c>
    </row>
    <row r="2914" customFormat="false" ht="15" hidden="false" customHeight="false" outlineLevel="0" collapsed="false">
      <c r="A2914" s="15" t="n">
        <v>46144</v>
      </c>
      <c r="B2914" s="14" t="s">
        <v>59</v>
      </c>
      <c r="C2914" s="14" t="s">
        <v>60</v>
      </c>
      <c r="D2914" s="14" t="s">
        <v>61</v>
      </c>
      <c r="E2914" s="14" t="s">
        <v>45</v>
      </c>
      <c r="F2914" s="14" t="s">
        <v>72</v>
      </c>
      <c r="G2914" s="14" t="s">
        <v>73</v>
      </c>
      <c r="H2914" s="0" t="n">
        <v>4</v>
      </c>
      <c r="I2914" s="16" t="n">
        <v>49.42</v>
      </c>
      <c r="J2914" s="16" t="n">
        <v>21</v>
      </c>
      <c r="K2914" s="16" t="n">
        <f aca="false">H2914*I2914</f>
        <v>197.68</v>
      </c>
      <c r="L2914" s="16" t="n">
        <f aca="false">H2914*J2914</f>
        <v>84</v>
      </c>
      <c r="M2914" s="16" t="n">
        <f aca="false">K2914-L2914</f>
        <v>113.68</v>
      </c>
      <c r="N2914" s="17" t="n">
        <f aca="false">IFERROR(M2914/K2914,0)</f>
        <v>0.575070821529745</v>
      </c>
    </row>
    <row r="2915" customFormat="false" ht="15" hidden="false" customHeight="false" outlineLevel="0" collapsed="false">
      <c r="A2915" s="15" t="n">
        <v>46144</v>
      </c>
      <c r="B2915" s="14" t="s">
        <v>59</v>
      </c>
      <c r="C2915" s="14" t="s">
        <v>60</v>
      </c>
      <c r="D2915" s="14" t="s">
        <v>61</v>
      </c>
      <c r="E2915" s="14" t="s">
        <v>64</v>
      </c>
      <c r="F2915" s="14" t="s">
        <v>90</v>
      </c>
      <c r="G2915" s="14" t="s">
        <v>91</v>
      </c>
      <c r="H2915" s="0" t="n">
        <v>8</v>
      </c>
      <c r="I2915" s="16" t="n">
        <v>11.23</v>
      </c>
      <c r="J2915" s="16" t="n">
        <v>3.5</v>
      </c>
      <c r="K2915" s="16" t="n">
        <f aca="false">H2915*I2915</f>
        <v>89.84</v>
      </c>
      <c r="L2915" s="16" t="n">
        <f aca="false">H2915*J2915</f>
        <v>28</v>
      </c>
      <c r="M2915" s="16" t="n">
        <f aca="false">K2915-L2915</f>
        <v>61.84</v>
      </c>
      <c r="N2915" s="17" t="n">
        <f aca="false">IFERROR(M2915/K2915,0)</f>
        <v>0.68833481745325</v>
      </c>
    </row>
    <row r="2916" customFormat="false" ht="15" hidden="false" customHeight="false" outlineLevel="0" collapsed="false">
      <c r="A2916" s="15" t="n">
        <v>46144</v>
      </c>
      <c r="B2916" s="14" t="s">
        <v>59</v>
      </c>
      <c r="C2916" s="14" t="s">
        <v>60</v>
      </c>
      <c r="D2916" s="14" t="s">
        <v>61</v>
      </c>
      <c r="E2916" s="14" t="s">
        <v>64</v>
      </c>
      <c r="F2916" s="14" t="s">
        <v>65</v>
      </c>
      <c r="G2916" s="14" t="s">
        <v>66</v>
      </c>
      <c r="H2916" s="0" t="n">
        <v>2</v>
      </c>
      <c r="I2916" s="16" t="n">
        <v>78.81</v>
      </c>
      <c r="J2916" s="16" t="n">
        <v>34</v>
      </c>
      <c r="K2916" s="16" t="n">
        <f aca="false">H2916*I2916</f>
        <v>157.62</v>
      </c>
      <c r="L2916" s="16" t="n">
        <f aca="false">H2916*J2916</f>
        <v>68</v>
      </c>
      <c r="M2916" s="16" t="n">
        <f aca="false">K2916-L2916</f>
        <v>89.62</v>
      </c>
      <c r="N2916" s="17" t="n">
        <f aca="false">IFERROR(M2916/K2916,0)</f>
        <v>0.568582667174217</v>
      </c>
    </row>
    <row r="2917" customFormat="false" ht="15" hidden="false" customHeight="false" outlineLevel="0" collapsed="false">
      <c r="A2917" s="15" t="n">
        <v>46144</v>
      </c>
      <c r="B2917" s="14" t="s">
        <v>59</v>
      </c>
      <c r="C2917" s="14" t="s">
        <v>60</v>
      </c>
      <c r="D2917" s="14" t="s">
        <v>61</v>
      </c>
      <c r="E2917" s="14" t="s">
        <v>56</v>
      </c>
      <c r="F2917" s="14" t="s">
        <v>98</v>
      </c>
      <c r="G2917" s="14" t="s">
        <v>99</v>
      </c>
      <c r="H2917" s="0" t="n">
        <v>3</v>
      </c>
      <c r="I2917" s="16" t="n">
        <v>21.57</v>
      </c>
      <c r="J2917" s="16" t="n">
        <v>8</v>
      </c>
      <c r="K2917" s="16" t="n">
        <f aca="false">H2917*I2917</f>
        <v>64.71</v>
      </c>
      <c r="L2917" s="16" t="n">
        <f aca="false">H2917*J2917</f>
        <v>24</v>
      </c>
      <c r="M2917" s="16" t="n">
        <f aca="false">K2917-L2917</f>
        <v>40.71</v>
      </c>
      <c r="N2917" s="17" t="n">
        <f aca="false">IFERROR(M2917/K2917,0)</f>
        <v>0.629114510894761</v>
      </c>
    </row>
    <row r="2918" customFormat="false" ht="15" hidden="false" customHeight="false" outlineLevel="0" collapsed="false">
      <c r="A2918" s="15" t="n">
        <v>46144</v>
      </c>
      <c r="B2918" s="14" t="s">
        <v>59</v>
      </c>
      <c r="C2918" s="14" t="s">
        <v>60</v>
      </c>
      <c r="D2918" s="14" t="s">
        <v>61</v>
      </c>
      <c r="E2918" s="14" t="s">
        <v>45</v>
      </c>
      <c r="F2918" s="14" t="s">
        <v>72</v>
      </c>
      <c r="G2918" s="14" t="s">
        <v>73</v>
      </c>
      <c r="H2918" s="0" t="n">
        <v>7</v>
      </c>
      <c r="I2918" s="16" t="n">
        <v>50.96</v>
      </c>
      <c r="J2918" s="16" t="n">
        <v>21</v>
      </c>
      <c r="K2918" s="16" t="n">
        <f aca="false">H2918*I2918</f>
        <v>356.72</v>
      </c>
      <c r="L2918" s="16" t="n">
        <f aca="false">H2918*J2918</f>
        <v>147</v>
      </c>
      <c r="M2918" s="16" t="n">
        <f aca="false">K2918-L2918</f>
        <v>209.72</v>
      </c>
      <c r="N2918" s="17" t="n">
        <f aca="false">IFERROR(M2918/K2918,0)</f>
        <v>0.587912087912088</v>
      </c>
    </row>
    <row r="2919" customFormat="false" ht="15" hidden="false" customHeight="false" outlineLevel="0" collapsed="false">
      <c r="A2919" s="15" t="n">
        <v>46144</v>
      </c>
      <c r="B2919" s="14" t="s">
        <v>69</v>
      </c>
      <c r="C2919" s="14" t="s">
        <v>70</v>
      </c>
      <c r="D2919" s="14" t="s">
        <v>71</v>
      </c>
      <c r="E2919" s="14" t="s">
        <v>64</v>
      </c>
      <c r="F2919" s="14" t="s">
        <v>96</v>
      </c>
      <c r="G2919" s="14" t="s">
        <v>97</v>
      </c>
      <c r="H2919" s="0" t="n">
        <v>4</v>
      </c>
      <c r="I2919" s="16" t="n">
        <v>58.93</v>
      </c>
      <c r="J2919" s="16" t="n">
        <v>24</v>
      </c>
      <c r="K2919" s="16" t="n">
        <f aca="false">H2919*I2919</f>
        <v>235.72</v>
      </c>
      <c r="L2919" s="16" t="n">
        <f aca="false">H2919*J2919</f>
        <v>96</v>
      </c>
      <c r="M2919" s="16" t="n">
        <f aca="false">K2919-L2919</f>
        <v>139.72</v>
      </c>
      <c r="N2919" s="17" t="n">
        <f aca="false">IFERROR(M2919/K2919,0)</f>
        <v>0.592737145766163</v>
      </c>
    </row>
    <row r="2920" customFormat="false" ht="15" hidden="false" customHeight="false" outlineLevel="0" collapsed="false">
      <c r="A2920" s="15" t="n">
        <v>46144</v>
      </c>
      <c r="B2920" s="14" t="s">
        <v>69</v>
      </c>
      <c r="C2920" s="14" t="s">
        <v>70</v>
      </c>
      <c r="D2920" s="14" t="s">
        <v>71</v>
      </c>
      <c r="E2920" s="14" t="s">
        <v>56</v>
      </c>
      <c r="F2920" s="14" t="s">
        <v>67</v>
      </c>
      <c r="G2920" s="14" t="s">
        <v>68</v>
      </c>
      <c r="H2920" s="0" t="n">
        <v>8</v>
      </c>
      <c r="I2920" s="16" t="n">
        <v>35.74</v>
      </c>
      <c r="J2920" s="16" t="n">
        <v>15</v>
      </c>
      <c r="K2920" s="16" t="n">
        <f aca="false">H2920*I2920</f>
        <v>285.92</v>
      </c>
      <c r="L2920" s="16" t="n">
        <f aca="false">H2920*J2920</f>
        <v>120</v>
      </c>
      <c r="M2920" s="16" t="n">
        <f aca="false">K2920-L2920</f>
        <v>165.92</v>
      </c>
      <c r="N2920" s="17" t="n">
        <f aca="false">IFERROR(M2920/K2920,0)</f>
        <v>0.580302182428651</v>
      </c>
    </row>
    <row r="2921" customFormat="false" ht="15" hidden="false" customHeight="false" outlineLevel="0" collapsed="false">
      <c r="A2921" s="15" t="n">
        <v>46144</v>
      </c>
      <c r="B2921" s="14" t="s">
        <v>69</v>
      </c>
      <c r="C2921" s="14" t="s">
        <v>70</v>
      </c>
      <c r="D2921" s="14" t="s">
        <v>71</v>
      </c>
      <c r="E2921" s="14" t="s">
        <v>45</v>
      </c>
      <c r="F2921" s="14" t="s">
        <v>72</v>
      </c>
      <c r="G2921" s="14" t="s">
        <v>73</v>
      </c>
      <c r="H2921" s="0" t="n">
        <v>1</v>
      </c>
      <c r="I2921" s="16" t="n">
        <v>47.87</v>
      </c>
      <c r="J2921" s="16" t="n">
        <v>21</v>
      </c>
      <c r="K2921" s="16" t="n">
        <f aca="false">H2921*I2921</f>
        <v>47.87</v>
      </c>
      <c r="L2921" s="16" t="n">
        <f aca="false">H2921*J2921</f>
        <v>21</v>
      </c>
      <c r="M2921" s="16" t="n">
        <f aca="false">K2921-L2921</f>
        <v>26.87</v>
      </c>
      <c r="N2921" s="17" t="n">
        <f aca="false">IFERROR(M2921/K2921,0)</f>
        <v>0.561311886358889</v>
      </c>
    </row>
    <row r="2922" customFormat="false" ht="15" hidden="false" customHeight="false" outlineLevel="0" collapsed="false">
      <c r="A2922" s="15" t="n">
        <v>46144</v>
      </c>
      <c r="B2922" s="14" t="s">
        <v>69</v>
      </c>
      <c r="C2922" s="14" t="s">
        <v>70</v>
      </c>
      <c r="D2922" s="14" t="s">
        <v>71</v>
      </c>
      <c r="E2922" s="14" t="s">
        <v>64</v>
      </c>
      <c r="F2922" s="14" t="s">
        <v>90</v>
      </c>
      <c r="G2922" s="14" t="s">
        <v>91</v>
      </c>
      <c r="H2922" s="0" t="n">
        <v>2</v>
      </c>
      <c r="I2922" s="16" t="n">
        <v>11.38</v>
      </c>
      <c r="J2922" s="16" t="n">
        <v>3.5</v>
      </c>
      <c r="K2922" s="16" t="n">
        <f aca="false">H2922*I2922</f>
        <v>22.76</v>
      </c>
      <c r="L2922" s="16" t="n">
        <f aca="false">H2922*J2922</f>
        <v>7</v>
      </c>
      <c r="M2922" s="16" t="n">
        <f aca="false">K2922-L2922</f>
        <v>15.76</v>
      </c>
      <c r="N2922" s="17" t="n">
        <f aca="false">IFERROR(M2922/K2922,0)</f>
        <v>0.692442882249561</v>
      </c>
    </row>
    <row r="2923" customFormat="false" ht="15" hidden="false" customHeight="false" outlineLevel="0" collapsed="false">
      <c r="A2923" s="15" t="n">
        <v>46144</v>
      </c>
      <c r="B2923" s="14" t="s">
        <v>81</v>
      </c>
      <c r="C2923" s="14" t="s">
        <v>82</v>
      </c>
      <c r="D2923" s="14" t="s">
        <v>83</v>
      </c>
      <c r="E2923" s="14" t="s">
        <v>45</v>
      </c>
      <c r="F2923" s="14" t="s">
        <v>72</v>
      </c>
      <c r="G2923" s="14" t="s">
        <v>73</v>
      </c>
      <c r="H2923" s="0" t="n">
        <v>5</v>
      </c>
      <c r="I2923" s="16" t="n">
        <v>48.79</v>
      </c>
      <c r="J2923" s="16" t="n">
        <v>21</v>
      </c>
      <c r="K2923" s="16" t="n">
        <f aca="false">H2923*I2923</f>
        <v>243.95</v>
      </c>
      <c r="L2923" s="16" t="n">
        <f aca="false">H2923*J2923</f>
        <v>105</v>
      </c>
      <c r="M2923" s="16" t="n">
        <f aca="false">K2923-L2923</f>
        <v>138.95</v>
      </c>
      <c r="N2923" s="17" t="n">
        <f aca="false">IFERROR(M2923/K2923,0)</f>
        <v>0.569583931133429</v>
      </c>
    </row>
    <row r="2924" customFormat="false" ht="15" hidden="false" customHeight="false" outlineLevel="0" collapsed="false">
      <c r="A2924" s="15" t="n">
        <v>46144</v>
      </c>
      <c r="B2924" s="14" t="s">
        <v>81</v>
      </c>
      <c r="C2924" s="14" t="s">
        <v>82</v>
      </c>
      <c r="D2924" s="14" t="s">
        <v>83</v>
      </c>
      <c r="E2924" s="14" t="s">
        <v>45</v>
      </c>
      <c r="F2924" s="14" t="s">
        <v>72</v>
      </c>
      <c r="G2924" s="14" t="s">
        <v>73</v>
      </c>
      <c r="H2924" s="0" t="n">
        <v>8</v>
      </c>
      <c r="I2924" s="16" t="n">
        <v>47.91</v>
      </c>
      <c r="J2924" s="16" t="n">
        <v>21</v>
      </c>
      <c r="K2924" s="16" t="n">
        <f aca="false">H2924*I2924</f>
        <v>383.28</v>
      </c>
      <c r="L2924" s="16" t="n">
        <f aca="false">H2924*J2924</f>
        <v>168</v>
      </c>
      <c r="M2924" s="16" t="n">
        <f aca="false">K2924-L2924</f>
        <v>215.28</v>
      </c>
      <c r="N2924" s="17" t="n">
        <f aca="false">IFERROR(M2924/K2924,0)</f>
        <v>0.561678146524734</v>
      </c>
    </row>
    <row r="2925" customFormat="false" ht="15" hidden="false" customHeight="false" outlineLevel="0" collapsed="false">
      <c r="A2925" s="15" t="n">
        <v>46144</v>
      </c>
      <c r="B2925" s="14" t="s">
        <v>81</v>
      </c>
      <c r="C2925" s="14" t="s">
        <v>82</v>
      </c>
      <c r="D2925" s="14" t="s">
        <v>83</v>
      </c>
      <c r="E2925" s="14" t="s">
        <v>76</v>
      </c>
      <c r="F2925" s="14" t="s">
        <v>102</v>
      </c>
      <c r="G2925" s="14" t="s">
        <v>103</v>
      </c>
      <c r="H2925" s="0" t="n">
        <v>1</v>
      </c>
      <c r="I2925" s="16" t="n">
        <v>22.35</v>
      </c>
      <c r="J2925" s="16" t="n">
        <v>8.5</v>
      </c>
      <c r="K2925" s="16" t="n">
        <f aca="false">H2925*I2925</f>
        <v>22.35</v>
      </c>
      <c r="L2925" s="16" t="n">
        <f aca="false">H2925*J2925</f>
        <v>8.5</v>
      </c>
      <c r="M2925" s="16" t="n">
        <f aca="false">K2925-L2925</f>
        <v>13.85</v>
      </c>
      <c r="N2925" s="17" t="n">
        <f aca="false">IFERROR(M2925/K2925,0)</f>
        <v>0.619686800894855</v>
      </c>
    </row>
    <row r="2926" customFormat="false" ht="15" hidden="false" customHeight="false" outlineLevel="0" collapsed="false">
      <c r="A2926" s="15" t="n">
        <v>46144</v>
      </c>
      <c r="B2926" s="14" t="s">
        <v>81</v>
      </c>
      <c r="C2926" s="14" t="s">
        <v>82</v>
      </c>
      <c r="D2926" s="14" t="s">
        <v>83</v>
      </c>
      <c r="E2926" s="14" t="s">
        <v>53</v>
      </c>
      <c r="F2926" s="14" t="s">
        <v>54</v>
      </c>
      <c r="G2926" s="14" t="s">
        <v>55</v>
      </c>
      <c r="H2926" s="0" t="n">
        <v>1</v>
      </c>
      <c r="I2926" s="16" t="n">
        <v>51.16</v>
      </c>
      <c r="J2926" s="16" t="n">
        <v>22</v>
      </c>
      <c r="K2926" s="16" t="n">
        <f aca="false">H2926*I2926</f>
        <v>51.16</v>
      </c>
      <c r="L2926" s="16" t="n">
        <f aca="false">H2926*J2926</f>
        <v>22</v>
      </c>
      <c r="M2926" s="16" t="n">
        <f aca="false">K2926-L2926</f>
        <v>29.16</v>
      </c>
      <c r="N2926" s="17" t="n">
        <f aca="false">IFERROR(M2926/K2926,0)</f>
        <v>0.569976544175137</v>
      </c>
    </row>
    <row r="2927" customFormat="false" ht="15" hidden="false" customHeight="false" outlineLevel="0" collapsed="false">
      <c r="A2927" s="15" t="n">
        <v>46144</v>
      </c>
      <c r="B2927" s="14" t="s">
        <v>88</v>
      </c>
      <c r="C2927" s="14" t="s">
        <v>89</v>
      </c>
      <c r="D2927" s="14" t="s">
        <v>44</v>
      </c>
      <c r="E2927" s="14" t="s">
        <v>53</v>
      </c>
      <c r="F2927" s="14" t="s">
        <v>84</v>
      </c>
      <c r="G2927" s="14" t="s">
        <v>85</v>
      </c>
      <c r="H2927" s="0" t="n">
        <v>2</v>
      </c>
      <c r="I2927" s="16" t="n">
        <v>23.12</v>
      </c>
      <c r="J2927" s="16" t="n">
        <v>9</v>
      </c>
      <c r="K2927" s="16" t="n">
        <f aca="false">H2927*I2927</f>
        <v>46.24</v>
      </c>
      <c r="L2927" s="16" t="n">
        <f aca="false">H2927*J2927</f>
        <v>18</v>
      </c>
      <c r="M2927" s="16" t="n">
        <f aca="false">K2927-L2927</f>
        <v>28.24</v>
      </c>
      <c r="N2927" s="17" t="n">
        <f aca="false">IFERROR(M2927/K2927,0)</f>
        <v>0.610726643598616</v>
      </c>
    </row>
    <row r="2928" customFormat="false" ht="15" hidden="false" customHeight="false" outlineLevel="0" collapsed="false">
      <c r="A2928" s="15" t="n">
        <v>46144</v>
      </c>
      <c r="B2928" s="14" t="s">
        <v>88</v>
      </c>
      <c r="C2928" s="14" t="s">
        <v>89</v>
      </c>
      <c r="D2928" s="14" t="s">
        <v>44</v>
      </c>
      <c r="E2928" s="14" t="s">
        <v>53</v>
      </c>
      <c r="F2928" s="14" t="s">
        <v>92</v>
      </c>
      <c r="G2928" s="14" t="s">
        <v>93</v>
      </c>
      <c r="H2928" s="0" t="n">
        <v>10</v>
      </c>
      <c r="I2928" s="16" t="n">
        <v>116.33</v>
      </c>
      <c r="J2928" s="16" t="n">
        <v>52</v>
      </c>
      <c r="K2928" s="16" t="n">
        <f aca="false">H2928*I2928</f>
        <v>1163.3</v>
      </c>
      <c r="L2928" s="16" t="n">
        <f aca="false">H2928*J2928</f>
        <v>520</v>
      </c>
      <c r="M2928" s="16" t="n">
        <f aca="false">K2928-L2928</f>
        <v>643.3</v>
      </c>
      <c r="N2928" s="17" t="n">
        <f aca="false">IFERROR(M2928/K2928,0)</f>
        <v>0.552995787844924</v>
      </c>
    </row>
    <row r="2929" customFormat="false" ht="15" hidden="false" customHeight="false" outlineLevel="0" collapsed="false">
      <c r="A2929" s="15" t="n">
        <v>46144</v>
      </c>
      <c r="B2929" s="14" t="s">
        <v>88</v>
      </c>
      <c r="C2929" s="14" t="s">
        <v>89</v>
      </c>
      <c r="D2929" s="14" t="s">
        <v>44</v>
      </c>
      <c r="E2929" s="14" t="s">
        <v>53</v>
      </c>
      <c r="F2929" s="14" t="s">
        <v>84</v>
      </c>
      <c r="G2929" s="14" t="s">
        <v>85</v>
      </c>
      <c r="H2929" s="0" t="n">
        <v>5</v>
      </c>
      <c r="I2929" s="16" t="n">
        <v>23.35</v>
      </c>
      <c r="J2929" s="16" t="n">
        <v>9</v>
      </c>
      <c r="K2929" s="16" t="n">
        <f aca="false">H2929*I2929</f>
        <v>116.75</v>
      </c>
      <c r="L2929" s="16" t="n">
        <f aca="false">H2929*J2929</f>
        <v>45</v>
      </c>
      <c r="M2929" s="16" t="n">
        <f aca="false">K2929-L2929</f>
        <v>71.75</v>
      </c>
      <c r="N2929" s="17" t="n">
        <f aca="false">IFERROR(M2929/K2929,0)</f>
        <v>0.614561027837259</v>
      </c>
    </row>
    <row r="2930" customFormat="false" ht="15" hidden="false" customHeight="false" outlineLevel="0" collapsed="false">
      <c r="A2930" s="15" t="n">
        <v>46145</v>
      </c>
      <c r="B2930" s="14" t="s">
        <v>42</v>
      </c>
      <c r="C2930" s="14" t="s">
        <v>43</v>
      </c>
      <c r="D2930" s="14" t="s">
        <v>44</v>
      </c>
      <c r="E2930" s="14" t="s">
        <v>53</v>
      </c>
      <c r="F2930" s="14" t="s">
        <v>54</v>
      </c>
      <c r="G2930" s="14" t="s">
        <v>55</v>
      </c>
      <c r="H2930" s="0" t="n">
        <v>12</v>
      </c>
      <c r="I2930" s="16" t="n">
        <v>54.47</v>
      </c>
      <c r="J2930" s="16" t="n">
        <v>22</v>
      </c>
      <c r="K2930" s="16" t="n">
        <f aca="false">H2930*I2930</f>
        <v>653.64</v>
      </c>
      <c r="L2930" s="16" t="n">
        <f aca="false">H2930*J2930</f>
        <v>264</v>
      </c>
      <c r="M2930" s="16" t="n">
        <f aca="false">K2930-L2930</f>
        <v>389.64</v>
      </c>
      <c r="N2930" s="17" t="n">
        <f aca="false">IFERROR(M2930/K2930,0)</f>
        <v>0.596107949329906</v>
      </c>
    </row>
    <row r="2931" customFormat="false" ht="15" hidden="false" customHeight="false" outlineLevel="0" collapsed="false">
      <c r="A2931" s="15" t="n">
        <v>46145</v>
      </c>
      <c r="B2931" s="14" t="s">
        <v>42</v>
      </c>
      <c r="C2931" s="14" t="s">
        <v>43</v>
      </c>
      <c r="D2931" s="14" t="s">
        <v>44</v>
      </c>
      <c r="E2931" s="14" t="s">
        <v>45</v>
      </c>
      <c r="F2931" s="14" t="s">
        <v>62</v>
      </c>
      <c r="G2931" s="14" t="s">
        <v>63</v>
      </c>
      <c r="H2931" s="0" t="n">
        <v>2</v>
      </c>
      <c r="I2931" s="16" t="n">
        <v>17.28</v>
      </c>
      <c r="J2931" s="16" t="n">
        <v>6.5</v>
      </c>
      <c r="K2931" s="16" t="n">
        <f aca="false">H2931*I2931</f>
        <v>34.56</v>
      </c>
      <c r="L2931" s="16" t="n">
        <f aca="false">H2931*J2931</f>
        <v>13</v>
      </c>
      <c r="M2931" s="16" t="n">
        <f aca="false">K2931-L2931</f>
        <v>21.56</v>
      </c>
      <c r="N2931" s="17" t="n">
        <f aca="false">IFERROR(M2931/K2931,0)</f>
        <v>0.623842592592593</v>
      </c>
    </row>
    <row r="2932" customFormat="false" ht="15" hidden="false" customHeight="false" outlineLevel="0" collapsed="false">
      <c r="A2932" s="15" t="n">
        <v>46145</v>
      </c>
      <c r="B2932" s="14" t="s">
        <v>42</v>
      </c>
      <c r="C2932" s="14" t="s">
        <v>43</v>
      </c>
      <c r="D2932" s="14" t="s">
        <v>44</v>
      </c>
      <c r="E2932" s="14" t="s">
        <v>76</v>
      </c>
      <c r="F2932" s="14" t="s">
        <v>100</v>
      </c>
      <c r="G2932" s="14" t="s">
        <v>101</v>
      </c>
      <c r="H2932" s="0" t="n">
        <v>11</v>
      </c>
      <c r="I2932" s="16" t="n">
        <v>15.88</v>
      </c>
      <c r="J2932" s="16" t="n">
        <v>5.5</v>
      </c>
      <c r="K2932" s="16" t="n">
        <f aca="false">H2932*I2932</f>
        <v>174.68</v>
      </c>
      <c r="L2932" s="16" t="n">
        <f aca="false">H2932*J2932</f>
        <v>60.5</v>
      </c>
      <c r="M2932" s="16" t="n">
        <f aca="false">K2932-L2932</f>
        <v>114.18</v>
      </c>
      <c r="N2932" s="17" t="n">
        <f aca="false">IFERROR(M2932/K2932,0)</f>
        <v>0.653652392947103</v>
      </c>
    </row>
    <row r="2933" customFormat="false" ht="15" hidden="false" customHeight="false" outlineLevel="0" collapsed="false">
      <c r="A2933" s="15" t="n">
        <v>46145</v>
      </c>
      <c r="B2933" s="14" t="s">
        <v>42</v>
      </c>
      <c r="C2933" s="14" t="s">
        <v>43</v>
      </c>
      <c r="D2933" s="14" t="s">
        <v>44</v>
      </c>
      <c r="E2933" s="14" t="s">
        <v>76</v>
      </c>
      <c r="F2933" s="14" t="s">
        <v>102</v>
      </c>
      <c r="G2933" s="14" t="s">
        <v>103</v>
      </c>
      <c r="H2933" s="0" t="n">
        <v>2</v>
      </c>
      <c r="I2933" s="16" t="n">
        <v>23.58</v>
      </c>
      <c r="J2933" s="16" t="n">
        <v>8.5</v>
      </c>
      <c r="K2933" s="16" t="n">
        <f aca="false">H2933*I2933</f>
        <v>47.16</v>
      </c>
      <c r="L2933" s="16" t="n">
        <f aca="false">H2933*J2933</f>
        <v>17</v>
      </c>
      <c r="M2933" s="16" t="n">
        <f aca="false">K2933-L2933</f>
        <v>30.16</v>
      </c>
      <c r="N2933" s="17" t="n">
        <f aca="false">IFERROR(M2933/K2933,0)</f>
        <v>0.639525021204411</v>
      </c>
    </row>
    <row r="2934" customFormat="false" ht="15" hidden="false" customHeight="false" outlineLevel="0" collapsed="false">
      <c r="A2934" s="15" t="n">
        <v>46145</v>
      </c>
      <c r="B2934" s="14" t="s">
        <v>42</v>
      </c>
      <c r="C2934" s="14" t="s">
        <v>43</v>
      </c>
      <c r="D2934" s="14" t="s">
        <v>44</v>
      </c>
      <c r="E2934" s="14" t="s">
        <v>76</v>
      </c>
      <c r="F2934" s="14" t="s">
        <v>79</v>
      </c>
      <c r="G2934" s="14" t="s">
        <v>80</v>
      </c>
      <c r="H2934" s="0" t="n">
        <v>14</v>
      </c>
      <c r="I2934" s="16" t="n">
        <v>27.68</v>
      </c>
      <c r="J2934" s="16" t="n">
        <v>11</v>
      </c>
      <c r="K2934" s="16" t="n">
        <f aca="false">H2934*I2934</f>
        <v>387.52</v>
      </c>
      <c r="L2934" s="16" t="n">
        <f aca="false">H2934*J2934</f>
        <v>154</v>
      </c>
      <c r="M2934" s="16" t="n">
        <f aca="false">K2934-L2934</f>
        <v>233.52</v>
      </c>
      <c r="N2934" s="17" t="n">
        <f aca="false">IFERROR(M2934/K2934,0)</f>
        <v>0.602601156069364</v>
      </c>
    </row>
    <row r="2935" customFormat="false" ht="15" hidden="false" customHeight="false" outlineLevel="0" collapsed="false">
      <c r="A2935" s="15" t="n">
        <v>46145</v>
      </c>
      <c r="B2935" s="14" t="s">
        <v>42</v>
      </c>
      <c r="C2935" s="14" t="s">
        <v>43</v>
      </c>
      <c r="D2935" s="14" t="s">
        <v>44</v>
      </c>
      <c r="E2935" s="14" t="s">
        <v>53</v>
      </c>
      <c r="F2935" s="14" t="s">
        <v>84</v>
      </c>
      <c r="G2935" s="14" t="s">
        <v>85</v>
      </c>
      <c r="H2935" s="0" t="n">
        <v>2</v>
      </c>
      <c r="I2935" s="16" t="n">
        <v>24.08</v>
      </c>
      <c r="J2935" s="16" t="n">
        <v>9</v>
      </c>
      <c r="K2935" s="16" t="n">
        <f aca="false">H2935*I2935</f>
        <v>48.16</v>
      </c>
      <c r="L2935" s="16" t="n">
        <f aca="false">H2935*J2935</f>
        <v>18</v>
      </c>
      <c r="M2935" s="16" t="n">
        <f aca="false">K2935-L2935</f>
        <v>30.16</v>
      </c>
      <c r="N2935" s="17" t="n">
        <f aca="false">IFERROR(M2935/K2935,0)</f>
        <v>0.62624584717608</v>
      </c>
    </row>
    <row r="2936" customFormat="false" ht="15" hidden="false" customHeight="false" outlineLevel="0" collapsed="false">
      <c r="A2936" s="15" t="n">
        <v>46145</v>
      </c>
      <c r="B2936" s="14" t="s">
        <v>50</v>
      </c>
      <c r="C2936" s="14" t="s">
        <v>51</v>
      </c>
      <c r="D2936" s="14" t="s">
        <v>52</v>
      </c>
      <c r="E2936" s="14" t="s">
        <v>56</v>
      </c>
      <c r="F2936" s="14" t="s">
        <v>86</v>
      </c>
      <c r="G2936" s="14" t="s">
        <v>87</v>
      </c>
      <c r="H2936" s="0" t="n">
        <v>4</v>
      </c>
      <c r="I2936" s="16" t="n">
        <v>13.92</v>
      </c>
      <c r="J2936" s="16" t="n">
        <v>5</v>
      </c>
      <c r="K2936" s="16" t="n">
        <f aca="false">H2936*I2936</f>
        <v>55.68</v>
      </c>
      <c r="L2936" s="16" t="n">
        <f aca="false">H2936*J2936</f>
        <v>20</v>
      </c>
      <c r="M2936" s="16" t="n">
        <f aca="false">K2936-L2936</f>
        <v>35.68</v>
      </c>
      <c r="N2936" s="17" t="n">
        <f aca="false">IFERROR(M2936/K2936,0)</f>
        <v>0.640804597701149</v>
      </c>
    </row>
    <row r="2937" customFormat="false" ht="15" hidden="false" customHeight="false" outlineLevel="0" collapsed="false">
      <c r="A2937" s="15" t="n">
        <v>46145</v>
      </c>
      <c r="B2937" s="14" t="s">
        <v>50</v>
      </c>
      <c r="C2937" s="14" t="s">
        <v>51</v>
      </c>
      <c r="D2937" s="14" t="s">
        <v>52</v>
      </c>
      <c r="E2937" s="14" t="s">
        <v>76</v>
      </c>
      <c r="F2937" s="14" t="s">
        <v>77</v>
      </c>
      <c r="G2937" s="14" t="s">
        <v>78</v>
      </c>
      <c r="H2937" s="0" t="n">
        <v>3</v>
      </c>
      <c r="I2937" s="16" t="n">
        <v>40.05</v>
      </c>
      <c r="J2937" s="16" t="n">
        <v>15</v>
      </c>
      <c r="K2937" s="16" t="n">
        <f aca="false">H2937*I2937</f>
        <v>120.15</v>
      </c>
      <c r="L2937" s="16" t="n">
        <f aca="false">H2937*J2937</f>
        <v>45</v>
      </c>
      <c r="M2937" s="16" t="n">
        <f aca="false">K2937-L2937</f>
        <v>75.15</v>
      </c>
      <c r="N2937" s="17" t="n">
        <f aca="false">IFERROR(M2937/K2937,0)</f>
        <v>0.625468164794008</v>
      </c>
    </row>
    <row r="2938" customFormat="false" ht="15" hidden="false" customHeight="false" outlineLevel="0" collapsed="false">
      <c r="A2938" s="15" t="n">
        <v>46145</v>
      </c>
      <c r="B2938" s="14" t="s">
        <v>50</v>
      </c>
      <c r="C2938" s="14" t="s">
        <v>51</v>
      </c>
      <c r="D2938" s="14" t="s">
        <v>52</v>
      </c>
      <c r="E2938" s="14" t="s">
        <v>45</v>
      </c>
      <c r="F2938" s="14" t="s">
        <v>48</v>
      </c>
      <c r="G2938" s="14" t="s">
        <v>49</v>
      </c>
      <c r="H2938" s="0" t="n">
        <v>12</v>
      </c>
      <c r="I2938" s="16" t="n">
        <v>65.09</v>
      </c>
      <c r="J2938" s="16" t="n">
        <v>27.5</v>
      </c>
      <c r="K2938" s="16" t="n">
        <f aca="false">H2938*I2938</f>
        <v>781.08</v>
      </c>
      <c r="L2938" s="16" t="n">
        <f aca="false">H2938*J2938</f>
        <v>330</v>
      </c>
      <c r="M2938" s="16" t="n">
        <f aca="false">K2938-L2938</f>
        <v>451.08</v>
      </c>
      <c r="N2938" s="17" t="n">
        <f aca="false">IFERROR(M2938/K2938,0)</f>
        <v>0.577508065755108</v>
      </c>
    </row>
    <row r="2939" customFormat="false" ht="15" hidden="false" customHeight="false" outlineLevel="0" collapsed="false">
      <c r="A2939" s="15" t="n">
        <v>46145</v>
      </c>
      <c r="B2939" s="14" t="s">
        <v>50</v>
      </c>
      <c r="C2939" s="14" t="s">
        <v>51</v>
      </c>
      <c r="D2939" s="14" t="s">
        <v>52</v>
      </c>
      <c r="E2939" s="14" t="s">
        <v>64</v>
      </c>
      <c r="F2939" s="14" t="s">
        <v>90</v>
      </c>
      <c r="G2939" s="14" t="s">
        <v>91</v>
      </c>
      <c r="H2939" s="0" t="n">
        <v>4</v>
      </c>
      <c r="I2939" s="16" t="n">
        <v>11.86</v>
      </c>
      <c r="J2939" s="16" t="n">
        <v>3.5</v>
      </c>
      <c r="K2939" s="16" t="n">
        <f aca="false">H2939*I2939</f>
        <v>47.44</v>
      </c>
      <c r="L2939" s="16" t="n">
        <f aca="false">H2939*J2939</f>
        <v>14</v>
      </c>
      <c r="M2939" s="16" t="n">
        <f aca="false">K2939-L2939</f>
        <v>33.44</v>
      </c>
      <c r="N2939" s="17" t="n">
        <f aca="false">IFERROR(M2939/K2939,0)</f>
        <v>0.704890387858347</v>
      </c>
    </row>
    <row r="2940" customFormat="false" ht="15" hidden="false" customHeight="false" outlineLevel="0" collapsed="false">
      <c r="A2940" s="15" t="n">
        <v>46145</v>
      </c>
      <c r="B2940" s="14" t="s">
        <v>50</v>
      </c>
      <c r="C2940" s="14" t="s">
        <v>51</v>
      </c>
      <c r="D2940" s="14" t="s">
        <v>52</v>
      </c>
      <c r="E2940" s="14" t="s">
        <v>45</v>
      </c>
      <c r="F2940" s="14" t="s">
        <v>46</v>
      </c>
      <c r="G2940" s="14" t="s">
        <v>47</v>
      </c>
      <c r="H2940" s="0" t="n">
        <v>12</v>
      </c>
      <c r="I2940" s="16" t="n">
        <v>43.09</v>
      </c>
      <c r="J2940" s="16" t="n">
        <v>18</v>
      </c>
      <c r="K2940" s="16" t="n">
        <f aca="false">H2940*I2940</f>
        <v>517.08</v>
      </c>
      <c r="L2940" s="16" t="n">
        <f aca="false">H2940*J2940</f>
        <v>216</v>
      </c>
      <c r="M2940" s="16" t="n">
        <f aca="false">K2940-L2940</f>
        <v>301.08</v>
      </c>
      <c r="N2940" s="17" t="n">
        <f aca="false">IFERROR(M2940/K2940,0)</f>
        <v>0.582269668136459</v>
      </c>
    </row>
    <row r="2941" customFormat="false" ht="15" hidden="false" customHeight="false" outlineLevel="0" collapsed="false">
      <c r="A2941" s="15" t="n">
        <v>46145</v>
      </c>
      <c r="B2941" s="14" t="s">
        <v>50</v>
      </c>
      <c r="C2941" s="14" t="s">
        <v>51</v>
      </c>
      <c r="D2941" s="14" t="s">
        <v>52</v>
      </c>
      <c r="E2941" s="14" t="s">
        <v>76</v>
      </c>
      <c r="F2941" s="14" t="s">
        <v>77</v>
      </c>
      <c r="G2941" s="14" t="s">
        <v>78</v>
      </c>
      <c r="H2941" s="0" t="n">
        <v>9</v>
      </c>
      <c r="I2941" s="16" t="n">
        <v>40.85</v>
      </c>
      <c r="J2941" s="16" t="n">
        <v>15</v>
      </c>
      <c r="K2941" s="16" t="n">
        <f aca="false">H2941*I2941</f>
        <v>367.65</v>
      </c>
      <c r="L2941" s="16" t="n">
        <f aca="false">H2941*J2941</f>
        <v>135</v>
      </c>
      <c r="M2941" s="16" t="n">
        <f aca="false">K2941-L2941</f>
        <v>232.65</v>
      </c>
      <c r="N2941" s="17" t="n">
        <f aca="false">IFERROR(M2941/K2941,0)</f>
        <v>0.632802937576499</v>
      </c>
    </row>
    <row r="2942" customFormat="false" ht="15" hidden="false" customHeight="false" outlineLevel="0" collapsed="false">
      <c r="A2942" s="15" t="n">
        <v>46145</v>
      </c>
      <c r="B2942" s="14" t="s">
        <v>59</v>
      </c>
      <c r="C2942" s="14" t="s">
        <v>60</v>
      </c>
      <c r="D2942" s="14" t="s">
        <v>61</v>
      </c>
      <c r="E2942" s="14" t="s">
        <v>56</v>
      </c>
      <c r="F2942" s="14" t="s">
        <v>98</v>
      </c>
      <c r="G2942" s="14" t="s">
        <v>99</v>
      </c>
      <c r="H2942" s="0" t="n">
        <v>9</v>
      </c>
      <c r="I2942" s="16" t="n">
        <v>21.11</v>
      </c>
      <c r="J2942" s="16" t="n">
        <v>8</v>
      </c>
      <c r="K2942" s="16" t="n">
        <f aca="false">H2942*I2942</f>
        <v>189.99</v>
      </c>
      <c r="L2942" s="16" t="n">
        <f aca="false">H2942*J2942</f>
        <v>72</v>
      </c>
      <c r="M2942" s="16" t="n">
        <f aca="false">K2942-L2942</f>
        <v>117.99</v>
      </c>
      <c r="N2942" s="17" t="n">
        <f aca="false">IFERROR(M2942/K2942,0)</f>
        <v>0.621032685930839</v>
      </c>
    </row>
    <row r="2943" customFormat="false" ht="15" hidden="false" customHeight="false" outlineLevel="0" collapsed="false">
      <c r="A2943" s="15" t="n">
        <v>46145</v>
      </c>
      <c r="B2943" s="14" t="s">
        <v>59</v>
      </c>
      <c r="C2943" s="14" t="s">
        <v>60</v>
      </c>
      <c r="D2943" s="14" t="s">
        <v>61</v>
      </c>
      <c r="E2943" s="14" t="s">
        <v>56</v>
      </c>
      <c r="F2943" s="14" t="s">
        <v>86</v>
      </c>
      <c r="G2943" s="14" t="s">
        <v>87</v>
      </c>
      <c r="H2943" s="0" t="n">
        <v>3</v>
      </c>
      <c r="I2943" s="16" t="n">
        <v>14.06</v>
      </c>
      <c r="J2943" s="16" t="n">
        <v>5</v>
      </c>
      <c r="K2943" s="16" t="n">
        <f aca="false">H2943*I2943</f>
        <v>42.18</v>
      </c>
      <c r="L2943" s="16" t="n">
        <f aca="false">H2943*J2943</f>
        <v>15</v>
      </c>
      <c r="M2943" s="16" t="n">
        <f aca="false">K2943-L2943</f>
        <v>27.18</v>
      </c>
      <c r="N2943" s="17" t="n">
        <f aca="false">IFERROR(M2943/K2943,0)</f>
        <v>0.644381223328592</v>
      </c>
    </row>
    <row r="2944" customFormat="false" ht="15" hidden="false" customHeight="false" outlineLevel="0" collapsed="false">
      <c r="A2944" s="15" t="n">
        <v>46145</v>
      </c>
      <c r="B2944" s="14" t="s">
        <v>59</v>
      </c>
      <c r="C2944" s="14" t="s">
        <v>60</v>
      </c>
      <c r="D2944" s="14" t="s">
        <v>61</v>
      </c>
      <c r="E2944" s="14" t="s">
        <v>53</v>
      </c>
      <c r="F2944" s="14" t="s">
        <v>54</v>
      </c>
      <c r="G2944" s="14" t="s">
        <v>55</v>
      </c>
      <c r="H2944" s="0" t="n">
        <v>6</v>
      </c>
      <c r="I2944" s="16" t="n">
        <v>53.5</v>
      </c>
      <c r="J2944" s="16" t="n">
        <v>22</v>
      </c>
      <c r="K2944" s="16" t="n">
        <f aca="false">H2944*I2944</f>
        <v>321</v>
      </c>
      <c r="L2944" s="16" t="n">
        <f aca="false">H2944*J2944</f>
        <v>132</v>
      </c>
      <c r="M2944" s="16" t="n">
        <f aca="false">K2944-L2944</f>
        <v>189</v>
      </c>
      <c r="N2944" s="17" t="n">
        <f aca="false">IFERROR(M2944/K2944,0)</f>
        <v>0.588785046728972</v>
      </c>
    </row>
    <row r="2945" customFormat="false" ht="15" hidden="false" customHeight="false" outlineLevel="0" collapsed="false">
      <c r="A2945" s="15" t="n">
        <v>46145</v>
      </c>
      <c r="B2945" s="14" t="s">
        <v>59</v>
      </c>
      <c r="C2945" s="14" t="s">
        <v>60</v>
      </c>
      <c r="D2945" s="14" t="s">
        <v>61</v>
      </c>
      <c r="E2945" s="14" t="s">
        <v>45</v>
      </c>
      <c r="F2945" s="14" t="s">
        <v>72</v>
      </c>
      <c r="G2945" s="14" t="s">
        <v>73</v>
      </c>
      <c r="H2945" s="0" t="n">
        <v>6</v>
      </c>
      <c r="I2945" s="16" t="n">
        <v>51.53</v>
      </c>
      <c r="J2945" s="16" t="n">
        <v>21</v>
      </c>
      <c r="K2945" s="16" t="n">
        <f aca="false">H2945*I2945</f>
        <v>309.18</v>
      </c>
      <c r="L2945" s="16" t="n">
        <f aca="false">H2945*J2945</f>
        <v>126</v>
      </c>
      <c r="M2945" s="16" t="n">
        <f aca="false">K2945-L2945</f>
        <v>183.18</v>
      </c>
      <c r="N2945" s="17" t="n">
        <f aca="false">IFERROR(M2945/K2945,0)</f>
        <v>0.592470405588977</v>
      </c>
    </row>
    <row r="2946" customFormat="false" ht="15" hidden="false" customHeight="false" outlineLevel="0" collapsed="false">
      <c r="A2946" s="15" t="n">
        <v>46145</v>
      </c>
      <c r="B2946" s="14" t="s">
        <v>69</v>
      </c>
      <c r="C2946" s="14" t="s">
        <v>70</v>
      </c>
      <c r="D2946" s="14" t="s">
        <v>71</v>
      </c>
      <c r="E2946" s="14" t="s">
        <v>53</v>
      </c>
      <c r="F2946" s="14" t="s">
        <v>54</v>
      </c>
      <c r="G2946" s="14" t="s">
        <v>55</v>
      </c>
      <c r="H2946" s="0" t="n">
        <v>7</v>
      </c>
      <c r="I2946" s="16" t="n">
        <v>51.41</v>
      </c>
      <c r="J2946" s="16" t="n">
        <v>22</v>
      </c>
      <c r="K2946" s="16" t="n">
        <f aca="false">H2946*I2946</f>
        <v>359.87</v>
      </c>
      <c r="L2946" s="16" t="n">
        <f aca="false">H2946*J2946</f>
        <v>154</v>
      </c>
      <c r="M2946" s="16" t="n">
        <f aca="false">K2946-L2946</f>
        <v>205.87</v>
      </c>
      <c r="N2946" s="17" t="n">
        <f aca="false">IFERROR(M2946/K2946,0)</f>
        <v>0.572067691110679</v>
      </c>
    </row>
    <row r="2947" customFormat="false" ht="15" hidden="false" customHeight="false" outlineLevel="0" collapsed="false">
      <c r="A2947" s="15" t="n">
        <v>46145</v>
      </c>
      <c r="B2947" s="14" t="s">
        <v>69</v>
      </c>
      <c r="C2947" s="14" t="s">
        <v>70</v>
      </c>
      <c r="D2947" s="14" t="s">
        <v>71</v>
      </c>
      <c r="E2947" s="14" t="s">
        <v>76</v>
      </c>
      <c r="F2947" s="14" t="s">
        <v>102</v>
      </c>
      <c r="G2947" s="14" t="s">
        <v>103</v>
      </c>
      <c r="H2947" s="0" t="n">
        <v>9</v>
      </c>
      <c r="I2947" s="16" t="n">
        <v>23.36</v>
      </c>
      <c r="J2947" s="16" t="n">
        <v>8.5</v>
      </c>
      <c r="K2947" s="16" t="n">
        <f aca="false">H2947*I2947</f>
        <v>210.24</v>
      </c>
      <c r="L2947" s="16" t="n">
        <f aca="false">H2947*J2947</f>
        <v>76.5</v>
      </c>
      <c r="M2947" s="16" t="n">
        <f aca="false">K2947-L2947</f>
        <v>133.74</v>
      </c>
      <c r="N2947" s="17" t="n">
        <f aca="false">IFERROR(M2947/K2947,0)</f>
        <v>0.636130136986301</v>
      </c>
    </row>
    <row r="2948" customFormat="false" ht="15" hidden="false" customHeight="false" outlineLevel="0" collapsed="false">
      <c r="A2948" s="15" t="n">
        <v>46145</v>
      </c>
      <c r="B2948" s="14" t="s">
        <v>81</v>
      </c>
      <c r="C2948" s="14" t="s">
        <v>82</v>
      </c>
      <c r="D2948" s="14" t="s">
        <v>83</v>
      </c>
      <c r="E2948" s="14" t="s">
        <v>56</v>
      </c>
      <c r="F2948" s="14" t="s">
        <v>67</v>
      </c>
      <c r="G2948" s="14" t="s">
        <v>68</v>
      </c>
      <c r="H2948" s="0" t="n">
        <v>3</v>
      </c>
      <c r="I2948" s="16" t="n">
        <v>35.96</v>
      </c>
      <c r="J2948" s="16" t="n">
        <v>15</v>
      </c>
      <c r="K2948" s="16" t="n">
        <f aca="false">H2948*I2948</f>
        <v>107.88</v>
      </c>
      <c r="L2948" s="16" t="n">
        <f aca="false">H2948*J2948</f>
        <v>45</v>
      </c>
      <c r="M2948" s="16" t="n">
        <f aca="false">K2948-L2948</f>
        <v>62.88</v>
      </c>
      <c r="N2948" s="17" t="n">
        <f aca="false">IFERROR(M2948/K2948,0)</f>
        <v>0.582869855394883</v>
      </c>
    </row>
    <row r="2949" customFormat="false" ht="15" hidden="false" customHeight="false" outlineLevel="0" collapsed="false">
      <c r="A2949" s="15" t="n">
        <v>46145</v>
      </c>
      <c r="B2949" s="14" t="s">
        <v>81</v>
      </c>
      <c r="C2949" s="14" t="s">
        <v>82</v>
      </c>
      <c r="D2949" s="14" t="s">
        <v>83</v>
      </c>
      <c r="E2949" s="14" t="s">
        <v>76</v>
      </c>
      <c r="F2949" s="14" t="s">
        <v>77</v>
      </c>
      <c r="G2949" s="14" t="s">
        <v>78</v>
      </c>
      <c r="H2949" s="0" t="n">
        <v>1</v>
      </c>
      <c r="I2949" s="16" t="n">
        <v>41.15</v>
      </c>
      <c r="J2949" s="16" t="n">
        <v>15</v>
      </c>
      <c r="K2949" s="16" t="n">
        <f aca="false">H2949*I2949</f>
        <v>41.15</v>
      </c>
      <c r="L2949" s="16" t="n">
        <f aca="false">H2949*J2949</f>
        <v>15</v>
      </c>
      <c r="M2949" s="16" t="n">
        <f aca="false">K2949-L2949</f>
        <v>26.15</v>
      </c>
      <c r="N2949" s="17" t="n">
        <f aca="false">IFERROR(M2949/K2949,0)</f>
        <v>0.635479951397327</v>
      </c>
    </row>
    <row r="2950" customFormat="false" ht="15" hidden="false" customHeight="false" outlineLevel="0" collapsed="false">
      <c r="A2950" s="15" t="n">
        <v>46145</v>
      </c>
      <c r="B2950" s="14" t="s">
        <v>81</v>
      </c>
      <c r="C2950" s="14" t="s">
        <v>82</v>
      </c>
      <c r="D2950" s="14" t="s">
        <v>83</v>
      </c>
      <c r="E2950" s="14" t="s">
        <v>64</v>
      </c>
      <c r="F2950" s="14" t="s">
        <v>65</v>
      </c>
      <c r="G2950" s="14" t="s">
        <v>66</v>
      </c>
      <c r="H2950" s="0" t="n">
        <v>4</v>
      </c>
      <c r="I2950" s="16" t="n">
        <v>78.87</v>
      </c>
      <c r="J2950" s="16" t="n">
        <v>34</v>
      </c>
      <c r="K2950" s="16" t="n">
        <f aca="false">H2950*I2950</f>
        <v>315.48</v>
      </c>
      <c r="L2950" s="16" t="n">
        <f aca="false">H2950*J2950</f>
        <v>136</v>
      </c>
      <c r="M2950" s="16" t="n">
        <f aca="false">K2950-L2950</f>
        <v>179.48</v>
      </c>
      <c r="N2950" s="17" t="n">
        <f aca="false">IFERROR(M2950/K2950,0)</f>
        <v>0.568910865981996</v>
      </c>
    </row>
    <row r="2951" customFormat="false" ht="15" hidden="false" customHeight="false" outlineLevel="0" collapsed="false">
      <c r="A2951" s="15" t="n">
        <v>46145</v>
      </c>
      <c r="B2951" s="14" t="s">
        <v>81</v>
      </c>
      <c r="C2951" s="14" t="s">
        <v>82</v>
      </c>
      <c r="D2951" s="14" t="s">
        <v>83</v>
      </c>
      <c r="E2951" s="14" t="s">
        <v>45</v>
      </c>
      <c r="F2951" s="14" t="s">
        <v>62</v>
      </c>
      <c r="G2951" s="14" t="s">
        <v>63</v>
      </c>
      <c r="H2951" s="0" t="n">
        <v>1</v>
      </c>
      <c r="I2951" s="16" t="n">
        <v>17.76</v>
      </c>
      <c r="J2951" s="16" t="n">
        <v>6.5</v>
      </c>
      <c r="K2951" s="16" t="n">
        <f aca="false">H2951*I2951</f>
        <v>17.76</v>
      </c>
      <c r="L2951" s="16" t="n">
        <f aca="false">H2951*J2951</f>
        <v>6.5</v>
      </c>
      <c r="M2951" s="16" t="n">
        <f aca="false">K2951-L2951</f>
        <v>11.26</v>
      </c>
      <c r="N2951" s="17" t="n">
        <f aca="false">IFERROR(M2951/K2951,0)</f>
        <v>0.634009009009009</v>
      </c>
    </row>
    <row r="2952" customFormat="false" ht="15" hidden="false" customHeight="false" outlineLevel="0" collapsed="false">
      <c r="A2952" s="15" t="n">
        <v>46145</v>
      </c>
      <c r="B2952" s="14" t="s">
        <v>81</v>
      </c>
      <c r="C2952" s="14" t="s">
        <v>82</v>
      </c>
      <c r="D2952" s="14" t="s">
        <v>83</v>
      </c>
      <c r="E2952" s="14" t="s">
        <v>53</v>
      </c>
      <c r="F2952" s="14" t="s">
        <v>54</v>
      </c>
      <c r="G2952" s="14" t="s">
        <v>55</v>
      </c>
      <c r="H2952" s="0" t="n">
        <v>8</v>
      </c>
      <c r="I2952" s="16" t="n">
        <v>52.02</v>
      </c>
      <c r="J2952" s="16" t="n">
        <v>22</v>
      </c>
      <c r="K2952" s="16" t="n">
        <f aca="false">H2952*I2952</f>
        <v>416.16</v>
      </c>
      <c r="L2952" s="16" t="n">
        <f aca="false">H2952*J2952</f>
        <v>176</v>
      </c>
      <c r="M2952" s="16" t="n">
        <f aca="false">K2952-L2952</f>
        <v>240.16</v>
      </c>
      <c r="N2952" s="17" t="n">
        <f aca="false">IFERROR(M2952/K2952,0)</f>
        <v>0.577085736255287</v>
      </c>
    </row>
    <row r="2953" customFormat="false" ht="15" hidden="false" customHeight="false" outlineLevel="0" collapsed="false">
      <c r="A2953" s="15" t="n">
        <v>46145</v>
      </c>
      <c r="B2953" s="14" t="s">
        <v>81</v>
      </c>
      <c r="C2953" s="14" t="s">
        <v>82</v>
      </c>
      <c r="D2953" s="14" t="s">
        <v>83</v>
      </c>
      <c r="E2953" s="14" t="s">
        <v>56</v>
      </c>
      <c r="F2953" s="14" t="s">
        <v>57</v>
      </c>
      <c r="G2953" s="14" t="s">
        <v>58</v>
      </c>
      <c r="H2953" s="0" t="n">
        <v>8</v>
      </c>
      <c r="I2953" s="16" t="n">
        <v>26.69</v>
      </c>
      <c r="J2953" s="16" t="n">
        <v>10</v>
      </c>
      <c r="K2953" s="16" t="n">
        <f aca="false">H2953*I2953</f>
        <v>213.52</v>
      </c>
      <c r="L2953" s="16" t="n">
        <f aca="false">H2953*J2953</f>
        <v>80</v>
      </c>
      <c r="M2953" s="16" t="n">
        <f aca="false">K2953-L2953</f>
        <v>133.52</v>
      </c>
      <c r="N2953" s="17" t="n">
        <f aca="false">IFERROR(M2953/K2953,0)</f>
        <v>0.625327838141626</v>
      </c>
    </row>
    <row r="2954" customFormat="false" ht="15" hidden="false" customHeight="false" outlineLevel="0" collapsed="false">
      <c r="A2954" s="15" t="n">
        <v>46145</v>
      </c>
      <c r="B2954" s="14" t="s">
        <v>88</v>
      </c>
      <c r="C2954" s="14" t="s">
        <v>89</v>
      </c>
      <c r="D2954" s="14" t="s">
        <v>44</v>
      </c>
      <c r="E2954" s="14" t="s">
        <v>56</v>
      </c>
      <c r="F2954" s="14" t="s">
        <v>57</v>
      </c>
      <c r="G2954" s="14" t="s">
        <v>58</v>
      </c>
      <c r="H2954" s="0" t="n">
        <v>10</v>
      </c>
      <c r="I2954" s="16" t="n">
        <v>26.98</v>
      </c>
      <c r="J2954" s="16" t="n">
        <v>10</v>
      </c>
      <c r="K2954" s="16" t="n">
        <f aca="false">H2954*I2954</f>
        <v>269.8</v>
      </c>
      <c r="L2954" s="16" t="n">
        <f aca="false">H2954*J2954</f>
        <v>100</v>
      </c>
      <c r="M2954" s="16" t="n">
        <f aca="false">K2954-L2954</f>
        <v>169.8</v>
      </c>
      <c r="N2954" s="17" t="n">
        <f aca="false">IFERROR(M2954/K2954,0)</f>
        <v>0.629355077835434</v>
      </c>
    </row>
    <row r="2955" customFormat="false" ht="15" hidden="false" customHeight="false" outlineLevel="0" collapsed="false">
      <c r="A2955" s="15" t="n">
        <v>46145</v>
      </c>
      <c r="B2955" s="14" t="s">
        <v>88</v>
      </c>
      <c r="C2955" s="14" t="s">
        <v>89</v>
      </c>
      <c r="D2955" s="14" t="s">
        <v>44</v>
      </c>
      <c r="E2955" s="14" t="s">
        <v>64</v>
      </c>
      <c r="F2955" s="14" t="s">
        <v>94</v>
      </c>
      <c r="G2955" s="14" t="s">
        <v>95</v>
      </c>
      <c r="H2955" s="0" t="n">
        <v>10</v>
      </c>
      <c r="I2955" s="16" t="n">
        <v>92.01</v>
      </c>
      <c r="J2955" s="16" t="n">
        <v>42</v>
      </c>
      <c r="K2955" s="16" t="n">
        <f aca="false">H2955*I2955</f>
        <v>920.1</v>
      </c>
      <c r="L2955" s="16" t="n">
        <f aca="false">H2955*J2955</f>
        <v>420</v>
      </c>
      <c r="M2955" s="16" t="n">
        <f aca="false">K2955-L2955</f>
        <v>500.1</v>
      </c>
      <c r="N2955" s="17" t="n">
        <f aca="false">IFERROR(M2955/K2955,0)</f>
        <v>0.54352787740463</v>
      </c>
    </row>
    <row r="2956" customFormat="false" ht="15" hidden="false" customHeight="false" outlineLevel="0" collapsed="false">
      <c r="A2956" s="15" t="n">
        <v>46145</v>
      </c>
      <c r="B2956" s="14" t="s">
        <v>88</v>
      </c>
      <c r="C2956" s="14" t="s">
        <v>89</v>
      </c>
      <c r="D2956" s="14" t="s">
        <v>44</v>
      </c>
      <c r="E2956" s="14" t="s">
        <v>76</v>
      </c>
      <c r="F2956" s="14" t="s">
        <v>102</v>
      </c>
      <c r="G2956" s="14" t="s">
        <v>103</v>
      </c>
      <c r="H2956" s="0" t="n">
        <v>9</v>
      </c>
      <c r="I2956" s="16" t="n">
        <v>23.99</v>
      </c>
      <c r="J2956" s="16" t="n">
        <v>8.5</v>
      </c>
      <c r="K2956" s="16" t="n">
        <f aca="false">H2956*I2956</f>
        <v>215.91</v>
      </c>
      <c r="L2956" s="16" t="n">
        <f aca="false">H2956*J2956</f>
        <v>76.5</v>
      </c>
      <c r="M2956" s="16" t="n">
        <f aca="false">K2956-L2956</f>
        <v>139.41</v>
      </c>
      <c r="N2956" s="17" t="n">
        <f aca="false">IFERROR(M2956/K2956,0)</f>
        <v>0.64568570237599</v>
      </c>
    </row>
    <row r="2957" customFormat="false" ht="15" hidden="false" customHeight="false" outlineLevel="0" collapsed="false">
      <c r="A2957" s="15" t="n">
        <v>46146</v>
      </c>
      <c r="B2957" s="14" t="s">
        <v>42</v>
      </c>
      <c r="C2957" s="14" t="s">
        <v>43</v>
      </c>
      <c r="D2957" s="14" t="s">
        <v>44</v>
      </c>
      <c r="E2957" s="14" t="s">
        <v>76</v>
      </c>
      <c r="F2957" s="14" t="s">
        <v>102</v>
      </c>
      <c r="G2957" s="14" t="s">
        <v>103</v>
      </c>
      <c r="H2957" s="0" t="n">
        <v>11</v>
      </c>
      <c r="I2957" s="16" t="n">
        <v>23.56</v>
      </c>
      <c r="J2957" s="16" t="n">
        <v>8.5</v>
      </c>
      <c r="K2957" s="16" t="n">
        <f aca="false">H2957*I2957</f>
        <v>259.16</v>
      </c>
      <c r="L2957" s="16" t="n">
        <f aca="false">H2957*J2957</f>
        <v>93.5</v>
      </c>
      <c r="M2957" s="16" t="n">
        <f aca="false">K2957-L2957</f>
        <v>165.66</v>
      </c>
      <c r="N2957" s="17" t="n">
        <f aca="false">IFERROR(M2957/K2957,0)</f>
        <v>0.639219015280136</v>
      </c>
    </row>
    <row r="2958" customFormat="false" ht="15" hidden="false" customHeight="false" outlineLevel="0" collapsed="false">
      <c r="A2958" s="15" t="n">
        <v>46146</v>
      </c>
      <c r="B2958" s="14" t="s">
        <v>42</v>
      </c>
      <c r="C2958" s="14" t="s">
        <v>43</v>
      </c>
      <c r="D2958" s="14" t="s">
        <v>44</v>
      </c>
      <c r="E2958" s="14" t="s">
        <v>64</v>
      </c>
      <c r="F2958" s="14" t="s">
        <v>65</v>
      </c>
      <c r="G2958" s="14" t="s">
        <v>66</v>
      </c>
      <c r="H2958" s="0" t="n">
        <v>8</v>
      </c>
      <c r="I2958" s="16" t="n">
        <v>77.5</v>
      </c>
      <c r="J2958" s="16" t="n">
        <v>34</v>
      </c>
      <c r="K2958" s="16" t="n">
        <f aca="false">H2958*I2958</f>
        <v>620</v>
      </c>
      <c r="L2958" s="16" t="n">
        <f aca="false">H2958*J2958</f>
        <v>272</v>
      </c>
      <c r="M2958" s="16" t="n">
        <f aca="false">K2958-L2958</f>
        <v>348</v>
      </c>
      <c r="N2958" s="17" t="n">
        <f aca="false">IFERROR(M2958/K2958,0)</f>
        <v>0.561290322580645</v>
      </c>
    </row>
    <row r="2959" customFormat="false" ht="15" hidden="false" customHeight="false" outlineLevel="0" collapsed="false">
      <c r="A2959" s="15" t="n">
        <v>46146</v>
      </c>
      <c r="B2959" s="14" t="s">
        <v>42</v>
      </c>
      <c r="C2959" s="14" t="s">
        <v>43</v>
      </c>
      <c r="D2959" s="14" t="s">
        <v>44</v>
      </c>
      <c r="E2959" s="14" t="s">
        <v>76</v>
      </c>
      <c r="F2959" s="14" t="s">
        <v>79</v>
      </c>
      <c r="G2959" s="14" t="s">
        <v>80</v>
      </c>
      <c r="H2959" s="0" t="n">
        <v>9</v>
      </c>
      <c r="I2959" s="16" t="n">
        <v>28.62</v>
      </c>
      <c r="J2959" s="16" t="n">
        <v>11</v>
      </c>
      <c r="K2959" s="16" t="n">
        <f aca="false">H2959*I2959</f>
        <v>257.58</v>
      </c>
      <c r="L2959" s="16" t="n">
        <f aca="false">H2959*J2959</f>
        <v>99</v>
      </c>
      <c r="M2959" s="16" t="n">
        <f aca="false">K2959-L2959</f>
        <v>158.58</v>
      </c>
      <c r="N2959" s="17" t="n">
        <f aca="false">IFERROR(M2959/K2959,0)</f>
        <v>0.615653389238295</v>
      </c>
    </row>
    <row r="2960" customFormat="false" ht="15" hidden="false" customHeight="false" outlineLevel="0" collapsed="false">
      <c r="A2960" s="15" t="n">
        <v>46146</v>
      </c>
      <c r="B2960" s="14" t="s">
        <v>50</v>
      </c>
      <c r="C2960" s="14" t="s">
        <v>51</v>
      </c>
      <c r="D2960" s="14" t="s">
        <v>52</v>
      </c>
      <c r="E2960" s="14" t="s">
        <v>56</v>
      </c>
      <c r="F2960" s="14" t="s">
        <v>86</v>
      </c>
      <c r="G2960" s="14" t="s">
        <v>87</v>
      </c>
      <c r="H2960" s="0" t="n">
        <v>2</v>
      </c>
      <c r="I2960" s="16" t="n">
        <v>14.07</v>
      </c>
      <c r="J2960" s="16" t="n">
        <v>5</v>
      </c>
      <c r="K2960" s="16" t="n">
        <f aca="false">H2960*I2960</f>
        <v>28.14</v>
      </c>
      <c r="L2960" s="16" t="n">
        <f aca="false">H2960*J2960</f>
        <v>10</v>
      </c>
      <c r="M2960" s="16" t="n">
        <f aca="false">K2960-L2960</f>
        <v>18.14</v>
      </c>
      <c r="N2960" s="17" t="n">
        <f aca="false">IFERROR(M2960/K2960,0)</f>
        <v>0.644633972992182</v>
      </c>
    </row>
    <row r="2961" customFormat="false" ht="15" hidden="false" customHeight="false" outlineLevel="0" collapsed="false">
      <c r="A2961" s="15" t="n">
        <v>46146</v>
      </c>
      <c r="B2961" s="14" t="s">
        <v>50</v>
      </c>
      <c r="C2961" s="14" t="s">
        <v>51</v>
      </c>
      <c r="D2961" s="14" t="s">
        <v>52</v>
      </c>
      <c r="E2961" s="14" t="s">
        <v>64</v>
      </c>
      <c r="F2961" s="14" t="s">
        <v>65</v>
      </c>
      <c r="G2961" s="14" t="s">
        <v>66</v>
      </c>
      <c r="H2961" s="0" t="n">
        <v>2</v>
      </c>
      <c r="I2961" s="16" t="n">
        <v>76.16</v>
      </c>
      <c r="J2961" s="16" t="n">
        <v>34</v>
      </c>
      <c r="K2961" s="16" t="n">
        <f aca="false">H2961*I2961</f>
        <v>152.32</v>
      </c>
      <c r="L2961" s="16" t="n">
        <f aca="false">H2961*J2961</f>
        <v>68</v>
      </c>
      <c r="M2961" s="16" t="n">
        <f aca="false">K2961-L2961</f>
        <v>84.32</v>
      </c>
      <c r="N2961" s="17" t="n">
        <f aca="false">IFERROR(M2961/K2961,0)</f>
        <v>0.553571428571429</v>
      </c>
    </row>
    <row r="2962" customFormat="false" ht="15" hidden="false" customHeight="false" outlineLevel="0" collapsed="false">
      <c r="A2962" s="15" t="n">
        <v>46146</v>
      </c>
      <c r="B2962" s="14" t="s">
        <v>59</v>
      </c>
      <c r="C2962" s="14" t="s">
        <v>60</v>
      </c>
      <c r="D2962" s="14" t="s">
        <v>61</v>
      </c>
      <c r="E2962" s="14" t="s">
        <v>53</v>
      </c>
      <c r="F2962" s="14" t="s">
        <v>92</v>
      </c>
      <c r="G2962" s="14" t="s">
        <v>93</v>
      </c>
      <c r="H2962" s="0" t="n">
        <v>6</v>
      </c>
      <c r="I2962" s="16" t="n">
        <v>114.74</v>
      </c>
      <c r="J2962" s="16" t="n">
        <v>52</v>
      </c>
      <c r="K2962" s="16" t="n">
        <f aca="false">H2962*I2962</f>
        <v>688.44</v>
      </c>
      <c r="L2962" s="16" t="n">
        <f aca="false">H2962*J2962</f>
        <v>312</v>
      </c>
      <c r="M2962" s="16" t="n">
        <f aca="false">K2962-L2962</f>
        <v>376.44</v>
      </c>
      <c r="N2962" s="17" t="n">
        <f aca="false">IFERROR(M2962/K2962,0)</f>
        <v>0.546801464179885</v>
      </c>
    </row>
    <row r="2963" customFormat="false" ht="15" hidden="false" customHeight="false" outlineLevel="0" collapsed="false">
      <c r="A2963" s="15" t="n">
        <v>46146</v>
      </c>
      <c r="B2963" s="14" t="s">
        <v>59</v>
      </c>
      <c r="C2963" s="14" t="s">
        <v>60</v>
      </c>
      <c r="D2963" s="14" t="s">
        <v>61</v>
      </c>
      <c r="E2963" s="14" t="s">
        <v>56</v>
      </c>
      <c r="F2963" s="14" t="s">
        <v>98</v>
      </c>
      <c r="G2963" s="14" t="s">
        <v>99</v>
      </c>
      <c r="H2963" s="0" t="n">
        <v>3</v>
      </c>
      <c r="I2963" s="16" t="n">
        <v>20.94</v>
      </c>
      <c r="J2963" s="16" t="n">
        <v>8</v>
      </c>
      <c r="K2963" s="16" t="n">
        <f aca="false">H2963*I2963</f>
        <v>62.82</v>
      </c>
      <c r="L2963" s="16" t="n">
        <f aca="false">H2963*J2963</f>
        <v>24</v>
      </c>
      <c r="M2963" s="16" t="n">
        <f aca="false">K2963-L2963</f>
        <v>38.82</v>
      </c>
      <c r="N2963" s="17" t="n">
        <f aca="false">IFERROR(M2963/K2963,0)</f>
        <v>0.617956064947469</v>
      </c>
    </row>
    <row r="2964" customFormat="false" ht="15" hidden="false" customHeight="false" outlineLevel="0" collapsed="false">
      <c r="A2964" s="15" t="n">
        <v>46146</v>
      </c>
      <c r="B2964" s="14" t="s">
        <v>59</v>
      </c>
      <c r="C2964" s="14" t="s">
        <v>60</v>
      </c>
      <c r="D2964" s="14" t="s">
        <v>61</v>
      </c>
      <c r="E2964" s="14" t="s">
        <v>56</v>
      </c>
      <c r="F2964" s="14" t="s">
        <v>86</v>
      </c>
      <c r="G2964" s="14" t="s">
        <v>87</v>
      </c>
      <c r="H2964" s="0" t="n">
        <v>3</v>
      </c>
      <c r="I2964" s="16" t="n">
        <v>14.81</v>
      </c>
      <c r="J2964" s="16" t="n">
        <v>5</v>
      </c>
      <c r="K2964" s="16" t="n">
        <f aca="false">H2964*I2964</f>
        <v>44.43</v>
      </c>
      <c r="L2964" s="16" t="n">
        <f aca="false">H2964*J2964</f>
        <v>15</v>
      </c>
      <c r="M2964" s="16" t="n">
        <f aca="false">K2964-L2964</f>
        <v>29.43</v>
      </c>
      <c r="N2964" s="17" t="n">
        <f aca="false">IFERROR(M2964/K2964,0)</f>
        <v>0.662390276839973</v>
      </c>
    </row>
    <row r="2965" customFormat="false" ht="15" hidden="false" customHeight="false" outlineLevel="0" collapsed="false">
      <c r="A2965" s="15" t="n">
        <v>46146</v>
      </c>
      <c r="B2965" s="14" t="s">
        <v>59</v>
      </c>
      <c r="C2965" s="14" t="s">
        <v>60</v>
      </c>
      <c r="D2965" s="14" t="s">
        <v>61</v>
      </c>
      <c r="E2965" s="14" t="s">
        <v>53</v>
      </c>
      <c r="F2965" s="14" t="s">
        <v>74</v>
      </c>
      <c r="G2965" s="14" t="s">
        <v>75</v>
      </c>
      <c r="H2965" s="0" t="n">
        <v>4</v>
      </c>
      <c r="I2965" s="16" t="n">
        <v>87.1</v>
      </c>
      <c r="J2965" s="16" t="n">
        <v>38</v>
      </c>
      <c r="K2965" s="16" t="n">
        <f aca="false">H2965*I2965</f>
        <v>348.4</v>
      </c>
      <c r="L2965" s="16" t="n">
        <f aca="false">H2965*J2965</f>
        <v>152</v>
      </c>
      <c r="M2965" s="16" t="n">
        <f aca="false">K2965-L2965</f>
        <v>196.4</v>
      </c>
      <c r="N2965" s="17" t="n">
        <f aca="false">IFERROR(M2965/K2965,0)</f>
        <v>0.563719862227325</v>
      </c>
    </row>
    <row r="2966" customFormat="false" ht="15" hidden="false" customHeight="false" outlineLevel="0" collapsed="false">
      <c r="A2966" s="15" t="n">
        <v>46146</v>
      </c>
      <c r="B2966" s="14" t="s">
        <v>69</v>
      </c>
      <c r="C2966" s="14" t="s">
        <v>70</v>
      </c>
      <c r="D2966" s="14" t="s">
        <v>71</v>
      </c>
      <c r="E2966" s="14" t="s">
        <v>56</v>
      </c>
      <c r="F2966" s="14" t="s">
        <v>86</v>
      </c>
      <c r="G2966" s="14" t="s">
        <v>87</v>
      </c>
      <c r="H2966" s="0" t="n">
        <v>1</v>
      </c>
      <c r="I2966" s="16" t="n">
        <v>14.76</v>
      </c>
      <c r="J2966" s="16" t="n">
        <v>5</v>
      </c>
      <c r="K2966" s="16" t="n">
        <f aca="false">H2966*I2966</f>
        <v>14.76</v>
      </c>
      <c r="L2966" s="16" t="n">
        <f aca="false">H2966*J2966</f>
        <v>5</v>
      </c>
      <c r="M2966" s="16" t="n">
        <f aca="false">K2966-L2966</f>
        <v>9.76</v>
      </c>
      <c r="N2966" s="17" t="n">
        <f aca="false">IFERROR(M2966/K2966,0)</f>
        <v>0.661246612466125</v>
      </c>
    </row>
    <row r="2967" customFormat="false" ht="15" hidden="false" customHeight="false" outlineLevel="0" collapsed="false">
      <c r="A2967" s="15" t="n">
        <v>46146</v>
      </c>
      <c r="B2967" s="14" t="s">
        <v>69</v>
      </c>
      <c r="C2967" s="14" t="s">
        <v>70</v>
      </c>
      <c r="D2967" s="14" t="s">
        <v>71</v>
      </c>
      <c r="E2967" s="14" t="s">
        <v>76</v>
      </c>
      <c r="F2967" s="14" t="s">
        <v>77</v>
      </c>
      <c r="G2967" s="14" t="s">
        <v>78</v>
      </c>
      <c r="H2967" s="0" t="n">
        <v>3</v>
      </c>
      <c r="I2967" s="16" t="n">
        <v>39.9</v>
      </c>
      <c r="J2967" s="16" t="n">
        <v>15</v>
      </c>
      <c r="K2967" s="16" t="n">
        <f aca="false">H2967*I2967</f>
        <v>119.7</v>
      </c>
      <c r="L2967" s="16" t="n">
        <f aca="false">H2967*J2967</f>
        <v>45</v>
      </c>
      <c r="M2967" s="16" t="n">
        <f aca="false">K2967-L2967</f>
        <v>74.7</v>
      </c>
      <c r="N2967" s="17" t="n">
        <f aca="false">IFERROR(M2967/K2967,0)</f>
        <v>0.62406015037594</v>
      </c>
    </row>
    <row r="2968" customFormat="false" ht="15" hidden="false" customHeight="false" outlineLevel="0" collapsed="false">
      <c r="A2968" s="15" t="n">
        <v>46146</v>
      </c>
      <c r="B2968" s="14" t="s">
        <v>69</v>
      </c>
      <c r="C2968" s="14" t="s">
        <v>70</v>
      </c>
      <c r="D2968" s="14" t="s">
        <v>71</v>
      </c>
      <c r="E2968" s="14" t="s">
        <v>45</v>
      </c>
      <c r="F2968" s="14" t="s">
        <v>62</v>
      </c>
      <c r="G2968" s="14" t="s">
        <v>63</v>
      </c>
      <c r="H2968" s="0" t="n">
        <v>3</v>
      </c>
      <c r="I2968" s="16" t="n">
        <v>17.77</v>
      </c>
      <c r="J2968" s="16" t="n">
        <v>6.5</v>
      </c>
      <c r="K2968" s="16" t="n">
        <f aca="false">H2968*I2968</f>
        <v>53.31</v>
      </c>
      <c r="L2968" s="16" t="n">
        <f aca="false">H2968*J2968</f>
        <v>19.5</v>
      </c>
      <c r="M2968" s="16" t="n">
        <f aca="false">K2968-L2968</f>
        <v>33.81</v>
      </c>
      <c r="N2968" s="17" t="n">
        <f aca="false">IFERROR(M2968/K2968,0)</f>
        <v>0.634214969048959</v>
      </c>
    </row>
    <row r="2969" customFormat="false" ht="15" hidden="false" customHeight="false" outlineLevel="0" collapsed="false">
      <c r="A2969" s="15" t="n">
        <v>46146</v>
      </c>
      <c r="B2969" s="14" t="s">
        <v>69</v>
      </c>
      <c r="C2969" s="14" t="s">
        <v>70</v>
      </c>
      <c r="D2969" s="14" t="s">
        <v>71</v>
      </c>
      <c r="E2969" s="14" t="s">
        <v>53</v>
      </c>
      <c r="F2969" s="14" t="s">
        <v>84</v>
      </c>
      <c r="G2969" s="14" t="s">
        <v>85</v>
      </c>
      <c r="H2969" s="0" t="n">
        <v>4</v>
      </c>
      <c r="I2969" s="16" t="n">
        <v>23.56</v>
      </c>
      <c r="J2969" s="16" t="n">
        <v>9</v>
      </c>
      <c r="K2969" s="16" t="n">
        <f aca="false">H2969*I2969</f>
        <v>94.24</v>
      </c>
      <c r="L2969" s="16" t="n">
        <f aca="false">H2969*J2969</f>
        <v>36</v>
      </c>
      <c r="M2969" s="16" t="n">
        <f aca="false">K2969-L2969</f>
        <v>58.24</v>
      </c>
      <c r="N2969" s="17" t="n">
        <f aca="false">IFERROR(M2969/K2969,0)</f>
        <v>0.617996604414261</v>
      </c>
    </row>
    <row r="2970" customFormat="false" ht="15" hidden="false" customHeight="false" outlineLevel="0" collapsed="false">
      <c r="A2970" s="15" t="n">
        <v>46146</v>
      </c>
      <c r="B2970" s="14" t="s">
        <v>81</v>
      </c>
      <c r="C2970" s="14" t="s">
        <v>82</v>
      </c>
      <c r="D2970" s="14" t="s">
        <v>83</v>
      </c>
      <c r="E2970" s="14" t="s">
        <v>76</v>
      </c>
      <c r="F2970" s="14" t="s">
        <v>100</v>
      </c>
      <c r="G2970" s="14" t="s">
        <v>101</v>
      </c>
      <c r="H2970" s="0" t="n">
        <v>6</v>
      </c>
      <c r="I2970" s="16" t="n">
        <v>15.86</v>
      </c>
      <c r="J2970" s="16" t="n">
        <v>5.5</v>
      </c>
      <c r="K2970" s="16" t="n">
        <f aca="false">H2970*I2970</f>
        <v>95.16</v>
      </c>
      <c r="L2970" s="16" t="n">
        <f aca="false">H2970*J2970</f>
        <v>33</v>
      </c>
      <c r="M2970" s="16" t="n">
        <f aca="false">K2970-L2970</f>
        <v>62.16</v>
      </c>
      <c r="N2970" s="17" t="n">
        <f aca="false">IFERROR(M2970/K2970,0)</f>
        <v>0.653215636822194</v>
      </c>
    </row>
    <row r="2971" customFormat="false" ht="15" hidden="false" customHeight="false" outlineLevel="0" collapsed="false">
      <c r="A2971" s="15" t="n">
        <v>46146</v>
      </c>
      <c r="B2971" s="14" t="s">
        <v>81</v>
      </c>
      <c r="C2971" s="14" t="s">
        <v>82</v>
      </c>
      <c r="D2971" s="14" t="s">
        <v>83</v>
      </c>
      <c r="E2971" s="14" t="s">
        <v>64</v>
      </c>
      <c r="F2971" s="14" t="s">
        <v>94</v>
      </c>
      <c r="G2971" s="14" t="s">
        <v>95</v>
      </c>
      <c r="H2971" s="0" t="n">
        <v>2</v>
      </c>
      <c r="I2971" s="16" t="n">
        <v>96.79</v>
      </c>
      <c r="J2971" s="16" t="n">
        <v>42</v>
      </c>
      <c r="K2971" s="16" t="n">
        <f aca="false">H2971*I2971</f>
        <v>193.58</v>
      </c>
      <c r="L2971" s="16" t="n">
        <f aca="false">H2971*J2971</f>
        <v>84</v>
      </c>
      <c r="M2971" s="16" t="n">
        <f aca="false">K2971-L2971</f>
        <v>109.58</v>
      </c>
      <c r="N2971" s="17" t="n">
        <f aca="false">IFERROR(M2971/K2971,0)</f>
        <v>0.566070875090402</v>
      </c>
    </row>
    <row r="2972" customFormat="false" ht="15" hidden="false" customHeight="false" outlineLevel="0" collapsed="false">
      <c r="A2972" s="15" t="n">
        <v>46146</v>
      </c>
      <c r="B2972" s="14" t="s">
        <v>81</v>
      </c>
      <c r="C2972" s="14" t="s">
        <v>82</v>
      </c>
      <c r="D2972" s="14" t="s">
        <v>83</v>
      </c>
      <c r="E2972" s="14" t="s">
        <v>76</v>
      </c>
      <c r="F2972" s="14" t="s">
        <v>79</v>
      </c>
      <c r="G2972" s="14" t="s">
        <v>80</v>
      </c>
      <c r="H2972" s="0" t="n">
        <v>2</v>
      </c>
      <c r="I2972" s="16" t="n">
        <v>28.2</v>
      </c>
      <c r="J2972" s="16" t="n">
        <v>11</v>
      </c>
      <c r="K2972" s="16" t="n">
        <f aca="false">H2972*I2972</f>
        <v>56.4</v>
      </c>
      <c r="L2972" s="16" t="n">
        <f aca="false">H2972*J2972</f>
        <v>22</v>
      </c>
      <c r="M2972" s="16" t="n">
        <f aca="false">K2972-L2972</f>
        <v>34.4</v>
      </c>
      <c r="N2972" s="17" t="n">
        <f aca="false">IFERROR(M2972/K2972,0)</f>
        <v>0.609929078014184</v>
      </c>
    </row>
    <row r="2973" customFormat="false" ht="15" hidden="false" customHeight="false" outlineLevel="0" collapsed="false">
      <c r="A2973" s="15" t="n">
        <v>46146</v>
      </c>
      <c r="B2973" s="14" t="s">
        <v>81</v>
      </c>
      <c r="C2973" s="14" t="s">
        <v>82</v>
      </c>
      <c r="D2973" s="14" t="s">
        <v>83</v>
      </c>
      <c r="E2973" s="14" t="s">
        <v>56</v>
      </c>
      <c r="F2973" s="14" t="s">
        <v>67</v>
      </c>
      <c r="G2973" s="14" t="s">
        <v>68</v>
      </c>
      <c r="H2973" s="0" t="n">
        <v>3</v>
      </c>
      <c r="I2973" s="16" t="n">
        <v>37.77</v>
      </c>
      <c r="J2973" s="16" t="n">
        <v>15</v>
      </c>
      <c r="K2973" s="16" t="n">
        <f aca="false">H2973*I2973</f>
        <v>113.31</v>
      </c>
      <c r="L2973" s="16" t="n">
        <f aca="false">H2973*J2973</f>
        <v>45</v>
      </c>
      <c r="M2973" s="16" t="n">
        <f aca="false">K2973-L2973</f>
        <v>68.31</v>
      </c>
      <c r="N2973" s="17" t="n">
        <f aca="false">IFERROR(M2973/K2973,0)</f>
        <v>0.60285941223193</v>
      </c>
    </row>
    <row r="2974" customFormat="false" ht="15" hidden="false" customHeight="false" outlineLevel="0" collapsed="false">
      <c r="A2974" s="15" t="n">
        <v>46146</v>
      </c>
      <c r="B2974" s="14" t="s">
        <v>81</v>
      </c>
      <c r="C2974" s="14" t="s">
        <v>82</v>
      </c>
      <c r="D2974" s="14" t="s">
        <v>83</v>
      </c>
      <c r="E2974" s="14" t="s">
        <v>56</v>
      </c>
      <c r="F2974" s="14" t="s">
        <v>98</v>
      </c>
      <c r="G2974" s="14" t="s">
        <v>99</v>
      </c>
      <c r="H2974" s="0" t="n">
        <v>1</v>
      </c>
      <c r="I2974" s="16" t="n">
        <v>21.57</v>
      </c>
      <c r="J2974" s="16" t="n">
        <v>8</v>
      </c>
      <c r="K2974" s="16" t="n">
        <f aca="false">H2974*I2974</f>
        <v>21.57</v>
      </c>
      <c r="L2974" s="16" t="n">
        <f aca="false">H2974*J2974</f>
        <v>8</v>
      </c>
      <c r="M2974" s="16" t="n">
        <f aca="false">K2974-L2974</f>
        <v>13.57</v>
      </c>
      <c r="N2974" s="17" t="n">
        <f aca="false">IFERROR(M2974/K2974,0)</f>
        <v>0.629114510894761</v>
      </c>
    </row>
    <row r="2975" customFormat="false" ht="15" hidden="false" customHeight="false" outlineLevel="0" collapsed="false">
      <c r="A2975" s="15" t="n">
        <v>46146</v>
      </c>
      <c r="B2975" s="14" t="s">
        <v>88</v>
      </c>
      <c r="C2975" s="14" t="s">
        <v>89</v>
      </c>
      <c r="D2975" s="14" t="s">
        <v>44</v>
      </c>
      <c r="E2975" s="14" t="s">
        <v>53</v>
      </c>
      <c r="F2975" s="14" t="s">
        <v>84</v>
      </c>
      <c r="G2975" s="14" t="s">
        <v>85</v>
      </c>
      <c r="H2975" s="0" t="n">
        <v>4</v>
      </c>
      <c r="I2975" s="16" t="n">
        <v>24.53</v>
      </c>
      <c r="J2975" s="16" t="n">
        <v>9</v>
      </c>
      <c r="K2975" s="16" t="n">
        <f aca="false">H2975*I2975</f>
        <v>98.12</v>
      </c>
      <c r="L2975" s="16" t="n">
        <f aca="false">H2975*J2975</f>
        <v>36</v>
      </c>
      <c r="M2975" s="16" t="n">
        <f aca="false">K2975-L2975</f>
        <v>62.12</v>
      </c>
      <c r="N2975" s="17" t="n">
        <f aca="false">IFERROR(M2975/K2975,0)</f>
        <v>0.633102323685283</v>
      </c>
    </row>
    <row r="2976" customFormat="false" ht="15" hidden="false" customHeight="false" outlineLevel="0" collapsed="false">
      <c r="A2976" s="15" t="n">
        <v>46146</v>
      </c>
      <c r="B2976" s="14" t="s">
        <v>88</v>
      </c>
      <c r="C2976" s="14" t="s">
        <v>89</v>
      </c>
      <c r="D2976" s="14" t="s">
        <v>44</v>
      </c>
      <c r="E2976" s="14" t="s">
        <v>53</v>
      </c>
      <c r="F2976" s="14" t="s">
        <v>84</v>
      </c>
      <c r="G2976" s="14" t="s">
        <v>85</v>
      </c>
      <c r="H2976" s="0" t="n">
        <v>4</v>
      </c>
      <c r="I2976" s="16" t="n">
        <v>24.29</v>
      </c>
      <c r="J2976" s="16" t="n">
        <v>9</v>
      </c>
      <c r="K2976" s="16" t="n">
        <f aca="false">H2976*I2976</f>
        <v>97.16</v>
      </c>
      <c r="L2976" s="16" t="n">
        <f aca="false">H2976*J2976</f>
        <v>36</v>
      </c>
      <c r="M2976" s="16" t="n">
        <f aca="false">K2976-L2976</f>
        <v>61.16</v>
      </c>
      <c r="N2976" s="17" t="n">
        <f aca="false">IFERROR(M2976/K2976,0)</f>
        <v>0.629477151090984</v>
      </c>
    </row>
    <row r="2977" customFormat="false" ht="15" hidden="false" customHeight="false" outlineLevel="0" collapsed="false">
      <c r="A2977" s="15" t="n">
        <v>46146</v>
      </c>
      <c r="B2977" s="14" t="s">
        <v>88</v>
      </c>
      <c r="C2977" s="14" t="s">
        <v>89</v>
      </c>
      <c r="D2977" s="14" t="s">
        <v>44</v>
      </c>
      <c r="E2977" s="14" t="s">
        <v>64</v>
      </c>
      <c r="F2977" s="14" t="s">
        <v>96</v>
      </c>
      <c r="G2977" s="14" t="s">
        <v>97</v>
      </c>
      <c r="H2977" s="0" t="n">
        <v>4</v>
      </c>
      <c r="I2977" s="16" t="n">
        <v>58.22</v>
      </c>
      <c r="J2977" s="16" t="n">
        <v>24</v>
      </c>
      <c r="K2977" s="16" t="n">
        <f aca="false">H2977*I2977</f>
        <v>232.88</v>
      </c>
      <c r="L2977" s="16" t="n">
        <f aca="false">H2977*J2977</f>
        <v>96</v>
      </c>
      <c r="M2977" s="16" t="n">
        <f aca="false">K2977-L2977</f>
        <v>136.88</v>
      </c>
      <c r="N2977" s="17" t="n">
        <f aca="false">IFERROR(M2977/K2977,0)</f>
        <v>0.58777052559258</v>
      </c>
    </row>
    <row r="2978" customFormat="false" ht="15" hidden="false" customHeight="false" outlineLevel="0" collapsed="false">
      <c r="A2978" s="15" t="n">
        <v>46147</v>
      </c>
      <c r="B2978" s="14" t="s">
        <v>42</v>
      </c>
      <c r="C2978" s="14" t="s">
        <v>43</v>
      </c>
      <c r="D2978" s="14" t="s">
        <v>44</v>
      </c>
      <c r="E2978" s="14" t="s">
        <v>53</v>
      </c>
      <c r="F2978" s="14" t="s">
        <v>92</v>
      </c>
      <c r="G2978" s="14" t="s">
        <v>93</v>
      </c>
      <c r="H2978" s="0" t="n">
        <v>5</v>
      </c>
      <c r="I2978" s="16" t="n">
        <v>118.97</v>
      </c>
      <c r="J2978" s="16" t="n">
        <v>52</v>
      </c>
      <c r="K2978" s="16" t="n">
        <f aca="false">H2978*I2978</f>
        <v>594.85</v>
      </c>
      <c r="L2978" s="16" t="n">
        <f aca="false">H2978*J2978</f>
        <v>260</v>
      </c>
      <c r="M2978" s="16" t="n">
        <f aca="false">K2978-L2978</f>
        <v>334.85</v>
      </c>
      <c r="N2978" s="17" t="n">
        <f aca="false">IFERROR(M2978/K2978,0)</f>
        <v>0.562915020593427</v>
      </c>
    </row>
    <row r="2979" customFormat="false" ht="15" hidden="false" customHeight="false" outlineLevel="0" collapsed="false">
      <c r="A2979" s="15" t="n">
        <v>46147</v>
      </c>
      <c r="B2979" s="14" t="s">
        <v>42</v>
      </c>
      <c r="C2979" s="14" t="s">
        <v>43</v>
      </c>
      <c r="D2979" s="14" t="s">
        <v>44</v>
      </c>
      <c r="E2979" s="14" t="s">
        <v>45</v>
      </c>
      <c r="F2979" s="14" t="s">
        <v>62</v>
      </c>
      <c r="G2979" s="14" t="s">
        <v>63</v>
      </c>
      <c r="H2979" s="0" t="n">
        <v>5</v>
      </c>
      <c r="I2979" s="16" t="n">
        <v>17.2</v>
      </c>
      <c r="J2979" s="16" t="n">
        <v>6.5</v>
      </c>
      <c r="K2979" s="16" t="n">
        <f aca="false">H2979*I2979</f>
        <v>86</v>
      </c>
      <c r="L2979" s="16" t="n">
        <f aca="false">H2979*J2979</f>
        <v>32.5</v>
      </c>
      <c r="M2979" s="16" t="n">
        <f aca="false">K2979-L2979</f>
        <v>53.5</v>
      </c>
      <c r="N2979" s="17" t="n">
        <f aca="false">IFERROR(M2979/K2979,0)</f>
        <v>0.622093023255814</v>
      </c>
    </row>
    <row r="2980" customFormat="false" ht="15" hidden="false" customHeight="false" outlineLevel="0" collapsed="false">
      <c r="A2980" s="15" t="n">
        <v>46147</v>
      </c>
      <c r="B2980" s="14" t="s">
        <v>50</v>
      </c>
      <c r="C2980" s="14" t="s">
        <v>51</v>
      </c>
      <c r="D2980" s="14" t="s">
        <v>52</v>
      </c>
      <c r="E2980" s="14" t="s">
        <v>76</v>
      </c>
      <c r="F2980" s="14" t="s">
        <v>79</v>
      </c>
      <c r="G2980" s="14" t="s">
        <v>80</v>
      </c>
      <c r="H2980" s="0" t="n">
        <v>3</v>
      </c>
      <c r="I2980" s="16" t="n">
        <v>28.85</v>
      </c>
      <c r="J2980" s="16" t="n">
        <v>11</v>
      </c>
      <c r="K2980" s="16" t="n">
        <f aca="false">H2980*I2980</f>
        <v>86.55</v>
      </c>
      <c r="L2980" s="16" t="n">
        <f aca="false">H2980*J2980</f>
        <v>33</v>
      </c>
      <c r="M2980" s="16" t="n">
        <f aca="false">K2980-L2980</f>
        <v>53.55</v>
      </c>
      <c r="N2980" s="17" t="n">
        <f aca="false">IFERROR(M2980/K2980,0)</f>
        <v>0.618717504332756</v>
      </c>
    </row>
    <row r="2981" customFormat="false" ht="15" hidden="false" customHeight="false" outlineLevel="0" collapsed="false">
      <c r="A2981" s="15" t="n">
        <v>46147</v>
      </c>
      <c r="B2981" s="14" t="s">
        <v>50</v>
      </c>
      <c r="C2981" s="14" t="s">
        <v>51</v>
      </c>
      <c r="D2981" s="14" t="s">
        <v>52</v>
      </c>
      <c r="E2981" s="14" t="s">
        <v>56</v>
      </c>
      <c r="F2981" s="14" t="s">
        <v>98</v>
      </c>
      <c r="G2981" s="14" t="s">
        <v>99</v>
      </c>
      <c r="H2981" s="0" t="n">
        <v>9</v>
      </c>
      <c r="I2981" s="16" t="n">
        <v>20.65</v>
      </c>
      <c r="J2981" s="16" t="n">
        <v>8</v>
      </c>
      <c r="K2981" s="16" t="n">
        <f aca="false">H2981*I2981</f>
        <v>185.85</v>
      </c>
      <c r="L2981" s="16" t="n">
        <f aca="false">H2981*J2981</f>
        <v>72</v>
      </c>
      <c r="M2981" s="16" t="n">
        <f aca="false">K2981-L2981</f>
        <v>113.85</v>
      </c>
      <c r="N2981" s="17" t="n">
        <f aca="false">IFERROR(M2981/K2981,0)</f>
        <v>0.612590799031477</v>
      </c>
    </row>
    <row r="2982" customFormat="false" ht="15" hidden="false" customHeight="false" outlineLevel="0" collapsed="false">
      <c r="A2982" s="15" t="n">
        <v>46147</v>
      </c>
      <c r="B2982" s="14" t="s">
        <v>50</v>
      </c>
      <c r="C2982" s="14" t="s">
        <v>51</v>
      </c>
      <c r="D2982" s="14" t="s">
        <v>52</v>
      </c>
      <c r="E2982" s="14" t="s">
        <v>64</v>
      </c>
      <c r="F2982" s="14" t="s">
        <v>94</v>
      </c>
      <c r="G2982" s="14" t="s">
        <v>95</v>
      </c>
      <c r="H2982" s="0" t="n">
        <v>2</v>
      </c>
      <c r="I2982" s="16" t="n">
        <v>95.37</v>
      </c>
      <c r="J2982" s="16" t="n">
        <v>42</v>
      </c>
      <c r="K2982" s="16" t="n">
        <f aca="false">H2982*I2982</f>
        <v>190.74</v>
      </c>
      <c r="L2982" s="16" t="n">
        <f aca="false">H2982*J2982</f>
        <v>84</v>
      </c>
      <c r="M2982" s="16" t="n">
        <f aca="false">K2982-L2982</f>
        <v>106.74</v>
      </c>
      <c r="N2982" s="17" t="n">
        <f aca="false">IFERROR(M2982/K2982,0)</f>
        <v>0.559609940232778</v>
      </c>
    </row>
    <row r="2983" customFormat="false" ht="15" hidden="false" customHeight="false" outlineLevel="0" collapsed="false">
      <c r="A2983" s="15" t="n">
        <v>46147</v>
      </c>
      <c r="B2983" s="14" t="s">
        <v>50</v>
      </c>
      <c r="C2983" s="14" t="s">
        <v>51</v>
      </c>
      <c r="D2983" s="14" t="s">
        <v>52</v>
      </c>
      <c r="E2983" s="14" t="s">
        <v>56</v>
      </c>
      <c r="F2983" s="14" t="s">
        <v>57</v>
      </c>
      <c r="G2983" s="14" t="s">
        <v>58</v>
      </c>
      <c r="H2983" s="0" t="n">
        <v>3</v>
      </c>
      <c r="I2983" s="16" t="n">
        <v>24.99</v>
      </c>
      <c r="J2983" s="16" t="n">
        <v>10</v>
      </c>
      <c r="K2983" s="16" t="n">
        <f aca="false">H2983*I2983</f>
        <v>74.97</v>
      </c>
      <c r="L2983" s="16" t="n">
        <f aca="false">H2983*J2983</f>
        <v>30</v>
      </c>
      <c r="M2983" s="16" t="n">
        <f aca="false">K2983-L2983</f>
        <v>44.97</v>
      </c>
      <c r="N2983" s="17" t="n">
        <f aca="false">IFERROR(M2983/K2983,0)</f>
        <v>0.59983993597439</v>
      </c>
    </row>
    <row r="2984" customFormat="false" ht="15" hidden="false" customHeight="false" outlineLevel="0" collapsed="false">
      <c r="A2984" s="15" t="n">
        <v>46147</v>
      </c>
      <c r="B2984" s="14" t="s">
        <v>59</v>
      </c>
      <c r="C2984" s="14" t="s">
        <v>60</v>
      </c>
      <c r="D2984" s="14" t="s">
        <v>61</v>
      </c>
      <c r="E2984" s="14" t="s">
        <v>76</v>
      </c>
      <c r="F2984" s="14" t="s">
        <v>79</v>
      </c>
      <c r="G2984" s="14" t="s">
        <v>80</v>
      </c>
      <c r="H2984" s="0" t="n">
        <v>7</v>
      </c>
      <c r="I2984" s="16" t="n">
        <v>29.61</v>
      </c>
      <c r="J2984" s="16" t="n">
        <v>11</v>
      </c>
      <c r="K2984" s="16" t="n">
        <f aca="false">H2984*I2984</f>
        <v>207.27</v>
      </c>
      <c r="L2984" s="16" t="n">
        <f aca="false">H2984*J2984</f>
        <v>77</v>
      </c>
      <c r="M2984" s="16" t="n">
        <f aca="false">K2984-L2984</f>
        <v>130.27</v>
      </c>
      <c r="N2984" s="17" t="n">
        <f aca="false">IFERROR(M2984/K2984,0)</f>
        <v>0.628503883823033</v>
      </c>
    </row>
    <row r="2985" customFormat="false" ht="15" hidden="false" customHeight="false" outlineLevel="0" collapsed="false">
      <c r="A2985" s="15" t="n">
        <v>46147</v>
      </c>
      <c r="B2985" s="14" t="s">
        <v>59</v>
      </c>
      <c r="C2985" s="14" t="s">
        <v>60</v>
      </c>
      <c r="D2985" s="14" t="s">
        <v>61</v>
      </c>
      <c r="E2985" s="14" t="s">
        <v>76</v>
      </c>
      <c r="F2985" s="14" t="s">
        <v>79</v>
      </c>
      <c r="G2985" s="14" t="s">
        <v>80</v>
      </c>
      <c r="H2985" s="0" t="n">
        <v>8</v>
      </c>
      <c r="I2985" s="16" t="n">
        <v>28.62</v>
      </c>
      <c r="J2985" s="16" t="n">
        <v>11</v>
      </c>
      <c r="K2985" s="16" t="n">
        <f aca="false">H2985*I2985</f>
        <v>228.96</v>
      </c>
      <c r="L2985" s="16" t="n">
        <f aca="false">H2985*J2985</f>
        <v>88</v>
      </c>
      <c r="M2985" s="16" t="n">
        <f aca="false">K2985-L2985</f>
        <v>140.96</v>
      </c>
      <c r="N2985" s="17" t="n">
        <f aca="false">IFERROR(M2985/K2985,0)</f>
        <v>0.615653389238295</v>
      </c>
    </row>
    <row r="2986" customFormat="false" ht="15" hidden="false" customHeight="false" outlineLevel="0" collapsed="false">
      <c r="A2986" s="15" t="n">
        <v>46147</v>
      </c>
      <c r="B2986" s="14" t="s">
        <v>59</v>
      </c>
      <c r="C2986" s="14" t="s">
        <v>60</v>
      </c>
      <c r="D2986" s="14" t="s">
        <v>61</v>
      </c>
      <c r="E2986" s="14" t="s">
        <v>53</v>
      </c>
      <c r="F2986" s="14" t="s">
        <v>84</v>
      </c>
      <c r="G2986" s="14" t="s">
        <v>85</v>
      </c>
      <c r="H2986" s="0" t="n">
        <v>6</v>
      </c>
      <c r="I2986" s="16" t="n">
        <v>23.45</v>
      </c>
      <c r="J2986" s="16" t="n">
        <v>9</v>
      </c>
      <c r="K2986" s="16" t="n">
        <f aca="false">H2986*I2986</f>
        <v>140.7</v>
      </c>
      <c r="L2986" s="16" t="n">
        <f aca="false">H2986*J2986</f>
        <v>54</v>
      </c>
      <c r="M2986" s="16" t="n">
        <f aca="false">K2986-L2986</f>
        <v>86.7</v>
      </c>
      <c r="N2986" s="17" t="n">
        <f aca="false">IFERROR(M2986/K2986,0)</f>
        <v>0.616204690831557</v>
      </c>
    </row>
    <row r="2987" customFormat="false" ht="15" hidden="false" customHeight="false" outlineLevel="0" collapsed="false">
      <c r="A2987" s="15" t="n">
        <v>46147</v>
      </c>
      <c r="B2987" s="14" t="s">
        <v>59</v>
      </c>
      <c r="C2987" s="14" t="s">
        <v>60</v>
      </c>
      <c r="D2987" s="14" t="s">
        <v>61</v>
      </c>
      <c r="E2987" s="14" t="s">
        <v>45</v>
      </c>
      <c r="F2987" s="14" t="s">
        <v>48</v>
      </c>
      <c r="G2987" s="14" t="s">
        <v>49</v>
      </c>
      <c r="H2987" s="0" t="n">
        <v>5</v>
      </c>
      <c r="I2987" s="16" t="n">
        <v>63.87</v>
      </c>
      <c r="J2987" s="16" t="n">
        <v>27.5</v>
      </c>
      <c r="K2987" s="16" t="n">
        <f aca="false">H2987*I2987</f>
        <v>319.35</v>
      </c>
      <c r="L2987" s="16" t="n">
        <f aca="false">H2987*J2987</f>
        <v>137.5</v>
      </c>
      <c r="M2987" s="16" t="n">
        <f aca="false">K2987-L2987</f>
        <v>181.85</v>
      </c>
      <c r="N2987" s="17" t="n">
        <f aca="false">IFERROR(M2987/K2987,0)</f>
        <v>0.569437920776577</v>
      </c>
    </row>
    <row r="2988" customFormat="false" ht="15" hidden="false" customHeight="false" outlineLevel="0" collapsed="false">
      <c r="A2988" s="15" t="n">
        <v>46147</v>
      </c>
      <c r="B2988" s="14" t="s">
        <v>69</v>
      </c>
      <c r="C2988" s="14" t="s">
        <v>70</v>
      </c>
      <c r="D2988" s="14" t="s">
        <v>71</v>
      </c>
      <c r="E2988" s="14" t="s">
        <v>64</v>
      </c>
      <c r="F2988" s="14" t="s">
        <v>90</v>
      </c>
      <c r="G2988" s="14" t="s">
        <v>91</v>
      </c>
      <c r="H2988" s="0" t="n">
        <v>1</v>
      </c>
      <c r="I2988" s="16" t="n">
        <v>11.65</v>
      </c>
      <c r="J2988" s="16" t="n">
        <v>3.5</v>
      </c>
      <c r="K2988" s="16" t="n">
        <f aca="false">H2988*I2988</f>
        <v>11.65</v>
      </c>
      <c r="L2988" s="16" t="n">
        <f aca="false">H2988*J2988</f>
        <v>3.5</v>
      </c>
      <c r="M2988" s="16" t="n">
        <f aca="false">K2988-L2988</f>
        <v>8.15</v>
      </c>
      <c r="N2988" s="17" t="n">
        <f aca="false">IFERROR(M2988/K2988,0)</f>
        <v>0.699570815450644</v>
      </c>
    </row>
    <row r="2989" customFormat="false" ht="15" hidden="false" customHeight="false" outlineLevel="0" collapsed="false">
      <c r="A2989" s="15" t="n">
        <v>46147</v>
      </c>
      <c r="B2989" s="14" t="s">
        <v>69</v>
      </c>
      <c r="C2989" s="14" t="s">
        <v>70</v>
      </c>
      <c r="D2989" s="14" t="s">
        <v>71</v>
      </c>
      <c r="E2989" s="14" t="s">
        <v>76</v>
      </c>
      <c r="F2989" s="14" t="s">
        <v>102</v>
      </c>
      <c r="G2989" s="14" t="s">
        <v>103</v>
      </c>
      <c r="H2989" s="0" t="n">
        <v>5</v>
      </c>
      <c r="I2989" s="16" t="n">
        <v>23.31</v>
      </c>
      <c r="J2989" s="16" t="n">
        <v>8.5</v>
      </c>
      <c r="K2989" s="16" t="n">
        <f aca="false">H2989*I2989</f>
        <v>116.55</v>
      </c>
      <c r="L2989" s="16" t="n">
        <f aca="false">H2989*J2989</f>
        <v>42.5</v>
      </c>
      <c r="M2989" s="16" t="n">
        <f aca="false">K2989-L2989</f>
        <v>74.05</v>
      </c>
      <c r="N2989" s="17" t="n">
        <f aca="false">IFERROR(M2989/K2989,0)</f>
        <v>0.635349635349635</v>
      </c>
    </row>
    <row r="2990" customFormat="false" ht="15" hidden="false" customHeight="false" outlineLevel="0" collapsed="false">
      <c r="A2990" s="15" t="n">
        <v>46147</v>
      </c>
      <c r="B2990" s="14" t="s">
        <v>69</v>
      </c>
      <c r="C2990" s="14" t="s">
        <v>70</v>
      </c>
      <c r="D2990" s="14" t="s">
        <v>71</v>
      </c>
      <c r="E2990" s="14" t="s">
        <v>76</v>
      </c>
      <c r="F2990" s="14" t="s">
        <v>100</v>
      </c>
      <c r="G2990" s="14" t="s">
        <v>101</v>
      </c>
      <c r="H2990" s="0" t="n">
        <v>5</v>
      </c>
      <c r="I2990" s="16" t="n">
        <v>15.98</v>
      </c>
      <c r="J2990" s="16" t="n">
        <v>5.5</v>
      </c>
      <c r="K2990" s="16" t="n">
        <f aca="false">H2990*I2990</f>
        <v>79.9</v>
      </c>
      <c r="L2990" s="16" t="n">
        <f aca="false">H2990*J2990</f>
        <v>27.5</v>
      </c>
      <c r="M2990" s="16" t="n">
        <f aca="false">K2990-L2990</f>
        <v>52.4</v>
      </c>
      <c r="N2990" s="17" t="n">
        <f aca="false">IFERROR(M2990/K2990,0)</f>
        <v>0.655819774718398</v>
      </c>
    </row>
    <row r="2991" customFormat="false" ht="15" hidden="false" customHeight="false" outlineLevel="0" collapsed="false">
      <c r="A2991" s="15" t="n">
        <v>46147</v>
      </c>
      <c r="B2991" s="14" t="s">
        <v>69</v>
      </c>
      <c r="C2991" s="14" t="s">
        <v>70</v>
      </c>
      <c r="D2991" s="14" t="s">
        <v>71</v>
      </c>
      <c r="E2991" s="14" t="s">
        <v>45</v>
      </c>
      <c r="F2991" s="14" t="s">
        <v>48</v>
      </c>
      <c r="G2991" s="14" t="s">
        <v>49</v>
      </c>
      <c r="H2991" s="0" t="n">
        <v>2</v>
      </c>
      <c r="I2991" s="16" t="n">
        <v>66.44</v>
      </c>
      <c r="J2991" s="16" t="n">
        <v>27.5</v>
      </c>
      <c r="K2991" s="16" t="n">
        <f aca="false">H2991*I2991</f>
        <v>132.88</v>
      </c>
      <c r="L2991" s="16" t="n">
        <f aca="false">H2991*J2991</f>
        <v>55</v>
      </c>
      <c r="M2991" s="16" t="n">
        <f aca="false">K2991-L2991</f>
        <v>77.88</v>
      </c>
      <c r="N2991" s="17" t="n">
        <f aca="false">IFERROR(M2991/K2991,0)</f>
        <v>0.586092715231788</v>
      </c>
    </row>
    <row r="2992" customFormat="false" ht="15" hidden="false" customHeight="false" outlineLevel="0" collapsed="false">
      <c r="A2992" s="15" t="n">
        <v>46147</v>
      </c>
      <c r="B2992" s="14" t="s">
        <v>69</v>
      </c>
      <c r="C2992" s="14" t="s">
        <v>70</v>
      </c>
      <c r="D2992" s="14" t="s">
        <v>71</v>
      </c>
      <c r="E2992" s="14" t="s">
        <v>64</v>
      </c>
      <c r="F2992" s="14" t="s">
        <v>96</v>
      </c>
      <c r="G2992" s="14" t="s">
        <v>97</v>
      </c>
      <c r="H2992" s="0" t="n">
        <v>7</v>
      </c>
      <c r="I2992" s="16" t="n">
        <v>55.32</v>
      </c>
      <c r="J2992" s="16" t="n">
        <v>24</v>
      </c>
      <c r="K2992" s="16" t="n">
        <f aca="false">H2992*I2992</f>
        <v>387.24</v>
      </c>
      <c r="L2992" s="16" t="n">
        <f aca="false">H2992*J2992</f>
        <v>168</v>
      </c>
      <c r="M2992" s="16" t="n">
        <f aca="false">K2992-L2992</f>
        <v>219.24</v>
      </c>
      <c r="N2992" s="17" t="n">
        <f aca="false">IFERROR(M2992/K2992,0)</f>
        <v>0.566160520607375</v>
      </c>
    </row>
    <row r="2993" customFormat="false" ht="15" hidden="false" customHeight="false" outlineLevel="0" collapsed="false">
      <c r="A2993" s="15" t="n">
        <v>46147</v>
      </c>
      <c r="B2993" s="14" t="s">
        <v>81</v>
      </c>
      <c r="C2993" s="14" t="s">
        <v>82</v>
      </c>
      <c r="D2993" s="14" t="s">
        <v>83</v>
      </c>
      <c r="E2993" s="14" t="s">
        <v>76</v>
      </c>
      <c r="F2993" s="14" t="s">
        <v>79</v>
      </c>
      <c r="G2993" s="14" t="s">
        <v>80</v>
      </c>
      <c r="H2993" s="0" t="n">
        <v>7</v>
      </c>
      <c r="I2993" s="16" t="n">
        <v>28.95</v>
      </c>
      <c r="J2993" s="16" t="n">
        <v>11</v>
      </c>
      <c r="K2993" s="16" t="n">
        <f aca="false">H2993*I2993</f>
        <v>202.65</v>
      </c>
      <c r="L2993" s="16" t="n">
        <f aca="false">H2993*J2993</f>
        <v>77</v>
      </c>
      <c r="M2993" s="16" t="n">
        <f aca="false">K2993-L2993</f>
        <v>125.65</v>
      </c>
      <c r="N2993" s="17" t="n">
        <f aca="false">IFERROR(M2993/K2993,0)</f>
        <v>0.620034542314335</v>
      </c>
    </row>
    <row r="2994" customFormat="false" ht="15" hidden="false" customHeight="false" outlineLevel="0" collapsed="false">
      <c r="A2994" s="15" t="n">
        <v>46147</v>
      </c>
      <c r="B2994" s="14" t="s">
        <v>81</v>
      </c>
      <c r="C2994" s="14" t="s">
        <v>82</v>
      </c>
      <c r="D2994" s="14" t="s">
        <v>83</v>
      </c>
      <c r="E2994" s="14" t="s">
        <v>56</v>
      </c>
      <c r="F2994" s="14" t="s">
        <v>57</v>
      </c>
      <c r="G2994" s="14" t="s">
        <v>58</v>
      </c>
      <c r="H2994" s="0" t="n">
        <v>5</v>
      </c>
      <c r="I2994" s="16" t="n">
        <v>24.93</v>
      </c>
      <c r="J2994" s="16" t="n">
        <v>10</v>
      </c>
      <c r="K2994" s="16" t="n">
        <f aca="false">H2994*I2994</f>
        <v>124.65</v>
      </c>
      <c r="L2994" s="16" t="n">
        <f aca="false">H2994*J2994</f>
        <v>50</v>
      </c>
      <c r="M2994" s="16" t="n">
        <f aca="false">K2994-L2994</f>
        <v>74.65</v>
      </c>
      <c r="N2994" s="17" t="n">
        <f aca="false">IFERROR(M2994/K2994,0)</f>
        <v>0.598876855194545</v>
      </c>
    </row>
    <row r="2995" customFormat="false" ht="15" hidden="false" customHeight="false" outlineLevel="0" collapsed="false">
      <c r="A2995" s="15" t="n">
        <v>46147</v>
      </c>
      <c r="B2995" s="14" t="s">
        <v>81</v>
      </c>
      <c r="C2995" s="14" t="s">
        <v>82</v>
      </c>
      <c r="D2995" s="14" t="s">
        <v>83</v>
      </c>
      <c r="E2995" s="14" t="s">
        <v>45</v>
      </c>
      <c r="F2995" s="14" t="s">
        <v>48</v>
      </c>
      <c r="G2995" s="14" t="s">
        <v>49</v>
      </c>
      <c r="H2995" s="0" t="n">
        <v>2</v>
      </c>
      <c r="I2995" s="16" t="n">
        <v>63.2</v>
      </c>
      <c r="J2995" s="16" t="n">
        <v>27.5</v>
      </c>
      <c r="K2995" s="16" t="n">
        <f aca="false">H2995*I2995</f>
        <v>126.4</v>
      </c>
      <c r="L2995" s="16" t="n">
        <f aca="false">H2995*J2995</f>
        <v>55</v>
      </c>
      <c r="M2995" s="16" t="n">
        <f aca="false">K2995-L2995</f>
        <v>71.4</v>
      </c>
      <c r="N2995" s="17" t="n">
        <f aca="false">IFERROR(M2995/K2995,0)</f>
        <v>0.564873417721519</v>
      </c>
    </row>
    <row r="2996" customFormat="false" ht="15" hidden="false" customHeight="false" outlineLevel="0" collapsed="false">
      <c r="A2996" s="15" t="n">
        <v>46147</v>
      </c>
      <c r="B2996" s="14" t="s">
        <v>81</v>
      </c>
      <c r="C2996" s="14" t="s">
        <v>82</v>
      </c>
      <c r="D2996" s="14" t="s">
        <v>83</v>
      </c>
      <c r="E2996" s="14" t="s">
        <v>53</v>
      </c>
      <c r="F2996" s="14" t="s">
        <v>92</v>
      </c>
      <c r="G2996" s="14" t="s">
        <v>93</v>
      </c>
      <c r="H2996" s="0" t="n">
        <v>7</v>
      </c>
      <c r="I2996" s="16" t="n">
        <v>118.23</v>
      </c>
      <c r="J2996" s="16" t="n">
        <v>52</v>
      </c>
      <c r="K2996" s="16" t="n">
        <f aca="false">H2996*I2996</f>
        <v>827.61</v>
      </c>
      <c r="L2996" s="16" t="n">
        <f aca="false">H2996*J2996</f>
        <v>364</v>
      </c>
      <c r="M2996" s="16" t="n">
        <f aca="false">K2996-L2996</f>
        <v>463.61</v>
      </c>
      <c r="N2996" s="17" t="n">
        <f aca="false">IFERROR(M2996/K2996,0)</f>
        <v>0.560179311511461</v>
      </c>
    </row>
    <row r="2997" customFormat="false" ht="15" hidden="false" customHeight="false" outlineLevel="0" collapsed="false">
      <c r="A2997" s="15" t="n">
        <v>46147</v>
      </c>
      <c r="B2997" s="14" t="s">
        <v>81</v>
      </c>
      <c r="C2997" s="14" t="s">
        <v>82</v>
      </c>
      <c r="D2997" s="14" t="s">
        <v>83</v>
      </c>
      <c r="E2997" s="14" t="s">
        <v>45</v>
      </c>
      <c r="F2997" s="14" t="s">
        <v>46</v>
      </c>
      <c r="G2997" s="14" t="s">
        <v>47</v>
      </c>
      <c r="H2997" s="0" t="n">
        <v>6</v>
      </c>
      <c r="I2997" s="16" t="n">
        <v>44.47</v>
      </c>
      <c r="J2997" s="16" t="n">
        <v>18</v>
      </c>
      <c r="K2997" s="16" t="n">
        <f aca="false">H2997*I2997</f>
        <v>266.82</v>
      </c>
      <c r="L2997" s="16" t="n">
        <f aca="false">H2997*J2997</f>
        <v>108</v>
      </c>
      <c r="M2997" s="16" t="n">
        <f aca="false">K2997-L2997</f>
        <v>158.82</v>
      </c>
      <c r="N2997" s="17" t="n">
        <f aca="false">IFERROR(M2997/K2997,0)</f>
        <v>0.595232741173825</v>
      </c>
    </row>
    <row r="2998" customFormat="false" ht="15" hidden="false" customHeight="false" outlineLevel="0" collapsed="false">
      <c r="A2998" s="15" t="n">
        <v>46147</v>
      </c>
      <c r="B2998" s="14" t="s">
        <v>88</v>
      </c>
      <c r="C2998" s="14" t="s">
        <v>89</v>
      </c>
      <c r="D2998" s="14" t="s">
        <v>44</v>
      </c>
      <c r="E2998" s="14" t="s">
        <v>56</v>
      </c>
      <c r="F2998" s="14" t="s">
        <v>98</v>
      </c>
      <c r="G2998" s="14" t="s">
        <v>99</v>
      </c>
      <c r="H2998" s="0" t="n">
        <v>7</v>
      </c>
      <c r="I2998" s="16" t="n">
        <v>21.67</v>
      </c>
      <c r="J2998" s="16" t="n">
        <v>8</v>
      </c>
      <c r="K2998" s="16" t="n">
        <f aca="false">H2998*I2998</f>
        <v>151.69</v>
      </c>
      <c r="L2998" s="16" t="n">
        <f aca="false">H2998*J2998</f>
        <v>56</v>
      </c>
      <c r="M2998" s="16" t="n">
        <f aca="false">K2998-L2998</f>
        <v>95.69</v>
      </c>
      <c r="N2998" s="17" t="n">
        <f aca="false">IFERROR(M2998/K2998,0)</f>
        <v>0.630826026765113</v>
      </c>
    </row>
    <row r="2999" customFormat="false" ht="15" hidden="false" customHeight="false" outlineLevel="0" collapsed="false">
      <c r="A2999" s="15" t="n">
        <v>46147</v>
      </c>
      <c r="B2999" s="14" t="s">
        <v>88</v>
      </c>
      <c r="C2999" s="14" t="s">
        <v>89</v>
      </c>
      <c r="D2999" s="14" t="s">
        <v>44</v>
      </c>
      <c r="E2999" s="14" t="s">
        <v>64</v>
      </c>
      <c r="F2999" s="14" t="s">
        <v>65</v>
      </c>
      <c r="G2999" s="14" t="s">
        <v>66</v>
      </c>
      <c r="H2999" s="0" t="n">
        <v>4</v>
      </c>
      <c r="I2999" s="16" t="n">
        <v>76.26</v>
      </c>
      <c r="J2999" s="16" t="n">
        <v>34</v>
      </c>
      <c r="K2999" s="16" t="n">
        <f aca="false">H2999*I2999</f>
        <v>305.04</v>
      </c>
      <c r="L2999" s="16" t="n">
        <f aca="false">H2999*J2999</f>
        <v>136</v>
      </c>
      <c r="M2999" s="16" t="n">
        <f aca="false">K2999-L2999</f>
        <v>169.04</v>
      </c>
      <c r="N2999" s="17" t="n">
        <f aca="false">IFERROR(M2999/K2999,0)</f>
        <v>0.5541568318909</v>
      </c>
    </row>
    <row r="3000" customFormat="false" ht="15" hidden="false" customHeight="false" outlineLevel="0" collapsed="false">
      <c r="A3000" s="15" t="n">
        <v>46147</v>
      </c>
      <c r="B3000" s="14" t="s">
        <v>88</v>
      </c>
      <c r="C3000" s="14" t="s">
        <v>89</v>
      </c>
      <c r="D3000" s="14" t="s">
        <v>44</v>
      </c>
      <c r="E3000" s="14" t="s">
        <v>45</v>
      </c>
      <c r="F3000" s="14" t="s">
        <v>46</v>
      </c>
      <c r="G3000" s="14" t="s">
        <v>47</v>
      </c>
      <c r="H3000" s="0" t="n">
        <v>2</v>
      </c>
      <c r="I3000" s="16" t="n">
        <v>42.45</v>
      </c>
      <c r="J3000" s="16" t="n">
        <v>18</v>
      </c>
      <c r="K3000" s="16" t="n">
        <f aca="false">H3000*I3000</f>
        <v>84.9</v>
      </c>
      <c r="L3000" s="16" t="n">
        <f aca="false">H3000*J3000</f>
        <v>36</v>
      </c>
      <c r="M3000" s="16" t="n">
        <f aca="false">K3000-L3000</f>
        <v>48.9</v>
      </c>
      <c r="N3000" s="17" t="n">
        <f aca="false">IFERROR(M3000/K3000,0)</f>
        <v>0.575971731448763</v>
      </c>
    </row>
    <row r="3001" customFormat="false" ht="15" hidden="false" customHeight="false" outlineLevel="0" collapsed="false">
      <c r="A3001" s="15" t="n">
        <v>46147</v>
      </c>
      <c r="B3001" s="14" t="s">
        <v>88</v>
      </c>
      <c r="C3001" s="14" t="s">
        <v>89</v>
      </c>
      <c r="D3001" s="14" t="s">
        <v>44</v>
      </c>
      <c r="E3001" s="14" t="s">
        <v>64</v>
      </c>
      <c r="F3001" s="14" t="s">
        <v>65</v>
      </c>
      <c r="G3001" s="14" t="s">
        <v>66</v>
      </c>
      <c r="H3001" s="0" t="n">
        <v>8</v>
      </c>
      <c r="I3001" s="16" t="n">
        <v>78.05</v>
      </c>
      <c r="J3001" s="16" t="n">
        <v>34</v>
      </c>
      <c r="K3001" s="16" t="n">
        <f aca="false">H3001*I3001</f>
        <v>624.4</v>
      </c>
      <c r="L3001" s="16" t="n">
        <f aca="false">H3001*J3001</f>
        <v>272</v>
      </c>
      <c r="M3001" s="16" t="n">
        <f aca="false">K3001-L3001</f>
        <v>352.4</v>
      </c>
      <c r="N3001" s="17" t="n">
        <f aca="false">IFERROR(M3001/K3001,0)</f>
        <v>0.564381806534273</v>
      </c>
    </row>
    <row r="3002" customFormat="false" ht="15" hidden="false" customHeight="false" outlineLevel="0" collapsed="false">
      <c r="A3002" s="15" t="n">
        <v>46147</v>
      </c>
      <c r="B3002" s="14" t="s">
        <v>88</v>
      </c>
      <c r="C3002" s="14" t="s">
        <v>89</v>
      </c>
      <c r="D3002" s="14" t="s">
        <v>44</v>
      </c>
      <c r="E3002" s="14" t="s">
        <v>76</v>
      </c>
      <c r="F3002" s="14" t="s">
        <v>102</v>
      </c>
      <c r="G3002" s="14" t="s">
        <v>103</v>
      </c>
      <c r="H3002" s="0" t="n">
        <v>7</v>
      </c>
      <c r="I3002" s="16" t="n">
        <v>22.76</v>
      </c>
      <c r="J3002" s="16" t="n">
        <v>8.5</v>
      </c>
      <c r="K3002" s="16" t="n">
        <f aca="false">H3002*I3002</f>
        <v>159.32</v>
      </c>
      <c r="L3002" s="16" t="n">
        <f aca="false">H3002*J3002</f>
        <v>59.5</v>
      </c>
      <c r="M3002" s="16" t="n">
        <f aca="false">K3002-L3002</f>
        <v>99.82</v>
      </c>
      <c r="N3002" s="17" t="n">
        <f aca="false">IFERROR(M3002/K3002,0)</f>
        <v>0.626537785588752</v>
      </c>
    </row>
    <row r="3003" customFormat="false" ht="15" hidden="false" customHeight="false" outlineLevel="0" collapsed="false">
      <c r="A3003" s="15" t="n">
        <v>46147</v>
      </c>
      <c r="B3003" s="14" t="s">
        <v>88</v>
      </c>
      <c r="C3003" s="14" t="s">
        <v>89</v>
      </c>
      <c r="D3003" s="14" t="s">
        <v>44</v>
      </c>
      <c r="E3003" s="14" t="s">
        <v>53</v>
      </c>
      <c r="F3003" s="14" t="s">
        <v>92</v>
      </c>
      <c r="G3003" s="14" t="s">
        <v>93</v>
      </c>
      <c r="H3003" s="0" t="n">
        <v>10</v>
      </c>
      <c r="I3003" s="16" t="n">
        <v>117.92</v>
      </c>
      <c r="J3003" s="16" t="n">
        <v>52</v>
      </c>
      <c r="K3003" s="16" t="n">
        <f aca="false">H3003*I3003</f>
        <v>1179.2</v>
      </c>
      <c r="L3003" s="16" t="n">
        <f aca="false">H3003*J3003</f>
        <v>520</v>
      </c>
      <c r="M3003" s="16" t="n">
        <f aca="false">K3003-L3003</f>
        <v>659.2</v>
      </c>
      <c r="N3003" s="17" t="n">
        <f aca="false">IFERROR(M3003/K3003,0)</f>
        <v>0.559023066485753</v>
      </c>
    </row>
    <row r="3004" customFormat="false" ht="15" hidden="false" customHeight="false" outlineLevel="0" collapsed="false">
      <c r="A3004" s="15" t="n">
        <v>46148</v>
      </c>
      <c r="B3004" s="14" t="s">
        <v>42</v>
      </c>
      <c r="C3004" s="14" t="s">
        <v>43</v>
      </c>
      <c r="D3004" s="14" t="s">
        <v>44</v>
      </c>
      <c r="E3004" s="14" t="s">
        <v>64</v>
      </c>
      <c r="F3004" s="14" t="s">
        <v>94</v>
      </c>
      <c r="G3004" s="14" t="s">
        <v>95</v>
      </c>
      <c r="H3004" s="0" t="n">
        <v>4</v>
      </c>
      <c r="I3004" s="16" t="n">
        <v>92.74</v>
      </c>
      <c r="J3004" s="16" t="n">
        <v>42</v>
      </c>
      <c r="K3004" s="16" t="n">
        <f aca="false">H3004*I3004</f>
        <v>370.96</v>
      </c>
      <c r="L3004" s="16" t="n">
        <f aca="false">H3004*J3004</f>
        <v>168</v>
      </c>
      <c r="M3004" s="16" t="n">
        <f aca="false">K3004-L3004</f>
        <v>202.96</v>
      </c>
      <c r="N3004" s="17" t="n">
        <f aca="false">IFERROR(M3004/K3004,0)</f>
        <v>0.547120983394436</v>
      </c>
    </row>
    <row r="3005" customFormat="false" ht="15" hidden="false" customHeight="false" outlineLevel="0" collapsed="false">
      <c r="A3005" s="15" t="n">
        <v>46148</v>
      </c>
      <c r="B3005" s="14" t="s">
        <v>42</v>
      </c>
      <c r="C3005" s="14" t="s">
        <v>43</v>
      </c>
      <c r="D3005" s="14" t="s">
        <v>44</v>
      </c>
      <c r="E3005" s="14" t="s">
        <v>56</v>
      </c>
      <c r="F3005" s="14" t="s">
        <v>67</v>
      </c>
      <c r="G3005" s="14" t="s">
        <v>68</v>
      </c>
      <c r="H3005" s="0" t="n">
        <v>9</v>
      </c>
      <c r="I3005" s="16" t="n">
        <v>37.25</v>
      </c>
      <c r="J3005" s="16" t="n">
        <v>15</v>
      </c>
      <c r="K3005" s="16" t="n">
        <f aca="false">H3005*I3005</f>
        <v>335.25</v>
      </c>
      <c r="L3005" s="16" t="n">
        <f aca="false">H3005*J3005</f>
        <v>135</v>
      </c>
      <c r="M3005" s="16" t="n">
        <f aca="false">K3005-L3005</f>
        <v>200.25</v>
      </c>
      <c r="N3005" s="17" t="n">
        <f aca="false">IFERROR(M3005/K3005,0)</f>
        <v>0.597315436241611</v>
      </c>
    </row>
    <row r="3006" customFormat="false" ht="15" hidden="false" customHeight="false" outlineLevel="0" collapsed="false">
      <c r="A3006" s="15" t="n">
        <v>46148</v>
      </c>
      <c r="B3006" s="14" t="s">
        <v>42</v>
      </c>
      <c r="C3006" s="14" t="s">
        <v>43</v>
      </c>
      <c r="D3006" s="14" t="s">
        <v>44</v>
      </c>
      <c r="E3006" s="14" t="s">
        <v>53</v>
      </c>
      <c r="F3006" s="14" t="s">
        <v>84</v>
      </c>
      <c r="G3006" s="14" t="s">
        <v>85</v>
      </c>
      <c r="H3006" s="0" t="n">
        <v>3</v>
      </c>
      <c r="I3006" s="16" t="n">
        <v>23.67</v>
      </c>
      <c r="J3006" s="16" t="n">
        <v>9</v>
      </c>
      <c r="K3006" s="16" t="n">
        <f aca="false">H3006*I3006</f>
        <v>71.01</v>
      </c>
      <c r="L3006" s="16" t="n">
        <f aca="false">H3006*J3006</f>
        <v>27</v>
      </c>
      <c r="M3006" s="16" t="n">
        <f aca="false">K3006-L3006</f>
        <v>44.01</v>
      </c>
      <c r="N3006" s="17" t="n">
        <f aca="false">IFERROR(M3006/K3006,0)</f>
        <v>0.619771863117871</v>
      </c>
    </row>
    <row r="3007" customFormat="false" ht="15" hidden="false" customHeight="false" outlineLevel="0" collapsed="false">
      <c r="A3007" s="15" t="n">
        <v>46148</v>
      </c>
      <c r="B3007" s="14" t="s">
        <v>42</v>
      </c>
      <c r="C3007" s="14" t="s">
        <v>43</v>
      </c>
      <c r="D3007" s="14" t="s">
        <v>44</v>
      </c>
      <c r="E3007" s="14" t="s">
        <v>56</v>
      </c>
      <c r="F3007" s="14" t="s">
        <v>86</v>
      </c>
      <c r="G3007" s="14" t="s">
        <v>87</v>
      </c>
      <c r="H3007" s="0" t="n">
        <v>8</v>
      </c>
      <c r="I3007" s="16" t="n">
        <v>14.79</v>
      </c>
      <c r="J3007" s="16" t="n">
        <v>5</v>
      </c>
      <c r="K3007" s="16" t="n">
        <f aca="false">H3007*I3007</f>
        <v>118.32</v>
      </c>
      <c r="L3007" s="16" t="n">
        <f aca="false">H3007*J3007</f>
        <v>40</v>
      </c>
      <c r="M3007" s="16" t="n">
        <f aca="false">K3007-L3007</f>
        <v>78.32</v>
      </c>
      <c r="N3007" s="17" t="n">
        <f aca="false">IFERROR(M3007/K3007,0)</f>
        <v>0.661933739012847</v>
      </c>
    </row>
    <row r="3008" customFormat="false" ht="15" hidden="false" customHeight="false" outlineLevel="0" collapsed="false">
      <c r="A3008" s="15" t="n">
        <v>46148</v>
      </c>
      <c r="B3008" s="14" t="s">
        <v>50</v>
      </c>
      <c r="C3008" s="14" t="s">
        <v>51</v>
      </c>
      <c r="D3008" s="14" t="s">
        <v>52</v>
      </c>
      <c r="E3008" s="14" t="s">
        <v>45</v>
      </c>
      <c r="F3008" s="14" t="s">
        <v>72</v>
      </c>
      <c r="G3008" s="14" t="s">
        <v>73</v>
      </c>
      <c r="H3008" s="0" t="n">
        <v>7</v>
      </c>
      <c r="I3008" s="16" t="n">
        <v>50.43</v>
      </c>
      <c r="J3008" s="16" t="n">
        <v>21</v>
      </c>
      <c r="K3008" s="16" t="n">
        <f aca="false">H3008*I3008</f>
        <v>353.01</v>
      </c>
      <c r="L3008" s="16" t="n">
        <f aca="false">H3008*J3008</f>
        <v>147</v>
      </c>
      <c r="M3008" s="16" t="n">
        <f aca="false">K3008-L3008</f>
        <v>206.01</v>
      </c>
      <c r="N3008" s="17" t="n">
        <f aca="false">IFERROR(M3008/K3008,0)</f>
        <v>0.583581201665675</v>
      </c>
    </row>
    <row r="3009" customFormat="false" ht="15" hidden="false" customHeight="false" outlineLevel="0" collapsed="false">
      <c r="A3009" s="15" t="n">
        <v>46148</v>
      </c>
      <c r="B3009" s="14" t="s">
        <v>50</v>
      </c>
      <c r="C3009" s="14" t="s">
        <v>51</v>
      </c>
      <c r="D3009" s="14" t="s">
        <v>52</v>
      </c>
      <c r="E3009" s="14" t="s">
        <v>53</v>
      </c>
      <c r="F3009" s="14" t="s">
        <v>84</v>
      </c>
      <c r="G3009" s="14" t="s">
        <v>85</v>
      </c>
      <c r="H3009" s="0" t="n">
        <v>6</v>
      </c>
      <c r="I3009" s="16" t="n">
        <v>23.53</v>
      </c>
      <c r="J3009" s="16" t="n">
        <v>9</v>
      </c>
      <c r="K3009" s="16" t="n">
        <f aca="false">H3009*I3009</f>
        <v>141.18</v>
      </c>
      <c r="L3009" s="16" t="n">
        <f aca="false">H3009*J3009</f>
        <v>54</v>
      </c>
      <c r="M3009" s="16" t="n">
        <f aca="false">K3009-L3009</f>
        <v>87.18</v>
      </c>
      <c r="N3009" s="17" t="n">
        <f aca="false">IFERROR(M3009/K3009,0)</f>
        <v>0.617509562260943</v>
      </c>
    </row>
    <row r="3010" customFormat="false" ht="15" hidden="false" customHeight="false" outlineLevel="0" collapsed="false">
      <c r="A3010" s="15" t="n">
        <v>46148</v>
      </c>
      <c r="B3010" s="14" t="s">
        <v>59</v>
      </c>
      <c r="C3010" s="14" t="s">
        <v>60</v>
      </c>
      <c r="D3010" s="14" t="s">
        <v>61</v>
      </c>
      <c r="E3010" s="14" t="s">
        <v>76</v>
      </c>
      <c r="F3010" s="14" t="s">
        <v>102</v>
      </c>
      <c r="G3010" s="14" t="s">
        <v>103</v>
      </c>
      <c r="H3010" s="0" t="n">
        <v>8</v>
      </c>
      <c r="I3010" s="16" t="n">
        <v>23.8</v>
      </c>
      <c r="J3010" s="16" t="n">
        <v>8.5</v>
      </c>
      <c r="K3010" s="16" t="n">
        <f aca="false">H3010*I3010</f>
        <v>190.4</v>
      </c>
      <c r="L3010" s="16" t="n">
        <f aca="false">H3010*J3010</f>
        <v>68</v>
      </c>
      <c r="M3010" s="16" t="n">
        <f aca="false">K3010-L3010</f>
        <v>122.4</v>
      </c>
      <c r="N3010" s="17" t="n">
        <f aca="false">IFERROR(M3010/K3010,0)</f>
        <v>0.642857142857143</v>
      </c>
    </row>
    <row r="3011" customFormat="false" ht="15" hidden="false" customHeight="false" outlineLevel="0" collapsed="false">
      <c r="A3011" s="15" t="n">
        <v>46148</v>
      </c>
      <c r="B3011" s="14" t="s">
        <v>59</v>
      </c>
      <c r="C3011" s="14" t="s">
        <v>60</v>
      </c>
      <c r="D3011" s="14" t="s">
        <v>61</v>
      </c>
      <c r="E3011" s="14" t="s">
        <v>53</v>
      </c>
      <c r="F3011" s="14" t="s">
        <v>54</v>
      </c>
      <c r="G3011" s="14" t="s">
        <v>55</v>
      </c>
      <c r="H3011" s="0" t="n">
        <v>7</v>
      </c>
      <c r="I3011" s="16" t="n">
        <v>50.67</v>
      </c>
      <c r="J3011" s="16" t="n">
        <v>22</v>
      </c>
      <c r="K3011" s="16" t="n">
        <f aca="false">H3011*I3011</f>
        <v>354.69</v>
      </c>
      <c r="L3011" s="16" t="n">
        <f aca="false">H3011*J3011</f>
        <v>154</v>
      </c>
      <c r="M3011" s="16" t="n">
        <f aca="false">K3011-L3011</f>
        <v>200.69</v>
      </c>
      <c r="N3011" s="17" t="n">
        <f aca="false">IFERROR(M3011/K3011,0)</f>
        <v>0.565818038286955</v>
      </c>
    </row>
    <row r="3012" customFormat="false" ht="15" hidden="false" customHeight="false" outlineLevel="0" collapsed="false">
      <c r="A3012" s="15" t="n">
        <v>46148</v>
      </c>
      <c r="B3012" s="14" t="s">
        <v>59</v>
      </c>
      <c r="C3012" s="14" t="s">
        <v>60</v>
      </c>
      <c r="D3012" s="14" t="s">
        <v>61</v>
      </c>
      <c r="E3012" s="14" t="s">
        <v>53</v>
      </c>
      <c r="F3012" s="14" t="s">
        <v>92</v>
      </c>
      <c r="G3012" s="14" t="s">
        <v>93</v>
      </c>
      <c r="H3012" s="0" t="n">
        <v>6</v>
      </c>
      <c r="I3012" s="16" t="n">
        <v>117.66</v>
      </c>
      <c r="J3012" s="16" t="n">
        <v>52</v>
      </c>
      <c r="K3012" s="16" t="n">
        <f aca="false">H3012*I3012</f>
        <v>705.96</v>
      </c>
      <c r="L3012" s="16" t="n">
        <f aca="false">H3012*J3012</f>
        <v>312</v>
      </c>
      <c r="M3012" s="16" t="n">
        <f aca="false">K3012-L3012</f>
        <v>393.96</v>
      </c>
      <c r="N3012" s="17" t="n">
        <f aca="false">IFERROR(M3012/K3012,0)</f>
        <v>0.558048614652388</v>
      </c>
    </row>
    <row r="3013" customFormat="false" ht="15" hidden="false" customHeight="false" outlineLevel="0" collapsed="false">
      <c r="A3013" s="15" t="n">
        <v>46148</v>
      </c>
      <c r="B3013" s="14" t="s">
        <v>59</v>
      </c>
      <c r="C3013" s="14" t="s">
        <v>60</v>
      </c>
      <c r="D3013" s="14" t="s">
        <v>61</v>
      </c>
      <c r="E3013" s="14" t="s">
        <v>56</v>
      </c>
      <c r="F3013" s="14" t="s">
        <v>86</v>
      </c>
      <c r="G3013" s="14" t="s">
        <v>87</v>
      </c>
      <c r="H3013" s="0" t="n">
        <v>6</v>
      </c>
      <c r="I3013" s="16" t="n">
        <v>14.54</v>
      </c>
      <c r="J3013" s="16" t="n">
        <v>5</v>
      </c>
      <c r="K3013" s="16" t="n">
        <f aca="false">H3013*I3013</f>
        <v>87.24</v>
      </c>
      <c r="L3013" s="16" t="n">
        <f aca="false">H3013*J3013</f>
        <v>30</v>
      </c>
      <c r="M3013" s="16" t="n">
        <f aca="false">K3013-L3013</f>
        <v>57.24</v>
      </c>
      <c r="N3013" s="17" t="n">
        <f aca="false">IFERROR(M3013/K3013,0)</f>
        <v>0.656121045392022</v>
      </c>
    </row>
    <row r="3014" customFormat="false" ht="15" hidden="false" customHeight="false" outlineLevel="0" collapsed="false">
      <c r="A3014" s="15" t="n">
        <v>46148</v>
      </c>
      <c r="B3014" s="14" t="s">
        <v>59</v>
      </c>
      <c r="C3014" s="14" t="s">
        <v>60</v>
      </c>
      <c r="D3014" s="14" t="s">
        <v>61</v>
      </c>
      <c r="E3014" s="14" t="s">
        <v>45</v>
      </c>
      <c r="F3014" s="14" t="s">
        <v>62</v>
      </c>
      <c r="G3014" s="14" t="s">
        <v>63</v>
      </c>
      <c r="H3014" s="0" t="n">
        <v>2</v>
      </c>
      <c r="I3014" s="16" t="n">
        <v>16.69</v>
      </c>
      <c r="J3014" s="16" t="n">
        <v>6.5</v>
      </c>
      <c r="K3014" s="16" t="n">
        <f aca="false">H3014*I3014</f>
        <v>33.38</v>
      </c>
      <c r="L3014" s="16" t="n">
        <f aca="false">H3014*J3014</f>
        <v>13</v>
      </c>
      <c r="M3014" s="16" t="n">
        <f aca="false">K3014-L3014</f>
        <v>20.38</v>
      </c>
      <c r="N3014" s="17" t="n">
        <f aca="false">IFERROR(M3014/K3014,0)</f>
        <v>0.610545236668664</v>
      </c>
    </row>
    <row r="3015" customFormat="false" ht="15" hidden="false" customHeight="false" outlineLevel="0" collapsed="false">
      <c r="A3015" s="15" t="n">
        <v>46148</v>
      </c>
      <c r="B3015" s="14" t="s">
        <v>69</v>
      </c>
      <c r="C3015" s="14" t="s">
        <v>70</v>
      </c>
      <c r="D3015" s="14" t="s">
        <v>71</v>
      </c>
      <c r="E3015" s="14" t="s">
        <v>64</v>
      </c>
      <c r="F3015" s="14" t="s">
        <v>94</v>
      </c>
      <c r="G3015" s="14" t="s">
        <v>95</v>
      </c>
      <c r="H3015" s="0" t="n">
        <v>3</v>
      </c>
      <c r="I3015" s="16" t="n">
        <v>96.75</v>
      </c>
      <c r="J3015" s="16" t="n">
        <v>42</v>
      </c>
      <c r="K3015" s="16" t="n">
        <f aca="false">H3015*I3015</f>
        <v>290.25</v>
      </c>
      <c r="L3015" s="16" t="n">
        <f aca="false">H3015*J3015</f>
        <v>126</v>
      </c>
      <c r="M3015" s="16" t="n">
        <f aca="false">K3015-L3015</f>
        <v>164.25</v>
      </c>
      <c r="N3015" s="17" t="n">
        <f aca="false">IFERROR(M3015/K3015,0)</f>
        <v>0.565891472868217</v>
      </c>
    </row>
    <row r="3016" customFormat="false" ht="15" hidden="false" customHeight="false" outlineLevel="0" collapsed="false">
      <c r="A3016" s="15" t="n">
        <v>46148</v>
      </c>
      <c r="B3016" s="14" t="s">
        <v>69</v>
      </c>
      <c r="C3016" s="14" t="s">
        <v>70</v>
      </c>
      <c r="D3016" s="14" t="s">
        <v>71</v>
      </c>
      <c r="E3016" s="14" t="s">
        <v>56</v>
      </c>
      <c r="F3016" s="14" t="s">
        <v>67</v>
      </c>
      <c r="G3016" s="14" t="s">
        <v>68</v>
      </c>
      <c r="H3016" s="0" t="n">
        <v>6</v>
      </c>
      <c r="I3016" s="16" t="n">
        <v>35.36</v>
      </c>
      <c r="J3016" s="16" t="n">
        <v>15</v>
      </c>
      <c r="K3016" s="16" t="n">
        <f aca="false">H3016*I3016</f>
        <v>212.16</v>
      </c>
      <c r="L3016" s="16" t="n">
        <f aca="false">H3016*J3016</f>
        <v>90</v>
      </c>
      <c r="M3016" s="16" t="n">
        <f aca="false">K3016-L3016</f>
        <v>122.16</v>
      </c>
      <c r="N3016" s="17" t="n">
        <f aca="false">IFERROR(M3016/K3016,0)</f>
        <v>0.57579185520362</v>
      </c>
    </row>
    <row r="3017" customFormat="false" ht="15" hidden="false" customHeight="false" outlineLevel="0" collapsed="false">
      <c r="A3017" s="15" t="n">
        <v>46148</v>
      </c>
      <c r="B3017" s="14" t="s">
        <v>69</v>
      </c>
      <c r="C3017" s="14" t="s">
        <v>70</v>
      </c>
      <c r="D3017" s="14" t="s">
        <v>71</v>
      </c>
      <c r="E3017" s="14" t="s">
        <v>64</v>
      </c>
      <c r="F3017" s="14" t="s">
        <v>65</v>
      </c>
      <c r="G3017" s="14" t="s">
        <v>66</v>
      </c>
      <c r="H3017" s="0" t="n">
        <v>4</v>
      </c>
      <c r="I3017" s="16" t="n">
        <v>76.56</v>
      </c>
      <c r="J3017" s="16" t="n">
        <v>34</v>
      </c>
      <c r="K3017" s="16" t="n">
        <f aca="false">H3017*I3017</f>
        <v>306.24</v>
      </c>
      <c r="L3017" s="16" t="n">
        <f aca="false">H3017*J3017</f>
        <v>136</v>
      </c>
      <c r="M3017" s="16" t="n">
        <f aca="false">K3017-L3017</f>
        <v>170.24</v>
      </c>
      <c r="N3017" s="17" t="n">
        <f aca="false">IFERROR(M3017/K3017,0)</f>
        <v>0.555903866248694</v>
      </c>
    </row>
    <row r="3018" customFormat="false" ht="15" hidden="false" customHeight="false" outlineLevel="0" collapsed="false">
      <c r="A3018" s="15" t="n">
        <v>46148</v>
      </c>
      <c r="B3018" s="14" t="s">
        <v>69</v>
      </c>
      <c r="C3018" s="14" t="s">
        <v>70</v>
      </c>
      <c r="D3018" s="14" t="s">
        <v>71</v>
      </c>
      <c r="E3018" s="14" t="s">
        <v>45</v>
      </c>
      <c r="F3018" s="14" t="s">
        <v>46</v>
      </c>
      <c r="G3018" s="14" t="s">
        <v>47</v>
      </c>
      <c r="H3018" s="0" t="n">
        <v>3</v>
      </c>
      <c r="I3018" s="16" t="n">
        <v>42.99</v>
      </c>
      <c r="J3018" s="16" t="n">
        <v>18</v>
      </c>
      <c r="K3018" s="16" t="n">
        <f aca="false">H3018*I3018</f>
        <v>128.97</v>
      </c>
      <c r="L3018" s="16" t="n">
        <f aca="false">H3018*J3018</f>
        <v>54</v>
      </c>
      <c r="M3018" s="16" t="n">
        <f aca="false">K3018-L3018</f>
        <v>74.97</v>
      </c>
      <c r="N3018" s="17" t="n">
        <f aca="false">IFERROR(M3018/K3018,0)</f>
        <v>0.581297976273552</v>
      </c>
    </row>
    <row r="3019" customFormat="false" ht="15" hidden="false" customHeight="false" outlineLevel="0" collapsed="false">
      <c r="A3019" s="15" t="n">
        <v>46148</v>
      </c>
      <c r="B3019" s="14" t="s">
        <v>69</v>
      </c>
      <c r="C3019" s="14" t="s">
        <v>70</v>
      </c>
      <c r="D3019" s="14" t="s">
        <v>71</v>
      </c>
      <c r="E3019" s="14" t="s">
        <v>45</v>
      </c>
      <c r="F3019" s="14" t="s">
        <v>62</v>
      </c>
      <c r="G3019" s="14" t="s">
        <v>63</v>
      </c>
      <c r="H3019" s="0" t="n">
        <v>3</v>
      </c>
      <c r="I3019" s="16" t="n">
        <v>17.52</v>
      </c>
      <c r="J3019" s="16" t="n">
        <v>6.5</v>
      </c>
      <c r="K3019" s="16" t="n">
        <f aca="false">H3019*I3019</f>
        <v>52.56</v>
      </c>
      <c r="L3019" s="16" t="n">
        <f aca="false">H3019*J3019</f>
        <v>19.5</v>
      </c>
      <c r="M3019" s="16" t="n">
        <f aca="false">K3019-L3019</f>
        <v>33.06</v>
      </c>
      <c r="N3019" s="17" t="n">
        <f aca="false">IFERROR(M3019/K3019,0)</f>
        <v>0.628995433789954</v>
      </c>
    </row>
    <row r="3020" customFormat="false" ht="15" hidden="false" customHeight="false" outlineLevel="0" collapsed="false">
      <c r="A3020" s="15" t="n">
        <v>46148</v>
      </c>
      <c r="B3020" s="14" t="s">
        <v>69</v>
      </c>
      <c r="C3020" s="14" t="s">
        <v>70</v>
      </c>
      <c r="D3020" s="14" t="s">
        <v>71</v>
      </c>
      <c r="E3020" s="14" t="s">
        <v>76</v>
      </c>
      <c r="F3020" s="14" t="s">
        <v>79</v>
      </c>
      <c r="G3020" s="14" t="s">
        <v>80</v>
      </c>
      <c r="H3020" s="0" t="n">
        <v>7</v>
      </c>
      <c r="I3020" s="16" t="n">
        <v>28.14</v>
      </c>
      <c r="J3020" s="16" t="n">
        <v>11</v>
      </c>
      <c r="K3020" s="16" t="n">
        <f aca="false">H3020*I3020</f>
        <v>196.98</v>
      </c>
      <c r="L3020" s="16" t="n">
        <f aca="false">H3020*J3020</f>
        <v>77</v>
      </c>
      <c r="M3020" s="16" t="n">
        <f aca="false">K3020-L3020</f>
        <v>119.98</v>
      </c>
      <c r="N3020" s="17" t="n">
        <f aca="false">IFERROR(M3020/K3020,0)</f>
        <v>0.6090973702914</v>
      </c>
    </row>
    <row r="3021" customFormat="false" ht="15" hidden="false" customHeight="false" outlineLevel="0" collapsed="false">
      <c r="A3021" s="15" t="n">
        <v>46148</v>
      </c>
      <c r="B3021" s="14" t="s">
        <v>81</v>
      </c>
      <c r="C3021" s="14" t="s">
        <v>82</v>
      </c>
      <c r="D3021" s="14" t="s">
        <v>83</v>
      </c>
      <c r="E3021" s="14" t="s">
        <v>53</v>
      </c>
      <c r="F3021" s="14" t="s">
        <v>54</v>
      </c>
      <c r="G3021" s="14" t="s">
        <v>55</v>
      </c>
      <c r="H3021" s="0" t="n">
        <v>8</v>
      </c>
      <c r="I3021" s="16" t="n">
        <v>53.45</v>
      </c>
      <c r="J3021" s="16" t="n">
        <v>22</v>
      </c>
      <c r="K3021" s="16" t="n">
        <f aca="false">H3021*I3021</f>
        <v>427.6</v>
      </c>
      <c r="L3021" s="16" t="n">
        <f aca="false">H3021*J3021</f>
        <v>176</v>
      </c>
      <c r="M3021" s="16" t="n">
        <f aca="false">K3021-L3021</f>
        <v>251.6</v>
      </c>
      <c r="N3021" s="17" t="n">
        <f aca="false">IFERROR(M3021/K3021,0)</f>
        <v>0.588400374181478</v>
      </c>
    </row>
    <row r="3022" customFormat="false" ht="15" hidden="false" customHeight="false" outlineLevel="0" collapsed="false">
      <c r="A3022" s="15" t="n">
        <v>46148</v>
      </c>
      <c r="B3022" s="14" t="s">
        <v>81</v>
      </c>
      <c r="C3022" s="14" t="s">
        <v>82</v>
      </c>
      <c r="D3022" s="14" t="s">
        <v>83</v>
      </c>
      <c r="E3022" s="14" t="s">
        <v>53</v>
      </c>
      <c r="F3022" s="14" t="s">
        <v>54</v>
      </c>
      <c r="G3022" s="14" t="s">
        <v>55</v>
      </c>
      <c r="H3022" s="0" t="n">
        <v>1</v>
      </c>
      <c r="I3022" s="16" t="n">
        <v>51.91</v>
      </c>
      <c r="J3022" s="16" t="n">
        <v>22</v>
      </c>
      <c r="K3022" s="16" t="n">
        <f aca="false">H3022*I3022</f>
        <v>51.91</v>
      </c>
      <c r="L3022" s="16" t="n">
        <f aca="false">H3022*J3022</f>
        <v>22</v>
      </c>
      <c r="M3022" s="16" t="n">
        <f aca="false">K3022-L3022</f>
        <v>29.91</v>
      </c>
      <c r="N3022" s="17" t="n">
        <f aca="false">IFERROR(M3022/K3022,0)</f>
        <v>0.576189558851859</v>
      </c>
    </row>
    <row r="3023" customFormat="false" ht="15" hidden="false" customHeight="false" outlineLevel="0" collapsed="false">
      <c r="A3023" s="15" t="n">
        <v>46148</v>
      </c>
      <c r="B3023" s="14" t="s">
        <v>81</v>
      </c>
      <c r="C3023" s="14" t="s">
        <v>82</v>
      </c>
      <c r="D3023" s="14" t="s">
        <v>83</v>
      </c>
      <c r="E3023" s="14" t="s">
        <v>45</v>
      </c>
      <c r="F3023" s="14" t="s">
        <v>72</v>
      </c>
      <c r="G3023" s="14" t="s">
        <v>73</v>
      </c>
      <c r="H3023" s="0" t="n">
        <v>6</v>
      </c>
      <c r="I3023" s="16" t="n">
        <v>49.56</v>
      </c>
      <c r="J3023" s="16" t="n">
        <v>21</v>
      </c>
      <c r="K3023" s="16" t="n">
        <f aca="false">H3023*I3023</f>
        <v>297.36</v>
      </c>
      <c r="L3023" s="16" t="n">
        <f aca="false">H3023*J3023</f>
        <v>126</v>
      </c>
      <c r="M3023" s="16" t="n">
        <f aca="false">K3023-L3023</f>
        <v>171.36</v>
      </c>
      <c r="N3023" s="17" t="n">
        <f aca="false">IFERROR(M3023/K3023,0)</f>
        <v>0.576271186440678</v>
      </c>
    </row>
    <row r="3024" customFormat="false" ht="15" hidden="false" customHeight="false" outlineLevel="0" collapsed="false">
      <c r="A3024" s="15" t="n">
        <v>46148</v>
      </c>
      <c r="B3024" s="14" t="s">
        <v>88</v>
      </c>
      <c r="C3024" s="14" t="s">
        <v>89</v>
      </c>
      <c r="D3024" s="14" t="s">
        <v>44</v>
      </c>
      <c r="E3024" s="14" t="s">
        <v>56</v>
      </c>
      <c r="F3024" s="14" t="s">
        <v>86</v>
      </c>
      <c r="G3024" s="14" t="s">
        <v>87</v>
      </c>
      <c r="H3024" s="0" t="n">
        <v>7</v>
      </c>
      <c r="I3024" s="16" t="n">
        <v>14.02</v>
      </c>
      <c r="J3024" s="16" t="n">
        <v>5</v>
      </c>
      <c r="K3024" s="16" t="n">
        <f aca="false">H3024*I3024</f>
        <v>98.14</v>
      </c>
      <c r="L3024" s="16" t="n">
        <f aca="false">H3024*J3024</f>
        <v>35</v>
      </c>
      <c r="M3024" s="16" t="n">
        <f aca="false">K3024-L3024</f>
        <v>63.14</v>
      </c>
      <c r="N3024" s="17" t="n">
        <f aca="false">IFERROR(M3024/K3024,0)</f>
        <v>0.643366619115549</v>
      </c>
    </row>
    <row r="3025" customFormat="false" ht="15" hidden="false" customHeight="false" outlineLevel="0" collapsed="false">
      <c r="A3025" s="15" t="n">
        <v>46148</v>
      </c>
      <c r="B3025" s="14" t="s">
        <v>88</v>
      </c>
      <c r="C3025" s="14" t="s">
        <v>89</v>
      </c>
      <c r="D3025" s="14" t="s">
        <v>44</v>
      </c>
      <c r="E3025" s="14" t="s">
        <v>56</v>
      </c>
      <c r="F3025" s="14" t="s">
        <v>57</v>
      </c>
      <c r="G3025" s="14" t="s">
        <v>58</v>
      </c>
      <c r="H3025" s="0" t="n">
        <v>7</v>
      </c>
      <c r="I3025" s="16" t="n">
        <v>26.45</v>
      </c>
      <c r="J3025" s="16" t="n">
        <v>10</v>
      </c>
      <c r="K3025" s="16" t="n">
        <f aca="false">H3025*I3025</f>
        <v>185.15</v>
      </c>
      <c r="L3025" s="16" t="n">
        <f aca="false">H3025*J3025</f>
        <v>70</v>
      </c>
      <c r="M3025" s="16" t="n">
        <f aca="false">K3025-L3025</f>
        <v>115.15</v>
      </c>
      <c r="N3025" s="17" t="n">
        <f aca="false">IFERROR(M3025/K3025,0)</f>
        <v>0.621928166351607</v>
      </c>
    </row>
    <row r="3026" customFormat="false" ht="15" hidden="false" customHeight="false" outlineLevel="0" collapsed="false">
      <c r="A3026" s="15" t="n">
        <v>46148</v>
      </c>
      <c r="B3026" s="14" t="s">
        <v>88</v>
      </c>
      <c r="C3026" s="14" t="s">
        <v>89</v>
      </c>
      <c r="D3026" s="14" t="s">
        <v>44</v>
      </c>
      <c r="E3026" s="14" t="s">
        <v>76</v>
      </c>
      <c r="F3026" s="14" t="s">
        <v>102</v>
      </c>
      <c r="G3026" s="14" t="s">
        <v>103</v>
      </c>
      <c r="H3026" s="0" t="n">
        <v>8</v>
      </c>
      <c r="I3026" s="16" t="n">
        <v>22.79</v>
      </c>
      <c r="J3026" s="16" t="n">
        <v>8.5</v>
      </c>
      <c r="K3026" s="16" t="n">
        <f aca="false">H3026*I3026</f>
        <v>182.32</v>
      </c>
      <c r="L3026" s="16" t="n">
        <f aca="false">H3026*J3026</f>
        <v>68</v>
      </c>
      <c r="M3026" s="16" t="n">
        <f aca="false">K3026-L3026</f>
        <v>114.32</v>
      </c>
      <c r="N3026" s="17" t="n">
        <f aca="false">IFERROR(M3026/K3026,0)</f>
        <v>0.627029398859149</v>
      </c>
    </row>
    <row r="3027" customFormat="false" ht="15" hidden="false" customHeight="false" outlineLevel="0" collapsed="false">
      <c r="A3027" s="15" t="n">
        <v>46148</v>
      </c>
      <c r="B3027" s="14" t="s">
        <v>88</v>
      </c>
      <c r="C3027" s="14" t="s">
        <v>89</v>
      </c>
      <c r="D3027" s="14" t="s">
        <v>44</v>
      </c>
      <c r="E3027" s="14" t="s">
        <v>53</v>
      </c>
      <c r="F3027" s="14" t="s">
        <v>92</v>
      </c>
      <c r="G3027" s="14" t="s">
        <v>93</v>
      </c>
      <c r="H3027" s="0" t="n">
        <v>8</v>
      </c>
      <c r="I3027" s="16" t="n">
        <v>111.14</v>
      </c>
      <c r="J3027" s="16" t="n">
        <v>52</v>
      </c>
      <c r="K3027" s="16" t="n">
        <f aca="false">H3027*I3027</f>
        <v>889.12</v>
      </c>
      <c r="L3027" s="16" t="n">
        <f aca="false">H3027*J3027</f>
        <v>416</v>
      </c>
      <c r="M3027" s="16" t="n">
        <f aca="false">K3027-L3027</f>
        <v>473.12</v>
      </c>
      <c r="N3027" s="17" t="n">
        <f aca="false">IFERROR(M3027/K3027,0)</f>
        <v>0.532121648371423</v>
      </c>
    </row>
    <row r="3028" customFormat="false" ht="15" hidden="false" customHeight="false" outlineLevel="0" collapsed="false">
      <c r="A3028" s="15" t="n">
        <v>46148</v>
      </c>
      <c r="B3028" s="14" t="s">
        <v>88</v>
      </c>
      <c r="C3028" s="14" t="s">
        <v>89</v>
      </c>
      <c r="D3028" s="14" t="s">
        <v>44</v>
      </c>
      <c r="E3028" s="14" t="s">
        <v>53</v>
      </c>
      <c r="F3028" s="14" t="s">
        <v>92</v>
      </c>
      <c r="G3028" s="14" t="s">
        <v>93</v>
      </c>
      <c r="H3028" s="0" t="n">
        <v>5</v>
      </c>
      <c r="I3028" s="16" t="n">
        <v>118.04</v>
      </c>
      <c r="J3028" s="16" t="n">
        <v>52</v>
      </c>
      <c r="K3028" s="16" t="n">
        <f aca="false">H3028*I3028</f>
        <v>590.2</v>
      </c>
      <c r="L3028" s="16" t="n">
        <f aca="false">H3028*J3028</f>
        <v>260</v>
      </c>
      <c r="M3028" s="16" t="n">
        <f aca="false">K3028-L3028</f>
        <v>330.2</v>
      </c>
      <c r="N3028" s="17" t="n">
        <f aca="false">IFERROR(M3028/K3028,0)</f>
        <v>0.559471365638767</v>
      </c>
    </row>
    <row r="3029" customFormat="false" ht="15" hidden="false" customHeight="false" outlineLevel="0" collapsed="false">
      <c r="A3029" s="15" t="n">
        <v>46148</v>
      </c>
      <c r="B3029" s="14" t="s">
        <v>88</v>
      </c>
      <c r="C3029" s="14" t="s">
        <v>89</v>
      </c>
      <c r="D3029" s="14" t="s">
        <v>44</v>
      </c>
      <c r="E3029" s="14" t="s">
        <v>56</v>
      </c>
      <c r="F3029" s="14" t="s">
        <v>86</v>
      </c>
      <c r="G3029" s="14" t="s">
        <v>87</v>
      </c>
      <c r="H3029" s="0" t="n">
        <v>2</v>
      </c>
      <c r="I3029" s="16" t="n">
        <v>14.98</v>
      </c>
      <c r="J3029" s="16" t="n">
        <v>5</v>
      </c>
      <c r="K3029" s="16" t="n">
        <f aca="false">H3029*I3029</f>
        <v>29.96</v>
      </c>
      <c r="L3029" s="16" t="n">
        <f aca="false">H3029*J3029</f>
        <v>10</v>
      </c>
      <c r="M3029" s="16" t="n">
        <f aca="false">K3029-L3029</f>
        <v>19.96</v>
      </c>
      <c r="N3029" s="17" t="n">
        <f aca="false">IFERROR(M3029/K3029,0)</f>
        <v>0.666221628838451</v>
      </c>
    </row>
    <row r="3030" customFormat="false" ht="15" hidden="false" customHeight="false" outlineLevel="0" collapsed="false">
      <c r="A3030" s="15" t="n">
        <v>46149</v>
      </c>
      <c r="B3030" s="14" t="s">
        <v>42</v>
      </c>
      <c r="C3030" s="14" t="s">
        <v>43</v>
      </c>
      <c r="D3030" s="14" t="s">
        <v>44</v>
      </c>
      <c r="E3030" s="14" t="s">
        <v>64</v>
      </c>
      <c r="F3030" s="14" t="s">
        <v>94</v>
      </c>
      <c r="G3030" s="14" t="s">
        <v>95</v>
      </c>
      <c r="H3030" s="0" t="n">
        <v>3</v>
      </c>
      <c r="I3030" s="16" t="n">
        <v>97.47</v>
      </c>
      <c r="J3030" s="16" t="n">
        <v>42</v>
      </c>
      <c r="K3030" s="16" t="n">
        <f aca="false">H3030*I3030</f>
        <v>292.41</v>
      </c>
      <c r="L3030" s="16" t="n">
        <f aca="false">H3030*J3030</f>
        <v>126</v>
      </c>
      <c r="M3030" s="16" t="n">
        <f aca="false">K3030-L3030</f>
        <v>166.41</v>
      </c>
      <c r="N3030" s="17" t="n">
        <f aca="false">IFERROR(M3030/K3030,0)</f>
        <v>0.569098184056633</v>
      </c>
    </row>
    <row r="3031" customFormat="false" ht="15" hidden="false" customHeight="false" outlineLevel="0" collapsed="false">
      <c r="A3031" s="15" t="n">
        <v>46149</v>
      </c>
      <c r="B3031" s="14" t="s">
        <v>42</v>
      </c>
      <c r="C3031" s="14" t="s">
        <v>43</v>
      </c>
      <c r="D3031" s="14" t="s">
        <v>44</v>
      </c>
      <c r="E3031" s="14" t="s">
        <v>56</v>
      </c>
      <c r="F3031" s="14" t="s">
        <v>86</v>
      </c>
      <c r="G3031" s="14" t="s">
        <v>87</v>
      </c>
      <c r="H3031" s="0" t="n">
        <v>8</v>
      </c>
      <c r="I3031" s="16" t="n">
        <v>14.66</v>
      </c>
      <c r="J3031" s="16" t="n">
        <v>5</v>
      </c>
      <c r="K3031" s="16" t="n">
        <f aca="false">H3031*I3031</f>
        <v>117.28</v>
      </c>
      <c r="L3031" s="16" t="n">
        <f aca="false">H3031*J3031</f>
        <v>40</v>
      </c>
      <c r="M3031" s="16" t="n">
        <f aca="false">K3031-L3031</f>
        <v>77.28</v>
      </c>
      <c r="N3031" s="17" t="n">
        <f aca="false">IFERROR(M3031/K3031,0)</f>
        <v>0.65893587994543</v>
      </c>
    </row>
    <row r="3032" customFormat="false" ht="15" hidden="false" customHeight="false" outlineLevel="0" collapsed="false">
      <c r="A3032" s="15" t="n">
        <v>46149</v>
      </c>
      <c r="B3032" s="14" t="s">
        <v>42</v>
      </c>
      <c r="C3032" s="14" t="s">
        <v>43</v>
      </c>
      <c r="D3032" s="14" t="s">
        <v>44</v>
      </c>
      <c r="E3032" s="14" t="s">
        <v>56</v>
      </c>
      <c r="F3032" s="14" t="s">
        <v>86</v>
      </c>
      <c r="G3032" s="14" t="s">
        <v>87</v>
      </c>
      <c r="H3032" s="0" t="n">
        <v>10</v>
      </c>
      <c r="I3032" s="16" t="n">
        <v>14.12</v>
      </c>
      <c r="J3032" s="16" t="n">
        <v>5</v>
      </c>
      <c r="K3032" s="16" t="n">
        <f aca="false">H3032*I3032</f>
        <v>141.2</v>
      </c>
      <c r="L3032" s="16" t="n">
        <f aca="false">H3032*J3032</f>
        <v>50</v>
      </c>
      <c r="M3032" s="16" t="n">
        <f aca="false">K3032-L3032</f>
        <v>91.2</v>
      </c>
      <c r="N3032" s="17" t="n">
        <f aca="false">IFERROR(M3032/K3032,0)</f>
        <v>0.645892351274788</v>
      </c>
    </row>
    <row r="3033" customFormat="false" ht="15" hidden="false" customHeight="false" outlineLevel="0" collapsed="false">
      <c r="A3033" s="15" t="n">
        <v>46149</v>
      </c>
      <c r="B3033" s="14" t="s">
        <v>42</v>
      </c>
      <c r="C3033" s="14" t="s">
        <v>43</v>
      </c>
      <c r="D3033" s="14" t="s">
        <v>44</v>
      </c>
      <c r="E3033" s="14" t="s">
        <v>45</v>
      </c>
      <c r="F3033" s="14" t="s">
        <v>72</v>
      </c>
      <c r="G3033" s="14" t="s">
        <v>73</v>
      </c>
      <c r="H3033" s="0" t="n">
        <v>10</v>
      </c>
      <c r="I3033" s="16" t="n">
        <v>49.91</v>
      </c>
      <c r="J3033" s="16" t="n">
        <v>21</v>
      </c>
      <c r="K3033" s="16" t="n">
        <f aca="false">H3033*I3033</f>
        <v>499.1</v>
      </c>
      <c r="L3033" s="16" t="n">
        <f aca="false">H3033*J3033</f>
        <v>210</v>
      </c>
      <c r="M3033" s="16" t="n">
        <f aca="false">K3033-L3033</f>
        <v>289.1</v>
      </c>
      <c r="N3033" s="17" t="n">
        <f aca="false">IFERROR(M3033/K3033,0)</f>
        <v>0.579242636746143</v>
      </c>
    </row>
    <row r="3034" customFormat="false" ht="15" hidden="false" customHeight="false" outlineLevel="0" collapsed="false">
      <c r="A3034" s="15" t="n">
        <v>46149</v>
      </c>
      <c r="B3034" s="14" t="s">
        <v>42</v>
      </c>
      <c r="C3034" s="14" t="s">
        <v>43</v>
      </c>
      <c r="D3034" s="14" t="s">
        <v>44</v>
      </c>
      <c r="E3034" s="14" t="s">
        <v>64</v>
      </c>
      <c r="F3034" s="14" t="s">
        <v>65</v>
      </c>
      <c r="G3034" s="14" t="s">
        <v>66</v>
      </c>
      <c r="H3034" s="0" t="n">
        <v>4</v>
      </c>
      <c r="I3034" s="16" t="n">
        <v>72.82</v>
      </c>
      <c r="J3034" s="16" t="n">
        <v>34</v>
      </c>
      <c r="K3034" s="16" t="n">
        <f aca="false">H3034*I3034</f>
        <v>291.28</v>
      </c>
      <c r="L3034" s="16" t="n">
        <f aca="false">H3034*J3034</f>
        <v>136</v>
      </c>
      <c r="M3034" s="16" t="n">
        <f aca="false">K3034-L3034</f>
        <v>155.28</v>
      </c>
      <c r="N3034" s="17" t="n">
        <f aca="false">IFERROR(M3034/K3034,0)</f>
        <v>0.533095303488053</v>
      </c>
    </row>
    <row r="3035" customFormat="false" ht="15" hidden="false" customHeight="false" outlineLevel="0" collapsed="false">
      <c r="A3035" s="15" t="n">
        <v>46149</v>
      </c>
      <c r="B3035" s="14" t="s">
        <v>42</v>
      </c>
      <c r="C3035" s="14" t="s">
        <v>43</v>
      </c>
      <c r="D3035" s="14" t="s">
        <v>44</v>
      </c>
      <c r="E3035" s="14" t="s">
        <v>64</v>
      </c>
      <c r="F3035" s="14" t="s">
        <v>65</v>
      </c>
      <c r="G3035" s="14" t="s">
        <v>66</v>
      </c>
      <c r="H3035" s="0" t="n">
        <v>8</v>
      </c>
      <c r="I3035" s="16" t="n">
        <v>75.69</v>
      </c>
      <c r="J3035" s="16" t="n">
        <v>34</v>
      </c>
      <c r="K3035" s="16" t="n">
        <f aca="false">H3035*I3035</f>
        <v>605.52</v>
      </c>
      <c r="L3035" s="16" t="n">
        <f aca="false">H3035*J3035</f>
        <v>272</v>
      </c>
      <c r="M3035" s="16" t="n">
        <f aca="false">K3035-L3035</f>
        <v>333.52</v>
      </c>
      <c r="N3035" s="17" t="n">
        <f aca="false">IFERROR(M3035/K3035,0)</f>
        <v>0.550799312987185</v>
      </c>
    </row>
    <row r="3036" customFormat="false" ht="15" hidden="false" customHeight="false" outlineLevel="0" collapsed="false">
      <c r="A3036" s="15" t="n">
        <v>46149</v>
      </c>
      <c r="B3036" s="14" t="s">
        <v>50</v>
      </c>
      <c r="C3036" s="14" t="s">
        <v>51</v>
      </c>
      <c r="D3036" s="14" t="s">
        <v>52</v>
      </c>
      <c r="E3036" s="14" t="s">
        <v>45</v>
      </c>
      <c r="F3036" s="14" t="s">
        <v>46</v>
      </c>
      <c r="G3036" s="14" t="s">
        <v>47</v>
      </c>
      <c r="H3036" s="0" t="n">
        <v>2</v>
      </c>
      <c r="I3036" s="16" t="n">
        <v>44.84</v>
      </c>
      <c r="J3036" s="16" t="n">
        <v>18</v>
      </c>
      <c r="K3036" s="16" t="n">
        <f aca="false">H3036*I3036</f>
        <v>89.68</v>
      </c>
      <c r="L3036" s="16" t="n">
        <f aca="false">H3036*J3036</f>
        <v>36</v>
      </c>
      <c r="M3036" s="16" t="n">
        <f aca="false">K3036-L3036</f>
        <v>53.68</v>
      </c>
      <c r="N3036" s="17" t="n">
        <f aca="false">IFERROR(M3036/K3036,0)</f>
        <v>0.5985727029438</v>
      </c>
    </row>
    <row r="3037" customFormat="false" ht="15" hidden="false" customHeight="false" outlineLevel="0" collapsed="false">
      <c r="A3037" s="15" t="n">
        <v>46149</v>
      </c>
      <c r="B3037" s="14" t="s">
        <v>50</v>
      </c>
      <c r="C3037" s="14" t="s">
        <v>51</v>
      </c>
      <c r="D3037" s="14" t="s">
        <v>52</v>
      </c>
      <c r="E3037" s="14" t="s">
        <v>76</v>
      </c>
      <c r="F3037" s="14" t="s">
        <v>102</v>
      </c>
      <c r="G3037" s="14" t="s">
        <v>103</v>
      </c>
      <c r="H3037" s="0" t="n">
        <v>1</v>
      </c>
      <c r="I3037" s="16" t="n">
        <v>23.45</v>
      </c>
      <c r="J3037" s="16" t="n">
        <v>8.5</v>
      </c>
      <c r="K3037" s="16" t="n">
        <f aca="false">H3037*I3037</f>
        <v>23.45</v>
      </c>
      <c r="L3037" s="16" t="n">
        <f aca="false">H3037*J3037</f>
        <v>8.5</v>
      </c>
      <c r="M3037" s="16" t="n">
        <f aca="false">K3037-L3037</f>
        <v>14.95</v>
      </c>
      <c r="N3037" s="17" t="n">
        <f aca="false">IFERROR(M3037/K3037,0)</f>
        <v>0.637526652452026</v>
      </c>
    </row>
    <row r="3038" customFormat="false" ht="15" hidden="false" customHeight="false" outlineLevel="0" collapsed="false">
      <c r="A3038" s="15" t="n">
        <v>46149</v>
      </c>
      <c r="B3038" s="14" t="s">
        <v>50</v>
      </c>
      <c r="C3038" s="14" t="s">
        <v>51</v>
      </c>
      <c r="D3038" s="14" t="s">
        <v>52</v>
      </c>
      <c r="E3038" s="14" t="s">
        <v>64</v>
      </c>
      <c r="F3038" s="14" t="s">
        <v>90</v>
      </c>
      <c r="G3038" s="14" t="s">
        <v>91</v>
      </c>
      <c r="H3038" s="0" t="n">
        <v>3</v>
      </c>
      <c r="I3038" s="16" t="n">
        <v>11.99</v>
      </c>
      <c r="J3038" s="16" t="n">
        <v>3.5</v>
      </c>
      <c r="K3038" s="16" t="n">
        <f aca="false">H3038*I3038</f>
        <v>35.97</v>
      </c>
      <c r="L3038" s="16" t="n">
        <f aca="false">H3038*J3038</f>
        <v>10.5</v>
      </c>
      <c r="M3038" s="16" t="n">
        <f aca="false">K3038-L3038</f>
        <v>25.47</v>
      </c>
      <c r="N3038" s="17" t="n">
        <f aca="false">IFERROR(M3038/K3038,0)</f>
        <v>0.708090075062552</v>
      </c>
    </row>
    <row r="3039" customFormat="false" ht="15" hidden="false" customHeight="false" outlineLevel="0" collapsed="false">
      <c r="A3039" s="15" t="n">
        <v>46149</v>
      </c>
      <c r="B3039" s="14" t="s">
        <v>59</v>
      </c>
      <c r="C3039" s="14" t="s">
        <v>60</v>
      </c>
      <c r="D3039" s="14" t="s">
        <v>61</v>
      </c>
      <c r="E3039" s="14" t="s">
        <v>64</v>
      </c>
      <c r="F3039" s="14" t="s">
        <v>94</v>
      </c>
      <c r="G3039" s="14" t="s">
        <v>95</v>
      </c>
      <c r="H3039" s="0" t="n">
        <v>4</v>
      </c>
      <c r="I3039" s="16" t="n">
        <v>93.7</v>
      </c>
      <c r="J3039" s="16" t="n">
        <v>42</v>
      </c>
      <c r="K3039" s="16" t="n">
        <f aca="false">H3039*I3039</f>
        <v>374.8</v>
      </c>
      <c r="L3039" s="16" t="n">
        <f aca="false">H3039*J3039</f>
        <v>168</v>
      </c>
      <c r="M3039" s="16" t="n">
        <f aca="false">K3039-L3039</f>
        <v>206.8</v>
      </c>
      <c r="N3039" s="17" t="n">
        <f aca="false">IFERROR(M3039/K3039,0)</f>
        <v>0.551760939167556</v>
      </c>
    </row>
    <row r="3040" customFormat="false" ht="15" hidden="false" customHeight="false" outlineLevel="0" collapsed="false">
      <c r="A3040" s="15" t="n">
        <v>46149</v>
      </c>
      <c r="B3040" s="14" t="s">
        <v>59</v>
      </c>
      <c r="C3040" s="14" t="s">
        <v>60</v>
      </c>
      <c r="D3040" s="14" t="s">
        <v>61</v>
      </c>
      <c r="E3040" s="14" t="s">
        <v>56</v>
      </c>
      <c r="F3040" s="14" t="s">
        <v>57</v>
      </c>
      <c r="G3040" s="14" t="s">
        <v>58</v>
      </c>
      <c r="H3040" s="0" t="n">
        <v>3</v>
      </c>
      <c r="I3040" s="16" t="n">
        <v>26.5</v>
      </c>
      <c r="J3040" s="16" t="n">
        <v>10</v>
      </c>
      <c r="K3040" s="16" t="n">
        <f aca="false">H3040*I3040</f>
        <v>79.5</v>
      </c>
      <c r="L3040" s="16" t="n">
        <f aca="false">H3040*J3040</f>
        <v>30</v>
      </c>
      <c r="M3040" s="16" t="n">
        <f aca="false">K3040-L3040</f>
        <v>49.5</v>
      </c>
      <c r="N3040" s="17" t="n">
        <f aca="false">IFERROR(M3040/K3040,0)</f>
        <v>0.622641509433962</v>
      </c>
    </row>
    <row r="3041" customFormat="false" ht="15" hidden="false" customHeight="false" outlineLevel="0" collapsed="false">
      <c r="A3041" s="15" t="n">
        <v>46149</v>
      </c>
      <c r="B3041" s="14" t="s">
        <v>59</v>
      </c>
      <c r="C3041" s="14" t="s">
        <v>60</v>
      </c>
      <c r="D3041" s="14" t="s">
        <v>61</v>
      </c>
      <c r="E3041" s="14" t="s">
        <v>56</v>
      </c>
      <c r="F3041" s="14" t="s">
        <v>67</v>
      </c>
      <c r="G3041" s="14" t="s">
        <v>68</v>
      </c>
      <c r="H3041" s="0" t="n">
        <v>1</v>
      </c>
      <c r="I3041" s="16" t="n">
        <v>37.91</v>
      </c>
      <c r="J3041" s="16" t="n">
        <v>15</v>
      </c>
      <c r="K3041" s="16" t="n">
        <f aca="false">H3041*I3041</f>
        <v>37.91</v>
      </c>
      <c r="L3041" s="16" t="n">
        <f aca="false">H3041*J3041</f>
        <v>15</v>
      </c>
      <c r="M3041" s="16" t="n">
        <f aca="false">K3041-L3041</f>
        <v>22.91</v>
      </c>
      <c r="N3041" s="17" t="n">
        <f aca="false">IFERROR(M3041/K3041,0)</f>
        <v>0.604326035346874</v>
      </c>
    </row>
    <row r="3042" customFormat="false" ht="15" hidden="false" customHeight="false" outlineLevel="0" collapsed="false">
      <c r="A3042" s="15" t="n">
        <v>46149</v>
      </c>
      <c r="B3042" s="14" t="s">
        <v>69</v>
      </c>
      <c r="C3042" s="14" t="s">
        <v>70</v>
      </c>
      <c r="D3042" s="14" t="s">
        <v>71</v>
      </c>
      <c r="E3042" s="14" t="s">
        <v>76</v>
      </c>
      <c r="F3042" s="14" t="s">
        <v>79</v>
      </c>
      <c r="G3042" s="14" t="s">
        <v>80</v>
      </c>
      <c r="H3042" s="0" t="n">
        <v>2</v>
      </c>
      <c r="I3042" s="16" t="n">
        <v>29.07</v>
      </c>
      <c r="J3042" s="16" t="n">
        <v>11</v>
      </c>
      <c r="K3042" s="16" t="n">
        <f aca="false">H3042*I3042</f>
        <v>58.14</v>
      </c>
      <c r="L3042" s="16" t="n">
        <f aca="false">H3042*J3042</f>
        <v>22</v>
      </c>
      <c r="M3042" s="16" t="n">
        <f aca="false">K3042-L3042</f>
        <v>36.14</v>
      </c>
      <c r="N3042" s="17" t="n">
        <f aca="false">IFERROR(M3042/K3042,0)</f>
        <v>0.621603027175783</v>
      </c>
    </row>
    <row r="3043" customFormat="false" ht="15" hidden="false" customHeight="false" outlineLevel="0" collapsed="false">
      <c r="A3043" s="15" t="n">
        <v>46149</v>
      </c>
      <c r="B3043" s="14" t="s">
        <v>69</v>
      </c>
      <c r="C3043" s="14" t="s">
        <v>70</v>
      </c>
      <c r="D3043" s="14" t="s">
        <v>71</v>
      </c>
      <c r="E3043" s="14" t="s">
        <v>56</v>
      </c>
      <c r="F3043" s="14" t="s">
        <v>57</v>
      </c>
      <c r="G3043" s="14" t="s">
        <v>58</v>
      </c>
      <c r="H3043" s="0" t="n">
        <v>3</v>
      </c>
      <c r="I3043" s="16" t="n">
        <v>26.42</v>
      </c>
      <c r="J3043" s="16" t="n">
        <v>10</v>
      </c>
      <c r="K3043" s="16" t="n">
        <f aca="false">H3043*I3043</f>
        <v>79.26</v>
      </c>
      <c r="L3043" s="16" t="n">
        <f aca="false">H3043*J3043</f>
        <v>30</v>
      </c>
      <c r="M3043" s="16" t="n">
        <f aca="false">K3043-L3043</f>
        <v>49.26</v>
      </c>
      <c r="N3043" s="17" t="n">
        <f aca="false">IFERROR(M3043/K3043,0)</f>
        <v>0.621498864496594</v>
      </c>
    </row>
    <row r="3044" customFormat="false" ht="15" hidden="false" customHeight="false" outlineLevel="0" collapsed="false">
      <c r="A3044" s="15" t="n">
        <v>46149</v>
      </c>
      <c r="B3044" s="14" t="s">
        <v>81</v>
      </c>
      <c r="C3044" s="14" t="s">
        <v>82</v>
      </c>
      <c r="D3044" s="14" t="s">
        <v>83</v>
      </c>
      <c r="E3044" s="14" t="s">
        <v>56</v>
      </c>
      <c r="F3044" s="14" t="s">
        <v>86</v>
      </c>
      <c r="G3044" s="14" t="s">
        <v>87</v>
      </c>
      <c r="H3044" s="0" t="n">
        <v>2</v>
      </c>
      <c r="I3044" s="16" t="n">
        <v>13.84</v>
      </c>
      <c r="J3044" s="16" t="n">
        <v>5</v>
      </c>
      <c r="K3044" s="16" t="n">
        <f aca="false">H3044*I3044</f>
        <v>27.68</v>
      </c>
      <c r="L3044" s="16" t="n">
        <f aca="false">H3044*J3044</f>
        <v>10</v>
      </c>
      <c r="M3044" s="16" t="n">
        <f aca="false">K3044-L3044</f>
        <v>17.68</v>
      </c>
      <c r="N3044" s="17" t="n">
        <f aca="false">IFERROR(M3044/K3044,0)</f>
        <v>0.638728323699422</v>
      </c>
    </row>
    <row r="3045" customFormat="false" ht="15" hidden="false" customHeight="false" outlineLevel="0" collapsed="false">
      <c r="A3045" s="15" t="n">
        <v>46149</v>
      </c>
      <c r="B3045" s="14" t="s">
        <v>81</v>
      </c>
      <c r="C3045" s="14" t="s">
        <v>82</v>
      </c>
      <c r="D3045" s="14" t="s">
        <v>83</v>
      </c>
      <c r="E3045" s="14" t="s">
        <v>64</v>
      </c>
      <c r="F3045" s="14" t="s">
        <v>65</v>
      </c>
      <c r="G3045" s="14" t="s">
        <v>66</v>
      </c>
      <c r="H3045" s="0" t="n">
        <v>4</v>
      </c>
      <c r="I3045" s="16" t="n">
        <v>73.24</v>
      </c>
      <c r="J3045" s="16" t="n">
        <v>34</v>
      </c>
      <c r="K3045" s="16" t="n">
        <f aca="false">H3045*I3045</f>
        <v>292.96</v>
      </c>
      <c r="L3045" s="16" t="n">
        <f aca="false">H3045*J3045</f>
        <v>136</v>
      </c>
      <c r="M3045" s="16" t="n">
        <f aca="false">K3045-L3045</f>
        <v>156.96</v>
      </c>
      <c r="N3045" s="17" t="n">
        <f aca="false">IFERROR(M3045/K3045,0)</f>
        <v>0.535772801747679</v>
      </c>
    </row>
    <row r="3046" customFormat="false" ht="15" hidden="false" customHeight="false" outlineLevel="0" collapsed="false">
      <c r="A3046" s="15" t="n">
        <v>46149</v>
      </c>
      <c r="B3046" s="14" t="s">
        <v>81</v>
      </c>
      <c r="C3046" s="14" t="s">
        <v>82</v>
      </c>
      <c r="D3046" s="14" t="s">
        <v>83</v>
      </c>
      <c r="E3046" s="14" t="s">
        <v>64</v>
      </c>
      <c r="F3046" s="14" t="s">
        <v>90</v>
      </c>
      <c r="G3046" s="14" t="s">
        <v>91</v>
      </c>
      <c r="H3046" s="0" t="n">
        <v>5</v>
      </c>
      <c r="I3046" s="16" t="n">
        <v>11.41</v>
      </c>
      <c r="J3046" s="16" t="n">
        <v>3.5</v>
      </c>
      <c r="K3046" s="16" t="n">
        <f aca="false">H3046*I3046</f>
        <v>57.05</v>
      </c>
      <c r="L3046" s="16" t="n">
        <f aca="false">H3046*J3046</f>
        <v>17.5</v>
      </c>
      <c r="M3046" s="16" t="n">
        <f aca="false">K3046-L3046</f>
        <v>39.55</v>
      </c>
      <c r="N3046" s="17" t="n">
        <f aca="false">IFERROR(M3046/K3046,0)</f>
        <v>0.693251533742331</v>
      </c>
    </row>
    <row r="3047" customFormat="false" ht="15" hidden="false" customHeight="false" outlineLevel="0" collapsed="false">
      <c r="A3047" s="15" t="n">
        <v>46149</v>
      </c>
      <c r="B3047" s="14" t="s">
        <v>88</v>
      </c>
      <c r="C3047" s="14" t="s">
        <v>89</v>
      </c>
      <c r="D3047" s="14" t="s">
        <v>44</v>
      </c>
      <c r="E3047" s="14" t="s">
        <v>53</v>
      </c>
      <c r="F3047" s="14" t="s">
        <v>92</v>
      </c>
      <c r="G3047" s="14" t="s">
        <v>93</v>
      </c>
      <c r="H3047" s="0" t="n">
        <v>4</v>
      </c>
      <c r="I3047" s="16" t="n">
        <v>111.32</v>
      </c>
      <c r="J3047" s="16" t="n">
        <v>52</v>
      </c>
      <c r="K3047" s="16" t="n">
        <f aca="false">H3047*I3047</f>
        <v>445.28</v>
      </c>
      <c r="L3047" s="16" t="n">
        <f aca="false">H3047*J3047</f>
        <v>208</v>
      </c>
      <c r="M3047" s="16" t="n">
        <f aca="false">K3047-L3047</f>
        <v>237.28</v>
      </c>
      <c r="N3047" s="17" t="n">
        <f aca="false">IFERROR(M3047/K3047,0)</f>
        <v>0.532878189004671</v>
      </c>
    </row>
    <row r="3048" customFormat="false" ht="15" hidden="false" customHeight="false" outlineLevel="0" collapsed="false">
      <c r="A3048" s="15" t="n">
        <v>46149</v>
      </c>
      <c r="B3048" s="14" t="s">
        <v>88</v>
      </c>
      <c r="C3048" s="14" t="s">
        <v>89</v>
      </c>
      <c r="D3048" s="14" t="s">
        <v>44</v>
      </c>
      <c r="E3048" s="14" t="s">
        <v>76</v>
      </c>
      <c r="F3048" s="14" t="s">
        <v>77</v>
      </c>
      <c r="G3048" s="14" t="s">
        <v>78</v>
      </c>
      <c r="H3048" s="0" t="n">
        <v>8</v>
      </c>
      <c r="I3048" s="16" t="n">
        <v>41.59</v>
      </c>
      <c r="J3048" s="16" t="n">
        <v>15</v>
      </c>
      <c r="K3048" s="16" t="n">
        <f aca="false">H3048*I3048</f>
        <v>332.72</v>
      </c>
      <c r="L3048" s="16" t="n">
        <f aca="false">H3048*J3048</f>
        <v>120</v>
      </c>
      <c r="M3048" s="16" t="n">
        <f aca="false">K3048-L3048</f>
        <v>212.72</v>
      </c>
      <c r="N3048" s="17" t="n">
        <f aca="false">IFERROR(M3048/K3048,0)</f>
        <v>0.639336378937245</v>
      </c>
    </row>
    <row r="3049" customFormat="false" ht="15" hidden="false" customHeight="false" outlineLevel="0" collapsed="false">
      <c r="A3049" s="15" t="n">
        <v>46149</v>
      </c>
      <c r="B3049" s="14" t="s">
        <v>88</v>
      </c>
      <c r="C3049" s="14" t="s">
        <v>89</v>
      </c>
      <c r="D3049" s="14" t="s">
        <v>44</v>
      </c>
      <c r="E3049" s="14" t="s">
        <v>64</v>
      </c>
      <c r="F3049" s="14" t="s">
        <v>65</v>
      </c>
      <c r="G3049" s="14" t="s">
        <v>66</v>
      </c>
      <c r="H3049" s="0" t="n">
        <v>3</v>
      </c>
      <c r="I3049" s="16" t="n">
        <v>74.33</v>
      </c>
      <c r="J3049" s="16" t="n">
        <v>34</v>
      </c>
      <c r="K3049" s="16" t="n">
        <f aca="false">H3049*I3049</f>
        <v>222.99</v>
      </c>
      <c r="L3049" s="16" t="n">
        <f aca="false">H3049*J3049</f>
        <v>102</v>
      </c>
      <c r="M3049" s="16" t="n">
        <f aca="false">K3049-L3049</f>
        <v>120.99</v>
      </c>
      <c r="N3049" s="17" t="n">
        <f aca="false">IFERROR(M3049/K3049,0)</f>
        <v>0.542580384770618</v>
      </c>
    </row>
    <row r="3050" customFormat="false" ht="15" hidden="false" customHeight="false" outlineLevel="0" collapsed="false">
      <c r="A3050" s="15" t="n">
        <v>46149</v>
      </c>
      <c r="B3050" s="14" t="s">
        <v>88</v>
      </c>
      <c r="C3050" s="14" t="s">
        <v>89</v>
      </c>
      <c r="D3050" s="14" t="s">
        <v>44</v>
      </c>
      <c r="E3050" s="14" t="s">
        <v>53</v>
      </c>
      <c r="F3050" s="14" t="s">
        <v>54</v>
      </c>
      <c r="G3050" s="14" t="s">
        <v>55</v>
      </c>
      <c r="H3050" s="0" t="n">
        <v>8</v>
      </c>
      <c r="I3050" s="16" t="n">
        <v>54.94</v>
      </c>
      <c r="J3050" s="16" t="n">
        <v>22</v>
      </c>
      <c r="K3050" s="16" t="n">
        <f aca="false">H3050*I3050</f>
        <v>439.52</v>
      </c>
      <c r="L3050" s="16" t="n">
        <f aca="false">H3050*J3050</f>
        <v>176</v>
      </c>
      <c r="M3050" s="16" t="n">
        <f aca="false">K3050-L3050</f>
        <v>263.52</v>
      </c>
      <c r="N3050" s="17" t="n">
        <f aca="false">IFERROR(M3050/K3050,0)</f>
        <v>0.599563159810703</v>
      </c>
    </row>
    <row r="3051" customFormat="false" ht="15" hidden="false" customHeight="false" outlineLevel="0" collapsed="false">
      <c r="A3051" s="15" t="n">
        <v>46149</v>
      </c>
      <c r="B3051" s="14" t="s">
        <v>88</v>
      </c>
      <c r="C3051" s="14" t="s">
        <v>89</v>
      </c>
      <c r="D3051" s="14" t="s">
        <v>44</v>
      </c>
      <c r="E3051" s="14" t="s">
        <v>45</v>
      </c>
      <c r="F3051" s="14" t="s">
        <v>46</v>
      </c>
      <c r="G3051" s="14" t="s">
        <v>47</v>
      </c>
      <c r="H3051" s="0" t="n">
        <v>8</v>
      </c>
      <c r="I3051" s="16" t="n">
        <v>44.11</v>
      </c>
      <c r="J3051" s="16" t="n">
        <v>18</v>
      </c>
      <c r="K3051" s="16" t="n">
        <f aca="false">H3051*I3051</f>
        <v>352.88</v>
      </c>
      <c r="L3051" s="16" t="n">
        <f aca="false">H3051*J3051</f>
        <v>144</v>
      </c>
      <c r="M3051" s="16" t="n">
        <f aca="false">K3051-L3051</f>
        <v>208.88</v>
      </c>
      <c r="N3051" s="17" t="n">
        <f aca="false">IFERROR(M3051/K3051,0)</f>
        <v>0.591929267739742</v>
      </c>
    </row>
    <row r="3052" customFormat="false" ht="15" hidden="false" customHeight="false" outlineLevel="0" collapsed="false">
      <c r="A3052" s="15" t="n">
        <v>46150</v>
      </c>
      <c r="B3052" s="14" t="s">
        <v>42</v>
      </c>
      <c r="C3052" s="14" t="s">
        <v>43</v>
      </c>
      <c r="D3052" s="14" t="s">
        <v>44</v>
      </c>
      <c r="E3052" s="14" t="s">
        <v>76</v>
      </c>
      <c r="F3052" s="14" t="s">
        <v>79</v>
      </c>
      <c r="G3052" s="14" t="s">
        <v>80</v>
      </c>
      <c r="H3052" s="0" t="n">
        <v>1</v>
      </c>
      <c r="I3052" s="16" t="n">
        <v>29.96</v>
      </c>
      <c r="J3052" s="16" t="n">
        <v>11</v>
      </c>
      <c r="K3052" s="16" t="n">
        <f aca="false">H3052*I3052</f>
        <v>29.96</v>
      </c>
      <c r="L3052" s="16" t="n">
        <f aca="false">H3052*J3052</f>
        <v>11</v>
      </c>
      <c r="M3052" s="16" t="n">
        <f aca="false">K3052-L3052</f>
        <v>18.96</v>
      </c>
      <c r="N3052" s="17" t="n">
        <f aca="false">IFERROR(M3052/K3052,0)</f>
        <v>0.632843791722296</v>
      </c>
    </row>
    <row r="3053" customFormat="false" ht="15" hidden="false" customHeight="false" outlineLevel="0" collapsed="false">
      <c r="A3053" s="15" t="n">
        <v>46150</v>
      </c>
      <c r="B3053" s="14" t="s">
        <v>42</v>
      </c>
      <c r="C3053" s="14" t="s">
        <v>43</v>
      </c>
      <c r="D3053" s="14" t="s">
        <v>44</v>
      </c>
      <c r="E3053" s="14" t="s">
        <v>45</v>
      </c>
      <c r="F3053" s="14" t="s">
        <v>46</v>
      </c>
      <c r="G3053" s="14" t="s">
        <v>47</v>
      </c>
      <c r="H3053" s="0" t="n">
        <v>3</v>
      </c>
      <c r="I3053" s="16" t="n">
        <v>42.01</v>
      </c>
      <c r="J3053" s="16" t="n">
        <v>18</v>
      </c>
      <c r="K3053" s="16" t="n">
        <f aca="false">H3053*I3053</f>
        <v>126.03</v>
      </c>
      <c r="L3053" s="16" t="n">
        <f aca="false">H3053*J3053</f>
        <v>54</v>
      </c>
      <c r="M3053" s="16" t="n">
        <f aca="false">K3053-L3053</f>
        <v>72.03</v>
      </c>
      <c r="N3053" s="17" t="n">
        <f aca="false">IFERROR(M3053/K3053,0)</f>
        <v>0.571530587955249</v>
      </c>
    </row>
    <row r="3054" customFormat="false" ht="15" hidden="false" customHeight="false" outlineLevel="0" collapsed="false">
      <c r="A3054" s="15" t="n">
        <v>46150</v>
      </c>
      <c r="B3054" s="14" t="s">
        <v>42</v>
      </c>
      <c r="C3054" s="14" t="s">
        <v>43</v>
      </c>
      <c r="D3054" s="14" t="s">
        <v>44</v>
      </c>
      <c r="E3054" s="14" t="s">
        <v>56</v>
      </c>
      <c r="F3054" s="14" t="s">
        <v>98</v>
      </c>
      <c r="G3054" s="14" t="s">
        <v>99</v>
      </c>
      <c r="H3054" s="0" t="n">
        <v>1</v>
      </c>
      <c r="I3054" s="16" t="n">
        <v>20.82</v>
      </c>
      <c r="J3054" s="16" t="n">
        <v>8</v>
      </c>
      <c r="K3054" s="16" t="n">
        <f aca="false">H3054*I3054</f>
        <v>20.82</v>
      </c>
      <c r="L3054" s="16" t="n">
        <f aca="false">H3054*J3054</f>
        <v>8</v>
      </c>
      <c r="M3054" s="16" t="n">
        <f aca="false">K3054-L3054</f>
        <v>12.82</v>
      </c>
      <c r="N3054" s="17" t="n">
        <f aca="false">IFERROR(M3054/K3054,0)</f>
        <v>0.615754082612872</v>
      </c>
    </row>
    <row r="3055" customFormat="false" ht="15" hidden="false" customHeight="false" outlineLevel="0" collapsed="false">
      <c r="A3055" s="15" t="n">
        <v>46150</v>
      </c>
      <c r="B3055" s="14" t="s">
        <v>42</v>
      </c>
      <c r="C3055" s="14" t="s">
        <v>43</v>
      </c>
      <c r="D3055" s="14" t="s">
        <v>44</v>
      </c>
      <c r="E3055" s="14" t="s">
        <v>76</v>
      </c>
      <c r="F3055" s="14" t="s">
        <v>79</v>
      </c>
      <c r="G3055" s="14" t="s">
        <v>80</v>
      </c>
      <c r="H3055" s="0" t="n">
        <v>9</v>
      </c>
      <c r="I3055" s="16" t="n">
        <v>29.66</v>
      </c>
      <c r="J3055" s="16" t="n">
        <v>11</v>
      </c>
      <c r="K3055" s="16" t="n">
        <f aca="false">H3055*I3055</f>
        <v>266.94</v>
      </c>
      <c r="L3055" s="16" t="n">
        <f aca="false">H3055*J3055</f>
        <v>99</v>
      </c>
      <c r="M3055" s="16" t="n">
        <f aca="false">K3055-L3055</f>
        <v>167.94</v>
      </c>
      <c r="N3055" s="17" t="n">
        <f aca="false">IFERROR(M3055/K3055,0)</f>
        <v>0.629130141604855</v>
      </c>
    </row>
    <row r="3056" customFormat="false" ht="15" hidden="false" customHeight="false" outlineLevel="0" collapsed="false">
      <c r="A3056" s="15" t="n">
        <v>46150</v>
      </c>
      <c r="B3056" s="14" t="s">
        <v>42</v>
      </c>
      <c r="C3056" s="14" t="s">
        <v>43</v>
      </c>
      <c r="D3056" s="14" t="s">
        <v>44</v>
      </c>
      <c r="E3056" s="14" t="s">
        <v>53</v>
      </c>
      <c r="F3056" s="14" t="s">
        <v>54</v>
      </c>
      <c r="G3056" s="14" t="s">
        <v>55</v>
      </c>
      <c r="H3056" s="0" t="n">
        <v>13</v>
      </c>
      <c r="I3056" s="16" t="n">
        <v>51.4</v>
      </c>
      <c r="J3056" s="16" t="n">
        <v>22</v>
      </c>
      <c r="K3056" s="16" t="n">
        <f aca="false">H3056*I3056</f>
        <v>668.2</v>
      </c>
      <c r="L3056" s="16" t="n">
        <f aca="false">H3056*J3056</f>
        <v>286</v>
      </c>
      <c r="M3056" s="16" t="n">
        <f aca="false">K3056-L3056</f>
        <v>382.2</v>
      </c>
      <c r="N3056" s="17" t="n">
        <f aca="false">IFERROR(M3056/K3056,0)</f>
        <v>0.571984435797665</v>
      </c>
    </row>
    <row r="3057" customFormat="false" ht="15" hidden="false" customHeight="false" outlineLevel="0" collapsed="false">
      <c r="A3057" s="15" t="n">
        <v>46150</v>
      </c>
      <c r="B3057" s="14" t="s">
        <v>42</v>
      </c>
      <c r="C3057" s="14" t="s">
        <v>43</v>
      </c>
      <c r="D3057" s="14" t="s">
        <v>44</v>
      </c>
      <c r="E3057" s="14" t="s">
        <v>53</v>
      </c>
      <c r="F3057" s="14" t="s">
        <v>92</v>
      </c>
      <c r="G3057" s="14" t="s">
        <v>93</v>
      </c>
      <c r="H3057" s="0" t="n">
        <v>3</v>
      </c>
      <c r="I3057" s="16" t="n">
        <v>118.77</v>
      </c>
      <c r="J3057" s="16" t="n">
        <v>52</v>
      </c>
      <c r="K3057" s="16" t="n">
        <f aca="false">H3057*I3057</f>
        <v>356.31</v>
      </c>
      <c r="L3057" s="16" t="n">
        <f aca="false">H3057*J3057</f>
        <v>156</v>
      </c>
      <c r="M3057" s="16" t="n">
        <f aca="false">K3057-L3057</f>
        <v>200.31</v>
      </c>
      <c r="N3057" s="17" t="n">
        <f aca="false">IFERROR(M3057/K3057,0)</f>
        <v>0.562179001431338</v>
      </c>
    </row>
    <row r="3058" customFormat="false" ht="15" hidden="false" customHeight="false" outlineLevel="0" collapsed="false">
      <c r="A3058" s="15" t="n">
        <v>46150</v>
      </c>
      <c r="B3058" s="14" t="s">
        <v>50</v>
      </c>
      <c r="C3058" s="14" t="s">
        <v>51</v>
      </c>
      <c r="D3058" s="14" t="s">
        <v>52</v>
      </c>
      <c r="E3058" s="14" t="s">
        <v>56</v>
      </c>
      <c r="F3058" s="14" t="s">
        <v>67</v>
      </c>
      <c r="G3058" s="14" t="s">
        <v>68</v>
      </c>
      <c r="H3058" s="0" t="n">
        <v>3</v>
      </c>
      <c r="I3058" s="16" t="n">
        <v>37.67</v>
      </c>
      <c r="J3058" s="16" t="n">
        <v>15</v>
      </c>
      <c r="K3058" s="16" t="n">
        <f aca="false">H3058*I3058</f>
        <v>113.01</v>
      </c>
      <c r="L3058" s="16" t="n">
        <f aca="false">H3058*J3058</f>
        <v>45</v>
      </c>
      <c r="M3058" s="16" t="n">
        <f aca="false">K3058-L3058</f>
        <v>68.01</v>
      </c>
      <c r="N3058" s="17" t="n">
        <f aca="false">IFERROR(M3058/K3058,0)</f>
        <v>0.601805149986727</v>
      </c>
    </row>
    <row r="3059" customFormat="false" ht="15" hidden="false" customHeight="false" outlineLevel="0" collapsed="false">
      <c r="A3059" s="15" t="n">
        <v>46150</v>
      </c>
      <c r="B3059" s="14" t="s">
        <v>50</v>
      </c>
      <c r="C3059" s="14" t="s">
        <v>51</v>
      </c>
      <c r="D3059" s="14" t="s">
        <v>52</v>
      </c>
      <c r="E3059" s="14" t="s">
        <v>53</v>
      </c>
      <c r="F3059" s="14" t="s">
        <v>54</v>
      </c>
      <c r="G3059" s="14" t="s">
        <v>55</v>
      </c>
      <c r="H3059" s="0" t="n">
        <v>12</v>
      </c>
      <c r="I3059" s="16" t="n">
        <v>50.73</v>
      </c>
      <c r="J3059" s="16" t="n">
        <v>22</v>
      </c>
      <c r="K3059" s="16" t="n">
        <f aca="false">H3059*I3059</f>
        <v>608.76</v>
      </c>
      <c r="L3059" s="16" t="n">
        <f aca="false">H3059*J3059</f>
        <v>264</v>
      </c>
      <c r="M3059" s="16" t="n">
        <f aca="false">K3059-L3059</f>
        <v>344.76</v>
      </c>
      <c r="N3059" s="17" t="n">
        <f aca="false">IFERROR(M3059/K3059,0)</f>
        <v>0.566331559235167</v>
      </c>
    </row>
    <row r="3060" customFormat="false" ht="15" hidden="false" customHeight="false" outlineLevel="0" collapsed="false">
      <c r="A3060" s="15" t="n">
        <v>46150</v>
      </c>
      <c r="B3060" s="14" t="s">
        <v>50</v>
      </c>
      <c r="C3060" s="14" t="s">
        <v>51</v>
      </c>
      <c r="D3060" s="14" t="s">
        <v>52</v>
      </c>
      <c r="E3060" s="14" t="s">
        <v>45</v>
      </c>
      <c r="F3060" s="14" t="s">
        <v>48</v>
      </c>
      <c r="G3060" s="14" t="s">
        <v>49</v>
      </c>
      <c r="H3060" s="0" t="n">
        <v>6</v>
      </c>
      <c r="I3060" s="16" t="n">
        <v>67.65</v>
      </c>
      <c r="J3060" s="16" t="n">
        <v>27.5</v>
      </c>
      <c r="K3060" s="16" t="n">
        <f aca="false">H3060*I3060</f>
        <v>405.9</v>
      </c>
      <c r="L3060" s="16" t="n">
        <f aca="false">H3060*J3060</f>
        <v>165</v>
      </c>
      <c r="M3060" s="16" t="n">
        <f aca="false">K3060-L3060</f>
        <v>240.9</v>
      </c>
      <c r="N3060" s="17" t="n">
        <f aca="false">IFERROR(M3060/K3060,0)</f>
        <v>0.59349593495935</v>
      </c>
    </row>
    <row r="3061" customFormat="false" ht="15" hidden="false" customHeight="false" outlineLevel="0" collapsed="false">
      <c r="A3061" s="15" t="n">
        <v>46150</v>
      </c>
      <c r="B3061" s="14" t="s">
        <v>59</v>
      </c>
      <c r="C3061" s="14" t="s">
        <v>60</v>
      </c>
      <c r="D3061" s="14" t="s">
        <v>61</v>
      </c>
      <c r="E3061" s="14" t="s">
        <v>76</v>
      </c>
      <c r="F3061" s="14" t="s">
        <v>77</v>
      </c>
      <c r="G3061" s="14" t="s">
        <v>78</v>
      </c>
      <c r="H3061" s="0" t="n">
        <v>3</v>
      </c>
      <c r="I3061" s="16" t="n">
        <v>41.66</v>
      </c>
      <c r="J3061" s="16" t="n">
        <v>15</v>
      </c>
      <c r="K3061" s="16" t="n">
        <f aca="false">H3061*I3061</f>
        <v>124.98</v>
      </c>
      <c r="L3061" s="16" t="n">
        <f aca="false">H3061*J3061</f>
        <v>45</v>
      </c>
      <c r="M3061" s="16" t="n">
        <f aca="false">K3061-L3061</f>
        <v>79.98</v>
      </c>
      <c r="N3061" s="17" t="n">
        <f aca="false">IFERROR(M3061/K3061,0)</f>
        <v>0.639942390782525</v>
      </c>
    </row>
    <row r="3062" customFormat="false" ht="15" hidden="false" customHeight="false" outlineLevel="0" collapsed="false">
      <c r="A3062" s="15" t="n">
        <v>46150</v>
      </c>
      <c r="B3062" s="14" t="s">
        <v>59</v>
      </c>
      <c r="C3062" s="14" t="s">
        <v>60</v>
      </c>
      <c r="D3062" s="14" t="s">
        <v>61</v>
      </c>
      <c r="E3062" s="14" t="s">
        <v>64</v>
      </c>
      <c r="F3062" s="14" t="s">
        <v>96</v>
      </c>
      <c r="G3062" s="14" t="s">
        <v>97</v>
      </c>
      <c r="H3062" s="0" t="n">
        <v>3</v>
      </c>
      <c r="I3062" s="16" t="n">
        <v>58.99</v>
      </c>
      <c r="J3062" s="16" t="n">
        <v>24</v>
      </c>
      <c r="K3062" s="16" t="n">
        <f aca="false">H3062*I3062</f>
        <v>176.97</v>
      </c>
      <c r="L3062" s="16" t="n">
        <f aca="false">H3062*J3062</f>
        <v>72</v>
      </c>
      <c r="M3062" s="16" t="n">
        <f aca="false">K3062-L3062</f>
        <v>104.97</v>
      </c>
      <c r="N3062" s="17" t="n">
        <f aca="false">IFERROR(M3062/K3062,0)</f>
        <v>0.5931513815901</v>
      </c>
    </row>
    <row r="3063" customFormat="false" ht="15" hidden="false" customHeight="false" outlineLevel="0" collapsed="false">
      <c r="A3063" s="15" t="n">
        <v>46150</v>
      </c>
      <c r="B3063" s="14" t="s">
        <v>69</v>
      </c>
      <c r="C3063" s="14" t="s">
        <v>70</v>
      </c>
      <c r="D3063" s="14" t="s">
        <v>71</v>
      </c>
      <c r="E3063" s="14" t="s">
        <v>64</v>
      </c>
      <c r="F3063" s="14" t="s">
        <v>90</v>
      </c>
      <c r="G3063" s="14" t="s">
        <v>91</v>
      </c>
      <c r="H3063" s="0" t="n">
        <v>7</v>
      </c>
      <c r="I3063" s="16" t="n">
        <v>11.95</v>
      </c>
      <c r="J3063" s="16" t="n">
        <v>3.5</v>
      </c>
      <c r="K3063" s="16" t="n">
        <f aca="false">H3063*I3063</f>
        <v>83.65</v>
      </c>
      <c r="L3063" s="16" t="n">
        <f aca="false">H3063*J3063</f>
        <v>24.5</v>
      </c>
      <c r="M3063" s="16" t="n">
        <f aca="false">K3063-L3063</f>
        <v>59.15</v>
      </c>
      <c r="N3063" s="17" t="n">
        <f aca="false">IFERROR(M3063/K3063,0)</f>
        <v>0.707112970711297</v>
      </c>
    </row>
    <row r="3064" customFormat="false" ht="15" hidden="false" customHeight="false" outlineLevel="0" collapsed="false">
      <c r="A3064" s="15" t="n">
        <v>46150</v>
      </c>
      <c r="B3064" s="14" t="s">
        <v>69</v>
      </c>
      <c r="C3064" s="14" t="s">
        <v>70</v>
      </c>
      <c r="D3064" s="14" t="s">
        <v>71</v>
      </c>
      <c r="E3064" s="14" t="s">
        <v>56</v>
      </c>
      <c r="F3064" s="14" t="s">
        <v>98</v>
      </c>
      <c r="G3064" s="14" t="s">
        <v>99</v>
      </c>
      <c r="H3064" s="0" t="n">
        <v>5</v>
      </c>
      <c r="I3064" s="16" t="n">
        <v>20.67</v>
      </c>
      <c r="J3064" s="16" t="n">
        <v>8</v>
      </c>
      <c r="K3064" s="16" t="n">
        <f aca="false">H3064*I3064</f>
        <v>103.35</v>
      </c>
      <c r="L3064" s="16" t="n">
        <f aca="false">H3064*J3064</f>
        <v>40</v>
      </c>
      <c r="M3064" s="16" t="n">
        <f aca="false">K3064-L3064</f>
        <v>63.35</v>
      </c>
      <c r="N3064" s="17" t="n">
        <f aca="false">IFERROR(M3064/K3064,0)</f>
        <v>0.6129656507015</v>
      </c>
    </row>
    <row r="3065" customFormat="false" ht="15" hidden="false" customHeight="false" outlineLevel="0" collapsed="false">
      <c r="A3065" s="15" t="n">
        <v>46150</v>
      </c>
      <c r="B3065" s="14" t="s">
        <v>69</v>
      </c>
      <c r="C3065" s="14" t="s">
        <v>70</v>
      </c>
      <c r="D3065" s="14" t="s">
        <v>71</v>
      </c>
      <c r="E3065" s="14" t="s">
        <v>53</v>
      </c>
      <c r="F3065" s="14" t="s">
        <v>54</v>
      </c>
      <c r="G3065" s="14" t="s">
        <v>55</v>
      </c>
      <c r="H3065" s="0" t="n">
        <v>8</v>
      </c>
      <c r="I3065" s="16" t="n">
        <v>51.43</v>
      </c>
      <c r="J3065" s="16" t="n">
        <v>22</v>
      </c>
      <c r="K3065" s="16" t="n">
        <f aca="false">H3065*I3065</f>
        <v>411.44</v>
      </c>
      <c r="L3065" s="16" t="n">
        <f aca="false">H3065*J3065</f>
        <v>176</v>
      </c>
      <c r="M3065" s="16" t="n">
        <f aca="false">K3065-L3065</f>
        <v>235.44</v>
      </c>
      <c r="N3065" s="17" t="n">
        <f aca="false">IFERROR(M3065/K3065,0)</f>
        <v>0.572234104608205</v>
      </c>
    </row>
    <row r="3066" customFormat="false" ht="15" hidden="false" customHeight="false" outlineLevel="0" collapsed="false">
      <c r="A3066" s="15" t="n">
        <v>46150</v>
      </c>
      <c r="B3066" s="14" t="s">
        <v>69</v>
      </c>
      <c r="C3066" s="14" t="s">
        <v>70</v>
      </c>
      <c r="D3066" s="14" t="s">
        <v>71</v>
      </c>
      <c r="E3066" s="14" t="s">
        <v>64</v>
      </c>
      <c r="F3066" s="14" t="s">
        <v>65</v>
      </c>
      <c r="G3066" s="14" t="s">
        <v>66</v>
      </c>
      <c r="H3066" s="0" t="n">
        <v>5</v>
      </c>
      <c r="I3066" s="16" t="n">
        <v>73.05</v>
      </c>
      <c r="J3066" s="16" t="n">
        <v>34</v>
      </c>
      <c r="K3066" s="16" t="n">
        <f aca="false">H3066*I3066</f>
        <v>365.25</v>
      </c>
      <c r="L3066" s="16" t="n">
        <f aca="false">H3066*J3066</f>
        <v>170</v>
      </c>
      <c r="M3066" s="16" t="n">
        <f aca="false">K3066-L3066</f>
        <v>195.25</v>
      </c>
      <c r="N3066" s="17" t="n">
        <f aca="false">IFERROR(M3066/K3066,0)</f>
        <v>0.534565366187543</v>
      </c>
    </row>
    <row r="3067" customFormat="false" ht="15" hidden="false" customHeight="false" outlineLevel="0" collapsed="false">
      <c r="A3067" s="15" t="n">
        <v>46150</v>
      </c>
      <c r="B3067" s="14" t="s">
        <v>81</v>
      </c>
      <c r="C3067" s="14" t="s">
        <v>82</v>
      </c>
      <c r="D3067" s="14" t="s">
        <v>83</v>
      </c>
      <c r="E3067" s="14" t="s">
        <v>56</v>
      </c>
      <c r="F3067" s="14" t="s">
        <v>98</v>
      </c>
      <c r="G3067" s="14" t="s">
        <v>99</v>
      </c>
      <c r="H3067" s="0" t="n">
        <v>2</v>
      </c>
      <c r="I3067" s="16" t="n">
        <v>21.41</v>
      </c>
      <c r="J3067" s="16" t="n">
        <v>8</v>
      </c>
      <c r="K3067" s="16" t="n">
        <f aca="false">H3067*I3067</f>
        <v>42.82</v>
      </c>
      <c r="L3067" s="16" t="n">
        <f aca="false">H3067*J3067</f>
        <v>16</v>
      </c>
      <c r="M3067" s="16" t="n">
        <f aca="false">K3067-L3067</f>
        <v>26.82</v>
      </c>
      <c r="N3067" s="17" t="n">
        <f aca="false">IFERROR(M3067/K3067,0)</f>
        <v>0.626342830453059</v>
      </c>
    </row>
    <row r="3068" customFormat="false" ht="15" hidden="false" customHeight="false" outlineLevel="0" collapsed="false">
      <c r="A3068" s="15" t="n">
        <v>46150</v>
      </c>
      <c r="B3068" s="14" t="s">
        <v>81</v>
      </c>
      <c r="C3068" s="14" t="s">
        <v>82</v>
      </c>
      <c r="D3068" s="14" t="s">
        <v>83</v>
      </c>
      <c r="E3068" s="14" t="s">
        <v>76</v>
      </c>
      <c r="F3068" s="14" t="s">
        <v>100</v>
      </c>
      <c r="G3068" s="14" t="s">
        <v>101</v>
      </c>
      <c r="H3068" s="0" t="n">
        <v>3</v>
      </c>
      <c r="I3068" s="16" t="n">
        <v>15.08</v>
      </c>
      <c r="J3068" s="16" t="n">
        <v>5.5</v>
      </c>
      <c r="K3068" s="16" t="n">
        <f aca="false">H3068*I3068</f>
        <v>45.24</v>
      </c>
      <c r="L3068" s="16" t="n">
        <f aca="false">H3068*J3068</f>
        <v>16.5</v>
      </c>
      <c r="M3068" s="16" t="n">
        <f aca="false">K3068-L3068</f>
        <v>28.74</v>
      </c>
      <c r="N3068" s="17" t="n">
        <f aca="false">IFERROR(M3068/K3068,0)</f>
        <v>0.635278514588859</v>
      </c>
    </row>
    <row r="3069" customFormat="false" ht="15" hidden="false" customHeight="false" outlineLevel="0" collapsed="false">
      <c r="A3069" s="15" t="n">
        <v>46150</v>
      </c>
      <c r="B3069" s="14" t="s">
        <v>81</v>
      </c>
      <c r="C3069" s="14" t="s">
        <v>82</v>
      </c>
      <c r="D3069" s="14" t="s">
        <v>83</v>
      </c>
      <c r="E3069" s="14" t="s">
        <v>53</v>
      </c>
      <c r="F3069" s="14" t="s">
        <v>84</v>
      </c>
      <c r="G3069" s="14" t="s">
        <v>85</v>
      </c>
      <c r="H3069" s="0" t="n">
        <v>4</v>
      </c>
      <c r="I3069" s="16" t="n">
        <v>23.59</v>
      </c>
      <c r="J3069" s="16" t="n">
        <v>9</v>
      </c>
      <c r="K3069" s="16" t="n">
        <f aca="false">H3069*I3069</f>
        <v>94.36</v>
      </c>
      <c r="L3069" s="16" t="n">
        <f aca="false">H3069*J3069</f>
        <v>36</v>
      </c>
      <c r="M3069" s="16" t="n">
        <f aca="false">K3069-L3069</f>
        <v>58.36</v>
      </c>
      <c r="N3069" s="17" t="n">
        <f aca="false">IFERROR(M3069/K3069,0)</f>
        <v>0.618482407799915</v>
      </c>
    </row>
    <row r="3070" customFormat="false" ht="15" hidden="false" customHeight="false" outlineLevel="0" collapsed="false">
      <c r="A3070" s="15" t="n">
        <v>46150</v>
      </c>
      <c r="B3070" s="14" t="s">
        <v>81</v>
      </c>
      <c r="C3070" s="14" t="s">
        <v>82</v>
      </c>
      <c r="D3070" s="14" t="s">
        <v>83</v>
      </c>
      <c r="E3070" s="14" t="s">
        <v>64</v>
      </c>
      <c r="F3070" s="14" t="s">
        <v>90</v>
      </c>
      <c r="G3070" s="14" t="s">
        <v>91</v>
      </c>
      <c r="H3070" s="0" t="n">
        <v>5</v>
      </c>
      <c r="I3070" s="16" t="n">
        <v>11.4</v>
      </c>
      <c r="J3070" s="16" t="n">
        <v>3.5</v>
      </c>
      <c r="K3070" s="16" t="n">
        <f aca="false">H3070*I3070</f>
        <v>57</v>
      </c>
      <c r="L3070" s="16" t="n">
        <f aca="false">H3070*J3070</f>
        <v>17.5</v>
      </c>
      <c r="M3070" s="16" t="n">
        <f aca="false">K3070-L3070</f>
        <v>39.5</v>
      </c>
      <c r="N3070" s="17" t="n">
        <f aca="false">IFERROR(M3070/K3070,0)</f>
        <v>0.692982456140351</v>
      </c>
    </row>
    <row r="3071" customFormat="false" ht="15" hidden="false" customHeight="false" outlineLevel="0" collapsed="false">
      <c r="A3071" s="15" t="n">
        <v>46150</v>
      </c>
      <c r="B3071" s="14" t="s">
        <v>81</v>
      </c>
      <c r="C3071" s="14" t="s">
        <v>82</v>
      </c>
      <c r="D3071" s="14" t="s">
        <v>83</v>
      </c>
      <c r="E3071" s="14" t="s">
        <v>64</v>
      </c>
      <c r="F3071" s="14" t="s">
        <v>65</v>
      </c>
      <c r="G3071" s="14" t="s">
        <v>66</v>
      </c>
      <c r="H3071" s="0" t="n">
        <v>6</v>
      </c>
      <c r="I3071" s="16" t="n">
        <v>73.34</v>
      </c>
      <c r="J3071" s="16" t="n">
        <v>34</v>
      </c>
      <c r="K3071" s="16" t="n">
        <f aca="false">H3071*I3071</f>
        <v>440.04</v>
      </c>
      <c r="L3071" s="16" t="n">
        <f aca="false">H3071*J3071</f>
        <v>204</v>
      </c>
      <c r="M3071" s="16" t="n">
        <f aca="false">K3071-L3071</f>
        <v>236.04</v>
      </c>
      <c r="N3071" s="17" t="n">
        <f aca="false">IFERROR(M3071/K3071,0)</f>
        <v>0.53640578129261</v>
      </c>
    </row>
    <row r="3072" customFormat="false" ht="15" hidden="false" customHeight="false" outlineLevel="0" collapsed="false">
      <c r="A3072" s="15" t="n">
        <v>46150</v>
      </c>
      <c r="B3072" s="14" t="s">
        <v>88</v>
      </c>
      <c r="C3072" s="14" t="s">
        <v>89</v>
      </c>
      <c r="D3072" s="14" t="s">
        <v>44</v>
      </c>
      <c r="E3072" s="14" t="s">
        <v>64</v>
      </c>
      <c r="F3072" s="14" t="s">
        <v>90</v>
      </c>
      <c r="G3072" s="14" t="s">
        <v>91</v>
      </c>
      <c r="H3072" s="0" t="n">
        <v>5</v>
      </c>
      <c r="I3072" s="16" t="n">
        <v>11.52</v>
      </c>
      <c r="J3072" s="16" t="n">
        <v>3.5</v>
      </c>
      <c r="K3072" s="16" t="n">
        <f aca="false">H3072*I3072</f>
        <v>57.6</v>
      </c>
      <c r="L3072" s="16" t="n">
        <f aca="false">H3072*J3072</f>
        <v>17.5</v>
      </c>
      <c r="M3072" s="16" t="n">
        <f aca="false">K3072-L3072</f>
        <v>40.1</v>
      </c>
      <c r="N3072" s="17" t="n">
        <f aca="false">IFERROR(M3072/K3072,0)</f>
        <v>0.696180555555556</v>
      </c>
    </row>
    <row r="3073" customFormat="false" ht="15" hidden="false" customHeight="false" outlineLevel="0" collapsed="false">
      <c r="A3073" s="15" t="n">
        <v>46150</v>
      </c>
      <c r="B3073" s="14" t="s">
        <v>88</v>
      </c>
      <c r="C3073" s="14" t="s">
        <v>89</v>
      </c>
      <c r="D3073" s="14" t="s">
        <v>44</v>
      </c>
      <c r="E3073" s="14" t="s">
        <v>76</v>
      </c>
      <c r="F3073" s="14" t="s">
        <v>79</v>
      </c>
      <c r="G3073" s="14" t="s">
        <v>80</v>
      </c>
      <c r="H3073" s="0" t="n">
        <v>1</v>
      </c>
      <c r="I3073" s="16" t="n">
        <v>28.05</v>
      </c>
      <c r="J3073" s="16" t="n">
        <v>11</v>
      </c>
      <c r="K3073" s="16" t="n">
        <f aca="false">H3073*I3073</f>
        <v>28.05</v>
      </c>
      <c r="L3073" s="16" t="n">
        <f aca="false">H3073*J3073</f>
        <v>11</v>
      </c>
      <c r="M3073" s="16" t="n">
        <f aca="false">K3073-L3073</f>
        <v>17.05</v>
      </c>
      <c r="N3073" s="17" t="n">
        <f aca="false">IFERROR(M3073/K3073,0)</f>
        <v>0.607843137254902</v>
      </c>
    </row>
    <row r="3074" customFormat="false" ht="15" hidden="false" customHeight="false" outlineLevel="0" collapsed="false">
      <c r="A3074" s="15" t="n">
        <v>46150</v>
      </c>
      <c r="B3074" s="14" t="s">
        <v>88</v>
      </c>
      <c r="C3074" s="14" t="s">
        <v>89</v>
      </c>
      <c r="D3074" s="14" t="s">
        <v>44</v>
      </c>
      <c r="E3074" s="14" t="s">
        <v>45</v>
      </c>
      <c r="F3074" s="14" t="s">
        <v>46</v>
      </c>
      <c r="G3074" s="14" t="s">
        <v>47</v>
      </c>
      <c r="H3074" s="0" t="n">
        <v>3</v>
      </c>
      <c r="I3074" s="16" t="n">
        <v>43.71</v>
      </c>
      <c r="J3074" s="16" t="n">
        <v>18</v>
      </c>
      <c r="K3074" s="16" t="n">
        <f aca="false">H3074*I3074</f>
        <v>131.13</v>
      </c>
      <c r="L3074" s="16" t="n">
        <f aca="false">H3074*J3074</f>
        <v>54</v>
      </c>
      <c r="M3074" s="16" t="n">
        <f aca="false">K3074-L3074</f>
        <v>77.13</v>
      </c>
      <c r="N3074" s="17" t="n">
        <f aca="false">IFERROR(M3074/K3074,0)</f>
        <v>0.588194921070693</v>
      </c>
    </row>
    <row r="3075" customFormat="false" ht="15" hidden="false" customHeight="false" outlineLevel="0" collapsed="false">
      <c r="A3075" s="15" t="n">
        <v>46150</v>
      </c>
      <c r="B3075" s="14" t="s">
        <v>88</v>
      </c>
      <c r="C3075" s="14" t="s">
        <v>89</v>
      </c>
      <c r="D3075" s="14" t="s">
        <v>44</v>
      </c>
      <c r="E3075" s="14" t="s">
        <v>45</v>
      </c>
      <c r="F3075" s="14" t="s">
        <v>48</v>
      </c>
      <c r="G3075" s="14" t="s">
        <v>49</v>
      </c>
      <c r="H3075" s="0" t="n">
        <v>1</v>
      </c>
      <c r="I3075" s="16" t="n">
        <v>67.82</v>
      </c>
      <c r="J3075" s="16" t="n">
        <v>27.5</v>
      </c>
      <c r="K3075" s="16" t="n">
        <f aca="false">H3075*I3075</f>
        <v>67.82</v>
      </c>
      <c r="L3075" s="16" t="n">
        <f aca="false">H3075*J3075</f>
        <v>27.5</v>
      </c>
      <c r="M3075" s="16" t="n">
        <f aca="false">K3075-L3075</f>
        <v>40.32</v>
      </c>
      <c r="N3075" s="17" t="n">
        <f aca="false">IFERROR(M3075/K3075,0)</f>
        <v>0.594514892362135</v>
      </c>
    </row>
    <row r="3076" customFormat="false" ht="15" hidden="false" customHeight="false" outlineLevel="0" collapsed="false">
      <c r="A3076" s="15" t="n">
        <v>46150</v>
      </c>
      <c r="B3076" s="14" t="s">
        <v>88</v>
      </c>
      <c r="C3076" s="14" t="s">
        <v>89</v>
      </c>
      <c r="D3076" s="14" t="s">
        <v>44</v>
      </c>
      <c r="E3076" s="14" t="s">
        <v>64</v>
      </c>
      <c r="F3076" s="14" t="s">
        <v>96</v>
      </c>
      <c r="G3076" s="14" t="s">
        <v>97</v>
      </c>
      <c r="H3076" s="0" t="n">
        <v>6</v>
      </c>
      <c r="I3076" s="16" t="n">
        <v>58.83</v>
      </c>
      <c r="J3076" s="16" t="n">
        <v>24</v>
      </c>
      <c r="K3076" s="16" t="n">
        <f aca="false">H3076*I3076</f>
        <v>352.98</v>
      </c>
      <c r="L3076" s="16" t="n">
        <f aca="false">H3076*J3076</f>
        <v>144</v>
      </c>
      <c r="M3076" s="16" t="n">
        <f aca="false">K3076-L3076</f>
        <v>208.98</v>
      </c>
      <c r="N3076" s="17" t="n">
        <f aca="false">IFERROR(M3076/K3076,0)</f>
        <v>0.592044875063743</v>
      </c>
    </row>
    <row r="3077" customFormat="false" ht="15" hidden="false" customHeight="false" outlineLevel="0" collapsed="false">
      <c r="A3077" s="15" t="n">
        <v>46150</v>
      </c>
      <c r="B3077" s="14" t="s">
        <v>88</v>
      </c>
      <c r="C3077" s="14" t="s">
        <v>89</v>
      </c>
      <c r="D3077" s="14" t="s">
        <v>44</v>
      </c>
      <c r="E3077" s="14" t="s">
        <v>45</v>
      </c>
      <c r="F3077" s="14" t="s">
        <v>72</v>
      </c>
      <c r="G3077" s="14" t="s">
        <v>73</v>
      </c>
      <c r="H3077" s="0" t="n">
        <v>3</v>
      </c>
      <c r="I3077" s="16" t="n">
        <v>49.96</v>
      </c>
      <c r="J3077" s="16" t="n">
        <v>21</v>
      </c>
      <c r="K3077" s="16" t="n">
        <f aca="false">H3077*I3077</f>
        <v>149.88</v>
      </c>
      <c r="L3077" s="16" t="n">
        <f aca="false">H3077*J3077</f>
        <v>63</v>
      </c>
      <c r="M3077" s="16" t="n">
        <f aca="false">K3077-L3077</f>
        <v>86.88</v>
      </c>
      <c r="N3077" s="17" t="n">
        <f aca="false">IFERROR(M3077/K3077,0)</f>
        <v>0.579663730984788</v>
      </c>
    </row>
    <row r="3078" customFormat="false" ht="15" hidden="false" customHeight="false" outlineLevel="0" collapsed="false">
      <c r="A3078" s="15" t="n">
        <v>46151</v>
      </c>
      <c r="B3078" s="14" t="s">
        <v>42</v>
      </c>
      <c r="C3078" s="14" t="s">
        <v>43</v>
      </c>
      <c r="D3078" s="14" t="s">
        <v>44</v>
      </c>
      <c r="E3078" s="14" t="s">
        <v>53</v>
      </c>
      <c r="F3078" s="14" t="s">
        <v>74</v>
      </c>
      <c r="G3078" s="14" t="s">
        <v>75</v>
      </c>
      <c r="H3078" s="0" t="n">
        <v>16</v>
      </c>
      <c r="I3078" s="16" t="n">
        <v>88.64</v>
      </c>
      <c r="J3078" s="16" t="n">
        <v>38</v>
      </c>
      <c r="K3078" s="16" t="n">
        <f aca="false">H3078*I3078</f>
        <v>1418.24</v>
      </c>
      <c r="L3078" s="16" t="n">
        <f aca="false">H3078*J3078</f>
        <v>608</v>
      </c>
      <c r="M3078" s="16" t="n">
        <f aca="false">K3078-L3078</f>
        <v>810.24</v>
      </c>
      <c r="N3078" s="17" t="n">
        <f aca="false">IFERROR(M3078/K3078,0)</f>
        <v>0.57129963898917</v>
      </c>
    </row>
    <row r="3079" customFormat="false" ht="15" hidden="false" customHeight="false" outlineLevel="0" collapsed="false">
      <c r="A3079" s="15" t="n">
        <v>46151</v>
      </c>
      <c r="B3079" s="14" t="s">
        <v>42</v>
      </c>
      <c r="C3079" s="14" t="s">
        <v>43</v>
      </c>
      <c r="D3079" s="14" t="s">
        <v>44</v>
      </c>
      <c r="E3079" s="14" t="s">
        <v>53</v>
      </c>
      <c r="F3079" s="14" t="s">
        <v>92</v>
      </c>
      <c r="G3079" s="14" t="s">
        <v>93</v>
      </c>
      <c r="H3079" s="0" t="n">
        <v>4</v>
      </c>
      <c r="I3079" s="16" t="n">
        <v>117.25</v>
      </c>
      <c r="J3079" s="16" t="n">
        <v>52</v>
      </c>
      <c r="K3079" s="16" t="n">
        <f aca="false">H3079*I3079</f>
        <v>469</v>
      </c>
      <c r="L3079" s="16" t="n">
        <f aca="false">H3079*J3079</f>
        <v>208</v>
      </c>
      <c r="M3079" s="16" t="n">
        <f aca="false">K3079-L3079</f>
        <v>261</v>
      </c>
      <c r="N3079" s="17" t="n">
        <f aca="false">IFERROR(M3079/K3079,0)</f>
        <v>0.556503198294243</v>
      </c>
    </row>
    <row r="3080" customFormat="false" ht="15" hidden="false" customHeight="false" outlineLevel="0" collapsed="false">
      <c r="A3080" s="15" t="n">
        <v>46151</v>
      </c>
      <c r="B3080" s="14" t="s">
        <v>50</v>
      </c>
      <c r="C3080" s="14" t="s">
        <v>51</v>
      </c>
      <c r="D3080" s="14" t="s">
        <v>52</v>
      </c>
      <c r="E3080" s="14" t="s">
        <v>53</v>
      </c>
      <c r="F3080" s="14" t="s">
        <v>74</v>
      </c>
      <c r="G3080" s="14" t="s">
        <v>75</v>
      </c>
      <c r="H3080" s="0" t="n">
        <v>2</v>
      </c>
      <c r="I3080" s="16" t="n">
        <v>88.45</v>
      </c>
      <c r="J3080" s="16" t="n">
        <v>38</v>
      </c>
      <c r="K3080" s="16" t="n">
        <f aca="false">H3080*I3080</f>
        <v>176.9</v>
      </c>
      <c r="L3080" s="16" t="n">
        <f aca="false">H3080*J3080</f>
        <v>76</v>
      </c>
      <c r="M3080" s="16" t="n">
        <f aca="false">K3080-L3080</f>
        <v>100.9</v>
      </c>
      <c r="N3080" s="17" t="n">
        <f aca="false">IFERROR(M3080/K3080,0)</f>
        <v>0.570378745053703</v>
      </c>
    </row>
    <row r="3081" customFormat="false" ht="15" hidden="false" customHeight="false" outlineLevel="0" collapsed="false">
      <c r="A3081" s="15" t="n">
        <v>46151</v>
      </c>
      <c r="B3081" s="14" t="s">
        <v>50</v>
      </c>
      <c r="C3081" s="14" t="s">
        <v>51</v>
      </c>
      <c r="D3081" s="14" t="s">
        <v>52</v>
      </c>
      <c r="E3081" s="14" t="s">
        <v>53</v>
      </c>
      <c r="F3081" s="14" t="s">
        <v>74</v>
      </c>
      <c r="G3081" s="14" t="s">
        <v>75</v>
      </c>
      <c r="H3081" s="0" t="n">
        <v>9</v>
      </c>
      <c r="I3081" s="16" t="n">
        <v>81.91</v>
      </c>
      <c r="J3081" s="16" t="n">
        <v>38</v>
      </c>
      <c r="K3081" s="16" t="n">
        <f aca="false">H3081*I3081</f>
        <v>737.19</v>
      </c>
      <c r="L3081" s="16" t="n">
        <f aca="false">H3081*J3081</f>
        <v>342</v>
      </c>
      <c r="M3081" s="16" t="n">
        <f aca="false">K3081-L3081</f>
        <v>395.19</v>
      </c>
      <c r="N3081" s="17" t="n">
        <f aca="false">IFERROR(M3081/K3081,0)</f>
        <v>0.53607618117446</v>
      </c>
    </row>
    <row r="3082" customFormat="false" ht="15" hidden="false" customHeight="false" outlineLevel="0" collapsed="false">
      <c r="A3082" s="15" t="n">
        <v>46151</v>
      </c>
      <c r="B3082" s="14" t="s">
        <v>50</v>
      </c>
      <c r="C3082" s="14" t="s">
        <v>51</v>
      </c>
      <c r="D3082" s="14" t="s">
        <v>52</v>
      </c>
      <c r="E3082" s="14" t="s">
        <v>53</v>
      </c>
      <c r="F3082" s="14" t="s">
        <v>92</v>
      </c>
      <c r="G3082" s="14" t="s">
        <v>93</v>
      </c>
      <c r="H3082" s="0" t="n">
        <v>5</v>
      </c>
      <c r="I3082" s="16" t="n">
        <v>119.88</v>
      </c>
      <c r="J3082" s="16" t="n">
        <v>52</v>
      </c>
      <c r="K3082" s="16" t="n">
        <f aca="false">H3082*I3082</f>
        <v>599.4</v>
      </c>
      <c r="L3082" s="16" t="n">
        <f aca="false">H3082*J3082</f>
        <v>260</v>
      </c>
      <c r="M3082" s="16" t="n">
        <f aca="false">K3082-L3082</f>
        <v>339.4</v>
      </c>
      <c r="N3082" s="17" t="n">
        <f aca="false">IFERROR(M3082/K3082,0)</f>
        <v>0.566232899566233</v>
      </c>
    </row>
    <row r="3083" customFormat="false" ht="15" hidden="false" customHeight="false" outlineLevel="0" collapsed="false">
      <c r="A3083" s="15" t="n">
        <v>46151</v>
      </c>
      <c r="B3083" s="14" t="s">
        <v>50</v>
      </c>
      <c r="C3083" s="14" t="s">
        <v>51</v>
      </c>
      <c r="D3083" s="14" t="s">
        <v>52</v>
      </c>
      <c r="E3083" s="14" t="s">
        <v>53</v>
      </c>
      <c r="F3083" s="14" t="s">
        <v>92</v>
      </c>
      <c r="G3083" s="14" t="s">
        <v>93</v>
      </c>
      <c r="H3083" s="0" t="n">
        <v>13</v>
      </c>
      <c r="I3083" s="16" t="n">
        <v>110.83</v>
      </c>
      <c r="J3083" s="16" t="n">
        <v>52</v>
      </c>
      <c r="K3083" s="16" t="n">
        <f aca="false">H3083*I3083</f>
        <v>1440.79</v>
      </c>
      <c r="L3083" s="16" t="n">
        <f aca="false">H3083*J3083</f>
        <v>676</v>
      </c>
      <c r="M3083" s="16" t="n">
        <f aca="false">K3083-L3083</f>
        <v>764.79</v>
      </c>
      <c r="N3083" s="17" t="n">
        <f aca="false">IFERROR(M3083/K3083,0)</f>
        <v>0.530812956780655</v>
      </c>
    </row>
    <row r="3084" customFormat="false" ht="15" hidden="false" customHeight="false" outlineLevel="0" collapsed="false">
      <c r="A3084" s="15" t="n">
        <v>46151</v>
      </c>
      <c r="B3084" s="14" t="s">
        <v>50</v>
      </c>
      <c r="C3084" s="14" t="s">
        <v>51</v>
      </c>
      <c r="D3084" s="14" t="s">
        <v>52</v>
      </c>
      <c r="E3084" s="14" t="s">
        <v>53</v>
      </c>
      <c r="F3084" s="14" t="s">
        <v>54</v>
      </c>
      <c r="G3084" s="14" t="s">
        <v>55</v>
      </c>
      <c r="H3084" s="0" t="n">
        <v>9</v>
      </c>
      <c r="I3084" s="16" t="n">
        <v>54.48</v>
      </c>
      <c r="J3084" s="16" t="n">
        <v>22</v>
      </c>
      <c r="K3084" s="16" t="n">
        <f aca="false">H3084*I3084</f>
        <v>490.32</v>
      </c>
      <c r="L3084" s="16" t="n">
        <f aca="false">H3084*J3084</f>
        <v>198</v>
      </c>
      <c r="M3084" s="16" t="n">
        <f aca="false">K3084-L3084</f>
        <v>292.32</v>
      </c>
      <c r="N3084" s="17" t="n">
        <f aca="false">IFERROR(M3084/K3084,0)</f>
        <v>0.596182085168869</v>
      </c>
    </row>
    <row r="3085" customFormat="false" ht="15" hidden="false" customHeight="false" outlineLevel="0" collapsed="false">
      <c r="A3085" s="15" t="n">
        <v>46151</v>
      </c>
      <c r="B3085" s="14" t="s">
        <v>59</v>
      </c>
      <c r="C3085" s="14" t="s">
        <v>60</v>
      </c>
      <c r="D3085" s="14" t="s">
        <v>61</v>
      </c>
      <c r="E3085" s="14" t="s">
        <v>56</v>
      </c>
      <c r="F3085" s="14" t="s">
        <v>67</v>
      </c>
      <c r="G3085" s="14" t="s">
        <v>68</v>
      </c>
      <c r="H3085" s="0" t="n">
        <v>4</v>
      </c>
      <c r="I3085" s="16" t="n">
        <v>37.82</v>
      </c>
      <c r="J3085" s="16" t="n">
        <v>15</v>
      </c>
      <c r="K3085" s="16" t="n">
        <f aca="false">H3085*I3085</f>
        <v>151.28</v>
      </c>
      <c r="L3085" s="16" t="n">
        <f aca="false">H3085*J3085</f>
        <v>60</v>
      </c>
      <c r="M3085" s="16" t="n">
        <f aca="false">K3085-L3085</f>
        <v>91.28</v>
      </c>
      <c r="N3085" s="17" t="n">
        <f aca="false">IFERROR(M3085/K3085,0)</f>
        <v>0.603384452670545</v>
      </c>
    </row>
    <row r="3086" customFormat="false" ht="15" hidden="false" customHeight="false" outlineLevel="0" collapsed="false">
      <c r="A3086" s="15" t="n">
        <v>46151</v>
      </c>
      <c r="B3086" s="14" t="s">
        <v>59</v>
      </c>
      <c r="C3086" s="14" t="s">
        <v>60</v>
      </c>
      <c r="D3086" s="14" t="s">
        <v>61</v>
      </c>
      <c r="E3086" s="14" t="s">
        <v>76</v>
      </c>
      <c r="F3086" s="14" t="s">
        <v>100</v>
      </c>
      <c r="G3086" s="14" t="s">
        <v>101</v>
      </c>
      <c r="H3086" s="0" t="n">
        <v>1</v>
      </c>
      <c r="I3086" s="16" t="n">
        <v>15.25</v>
      </c>
      <c r="J3086" s="16" t="n">
        <v>5.5</v>
      </c>
      <c r="K3086" s="16" t="n">
        <f aca="false">H3086*I3086</f>
        <v>15.25</v>
      </c>
      <c r="L3086" s="16" t="n">
        <f aca="false">H3086*J3086</f>
        <v>5.5</v>
      </c>
      <c r="M3086" s="16" t="n">
        <f aca="false">K3086-L3086</f>
        <v>9.75</v>
      </c>
      <c r="N3086" s="17" t="n">
        <f aca="false">IFERROR(M3086/K3086,0)</f>
        <v>0.639344262295082</v>
      </c>
    </row>
    <row r="3087" customFormat="false" ht="15" hidden="false" customHeight="false" outlineLevel="0" collapsed="false">
      <c r="A3087" s="15" t="n">
        <v>46151</v>
      </c>
      <c r="B3087" s="14" t="s">
        <v>59</v>
      </c>
      <c r="C3087" s="14" t="s">
        <v>60</v>
      </c>
      <c r="D3087" s="14" t="s">
        <v>61</v>
      </c>
      <c r="E3087" s="14" t="s">
        <v>64</v>
      </c>
      <c r="F3087" s="14" t="s">
        <v>90</v>
      </c>
      <c r="G3087" s="14" t="s">
        <v>91</v>
      </c>
      <c r="H3087" s="0" t="n">
        <v>6</v>
      </c>
      <c r="I3087" s="16" t="n">
        <v>11.85</v>
      </c>
      <c r="J3087" s="16" t="n">
        <v>3.5</v>
      </c>
      <c r="K3087" s="16" t="n">
        <f aca="false">H3087*I3087</f>
        <v>71.1</v>
      </c>
      <c r="L3087" s="16" t="n">
        <f aca="false">H3087*J3087</f>
        <v>21</v>
      </c>
      <c r="M3087" s="16" t="n">
        <f aca="false">K3087-L3087</f>
        <v>50.1</v>
      </c>
      <c r="N3087" s="17" t="n">
        <f aca="false">IFERROR(M3087/K3087,0)</f>
        <v>0.70464135021097</v>
      </c>
    </row>
    <row r="3088" customFormat="false" ht="15" hidden="false" customHeight="false" outlineLevel="0" collapsed="false">
      <c r="A3088" s="15" t="n">
        <v>46151</v>
      </c>
      <c r="B3088" s="14" t="s">
        <v>59</v>
      </c>
      <c r="C3088" s="14" t="s">
        <v>60</v>
      </c>
      <c r="D3088" s="14" t="s">
        <v>61</v>
      </c>
      <c r="E3088" s="14" t="s">
        <v>53</v>
      </c>
      <c r="F3088" s="14" t="s">
        <v>84</v>
      </c>
      <c r="G3088" s="14" t="s">
        <v>85</v>
      </c>
      <c r="H3088" s="0" t="n">
        <v>7</v>
      </c>
      <c r="I3088" s="16" t="n">
        <v>24.2</v>
      </c>
      <c r="J3088" s="16" t="n">
        <v>9</v>
      </c>
      <c r="K3088" s="16" t="n">
        <f aca="false">H3088*I3088</f>
        <v>169.4</v>
      </c>
      <c r="L3088" s="16" t="n">
        <f aca="false">H3088*J3088</f>
        <v>63</v>
      </c>
      <c r="M3088" s="16" t="n">
        <f aca="false">K3088-L3088</f>
        <v>106.4</v>
      </c>
      <c r="N3088" s="17" t="n">
        <f aca="false">IFERROR(M3088/K3088,0)</f>
        <v>0.628099173553719</v>
      </c>
    </row>
    <row r="3089" customFormat="false" ht="15" hidden="false" customHeight="false" outlineLevel="0" collapsed="false">
      <c r="A3089" s="15" t="n">
        <v>46151</v>
      </c>
      <c r="B3089" s="14" t="s">
        <v>59</v>
      </c>
      <c r="C3089" s="14" t="s">
        <v>60</v>
      </c>
      <c r="D3089" s="14" t="s">
        <v>61</v>
      </c>
      <c r="E3089" s="14" t="s">
        <v>64</v>
      </c>
      <c r="F3089" s="14" t="s">
        <v>65</v>
      </c>
      <c r="G3089" s="14" t="s">
        <v>66</v>
      </c>
      <c r="H3089" s="0" t="n">
        <v>9</v>
      </c>
      <c r="I3089" s="16" t="n">
        <v>73.49</v>
      </c>
      <c r="J3089" s="16" t="n">
        <v>34</v>
      </c>
      <c r="K3089" s="16" t="n">
        <f aca="false">H3089*I3089</f>
        <v>661.41</v>
      </c>
      <c r="L3089" s="16" t="n">
        <f aca="false">H3089*J3089</f>
        <v>306</v>
      </c>
      <c r="M3089" s="16" t="n">
        <f aca="false">K3089-L3089</f>
        <v>355.41</v>
      </c>
      <c r="N3089" s="17" t="n">
        <f aca="false">IFERROR(M3089/K3089,0)</f>
        <v>0.537352020683086</v>
      </c>
    </row>
    <row r="3090" customFormat="false" ht="15" hidden="false" customHeight="false" outlineLevel="0" collapsed="false">
      <c r="A3090" s="15" t="n">
        <v>46151</v>
      </c>
      <c r="B3090" s="14" t="s">
        <v>69</v>
      </c>
      <c r="C3090" s="14" t="s">
        <v>70</v>
      </c>
      <c r="D3090" s="14" t="s">
        <v>71</v>
      </c>
      <c r="E3090" s="14" t="s">
        <v>45</v>
      </c>
      <c r="F3090" s="14" t="s">
        <v>48</v>
      </c>
      <c r="G3090" s="14" t="s">
        <v>49</v>
      </c>
      <c r="H3090" s="0" t="n">
        <v>2</v>
      </c>
      <c r="I3090" s="16" t="n">
        <v>63.42</v>
      </c>
      <c r="J3090" s="16" t="n">
        <v>27.5</v>
      </c>
      <c r="K3090" s="16" t="n">
        <f aca="false">H3090*I3090</f>
        <v>126.84</v>
      </c>
      <c r="L3090" s="16" t="n">
        <f aca="false">H3090*J3090</f>
        <v>55</v>
      </c>
      <c r="M3090" s="16" t="n">
        <f aca="false">K3090-L3090</f>
        <v>71.84</v>
      </c>
      <c r="N3090" s="17" t="n">
        <f aca="false">IFERROR(M3090/K3090,0)</f>
        <v>0.56638284452854</v>
      </c>
    </row>
    <row r="3091" customFormat="false" ht="15" hidden="false" customHeight="false" outlineLevel="0" collapsed="false">
      <c r="A3091" s="15" t="n">
        <v>46151</v>
      </c>
      <c r="B3091" s="14" t="s">
        <v>69</v>
      </c>
      <c r="C3091" s="14" t="s">
        <v>70</v>
      </c>
      <c r="D3091" s="14" t="s">
        <v>71</v>
      </c>
      <c r="E3091" s="14" t="s">
        <v>64</v>
      </c>
      <c r="F3091" s="14" t="s">
        <v>65</v>
      </c>
      <c r="G3091" s="14" t="s">
        <v>66</v>
      </c>
      <c r="H3091" s="0" t="n">
        <v>3</v>
      </c>
      <c r="I3091" s="16" t="n">
        <v>76.07</v>
      </c>
      <c r="J3091" s="16" t="n">
        <v>34</v>
      </c>
      <c r="K3091" s="16" t="n">
        <f aca="false">H3091*I3091</f>
        <v>228.21</v>
      </c>
      <c r="L3091" s="16" t="n">
        <f aca="false">H3091*J3091</f>
        <v>102</v>
      </c>
      <c r="M3091" s="16" t="n">
        <f aca="false">K3091-L3091</f>
        <v>126.21</v>
      </c>
      <c r="N3091" s="17" t="n">
        <f aca="false">IFERROR(M3091/K3091,0)</f>
        <v>0.553043249638491</v>
      </c>
    </row>
    <row r="3092" customFormat="false" ht="15" hidden="false" customHeight="false" outlineLevel="0" collapsed="false">
      <c r="A3092" s="15" t="n">
        <v>46151</v>
      </c>
      <c r="B3092" s="14" t="s">
        <v>69</v>
      </c>
      <c r="C3092" s="14" t="s">
        <v>70</v>
      </c>
      <c r="D3092" s="14" t="s">
        <v>71</v>
      </c>
      <c r="E3092" s="14" t="s">
        <v>53</v>
      </c>
      <c r="F3092" s="14" t="s">
        <v>92</v>
      </c>
      <c r="G3092" s="14" t="s">
        <v>93</v>
      </c>
      <c r="H3092" s="0" t="n">
        <v>9</v>
      </c>
      <c r="I3092" s="16" t="n">
        <v>113.13</v>
      </c>
      <c r="J3092" s="16" t="n">
        <v>52</v>
      </c>
      <c r="K3092" s="16" t="n">
        <f aca="false">H3092*I3092</f>
        <v>1018.17</v>
      </c>
      <c r="L3092" s="16" t="n">
        <f aca="false">H3092*J3092</f>
        <v>468</v>
      </c>
      <c r="M3092" s="16" t="n">
        <f aca="false">K3092-L3092</f>
        <v>550.17</v>
      </c>
      <c r="N3092" s="17" t="n">
        <f aca="false">IFERROR(M3092/K3092,0)</f>
        <v>0.54035180765491</v>
      </c>
    </row>
    <row r="3093" customFormat="false" ht="15" hidden="false" customHeight="false" outlineLevel="0" collapsed="false">
      <c r="A3093" s="15" t="n">
        <v>46151</v>
      </c>
      <c r="B3093" s="14" t="s">
        <v>81</v>
      </c>
      <c r="C3093" s="14" t="s">
        <v>82</v>
      </c>
      <c r="D3093" s="14" t="s">
        <v>83</v>
      </c>
      <c r="E3093" s="14" t="s">
        <v>76</v>
      </c>
      <c r="F3093" s="14" t="s">
        <v>102</v>
      </c>
      <c r="G3093" s="14" t="s">
        <v>103</v>
      </c>
      <c r="H3093" s="0" t="n">
        <v>2</v>
      </c>
      <c r="I3093" s="16" t="n">
        <v>23.54</v>
      </c>
      <c r="J3093" s="16" t="n">
        <v>8.5</v>
      </c>
      <c r="K3093" s="16" t="n">
        <f aca="false">H3093*I3093</f>
        <v>47.08</v>
      </c>
      <c r="L3093" s="16" t="n">
        <f aca="false">H3093*J3093</f>
        <v>17</v>
      </c>
      <c r="M3093" s="16" t="n">
        <f aca="false">K3093-L3093</f>
        <v>30.08</v>
      </c>
      <c r="N3093" s="17" t="n">
        <f aca="false">IFERROR(M3093/K3093,0)</f>
        <v>0.638912489379779</v>
      </c>
    </row>
    <row r="3094" customFormat="false" ht="15" hidden="false" customHeight="false" outlineLevel="0" collapsed="false">
      <c r="A3094" s="15" t="n">
        <v>46151</v>
      </c>
      <c r="B3094" s="14" t="s">
        <v>81</v>
      </c>
      <c r="C3094" s="14" t="s">
        <v>82</v>
      </c>
      <c r="D3094" s="14" t="s">
        <v>83</v>
      </c>
      <c r="E3094" s="14" t="s">
        <v>64</v>
      </c>
      <c r="F3094" s="14" t="s">
        <v>96</v>
      </c>
      <c r="G3094" s="14" t="s">
        <v>97</v>
      </c>
      <c r="H3094" s="0" t="n">
        <v>2</v>
      </c>
      <c r="I3094" s="16" t="n">
        <v>56.9</v>
      </c>
      <c r="J3094" s="16" t="n">
        <v>24</v>
      </c>
      <c r="K3094" s="16" t="n">
        <f aca="false">H3094*I3094</f>
        <v>113.8</v>
      </c>
      <c r="L3094" s="16" t="n">
        <f aca="false">H3094*J3094</f>
        <v>48</v>
      </c>
      <c r="M3094" s="16" t="n">
        <f aca="false">K3094-L3094</f>
        <v>65.8</v>
      </c>
      <c r="N3094" s="17" t="n">
        <f aca="false">IFERROR(M3094/K3094,0)</f>
        <v>0.578207381370826</v>
      </c>
    </row>
    <row r="3095" customFormat="false" ht="15" hidden="false" customHeight="false" outlineLevel="0" collapsed="false">
      <c r="A3095" s="15" t="n">
        <v>46151</v>
      </c>
      <c r="B3095" s="14" t="s">
        <v>81</v>
      </c>
      <c r="C3095" s="14" t="s">
        <v>82</v>
      </c>
      <c r="D3095" s="14" t="s">
        <v>83</v>
      </c>
      <c r="E3095" s="14" t="s">
        <v>64</v>
      </c>
      <c r="F3095" s="14" t="s">
        <v>96</v>
      </c>
      <c r="G3095" s="14" t="s">
        <v>97</v>
      </c>
      <c r="H3095" s="0" t="n">
        <v>3</v>
      </c>
      <c r="I3095" s="16" t="n">
        <v>56.73</v>
      </c>
      <c r="J3095" s="16" t="n">
        <v>24</v>
      </c>
      <c r="K3095" s="16" t="n">
        <f aca="false">H3095*I3095</f>
        <v>170.19</v>
      </c>
      <c r="L3095" s="16" t="n">
        <f aca="false">H3095*J3095</f>
        <v>72</v>
      </c>
      <c r="M3095" s="16" t="n">
        <f aca="false">K3095-L3095</f>
        <v>98.19</v>
      </c>
      <c r="N3095" s="17" t="n">
        <f aca="false">IFERROR(M3095/K3095,0)</f>
        <v>0.576943416181914</v>
      </c>
    </row>
    <row r="3096" customFormat="false" ht="15" hidden="false" customHeight="false" outlineLevel="0" collapsed="false">
      <c r="A3096" s="15" t="n">
        <v>46151</v>
      </c>
      <c r="B3096" s="14" t="s">
        <v>81</v>
      </c>
      <c r="C3096" s="14" t="s">
        <v>82</v>
      </c>
      <c r="D3096" s="14" t="s">
        <v>83</v>
      </c>
      <c r="E3096" s="14" t="s">
        <v>45</v>
      </c>
      <c r="F3096" s="14" t="s">
        <v>72</v>
      </c>
      <c r="G3096" s="14" t="s">
        <v>73</v>
      </c>
      <c r="H3096" s="0" t="n">
        <v>8</v>
      </c>
      <c r="I3096" s="16" t="n">
        <v>48.29</v>
      </c>
      <c r="J3096" s="16" t="n">
        <v>21</v>
      </c>
      <c r="K3096" s="16" t="n">
        <f aca="false">H3096*I3096</f>
        <v>386.32</v>
      </c>
      <c r="L3096" s="16" t="n">
        <f aca="false">H3096*J3096</f>
        <v>168</v>
      </c>
      <c r="M3096" s="16" t="n">
        <f aca="false">K3096-L3096</f>
        <v>218.32</v>
      </c>
      <c r="N3096" s="17" t="n">
        <f aca="false">IFERROR(M3096/K3096,0)</f>
        <v>0.565127355560157</v>
      </c>
    </row>
    <row r="3097" customFormat="false" ht="15" hidden="false" customHeight="false" outlineLevel="0" collapsed="false">
      <c r="A3097" s="15" t="n">
        <v>46151</v>
      </c>
      <c r="B3097" s="14" t="s">
        <v>88</v>
      </c>
      <c r="C3097" s="14" t="s">
        <v>89</v>
      </c>
      <c r="D3097" s="14" t="s">
        <v>44</v>
      </c>
      <c r="E3097" s="14" t="s">
        <v>45</v>
      </c>
      <c r="F3097" s="14" t="s">
        <v>72</v>
      </c>
      <c r="G3097" s="14" t="s">
        <v>73</v>
      </c>
      <c r="H3097" s="0" t="n">
        <v>4</v>
      </c>
      <c r="I3097" s="16" t="n">
        <v>48.19</v>
      </c>
      <c r="J3097" s="16" t="n">
        <v>21</v>
      </c>
      <c r="K3097" s="16" t="n">
        <f aca="false">H3097*I3097</f>
        <v>192.76</v>
      </c>
      <c r="L3097" s="16" t="n">
        <f aca="false">H3097*J3097</f>
        <v>84</v>
      </c>
      <c r="M3097" s="16" t="n">
        <f aca="false">K3097-L3097</f>
        <v>108.76</v>
      </c>
      <c r="N3097" s="17" t="n">
        <f aca="false">IFERROR(M3097/K3097,0)</f>
        <v>0.564224942934219</v>
      </c>
    </row>
    <row r="3098" customFormat="false" ht="15" hidden="false" customHeight="false" outlineLevel="0" collapsed="false">
      <c r="A3098" s="15" t="n">
        <v>46151</v>
      </c>
      <c r="B3098" s="14" t="s">
        <v>88</v>
      </c>
      <c r="C3098" s="14" t="s">
        <v>89</v>
      </c>
      <c r="D3098" s="14" t="s">
        <v>44</v>
      </c>
      <c r="E3098" s="14" t="s">
        <v>45</v>
      </c>
      <c r="F3098" s="14" t="s">
        <v>62</v>
      </c>
      <c r="G3098" s="14" t="s">
        <v>63</v>
      </c>
      <c r="H3098" s="0" t="n">
        <v>9</v>
      </c>
      <c r="I3098" s="16" t="n">
        <v>17.45</v>
      </c>
      <c r="J3098" s="16" t="n">
        <v>6.5</v>
      </c>
      <c r="K3098" s="16" t="n">
        <f aca="false">H3098*I3098</f>
        <v>157.05</v>
      </c>
      <c r="L3098" s="16" t="n">
        <f aca="false">H3098*J3098</f>
        <v>58.5</v>
      </c>
      <c r="M3098" s="16" t="n">
        <f aca="false">K3098-L3098</f>
        <v>98.55</v>
      </c>
      <c r="N3098" s="17" t="n">
        <f aca="false">IFERROR(M3098/K3098,0)</f>
        <v>0.627507163323782</v>
      </c>
    </row>
    <row r="3099" customFormat="false" ht="15" hidden="false" customHeight="false" outlineLevel="0" collapsed="false">
      <c r="A3099" s="15" t="n">
        <v>46151</v>
      </c>
      <c r="B3099" s="14" t="s">
        <v>88</v>
      </c>
      <c r="C3099" s="14" t="s">
        <v>89</v>
      </c>
      <c r="D3099" s="14" t="s">
        <v>44</v>
      </c>
      <c r="E3099" s="14" t="s">
        <v>64</v>
      </c>
      <c r="F3099" s="14" t="s">
        <v>96</v>
      </c>
      <c r="G3099" s="14" t="s">
        <v>97</v>
      </c>
      <c r="H3099" s="0" t="n">
        <v>10</v>
      </c>
      <c r="I3099" s="16" t="n">
        <v>57.1</v>
      </c>
      <c r="J3099" s="16" t="n">
        <v>24</v>
      </c>
      <c r="K3099" s="16" t="n">
        <f aca="false">H3099*I3099</f>
        <v>571</v>
      </c>
      <c r="L3099" s="16" t="n">
        <f aca="false">H3099*J3099</f>
        <v>240</v>
      </c>
      <c r="M3099" s="16" t="n">
        <f aca="false">K3099-L3099</f>
        <v>331</v>
      </c>
      <c r="N3099" s="17" t="n">
        <f aca="false">IFERROR(M3099/K3099,0)</f>
        <v>0.57968476357268</v>
      </c>
    </row>
    <row r="3100" customFormat="false" ht="15" hidden="false" customHeight="false" outlineLevel="0" collapsed="false">
      <c r="A3100" s="15" t="n">
        <v>46152</v>
      </c>
      <c r="B3100" s="14" t="s">
        <v>42</v>
      </c>
      <c r="C3100" s="14" t="s">
        <v>43</v>
      </c>
      <c r="D3100" s="14" t="s">
        <v>44</v>
      </c>
      <c r="E3100" s="14" t="s">
        <v>56</v>
      </c>
      <c r="F3100" s="14" t="s">
        <v>86</v>
      </c>
      <c r="G3100" s="14" t="s">
        <v>87</v>
      </c>
      <c r="H3100" s="0" t="n">
        <v>6</v>
      </c>
      <c r="I3100" s="16" t="n">
        <v>14.67</v>
      </c>
      <c r="J3100" s="16" t="n">
        <v>5</v>
      </c>
      <c r="K3100" s="16" t="n">
        <f aca="false">H3100*I3100</f>
        <v>88.02</v>
      </c>
      <c r="L3100" s="16" t="n">
        <f aca="false">H3100*J3100</f>
        <v>30</v>
      </c>
      <c r="M3100" s="16" t="n">
        <f aca="false">K3100-L3100</f>
        <v>58.02</v>
      </c>
      <c r="N3100" s="17" t="n">
        <f aca="false">IFERROR(M3100/K3100,0)</f>
        <v>0.659168370824813</v>
      </c>
    </row>
    <row r="3101" customFormat="false" ht="15" hidden="false" customHeight="false" outlineLevel="0" collapsed="false">
      <c r="A3101" s="15" t="n">
        <v>46152</v>
      </c>
      <c r="B3101" s="14" t="s">
        <v>42</v>
      </c>
      <c r="C3101" s="14" t="s">
        <v>43</v>
      </c>
      <c r="D3101" s="14" t="s">
        <v>44</v>
      </c>
      <c r="E3101" s="14" t="s">
        <v>45</v>
      </c>
      <c r="F3101" s="14" t="s">
        <v>48</v>
      </c>
      <c r="G3101" s="14" t="s">
        <v>49</v>
      </c>
      <c r="H3101" s="0" t="n">
        <v>5</v>
      </c>
      <c r="I3101" s="16" t="n">
        <v>64.42</v>
      </c>
      <c r="J3101" s="16" t="n">
        <v>27.5</v>
      </c>
      <c r="K3101" s="16" t="n">
        <f aca="false">H3101*I3101</f>
        <v>322.1</v>
      </c>
      <c r="L3101" s="16" t="n">
        <f aca="false">H3101*J3101</f>
        <v>137.5</v>
      </c>
      <c r="M3101" s="16" t="n">
        <f aca="false">K3101-L3101</f>
        <v>184.6</v>
      </c>
      <c r="N3101" s="17" t="n">
        <f aca="false">IFERROR(M3101/K3101,0)</f>
        <v>0.573113939770258</v>
      </c>
    </row>
    <row r="3102" customFormat="false" ht="15" hidden="false" customHeight="false" outlineLevel="0" collapsed="false">
      <c r="A3102" s="15" t="n">
        <v>46152</v>
      </c>
      <c r="B3102" s="14" t="s">
        <v>50</v>
      </c>
      <c r="C3102" s="14" t="s">
        <v>51</v>
      </c>
      <c r="D3102" s="14" t="s">
        <v>52</v>
      </c>
      <c r="E3102" s="14" t="s">
        <v>53</v>
      </c>
      <c r="F3102" s="14" t="s">
        <v>92</v>
      </c>
      <c r="G3102" s="14" t="s">
        <v>93</v>
      </c>
      <c r="H3102" s="0" t="n">
        <v>14</v>
      </c>
      <c r="I3102" s="16" t="n">
        <v>112.33</v>
      </c>
      <c r="J3102" s="16" t="n">
        <v>52</v>
      </c>
      <c r="K3102" s="16" t="n">
        <f aca="false">H3102*I3102</f>
        <v>1572.62</v>
      </c>
      <c r="L3102" s="16" t="n">
        <f aca="false">H3102*J3102</f>
        <v>728</v>
      </c>
      <c r="M3102" s="16" t="n">
        <f aca="false">K3102-L3102</f>
        <v>844.62</v>
      </c>
      <c r="N3102" s="17" t="n">
        <f aca="false">IFERROR(M3102/K3102,0)</f>
        <v>0.537078251580166</v>
      </c>
    </row>
    <row r="3103" customFormat="false" ht="15" hidden="false" customHeight="false" outlineLevel="0" collapsed="false">
      <c r="A3103" s="15" t="n">
        <v>46152</v>
      </c>
      <c r="B3103" s="14" t="s">
        <v>50</v>
      </c>
      <c r="C3103" s="14" t="s">
        <v>51</v>
      </c>
      <c r="D3103" s="14" t="s">
        <v>52</v>
      </c>
      <c r="E3103" s="14" t="s">
        <v>45</v>
      </c>
      <c r="F3103" s="14" t="s">
        <v>72</v>
      </c>
      <c r="G3103" s="14" t="s">
        <v>73</v>
      </c>
      <c r="H3103" s="0" t="n">
        <v>10</v>
      </c>
      <c r="I3103" s="16" t="n">
        <v>48.48</v>
      </c>
      <c r="J3103" s="16" t="n">
        <v>21</v>
      </c>
      <c r="K3103" s="16" t="n">
        <f aca="false">H3103*I3103</f>
        <v>484.8</v>
      </c>
      <c r="L3103" s="16" t="n">
        <f aca="false">H3103*J3103</f>
        <v>210</v>
      </c>
      <c r="M3103" s="16" t="n">
        <f aca="false">K3103-L3103</f>
        <v>274.8</v>
      </c>
      <c r="N3103" s="17" t="n">
        <f aca="false">IFERROR(M3103/K3103,0)</f>
        <v>0.566831683168317</v>
      </c>
    </row>
    <row r="3104" customFormat="false" ht="15" hidden="false" customHeight="false" outlineLevel="0" collapsed="false">
      <c r="A3104" s="15" t="n">
        <v>46152</v>
      </c>
      <c r="B3104" s="14" t="s">
        <v>50</v>
      </c>
      <c r="C3104" s="14" t="s">
        <v>51</v>
      </c>
      <c r="D3104" s="14" t="s">
        <v>52</v>
      </c>
      <c r="E3104" s="14" t="s">
        <v>76</v>
      </c>
      <c r="F3104" s="14" t="s">
        <v>79</v>
      </c>
      <c r="G3104" s="14" t="s">
        <v>80</v>
      </c>
      <c r="H3104" s="0" t="n">
        <v>6</v>
      </c>
      <c r="I3104" s="16" t="n">
        <v>28.04</v>
      </c>
      <c r="J3104" s="16" t="n">
        <v>11</v>
      </c>
      <c r="K3104" s="16" t="n">
        <f aca="false">H3104*I3104</f>
        <v>168.24</v>
      </c>
      <c r="L3104" s="16" t="n">
        <f aca="false">H3104*J3104</f>
        <v>66</v>
      </c>
      <c r="M3104" s="16" t="n">
        <f aca="false">K3104-L3104</f>
        <v>102.24</v>
      </c>
      <c r="N3104" s="17" t="n">
        <f aca="false">IFERROR(M3104/K3104,0)</f>
        <v>0.607703281027104</v>
      </c>
    </row>
    <row r="3105" customFormat="false" ht="15" hidden="false" customHeight="false" outlineLevel="0" collapsed="false">
      <c r="A3105" s="15" t="n">
        <v>46152</v>
      </c>
      <c r="B3105" s="14" t="s">
        <v>50</v>
      </c>
      <c r="C3105" s="14" t="s">
        <v>51</v>
      </c>
      <c r="D3105" s="14" t="s">
        <v>52</v>
      </c>
      <c r="E3105" s="14" t="s">
        <v>53</v>
      </c>
      <c r="F3105" s="14" t="s">
        <v>92</v>
      </c>
      <c r="G3105" s="14" t="s">
        <v>93</v>
      </c>
      <c r="H3105" s="0" t="n">
        <v>14</v>
      </c>
      <c r="I3105" s="16" t="n">
        <v>110.64</v>
      </c>
      <c r="J3105" s="16" t="n">
        <v>52</v>
      </c>
      <c r="K3105" s="16" t="n">
        <f aca="false">H3105*I3105</f>
        <v>1548.96</v>
      </c>
      <c r="L3105" s="16" t="n">
        <f aca="false">H3105*J3105</f>
        <v>728</v>
      </c>
      <c r="M3105" s="16" t="n">
        <f aca="false">K3105-L3105</f>
        <v>820.96</v>
      </c>
      <c r="N3105" s="17" t="n">
        <f aca="false">IFERROR(M3105/K3105,0)</f>
        <v>0.53000723065799</v>
      </c>
    </row>
    <row r="3106" customFormat="false" ht="15" hidden="false" customHeight="false" outlineLevel="0" collapsed="false">
      <c r="A3106" s="15" t="n">
        <v>46152</v>
      </c>
      <c r="B3106" s="14" t="s">
        <v>59</v>
      </c>
      <c r="C3106" s="14" t="s">
        <v>60</v>
      </c>
      <c r="D3106" s="14" t="s">
        <v>61</v>
      </c>
      <c r="E3106" s="14" t="s">
        <v>45</v>
      </c>
      <c r="F3106" s="14" t="s">
        <v>62</v>
      </c>
      <c r="G3106" s="14" t="s">
        <v>63</v>
      </c>
      <c r="H3106" s="0" t="n">
        <v>6</v>
      </c>
      <c r="I3106" s="16" t="n">
        <v>17.36</v>
      </c>
      <c r="J3106" s="16" t="n">
        <v>6.5</v>
      </c>
      <c r="K3106" s="16" t="n">
        <f aca="false">H3106*I3106</f>
        <v>104.16</v>
      </c>
      <c r="L3106" s="16" t="n">
        <f aca="false">H3106*J3106</f>
        <v>39</v>
      </c>
      <c r="M3106" s="16" t="n">
        <f aca="false">K3106-L3106</f>
        <v>65.16</v>
      </c>
      <c r="N3106" s="17" t="n">
        <f aca="false">IFERROR(M3106/K3106,0)</f>
        <v>0.625576036866359</v>
      </c>
    </row>
    <row r="3107" customFormat="false" ht="15" hidden="false" customHeight="false" outlineLevel="0" collapsed="false">
      <c r="A3107" s="15" t="n">
        <v>46152</v>
      </c>
      <c r="B3107" s="14" t="s">
        <v>59</v>
      </c>
      <c r="C3107" s="14" t="s">
        <v>60</v>
      </c>
      <c r="D3107" s="14" t="s">
        <v>61</v>
      </c>
      <c r="E3107" s="14" t="s">
        <v>53</v>
      </c>
      <c r="F3107" s="14" t="s">
        <v>92</v>
      </c>
      <c r="G3107" s="14" t="s">
        <v>93</v>
      </c>
      <c r="H3107" s="0" t="n">
        <v>1</v>
      </c>
      <c r="I3107" s="16" t="n">
        <v>111.47</v>
      </c>
      <c r="J3107" s="16" t="n">
        <v>52</v>
      </c>
      <c r="K3107" s="16" t="n">
        <f aca="false">H3107*I3107</f>
        <v>111.47</v>
      </c>
      <c r="L3107" s="16" t="n">
        <f aca="false">H3107*J3107</f>
        <v>52</v>
      </c>
      <c r="M3107" s="16" t="n">
        <f aca="false">K3107-L3107</f>
        <v>59.47</v>
      </c>
      <c r="N3107" s="17" t="n">
        <f aca="false">IFERROR(M3107/K3107,0)</f>
        <v>0.533506773122813</v>
      </c>
    </row>
    <row r="3108" customFormat="false" ht="15" hidden="false" customHeight="false" outlineLevel="0" collapsed="false">
      <c r="A3108" s="15" t="n">
        <v>46152</v>
      </c>
      <c r="B3108" s="14" t="s">
        <v>59</v>
      </c>
      <c r="C3108" s="14" t="s">
        <v>60</v>
      </c>
      <c r="D3108" s="14" t="s">
        <v>61</v>
      </c>
      <c r="E3108" s="14" t="s">
        <v>45</v>
      </c>
      <c r="F3108" s="14" t="s">
        <v>72</v>
      </c>
      <c r="G3108" s="14" t="s">
        <v>73</v>
      </c>
      <c r="H3108" s="0" t="n">
        <v>1</v>
      </c>
      <c r="I3108" s="16" t="n">
        <v>50.41</v>
      </c>
      <c r="J3108" s="16" t="n">
        <v>21</v>
      </c>
      <c r="K3108" s="16" t="n">
        <f aca="false">H3108*I3108</f>
        <v>50.41</v>
      </c>
      <c r="L3108" s="16" t="n">
        <f aca="false">H3108*J3108</f>
        <v>21</v>
      </c>
      <c r="M3108" s="16" t="n">
        <f aca="false">K3108-L3108</f>
        <v>29.41</v>
      </c>
      <c r="N3108" s="17" t="n">
        <f aca="false">IFERROR(M3108/K3108,0)</f>
        <v>0.583415988891093</v>
      </c>
    </row>
    <row r="3109" customFormat="false" ht="15" hidden="false" customHeight="false" outlineLevel="0" collapsed="false">
      <c r="A3109" s="15" t="n">
        <v>46152</v>
      </c>
      <c r="B3109" s="14" t="s">
        <v>59</v>
      </c>
      <c r="C3109" s="14" t="s">
        <v>60</v>
      </c>
      <c r="D3109" s="14" t="s">
        <v>61</v>
      </c>
      <c r="E3109" s="14" t="s">
        <v>53</v>
      </c>
      <c r="F3109" s="14" t="s">
        <v>92</v>
      </c>
      <c r="G3109" s="14" t="s">
        <v>93</v>
      </c>
      <c r="H3109" s="0" t="n">
        <v>8</v>
      </c>
      <c r="I3109" s="16" t="n">
        <v>110.77</v>
      </c>
      <c r="J3109" s="16" t="n">
        <v>52</v>
      </c>
      <c r="K3109" s="16" t="n">
        <f aca="false">H3109*I3109</f>
        <v>886.16</v>
      </c>
      <c r="L3109" s="16" t="n">
        <f aca="false">H3109*J3109</f>
        <v>416</v>
      </c>
      <c r="M3109" s="16" t="n">
        <f aca="false">K3109-L3109</f>
        <v>470.16</v>
      </c>
      <c r="N3109" s="17" t="n">
        <f aca="false">IFERROR(M3109/K3109,0)</f>
        <v>0.530558815563781</v>
      </c>
    </row>
    <row r="3110" customFormat="false" ht="15" hidden="false" customHeight="false" outlineLevel="0" collapsed="false">
      <c r="A3110" s="15" t="n">
        <v>46152</v>
      </c>
      <c r="B3110" s="14" t="s">
        <v>59</v>
      </c>
      <c r="C3110" s="14" t="s">
        <v>60</v>
      </c>
      <c r="D3110" s="14" t="s">
        <v>61</v>
      </c>
      <c r="E3110" s="14" t="s">
        <v>45</v>
      </c>
      <c r="F3110" s="14" t="s">
        <v>62</v>
      </c>
      <c r="G3110" s="14" t="s">
        <v>63</v>
      </c>
      <c r="H3110" s="0" t="n">
        <v>1</v>
      </c>
      <c r="I3110" s="16" t="n">
        <v>17.11</v>
      </c>
      <c r="J3110" s="16" t="n">
        <v>6.5</v>
      </c>
      <c r="K3110" s="16" t="n">
        <f aca="false">H3110*I3110</f>
        <v>17.11</v>
      </c>
      <c r="L3110" s="16" t="n">
        <f aca="false">H3110*J3110</f>
        <v>6.5</v>
      </c>
      <c r="M3110" s="16" t="n">
        <f aca="false">K3110-L3110</f>
        <v>10.61</v>
      </c>
      <c r="N3110" s="17" t="n">
        <f aca="false">IFERROR(M3110/K3110,0)</f>
        <v>0.62010520163647</v>
      </c>
    </row>
    <row r="3111" customFormat="false" ht="15" hidden="false" customHeight="false" outlineLevel="0" collapsed="false">
      <c r="A3111" s="15" t="n">
        <v>46152</v>
      </c>
      <c r="B3111" s="14" t="s">
        <v>69</v>
      </c>
      <c r="C3111" s="14" t="s">
        <v>70</v>
      </c>
      <c r="D3111" s="14" t="s">
        <v>71</v>
      </c>
      <c r="E3111" s="14" t="s">
        <v>45</v>
      </c>
      <c r="F3111" s="14" t="s">
        <v>72</v>
      </c>
      <c r="G3111" s="14" t="s">
        <v>73</v>
      </c>
      <c r="H3111" s="0" t="n">
        <v>2</v>
      </c>
      <c r="I3111" s="16" t="n">
        <v>51.41</v>
      </c>
      <c r="J3111" s="16" t="n">
        <v>21</v>
      </c>
      <c r="K3111" s="16" t="n">
        <f aca="false">H3111*I3111</f>
        <v>102.82</v>
      </c>
      <c r="L3111" s="16" t="n">
        <f aca="false">H3111*J3111</f>
        <v>42</v>
      </c>
      <c r="M3111" s="16" t="n">
        <f aca="false">K3111-L3111</f>
        <v>60.82</v>
      </c>
      <c r="N3111" s="17" t="n">
        <f aca="false">IFERROR(M3111/K3111,0)</f>
        <v>0.591519159696557</v>
      </c>
    </row>
    <row r="3112" customFormat="false" ht="15" hidden="false" customHeight="false" outlineLevel="0" collapsed="false">
      <c r="A3112" s="15" t="n">
        <v>46152</v>
      </c>
      <c r="B3112" s="14" t="s">
        <v>69</v>
      </c>
      <c r="C3112" s="14" t="s">
        <v>70</v>
      </c>
      <c r="D3112" s="14" t="s">
        <v>71</v>
      </c>
      <c r="E3112" s="14" t="s">
        <v>45</v>
      </c>
      <c r="F3112" s="14" t="s">
        <v>48</v>
      </c>
      <c r="G3112" s="14" t="s">
        <v>49</v>
      </c>
      <c r="H3112" s="0" t="n">
        <v>1</v>
      </c>
      <c r="I3112" s="16" t="n">
        <v>66.09</v>
      </c>
      <c r="J3112" s="16" t="n">
        <v>27.5</v>
      </c>
      <c r="K3112" s="16" t="n">
        <f aca="false">H3112*I3112</f>
        <v>66.09</v>
      </c>
      <c r="L3112" s="16" t="n">
        <f aca="false">H3112*J3112</f>
        <v>27.5</v>
      </c>
      <c r="M3112" s="16" t="n">
        <f aca="false">K3112-L3112</f>
        <v>38.59</v>
      </c>
      <c r="N3112" s="17" t="n">
        <f aca="false">IFERROR(M3112/K3112,0)</f>
        <v>0.583900741413225</v>
      </c>
    </row>
    <row r="3113" customFormat="false" ht="15" hidden="false" customHeight="false" outlineLevel="0" collapsed="false">
      <c r="A3113" s="15" t="n">
        <v>46152</v>
      </c>
      <c r="B3113" s="14" t="s">
        <v>69</v>
      </c>
      <c r="C3113" s="14" t="s">
        <v>70</v>
      </c>
      <c r="D3113" s="14" t="s">
        <v>71</v>
      </c>
      <c r="E3113" s="14" t="s">
        <v>64</v>
      </c>
      <c r="F3113" s="14" t="s">
        <v>90</v>
      </c>
      <c r="G3113" s="14" t="s">
        <v>91</v>
      </c>
      <c r="H3113" s="0" t="n">
        <v>5</v>
      </c>
      <c r="I3113" s="16" t="n">
        <v>11.7</v>
      </c>
      <c r="J3113" s="16" t="n">
        <v>3.5</v>
      </c>
      <c r="K3113" s="16" t="n">
        <f aca="false">H3113*I3113</f>
        <v>58.5</v>
      </c>
      <c r="L3113" s="16" t="n">
        <f aca="false">H3113*J3113</f>
        <v>17.5</v>
      </c>
      <c r="M3113" s="16" t="n">
        <f aca="false">K3113-L3113</f>
        <v>41</v>
      </c>
      <c r="N3113" s="17" t="n">
        <f aca="false">IFERROR(M3113/K3113,0)</f>
        <v>0.700854700854701</v>
      </c>
    </row>
    <row r="3114" customFormat="false" ht="15" hidden="false" customHeight="false" outlineLevel="0" collapsed="false">
      <c r="A3114" s="15" t="n">
        <v>46152</v>
      </c>
      <c r="B3114" s="14" t="s">
        <v>69</v>
      </c>
      <c r="C3114" s="14" t="s">
        <v>70</v>
      </c>
      <c r="D3114" s="14" t="s">
        <v>71</v>
      </c>
      <c r="E3114" s="14" t="s">
        <v>64</v>
      </c>
      <c r="F3114" s="14" t="s">
        <v>90</v>
      </c>
      <c r="G3114" s="14" t="s">
        <v>91</v>
      </c>
      <c r="H3114" s="0" t="n">
        <v>4</v>
      </c>
      <c r="I3114" s="16" t="n">
        <v>11.7</v>
      </c>
      <c r="J3114" s="16" t="n">
        <v>3.5</v>
      </c>
      <c r="K3114" s="16" t="n">
        <f aca="false">H3114*I3114</f>
        <v>46.8</v>
      </c>
      <c r="L3114" s="16" t="n">
        <f aca="false">H3114*J3114</f>
        <v>14</v>
      </c>
      <c r="M3114" s="16" t="n">
        <f aca="false">K3114-L3114</f>
        <v>32.8</v>
      </c>
      <c r="N3114" s="17" t="n">
        <f aca="false">IFERROR(M3114/K3114,0)</f>
        <v>0.700854700854701</v>
      </c>
    </row>
    <row r="3115" customFormat="false" ht="15" hidden="false" customHeight="false" outlineLevel="0" collapsed="false">
      <c r="A3115" s="15" t="n">
        <v>46152</v>
      </c>
      <c r="B3115" s="14" t="s">
        <v>69</v>
      </c>
      <c r="C3115" s="14" t="s">
        <v>70</v>
      </c>
      <c r="D3115" s="14" t="s">
        <v>71</v>
      </c>
      <c r="E3115" s="14" t="s">
        <v>56</v>
      </c>
      <c r="F3115" s="14" t="s">
        <v>67</v>
      </c>
      <c r="G3115" s="14" t="s">
        <v>68</v>
      </c>
      <c r="H3115" s="0" t="n">
        <v>6</v>
      </c>
      <c r="I3115" s="16" t="n">
        <v>37.94</v>
      </c>
      <c r="J3115" s="16" t="n">
        <v>15</v>
      </c>
      <c r="K3115" s="16" t="n">
        <f aca="false">H3115*I3115</f>
        <v>227.64</v>
      </c>
      <c r="L3115" s="16" t="n">
        <f aca="false">H3115*J3115</f>
        <v>90</v>
      </c>
      <c r="M3115" s="16" t="n">
        <f aca="false">K3115-L3115</f>
        <v>137.64</v>
      </c>
      <c r="N3115" s="17" t="n">
        <f aca="false">IFERROR(M3115/K3115,0)</f>
        <v>0.604638903531892</v>
      </c>
    </row>
    <row r="3116" customFormat="false" ht="15" hidden="false" customHeight="false" outlineLevel="0" collapsed="false">
      <c r="A3116" s="15" t="n">
        <v>46152</v>
      </c>
      <c r="B3116" s="14" t="s">
        <v>69</v>
      </c>
      <c r="C3116" s="14" t="s">
        <v>70</v>
      </c>
      <c r="D3116" s="14" t="s">
        <v>71</v>
      </c>
      <c r="E3116" s="14" t="s">
        <v>64</v>
      </c>
      <c r="F3116" s="14" t="s">
        <v>90</v>
      </c>
      <c r="G3116" s="14" t="s">
        <v>91</v>
      </c>
      <c r="H3116" s="0" t="n">
        <v>3</v>
      </c>
      <c r="I3116" s="16" t="n">
        <v>11.48</v>
      </c>
      <c r="J3116" s="16" t="n">
        <v>3.5</v>
      </c>
      <c r="K3116" s="16" t="n">
        <f aca="false">H3116*I3116</f>
        <v>34.44</v>
      </c>
      <c r="L3116" s="16" t="n">
        <f aca="false">H3116*J3116</f>
        <v>10.5</v>
      </c>
      <c r="M3116" s="16" t="n">
        <f aca="false">K3116-L3116</f>
        <v>23.94</v>
      </c>
      <c r="N3116" s="17" t="n">
        <f aca="false">IFERROR(M3116/K3116,0)</f>
        <v>0.695121951219512</v>
      </c>
    </row>
    <row r="3117" customFormat="false" ht="15" hidden="false" customHeight="false" outlineLevel="0" collapsed="false">
      <c r="A3117" s="15" t="n">
        <v>46152</v>
      </c>
      <c r="B3117" s="14" t="s">
        <v>81</v>
      </c>
      <c r="C3117" s="14" t="s">
        <v>82</v>
      </c>
      <c r="D3117" s="14" t="s">
        <v>83</v>
      </c>
      <c r="E3117" s="14" t="s">
        <v>53</v>
      </c>
      <c r="F3117" s="14" t="s">
        <v>54</v>
      </c>
      <c r="G3117" s="14" t="s">
        <v>55</v>
      </c>
      <c r="H3117" s="0" t="n">
        <v>6</v>
      </c>
      <c r="I3117" s="16" t="n">
        <v>53.4</v>
      </c>
      <c r="J3117" s="16" t="n">
        <v>22</v>
      </c>
      <c r="K3117" s="16" t="n">
        <f aca="false">H3117*I3117</f>
        <v>320.4</v>
      </c>
      <c r="L3117" s="16" t="n">
        <f aca="false">H3117*J3117</f>
        <v>132</v>
      </c>
      <c r="M3117" s="16" t="n">
        <f aca="false">K3117-L3117</f>
        <v>188.4</v>
      </c>
      <c r="N3117" s="17" t="n">
        <f aca="false">IFERROR(M3117/K3117,0)</f>
        <v>0.588014981273408</v>
      </c>
    </row>
    <row r="3118" customFormat="false" ht="15" hidden="false" customHeight="false" outlineLevel="0" collapsed="false">
      <c r="A3118" s="15" t="n">
        <v>46152</v>
      </c>
      <c r="B3118" s="14" t="s">
        <v>81</v>
      </c>
      <c r="C3118" s="14" t="s">
        <v>82</v>
      </c>
      <c r="D3118" s="14" t="s">
        <v>83</v>
      </c>
      <c r="E3118" s="14" t="s">
        <v>53</v>
      </c>
      <c r="F3118" s="14" t="s">
        <v>84</v>
      </c>
      <c r="G3118" s="14" t="s">
        <v>85</v>
      </c>
      <c r="H3118" s="0" t="n">
        <v>6</v>
      </c>
      <c r="I3118" s="16" t="n">
        <v>24.76</v>
      </c>
      <c r="J3118" s="16" t="n">
        <v>9</v>
      </c>
      <c r="K3118" s="16" t="n">
        <f aca="false">H3118*I3118</f>
        <v>148.56</v>
      </c>
      <c r="L3118" s="16" t="n">
        <f aca="false">H3118*J3118</f>
        <v>54</v>
      </c>
      <c r="M3118" s="16" t="n">
        <f aca="false">K3118-L3118</f>
        <v>94.56</v>
      </c>
      <c r="N3118" s="17" t="n">
        <f aca="false">IFERROR(M3118/K3118,0)</f>
        <v>0.636510500807754</v>
      </c>
    </row>
    <row r="3119" customFormat="false" ht="15" hidden="false" customHeight="false" outlineLevel="0" collapsed="false">
      <c r="A3119" s="15" t="n">
        <v>46152</v>
      </c>
      <c r="B3119" s="14" t="s">
        <v>81</v>
      </c>
      <c r="C3119" s="14" t="s">
        <v>82</v>
      </c>
      <c r="D3119" s="14" t="s">
        <v>83</v>
      </c>
      <c r="E3119" s="14" t="s">
        <v>76</v>
      </c>
      <c r="F3119" s="14" t="s">
        <v>79</v>
      </c>
      <c r="G3119" s="14" t="s">
        <v>80</v>
      </c>
      <c r="H3119" s="0" t="n">
        <v>7</v>
      </c>
      <c r="I3119" s="16" t="n">
        <v>29.53</v>
      </c>
      <c r="J3119" s="16" t="n">
        <v>11</v>
      </c>
      <c r="K3119" s="16" t="n">
        <f aca="false">H3119*I3119</f>
        <v>206.71</v>
      </c>
      <c r="L3119" s="16" t="n">
        <f aca="false">H3119*J3119</f>
        <v>77</v>
      </c>
      <c r="M3119" s="16" t="n">
        <f aca="false">K3119-L3119</f>
        <v>129.71</v>
      </c>
      <c r="N3119" s="17" t="n">
        <f aca="false">IFERROR(M3119/K3119,0)</f>
        <v>0.627497460209956</v>
      </c>
    </row>
    <row r="3120" customFormat="false" ht="15" hidden="false" customHeight="false" outlineLevel="0" collapsed="false">
      <c r="A3120" s="15" t="n">
        <v>46152</v>
      </c>
      <c r="B3120" s="14" t="s">
        <v>81</v>
      </c>
      <c r="C3120" s="14" t="s">
        <v>82</v>
      </c>
      <c r="D3120" s="14" t="s">
        <v>83</v>
      </c>
      <c r="E3120" s="14" t="s">
        <v>53</v>
      </c>
      <c r="F3120" s="14" t="s">
        <v>74</v>
      </c>
      <c r="G3120" s="14" t="s">
        <v>75</v>
      </c>
      <c r="H3120" s="0" t="n">
        <v>9</v>
      </c>
      <c r="I3120" s="16" t="n">
        <v>84.8</v>
      </c>
      <c r="J3120" s="16" t="n">
        <v>38</v>
      </c>
      <c r="K3120" s="16" t="n">
        <f aca="false">H3120*I3120</f>
        <v>763.2</v>
      </c>
      <c r="L3120" s="16" t="n">
        <f aca="false">H3120*J3120</f>
        <v>342</v>
      </c>
      <c r="M3120" s="16" t="n">
        <f aca="false">K3120-L3120</f>
        <v>421.2</v>
      </c>
      <c r="N3120" s="17" t="n">
        <f aca="false">IFERROR(M3120/K3120,0)</f>
        <v>0.55188679245283</v>
      </c>
    </row>
    <row r="3121" customFormat="false" ht="15" hidden="false" customHeight="false" outlineLevel="0" collapsed="false">
      <c r="A3121" s="15" t="n">
        <v>46152</v>
      </c>
      <c r="B3121" s="14" t="s">
        <v>88</v>
      </c>
      <c r="C3121" s="14" t="s">
        <v>89</v>
      </c>
      <c r="D3121" s="14" t="s">
        <v>44</v>
      </c>
      <c r="E3121" s="14" t="s">
        <v>53</v>
      </c>
      <c r="F3121" s="14" t="s">
        <v>84</v>
      </c>
      <c r="G3121" s="14" t="s">
        <v>85</v>
      </c>
      <c r="H3121" s="0" t="n">
        <v>5</v>
      </c>
      <c r="I3121" s="16" t="n">
        <v>24.68</v>
      </c>
      <c r="J3121" s="16" t="n">
        <v>9</v>
      </c>
      <c r="K3121" s="16" t="n">
        <f aca="false">H3121*I3121</f>
        <v>123.4</v>
      </c>
      <c r="L3121" s="16" t="n">
        <f aca="false">H3121*J3121</f>
        <v>45</v>
      </c>
      <c r="M3121" s="16" t="n">
        <f aca="false">K3121-L3121</f>
        <v>78.4</v>
      </c>
      <c r="N3121" s="17" t="n">
        <f aca="false">IFERROR(M3121/K3121,0)</f>
        <v>0.635332252836305</v>
      </c>
    </row>
    <row r="3122" customFormat="false" ht="15" hidden="false" customHeight="false" outlineLevel="0" collapsed="false">
      <c r="A3122" s="15" t="n">
        <v>46152</v>
      </c>
      <c r="B3122" s="14" t="s">
        <v>88</v>
      </c>
      <c r="C3122" s="14" t="s">
        <v>89</v>
      </c>
      <c r="D3122" s="14" t="s">
        <v>44</v>
      </c>
      <c r="E3122" s="14" t="s">
        <v>76</v>
      </c>
      <c r="F3122" s="14" t="s">
        <v>77</v>
      </c>
      <c r="G3122" s="14" t="s">
        <v>78</v>
      </c>
      <c r="H3122" s="0" t="n">
        <v>10</v>
      </c>
      <c r="I3122" s="16" t="n">
        <v>40.06</v>
      </c>
      <c r="J3122" s="16" t="n">
        <v>15</v>
      </c>
      <c r="K3122" s="16" t="n">
        <f aca="false">H3122*I3122</f>
        <v>400.6</v>
      </c>
      <c r="L3122" s="16" t="n">
        <f aca="false">H3122*J3122</f>
        <v>150</v>
      </c>
      <c r="M3122" s="16" t="n">
        <f aca="false">K3122-L3122</f>
        <v>250.6</v>
      </c>
      <c r="N3122" s="17" t="n">
        <f aca="false">IFERROR(M3122/K3122,0)</f>
        <v>0.625561657513729</v>
      </c>
    </row>
    <row r="3123" customFormat="false" ht="15" hidden="false" customHeight="false" outlineLevel="0" collapsed="false">
      <c r="A3123" s="15" t="n">
        <v>46152</v>
      </c>
      <c r="B3123" s="14" t="s">
        <v>88</v>
      </c>
      <c r="C3123" s="14" t="s">
        <v>89</v>
      </c>
      <c r="D3123" s="14" t="s">
        <v>44</v>
      </c>
      <c r="E3123" s="14" t="s">
        <v>64</v>
      </c>
      <c r="F3123" s="14" t="s">
        <v>90</v>
      </c>
      <c r="G3123" s="14" t="s">
        <v>91</v>
      </c>
      <c r="H3123" s="0" t="n">
        <v>10</v>
      </c>
      <c r="I3123" s="16" t="n">
        <v>11.47</v>
      </c>
      <c r="J3123" s="16" t="n">
        <v>3.5</v>
      </c>
      <c r="K3123" s="16" t="n">
        <f aca="false">H3123*I3123</f>
        <v>114.7</v>
      </c>
      <c r="L3123" s="16" t="n">
        <f aca="false">H3123*J3123</f>
        <v>35</v>
      </c>
      <c r="M3123" s="16" t="n">
        <f aca="false">K3123-L3123</f>
        <v>79.7</v>
      </c>
      <c r="N3123" s="17" t="n">
        <f aca="false">IFERROR(M3123/K3123,0)</f>
        <v>0.69485614646905</v>
      </c>
    </row>
    <row r="3124" customFormat="false" ht="15" hidden="false" customHeight="false" outlineLevel="0" collapsed="false">
      <c r="A3124" s="15" t="n">
        <v>46152</v>
      </c>
      <c r="B3124" s="14" t="s">
        <v>88</v>
      </c>
      <c r="C3124" s="14" t="s">
        <v>89</v>
      </c>
      <c r="D3124" s="14" t="s">
        <v>44</v>
      </c>
      <c r="E3124" s="14" t="s">
        <v>64</v>
      </c>
      <c r="F3124" s="14" t="s">
        <v>90</v>
      </c>
      <c r="G3124" s="14" t="s">
        <v>91</v>
      </c>
      <c r="H3124" s="0" t="n">
        <v>8</v>
      </c>
      <c r="I3124" s="16" t="n">
        <v>11.36</v>
      </c>
      <c r="J3124" s="16" t="n">
        <v>3.5</v>
      </c>
      <c r="K3124" s="16" t="n">
        <f aca="false">H3124*I3124</f>
        <v>90.88</v>
      </c>
      <c r="L3124" s="16" t="n">
        <f aca="false">H3124*J3124</f>
        <v>28</v>
      </c>
      <c r="M3124" s="16" t="n">
        <f aca="false">K3124-L3124</f>
        <v>62.88</v>
      </c>
      <c r="N3124" s="17" t="n">
        <f aca="false">IFERROR(M3124/K3124,0)</f>
        <v>0.691901408450704</v>
      </c>
    </row>
    <row r="3125" customFormat="false" ht="15" hidden="false" customHeight="false" outlineLevel="0" collapsed="false">
      <c r="A3125" s="15" t="n">
        <v>46152</v>
      </c>
      <c r="B3125" s="14" t="s">
        <v>88</v>
      </c>
      <c r="C3125" s="14" t="s">
        <v>89</v>
      </c>
      <c r="D3125" s="14" t="s">
        <v>44</v>
      </c>
      <c r="E3125" s="14" t="s">
        <v>64</v>
      </c>
      <c r="F3125" s="14" t="s">
        <v>96</v>
      </c>
      <c r="G3125" s="14" t="s">
        <v>97</v>
      </c>
      <c r="H3125" s="0" t="n">
        <v>5</v>
      </c>
      <c r="I3125" s="16" t="n">
        <v>55.44</v>
      </c>
      <c r="J3125" s="16" t="n">
        <v>24</v>
      </c>
      <c r="K3125" s="16" t="n">
        <f aca="false">H3125*I3125</f>
        <v>277.2</v>
      </c>
      <c r="L3125" s="16" t="n">
        <f aca="false">H3125*J3125</f>
        <v>120</v>
      </c>
      <c r="M3125" s="16" t="n">
        <f aca="false">K3125-L3125</f>
        <v>157.2</v>
      </c>
      <c r="N3125" s="17" t="n">
        <f aca="false">IFERROR(M3125/K3125,0)</f>
        <v>0.567099567099567</v>
      </c>
    </row>
    <row r="3126" customFormat="false" ht="15" hidden="false" customHeight="false" outlineLevel="0" collapsed="false">
      <c r="A3126" s="15" t="n">
        <v>46152</v>
      </c>
      <c r="B3126" s="14" t="s">
        <v>88</v>
      </c>
      <c r="C3126" s="14" t="s">
        <v>89</v>
      </c>
      <c r="D3126" s="14" t="s">
        <v>44</v>
      </c>
      <c r="E3126" s="14" t="s">
        <v>53</v>
      </c>
      <c r="F3126" s="14" t="s">
        <v>54</v>
      </c>
      <c r="G3126" s="14" t="s">
        <v>55</v>
      </c>
      <c r="H3126" s="0" t="n">
        <v>10</v>
      </c>
      <c r="I3126" s="16" t="n">
        <v>54.56</v>
      </c>
      <c r="J3126" s="16" t="n">
        <v>22</v>
      </c>
      <c r="K3126" s="16" t="n">
        <f aca="false">H3126*I3126</f>
        <v>545.6</v>
      </c>
      <c r="L3126" s="16" t="n">
        <f aca="false">H3126*J3126</f>
        <v>220</v>
      </c>
      <c r="M3126" s="16" t="n">
        <f aca="false">K3126-L3126</f>
        <v>325.6</v>
      </c>
      <c r="N3126" s="17" t="n">
        <f aca="false">IFERROR(M3126/K3126,0)</f>
        <v>0.596774193548387</v>
      </c>
    </row>
    <row r="3127" customFormat="false" ht="15" hidden="false" customHeight="false" outlineLevel="0" collapsed="false">
      <c r="A3127" s="15" t="n">
        <v>46153</v>
      </c>
      <c r="B3127" s="14" t="s">
        <v>42</v>
      </c>
      <c r="C3127" s="14" t="s">
        <v>43</v>
      </c>
      <c r="D3127" s="14" t="s">
        <v>44</v>
      </c>
      <c r="E3127" s="14" t="s">
        <v>64</v>
      </c>
      <c r="F3127" s="14" t="s">
        <v>94</v>
      </c>
      <c r="G3127" s="14" t="s">
        <v>95</v>
      </c>
      <c r="H3127" s="0" t="n">
        <v>6</v>
      </c>
      <c r="I3127" s="16" t="n">
        <v>92.77</v>
      </c>
      <c r="J3127" s="16" t="n">
        <v>42</v>
      </c>
      <c r="K3127" s="16" t="n">
        <f aca="false">H3127*I3127</f>
        <v>556.62</v>
      </c>
      <c r="L3127" s="16" t="n">
        <f aca="false">H3127*J3127</f>
        <v>252</v>
      </c>
      <c r="M3127" s="16" t="n">
        <f aca="false">K3127-L3127</f>
        <v>304.62</v>
      </c>
      <c r="N3127" s="17" t="n">
        <f aca="false">IFERROR(M3127/K3127,0)</f>
        <v>0.547267435593403</v>
      </c>
    </row>
    <row r="3128" customFormat="false" ht="15" hidden="false" customHeight="false" outlineLevel="0" collapsed="false">
      <c r="A3128" s="15" t="n">
        <v>46153</v>
      </c>
      <c r="B3128" s="14" t="s">
        <v>42</v>
      </c>
      <c r="C3128" s="14" t="s">
        <v>43</v>
      </c>
      <c r="D3128" s="14" t="s">
        <v>44</v>
      </c>
      <c r="E3128" s="14" t="s">
        <v>53</v>
      </c>
      <c r="F3128" s="14" t="s">
        <v>84</v>
      </c>
      <c r="G3128" s="14" t="s">
        <v>85</v>
      </c>
      <c r="H3128" s="0" t="n">
        <v>3</v>
      </c>
      <c r="I3128" s="16" t="n">
        <v>24.09</v>
      </c>
      <c r="J3128" s="16" t="n">
        <v>9</v>
      </c>
      <c r="K3128" s="16" t="n">
        <f aca="false">H3128*I3128</f>
        <v>72.27</v>
      </c>
      <c r="L3128" s="16" t="n">
        <f aca="false">H3128*J3128</f>
        <v>27</v>
      </c>
      <c r="M3128" s="16" t="n">
        <f aca="false">K3128-L3128</f>
        <v>45.27</v>
      </c>
      <c r="N3128" s="17" t="n">
        <f aca="false">IFERROR(M3128/K3128,0)</f>
        <v>0.62640099626401</v>
      </c>
    </row>
    <row r="3129" customFormat="false" ht="15" hidden="false" customHeight="false" outlineLevel="0" collapsed="false">
      <c r="A3129" s="15" t="n">
        <v>46153</v>
      </c>
      <c r="B3129" s="14" t="s">
        <v>42</v>
      </c>
      <c r="C3129" s="14" t="s">
        <v>43</v>
      </c>
      <c r="D3129" s="14" t="s">
        <v>44</v>
      </c>
      <c r="E3129" s="14" t="s">
        <v>64</v>
      </c>
      <c r="F3129" s="14" t="s">
        <v>94</v>
      </c>
      <c r="G3129" s="14" t="s">
        <v>95</v>
      </c>
      <c r="H3129" s="0" t="n">
        <v>9</v>
      </c>
      <c r="I3129" s="16" t="n">
        <v>91.48</v>
      </c>
      <c r="J3129" s="16" t="n">
        <v>42</v>
      </c>
      <c r="K3129" s="16" t="n">
        <f aca="false">H3129*I3129</f>
        <v>823.32</v>
      </c>
      <c r="L3129" s="16" t="n">
        <f aca="false">H3129*J3129</f>
        <v>378</v>
      </c>
      <c r="M3129" s="16" t="n">
        <f aca="false">K3129-L3129</f>
        <v>445.32</v>
      </c>
      <c r="N3129" s="17" t="n">
        <f aca="false">IFERROR(M3129/K3129,0)</f>
        <v>0.540883253170092</v>
      </c>
    </row>
    <row r="3130" customFormat="false" ht="15" hidden="false" customHeight="false" outlineLevel="0" collapsed="false">
      <c r="A3130" s="15" t="n">
        <v>46153</v>
      </c>
      <c r="B3130" s="14" t="s">
        <v>42</v>
      </c>
      <c r="C3130" s="14" t="s">
        <v>43</v>
      </c>
      <c r="D3130" s="14" t="s">
        <v>44</v>
      </c>
      <c r="E3130" s="14" t="s">
        <v>53</v>
      </c>
      <c r="F3130" s="14" t="s">
        <v>92</v>
      </c>
      <c r="G3130" s="14" t="s">
        <v>93</v>
      </c>
      <c r="H3130" s="0" t="n">
        <v>5</v>
      </c>
      <c r="I3130" s="16" t="n">
        <v>116.73</v>
      </c>
      <c r="J3130" s="16" t="n">
        <v>52</v>
      </c>
      <c r="K3130" s="16" t="n">
        <f aca="false">H3130*I3130</f>
        <v>583.65</v>
      </c>
      <c r="L3130" s="16" t="n">
        <f aca="false">H3130*J3130</f>
        <v>260</v>
      </c>
      <c r="M3130" s="16" t="n">
        <f aca="false">K3130-L3130</f>
        <v>323.65</v>
      </c>
      <c r="N3130" s="17" t="n">
        <f aca="false">IFERROR(M3130/K3130,0)</f>
        <v>0.554527542191382</v>
      </c>
    </row>
    <row r="3131" customFormat="false" ht="15" hidden="false" customHeight="false" outlineLevel="0" collapsed="false">
      <c r="A3131" s="15" t="n">
        <v>46153</v>
      </c>
      <c r="B3131" s="14" t="s">
        <v>42</v>
      </c>
      <c r="C3131" s="14" t="s">
        <v>43</v>
      </c>
      <c r="D3131" s="14" t="s">
        <v>44</v>
      </c>
      <c r="E3131" s="14" t="s">
        <v>56</v>
      </c>
      <c r="F3131" s="14" t="s">
        <v>57</v>
      </c>
      <c r="G3131" s="14" t="s">
        <v>58</v>
      </c>
      <c r="H3131" s="0" t="n">
        <v>4</v>
      </c>
      <c r="I3131" s="16" t="n">
        <v>26.88</v>
      </c>
      <c r="J3131" s="16" t="n">
        <v>10</v>
      </c>
      <c r="K3131" s="16" t="n">
        <f aca="false">H3131*I3131</f>
        <v>107.52</v>
      </c>
      <c r="L3131" s="16" t="n">
        <f aca="false">H3131*J3131</f>
        <v>40</v>
      </c>
      <c r="M3131" s="16" t="n">
        <f aca="false">K3131-L3131</f>
        <v>67.52</v>
      </c>
      <c r="N3131" s="17" t="n">
        <f aca="false">IFERROR(M3131/K3131,0)</f>
        <v>0.627976190476191</v>
      </c>
    </row>
    <row r="3132" customFormat="false" ht="15" hidden="false" customHeight="false" outlineLevel="0" collapsed="false">
      <c r="A3132" s="15" t="n">
        <v>46153</v>
      </c>
      <c r="B3132" s="14" t="s">
        <v>42</v>
      </c>
      <c r="C3132" s="14" t="s">
        <v>43</v>
      </c>
      <c r="D3132" s="14" t="s">
        <v>44</v>
      </c>
      <c r="E3132" s="14" t="s">
        <v>45</v>
      </c>
      <c r="F3132" s="14" t="s">
        <v>62</v>
      </c>
      <c r="G3132" s="14" t="s">
        <v>63</v>
      </c>
      <c r="H3132" s="0" t="n">
        <v>9</v>
      </c>
      <c r="I3132" s="16" t="n">
        <v>17.38</v>
      </c>
      <c r="J3132" s="16" t="n">
        <v>6.5</v>
      </c>
      <c r="K3132" s="16" t="n">
        <f aca="false">H3132*I3132</f>
        <v>156.42</v>
      </c>
      <c r="L3132" s="16" t="n">
        <f aca="false">H3132*J3132</f>
        <v>58.5</v>
      </c>
      <c r="M3132" s="16" t="n">
        <f aca="false">K3132-L3132</f>
        <v>97.92</v>
      </c>
      <c r="N3132" s="17" t="n">
        <f aca="false">IFERROR(M3132/K3132,0)</f>
        <v>0.626006904487917</v>
      </c>
    </row>
    <row r="3133" customFormat="false" ht="15" hidden="false" customHeight="false" outlineLevel="0" collapsed="false">
      <c r="A3133" s="15" t="n">
        <v>46153</v>
      </c>
      <c r="B3133" s="14" t="s">
        <v>50</v>
      </c>
      <c r="C3133" s="14" t="s">
        <v>51</v>
      </c>
      <c r="D3133" s="14" t="s">
        <v>52</v>
      </c>
      <c r="E3133" s="14" t="s">
        <v>76</v>
      </c>
      <c r="F3133" s="14" t="s">
        <v>77</v>
      </c>
      <c r="G3133" s="14" t="s">
        <v>78</v>
      </c>
      <c r="H3133" s="0" t="n">
        <v>9</v>
      </c>
      <c r="I3133" s="16" t="n">
        <v>40.57</v>
      </c>
      <c r="J3133" s="16" t="n">
        <v>15</v>
      </c>
      <c r="K3133" s="16" t="n">
        <f aca="false">H3133*I3133</f>
        <v>365.13</v>
      </c>
      <c r="L3133" s="16" t="n">
        <f aca="false">H3133*J3133</f>
        <v>135</v>
      </c>
      <c r="M3133" s="16" t="n">
        <f aca="false">K3133-L3133</f>
        <v>230.13</v>
      </c>
      <c r="N3133" s="17" t="n">
        <f aca="false">IFERROR(M3133/K3133,0)</f>
        <v>0.630268671432093</v>
      </c>
    </row>
    <row r="3134" customFormat="false" ht="15" hidden="false" customHeight="false" outlineLevel="0" collapsed="false">
      <c r="A3134" s="15" t="n">
        <v>46153</v>
      </c>
      <c r="B3134" s="14" t="s">
        <v>50</v>
      </c>
      <c r="C3134" s="14" t="s">
        <v>51</v>
      </c>
      <c r="D3134" s="14" t="s">
        <v>52</v>
      </c>
      <c r="E3134" s="14" t="s">
        <v>53</v>
      </c>
      <c r="F3134" s="14" t="s">
        <v>54</v>
      </c>
      <c r="G3134" s="14" t="s">
        <v>55</v>
      </c>
      <c r="H3134" s="0" t="n">
        <v>10</v>
      </c>
      <c r="I3134" s="16" t="n">
        <v>51.99</v>
      </c>
      <c r="J3134" s="16" t="n">
        <v>22</v>
      </c>
      <c r="K3134" s="16" t="n">
        <f aca="false">H3134*I3134</f>
        <v>519.9</v>
      </c>
      <c r="L3134" s="16" t="n">
        <f aca="false">H3134*J3134</f>
        <v>220</v>
      </c>
      <c r="M3134" s="16" t="n">
        <f aca="false">K3134-L3134</f>
        <v>299.9</v>
      </c>
      <c r="N3134" s="17" t="n">
        <f aca="false">IFERROR(M3134/K3134,0)</f>
        <v>0.576841700326986</v>
      </c>
    </row>
    <row r="3135" customFormat="false" ht="15" hidden="false" customHeight="false" outlineLevel="0" collapsed="false">
      <c r="A3135" s="15" t="n">
        <v>46153</v>
      </c>
      <c r="B3135" s="14" t="s">
        <v>50</v>
      </c>
      <c r="C3135" s="14" t="s">
        <v>51</v>
      </c>
      <c r="D3135" s="14" t="s">
        <v>52</v>
      </c>
      <c r="E3135" s="14" t="s">
        <v>53</v>
      </c>
      <c r="F3135" s="14" t="s">
        <v>54</v>
      </c>
      <c r="G3135" s="14" t="s">
        <v>55</v>
      </c>
      <c r="H3135" s="0" t="n">
        <v>12</v>
      </c>
      <c r="I3135" s="16" t="n">
        <v>51.99</v>
      </c>
      <c r="J3135" s="16" t="n">
        <v>22</v>
      </c>
      <c r="K3135" s="16" t="n">
        <f aca="false">H3135*I3135</f>
        <v>623.88</v>
      </c>
      <c r="L3135" s="16" t="n">
        <f aca="false">H3135*J3135</f>
        <v>264</v>
      </c>
      <c r="M3135" s="16" t="n">
        <f aca="false">K3135-L3135</f>
        <v>359.88</v>
      </c>
      <c r="N3135" s="17" t="n">
        <f aca="false">IFERROR(M3135/K3135,0)</f>
        <v>0.576841700326986</v>
      </c>
    </row>
    <row r="3136" customFormat="false" ht="15" hidden="false" customHeight="false" outlineLevel="0" collapsed="false">
      <c r="A3136" s="15" t="n">
        <v>46153</v>
      </c>
      <c r="B3136" s="14" t="s">
        <v>59</v>
      </c>
      <c r="C3136" s="14" t="s">
        <v>60</v>
      </c>
      <c r="D3136" s="14" t="s">
        <v>61</v>
      </c>
      <c r="E3136" s="14" t="s">
        <v>56</v>
      </c>
      <c r="F3136" s="14" t="s">
        <v>98</v>
      </c>
      <c r="G3136" s="14" t="s">
        <v>99</v>
      </c>
      <c r="H3136" s="0" t="n">
        <v>2</v>
      </c>
      <c r="I3136" s="16" t="n">
        <v>21.63</v>
      </c>
      <c r="J3136" s="16" t="n">
        <v>8</v>
      </c>
      <c r="K3136" s="16" t="n">
        <f aca="false">H3136*I3136</f>
        <v>43.26</v>
      </c>
      <c r="L3136" s="16" t="n">
        <f aca="false">H3136*J3136</f>
        <v>16</v>
      </c>
      <c r="M3136" s="16" t="n">
        <f aca="false">K3136-L3136</f>
        <v>27.26</v>
      </c>
      <c r="N3136" s="17" t="n">
        <f aca="false">IFERROR(M3136/K3136,0)</f>
        <v>0.630143319463708</v>
      </c>
    </row>
    <row r="3137" customFormat="false" ht="15" hidden="false" customHeight="false" outlineLevel="0" collapsed="false">
      <c r="A3137" s="15" t="n">
        <v>46153</v>
      </c>
      <c r="B3137" s="14" t="s">
        <v>59</v>
      </c>
      <c r="C3137" s="14" t="s">
        <v>60</v>
      </c>
      <c r="D3137" s="14" t="s">
        <v>61</v>
      </c>
      <c r="E3137" s="14" t="s">
        <v>45</v>
      </c>
      <c r="F3137" s="14" t="s">
        <v>48</v>
      </c>
      <c r="G3137" s="14" t="s">
        <v>49</v>
      </c>
      <c r="H3137" s="0" t="n">
        <v>1</v>
      </c>
      <c r="I3137" s="16" t="n">
        <v>67.57</v>
      </c>
      <c r="J3137" s="16" t="n">
        <v>27.5</v>
      </c>
      <c r="K3137" s="16" t="n">
        <f aca="false">H3137*I3137</f>
        <v>67.57</v>
      </c>
      <c r="L3137" s="16" t="n">
        <f aca="false">H3137*J3137</f>
        <v>27.5</v>
      </c>
      <c r="M3137" s="16" t="n">
        <f aca="false">K3137-L3137</f>
        <v>40.07</v>
      </c>
      <c r="N3137" s="17" t="n">
        <f aca="false">IFERROR(M3137/K3137,0)</f>
        <v>0.593014651472547</v>
      </c>
    </row>
    <row r="3138" customFormat="false" ht="15" hidden="false" customHeight="false" outlineLevel="0" collapsed="false">
      <c r="A3138" s="15" t="n">
        <v>46153</v>
      </c>
      <c r="B3138" s="14" t="s">
        <v>59</v>
      </c>
      <c r="C3138" s="14" t="s">
        <v>60</v>
      </c>
      <c r="D3138" s="14" t="s">
        <v>61</v>
      </c>
      <c r="E3138" s="14" t="s">
        <v>45</v>
      </c>
      <c r="F3138" s="14" t="s">
        <v>46</v>
      </c>
      <c r="G3138" s="14" t="s">
        <v>47</v>
      </c>
      <c r="H3138" s="0" t="n">
        <v>2</v>
      </c>
      <c r="I3138" s="16" t="n">
        <v>42.53</v>
      </c>
      <c r="J3138" s="16" t="n">
        <v>18</v>
      </c>
      <c r="K3138" s="16" t="n">
        <f aca="false">H3138*I3138</f>
        <v>85.06</v>
      </c>
      <c r="L3138" s="16" t="n">
        <f aca="false">H3138*J3138</f>
        <v>36</v>
      </c>
      <c r="M3138" s="16" t="n">
        <f aca="false">K3138-L3138</f>
        <v>49.06</v>
      </c>
      <c r="N3138" s="17" t="n">
        <f aca="false">IFERROR(M3138/K3138,0)</f>
        <v>0.576769339289913</v>
      </c>
    </row>
    <row r="3139" customFormat="false" ht="15" hidden="false" customHeight="false" outlineLevel="0" collapsed="false">
      <c r="A3139" s="15" t="n">
        <v>46153</v>
      </c>
      <c r="B3139" s="14" t="s">
        <v>59</v>
      </c>
      <c r="C3139" s="14" t="s">
        <v>60</v>
      </c>
      <c r="D3139" s="14" t="s">
        <v>61</v>
      </c>
      <c r="E3139" s="14" t="s">
        <v>76</v>
      </c>
      <c r="F3139" s="14" t="s">
        <v>77</v>
      </c>
      <c r="G3139" s="14" t="s">
        <v>78</v>
      </c>
      <c r="H3139" s="0" t="n">
        <v>3</v>
      </c>
      <c r="I3139" s="16" t="n">
        <v>41.86</v>
      </c>
      <c r="J3139" s="16" t="n">
        <v>15</v>
      </c>
      <c r="K3139" s="16" t="n">
        <f aca="false">H3139*I3139</f>
        <v>125.58</v>
      </c>
      <c r="L3139" s="16" t="n">
        <f aca="false">H3139*J3139</f>
        <v>45</v>
      </c>
      <c r="M3139" s="16" t="n">
        <f aca="false">K3139-L3139</f>
        <v>80.58</v>
      </c>
      <c r="N3139" s="17" t="n">
        <f aca="false">IFERROR(M3139/K3139,0)</f>
        <v>0.641662685140946</v>
      </c>
    </row>
    <row r="3140" customFormat="false" ht="15" hidden="false" customHeight="false" outlineLevel="0" collapsed="false">
      <c r="A3140" s="15" t="n">
        <v>46153</v>
      </c>
      <c r="B3140" s="14" t="s">
        <v>59</v>
      </c>
      <c r="C3140" s="14" t="s">
        <v>60</v>
      </c>
      <c r="D3140" s="14" t="s">
        <v>61</v>
      </c>
      <c r="E3140" s="14" t="s">
        <v>76</v>
      </c>
      <c r="F3140" s="14" t="s">
        <v>79</v>
      </c>
      <c r="G3140" s="14" t="s">
        <v>80</v>
      </c>
      <c r="H3140" s="0" t="n">
        <v>6</v>
      </c>
      <c r="I3140" s="16" t="n">
        <v>29.1</v>
      </c>
      <c r="J3140" s="16" t="n">
        <v>11</v>
      </c>
      <c r="K3140" s="16" t="n">
        <f aca="false">H3140*I3140</f>
        <v>174.6</v>
      </c>
      <c r="L3140" s="16" t="n">
        <f aca="false">H3140*J3140</f>
        <v>66</v>
      </c>
      <c r="M3140" s="16" t="n">
        <f aca="false">K3140-L3140</f>
        <v>108.6</v>
      </c>
      <c r="N3140" s="17" t="n">
        <f aca="false">IFERROR(M3140/K3140,0)</f>
        <v>0.621993127147766</v>
      </c>
    </row>
    <row r="3141" customFormat="false" ht="15" hidden="false" customHeight="false" outlineLevel="0" collapsed="false">
      <c r="A3141" s="15" t="n">
        <v>46153</v>
      </c>
      <c r="B3141" s="14" t="s">
        <v>59</v>
      </c>
      <c r="C3141" s="14" t="s">
        <v>60</v>
      </c>
      <c r="D3141" s="14" t="s">
        <v>61</v>
      </c>
      <c r="E3141" s="14" t="s">
        <v>76</v>
      </c>
      <c r="F3141" s="14" t="s">
        <v>100</v>
      </c>
      <c r="G3141" s="14" t="s">
        <v>101</v>
      </c>
      <c r="H3141" s="0" t="n">
        <v>8</v>
      </c>
      <c r="I3141" s="16" t="n">
        <v>15.15</v>
      </c>
      <c r="J3141" s="16" t="n">
        <v>5.5</v>
      </c>
      <c r="K3141" s="16" t="n">
        <f aca="false">H3141*I3141</f>
        <v>121.2</v>
      </c>
      <c r="L3141" s="16" t="n">
        <f aca="false">H3141*J3141</f>
        <v>44</v>
      </c>
      <c r="M3141" s="16" t="n">
        <f aca="false">K3141-L3141</f>
        <v>77.2</v>
      </c>
      <c r="N3141" s="17" t="n">
        <f aca="false">IFERROR(M3141/K3141,0)</f>
        <v>0.636963696369637</v>
      </c>
    </row>
    <row r="3142" customFormat="false" ht="15" hidden="false" customHeight="false" outlineLevel="0" collapsed="false">
      <c r="A3142" s="15" t="n">
        <v>46153</v>
      </c>
      <c r="B3142" s="14" t="s">
        <v>69</v>
      </c>
      <c r="C3142" s="14" t="s">
        <v>70</v>
      </c>
      <c r="D3142" s="14" t="s">
        <v>71</v>
      </c>
      <c r="E3142" s="14" t="s">
        <v>76</v>
      </c>
      <c r="F3142" s="14" t="s">
        <v>102</v>
      </c>
      <c r="G3142" s="14" t="s">
        <v>103</v>
      </c>
      <c r="H3142" s="0" t="n">
        <v>2</v>
      </c>
      <c r="I3142" s="16" t="n">
        <v>23.62</v>
      </c>
      <c r="J3142" s="16" t="n">
        <v>8.5</v>
      </c>
      <c r="K3142" s="16" t="n">
        <f aca="false">H3142*I3142</f>
        <v>47.24</v>
      </c>
      <c r="L3142" s="16" t="n">
        <f aca="false">H3142*J3142</f>
        <v>17</v>
      </c>
      <c r="M3142" s="16" t="n">
        <f aca="false">K3142-L3142</f>
        <v>30.24</v>
      </c>
      <c r="N3142" s="17" t="n">
        <f aca="false">IFERROR(M3142/K3142,0)</f>
        <v>0.640135478408129</v>
      </c>
    </row>
    <row r="3143" customFormat="false" ht="15" hidden="false" customHeight="false" outlineLevel="0" collapsed="false">
      <c r="A3143" s="15" t="n">
        <v>46153</v>
      </c>
      <c r="B3143" s="14" t="s">
        <v>69</v>
      </c>
      <c r="C3143" s="14" t="s">
        <v>70</v>
      </c>
      <c r="D3143" s="14" t="s">
        <v>71</v>
      </c>
      <c r="E3143" s="14" t="s">
        <v>53</v>
      </c>
      <c r="F3143" s="14" t="s">
        <v>54</v>
      </c>
      <c r="G3143" s="14" t="s">
        <v>55</v>
      </c>
      <c r="H3143" s="0" t="n">
        <v>3</v>
      </c>
      <c r="I3143" s="16" t="n">
        <v>52.43</v>
      </c>
      <c r="J3143" s="16" t="n">
        <v>22</v>
      </c>
      <c r="K3143" s="16" t="n">
        <f aca="false">H3143*I3143</f>
        <v>157.29</v>
      </c>
      <c r="L3143" s="16" t="n">
        <f aca="false">H3143*J3143</f>
        <v>66</v>
      </c>
      <c r="M3143" s="16" t="n">
        <f aca="false">K3143-L3143</f>
        <v>91.29</v>
      </c>
      <c r="N3143" s="17" t="n">
        <f aca="false">IFERROR(M3143/K3143,0)</f>
        <v>0.580392904825482</v>
      </c>
    </row>
    <row r="3144" customFormat="false" ht="15" hidden="false" customHeight="false" outlineLevel="0" collapsed="false">
      <c r="A3144" s="15" t="n">
        <v>46153</v>
      </c>
      <c r="B3144" s="14" t="s">
        <v>69</v>
      </c>
      <c r="C3144" s="14" t="s">
        <v>70</v>
      </c>
      <c r="D3144" s="14" t="s">
        <v>71</v>
      </c>
      <c r="E3144" s="14" t="s">
        <v>56</v>
      </c>
      <c r="F3144" s="14" t="s">
        <v>57</v>
      </c>
      <c r="G3144" s="14" t="s">
        <v>58</v>
      </c>
      <c r="H3144" s="0" t="n">
        <v>3</v>
      </c>
      <c r="I3144" s="16" t="n">
        <v>26.05</v>
      </c>
      <c r="J3144" s="16" t="n">
        <v>10</v>
      </c>
      <c r="K3144" s="16" t="n">
        <f aca="false">H3144*I3144</f>
        <v>78.15</v>
      </c>
      <c r="L3144" s="16" t="n">
        <f aca="false">H3144*J3144</f>
        <v>30</v>
      </c>
      <c r="M3144" s="16" t="n">
        <f aca="false">K3144-L3144</f>
        <v>48.15</v>
      </c>
      <c r="N3144" s="17" t="n">
        <f aca="false">IFERROR(M3144/K3144,0)</f>
        <v>0.616122840690979</v>
      </c>
    </row>
    <row r="3145" customFormat="false" ht="15" hidden="false" customHeight="false" outlineLevel="0" collapsed="false">
      <c r="A3145" s="15" t="n">
        <v>46153</v>
      </c>
      <c r="B3145" s="14" t="s">
        <v>81</v>
      </c>
      <c r="C3145" s="14" t="s">
        <v>82</v>
      </c>
      <c r="D3145" s="14" t="s">
        <v>83</v>
      </c>
      <c r="E3145" s="14" t="s">
        <v>76</v>
      </c>
      <c r="F3145" s="14" t="s">
        <v>77</v>
      </c>
      <c r="G3145" s="14" t="s">
        <v>78</v>
      </c>
      <c r="H3145" s="0" t="n">
        <v>2</v>
      </c>
      <c r="I3145" s="16" t="n">
        <v>40.87</v>
      </c>
      <c r="J3145" s="16" t="n">
        <v>15</v>
      </c>
      <c r="K3145" s="16" t="n">
        <f aca="false">H3145*I3145</f>
        <v>81.74</v>
      </c>
      <c r="L3145" s="16" t="n">
        <f aca="false">H3145*J3145</f>
        <v>30</v>
      </c>
      <c r="M3145" s="16" t="n">
        <f aca="false">K3145-L3145</f>
        <v>51.74</v>
      </c>
      <c r="N3145" s="17" t="n">
        <f aca="false">IFERROR(M3145/K3145,0)</f>
        <v>0.632982627844385</v>
      </c>
    </row>
    <row r="3146" customFormat="false" ht="15" hidden="false" customHeight="false" outlineLevel="0" collapsed="false">
      <c r="A3146" s="15" t="n">
        <v>46153</v>
      </c>
      <c r="B3146" s="14" t="s">
        <v>81</v>
      </c>
      <c r="C3146" s="14" t="s">
        <v>82</v>
      </c>
      <c r="D3146" s="14" t="s">
        <v>83</v>
      </c>
      <c r="E3146" s="14" t="s">
        <v>53</v>
      </c>
      <c r="F3146" s="14" t="s">
        <v>84</v>
      </c>
      <c r="G3146" s="14" t="s">
        <v>85</v>
      </c>
      <c r="H3146" s="0" t="n">
        <v>2</v>
      </c>
      <c r="I3146" s="16" t="n">
        <v>24.51</v>
      </c>
      <c r="J3146" s="16" t="n">
        <v>9</v>
      </c>
      <c r="K3146" s="16" t="n">
        <f aca="false">H3146*I3146</f>
        <v>49.02</v>
      </c>
      <c r="L3146" s="16" t="n">
        <f aca="false">H3146*J3146</f>
        <v>18</v>
      </c>
      <c r="M3146" s="16" t="n">
        <f aca="false">K3146-L3146</f>
        <v>31.02</v>
      </c>
      <c r="N3146" s="17" t="n">
        <f aca="false">IFERROR(M3146/K3146,0)</f>
        <v>0.632802937576499</v>
      </c>
    </row>
    <row r="3147" customFormat="false" ht="15" hidden="false" customHeight="false" outlineLevel="0" collapsed="false">
      <c r="A3147" s="15" t="n">
        <v>46153</v>
      </c>
      <c r="B3147" s="14" t="s">
        <v>81</v>
      </c>
      <c r="C3147" s="14" t="s">
        <v>82</v>
      </c>
      <c r="D3147" s="14" t="s">
        <v>83</v>
      </c>
      <c r="E3147" s="14" t="s">
        <v>53</v>
      </c>
      <c r="F3147" s="14" t="s">
        <v>84</v>
      </c>
      <c r="G3147" s="14" t="s">
        <v>85</v>
      </c>
      <c r="H3147" s="0" t="n">
        <v>8</v>
      </c>
      <c r="I3147" s="16" t="n">
        <v>23.76</v>
      </c>
      <c r="J3147" s="16" t="n">
        <v>9</v>
      </c>
      <c r="K3147" s="16" t="n">
        <f aca="false">H3147*I3147</f>
        <v>190.08</v>
      </c>
      <c r="L3147" s="16" t="n">
        <f aca="false">H3147*J3147</f>
        <v>72</v>
      </c>
      <c r="M3147" s="16" t="n">
        <f aca="false">K3147-L3147</f>
        <v>118.08</v>
      </c>
      <c r="N3147" s="17" t="n">
        <f aca="false">IFERROR(M3147/K3147,0)</f>
        <v>0.621212121212121</v>
      </c>
    </row>
    <row r="3148" customFormat="false" ht="15" hidden="false" customHeight="false" outlineLevel="0" collapsed="false">
      <c r="A3148" s="15" t="n">
        <v>46153</v>
      </c>
      <c r="B3148" s="14" t="s">
        <v>81</v>
      </c>
      <c r="C3148" s="14" t="s">
        <v>82</v>
      </c>
      <c r="D3148" s="14" t="s">
        <v>83</v>
      </c>
      <c r="E3148" s="14" t="s">
        <v>53</v>
      </c>
      <c r="F3148" s="14" t="s">
        <v>74</v>
      </c>
      <c r="G3148" s="14" t="s">
        <v>75</v>
      </c>
      <c r="H3148" s="0" t="n">
        <v>6</v>
      </c>
      <c r="I3148" s="16" t="n">
        <v>88.51</v>
      </c>
      <c r="J3148" s="16" t="n">
        <v>38</v>
      </c>
      <c r="K3148" s="16" t="n">
        <f aca="false">H3148*I3148</f>
        <v>531.06</v>
      </c>
      <c r="L3148" s="16" t="n">
        <f aca="false">H3148*J3148</f>
        <v>228</v>
      </c>
      <c r="M3148" s="16" t="n">
        <f aca="false">K3148-L3148</f>
        <v>303.06</v>
      </c>
      <c r="N3148" s="17" t="n">
        <f aca="false">IFERROR(M3148/K3148,0)</f>
        <v>0.570669980793131</v>
      </c>
    </row>
    <row r="3149" customFormat="false" ht="15" hidden="false" customHeight="false" outlineLevel="0" collapsed="false">
      <c r="A3149" s="15" t="n">
        <v>46153</v>
      </c>
      <c r="B3149" s="14" t="s">
        <v>81</v>
      </c>
      <c r="C3149" s="14" t="s">
        <v>82</v>
      </c>
      <c r="D3149" s="14" t="s">
        <v>83</v>
      </c>
      <c r="E3149" s="14" t="s">
        <v>56</v>
      </c>
      <c r="F3149" s="14" t="s">
        <v>86</v>
      </c>
      <c r="G3149" s="14" t="s">
        <v>87</v>
      </c>
      <c r="H3149" s="0" t="n">
        <v>6</v>
      </c>
      <c r="I3149" s="16" t="n">
        <v>14.87</v>
      </c>
      <c r="J3149" s="16" t="n">
        <v>5</v>
      </c>
      <c r="K3149" s="16" t="n">
        <f aca="false">H3149*I3149</f>
        <v>89.22</v>
      </c>
      <c r="L3149" s="16" t="n">
        <f aca="false">H3149*J3149</f>
        <v>30</v>
      </c>
      <c r="M3149" s="16" t="n">
        <f aca="false">K3149-L3149</f>
        <v>59.22</v>
      </c>
      <c r="N3149" s="17" t="n">
        <f aca="false">IFERROR(M3149/K3149,0)</f>
        <v>0.663752521856086</v>
      </c>
    </row>
    <row r="3150" customFormat="false" ht="15" hidden="false" customHeight="false" outlineLevel="0" collapsed="false">
      <c r="A3150" s="15" t="n">
        <v>46153</v>
      </c>
      <c r="B3150" s="14" t="s">
        <v>88</v>
      </c>
      <c r="C3150" s="14" t="s">
        <v>89</v>
      </c>
      <c r="D3150" s="14" t="s">
        <v>44</v>
      </c>
      <c r="E3150" s="14" t="s">
        <v>56</v>
      </c>
      <c r="F3150" s="14" t="s">
        <v>67</v>
      </c>
      <c r="G3150" s="14" t="s">
        <v>68</v>
      </c>
      <c r="H3150" s="0" t="n">
        <v>6</v>
      </c>
      <c r="I3150" s="16" t="n">
        <v>37.96</v>
      </c>
      <c r="J3150" s="16" t="n">
        <v>15</v>
      </c>
      <c r="K3150" s="16" t="n">
        <f aca="false">H3150*I3150</f>
        <v>227.76</v>
      </c>
      <c r="L3150" s="16" t="n">
        <f aca="false">H3150*J3150</f>
        <v>90</v>
      </c>
      <c r="M3150" s="16" t="n">
        <f aca="false">K3150-L3150</f>
        <v>137.76</v>
      </c>
      <c r="N3150" s="17" t="n">
        <f aca="false">IFERROR(M3150/K3150,0)</f>
        <v>0.604847207586934</v>
      </c>
    </row>
    <row r="3151" customFormat="false" ht="15" hidden="false" customHeight="false" outlineLevel="0" collapsed="false">
      <c r="A3151" s="15" t="n">
        <v>46153</v>
      </c>
      <c r="B3151" s="14" t="s">
        <v>88</v>
      </c>
      <c r="C3151" s="14" t="s">
        <v>89</v>
      </c>
      <c r="D3151" s="14" t="s">
        <v>44</v>
      </c>
      <c r="E3151" s="14" t="s">
        <v>76</v>
      </c>
      <c r="F3151" s="14" t="s">
        <v>79</v>
      </c>
      <c r="G3151" s="14" t="s">
        <v>80</v>
      </c>
      <c r="H3151" s="0" t="n">
        <v>3</v>
      </c>
      <c r="I3151" s="16" t="n">
        <v>27.92</v>
      </c>
      <c r="J3151" s="16" t="n">
        <v>11</v>
      </c>
      <c r="K3151" s="16" t="n">
        <f aca="false">H3151*I3151</f>
        <v>83.76</v>
      </c>
      <c r="L3151" s="16" t="n">
        <f aca="false">H3151*J3151</f>
        <v>33</v>
      </c>
      <c r="M3151" s="16" t="n">
        <f aca="false">K3151-L3151</f>
        <v>50.76</v>
      </c>
      <c r="N3151" s="17" t="n">
        <f aca="false">IFERROR(M3151/K3151,0)</f>
        <v>0.606017191977077</v>
      </c>
    </row>
    <row r="3152" customFormat="false" ht="15" hidden="false" customHeight="false" outlineLevel="0" collapsed="false">
      <c r="A3152" s="15" t="n">
        <v>46153</v>
      </c>
      <c r="B3152" s="14" t="s">
        <v>88</v>
      </c>
      <c r="C3152" s="14" t="s">
        <v>89</v>
      </c>
      <c r="D3152" s="14" t="s">
        <v>44</v>
      </c>
      <c r="E3152" s="14" t="s">
        <v>76</v>
      </c>
      <c r="F3152" s="14" t="s">
        <v>100</v>
      </c>
      <c r="G3152" s="14" t="s">
        <v>101</v>
      </c>
      <c r="H3152" s="0" t="n">
        <v>3</v>
      </c>
      <c r="I3152" s="16" t="n">
        <v>14.86</v>
      </c>
      <c r="J3152" s="16" t="n">
        <v>5.5</v>
      </c>
      <c r="K3152" s="16" t="n">
        <f aca="false">H3152*I3152</f>
        <v>44.58</v>
      </c>
      <c r="L3152" s="16" t="n">
        <f aca="false">H3152*J3152</f>
        <v>16.5</v>
      </c>
      <c r="M3152" s="16" t="n">
        <f aca="false">K3152-L3152</f>
        <v>28.08</v>
      </c>
      <c r="N3152" s="17" t="n">
        <f aca="false">IFERROR(M3152/K3152,0)</f>
        <v>0.629878869448183</v>
      </c>
    </row>
    <row r="3153" customFormat="false" ht="15" hidden="false" customHeight="false" outlineLevel="0" collapsed="false">
      <c r="A3153" s="15" t="n">
        <v>46153</v>
      </c>
      <c r="B3153" s="14" t="s">
        <v>88</v>
      </c>
      <c r="C3153" s="14" t="s">
        <v>89</v>
      </c>
      <c r="D3153" s="14" t="s">
        <v>44</v>
      </c>
      <c r="E3153" s="14" t="s">
        <v>53</v>
      </c>
      <c r="F3153" s="14" t="s">
        <v>92</v>
      </c>
      <c r="G3153" s="14" t="s">
        <v>93</v>
      </c>
      <c r="H3153" s="0" t="n">
        <v>7</v>
      </c>
      <c r="I3153" s="16" t="n">
        <v>117.23</v>
      </c>
      <c r="J3153" s="16" t="n">
        <v>52</v>
      </c>
      <c r="K3153" s="16" t="n">
        <f aca="false">H3153*I3153</f>
        <v>820.61</v>
      </c>
      <c r="L3153" s="16" t="n">
        <f aca="false">H3153*J3153</f>
        <v>364</v>
      </c>
      <c r="M3153" s="16" t="n">
        <f aca="false">K3153-L3153</f>
        <v>456.61</v>
      </c>
      <c r="N3153" s="17" t="n">
        <f aca="false">IFERROR(M3153/K3153,0)</f>
        <v>0.556427535613751</v>
      </c>
    </row>
    <row r="3154" customFormat="false" ht="15" hidden="false" customHeight="false" outlineLevel="0" collapsed="false">
      <c r="A3154" s="15" t="n">
        <v>46153</v>
      </c>
      <c r="B3154" s="14" t="s">
        <v>88</v>
      </c>
      <c r="C3154" s="14" t="s">
        <v>89</v>
      </c>
      <c r="D3154" s="14" t="s">
        <v>44</v>
      </c>
      <c r="E3154" s="14" t="s">
        <v>45</v>
      </c>
      <c r="F3154" s="14" t="s">
        <v>46</v>
      </c>
      <c r="G3154" s="14" t="s">
        <v>47</v>
      </c>
      <c r="H3154" s="0" t="n">
        <v>8</v>
      </c>
      <c r="I3154" s="16" t="n">
        <v>41.46</v>
      </c>
      <c r="J3154" s="16" t="n">
        <v>18</v>
      </c>
      <c r="K3154" s="16" t="n">
        <f aca="false">H3154*I3154</f>
        <v>331.68</v>
      </c>
      <c r="L3154" s="16" t="n">
        <f aca="false">H3154*J3154</f>
        <v>144</v>
      </c>
      <c r="M3154" s="16" t="n">
        <f aca="false">K3154-L3154</f>
        <v>187.68</v>
      </c>
      <c r="N3154" s="17" t="n">
        <f aca="false">IFERROR(M3154/K3154,0)</f>
        <v>0.565846599131693</v>
      </c>
    </row>
    <row r="3155" customFormat="false" ht="15" hidden="false" customHeight="false" outlineLevel="0" collapsed="false">
      <c r="A3155" s="15" t="n">
        <v>46154</v>
      </c>
      <c r="B3155" s="14" t="s">
        <v>42</v>
      </c>
      <c r="C3155" s="14" t="s">
        <v>43</v>
      </c>
      <c r="D3155" s="14" t="s">
        <v>44</v>
      </c>
      <c r="E3155" s="14" t="s">
        <v>64</v>
      </c>
      <c r="F3155" s="14" t="s">
        <v>96</v>
      </c>
      <c r="G3155" s="14" t="s">
        <v>97</v>
      </c>
      <c r="H3155" s="0" t="n">
        <v>8</v>
      </c>
      <c r="I3155" s="16" t="n">
        <v>58.3</v>
      </c>
      <c r="J3155" s="16" t="n">
        <v>24</v>
      </c>
      <c r="K3155" s="16" t="n">
        <f aca="false">H3155*I3155</f>
        <v>466.4</v>
      </c>
      <c r="L3155" s="16" t="n">
        <f aca="false">H3155*J3155</f>
        <v>192</v>
      </c>
      <c r="M3155" s="16" t="n">
        <f aca="false">K3155-L3155</f>
        <v>274.4</v>
      </c>
      <c r="N3155" s="17" t="n">
        <f aca="false">IFERROR(M3155/K3155,0)</f>
        <v>0.588336192109777</v>
      </c>
    </row>
    <row r="3156" customFormat="false" ht="15" hidden="false" customHeight="false" outlineLevel="0" collapsed="false">
      <c r="A3156" s="15" t="n">
        <v>46154</v>
      </c>
      <c r="B3156" s="14" t="s">
        <v>42</v>
      </c>
      <c r="C3156" s="14" t="s">
        <v>43</v>
      </c>
      <c r="D3156" s="14" t="s">
        <v>44</v>
      </c>
      <c r="E3156" s="14" t="s">
        <v>53</v>
      </c>
      <c r="F3156" s="14" t="s">
        <v>92</v>
      </c>
      <c r="G3156" s="14" t="s">
        <v>93</v>
      </c>
      <c r="H3156" s="0" t="n">
        <v>2</v>
      </c>
      <c r="I3156" s="16" t="n">
        <v>115.1</v>
      </c>
      <c r="J3156" s="16" t="n">
        <v>52</v>
      </c>
      <c r="K3156" s="16" t="n">
        <f aca="false">H3156*I3156</f>
        <v>230.2</v>
      </c>
      <c r="L3156" s="16" t="n">
        <f aca="false">H3156*J3156</f>
        <v>104</v>
      </c>
      <c r="M3156" s="16" t="n">
        <f aca="false">K3156-L3156</f>
        <v>126.2</v>
      </c>
      <c r="N3156" s="17" t="n">
        <f aca="false">IFERROR(M3156/K3156,0)</f>
        <v>0.548218940052129</v>
      </c>
    </row>
    <row r="3157" customFormat="false" ht="15" hidden="false" customHeight="false" outlineLevel="0" collapsed="false">
      <c r="A3157" s="15" t="n">
        <v>46154</v>
      </c>
      <c r="B3157" s="14" t="s">
        <v>42</v>
      </c>
      <c r="C3157" s="14" t="s">
        <v>43</v>
      </c>
      <c r="D3157" s="14" t="s">
        <v>44</v>
      </c>
      <c r="E3157" s="14" t="s">
        <v>53</v>
      </c>
      <c r="F3157" s="14" t="s">
        <v>74</v>
      </c>
      <c r="G3157" s="14" t="s">
        <v>75</v>
      </c>
      <c r="H3157" s="0" t="n">
        <v>6</v>
      </c>
      <c r="I3157" s="16" t="n">
        <v>86.87</v>
      </c>
      <c r="J3157" s="16" t="n">
        <v>38</v>
      </c>
      <c r="K3157" s="16" t="n">
        <f aca="false">H3157*I3157</f>
        <v>521.22</v>
      </c>
      <c r="L3157" s="16" t="n">
        <f aca="false">H3157*J3157</f>
        <v>228</v>
      </c>
      <c r="M3157" s="16" t="n">
        <f aca="false">K3157-L3157</f>
        <v>293.22</v>
      </c>
      <c r="N3157" s="17" t="n">
        <f aca="false">IFERROR(M3157/K3157,0)</f>
        <v>0.562564751928169</v>
      </c>
    </row>
    <row r="3158" customFormat="false" ht="15" hidden="false" customHeight="false" outlineLevel="0" collapsed="false">
      <c r="A3158" s="15" t="n">
        <v>46154</v>
      </c>
      <c r="B3158" s="14" t="s">
        <v>42</v>
      </c>
      <c r="C3158" s="14" t="s">
        <v>43</v>
      </c>
      <c r="D3158" s="14" t="s">
        <v>44</v>
      </c>
      <c r="E3158" s="14" t="s">
        <v>76</v>
      </c>
      <c r="F3158" s="14" t="s">
        <v>100</v>
      </c>
      <c r="G3158" s="14" t="s">
        <v>101</v>
      </c>
      <c r="H3158" s="0" t="n">
        <v>10</v>
      </c>
      <c r="I3158" s="16" t="n">
        <v>15.15</v>
      </c>
      <c r="J3158" s="16" t="n">
        <v>5.5</v>
      </c>
      <c r="K3158" s="16" t="n">
        <f aca="false">H3158*I3158</f>
        <v>151.5</v>
      </c>
      <c r="L3158" s="16" t="n">
        <f aca="false">H3158*J3158</f>
        <v>55</v>
      </c>
      <c r="M3158" s="16" t="n">
        <f aca="false">K3158-L3158</f>
        <v>96.5</v>
      </c>
      <c r="N3158" s="17" t="n">
        <f aca="false">IFERROR(M3158/K3158,0)</f>
        <v>0.636963696369637</v>
      </c>
    </row>
    <row r="3159" customFormat="false" ht="15" hidden="false" customHeight="false" outlineLevel="0" collapsed="false">
      <c r="A3159" s="15" t="n">
        <v>46154</v>
      </c>
      <c r="B3159" s="14" t="s">
        <v>42</v>
      </c>
      <c r="C3159" s="14" t="s">
        <v>43</v>
      </c>
      <c r="D3159" s="14" t="s">
        <v>44</v>
      </c>
      <c r="E3159" s="14" t="s">
        <v>76</v>
      </c>
      <c r="F3159" s="14" t="s">
        <v>100</v>
      </c>
      <c r="G3159" s="14" t="s">
        <v>101</v>
      </c>
      <c r="H3159" s="0" t="n">
        <v>3</v>
      </c>
      <c r="I3159" s="16" t="n">
        <v>15.15</v>
      </c>
      <c r="J3159" s="16" t="n">
        <v>5.5</v>
      </c>
      <c r="K3159" s="16" t="n">
        <f aca="false">H3159*I3159</f>
        <v>45.45</v>
      </c>
      <c r="L3159" s="16" t="n">
        <f aca="false">H3159*J3159</f>
        <v>16.5</v>
      </c>
      <c r="M3159" s="16" t="n">
        <f aca="false">K3159-L3159</f>
        <v>28.95</v>
      </c>
      <c r="N3159" s="17" t="n">
        <f aca="false">IFERROR(M3159/K3159,0)</f>
        <v>0.636963696369637</v>
      </c>
    </row>
    <row r="3160" customFormat="false" ht="15" hidden="false" customHeight="false" outlineLevel="0" collapsed="false">
      <c r="A3160" s="15" t="n">
        <v>46154</v>
      </c>
      <c r="B3160" s="14" t="s">
        <v>42</v>
      </c>
      <c r="C3160" s="14" t="s">
        <v>43</v>
      </c>
      <c r="D3160" s="14" t="s">
        <v>44</v>
      </c>
      <c r="E3160" s="14" t="s">
        <v>45</v>
      </c>
      <c r="F3160" s="14" t="s">
        <v>62</v>
      </c>
      <c r="G3160" s="14" t="s">
        <v>63</v>
      </c>
      <c r="H3160" s="0" t="n">
        <v>1</v>
      </c>
      <c r="I3160" s="16" t="n">
        <v>17.62</v>
      </c>
      <c r="J3160" s="16" t="n">
        <v>6.5</v>
      </c>
      <c r="K3160" s="16" t="n">
        <f aca="false">H3160*I3160</f>
        <v>17.62</v>
      </c>
      <c r="L3160" s="16" t="n">
        <f aca="false">H3160*J3160</f>
        <v>6.5</v>
      </c>
      <c r="M3160" s="16" t="n">
        <f aca="false">K3160-L3160</f>
        <v>11.12</v>
      </c>
      <c r="N3160" s="17" t="n">
        <f aca="false">IFERROR(M3160/K3160,0)</f>
        <v>0.631101021566402</v>
      </c>
    </row>
    <row r="3161" customFormat="false" ht="15" hidden="false" customHeight="false" outlineLevel="0" collapsed="false">
      <c r="A3161" s="15" t="n">
        <v>46154</v>
      </c>
      <c r="B3161" s="14" t="s">
        <v>50</v>
      </c>
      <c r="C3161" s="14" t="s">
        <v>51</v>
      </c>
      <c r="D3161" s="14" t="s">
        <v>52</v>
      </c>
      <c r="E3161" s="14" t="s">
        <v>76</v>
      </c>
      <c r="F3161" s="14" t="s">
        <v>100</v>
      </c>
      <c r="G3161" s="14" t="s">
        <v>101</v>
      </c>
      <c r="H3161" s="0" t="n">
        <v>5</v>
      </c>
      <c r="I3161" s="16" t="n">
        <v>15.88</v>
      </c>
      <c r="J3161" s="16" t="n">
        <v>5.5</v>
      </c>
      <c r="K3161" s="16" t="n">
        <f aca="false">H3161*I3161</f>
        <v>79.4</v>
      </c>
      <c r="L3161" s="16" t="n">
        <f aca="false">H3161*J3161</f>
        <v>27.5</v>
      </c>
      <c r="M3161" s="16" t="n">
        <f aca="false">K3161-L3161</f>
        <v>51.9</v>
      </c>
      <c r="N3161" s="17" t="n">
        <f aca="false">IFERROR(M3161/K3161,0)</f>
        <v>0.653652392947103</v>
      </c>
    </row>
    <row r="3162" customFormat="false" ht="15" hidden="false" customHeight="false" outlineLevel="0" collapsed="false">
      <c r="A3162" s="15" t="n">
        <v>46154</v>
      </c>
      <c r="B3162" s="14" t="s">
        <v>50</v>
      </c>
      <c r="C3162" s="14" t="s">
        <v>51</v>
      </c>
      <c r="D3162" s="14" t="s">
        <v>52</v>
      </c>
      <c r="E3162" s="14" t="s">
        <v>64</v>
      </c>
      <c r="F3162" s="14" t="s">
        <v>90</v>
      </c>
      <c r="G3162" s="14" t="s">
        <v>91</v>
      </c>
      <c r="H3162" s="0" t="n">
        <v>1</v>
      </c>
      <c r="I3162" s="16" t="n">
        <v>11.71</v>
      </c>
      <c r="J3162" s="16" t="n">
        <v>3.5</v>
      </c>
      <c r="K3162" s="16" t="n">
        <f aca="false">H3162*I3162</f>
        <v>11.71</v>
      </c>
      <c r="L3162" s="16" t="n">
        <f aca="false">H3162*J3162</f>
        <v>3.5</v>
      </c>
      <c r="M3162" s="16" t="n">
        <f aca="false">K3162-L3162</f>
        <v>8.21</v>
      </c>
      <c r="N3162" s="17" t="n">
        <f aca="false">IFERROR(M3162/K3162,0)</f>
        <v>0.701110162254483</v>
      </c>
    </row>
    <row r="3163" customFormat="false" ht="15" hidden="false" customHeight="false" outlineLevel="0" collapsed="false">
      <c r="A3163" s="15" t="n">
        <v>46154</v>
      </c>
      <c r="B3163" s="14" t="s">
        <v>59</v>
      </c>
      <c r="C3163" s="14" t="s">
        <v>60</v>
      </c>
      <c r="D3163" s="14" t="s">
        <v>61</v>
      </c>
      <c r="E3163" s="14" t="s">
        <v>64</v>
      </c>
      <c r="F3163" s="14" t="s">
        <v>94</v>
      </c>
      <c r="G3163" s="14" t="s">
        <v>95</v>
      </c>
      <c r="H3163" s="0" t="n">
        <v>5</v>
      </c>
      <c r="I3163" s="16" t="n">
        <v>97.44</v>
      </c>
      <c r="J3163" s="16" t="n">
        <v>42</v>
      </c>
      <c r="K3163" s="16" t="n">
        <f aca="false">H3163*I3163</f>
        <v>487.2</v>
      </c>
      <c r="L3163" s="16" t="n">
        <f aca="false">H3163*J3163</f>
        <v>210</v>
      </c>
      <c r="M3163" s="16" t="n">
        <f aca="false">K3163-L3163</f>
        <v>277.2</v>
      </c>
      <c r="N3163" s="17" t="n">
        <f aca="false">IFERROR(M3163/K3163,0)</f>
        <v>0.568965517241379</v>
      </c>
    </row>
    <row r="3164" customFormat="false" ht="15" hidden="false" customHeight="false" outlineLevel="0" collapsed="false">
      <c r="A3164" s="15" t="n">
        <v>46154</v>
      </c>
      <c r="B3164" s="14" t="s">
        <v>59</v>
      </c>
      <c r="C3164" s="14" t="s">
        <v>60</v>
      </c>
      <c r="D3164" s="14" t="s">
        <v>61</v>
      </c>
      <c r="E3164" s="14" t="s">
        <v>64</v>
      </c>
      <c r="F3164" s="14" t="s">
        <v>90</v>
      </c>
      <c r="G3164" s="14" t="s">
        <v>91</v>
      </c>
      <c r="H3164" s="0" t="n">
        <v>5</v>
      </c>
      <c r="I3164" s="16" t="n">
        <v>11.17</v>
      </c>
      <c r="J3164" s="16" t="n">
        <v>3.5</v>
      </c>
      <c r="K3164" s="16" t="n">
        <f aca="false">H3164*I3164</f>
        <v>55.85</v>
      </c>
      <c r="L3164" s="16" t="n">
        <f aca="false">H3164*J3164</f>
        <v>17.5</v>
      </c>
      <c r="M3164" s="16" t="n">
        <f aca="false">K3164-L3164</f>
        <v>38.35</v>
      </c>
      <c r="N3164" s="17" t="n">
        <f aca="false">IFERROR(M3164/K3164,0)</f>
        <v>0.686660698299015</v>
      </c>
    </row>
    <row r="3165" customFormat="false" ht="15" hidden="false" customHeight="false" outlineLevel="0" collapsed="false">
      <c r="A3165" s="15" t="n">
        <v>46154</v>
      </c>
      <c r="B3165" s="14" t="s">
        <v>59</v>
      </c>
      <c r="C3165" s="14" t="s">
        <v>60</v>
      </c>
      <c r="D3165" s="14" t="s">
        <v>61</v>
      </c>
      <c r="E3165" s="14" t="s">
        <v>76</v>
      </c>
      <c r="F3165" s="14" t="s">
        <v>102</v>
      </c>
      <c r="G3165" s="14" t="s">
        <v>103</v>
      </c>
      <c r="H3165" s="0" t="n">
        <v>4</v>
      </c>
      <c r="I3165" s="16" t="n">
        <v>23.02</v>
      </c>
      <c r="J3165" s="16" t="n">
        <v>8.5</v>
      </c>
      <c r="K3165" s="16" t="n">
        <f aca="false">H3165*I3165</f>
        <v>92.08</v>
      </c>
      <c r="L3165" s="16" t="n">
        <f aca="false">H3165*J3165</f>
        <v>34</v>
      </c>
      <c r="M3165" s="16" t="n">
        <f aca="false">K3165-L3165</f>
        <v>58.08</v>
      </c>
      <c r="N3165" s="17" t="n">
        <f aca="false">IFERROR(M3165/K3165,0)</f>
        <v>0.630755864465682</v>
      </c>
    </row>
    <row r="3166" customFormat="false" ht="15" hidden="false" customHeight="false" outlineLevel="0" collapsed="false">
      <c r="A3166" s="15" t="n">
        <v>46154</v>
      </c>
      <c r="B3166" s="14" t="s">
        <v>59</v>
      </c>
      <c r="C3166" s="14" t="s">
        <v>60</v>
      </c>
      <c r="D3166" s="14" t="s">
        <v>61</v>
      </c>
      <c r="E3166" s="14" t="s">
        <v>76</v>
      </c>
      <c r="F3166" s="14" t="s">
        <v>79</v>
      </c>
      <c r="G3166" s="14" t="s">
        <v>80</v>
      </c>
      <c r="H3166" s="0" t="n">
        <v>8</v>
      </c>
      <c r="I3166" s="16" t="n">
        <v>29.81</v>
      </c>
      <c r="J3166" s="16" t="n">
        <v>11</v>
      </c>
      <c r="K3166" s="16" t="n">
        <f aca="false">H3166*I3166</f>
        <v>238.48</v>
      </c>
      <c r="L3166" s="16" t="n">
        <f aca="false">H3166*J3166</f>
        <v>88</v>
      </c>
      <c r="M3166" s="16" t="n">
        <f aca="false">K3166-L3166</f>
        <v>150.48</v>
      </c>
      <c r="N3166" s="17" t="n">
        <f aca="false">IFERROR(M3166/K3166,0)</f>
        <v>0.6309963099631</v>
      </c>
    </row>
    <row r="3167" customFormat="false" ht="15" hidden="false" customHeight="false" outlineLevel="0" collapsed="false">
      <c r="A3167" s="15" t="n">
        <v>46154</v>
      </c>
      <c r="B3167" s="14" t="s">
        <v>69</v>
      </c>
      <c r="C3167" s="14" t="s">
        <v>70</v>
      </c>
      <c r="D3167" s="14" t="s">
        <v>71</v>
      </c>
      <c r="E3167" s="14" t="s">
        <v>76</v>
      </c>
      <c r="F3167" s="14" t="s">
        <v>79</v>
      </c>
      <c r="G3167" s="14" t="s">
        <v>80</v>
      </c>
      <c r="H3167" s="0" t="n">
        <v>1</v>
      </c>
      <c r="I3167" s="16" t="n">
        <v>29.55</v>
      </c>
      <c r="J3167" s="16" t="n">
        <v>11</v>
      </c>
      <c r="K3167" s="16" t="n">
        <f aca="false">H3167*I3167</f>
        <v>29.55</v>
      </c>
      <c r="L3167" s="16" t="n">
        <f aca="false">H3167*J3167</f>
        <v>11</v>
      </c>
      <c r="M3167" s="16" t="n">
        <f aca="false">K3167-L3167</f>
        <v>18.55</v>
      </c>
      <c r="N3167" s="17" t="n">
        <f aca="false">IFERROR(M3167/K3167,0)</f>
        <v>0.627749576988156</v>
      </c>
    </row>
    <row r="3168" customFormat="false" ht="15" hidden="false" customHeight="false" outlineLevel="0" collapsed="false">
      <c r="A3168" s="15" t="n">
        <v>46154</v>
      </c>
      <c r="B3168" s="14" t="s">
        <v>69</v>
      </c>
      <c r="C3168" s="14" t="s">
        <v>70</v>
      </c>
      <c r="D3168" s="14" t="s">
        <v>71</v>
      </c>
      <c r="E3168" s="14" t="s">
        <v>45</v>
      </c>
      <c r="F3168" s="14" t="s">
        <v>62</v>
      </c>
      <c r="G3168" s="14" t="s">
        <v>63</v>
      </c>
      <c r="H3168" s="0" t="n">
        <v>2</v>
      </c>
      <c r="I3168" s="16" t="n">
        <v>16.82</v>
      </c>
      <c r="J3168" s="16" t="n">
        <v>6.5</v>
      </c>
      <c r="K3168" s="16" t="n">
        <f aca="false">H3168*I3168</f>
        <v>33.64</v>
      </c>
      <c r="L3168" s="16" t="n">
        <f aca="false">H3168*J3168</f>
        <v>13</v>
      </c>
      <c r="M3168" s="16" t="n">
        <f aca="false">K3168-L3168</f>
        <v>20.64</v>
      </c>
      <c r="N3168" s="17" t="n">
        <f aca="false">IFERROR(M3168/K3168,0)</f>
        <v>0.613555291319857</v>
      </c>
    </row>
    <row r="3169" customFormat="false" ht="15" hidden="false" customHeight="false" outlineLevel="0" collapsed="false">
      <c r="A3169" s="15" t="n">
        <v>46154</v>
      </c>
      <c r="B3169" s="14" t="s">
        <v>81</v>
      </c>
      <c r="C3169" s="14" t="s">
        <v>82</v>
      </c>
      <c r="D3169" s="14" t="s">
        <v>83</v>
      </c>
      <c r="E3169" s="14" t="s">
        <v>53</v>
      </c>
      <c r="F3169" s="14" t="s">
        <v>54</v>
      </c>
      <c r="G3169" s="14" t="s">
        <v>55</v>
      </c>
      <c r="H3169" s="0" t="n">
        <v>2</v>
      </c>
      <c r="I3169" s="16" t="n">
        <v>54.4</v>
      </c>
      <c r="J3169" s="16" t="n">
        <v>22</v>
      </c>
      <c r="K3169" s="16" t="n">
        <f aca="false">H3169*I3169</f>
        <v>108.8</v>
      </c>
      <c r="L3169" s="16" t="n">
        <f aca="false">H3169*J3169</f>
        <v>44</v>
      </c>
      <c r="M3169" s="16" t="n">
        <f aca="false">K3169-L3169</f>
        <v>64.8</v>
      </c>
      <c r="N3169" s="17" t="n">
        <f aca="false">IFERROR(M3169/K3169,0)</f>
        <v>0.595588235294118</v>
      </c>
    </row>
    <row r="3170" customFormat="false" ht="15" hidden="false" customHeight="false" outlineLevel="0" collapsed="false">
      <c r="A3170" s="15" t="n">
        <v>46154</v>
      </c>
      <c r="B3170" s="14" t="s">
        <v>81</v>
      </c>
      <c r="C3170" s="14" t="s">
        <v>82</v>
      </c>
      <c r="D3170" s="14" t="s">
        <v>83</v>
      </c>
      <c r="E3170" s="14" t="s">
        <v>45</v>
      </c>
      <c r="F3170" s="14" t="s">
        <v>48</v>
      </c>
      <c r="G3170" s="14" t="s">
        <v>49</v>
      </c>
      <c r="H3170" s="0" t="n">
        <v>4</v>
      </c>
      <c r="I3170" s="16" t="n">
        <v>67.29</v>
      </c>
      <c r="J3170" s="16" t="n">
        <v>27.5</v>
      </c>
      <c r="K3170" s="16" t="n">
        <f aca="false">H3170*I3170</f>
        <v>269.16</v>
      </c>
      <c r="L3170" s="16" t="n">
        <f aca="false">H3170*J3170</f>
        <v>110</v>
      </c>
      <c r="M3170" s="16" t="n">
        <f aca="false">K3170-L3170</f>
        <v>159.16</v>
      </c>
      <c r="N3170" s="17" t="n">
        <f aca="false">IFERROR(M3170/K3170,0)</f>
        <v>0.591321147272998</v>
      </c>
    </row>
    <row r="3171" customFormat="false" ht="15" hidden="false" customHeight="false" outlineLevel="0" collapsed="false">
      <c r="A3171" s="15" t="n">
        <v>46154</v>
      </c>
      <c r="B3171" s="14" t="s">
        <v>88</v>
      </c>
      <c r="C3171" s="14" t="s">
        <v>89</v>
      </c>
      <c r="D3171" s="14" t="s">
        <v>44</v>
      </c>
      <c r="E3171" s="14" t="s">
        <v>45</v>
      </c>
      <c r="F3171" s="14" t="s">
        <v>62</v>
      </c>
      <c r="G3171" s="14" t="s">
        <v>63</v>
      </c>
      <c r="H3171" s="0" t="n">
        <v>8</v>
      </c>
      <c r="I3171" s="16" t="n">
        <v>17.47</v>
      </c>
      <c r="J3171" s="16" t="n">
        <v>6.5</v>
      </c>
      <c r="K3171" s="16" t="n">
        <f aca="false">H3171*I3171</f>
        <v>139.76</v>
      </c>
      <c r="L3171" s="16" t="n">
        <f aca="false">H3171*J3171</f>
        <v>52</v>
      </c>
      <c r="M3171" s="16" t="n">
        <f aca="false">K3171-L3171</f>
        <v>87.76</v>
      </c>
      <c r="N3171" s="17" t="n">
        <f aca="false">IFERROR(M3171/K3171,0)</f>
        <v>0.627933600457928</v>
      </c>
    </row>
    <row r="3172" customFormat="false" ht="15" hidden="false" customHeight="false" outlineLevel="0" collapsed="false">
      <c r="A3172" s="15" t="n">
        <v>46154</v>
      </c>
      <c r="B3172" s="14" t="s">
        <v>88</v>
      </c>
      <c r="C3172" s="14" t="s">
        <v>89</v>
      </c>
      <c r="D3172" s="14" t="s">
        <v>44</v>
      </c>
      <c r="E3172" s="14" t="s">
        <v>76</v>
      </c>
      <c r="F3172" s="14" t="s">
        <v>79</v>
      </c>
      <c r="G3172" s="14" t="s">
        <v>80</v>
      </c>
      <c r="H3172" s="0" t="n">
        <v>2</v>
      </c>
      <c r="I3172" s="16" t="n">
        <v>27.73</v>
      </c>
      <c r="J3172" s="16" t="n">
        <v>11</v>
      </c>
      <c r="K3172" s="16" t="n">
        <f aca="false">H3172*I3172</f>
        <v>55.46</v>
      </c>
      <c r="L3172" s="16" t="n">
        <f aca="false">H3172*J3172</f>
        <v>22</v>
      </c>
      <c r="M3172" s="16" t="n">
        <f aca="false">K3172-L3172</f>
        <v>33.46</v>
      </c>
      <c r="N3172" s="17" t="n">
        <f aca="false">IFERROR(M3172/K3172,0)</f>
        <v>0.603317706455103</v>
      </c>
    </row>
    <row r="3173" customFormat="false" ht="15" hidden="false" customHeight="false" outlineLevel="0" collapsed="false">
      <c r="A3173" s="15" t="n">
        <v>46154</v>
      </c>
      <c r="B3173" s="14" t="s">
        <v>88</v>
      </c>
      <c r="C3173" s="14" t="s">
        <v>89</v>
      </c>
      <c r="D3173" s="14" t="s">
        <v>44</v>
      </c>
      <c r="E3173" s="14" t="s">
        <v>53</v>
      </c>
      <c r="F3173" s="14" t="s">
        <v>54</v>
      </c>
      <c r="G3173" s="14" t="s">
        <v>55</v>
      </c>
      <c r="H3173" s="0" t="n">
        <v>3</v>
      </c>
      <c r="I3173" s="16" t="n">
        <v>51.42</v>
      </c>
      <c r="J3173" s="16" t="n">
        <v>22</v>
      </c>
      <c r="K3173" s="16" t="n">
        <f aca="false">H3173*I3173</f>
        <v>154.26</v>
      </c>
      <c r="L3173" s="16" t="n">
        <f aca="false">H3173*J3173</f>
        <v>66</v>
      </c>
      <c r="M3173" s="16" t="n">
        <f aca="false">K3173-L3173</f>
        <v>88.26</v>
      </c>
      <c r="N3173" s="17" t="n">
        <f aca="false">IFERROR(M3173/K3173,0)</f>
        <v>0.572150914041229</v>
      </c>
    </row>
    <row r="3174" customFormat="false" ht="15" hidden="false" customHeight="false" outlineLevel="0" collapsed="false">
      <c r="A3174" s="15" t="n">
        <v>46154</v>
      </c>
      <c r="B3174" s="14" t="s">
        <v>88</v>
      </c>
      <c r="C3174" s="14" t="s">
        <v>89</v>
      </c>
      <c r="D3174" s="14" t="s">
        <v>44</v>
      </c>
      <c r="E3174" s="14" t="s">
        <v>45</v>
      </c>
      <c r="F3174" s="14" t="s">
        <v>48</v>
      </c>
      <c r="G3174" s="14" t="s">
        <v>49</v>
      </c>
      <c r="H3174" s="0" t="n">
        <v>7</v>
      </c>
      <c r="I3174" s="16" t="n">
        <v>66.87</v>
      </c>
      <c r="J3174" s="16" t="n">
        <v>27.5</v>
      </c>
      <c r="K3174" s="16" t="n">
        <f aca="false">H3174*I3174</f>
        <v>468.09</v>
      </c>
      <c r="L3174" s="16" t="n">
        <f aca="false">H3174*J3174</f>
        <v>192.5</v>
      </c>
      <c r="M3174" s="16" t="n">
        <f aca="false">K3174-L3174</f>
        <v>275.59</v>
      </c>
      <c r="N3174" s="17" t="n">
        <f aca="false">IFERROR(M3174/K3174,0)</f>
        <v>0.58875429938687</v>
      </c>
    </row>
    <row r="3175" customFormat="false" ht="15" hidden="false" customHeight="false" outlineLevel="0" collapsed="false">
      <c r="A3175" s="15" t="n">
        <v>46154</v>
      </c>
      <c r="B3175" s="14" t="s">
        <v>88</v>
      </c>
      <c r="C3175" s="14" t="s">
        <v>89</v>
      </c>
      <c r="D3175" s="14" t="s">
        <v>44</v>
      </c>
      <c r="E3175" s="14" t="s">
        <v>53</v>
      </c>
      <c r="F3175" s="14" t="s">
        <v>54</v>
      </c>
      <c r="G3175" s="14" t="s">
        <v>55</v>
      </c>
      <c r="H3175" s="0" t="n">
        <v>1</v>
      </c>
      <c r="I3175" s="16" t="n">
        <v>53.75</v>
      </c>
      <c r="J3175" s="16" t="n">
        <v>22</v>
      </c>
      <c r="K3175" s="16" t="n">
        <f aca="false">H3175*I3175</f>
        <v>53.75</v>
      </c>
      <c r="L3175" s="16" t="n">
        <f aca="false">H3175*J3175</f>
        <v>22</v>
      </c>
      <c r="M3175" s="16" t="n">
        <f aca="false">K3175-L3175</f>
        <v>31.75</v>
      </c>
      <c r="N3175" s="17" t="n">
        <f aca="false">IFERROR(M3175/K3175,0)</f>
        <v>0.590697674418605</v>
      </c>
    </row>
    <row r="3176" customFormat="false" ht="15" hidden="false" customHeight="false" outlineLevel="0" collapsed="false">
      <c r="A3176" s="15" t="n">
        <v>46154</v>
      </c>
      <c r="B3176" s="14" t="s">
        <v>88</v>
      </c>
      <c r="C3176" s="14" t="s">
        <v>89</v>
      </c>
      <c r="D3176" s="14" t="s">
        <v>44</v>
      </c>
      <c r="E3176" s="14" t="s">
        <v>64</v>
      </c>
      <c r="F3176" s="14" t="s">
        <v>94</v>
      </c>
      <c r="G3176" s="14" t="s">
        <v>95</v>
      </c>
      <c r="H3176" s="0" t="n">
        <v>4</v>
      </c>
      <c r="I3176" s="16" t="n">
        <v>94.85</v>
      </c>
      <c r="J3176" s="16" t="n">
        <v>42</v>
      </c>
      <c r="K3176" s="16" t="n">
        <f aca="false">H3176*I3176</f>
        <v>379.4</v>
      </c>
      <c r="L3176" s="16" t="n">
        <f aca="false">H3176*J3176</f>
        <v>168</v>
      </c>
      <c r="M3176" s="16" t="n">
        <f aca="false">K3176-L3176</f>
        <v>211.4</v>
      </c>
      <c r="N3176" s="17" t="n">
        <f aca="false">IFERROR(M3176/K3176,0)</f>
        <v>0.55719557195572</v>
      </c>
    </row>
    <row r="3177" customFormat="false" ht="15" hidden="false" customHeight="false" outlineLevel="0" collapsed="false">
      <c r="A3177" s="15" t="n">
        <v>46155</v>
      </c>
      <c r="B3177" s="14" t="s">
        <v>42</v>
      </c>
      <c r="C3177" s="14" t="s">
        <v>43</v>
      </c>
      <c r="D3177" s="14" t="s">
        <v>44</v>
      </c>
      <c r="E3177" s="14" t="s">
        <v>64</v>
      </c>
      <c r="F3177" s="14" t="s">
        <v>96</v>
      </c>
      <c r="G3177" s="14" t="s">
        <v>97</v>
      </c>
      <c r="H3177" s="0" t="n">
        <v>10</v>
      </c>
      <c r="I3177" s="16" t="n">
        <v>55.64</v>
      </c>
      <c r="J3177" s="16" t="n">
        <v>24</v>
      </c>
      <c r="K3177" s="16" t="n">
        <f aca="false">H3177*I3177</f>
        <v>556.4</v>
      </c>
      <c r="L3177" s="16" t="n">
        <f aca="false">H3177*J3177</f>
        <v>240</v>
      </c>
      <c r="M3177" s="16" t="n">
        <f aca="false">K3177-L3177</f>
        <v>316.4</v>
      </c>
      <c r="N3177" s="17" t="n">
        <f aca="false">IFERROR(M3177/K3177,0)</f>
        <v>0.568655643421999</v>
      </c>
    </row>
    <row r="3178" customFormat="false" ht="15" hidden="false" customHeight="false" outlineLevel="0" collapsed="false">
      <c r="A3178" s="15" t="n">
        <v>46155</v>
      </c>
      <c r="B3178" s="14" t="s">
        <v>42</v>
      </c>
      <c r="C3178" s="14" t="s">
        <v>43</v>
      </c>
      <c r="D3178" s="14" t="s">
        <v>44</v>
      </c>
      <c r="E3178" s="14" t="s">
        <v>56</v>
      </c>
      <c r="F3178" s="14" t="s">
        <v>98</v>
      </c>
      <c r="G3178" s="14" t="s">
        <v>99</v>
      </c>
      <c r="H3178" s="0" t="n">
        <v>10</v>
      </c>
      <c r="I3178" s="16" t="n">
        <v>20.57</v>
      </c>
      <c r="J3178" s="16" t="n">
        <v>8</v>
      </c>
      <c r="K3178" s="16" t="n">
        <f aca="false">H3178*I3178</f>
        <v>205.7</v>
      </c>
      <c r="L3178" s="16" t="n">
        <f aca="false">H3178*J3178</f>
        <v>80</v>
      </c>
      <c r="M3178" s="16" t="n">
        <f aca="false">K3178-L3178</f>
        <v>125.7</v>
      </c>
      <c r="N3178" s="17" t="n">
        <f aca="false">IFERROR(M3178/K3178,0)</f>
        <v>0.611084103062713</v>
      </c>
    </row>
    <row r="3179" customFormat="false" ht="15" hidden="false" customHeight="false" outlineLevel="0" collapsed="false">
      <c r="A3179" s="15" t="n">
        <v>46155</v>
      </c>
      <c r="B3179" s="14" t="s">
        <v>42</v>
      </c>
      <c r="C3179" s="14" t="s">
        <v>43</v>
      </c>
      <c r="D3179" s="14" t="s">
        <v>44</v>
      </c>
      <c r="E3179" s="14" t="s">
        <v>45</v>
      </c>
      <c r="F3179" s="14" t="s">
        <v>48</v>
      </c>
      <c r="G3179" s="14" t="s">
        <v>49</v>
      </c>
      <c r="H3179" s="0" t="n">
        <v>4</v>
      </c>
      <c r="I3179" s="16" t="n">
        <v>67.86</v>
      </c>
      <c r="J3179" s="16" t="n">
        <v>27.5</v>
      </c>
      <c r="K3179" s="16" t="n">
        <f aca="false">H3179*I3179</f>
        <v>271.44</v>
      </c>
      <c r="L3179" s="16" t="n">
        <f aca="false">H3179*J3179</f>
        <v>110</v>
      </c>
      <c r="M3179" s="16" t="n">
        <f aca="false">K3179-L3179</f>
        <v>161.44</v>
      </c>
      <c r="N3179" s="17" t="n">
        <f aca="false">IFERROR(M3179/K3179,0)</f>
        <v>0.594753905098733</v>
      </c>
    </row>
    <row r="3180" customFormat="false" ht="15" hidden="false" customHeight="false" outlineLevel="0" collapsed="false">
      <c r="A3180" s="15" t="n">
        <v>46155</v>
      </c>
      <c r="B3180" s="14" t="s">
        <v>50</v>
      </c>
      <c r="C3180" s="14" t="s">
        <v>51</v>
      </c>
      <c r="D3180" s="14" t="s">
        <v>52</v>
      </c>
      <c r="E3180" s="14" t="s">
        <v>53</v>
      </c>
      <c r="F3180" s="14" t="s">
        <v>54</v>
      </c>
      <c r="G3180" s="14" t="s">
        <v>55</v>
      </c>
      <c r="H3180" s="0" t="n">
        <v>3</v>
      </c>
      <c r="I3180" s="16" t="n">
        <v>53.69</v>
      </c>
      <c r="J3180" s="16" t="n">
        <v>22</v>
      </c>
      <c r="K3180" s="16" t="n">
        <f aca="false">H3180*I3180</f>
        <v>161.07</v>
      </c>
      <c r="L3180" s="16" t="n">
        <f aca="false">H3180*J3180</f>
        <v>66</v>
      </c>
      <c r="M3180" s="16" t="n">
        <f aca="false">K3180-L3180</f>
        <v>95.07</v>
      </c>
      <c r="N3180" s="17" t="n">
        <f aca="false">IFERROR(M3180/K3180,0)</f>
        <v>0.59024026820637</v>
      </c>
    </row>
    <row r="3181" customFormat="false" ht="15" hidden="false" customHeight="false" outlineLevel="0" collapsed="false">
      <c r="A3181" s="15" t="n">
        <v>46155</v>
      </c>
      <c r="B3181" s="14" t="s">
        <v>50</v>
      </c>
      <c r="C3181" s="14" t="s">
        <v>51</v>
      </c>
      <c r="D3181" s="14" t="s">
        <v>52</v>
      </c>
      <c r="E3181" s="14" t="s">
        <v>45</v>
      </c>
      <c r="F3181" s="14" t="s">
        <v>62</v>
      </c>
      <c r="G3181" s="14" t="s">
        <v>63</v>
      </c>
      <c r="H3181" s="0" t="n">
        <v>3</v>
      </c>
      <c r="I3181" s="16" t="n">
        <v>17.78</v>
      </c>
      <c r="J3181" s="16" t="n">
        <v>6.5</v>
      </c>
      <c r="K3181" s="16" t="n">
        <f aca="false">H3181*I3181</f>
        <v>53.34</v>
      </c>
      <c r="L3181" s="16" t="n">
        <f aca="false">H3181*J3181</f>
        <v>19.5</v>
      </c>
      <c r="M3181" s="16" t="n">
        <f aca="false">K3181-L3181</f>
        <v>33.84</v>
      </c>
      <c r="N3181" s="17" t="n">
        <f aca="false">IFERROR(M3181/K3181,0)</f>
        <v>0.634420697412824</v>
      </c>
    </row>
    <row r="3182" customFormat="false" ht="15" hidden="false" customHeight="false" outlineLevel="0" collapsed="false">
      <c r="A3182" s="15" t="n">
        <v>46155</v>
      </c>
      <c r="B3182" s="14" t="s">
        <v>50</v>
      </c>
      <c r="C3182" s="14" t="s">
        <v>51</v>
      </c>
      <c r="D3182" s="14" t="s">
        <v>52</v>
      </c>
      <c r="E3182" s="14" t="s">
        <v>53</v>
      </c>
      <c r="F3182" s="14" t="s">
        <v>54</v>
      </c>
      <c r="G3182" s="14" t="s">
        <v>55</v>
      </c>
      <c r="H3182" s="0" t="n">
        <v>10</v>
      </c>
      <c r="I3182" s="16" t="n">
        <v>53.4</v>
      </c>
      <c r="J3182" s="16" t="n">
        <v>22</v>
      </c>
      <c r="K3182" s="16" t="n">
        <f aca="false">H3182*I3182</f>
        <v>534</v>
      </c>
      <c r="L3182" s="16" t="n">
        <f aca="false">H3182*J3182</f>
        <v>220</v>
      </c>
      <c r="M3182" s="16" t="n">
        <f aca="false">K3182-L3182</f>
        <v>314</v>
      </c>
      <c r="N3182" s="17" t="n">
        <f aca="false">IFERROR(M3182/K3182,0)</f>
        <v>0.588014981273408</v>
      </c>
    </row>
    <row r="3183" customFormat="false" ht="15" hidden="false" customHeight="false" outlineLevel="0" collapsed="false">
      <c r="A3183" s="15" t="n">
        <v>46155</v>
      </c>
      <c r="B3183" s="14" t="s">
        <v>50</v>
      </c>
      <c r="C3183" s="14" t="s">
        <v>51</v>
      </c>
      <c r="D3183" s="14" t="s">
        <v>52</v>
      </c>
      <c r="E3183" s="14" t="s">
        <v>56</v>
      </c>
      <c r="F3183" s="14" t="s">
        <v>67</v>
      </c>
      <c r="G3183" s="14" t="s">
        <v>68</v>
      </c>
      <c r="H3183" s="0" t="n">
        <v>8</v>
      </c>
      <c r="I3183" s="16" t="n">
        <v>36.5</v>
      </c>
      <c r="J3183" s="16" t="n">
        <v>15</v>
      </c>
      <c r="K3183" s="16" t="n">
        <f aca="false">H3183*I3183</f>
        <v>292</v>
      </c>
      <c r="L3183" s="16" t="n">
        <f aca="false">H3183*J3183</f>
        <v>120</v>
      </c>
      <c r="M3183" s="16" t="n">
        <f aca="false">K3183-L3183</f>
        <v>172</v>
      </c>
      <c r="N3183" s="17" t="n">
        <f aca="false">IFERROR(M3183/K3183,0)</f>
        <v>0.589041095890411</v>
      </c>
    </row>
    <row r="3184" customFormat="false" ht="15" hidden="false" customHeight="false" outlineLevel="0" collapsed="false">
      <c r="A3184" s="15" t="n">
        <v>46155</v>
      </c>
      <c r="B3184" s="14" t="s">
        <v>59</v>
      </c>
      <c r="C3184" s="14" t="s">
        <v>60</v>
      </c>
      <c r="D3184" s="14" t="s">
        <v>61</v>
      </c>
      <c r="E3184" s="14" t="s">
        <v>53</v>
      </c>
      <c r="F3184" s="14" t="s">
        <v>84</v>
      </c>
      <c r="G3184" s="14" t="s">
        <v>85</v>
      </c>
      <c r="H3184" s="0" t="n">
        <v>6</v>
      </c>
      <c r="I3184" s="16" t="n">
        <v>24.65</v>
      </c>
      <c r="J3184" s="16" t="n">
        <v>9</v>
      </c>
      <c r="K3184" s="16" t="n">
        <f aca="false">H3184*I3184</f>
        <v>147.9</v>
      </c>
      <c r="L3184" s="16" t="n">
        <f aca="false">H3184*J3184</f>
        <v>54</v>
      </c>
      <c r="M3184" s="16" t="n">
        <f aca="false">K3184-L3184</f>
        <v>93.9</v>
      </c>
      <c r="N3184" s="17" t="n">
        <f aca="false">IFERROR(M3184/K3184,0)</f>
        <v>0.634888438133874</v>
      </c>
    </row>
    <row r="3185" customFormat="false" ht="15" hidden="false" customHeight="false" outlineLevel="0" collapsed="false">
      <c r="A3185" s="15" t="n">
        <v>46155</v>
      </c>
      <c r="B3185" s="14" t="s">
        <v>59</v>
      </c>
      <c r="C3185" s="14" t="s">
        <v>60</v>
      </c>
      <c r="D3185" s="14" t="s">
        <v>61</v>
      </c>
      <c r="E3185" s="14" t="s">
        <v>53</v>
      </c>
      <c r="F3185" s="14" t="s">
        <v>74</v>
      </c>
      <c r="G3185" s="14" t="s">
        <v>75</v>
      </c>
      <c r="H3185" s="0" t="n">
        <v>6</v>
      </c>
      <c r="I3185" s="16" t="n">
        <v>83.88</v>
      </c>
      <c r="J3185" s="16" t="n">
        <v>38</v>
      </c>
      <c r="K3185" s="16" t="n">
        <f aca="false">H3185*I3185</f>
        <v>503.28</v>
      </c>
      <c r="L3185" s="16" t="n">
        <f aca="false">H3185*J3185</f>
        <v>228</v>
      </c>
      <c r="M3185" s="16" t="n">
        <f aca="false">K3185-L3185</f>
        <v>275.28</v>
      </c>
      <c r="N3185" s="17" t="n">
        <f aca="false">IFERROR(M3185/K3185,0)</f>
        <v>0.546971864568431</v>
      </c>
    </row>
    <row r="3186" customFormat="false" ht="15" hidden="false" customHeight="false" outlineLevel="0" collapsed="false">
      <c r="A3186" s="15" t="n">
        <v>46155</v>
      </c>
      <c r="B3186" s="14" t="s">
        <v>59</v>
      </c>
      <c r="C3186" s="14" t="s">
        <v>60</v>
      </c>
      <c r="D3186" s="14" t="s">
        <v>61</v>
      </c>
      <c r="E3186" s="14" t="s">
        <v>53</v>
      </c>
      <c r="F3186" s="14" t="s">
        <v>74</v>
      </c>
      <c r="G3186" s="14" t="s">
        <v>75</v>
      </c>
      <c r="H3186" s="0" t="n">
        <v>1</v>
      </c>
      <c r="I3186" s="16" t="n">
        <v>82.33</v>
      </c>
      <c r="J3186" s="16" t="n">
        <v>38</v>
      </c>
      <c r="K3186" s="16" t="n">
        <f aca="false">H3186*I3186</f>
        <v>82.33</v>
      </c>
      <c r="L3186" s="16" t="n">
        <f aca="false">H3186*J3186</f>
        <v>38</v>
      </c>
      <c r="M3186" s="16" t="n">
        <f aca="false">K3186-L3186</f>
        <v>44.33</v>
      </c>
      <c r="N3186" s="17" t="n">
        <f aca="false">IFERROR(M3186/K3186,0)</f>
        <v>0.538442851937325</v>
      </c>
    </row>
    <row r="3187" customFormat="false" ht="15" hidden="false" customHeight="false" outlineLevel="0" collapsed="false">
      <c r="A3187" s="15" t="n">
        <v>46155</v>
      </c>
      <c r="B3187" s="14" t="s">
        <v>59</v>
      </c>
      <c r="C3187" s="14" t="s">
        <v>60</v>
      </c>
      <c r="D3187" s="14" t="s">
        <v>61</v>
      </c>
      <c r="E3187" s="14" t="s">
        <v>76</v>
      </c>
      <c r="F3187" s="14" t="s">
        <v>79</v>
      </c>
      <c r="G3187" s="14" t="s">
        <v>80</v>
      </c>
      <c r="H3187" s="0" t="n">
        <v>7</v>
      </c>
      <c r="I3187" s="16" t="n">
        <v>27.79</v>
      </c>
      <c r="J3187" s="16" t="n">
        <v>11</v>
      </c>
      <c r="K3187" s="16" t="n">
        <f aca="false">H3187*I3187</f>
        <v>194.53</v>
      </c>
      <c r="L3187" s="16" t="n">
        <f aca="false">H3187*J3187</f>
        <v>77</v>
      </c>
      <c r="M3187" s="16" t="n">
        <f aca="false">K3187-L3187</f>
        <v>117.53</v>
      </c>
      <c r="N3187" s="17" t="n">
        <f aca="false">IFERROR(M3187/K3187,0)</f>
        <v>0.604174163368118</v>
      </c>
    </row>
    <row r="3188" customFormat="false" ht="15" hidden="false" customHeight="false" outlineLevel="0" collapsed="false">
      <c r="A3188" s="15" t="n">
        <v>46155</v>
      </c>
      <c r="B3188" s="14" t="s">
        <v>69</v>
      </c>
      <c r="C3188" s="14" t="s">
        <v>70</v>
      </c>
      <c r="D3188" s="14" t="s">
        <v>71</v>
      </c>
      <c r="E3188" s="14" t="s">
        <v>45</v>
      </c>
      <c r="F3188" s="14" t="s">
        <v>48</v>
      </c>
      <c r="G3188" s="14" t="s">
        <v>49</v>
      </c>
      <c r="H3188" s="0" t="n">
        <v>5</v>
      </c>
      <c r="I3188" s="16" t="n">
        <v>65.76</v>
      </c>
      <c r="J3188" s="16" t="n">
        <v>27.5</v>
      </c>
      <c r="K3188" s="16" t="n">
        <f aca="false">H3188*I3188</f>
        <v>328.8</v>
      </c>
      <c r="L3188" s="16" t="n">
        <f aca="false">H3188*J3188</f>
        <v>137.5</v>
      </c>
      <c r="M3188" s="16" t="n">
        <f aca="false">K3188-L3188</f>
        <v>191.3</v>
      </c>
      <c r="N3188" s="17" t="n">
        <f aca="false">IFERROR(M3188/K3188,0)</f>
        <v>0.581812652068127</v>
      </c>
    </row>
    <row r="3189" customFormat="false" ht="15" hidden="false" customHeight="false" outlineLevel="0" collapsed="false">
      <c r="A3189" s="15" t="n">
        <v>46155</v>
      </c>
      <c r="B3189" s="14" t="s">
        <v>69</v>
      </c>
      <c r="C3189" s="14" t="s">
        <v>70</v>
      </c>
      <c r="D3189" s="14" t="s">
        <v>71</v>
      </c>
      <c r="E3189" s="14" t="s">
        <v>76</v>
      </c>
      <c r="F3189" s="14" t="s">
        <v>79</v>
      </c>
      <c r="G3189" s="14" t="s">
        <v>80</v>
      </c>
      <c r="H3189" s="0" t="n">
        <v>5</v>
      </c>
      <c r="I3189" s="16" t="n">
        <v>29.35</v>
      </c>
      <c r="J3189" s="16" t="n">
        <v>11</v>
      </c>
      <c r="K3189" s="16" t="n">
        <f aca="false">H3189*I3189</f>
        <v>146.75</v>
      </c>
      <c r="L3189" s="16" t="n">
        <f aca="false">H3189*J3189</f>
        <v>55</v>
      </c>
      <c r="M3189" s="16" t="n">
        <f aca="false">K3189-L3189</f>
        <v>91.75</v>
      </c>
      <c r="N3189" s="17" t="n">
        <f aca="false">IFERROR(M3189/K3189,0)</f>
        <v>0.625212947189097</v>
      </c>
    </row>
    <row r="3190" customFormat="false" ht="15" hidden="false" customHeight="false" outlineLevel="0" collapsed="false">
      <c r="A3190" s="15" t="n">
        <v>46155</v>
      </c>
      <c r="B3190" s="14" t="s">
        <v>69</v>
      </c>
      <c r="C3190" s="14" t="s">
        <v>70</v>
      </c>
      <c r="D3190" s="14" t="s">
        <v>71</v>
      </c>
      <c r="E3190" s="14" t="s">
        <v>76</v>
      </c>
      <c r="F3190" s="14" t="s">
        <v>100</v>
      </c>
      <c r="G3190" s="14" t="s">
        <v>101</v>
      </c>
      <c r="H3190" s="0" t="n">
        <v>6</v>
      </c>
      <c r="I3190" s="16" t="n">
        <v>15.67</v>
      </c>
      <c r="J3190" s="16" t="n">
        <v>5.5</v>
      </c>
      <c r="K3190" s="16" t="n">
        <f aca="false">H3190*I3190</f>
        <v>94.02</v>
      </c>
      <c r="L3190" s="16" t="n">
        <f aca="false">H3190*J3190</f>
        <v>33</v>
      </c>
      <c r="M3190" s="16" t="n">
        <f aca="false">K3190-L3190</f>
        <v>61.02</v>
      </c>
      <c r="N3190" s="17" t="n">
        <f aca="false">IFERROR(M3190/K3190,0)</f>
        <v>0.649010848755584</v>
      </c>
    </row>
    <row r="3191" customFormat="false" ht="15" hidden="false" customHeight="false" outlineLevel="0" collapsed="false">
      <c r="A3191" s="15" t="n">
        <v>46155</v>
      </c>
      <c r="B3191" s="14" t="s">
        <v>69</v>
      </c>
      <c r="C3191" s="14" t="s">
        <v>70</v>
      </c>
      <c r="D3191" s="14" t="s">
        <v>71</v>
      </c>
      <c r="E3191" s="14" t="s">
        <v>64</v>
      </c>
      <c r="F3191" s="14" t="s">
        <v>94</v>
      </c>
      <c r="G3191" s="14" t="s">
        <v>95</v>
      </c>
      <c r="H3191" s="0" t="n">
        <v>7</v>
      </c>
      <c r="I3191" s="16" t="n">
        <v>93.46</v>
      </c>
      <c r="J3191" s="16" t="n">
        <v>42</v>
      </c>
      <c r="K3191" s="16" t="n">
        <f aca="false">H3191*I3191</f>
        <v>654.22</v>
      </c>
      <c r="L3191" s="16" t="n">
        <f aca="false">H3191*J3191</f>
        <v>294</v>
      </c>
      <c r="M3191" s="16" t="n">
        <f aca="false">K3191-L3191</f>
        <v>360.22</v>
      </c>
      <c r="N3191" s="17" t="n">
        <f aca="false">IFERROR(M3191/K3191,0)</f>
        <v>0.550609886582495</v>
      </c>
    </row>
    <row r="3192" customFormat="false" ht="15" hidden="false" customHeight="false" outlineLevel="0" collapsed="false">
      <c r="A3192" s="15" t="n">
        <v>46155</v>
      </c>
      <c r="B3192" s="14" t="s">
        <v>69</v>
      </c>
      <c r="C3192" s="14" t="s">
        <v>70</v>
      </c>
      <c r="D3192" s="14" t="s">
        <v>71</v>
      </c>
      <c r="E3192" s="14" t="s">
        <v>64</v>
      </c>
      <c r="F3192" s="14" t="s">
        <v>94</v>
      </c>
      <c r="G3192" s="14" t="s">
        <v>95</v>
      </c>
      <c r="H3192" s="0" t="n">
        <v>3</v>
      </c>
      <c r="I3192" s="16" t="n">
        <v>92.89</v>
      </c>
      <c r="J3192" s="16" t="n">
        <v>42</v>
      </c>
      <c r="K3192" s="16" t="n">
        <f aca="false">H3192*I3192</f>
        <v>278.67</v>
      </c>
      <c r="L3192" s="16" t="n">
        <f aca="false">H3192*J3192</f>
        <v>126</v>
      </c>
      <c r="M3192" s="16" t="n">
        <f aca="false">K3192-L3192</f>
        <v>152.67</v>
      </c>
      <c r="N3192" s="17" t="n">
        <f aca="false">IFERROR(M3192/K3192,0)</f>
        <v>0.547852298417483</v>
      </c>
    </row>
    <row r="3193" customFormat="false" ht="15" hidden="false" customHeight="false" outlineLevel="0" collapsed="false">
      <c r="A3193" s="15" t="n">
        <v>46155</v>
      </c>
      <c r="B3193" s="14" t="s">
        <v>81</v>
      </c>
      <c r="C3193" s="14" t="s">
        <v>82</v>
      </c>
      <c r="D3193" s="14" t="s">
        <v>83</v>
      </c>
      <c r="E3193" s="14" t="s">
        <v>45</v>
      </c>
      <c r="F3193" s="14" t="s">
        <v>46</v>
      </c>
      <c r="G3193" s="14" t="s">
        <v>47</v>
      </c>
      <c r="H3193" s="0" t="n">
        <v>5</v>
      </c>
      <c r="I3193" s="16" t="n">
        <v>43.07</v>
      </c>
      <c r="J3193" s="16" t="n">
        <v>18</v>
      </c>
      <c r="K3193" s="16" t="n">
        <f aca="false">H3193*I3193</f>
        <v>215.35</v>
      </c>
      <c r="L3193" s="16" t="n">
        <f aca="false">H3193*J3193</f>
        <v>90</v>
      </c>
      <c r="M3193" s="16" t="n">
        <f aca="false">K3193-L3193</f>
        <v>125.35</v>
      </c>
      <c r="N3193" s="17" t="n">
        <f aca="false">IFERROR(M3193/K3193,0)</f>
        <v>0.582075690736011</v>
      </c>
    </row>
    <row r="3194" customFormat="false" ht="15" hidden="false" customHeight="false" outlineLevel="0" collapsed="false">
      <c r="A3194" s="15" t="n">
        <v>46155</v>
      </c>
      <c r="B3194" s="14" t="s">
        <v>81</v>
      </c>
      <c r="C3194" s="14" t="s">
        <v>82</v>
      </c>
      <c r="D3194" s="14" t="s">
        <v>83</v>
      </c>
      <c r="E3194" s="14" t="s">
        <v>64</v>
      </c>
      <c r="F3194" s="14" t="s">
        <v>94</v>
      </c>
      <c r="G3194" s="14" t="s">
        <v>95</v>
      </c>
      <c r="H3194" s="0" t="n">
        <v>5</v>
      </c>
      <c r="I3194" s="16" t="n">
        <v>94.75</v>
      </c>
      <c r="J3194" s="16" t="n">
        <v>42</v>
      </c>
      <c r="K3194" s="16" t="n">
        <f aca="false">H3194*I3194</f>
        <v>473.75</v>
      </c>
      <c r="L3194" s="16" t="n">
        <f aca="false">H3194*J3194</f>
        <v>210</v>
      </c>
      <c r="M3194" s="16" t="n">
        <f aca="false">K3194-L3194</f>
        <v>263.75</v>
      </c>
      <c r="N3194" s="17" t="n">
        <f aca="false">IFERROR(M3194/K3194,0)</f>
        <v>0.556728232189974</v>
      </c>
    </row>
    <row r="3195" customFormat="false" ht="15" hidden="false" customHeight="false" outlineLevel="0" collapsed="false">
      <c r="A3195" s="15" t="n">
        <v>46155</v>
      </c>
      <c r="B3195" s="14" t="s">
        <v>81</v>
      </c>
      <c r="C3195" s="14" t="s">
        <v>82</v>
      </c>
      <c r="D3195" s="14" t="s">
        <v>83</v>
      </c>
      <c r="E3195" s="14" t="s">
        <v>64</v>
      </c>
      <c r="F3195" s="14" t="s">
        <v>90</v>
      </c>
      <c r="G3195" s="14" t="s">
        <v>91</v>
      </c>
      <c r="H3195" s="0" t="n">
        <v>2</v>
      </c>
      <c r="I3195" s="16" t="n">
        <v>11.18</v>
      </c>
      <c r="J3195" s="16" t="n">
        <v>3.5</v>
      </c>
      <c r="K3195" s="16" t="n">
        <f aca="false">H3195*I3195</f>
        <v>22.36</v>
      </c>
      <c r="L3195" s="16" t="n">
        <f aca="false">H3195*J3195</f>
        <v>7</v>
      </c>
      <c r="M3195" s="16" t="n">
        <f aca="false">K3195-L3195</f>
        <v>15.36</v>
      </c>
      <c r="N3195" s="17" t="n">
        <f aca="false">IFERROR(M3195/K3195,0)</f>
        <v>0.686940966010733</v>
      </c>
    </row>
    <row r="3196" customFormat="false" ht="15" hidden="false" customHeight="false" outlineLevel="0" collapsed="false">
      <c r="A3196" s="15" t="n">
        <v>46155</v>
      </c>
      <c r="B3196" s="14" t="s">
        <v>88</v>
      </c>
      <c r="C3196" s="14" t="s">
        <v>89</v>
      </c>
      <c r="D3196" s="14" t="s">
        <v>44</v>
      </c>
      <c r="E3196" s="14" t="s">
        <v>64</v>
      </c>
      <c r="F3196" s="14" t="s">
        <v>65</v>
      </c>
      <c r="G3196" s="14" t="s">
        <v>66</v>
      </c>
      <c r="H3196" s="0" t="n">
        <v>3</v>
      </c>
      <c r="I3196" s="16" t="n">
        <v>77.66</v>
      </c>
      <c r="J3196" s="16" t="n">
        <v>34</v>
      </c>
      <c r="K3196" s="16" t="n">
        <f aca="false">H3196*I3196</f>
        <v>232.98</v>
      </c>
      <c r="L3196" s="16" t="n">
        <f aca="false">H3196*J3196</f>
        <v>102</v>
      </c>
      <c r="M3196" s="16" t="n">
        <f aca="false">K3196-L3196</f>
        <v>130.98</v>
      </c>
      <c r="N3196" s="17" t="n">
        <f aca="false">IFERROR(M3196/K3196,0)</f>
        <v>0.562194179757919</v>
      </c>
    </row>
    <row r="3197" customFormat="false" ht="15" hidden="false" customHeight="false" outlineLevel="0" collapsed="false">
      <c r="A3197" s="15" t="n">
        <v>46155</v>
      </c>
      <c r="B3197" s="14" t="s">
        <v>88</v>
      </c>
      <c r="C3197" s="14" t="s">
        <v>89</v>
      </c>
      <c r="D3197" s="14" t="s">
        <v>44</v>
      </c>
      <c r="E3197" s="14" t="s">
        <v>64</v>
      </c>
      <c r="F3197" s="14" t="s">
        <v>96</v>
      </c>
      <c r="G3197" s="14" t="s">
        <v>97</v>
      </c>
      <c r="H3197" s="0" t="n">
        <v>7</v>
      </c>
      <c r="I3197" s="16" t="n">
        <v>56.01</v>
      </c>
      <c r="J3197" s="16" t="n">
        <v>24</v>
      </c>
      <c r="K3197" s="16" t="n">
        <f aca="false">H3197*I3197</f>
        <v>392.07</v>
      </c>
      <c r="L3197" s="16" t="n">
        <f aca="false">H3197*J3197</f>
        <v>168</v>
      </c>
      <c r="M3197" s="16" t="n">
        <f aca="false">K3197-L3197</f>
        <v>224.07</v>
      </c>
      <c r="N3197" s="17" t="n">
        <f aca="false">IFERROR(M3197/K3197,0)</f>
        <v>0.571505088377076</v>
      </c>
    </row>
    <row r="3198" customFormat="false" ht="15" hidden="false" customHeight="false" outlineLevel="0" collapsed="false">
      <c r="A3198" s="15" t="n">
        <v>46155</v>
      </c>
      <c r="B3198" s="14" t="s">
        <v>88</v>
      </c>
      <c r="C3198" s="14" t="s">
        <v>89</v>
      </c>
      <c r="D3198" s="14" t="s">
        <v>44</v>
      </c>
      <c r="E3198" s="14" t="s">
        <v>64</v>
      </c>
      <c r="F3198" s="14" t="s">
        <v>96</v>
      </c>
      <c r="G3198" s="14" t="s">
        <v>97</v>
      </c>
      <c r="H3198" s="0" t="n">
        <v>3</v>
      </c>
      <c r="I3198" s="16" t="n">
        <v>57.08</v>
      </c>
      <c r="J3198" s="16" t="n">
        <v>24</v>
      </c>
      <c r="K3198" s="16" t="n">
        <f aca="false">H3198*I3198</f>
        <v>171.24</v>
      </c>
      <c r="L3198" s="16" t="n">
        <f aca="false">H3198*J3198</f>
        <v>72</v>
      </c>
      <c r="M3198" s="16" t="n">
        <f aca="false">K3198-L3198</f>
        <v>99.24</v>
      </c>
      <c r="N3198" s="17" t="n">
        <f aca="false">IFERROR(M3198/K3198,0)</f>
        <v>0.579537491240365</v>
      </c>
    </row>
    <row r="3199" customFormat="false" ht="15" hidden="false" customHeight="false" outlineLevel="0" collapsed="false">
      <c r="A3199" s="15" t="n">
        <v>46155</v>
      </c>
      <c r="B3199" s="14" t="s">
        <v>88</v>
      </c>
      <c r="C3199" s="14" t="s">
        <v>89</v>
      </c>
      <c r="D3199" s="14" t="s">
        <v>44</v>
      </c>
      <c r="E3199" s="14" t="s">
        <v>53</v>
      </c>
      <c r="F3199" s="14" t="s">
        <v>54</v>
      </c>
      <c r="G3199" s="14" t="s">
        <v>55</v>
      </c>
      <c r="H3199" s="0" t="n">
        <v>3</v>
      </c>
      <c r="I3199" s="16" t="n">
        <v>50.67</v>
      </c>
      <c r="J3199" s="16" t="n">
        <v>22</v>
      </c>
      <c r="K3199" s="16" t="n">
        <f aca="false">H3199*I3199</f>
        <v>152.01</v>
      </c>
      <c r="L3199" s="16" t="n">
        <f aca="false">H3199*J3199</f>
        <v>66</v>
      </c>
      <c r="M3199" s="16" t="n">
        <f aca="false">K3199-L3199</f>
        <v>86.01</v>
      </c>
      <c r="N3199" s="17" t="n">
        <f aca="false">IFERROR(M3199/K3199,0)</f>
        <v>0.565818038286955</v>
      </c>
    </row>
    <row r="3200" customFormat="false" ht="15" hidden="false" customHeight="false" outlineLevel="0" collapsed="false">
      <c r="A3200" s="15" t="n">
        <v>46155</v>
      </c>
      <c r="B3200" s="14" t="s">
        <v>88</v>
      </c>
      <c r="C3200" s="14" t="s">
        <v>89</v>
      </c>
      <c r="D3200" s="14" t="s">
        <v>44</v>
      </c>
      <c r="E3200" s="14" t="s">
        <v>64</v>
      </c>
      <c r="F3200" s="14" t="s">
        <v>96</v>
      </c>
      <c r="G3200" s="14" t="s">
        <v>97</v>
      </c>
      <c r="H3200" s="0" t="n">
        <v>5</v>
      </c>
      <c r="I3200" s="16" t="n">
        <v>55.87</v>
      </c>
      <c r="J3200" s="16" t="n">
        <v>24</v>
      </c>
      <c r="K3200" s="16" t="n">
        <f aca="false">H3200*I3200</f>
        <v>279.35</v>
      </c>
      <c r="L3200" s="16" t="n">
        <f aca="false">H3200*J3200</f>
        <v>120</v>
      </c>
      <c r="M3200" s="16" t="n">
        <f aca="false">K3200-L3200</f>
        <v>159.35</v>
      </c>
      <c r="N3200" s="17" t="n">
        <f aca="false">IFERROR(M3200/K3200,0)</f>
        <v>0.570431358510829</v>
      </c>
    </row>
    <row r="3201" customFormat="false" ht="15" hidden="false" customHeight="false" outlineLevel="0" collapsed="false">
      <c r="A3201" s="15" t="n">
        <v>46156</v>
      </c>
      <c r="B3201" s="14" t="s">
        <v>42</v>
      </c>
      <c r="C3201" s="14" t="s">
        <v>43</v>
      </c>
      <c r="D3201" s="14" t="s">
        <v>44</v>
      </c>
      <c r="E3201" s="14" t="s">
        <v>64</v>
      </c>
      <c r="F3201" s="14" t="s">
        <v>90</v>
      </c>
      <c r="G3201" s="14" t="s">
        <v>91</v>
      </c>
      <c r="H3201" s="0" t="n">
        <v>4</v>
      </c>
      <c r="I3201" s="16" t="n">
        <v>11.33</v>
      </c>
      <c r="J3201" s="16" t="n">
        <v>3.5</v>
      </c>
      <c r="K3201" s="16" t="n">
        <f aca="false">H3201*I3201</f>
        <v>45.32</v>
      </c>
      <c r="L3201" s="16" t="n">
        <f aca="false">H3201*J3201</f>
        <v>14</v>
      </c>
      <c r="M3201" s="16" t="n">
        <f aca="false">K3201-L3201</f>
        <v>31.32</v>
      </c>
      <c r="N3201" s="17" t="n">
        <f aca="false">IFERROR(M3201/K3201,0)</f>
        <v>0.691085613415711</v>
      </c>
    </row>
    <row r="3202" customFormat="false" ht="15" hidden="false" customHeight="false" outlineLevel="0" collapsed="false">
      <c r="A3202" s="15" t="n">
        <v>46156</v>
      </c>
      <c r="B3202" s="14" t="s">
        <v>42</v>
      </c>
      <c r="C3202" s="14" t="s">
        <v>43</v>
      </c>
      <c r="D3202" s="14" t="s">
        <v>44</v>
      </c>
      <c r="E3202" s="14" t="s">
        <v>56</v>
      </c>
      <c r="F3202" s="14" t="s">
        <v>67</v>
      </c>
      <c r="G3202" s="14" t="s">
        <v>68</v>
      </c>
      <c r="H3202" s="0" t="n">
        <v>5</v>
      </c>
      <c r="I3202" s="16" t="n">
        <v>35.54</v>
      </c>
      <c r="J3202" s="16" t="n">
        <v>15</v>
      </c>
      <c r="K3202" s="16" t="n">
        <f aca="false">H3202*I3202</f>
        <v>177.7</v>
      </c>
      <c r="L3202" s="16" t="n">
        <f aca="false">H3202*J3202</f>
        <v>75</v>
      </c>
      <c r="M3202" s="16" t="n">
        <f aca="false">K3202-L3202</f>
        <v>102.7</v>
      </c>
      <c r="N3202" s="17" t="n">
        <f aca="false">IFERROR(M3202/K3202,0)</f>
        <v>0.577940348902645</v>
      </c>
    </row>
    <row r="3203" customFormat="false" ht="15" hidden="false" customHeight="false" outlineLevel="0" collapsed="false">
      <c r="A3203" s="15" t="n">
        <v>46156</v>
      </c>
      <c r="B3203" s="14" t="s">
        <v>50</v>
      </c>
      <c r="C3203" s="14" t="s">
        <v>51</v>
      </c>
      <c r="D3203" s="14" t="s">
        <v>52</v>
      </c>
      <c r="E3203" s="14" t="s">
        <v>64</v>
      </c>
      <c r="F3203" s="14" t="s">
        <v>90</v>
      </c>
      <c r="G3203" s="14" t="s">
        <v>91</v>
      </c>
      <c r="H3203" s="0" t="n">
        <v>8</v>
      </c>
      <c r="I3203" s="16" t="n">
        <v>11.95</v>
      </c>
      <c r="J3203" s="16" t="n">
        <v>3.5</v>
      </c>
      <c r="K3203" s="16" t="n">
        <f aca="false">H3203*I3203</f>
        <v>95.6</v>
      </c>
      <c r="L3203" s="16" t="n">
        <f aca="false">H3203*J3203</f>
        <v>28</v>
      </c>
      <c r="M3203" s="16" t="n">
        <f aca="false">K3203-L3203</f>
        <v>67.6</v>
      </c>
      <c r="N3203" s="17" t="n">
        <f aca="false">IFERROR(M3203/K3203,0)</f>
        <v>0.707112970711297</v>
      </c>
    </row>
    <row r="3204" customFormat="false" ht="15" hidden="false" customHeight="false" outlineLevel="0" collapsed="false">
      <c r="A3204" s="15" t="n">
        <v>46156</v>
      </c>
      <c r="B3204" s="14" t="s">
        <v>50</v>
      </c>
      <c r="C3204" s="14" t="s">
        <v>51</v>
      </c>
      <c r="D3204" s="14" t="s">
        <v>52</v>
      </c>
      <c r="E3204" s="14" t="s">
        <v>53</v>
      </c>
      <c r="F3204" s="14" t="s">
        <v>84</v>
      </c>
      <c r="G3204" s="14" t="s">
        <v>85</v>
      </c>
      <c r="H3204" s="0" t="n">
        <v>1</v>
      </c>
      <c r="I3204" s="16" t="n">
        <v>23.71</v>
      </c>
      <c r="J3204" s="16" t="n">
        <v>9</v>
      </c>
      <c r="K3204" s="16" t="n">
        <f aca="false">H3204*I3204</f>
        <v>23.71</v>
      </c>
      <c r="L3204" s="16" t="n">
        <f aca="false">H3204*J3204</f>
        <v>9</v>
      </c>
      <c r="M3204" s="16" t="n">
        <f aca="false">K3204-L3204</f>
        <v>14.71</v>
      </c>
      <c r="N3204" s="17" t="n">
        <f aca="false">IFERROR(M3204/K3204,0)</f>
        <v>0.620413327709827</v>
      </c>
    </row>
    <row r="3205" customFormat="false" ht="15" hidden="false" customHeight="false" outlineLevel="0" collapsed="false">
      <c r="A3205" s="15" t="n">
        <v>46156</v>
      </c>
      <c r="B3205" s="14" t="s">
        <v>50</v>
      </c>
      <c r="C3205" s="14" t="s">
        <v>51</v>
      </c>
      <c r="D3205" s="14" t="s">
        <v>52</v>
      </c>
      <c r="E3205" s="14" t="s">
        <v>45</v>
      </c>
      <c r="F3205" s="14" t="s">
        <v>48</v>
      </c>
      <c r="G3205" s="14" t="s">
        <v>49</v>
      </c>
      <c r="H3205" s="0" t="n">
        <v>7</v>
      </c>
      <c r="I3205" s="16" t="n">
        <v>66.4</v>
      </c>
      <c r="J3205" s="16" t="n">
        <v>27.5</v>
      </c>
      <c r="K3205" s="16" t="n">
        <f aca="false">H3205*I3205</f>
        <v>464.8</v>
      </c>
      <c r="L3205" s="16" t="n">
        <f aca="false">H3205*J3205</f>
        <v>192.5</v>
      </c>
      <c r="M3205" s="16" t="n">
        <f aca="false">K3205-L3205</f>
        <v>272.3</v>
      </c>
      <c r="N3205" s="17" t="n">
        <f aca="false">IFERROR(M3205/K3205,0)</f>
        <v>0.585843373493976</v>
      </c>
    </row>
    <row r="3206" customFormat="false" ht="15" hidden="false" customHeight="false" outlineLevel="0" collapsed="false">
      <c r="A3206" s="15" t="n">
        <v>46156</v>
      </c>
      <c r="B3206" s="14" t="s">
        <v>50</v>
      </c>
      <c r="C3206" s="14" t="s">
        <v>51</v>
      </c>
      <c r="D3206" s="14" t="s">
        <v>52</v>
      </c>
      <c r="E3206" s="14" t="s">
        <v>56</v>
      </c>
      <c r="F3206" s="14" t="s">
        <v>67</v>
      </c>
      <c r="G3206" s="14" t="s">
        <v>68</v>
      </c>
      <c r="H3206" s="0" t="n">
        <v>3</v>
      </c>
      <c r="I3206" s="16" t="n">
        <v>35.67</v>
      </c>
      <c r="J3206" s="16" t="n">
        <v>15</v>
      </c>
      <c r="K3206" s="16" t="n">
        <f aca="false">H3206*I3206</f>
        <v>107.01</v>
      </c>
      <c r="L3206" s="16" t="n">
        <f aca="false">H3206*J3206</f>
        <v>45</v>
      </c>
      <c r="M3206" s="16" t="n">
        <f aca="false">K3206-L3206</f>
        <v>62.01</v>
      </c>
      <c r="N3206" s="17" t="n">
        <f aca="false">IFERROR(M3206/K3206,0)</f>
        <v>0.579478553406224</v>
      </c>
    </row>
    <row r="3207" customFormat="false" ht="15" hidden="false" customHeight="false" outlineLevel="0" collapsed="false">
      <c r="A3207" s="15" t="n">
        <v>46156</v>
      </c>
      <c r="B3207" s="14" t="s">
        <v>50</v>
      </c>
      <c r="C3207" s="14" t="s">
        <v>51</v>
      </c>
      <c r="D3207" s="14" t="s">
        <v>52</v>
      </c>
      <c r="E3207" s="14" t="s">
        <v>64</v>
      </c>
      <c r="F3207" s="14" t="s">
        <v>96</v>
      </c>
      <c r="G3207" s="14" t="s">
        <v>97</v>
      </c>
      <c r="H3207" s="0" t="n">
        <v>8</v>
      </c>
      <c r="I3207" s="16" t="n">
        <v>56.6</v>
      </c>
      <c r="J3207" s="16" t="n">
        <v>24</v>
      </c>
      <c r="K3207" s="16" t="n">
        <f aca="false">H3207*I3207</f>
        <v>452.8</v>
      </c>
      <c r="L3207" s="16" t="n">
        <f aca="false">H3207*J3207</f>
        <v>192</v>
      </c>
      <c r="M3207" s="16" t="n">
        <f aca="false">K3207-L3207</f>
        <v>260.8</v>
      </c>
      <c r="N3207" s="17" t="n">
        <f aca="false">IFERROR(M3207/K3207,0)</f>
        <v>0.575971731448763</v>
      </c>
    </row>
    <row r="3208" customFormat="false" ht="15" hidden="false" customHeight="false" outlineLevel="0" collapsed="false">
      <c r="A3208" s="15" t="n">
        <v>46156</v>
      </c>
      <c r="B3208" s="14" t="s">
        <v>50</v>
      </c>
      <c r="C3208" s="14" t="s">
        <v>51</v>
      </c>
      <c r="D3208" s="14" t="s">
        <v>52</v>
      </c>
      <c r="E3208" s="14" t="s">
        <v>76</v>
      </c>
      <c r="F3208" s="14" t="s">
        <v>77</v>
      </c>
      <c r="G3208" s="14" t="s">
        <v>78</v>
      </c>
      <c r="H3208" s="0" t="n">
        <v>8</v>
      </c>
      <c r="I3208" s="16" t="n">
        <v>40.76</v>
      </c>
      <c r="J3208" s="16" t="n">
        <v>15</v>
      </c>
      <c r="K3208" s="16" t="n">
        <f aca="false">H3208*I3208</f>
        <v>326.08</v>
      </c>
      <c r="L3208" s="16" t="n">
        <f aca="false">H3208*J3208</f>
        <v>120</v>
      </c>
      <c r="M3208" s="16" t="n">
        <f aca="false">K3208-L3208</f>
        <v>206.08</v>
      </c>
      <c r="N3208" s="17" t="n">
        <f aca="false">IFERROR(M3208/K3208,0)</f>
        <v>0.631992149165849</v>
      </c>
    </row>
    <row r="3209" customFormat="false" ht="15" hidden="false" customHeight="false" outlineLevel="0" collapsed="false">
      <c r="A3209" s="15" t="n">
        <v>46156</v>
      </c>
      <c r="B3209" s="14" t="s">
        <v>59</v>
      </c>
      <c r="C3209" s="14" t="s">
        <v>60</v>
      </c>
      <c r="D3209" s="14" t="s">
        <v>61</v>
      </c>
      <c r="E3209" s="14" t="s">
        <v>64</v>
      </c>
      <c r="F3209" s="14" t="s">
        <v>65</v>
      </c>
      <c r="G3209" s="14" t="s">
        <v>66</v>
      </c>
      <c r="H3209" s="0" t="n">
        <v>3</v>
      </c>
      <c r="I3209" s="16" t="n">
        <v>76.03</v>
      </c>
      <c r="J3209" s="16" t="n">
        <v>34</v>
      </c>
      <c r="K3209" s="16" t="n">
        <f aca="false">H3209*I3209</f>
        <v>228.09</v>
      </c>
      <c r="L3209" s="16" t="n">
        <f aca="false">H3209*J3209</f>
        <v>102</v>
      </c>
      <c r="M3209" s="16" t="n">
        <f aca="false">K3209-L3209</f>
        <v>126.09</v>
      </c>
      <c r="N3209" s="17" t="n">
        <f aca="false">IFERROR(M3209/K3209,0)</f>
        <v>0.552808102064974</v>
      </c>
    </row>
    <row r="3210" customFormat="false" ht="15" hidden="false" customHeight="false" outlineLevel="0" collapsed="false">
      <c r="A3210" s="15" t="n">
        <v>46156</v>
      </c>
      <c r="B3210" s="14" t="s">
        <v>59</v>
      </c>
      <c r="C3210" s="14" t="s">
        <v>60</v>
      </c>
      <c r="D3210" s="14" t="s">
        <v>61</v>
      </c>
      <c r="E3210" s="14" t="s">
        <v>76</v>
      </c>
      <c r="F3210" s="14" t="s">
        <v>102</v>
      </c>
      <c r="G3210" s="14" t="s">
        <v>103</v>
      </c>
      <c r="H3210" s="0" t="n">
        <v>3</v>
      </c>
      <c r="I3210" s="16" t="n">
        <v>22.79</v>
      </c>
      <c r="J3210" s="16" t="n">
        <v>8.5</v>
      </c>
      <c r="K3210" s="16" t="n">
        <f aca="false">H3210*I3210</f>
        <v>68.37</v>
      </c>
      <c r="L3210" s="16" t="n">
        <f aca="false">H3210*J3210</f>
        <v>25.5</v>
      </c>
      <c r="M3210" s="16" t="n">
        <f aca="false">K3210-L3210</f>
        <v>42.87</v>
      </c>
      <c r="N3210" s="17" t="n">
        <f aca="false">IFERROR(M3210/K3210,0)</f>
        <v>0.627029398859149</v>
      </c>
    </row>
    <row r="3211" customFormat="false" ht="15" hidden="false" customHeight="false" outlineLevel="0" collapsed="false">
      <c r="A3211" s="15" t="n">
        <v>46156</v>
      </c>
      <c r="B3211" s="14" t="s">
        <v>59</v>
      </c>
      <c r="C3211" s="14" t="s">
        <v>60</v>
      </c>
      <c r="D3211" s="14" t="s">
        <v>61</v>
      </c>
      <c r="E3211" s="14" t="s">
        <v>64</v>
      </c>
      <c r="F3211" s="14" t="s">
        <v>65</v>
      </c>
      <c r="G3211" s="14" t="s">
        <v>66</v>
      </c>
      <c r="H3211" s="0" t="n">
        <v>1</v>
      </c>
      <c r="I3211" s="16" t="n">
        <v>75.51</v>
      </c>
      <c r="J3211" s="16" t="n">
        <v>34</v>
      </c>
      <c r="K3211" s="16" t="n">
        <f aca="false">H3211*I3211</f>
        <v>75.51</v>
      </c>
      <c r="L3211" s="16" t="n">
        <f aca="false">H3211*J3211</f>
        <v>34</v>
      </c>
      <c r="M3211" s="16" t="n">
        <f aca="false">K3211-L3211</f>
        <v>41.51</v>
      </c>
      <c r="N3211" s="17" t="n">
        <f aca="false">IFERROR(M3211/K3211,0)</f>
        <v>0.549728512779764</v>
      </c>
    </row>
    <row r="3212" customFormat="false" ht="15" hidden="false" customHeight="false" outlineLevel="0" collapsed="false">
      <c r="A3212" s="15" t="n">
        <v>46156</v>
      </c>
      <c r="B3212" s="14" t="s">
        <v>59</v>
      </c>
      <c r="C3212" s="14" t="s">
        <v>60</v>
      </c>
      <c r="D3212" s="14" t="s">
        <v>61</v>
      </c>
      <c r="E3212" s="14" t="s">
        <v>64</v>
      </c>
      <c r="F3212" s="14" t="s">
        <v>96</v>
      </c>
      <c r="G3212" s="14" t="s">
        <v>97</v>
      </c>
      <c r="H3212" s="0" t="n">
        <v>4</v>
      </c>
      <c r="I3212" s="16" t="n">
        <v>58.74</v>
      </c>
      <c r="J3212" s="16" t="n">
        <v>24</v>
      </c>
      <c r="K3212" s="16" t="n">
        <f aca="false">H3212*I3212</f>
        <v>234.96</v>
      </c>
      <c r="L3212" s="16" t="n">
        <f aca="false">H3212*J3212</f>
        <v>96</v>
      </c>
      <c r="M3212" s="16" t="n">
        <f aca="false">K3212-L3212</f>
        <v>138.96</v>
      </c>
      <c r="N3212" s="17" t="n">
        <f aca="false">IFERROR(M3212/K3212,0)</f>
        <v>0.591419816138917</v>
      </c>
    </row>
    <row r="3213" customFormat="false" ht="15" hidden="false" customHeight="false" outlineLevel="0" collapsed="false">
      <c r="A3213" s="15" t="n">
        <v>46156</v>
      </c>
      <c r="B3213" s="14" t="s">
        <v>59</v>
      </c>
      <c r="C3213" s="14" t="s">
        <v>60</v>
      </c>
      <c r="D3213" s="14" t="s">
        <v>61</v>
      </c>
      <c r="E3213" s="14" t="s">
        <v>53</v>
      </c>
      <c r="F3213" s="14" t="s">
        <v>92</v>
      </c>
      <c r="G3213" s="14" t="s">
        <v>93</v>
      </c>
      <c r="H3213" s="0" t="n">
        <v>9</v>
      </c>
      <c r="I3213" s="16" t="n">
        <v>117.95</v>
      </c>
      <c r="J3213" s="16" t="n">
        <v>52</v>
      </c>
      <c r="K3213" s="16" t="n">
        <f aca="false">H3213*I3213</f>
        <v>1061.55</v>
      </c>
      <c r="L3213" s="16" t="n">
        <f aca="false">H3213*J3213</f>
        <v>468</v>
      </c>
      <c r="M3213" s="16" t="n">
        <f aca="false">K3213-L3213</f>
        <v>593.55</v>
      </c>
      <c r="N3213" s="17" t="n">
        <f aca="false">IFERROR(M3213/K3213,0)</f>
        <v>0.559135226791013</v>
      </c>
    </row>
    <row r="3214" customFormat="false" ht="15" hidden="false" customHeight="false" outlineLevel="0" collapsed="false">
      <c r="A3214" s="15" t="n">
        <v>46156</v>
      </c>
      <c r="B3214" s="14" t="s">
        <v>59</v>
      </c>
      <c r="C3214" s="14" t="s">
        <v>60</v>
      </c>
      <c r="D3214" s="14" t="s">
        <v>61</v>
      </c>
      <c r="E3214" s="14" t="s">
        <v>56</v>
      </c>
      <c r="F3214" s="14" t="s">
        <v>67</v>
      </c>
      <c r="G3214" s="14" t="s">
        <v>68</v>
      </c>
      <c r="H3214" s="0" t="n">
        <v>5</v>
      </c>
      <c r="I3214" s="16" t="n">
        <v>37.08</v>
      </c>
      <c r="J3214" s="16" t="n">
        <v>15</v>
      </c>
      <c r="K3214" s="16" t="n">
        <f aca="false">H3214*I3214</f>
        <v>185.4</v>
      </c>
      <c r="L3214" s="16" t="n">
        <f aca="false">H3214*J3214</f>
        <v>75</v>
      </c>
      <c r="M3214" s="16" t="n">
        <f aca="false">K3214-L3214</f>
        <v>110.4</v>
      </c>
      <c r="N3214" s="17" t="n">
        <f aca="false">IFERROR(M3214/K3214,0)</f>
        <v>0.59546925566343</v>
      </c>
    </row>
    <row r="3215" customFormat="false" ht="15" hidden="false" customHeight="false" outlineLevel="0" collapsed="false">
      <c r="A3215" s="15" t="n">
        <v>46156</v>
      </c>
      <c r="B3215" s="14" t="s">
        <v>69</v>
      </c>
      <c r="C3215" s="14" t="s">
        <v>70</v>
      </c>
      <c r="D3215" s="14" t="s">
        <v>71</v>
      </c>
      <c r="E3215" s="14" t="s">
        <v>76</v>
      </c>
      <c r="F3215" s="14" t="s">
        <v>77</v>
      </c>
      <c r="G3215" s="14" t="s">
        <v>78</v>
      </c>
      <c r="H3215" s="0" t="n">
        <v>4</v>
      </c>
      <c r="I3215" s="16" t="n">
        <v>41.37</v>
      </c>
      <c r="J3215" s="16" t="n">
        <v>15</v>
      </c>
      <c r="K3215" s="16" t="n">
        <f aca="false">H3215*I3215</f>
        <v>165.48</v>
      </c>
      <c r="L3215" s="16" t="n">
        <f aca="false">H3215*J3215</f>
        <v>60</v>
      </c>
      <c r="M3215" s="16" t="n">
        <f aca="false">K3215-L3215</f>
        <v>105.48</v>
      </c>
      <c r="N3215" s="17" t="n">
        <f aca="false">IFERROR(M3215/K3215,0)</f>
        <v>0.637418419144307</v>
      </c>
    </row>
    <row r="3216" customFormat="false" ht="15" hidden="false" customHeight="false" outlineLevel="0" collapsed="false">
      <c r="A3216" s="15" t="n">
        <v>46156</v>
      </c>
      <c r="B3216" s="14" t="s">
        <v>69</v>
      </c>
      <c r="C3216" s="14" t="s">
        <v>70</v>
      </c>
      <c r="D3216" s="14" t="s">
        <v>71</v>
      </c>
      <c r="E3216" s="14" t="s">
        <v>53</v>
      </c>
      <c r="F3216" s="14" t="s">
        <v>84</v>
      </c>
      <c r="G3216" s="14" t="s">
        <v>85</v>
      </c>
      <c r="H3216" s="0" t="n">
        <v>8</v>
      </c>
      <c r="I3216" s="16" t="n">
        <v>24.78</v>
      </c>
      <c r="J3216" s="16" t="n">
        <v>9</v>
      </c>
      <c r="K3216" s="16" t="n">
        <f aca="false">H3216*I3216</f>
        <v>198.24</v>
      </c>
      <c r="L3216" s="16" t="n">
        <f aca="false">H3216*J3216</f>
        <v>72</v>
      </c>
      <c r="M3216" s="16" t="n">
        <f aca="false">K3216-L3216</f>
        <v>126.24</v>
      </c>
      <c r="N3216" s="17" t="n">
        <f aca="false">IFERROR(M3216/K3216,0)</f>
        <v>0.63680387409201</v>
      </c>
    </row>
    <row r="3217" customFormat="false" ht="15" hidden="false" customHeight="false" outlineLevel="0" collapsed="false">
      <c r="A3217" s="15" t="n">
        <v>46156</v>
      </c>
      <c r="B3217" s="14" t="s">
        <v>69</v>
      </c>
      <c r="C3217" s="14" t="s">
        <v>70</v>
      </c>
      <c r="D3217" s="14" t="s">
        <v>71</v>
      </c>
      <c r="E3217" s="14" t="s">
        <v>76</v>
      </c>
      <c r="F3217" s="14" t="s">
        <v>79</v>
      </c>
      <c r="G3217" s="14" t="s">
        <v>80</v>
      </c>
      <c r="H3217" s="0" t="n">
        <v>7</v>
      </c>
      <c r="I3217" s="16" t="n">
        <v>29.4</v>
      </c>
      <c r="J3217" s="16" t="n">
        <v>11</v>
      </c>
      <c r="K3217" s="16" t="n">
        <f aca="false">H3217*I3217</f>
        <v>205.8</v>
      </c>
      <c r="L3217" s="16" t="n">
        <f aca="false">H3217*J3217</f>
        <v>77</v>
      </c>
      <c r="M3217" s="16" t="n">
        <f aca="false">K3217-L3217</f>
        <v>128.8</v>
      </c>
      <c r="N3217" s="17" t="n">
        <f aca="false">IFERROR(M3217/K3217,0)</f>
        <v>0.625850340136054</v>
      </c>
    </row>
    <row r="3218" customFormat="false" ht="15" hidden="false" customHeight="false" outlineLevel="0" collapsed="false">
      <c r="A3218" s="15" t="n">
        <v>46156</v>
      </c>
      <c r="B3218" s="14" t="s">
        <v>81</v>
      </c>
      <c r="C3218" s="14" t="s">
        <v>82</v>
      </c>
      <c r="D3218" s="14" t="s">
        <v>83</v>
      </c>
      <c r="E3218" s="14" t="s">
        <v>76</v>
      </c>
      <c r="F3218" s="14" t="s">
        <v>79</v>
      </c>
      <c r="G3218" s="14" t="s">
        <v>80</v>
      </c>
      <c r="H3218" s="0" t="n">
        <v>7</v>
      </c>
      <c r="I3218" s="16" t="n">
        <v>28.71</v>
      </c>
      <c r="J3218" s="16" t="n">
        <v>11</v>
      </c>
      <c r="K3218" s="16" t="n">
        <f aca="false">H3218*I3218</f>
        <v>200.97</v>
      </c>
      <c r="L3218" s="16" t="n">
        <f aca="false">H3218*J3218</f>
        <v>77</v>
      </c>
      <c r="M3218" s="16" t="n">
        <f aca="false">K3218-L3218</f>
        <v>123.97</v>
      </c>
      <c r="N3218" s="17" t="n">
        <f aca="false">IFERROR(M3218/K3218,0)</f>
        <v>0.616858237547893</v>
      </c>
    </row>
    <row r="3219" customFormat="false" ht="15" hidden="false" customHeight="false" outlineLevel="0" collapsed="false">
      <c r="A3219" s="15" t="n">
        <v>46156</v>
      </c>
      <c r="B3219" s="14" t="s">
        <v>81</v>
      </c>
      <c r="C3219" s="14" t="s">
        <v>82</v>
      </c>
      <c r="D3219" s="14" t="s">
        <v>83</v>
      </c>
      <c r="E3219" s="14" t="s">
        <v>76</v>
      </c>
      <c r="F3219" s="14" t="s">
        <v>79</v>
      </c>
      <c r="G3219" s="14" t="s">
        <v>80</v>
      </c>
      <c r="H3219" s="0" t="n">
        <v>7</v>
      </c>
      <c r="I3219" s="16" t="n">
        <v>28.53</v>
      </c>
      <c r="J3219" s="16" t="n">
        <v>11</v>
      </c>
      <c r="K3219" s="16" t="n">
        <f aca="false">H3219*I3219</f>
        <v>199.71</v>
      </c>
      <c r="L3219" s="16" t="n">
        <f aca="false">H3219*J3219</f>
        <v>77</v>
      </c>
      <c r="M3219" s="16" t="n">
        <f aca="false">K3219-L3219</f>
        <v>122.71</v>
      </c>
      <c r="N3219" s="17" t="n">
        <f aca="false">IFERROR(M3219/K3219,0)</f>
        <v>0.614440939362075</v>
      </c>
    </row>
    <row r="3220" customFormat="false" ht="15" hidden="false" customHeight="false" outlineLevel="0" collapsed="false">
      <c r="A3220" s="15" t="n">
        <v>46156</v>
      </c>
      <c r="B3220" s="14" t="s">
        <v>81</v>
      </c>
      <c r="C3220" s="14" t="s">
        <v>82</v>
      </c>
      <c r="D3220" s="14" t="s">
        <v>83</v>
      </c>
      <c r="E3220" s="14" t="s">
        <v>53</v>
      </c>
      <c r="F3220" s="14" t="s">
        <v>92</v>
      </c>
      <c r="G3220" s="14" t="s">
        <v>93</v>
      </c>
      <c r="H3220" s="0" t="n">
        <v>3</v>
      </c>
      <c r="I3220" s="16" t="n">
        <v>113.89</v>
      </c>
      <c r="J3220" s="16" t="n">
        <v>52</v>
      </c>
      <c r="K3220" s="16" t="n">
        <f aca="false">H3220*I3220</f>
        <v>341.67</v>
      </c>
      <c r="L3220" s="16" t="n">
        <f aca="false">H3220*J3220</f>
        <v>156</v>
      </c>
      <c r="M3220" s="16" t="n">
        <f aca="false">K3220-L3220</f>
        <v>185.67</v>
      </c>
      <c r="N3220" s="17" t="n">
        <f aca="false">IFERROR(M3220/K3220,0)</f>
        <v>0.543419088594258</v>
      </c>
    </row>
    <row r="3221" customFormat="false" ht="15" hidden="false" customHeight="false" outlineLevel="0" collapsed="false">
      <c r="A3221" s="15" t="n">
        <v>46156</v>
      </c>
      <c r="B3221" s="14" t="s">
        <v>81</v>
      </c>
      <c r="C3221" s="14" t="s">
        <v>82</v>
      </c>
      <c r="D3221" s="14" t="s">
        <v>83</v>
      </c>
      <c r="E3221" s="14" t="s">
        <v>45</v>
      </c>
      <c r="F3221" s="14" t="s">
        <v>72</v>
      </c>
      <c r="G3221" s="14" t="s">
        <v>73</v>
      </c>
      <c r="H3221" s="0" t="n">
        <v>3</v>
      </c>
      <c r="I3221" s="16" t="n">
        <v>48.77</v>
      </c>
      <c r="J3221" s="16" t="n">
        <v>21</v>
      </c>
      <c r="K3221" s="16" t="n">
        <f aca="false">H3221*I3221</f>
        <v>146.31</v>
      </c>
      <c r="L3221" s="16" t="n">
        <f aca="false">H3221*J3221</f>
        <v>63</v>
      </c>
      <c r="M3221" s="16" t="n">
        <f aca="false">K3221-L3221</f>
        <v>83.31</v>
      </c>
      <c r="N3221" s="17" t="n">
        <f aca="false">IFERROR(M3221/K3221,0)</f>
        <v>0.569407422595858</v>
      </c>
    </row>
    <row r="3222" customFormat="false" ht="15" hidden="false" customHeight="false" outlineLevel="0" collapsed="false">
      <c r="A3222" s="15" t="n">
        <v>46156</v>
      </c>
      <c r="B3222" s="14" t="s">
        <v>81</v>
      </c>
      <c r="C3222" s="14" t="s">
        <v>82</v>
      </c>
      <c r="D3222" s="14" t="s">
        <v>83</v>
      </c>
      <c r="E3222" s="14" t="s">
        <v>45</v>
      </c>
      <c r="F3222" s="14" t="s">
        <v>46</v>
      </c>
      <c r="G3222" s="14" t="s">
        <v>47</v>
      </c>
      <c r="H3222" s="0" t="n">
        <v>4</v>
      </c>
      <c r="I3222" s="16" t="n">
        <v>44.37</v>
      </c>
      <c r="J3222" s="16" t="n">
        <v>18</v>
      </c>
      <c r="K3222" s="16" t="n">
        <f aca="false">H3222*I3222</f>
        <v>177.48</v>
      </c>
      <c r="L3222" s="16" t="n">
        <f aca="false">H3222*J3222</f>
        <v>72</v>
      </c>
      <c r="M3222" s="16" t="n">
        <f aca="false">K3222-L3222</f>
        <v>105.48</v>
      </c>
      <c r="N3222" s="17" t="n">
        <f aca="false">IFERROR(M3222/K3222,0)</f>
        <v>0.594320486815416</v>
      </c>
    </row>
    <row r="3223" customFormat="false" ht="15" hidden="false" customHeight="false" outlineLevel="0" collapsed="false">
      <c r="A3223" s="15" t="n">
        <v>46156</v>
      </c>
      <c r="B3223" s="14" t="s">
        <v>81</v>
      </c>
      <c r="C3223" s="14" t="s">
        <v>82</v>
      </c>
      <c r="D3223" s="14" t="s">
        <v>83</v>
      </c>
      <c r="E3223" s="14" t="s">
        <v>64</v>
      </c>
      <c r="F3223" s="14" t="s">
        <v>96</v>
      </c>
      <c r="G3223" s="14" t="s">
        <v>97</v>
      </c>
      <c r="H3223" s="0" t="n">
        <v>4</v>
      </c>
      <c r="I3223" s="16" t="n">
        <v>58.8</v>
      </c>
      <c r="J3223" s="16" t="n">
        <v>24</v>
      </c>
      <c r="K3223" s="16" t="n">
        <f aca="false">H3223*I3223</f>
        <v>235.2</v>
      </c>
      <c r="L3223" s="16" t="n">
        <f aca="false">H3223*J3223</f>
        <v>96</v>
      </c>
      <c r="M3223" s="16" t="n">
        <f aca="false">K3223-L3223</f>
        <v>139.2</v>
      </c>
      <c r="N3223" s="17" t="n">
        <f aca="false">IFERROR(M3223/K3223,0)</f>
        <v>0.591836734693878</v>
      </c>
    </row>
    <row r="3224" customFormat="false" ht="15" hidden="false" customHeight="false" outlineLevel="0" collapsed="false">
      <c r="A3224" s="15" t="n">
        <v>46156</v>
      </c>
      <c r="B3224" s="14" t="s">
        <v>88</v>
      </c>
      <c r="C3224" s="14" t="s">
        <v>89</v>
      </c>
      <c r="D3224" s="14" t="s">
        <v>44</v>
      </c>
      <c r="E3224" s="14" t="s">
        <v>76</v>
      </c>
      <c r="F3224" s="14" t="s">
        <v>77</v>
      </c>
      <c r="G3224" s="14" t="s">
        <v>78</v>
      </c>
      <c r="H3224" s="0" t="n">
        <v>5</v>
      </c>
      <c r="I3224" s="16" t="n">
        <v>41.86</v>
      </c>
      <c r="J3224" s="16" t="n">
        <v>15</v>
      </c>
      <c r="K3224" s="16" t="n">
        <f aca="false">H3224*I3224</f>
        <v>209.3</v>
      </c>
      <c r="L3224" s="16" t="n">
        <f aca="false">H3224*J3224</f>
        <v>75</v>
      </c>
      <c r="M3224" s="16" t="n">
        <f aca="false">K3224-L3224</f>
        <v>134.3</v>
      </c>
      <c r="N3224" s="17" t="n">
        <f aca="false">IFERROR(M3224/K3224,0)</f>
        <v>0.641662685140946</v>
      </c>
    </row>
    <row r="3225" customFormat="false" ht="15" hidden="false" customHeight="false" outlineLevel="0" collapsed="false">
      <c r="A3225" s="15" t="n">
        <v>46156</v>
      </c>
      <c r="B3225" s="14" t="s">
        <v>88</v>
      </c>
      <c r="C3225" s="14" t="s">
        <v>89</v>
      </c>
      <c r="D3225" s="14" t="s">
        <v>44</v>
      </c>
      <c r="E3225" s="14" t="s">
        <v>56</v>
      </c>
      <c r="F3225" s="14" t="s">
        <v>98</v>
      </c>
      <c r="G3225" s="14" t="s">
        <v>99</v>
      </c>
      <c r="H3225" s="0" t="n">
        <v>5</v>
      </c>
      <c r="I3225" s="16" t="n">
        <v>21.53</v>
      </c>
      <c r="J3225" s="16" t="n">
        <v>8</v>
      </c>
      <c r="K3225" s="16" t="n">
        <f aca="false">H3225*I3225</f>
        <v>107.65</v>
      </c>
      <c r="L3225" s="16" t="n">
        <f aca="false">H3225*J3225</f>
        <v>40</v>
      </c>
      <c r="M3225" s="16" t="n">
        <f aca="false">K3225-L3225</f>
        <v>67.65</v>
      </c>
      <c r="N3225" s="17" t="n">
        <f aca="false">IFERROR(M3225/K3225,0)</f>
        <v>0.628425452856479</v>
      </c>
    </row>
    <row r="3226" customFormat="false" ht="15" hidden="false" customHeight="false" outlineLevel="0" collapsed="false">
      <c r="A3226" s="15" t="n">
        <v>46156</v>
      </c>
      <c r="B3226" s="14" t="s">
        <v>88</v>
      </c>
      <c r="C3226" s="14" t="s">
        <v>89</v>
      </c>
      <c r="D3226" s="14" t="s">
        <v>44</v>
      </c>
      <c r="E3226" s="14" t="s">
        <v>53</v>
      </c>
      <c r="F3226" s="14" t="s">
        <v>92</v>
      </c>
      <c r="G3226" s="14" t="s">
        <v>93</v>
      </c>
      <c r="H3226" s="0" t="n">
        <v>5</v>
      </c>
      <c r="I3226" s="16" t="n">
        <v>117.99</v>
      </c>
      <c r="J3226" s="16" t="n">
        <v>52</v>
      </c>
      <c r="K3226" s="16" t="n">
        <f aca="false">H3226*I3226</f>
        <v>589.95</v>
      </c>
      <c r="L3226" s="16" t="n">
        <f aca="false">H3226*J3226</f>
        <v>260</v>
      </c>
      <c r="M3226" s="16" t="n">
        <f aca="false">K3226-L3226</f>
        <v>329.95</v>
      </c>
      <c r="N3226" s="17" t="n">
        <f aca="false">IFERROR(M3226/K3226,0)</f>
        <v>0.559284685142809</v>
      </c>
    </row>
    <row r="3227" customFormat="false" ht="15" hidden="false" customHeight="false" outlineLevel="0" collapsed="false">
      <c r="A3227" s="15" t="n">
        <v>46156</v>
      </c>
      <c r="B3227" s="14" t="s">
        <v>88</v>
      </c>
      <c r="C3227" s="14" t="s">
        <v>89</v>
      </c>
      <c r="D3227" s="14" t="s">
        <v>44</v>
      </c>
      <c r="E3227" s="14" t="s">
        <v>64</v>
      </c>
      <c r="F3227" s="14" t="s">
        <v>65</v>
      </c>
      <c r="G3227" s="14" t="s">
        <v>66</v>
      </c>
      <c r="H3227" s="0" t="n">
        <v>5</v>
      </c>
      <c r="I3227" s="16" t="n">
        <v>74.33</v>
      </c>
      <c r="J3227" s="16" t="n">
        <v>34</v>
      </c>
      <c r="K3227" s="16" t="n">
        <f aca="false">H3227*I3227</f>
        <v>371.65</v>
      </c>
      <c r="L3227" s="16" t="n">
        <f aca="false">H3227*J3227</f>
        <v>170</v>
      </c>
      <c r="M3227" s="16" t="n">
        <f aca="false">K3227-L3227</f>
        <v>201.65</v>
      </c>
      <c r="N3227" s="17" t="n">
        <f aca="false">IFERROR(M3227/K3227,0)</f>
        <v>0.542580384770618</v>
      </c>
    </row>
    <row r="3228" customFormat="false" ht="15" hidden="false" customHeight="false" outlineLevel="0" collapsed="false">
      <c r="A3228" s="15" t="n">
        <v>46156</v>
      </c>
      <c r="B3228" s="14" t="s">
        <v>88</v>
      </c>
      <c r="C3228" s="14" t="s">
        <v>89</v>
      </c>
      <c r="D3228" s="14" t="s">
        <v>44</v>
      </c>
      <c r="E3228" s="14" t="s">
        <v>53</v>
      </c>
      <c r="F3228" s="14" t="s">
        <v>92</v>
      </c>
      <c r="G3228" s="14" t="s">
        <v>93</v>
      </c>
      <c r="H3228" s="0" t="n">
        <v>1</v>
      </c>
      <c r="I3228" s="16" t="n">
        <v>110.68</v>
      </c>
      <c r="J3228" s="16" t="n">
        <v>52</v>
      </c>
      <c r="K3228" s="16" t="n">
        <f aca="false">H3228*I3228</f>
        <v>110.68</v>
      </c>
      <c r="L3228" s="16" t="n">
        <f aca="false">H3228*J3228</f>
        <v>52</v>
      </c>
      <c r="M3228" s="16" t="n">
        <f aca="false">K3228-L3228</f>
        <v>58.68</v>
      </c>
      <c r="N3228" s="17" t="n">
        <f aca="false">IFERROR(M3228/K3228,0)</f>
        <v>0.53017708709794</v>
      </c>
    </row>
    <row r="3229" customFormat="false" ht="15" hidden="false" customHeight="false" outlineLevel="0" collapsed="false">
      <c r="A3229" s="15" t="n">
        <v>46157</v>
      </c>
      <c r="B3229" s="14" t="s">
        <v>42</v>
      </c>
      <c r="C3229" s="14" t="s">
        <v>43</v>
      </c>
      <c r="D3229" s="14" t="s">
        <v>44</v>
      </c>
      <c r="E3229" s="14" t="s">
        <v>45</v>
      </c>
      <c r="F3229" s="14" t="s">
        <v>46</v>
      </c>
      <c r="G3229" s="14" t="s">
        <v>47</v>
      </c>
      <c r="H3229" s="0" t="n">
        <v>10</v>
      </c>
      <c r="I3229" s="16" t="n">
        <v>44.19</v>
      </c>
      <c r="J3229" s="16" t="n">
        <v>18</v>
      </c>
      <c r="K3229" s="16" t="n">
        <f aca="false">H3229*I3229</f>
        <v>441.9</v>
      </c>
      <c r="L3229" s="16" t="n">
        <f aca="false">H3229*J3229</f>
        <v>180</v>
      </c>
      <c r="M3229" s="16" t="n">
        <f aca="false">K3229-L3229</f>
        <v>261.9</v>
      </c>
      <c r="N3229" s="17" t="n">
        <f aca="false">IFERROR(M3229/K3229,0)</f>
        <v>0.592668024439919</v>
      </c>
    </row>
    <row r="3230" customFormat="false" ht="15" hidden="false" customHeight="false" outlineLevel="0" collapsed="false">
      <c r="A3230" s="15" t="n">
        <v>46157</v>
      </c>
      <c r="B3230" s="14" t="s">
        <v>42</v>
      </c>
      <c r="C3230" s="14" t="s">
        <v>43</v>
      </c>
      <c r="D3230" s="14" t="s">
        <v>44</v>
      </c>
      <c r="E3230" s="14" t="s">
        <v>53</v>
      </c>
      <c r="F3230" s="14" t="s">
        <v>84</v>
      </c>
      <c r="G3230" s="14" t="s">
        <v>85</v>
      </c>
      <c r="H3230" s="0" t="n">
        <v>11</v>
      </c>
      <c r="I3230" s="16" t="n">
        <v>24.11</v>
      </c>
      <c r="J3230" s="16" t="n">
        <v>9</v>
      </c>
      <c r="K3230" s="16" t="n">
        <f aca="false">H3230*I3230</f>
        <v>265.21</v>
      </c>
      <c r="L3230" s="16" t="n">
        <f aca="false">H3230*J3230</f>
        <v>99</v>
      </c>
      <c r="M3230" s="16" t="n">
        <f aca="false">K3230-L3230</f>
        <v>166.21</v>
      </c>
      <c r="N3230" s="17" t="n">
        <f aca="false">IFERROR(M3230/K3230,0)</f>
        <v>0.62671090833679</v>
      </c>
    </row>
    <row r="3231" customFormat="false" ht="15" hidden="false" customHeight="false" outlineLevel="0" collapsed="false">
      <c r="A3231" s="15" t="n">
        <v>46157</v>
      </c>
      <c r="B3231" s="14" t="s">
        <v>42</v>
      </c>
      <c r="C3231" s="14" t="s">
        <v>43</v>
      </c>
      <c r="D3231" s="14" t="s">
        <v>44</v>
      </c>
      <c r="E3231" s="14" t="s">
        <v>56</v>
      </c>
      <c r="F3231" s="14" t="s">
        <v>57</v>
      </c>
      <c r="G3231" s="14" t="s">
        <v>58</v>
      </c>
      <c r="H3231" s="0" t="n">
        <v>8</v>
      </c>
      <c r="I3231" s="16" t="n">
        <v>25.07</v>
      </c>
      <c r="J3231" s="16" t="n">
        <v>10</v>
      </c>
      <c r="K3231" s="16" t="n">
        <f aca="false">H3231*I3231</f>
        <v>200.56</v>
      </c>
      <c r="L3231" s="16" t="n">
        <f aca="false">H3231*J3231</f>
        <v>80</v>
      </c>
      <c r="M3231" s="16" t="n">
        <f aca="false">K3231-L3231</f>
        <v>120.56</v>
      </c>
      <c r="N3231" s="17" t="n">
        <f aca="false">IFERROR(M3231/K3231,0)</f>
        <v>0.601116872756282</v>
      </c>
    </row>
    <row r="3232" customFormat="false" ht="15" hidden="false" customHeight="false" outlineLevel="0" collapsed="false">
      <c r="A3232" s="15" t="n">
        <v>46157</v>
      </c>
      <c r="B3232" s="14" t="s">
        <v>42</v>
      </c>
      <c r="C3232" s="14" t="s">
        <v>43</v>
      </c>
      <c r="D3232" s="14" t="s">
        <v>44</v>
      </c>
      <c r="E3232" s="14" t="s">
        <v>76</v>
      </c>
      <c r="F3232" s="14" t="s">
        <v>100</v>
      </c>
      <c r="G3232" s="14" t="s">
        <v>101</v>
      </c>
      <c r="H3232" s="0" t="n">
        <v>7</v>
      </c>
      <c r="I3232" s="16" t="n">
        <v>14.97</v>
      </c>
      <c r="J3232" s="16" t="n">
        <v>5.5</v>
      </c>
      <c r="K3232" s="16" t="n">
        <f aca="false">H3232*I3232</f>
        <v>104.79</v>
      </c>
      <c r="L3232" s="16" t="n">
        <f aca="false">H3232*J3232</f>
        <v>38.5</v>
      </c>
      <c r="M3232" s="16" t="n">
        <f aca="false">K3232-L3232</f>
        <v>66.29</v>
      </c>
      <c r="N3232" s="17" t="n">
        <f aca="false">IFERROR(M3232/K3232,0)</f>
        <v>0.632598530394122</v>
      </c>
    </row>
    <row r="3233" customFormat="false" ht="15" hidden="false" customHeight="false" outlineLevel="0" collapsed="false">
      <c r="A3233" s="15" t="n">
        <v>46157</v>
      </c>
      <c r="B3233" s="14" t="s">
        <v>42</v>
      </c>
      <c r="C3233" s="14" t="s">
        <v>43</v>
      </c>
      <c r="D3233" s="14" t="s">
        <v>44</v>
      </c>
      <c r="E3233" s="14" t="s">
        <v>56</v>
      </c>
      <c r="F3233" s="14" t="s">
        <v>57</v>
      </c>
      <c r="G3233" s="14" t="s">
        <v>58</v>
      </c>
      <c r="H3233" s="0" t="n">
        <v>6</v>
      </c>
      <c r="I3233" s="16" t="n">
        <v>25.19</v>
      </c>
      <c r="J3233" s="16" t="n">
        <v>10</v>
      </c>
      <c r="K3233" s="16" t="n">
        <f aca="false">H3233*I3233</f>
        <v>151.14</v>
      </c>
      <c r="L3233" s="16" t="n">
        <f aca="false">H3233*J3233</f>
        <v>60</v>
      </c>
      <c r="M3233" s="16" t="n">
        <f aca="false">K3233-L3233</f>
        <v>91.14</v>
      </c>
      <c r="N3233" s="17" t="n">
        <f aca="false">IFERROR(M3233/K3233,0)</f>
        <v>0.603017070265979</v>
      </c>
    </row>
    <row r="3234" customFormat="false" ht="15" hidden="false" customHeight="false" outlineLevel="0" collapsed="false">
      <c r="A3234" s="15" t="n">
        <v>46157</v>
      </c>
      <c r="B3234" s="14" t="s">
        <v>50</v>
      </c>
      <c r="C3234" s="14" t="s">
        <v>51</v>
      </c>
      <c r="D3234" s="14" t="s">
        <v>52</v>
      </c>
      <c r="E3234" s="14" t="s">
        <v>76</v>
      </c>
      <c r="F3234" s="14" t="s">
        <v>79</v>
      </c>
      <c r="G3234" s="14" t="s">
        <v>80</v>
      </c>
      <c r="H3234" s="0" t="n">
        <v>3</v>
      </c>
      <c r="I3234" s="16" t="n">
        <v>27.73</v>
      </c>
      <c r="J3234" s="16" t="n">
        <v>11</v>
      </c>
      <c r="K3234" s="16" t="n">
        <f aca="false">H3234*I3234</f>
        <v>83.19</v>
      </c>
      <c r="L3234" s="16" t="n">
        <f aca="false">H3234*J3234</f>
        <v>33</v>
      </c>
      <c r="M3234" s="16" t="n">
        <f aca="false">K3234-L3234</f>
        <v>50.19</v>
      </c>
      <c r="N3234" s="17" t="n">
        <f aca="false">IFERROR(M3234/K3234,0)</f>
        <v>0.603317706455103</v>
      </c>
    </row>
    <row r="3235" customFormat="false" ht="15" hidden="false" customHeight="false" outlineLevel="0" collapsed="false">
      <c r="A3235" s="15" t="n">
        <v>46157</v>
      </c>
      <c r="B3235" s="14" t="s">
        <v>50</v>
      </c>
      <c r="C3235" s="14" t="s">
        <v>51</v>
      </c>
      <c r="D3235" s="14" t="s">
        <v>52</v>
      </c>
      <c r="E3235" s="14" t="s">
        <v>76</v>
      </c>
      <c r="F3235" s="14" t="s">
        <v>100</v>
      </c>
      <c r="G3235" s="14" t="s">
        <v>101</v>
      </c>
      <c r="H3235" s="0" t="n">
        <v>8</v>
      </c>
      <c r="I3235" s="16" t="n">
        <v>14.9</v>
      </c>
      <c r="J3235" s="16" t="n">
        <v>5.5</v>
      </c>
      <c r="K3235" s="16" t="n">
        <f aca="false">H3235*I3235</f>
        <v>119.2</v>
      </c>
      <c r="L3235" s="16" t="n">
        <f aca="false">H3235*J3235</f>
        <v>44</v>
      </c>
      <c r="M3235" s="16" t="n">
        <f aca="false">K3235-L3235</f>
        <v>75.2</v>
      </c>
      <c r="N3235" s="17" t="n">
        <f aca="false">IFERROR(M3235/K3235,0)</f>
        <v>0.630872483221477</v>
      </c>
    </row>
    <row r="3236" customFormat="false" ht="15" hidden="false" customHeight="false" outlineLevel="0" collapsed="false">
      <c r="A3236" s="15" t="n">
        <v>46157</v>
      </c>
      <c r="B3236" s="14" t="s">
        <v>50</v>
      </c>
      <c r="C3236" s="14" t="s">
        <v>51</v>
      </c>
      <c r="D3236" s="14" t="s">
        <v>52</v>
      </c>
      <c r="E3236" s="14" t="s">
        <v>64</v>
      </c>
      <c r="F3236" s="14" t="s">
        <v>65</v>
      </c>
      <c r="G3236" s="14" t="s">
        <v>66</v>
      </c>
      <c r="H3236" s="0" t="n">
        <v>8</v>
      </c>
      <c r="I3236" s="16" t="n">
        <v>76.76</v>
      </c>
      <c r="J3236" s="16" t="n">
        <v>34</v>
      </c>
      <c r="K3236" s="16" t="n">
        <f aca="false">H3236*I3236</f>
        <v>614.08</v>
      </c>
      <c r="L3236" s="16" t="n">
        <f aca="false">H3236*J3236</f>
        <v>272</v>
      </c>
      <c r="M3236" s="16" t="n">
        <f aca="false">K3236-L3236</f>
        <v>342.08</v>
      </c>
      <c r="N3236" s="17" t="n">
        <f aca="false">IFERROR(M3236/K3236,0)</f>
        <v>0.55706096925482</v>
      </c>
    </row>
    <row r="3237" customFormat="false" ht="15" hidden="false" customHeight="false" outlineLevel="0" collapsed="false">
      <c r="A3237" s="15" t="n">
        <v>46157</v>
      </c>
      <c r="B3237" s="14" t="s">
        <v>59</v>
      </c>
      <c r="C3237" s="14" t="s">
        <v>60</v>
      </c>
      <c r="D3237" s="14" t="s">
        <v>61</v>
      </c>
      <c r="E3237" s="14" t="s">
        <v>53</v>
      </c>
      <c r="F3237" s="14" t="s">
        <v>92</v>
      </c>
      <c r="G3237" s="14" t="s">
        <v>93</v>
      </c>
      <c r="H3237" s="0" t="n">
        <v>1</v>
      </c>
      <c r="I3237" s="16" t="n">
        <v>116.58</v>
      </c>
      <c r="J3237" s="16" t="n">
        <v>52</v>
      </c>
      <c r="K3237" s="16" t="n">
        <f aca="false">H3237*I3237</f>
        <v>116.58</v>
      </c>
      <c r="L3237" s="16" t="n">
        <f aca="false">H3237*J3237</f>
        <v>52</v>
      </c>
      <c r="M3237" s="16" t="n">
        <f aca="false">K3237-L3237</f>
        <v>64.58</v>
      </c>
      <c r="N3237" s="17" t="n">
        <f aca="false">IFERROR(M3237/K3237,0)</f>
        <v>0.553954366100532</v>
      </c>
    </row>
    <row r="3238" customFormat="false" ht="15" hidden="false" customHeight="false" outlineLevel="0" collapsed="false">
      <c r="A3238" s="15" t="n">
        <v>46157</v>
      </c>
      <c r="B3238" s="14" t="s">
        <v>59</v>
      </c>
      <c r="C3238" s="14" t="s">
        <v>60</v>
      </c>
      <c r="D3238" s="14" t="s">
        <v>61</v>
      </c>
      <c r="E3238" s="14" t="s">
        <v>76</v>
      </c>
      <c r="F3238" s="14" t="s">
        <v>79</v>
      </c>
      <c r="G3238" s="14" t="s">
        <v>80</v>
      </c>
      <c r="H3238" s="0" t="n">
        <v>1</v>
      </c>
      <c r="I3238" s="16" t="n">
        <v>29.33</v>
      </c>
      <c r="J3238" s="16" t="n">
        <v>11</v>
      </c>
      <c r="K3238" s="16" t="n">
        <f aca="false">H3238*I3238</f>
        <v>29.33</v>
      </c>
      <c r="L3238" s="16" t="n">
        <f aca="false">H3238*J3238</f>
        <v>11</v>
      </c>
      <c r="M3238" s="16" t="n">
        <f aca="false">K3238-L3238</f>
        <v>18.33</v>
      </c>
      <c r="N3238" s="17" t="n">
        <f aca="false">IFERROR(M3238/K3238,0)</f>
        <v>0.624957381520627</v>
      </c>
    </row>
    <row r="3239" customFormat="false" ht="15" hidden="false" customHeight="false" outlineLevel="0" collapsed="false">
      <c r="A3239" s="15" t="n">
        <v>46157</v>
      </c>
      <c r="B3239" s="14" t="s">
        <v>59</v>
      </c>
      <c r="C3239" s="14" t="s">
        <v>60</v>
      </c>
      <c r="D3239" s="14" t="s">
        <v>61</v>
      </c>
      <c r="E3239" s="14" t="s">
        <v>53</v>
      </c>
      <c r="F3239" s="14" t="s">
        <v>84</v>
      </c>
      <c r="G3239" s="14" t="s">
        <v>85</v>
      </c>
      <c r="H3239" s="0" t="n">
        <v>2</v>
      </c>
      <c r="I3239" s="16" t="n">
        <v>24.85</v>
      </c>
      <c r="J3239" s="16" t="n">
        <v>9</v>
      </c>
      <c r="K3239" s="16" t="n">
        <f aca="false">H3239*I3239</f>
        <v>49.7</v>
      </c>
      <c r="L3239" s="16" t="n">
        <f aca="false">H3239*J3239</f>
        <v>18</v>
      </c>
      <c r="M3239" s="16" t="n">
        <f aca="false">K3239-L3239</f>
        <v>31.7</v>
      </c>
      <c r="N3239" s="17" t="n">
        <f aca="false">IFERROR(M3239/K3239,0)</f>
        <v>0.637826961770624</v>
      </c>
    </row>
    <row r="3240" customFormat="false" ht="15" hidden="false" customHeight="false" outlineLevel="0" collapsed="false">
      <c r="A3240" s="15" t="n">
        <v>46157</v>
      </c>
      <c r="B3240" s="14" t="s">
        <v>59</v>
      </c>
      <c r="C3240" s="14" t="s">
        <v>60</v>
      </c>
      <c r="D3240" s="14" t="s">
        <v>61</v>
      </c>
      <c r="E3240" s="14" t="s">
        <v>53</v>
      </c>
      <c r="F3240" s="14" t="s">
        <v>54</v>
      </c>
      <c r="G3240" s="14" t="s">
        <v>55</v>
      </c>
      <c r="H3240" s="0" t="n">
        <v>2</v>
      </c>
      <c r="I3240" s="16" t="n">
        <v>52.9</v>
      </c>
      <c r="J3240" s="16" t="n">
        <v>22</v>
      </c>
      <c r="K3240" s="16" t="n">
        <f aca="false">H3240*I3240</f>
        <v>105.8</v>
      </c>
      <c r="L3240" s="16" t="n">
        <f aca="false">H3240*J3240</f>
        <v>44</v>
      </c>
      <c r="M3240" s="16" t="n">
        <f aca="false">K3240-L3240</f>
        <v>61.8</v>
      </c>
      <c r="N3240" s="17" t="n">
        <f aca="false">IFERROR(M3240/K3240,0)</f>
        <v>0.584120982986768</v>
      </c>
    </row>
    <row r="3241" customFormat="false" ht="15" hidden="false" customHeight="false" outlineLevel="0" collapsed="false">
      <c r="A3241" s="15" t="n">
        <v>46157</v>
      </c>
      <c r="B3241" s="14" t="s">
        <v>59</v>
      </c>
      <c r="C3241" s="14" t="s">
        <v>60</v>
      </c>
      <c r="D3241" s="14" t="s">
        <v>61</v>
      </c>
      <c r="E3241" s="14" t="s">
        <v>53</v>
      </c>
      <c r="F3241" s="14" t="s">
        <v>74</v>
      </c>
      <c r="G3241" s="14" t="s">
        <v>75</v>
      </c>
      <c r="H3241" s="0" t="n">
        <v>7</v>
      </c>
      <c r="I3241" s="16" t="n">
        <v>88.8</v>
      </c>
      <c r="J3241" s="16" t="n">
        <v>38</v>
      </c>
      <c r="K3241" s="16" t="n">
        <f aca="false">H3241*I3241</f>
        <v>621.6</v>
      </c>
      <c r="L3241" s="16" t="n">
        <f aca="false">H3241*J3241</f>
        <v>266</v>
      </c>
      <c r="M3241" s="16" t="n">
        <f aca="false">K3241-L3241</f>
        <v>355.6</v>
      </c>
      <c r="N3241" s="17" t="n">
        <f aca="false">IFERROR(M3241/K3241,0)</f>
        <v>0.572072072072072</v>
      </c>
    </row>
    <row r="3242" customFormat="false" ht="15" hidden="false" customHeight="false" outlineLevel="0" collapsed="false">
      <c r="A3242" s="15" t="n">
        <v>46157</v>
      </c>
      <c r="B3242" s="14" t="s">
        <v>69</v>
      </c>
      <c r="C3242" s="14" t="s">
        <v>70</v>
      </c>
      <c r="D3242" s="14" t="s">
        <v>71</v>
      </c>
      <c r="E3242" s="14" t="s">
        <v>45</v>
      </c>
      <c r="F3242" s="14" t="s">
        <v>72</v>
      </c>
      <c r="G3242" s="14" t="s">
        <v>73</v>
      </c>
      <c r="H3242" s="0" t="n">
        <v>5</v>
      </c>
      <c r="I3242" s="16" t="n">
        <v>50.96</v>
      </c>
      <c r="J3242" s="16" t="n">
        <v>21</v>
      </c>
      <c r="K3242" s="16" t="n">
        <f aca="false">H3242*I3242</f>
        <v>254.8</v>
      </c>
      <c r="L3242" s="16" t="n">
        <f aca="false">H3242*J3242</f>
        <v>105</v>
      </c>
      <c r="M3242" s="16" t="n">
        <f aca="false">K3242-L3242</f>
        <v>149.8</v>
      </c>
      <c r="N3242" s="17" t="n">
        <f aca="false">IFERROR(M3242/K3242,0)</f>
        <v>0.587912087912088</v>
      </c>
    </row>
    <row r="3243" customFormat="false" ht="15" hidden="false" customHeight="false" outlineLevel="0" collapsed="false">
      <c r="A3243" s="15" t="n">
        <v>46157</v>
      </c>
      <c r="B3243" s="14" t="s">
        <v>69</v>
      </c>
      <c r="C3243" s="14" t="s">
        <v>70</v>
      </c>
      <c r="D3243" s="14" t="s">
        <v>71</v>
      </c>
      <c r="E3243" s="14" t="s">
        <v>64</v>
      </c>
      <c r="F3243" s="14" t="s">
        <v>90</v>
      </c>
      <c r="G3243" s="14" t="s">
        <v>91</v>
      </c>
      <c r="H3243" s="0" t="n">
        <v>1</v>
      </c>
      <c r="I3243" s="16" t="n">
        <v>11.54</v>
      </c>
      <c r="J3243" s="16" t="n">
        <v>3.5</v>
      </c>
      <c r="K3243" s="16" t="n">
        <f aca="false">H3243*I3243</f>
        <v>11.54</v>
      </c>
      <c r="L3243" s="16" t="n">
        <f aca="false">H3243*J3243</f>
        <v>3.5</v>
      </c>
      <c r="M3243" s="16" t="n">
        <f aca="false">K3243-L3243</f>
        <v>8.04</v>
      </c>
      <c r="N3243" s="17" t="n">
        <f aca="false">IFERROR(M3243/K3243,0)</f>
        <v>0.696707105719237</v>
      </c>
    </row>
    <row r="3244" customFormat="false" ht="15" hidden="false" customHeight="false" outlineLevel="0" collapsed="false">
      <c r="A3244" s="15" t="n">
        <v>46157</v>
      </c>
      <c r="B3244" s="14" t="s">
        <v>69</v>
      </c>
      <c r="C3244" s="14" t="s">
        <v>70</v>
      </c>
      <c r="D3244" s="14" t="s">
        <v>71</v>
      </c>
      <c r="E3244" s="14" t="s">
        <v>64</v>
      </c>
      <c r="F3244" s="14" t="s">
        <v>96</v>
      </c>
      <c r="G3244" s="14" t="s">
        <v>97</v>
      </c>
      <c r="H3244" s="0" t="n">
        <v>2</v>
      </c>
      <c r="I3244" s="16" t="n">
        <v>58.12</v>
      </c>
      <c r="J3244" s="16" t="n">
        <v>24</v>
      </c>
      <c r="K3244" s="16" t="n">
        <f aca="false">H3244*I3244</f>
        <v>116.24</v>
      </c>
      <c r="L3244" s="16" t="n">
        <f aca="false">H3244*J3244</f>
        <v>48</v>
      </c>
      <c r="M3244" s="16" t="n">
        <f aca="false">K3244-L3244</f>
        <v>68.24</v>
      </c>
      <c r="N3244" s="17" t="n">
        <f aca="false">IFERROR(M3244/K3244,0)</f>
        <v>0.587061252580867</v>
      </c>
    </row>
    <row r="3245" customFormat="false" ht="15" hidden="false" customHeight="false" outlineLevel="0" collapsed="false">
      <c r="A3245" s="15" t="n">
        <v>46157</v>
      </c>
      <c r="B3245" s="14" t="s">
        <v>69</v>
      </c>
      <c r="C3245" s="14" t="s">
        <v>70</v>
      </c>
      <c r="D3245" s="14" t="s">
        <v>71</v>
      </c>
      <c r="E3245" s="14" t="s">
        <v>64</v>
      </c>
      <c r="F3245" s="14" t="s">
        <v>96</v>
      </c>
      <c r="G3245" s="14" t="s">
        <v>97</v>
      </c>
      <c r="H3245" s="0" t="n">
        <v>2</v>
      </c>
      <c r="I3245" s="16" t="n">
        <v>57.88</v>
      </c>
      <c r="J3245" s="16" t="n">
        <v>24</v>
      </c>
      <c r="K3245" s="16" t="n">
        <f aca="false">H3245*I3245</f>
        <v>115.76</v>
      </c>
      <c r="L3245" s="16" t="n">
        <f aca="false">H3245*J3245</f>
        <v>48</v>
      </c>
      <c r="M3245" s="16" t="n">
        <f aca="false">K3245-L3245</f>
        <v>67.76</v>
      </c>
      <c r="N3245" s="17" t="n">
        <f aca="false">IFERROR(M3245/K3245,0)</f>
        <v>0.585348997926745</v>
      </c>
    </row>
    <row r="3246" customFormat="false" ht="15" hidden="false" customHeight="false" outlineLevel="0" collapsed="false">
      <c r="A3246" s="15" t="n">
        <v>46157</v>
      </c>
      <c r="B3246" s="14" t="s">
        <v>81</v>
      </c>
      <c r="C3246" s="14" t="s">
        <v>82</v>
      </c>
      <c r="D3246" s="14" t="s">
        <v>83</v>
      </c>
      <c r="E3246" s="14" t="s">
        <v>53</v>
      </c>
      <c r="F3246" s="14" t="s">
        <v>54</v>
      </c>
      <c r="G3246" s="14" t="s">
        <v>55</v>
      </c>
      <c r="H3246" s="0" t="n">
        <v>1</v>
      </c>
      <c r="I3246" s="16" t="n">
        <v>53.44</v>
      </c>
      <c r="J3246" s="16" t="n">
        <v>22</v>
      </c>
      <c r="K3246" s="16" t="n">
        <f aca="false">H3246*I3246</f>
        <v>53.44</v>
      </c>
      <c r="L3246" s="16" t="n">
        <f aca="false">H3246*J3246</f>
        <v>22</v>
      </c>
      <c r="M3246" s="16" t="n">
        <f aca="false">K3246-L3246</f>
        <v>31.44</v>
      </c>
      <c r="N3246" s="17" t="n">
        <f aca="false">IFERROR(M3246/K3246,0)</f>
        <v>0.588323353293413</v>
      </c>
    </row>
    <row r="3247" customFormat="false" ht="15" hidden="false" customHeight="false" outlineLevel="0" collapsed="false">
      <c r="A3247" s="15" t="n">
        <v>46157</v>
      </c>
      <c r="B3247" s="14" t="s">
        <v>81</v>
      </c>
      <c r="C3247" s="14" t="s">
        <v>82</v>
      </c>
      <c r="D3247" s="14" t="s">
        <v>83</v>
      </c>
      <c r="E3247" s="14" t="s">
        <v>56</v>
      </c>
      <c r="F3247" s="14" t="s">
        <v>98</v>
      </c>
      <c r="G3247" s="14" t="s">
        <v>99</v>
      </c>
      <c r="H3247" s="0" t="n">
        <v>1</v>
      </c>
      <c r="I3247" s="16" t="n">
        <v>21.37</v>
      </c>
      <c r="J3247" s="16" t="n">
        <v>8</v>
      </c>
      <c r="K3247" s="16" t="n">
        <f aca="false">H3247*I3247</f>
        <v>21.37</v>
      </c>
      <c r="L3247" s="16" t="n">
        <f aca="false">H3247*J3247</f>
        <v>8</v>
      </c>
      <c r="M3247" s="16" t="n">
        <f aca="false">K3247-L3247</f>
        <v>13.37</v>
      </c>
      <c r="N3247" s="17" t="n">
        <f aca="false">IFERROR(M3247/K3247,0)</f>
        <v>0.625643425362658</v>
      </c>
    </row>
    <row r="3248" customFormat="false" ht="15" hidden="false" customHeight="false" outlineLevel="0" collapsed="false">
      <c r="A3248" s="15" t="n">
        <v>46157</v>
      </c>
      <c r="B3248" s="14" t="s">
        <v>81</v>
      </c>
      <c r="C3248" s="14" t="s">
        <v>82</v>
      </c>
      <c r="D3248" s="14" t="s">
        <v>83</v>
      </c>
      <c r="E3248" s="14" t="s">
        <v>53</v>
      </c>
      <c r="F3248" s="14" t="s">
        <v>84</v>
      </c>
      <c r="G3248" s="14" t="s">
        <v>85</v>
      </c>
      <c r="H3248" s="0" t="n">
        <v>1</v>
      </c>
      <c r="I3248" s="16" t="n">
        <v>23.08</v>
      </c>
      <c r="J3248" s="16" t="n">
        <v>9</v>
      </c>
      <c r="K3248" s="16" t="n">
        <f aca="false">H3248*I3248</f>
        <v>23.08</v>
      </c>
      <c r="L3248" s="16" t="n">
        <f aca="false">H3248*J3248</f>
        <v>9</v>
      </c>
      <c r="M3248" s="16" t="n">
        <f aca="false">K3248-L3248</f>
        <v>14.08</v>
      </c>
      <c r="N3248" s="17" t="n">
        <f aca="false">IFERROR(M3248/K3248,0)</f>
        <v>0.610051993067591</v>
      </c>
    </row>
    <row r="3249" customFormat="false" ht="15" hidden="false" customHeight="false" outlineLevel="0" collapsed="false">
      <c r="A3249" s="15" t="n">
        <v>46157</v>
      </c>
      <c r="B3249" s="14" t="s">
        <v>81</v>
      </c>
      <c r="C3249" s="14" t="s">
        <v>82</v>
      </c>
      <c r="D3249" s="14" t="s">
        <v>83</v>
      </c>
      <c r="E3249" s="14" t="s">
        <v>53</v>
      </c>
      <c r="F3249" s="14" t="s">
        <v>54</v>
      </c>
      <c r="G3249" s="14" t="s">
        <v>55</v>
      </c>
      <c r="H3249" s="0" t="n">
        <v>3</v>
      </c>
      <c r="I3249" s="16" t="n">
        <v>52.8</v>
      </c>
      <c r="J3249" s="16" t="n">
        <v>22</v>
      </c>
      <c r="K3249" s="16" t="n">
        <f aca="false">H3249*I3249</f>
        <v>158.4</v>
      </c>
      <c r="L3249" s="16" t="n">
        <f aca="false">H3249*J3249</f>
        <v>66</v>
      </c>
      <c r="M3249" s="16" t="n">
        <f aca="false">K3249-L3249</f>
        <v>92.4</v>
      </c>
      <c r="N3249" s="17" t="n">
        <f aca="false">IFERROR(M3249/K3249,0)</f>
        <v>0.583333333333333</v>
      </c>
    </row>
    <row r="3250" customFormat="false" ht="15" hidden="false" customHeight="false" outlineLevel="0" collapsed="false">
      <c r="A3250" s="15" t="n">
        <v>46157</v>
      </c>
      <c r="B3250" s="14" t="s">
        <v>88</v>
      </c>
      <c r="C3250" s="14" t="s">
        <v>89</v>
      </c>
      <c r="D3250" s="14" t="s">
        <v>44</v>
      </c>
      <c r="E3250" s="14" t="s">
        <v>64</v>
      </c>
      <c r="F3250" s="14" t="s">
        <v>90</v>
      </c>
      <c r="G3250" s="14" t="s">
        <v>91</v>
      </c>
      <c r="H3250" s="0" t="n">
        <v>1</v>
      </c>
      <c r="I3250" s="16" t="n">
        <v>11.53</v>
      </c>
      <c r="J3250" s="16" t="n">
        <v>3.5</v>
      </c>
      <c r="K3250" s="16" t="n">
        <f aca="false">H3250*I3250</f>
        <v>11.53</v>
      </c>
      <c r="L3250" s="16" t="n">
        <f aca="false">H3250*J3250</f>
        <v>3.5</v>
      </c>
      <c r="M3250" s="16" t="n">
        <f aca="false">K3250-L3250</f>
        <v>8.03</v>
      </c>
      <c r="N3250" s="17" t="n">
        <f aca="false">IFERROR(M3250/K3250,0)</f>
        <v>0.696444058976583</v>
      </c>
    </row>
    <row r="3251" customFormat="false" ht="15" hidden="false" customHeight="false" outlineLevel="0" collapsed="false">
      <c r="A3251" s="15" t="n">
        <v>46157</v>
      </c>
      <c r="B3251" s="14" t="s">
        <v>88</v>
      </c>
      <c r="C3251" s="14" t="s">
        <v>89</v>
      </c>
      <c r="D3251" s="14" t="s">
        <v>44</v>
      </c>
      <c r="E3251" s="14" t="s">
        <v>76</v>
      </c>
      <c r="F3251" s="14" t="s">
        <v>100</v>
      </c>
      <c r="G3251" s="14" t="s">
        <v>101</v>
      </c>
      <c r="H3251" s="0" t="n">
        <v>1</v>
      </c>
      <c r="I3251" s="16" t="n">
        <v>15.58</v>
      </c>
      <c r="J3251" s="16" t="n">
        <v>5.5</v>
      </c>
      <c r="K3251" s="16" t="n">
        <f aca="false">H3251*I3251</f>
        <v>15.58</v>
      </c>
      <c r="L3251" s="16" t="n">
        <f aca="false">H3251*J3251</f>
        <v>5.5</v>
      </c>
      <c r="M3251" s="16" t="n">
        <f aca="false">K3251-L3251</f>
        <v>10.08</v>
      </c>
      <c r="N3251" s="17" t="n">
        <f aca="false">IFERROR(M3251/K3251,0)</f>
        <v>0.646983311938383</v>
      </c>
    </row>
    <row r="3252" customFormat="false" ht="15" hidden="false" customHeight="false" outlineLevel="0" collapsed="false">
      <c r="A3252" s="15" t="n">
        <v>46157</v>
      </c>
      <c r="B3252" s="14" t="s">
        <v>88</v>
      </c>
      <c r="C3252" s="14" t="s">
        <v>89</v>
      </c>
      <c r="D3252" s="14" t="s">
        <v>44</v>
      </c>
      <c r="E3252" s="14" t="s">
        <v>64</v>
      </c>
      <c r="F3252" s="14" t="s">
        <v>65</v>
      </c>
      <c r="G3252" s="14" t="s">
        <v>66</v>
      </c>
      <c r="H3252" s="0" t="n">
        <v>1</v>
      </c>
      <c r="I3252" s="16" t="n">
        <v>73.94</v>
      </c>
      <c r="J3252" s="16" t="n">
        <v>34</v>
      </c>
      <c r="K3252" s="16" t="n">
        <f aca="false">H3252*I3252</f>
        <v>73.94</v>
      </c>
      <c r="L3252" s="16" t="n">
        <f aca="false">H3252*J3252</f>
        <v>34</v>
      </c>
      <c r="M3252" s="16" t="n">
        <f aca="false">K3252-L3252</f>
        <v>39.94</v>
      </c>
      <c r="N3252" s="17" t="n">
        <f aca="false">IFERROR(M3252/K3252,0)</f>
        <v>0.540167703543414</v>
      </c>
    </row>
    <row r="3253" customFormat="false" ht="15" hidden="false" customHeight="false" outlineLevel="0" collapsed="false">
      <c r="A3253" s="15" t="n">
        <v>46157</v>
      </c>
      <c r="B3253" s="14" t="s">
        <v>88</v>
      </c>
      <c r="C3253" s="14" t="s">
        <v>89</v>
      </c>
      <c r="D3253" s="14" t="s">
        <v>44</v>
      </c>
      <c r="E3253" s="14" t="s">
        <v>45</v>
      </c>
      <c r="F3253" s="14" t="s">
        <v>62</v>
      </c>
      <c r="G3253" s="14" t="s">
        <v>63</v>
      </c>
      <c r="H3253" s="0" t="n">
        <v>4</v>
      </c>
      <c r="I3253" s="16" t="n">
        <v>17.4</v>
      </c>
      <c r="J3253" s="16" t="n">
        <v>6.5</v>
      </c>
      <c r="K3253" s="16" t="n">
        <f aca="false">H3253*I3253</f>
        <v>69.6</v>
      </c>
      <c r="L3253" s="16" t="n">
        <f aca="false">H3253*J3253</f>
        <v>26</v>
      </c>
      <c r="M3253" s="16" t="n">
        <f aca="false">K3253-L3253</f>
        <v>43.6</v>
      </c>
      <c r="N3253" s="17" t="n">
        <f aca="false">IFERROR(M3253/K3253,0)</f>
        <v>0.626436781609195</v>
      </c>
    </row>
    <row r="3254" customFormat="false" ht="15" hidden="false" customHeight="false" outlineLevel="0" collapsed="false">
      <c r="A3254" s="15" t="n">
        <v>46158</v>
      </c>
      <c r="B3254" s="14" t="s">
        <v>42</v>
      </c>
      <c r="C3254" s="14" t="s">
        <v>43</v>
      </c>
      <c r="D3254" s="14" t="s">
        <v>44</v>
      </c>
      <c r="E3254" s="14" t="s">
        <v>76</v>
      </c>
      <c r="F3254" s="14" t="s">
        <v>79</v>
      </c>
      <c r="G3254" s="14" t="s">
        <v>80</v>
      </c>
      <c r="H3254" s="0" t="n">
        <v>11</v>
      </c>
      <c r="I3254" s="16" t="n">
        <v>28.82</v>
      </c>
      <c r="J3254" s="16" t="n">
        <v>11</v>
      </c>
      <c r="K3254" s="16" t="n">
        <f aca="false">H3254*I3254</f>
        <v>317.02</v>
      </c>
      <c r="L3254" s="16" t="n">
        <f aca="false">H3254*J3254</f>
        <v>121</v>
      </c>
      <c r="M3254" s="16" t="n">
        <f aca="false">K3254-L3254</f>
        <v>196.02</v>
      </c>
      <c r="N3254" s="17" t="n">
        <f aca="false">IFERROR(M3254/K3254,0)</f>
        <v>0.618320610687023</v>
      </c>
    </row>
    <row r="3255" customFormat="false" ht="15" hidden="false" customHeight="false" outlineLevel="0" collapsed="false">
      <c r="A3255" s="15" t="n">
        <v>46158</v>
      </c>
      <c r="B3255" s="14" t="s">
        <v>42</v>
      </c>
      <c r="C3255" s="14" t="s">
        <v>43</v>
      </c>
      <c r="D3255" s="14" t="s">
        <v>44</v>
      </c>
      <c r="E3255" s="14" t="s">
        <v>53</v>
      </c>
      <c r="F3255" s="14" t="s">
        <v>84</v>
      </c>
      <c r="G3255" s="14" t="s">
        <v>85</v>
      </c>
      <c r="H3255" s="0" t="n">
        <v>8</v>
      </c>
      <c r="I3255" s="16" t="n">
        <v>23.3</v>
      </c>
      <c r="J3255" s="16" t="n">
        <v>9</v>
      </c>
      <c r="K3255" s="16" t="n">
        <f aca="false">H3255*I3255</f>
        <v>186.4</v>
      </c>
      <c r="L3255" s="16" t="n">
        <f aca="false">H3255*J3255</f>
        <v>72</v>
      </c>
      <c r="M3255" s="16" t="n">
        <f aca="false">K3255-L3255</f>
        <v>114.4</v>
      </c>
      <c r="N3255" s="17" t="n">
        <f aca="false">IFERROR(M3255/K3255,0)</f>
        <v>0.613733905579399</v>
      </c>
    </row>
    <row r="3256" customFormat="false" ht="15" hidden="false" customHeight="false" outlineLevel="0" collapsed="false">
      <c r="A3256" s="15" t="n">
        <v>46158</v>
      </c>
      <c r="B3256" s="14" t="s">
        <v>50</v>
      </c>
      <c r="C3256" s="14" t="s">
        <v>51</v>
      </c>
      <c r="D3256" s="14" t="s">
        <v>52</v>
      </c>
      <c r="E3256" s="14" t="s">
        <v>56</v>
      </c>
      <c r="F3256" s="14" t="s">
        <v>67</v>
      </c>
      <c r="G3256" s="14" t="s">
        <v>68</v>
      </c>
      <c r="H3256" s="0" t="n">
        <v>7</v>
      </c>
      <c r="I3256" s="16" t="n">
        <v>36.65</v>
      </c>
      <c r="J3256" s="16" t="n">
        <v>15</v>
      </c>
      <c r="K3256" s="16" t="n">
        <f aca="false">H3256*I3256</f>
        <v>256.55</v>
      </c>
      <c r="L3256" s="16" t="n">
        <f aca="false">H3256*J3256</f>
        <v>105</v>
      </c>
      <c r="M3256" s="16" t="n">
        <f aca="false">K3256-L3256</f>
        <v>151.55</v>
      </c>
      <c r="N3256" s="17" t="n">
        <f aca="false">IFERROR(M3256/K3256,0)</f>
        <v>0.590723055934516</v>
      </c>
    </row>
    <row r="3257" customFormat="false" ht="15" hidden="false" customHeight="false" outlineLevel="0" collapsed="false">
      <c r="A3257" s="15" t="n">
        <v>46158</v>
      </c>
      <c r="B3257" s="14" t="s">
        <v>50</v>
      </c>
      <c r="C3257" s="14" t="s">
        <v>51</v>
      </c>
      <c r="D3257" s="14" t="s">
        <v>52</v>
      </c>
      <c r="E3257" s="14" t="s">
        <v>56</v>
      </c>
      <c r="F3257" s="14" t="s">
        <v>57</v>
      </c>
      <c r="G3257" s="14" t="s">
        <v>58</v>
      </c>
      <c r="H3257" s="0" t="n">
        <v>4</v>
      </c>
      <c r="I3257" s="16" t="n">
        <v>26.64</v>
      </c>
      <c r="J3257" s="16" t="n">
        <v>10</v>
      </c>
      <c r="K3257" s="16" t="n">
        <f aca="false">H3257*I3257</f>
        <v>106.56</v>
      </c>
      <c r="L3257" s="16" t="n">
        <f aca="false">H3257*J3257</f>
        <v>40</v>
      </c>
      <c r="M3257" s="16" t="n">
        <f aca="false">K3257-L3257</f>
        <v>66.56</v>
      </c>
      <c r="N3257" s="17" t="n">
        <f aca="false">IFERROR(M3257/K3257,0)</f>
        <v>0.624624624624625</v>
      </c>
    </row>
    <row r="3258" customFormat="false" ht="15" hidden="false" customHeight="false" outlineLevel="0" collapsed="false">
      <c r="A3258" s="15" t="n">
        <v>46158</v>
      </c>
      <c r="B3258" s="14" t="s">
        <v>59</v>
      </c>
      <c r="C3258" s="14" t="s">
        <v>60</v>
      </c>
      <c r="D3258" s="14" t="s">
        <v>61</v>
      </c>
      <c r="E3258" s="14" t="s">
        <v>76</v>
      </c>
      <c r="F3258" s="14" t="s">
        <v>102</v>
      </c>
      <c r="G3258" s="14" t="s">
        <v>103</v>
      </c>
      <c r="H3258" s="0" t="n">
        <v>5</v>
      </c>
      <c r="I3258" s="16" t="n">
        <v>22.71</v>
      </c>
      <c r="J3258" s="16" t="n">
        <v>8.5</v>
      </c>
      <c r="K3258" s="16" t="n">
        <f aca="false">H3258*I3258</f>
        <v>113.55</v>
      </c>
      <c r="L3258" s="16" t="n">
        <f aca="false">H3258*J3258</f>
        <v>42.5</v>
      </c>
      <c r="M3258" s="16" t="n">
        <f aca="false">K3258-L3258</f>
        <v>71.05</v>
      </c>
      <c r="N3258" s="17" t="n">
        <f aca="false">IFERROR(M3258/K3258,0)</f>
        <v>0.625715543813298</v>
      </c>
    </row>
    <row r="3259" customFormat="false" ht="15" hidden="false" customHeight="false" outlineLevel="0" collapsed="false">
      <c r="A3259" s="15" t="n">
        <v>46158</v>
      </c>
      <c r="B3259" s="14" t="s">
        <v>59</v>
      </c>
      <c r="C3259" s="14" t="s">
        <v>60</v>
      </c>
      <c r="D3259" s="14" t="s">
        <v>61</v>
      </c>
      <c r="E3259" s="14" t="s">
        <v>76</v>
      </c>
      <c r="F3259" s="14" t="s">
        <v>100</v>
      </c>
      <c r="G3259" s="14" t="s">
        <v>101</v>
      </c>
      <c r="H3259" s="0" t="n">
        <v>2</v>
      </c>
      <c r="I3259" s="16" t="n">
        <v>15.55</v>
      </c>
      <c r="J3259" s="16" t="n">
        <v>5.5</v>
      </c>
      <c r="K3259" s="16" t="n">
        <f aca="false">H3259*I3259</f>
        <v>31.1</v>
      </c>
      <c r="L3259" s="16" t="n">
        <f aca="false">H3259*J3259</f>
        <v>11</v>
      </c>
      <c r="M3259" s="16" t="n">
        <f aca="false">K3259-L3259</f>
        <v>20.1</v>
      </c>
      <c r="N3259" s="17" t="n">
        <f aca="false">IFERROR(M3259/K3259,0)</f>
        <v>0.646302250803859</v>
      </c>
    </row>
    <row r="3260" customFormat="false" ht="15" hidden="false" customHeight="false" outlineLevel="0" collapsed="false">
      <c r="A3260" s="15" t="n">
        <v>46158</v>
      </c>
      <c r="B3260" s="14" t="s">
        <v>59</v>
      </c>
      <c r="C3260" s="14" t="s">
        <v>60</v>
      </c>
      <c r="D3260" s="14" t="s">
        <v>61</v>
      </c>
      <c r="E3260" s="14" t="s">
        <v>64</v>
      </c>
      <c r="F3260" s="14" t="s">
        <v>65</v>
      </c>
      <c r="G3260" s="14" t="s">
        <v>66</v>
      </c>
      <c r="H3260" s="0" t="n">
        <v>9</v>
      </c>
      <c r="I3260" s="16" t="n">
        <v>76.49</v>
      </c>
      <c r="J3260" s="16" t="n">
        <v>34</v>
      </c>
      <c r="K3260" s="16" t="n">
        <f aca="false">H3260*I3260</f>
        <v>688.41</v>
      </c>
      <c r="L3260" s="16" t="n">
        <f aca="false">H3260*J3260</f>
        <v>306</v>
      </c>
      <c r="M3260" s="16" t="n">
        <f aca="false">K3260-L3260</f>
        <v>382.41</v>
      </c>
      <c r="N3260" s="17" t="n">
        <f aca="false">IFERROR(M3260/K3260,0)</f>
        <v>0.555497450647143</v>
      </c>
    </row>
    <row r="3261" customFormat="false" ht="15" hidden="false" customHeight="false" outlineLevel="0" collapsed="false">
      <c r="A3261" s="15" t="n">
        <v>46158</v>
      </c>
      <c r="B3261" s="14" t="s">
        <v>59</v>
      </c>
      <c r="C3261" s="14" t="s">
        <v>60</v>
      </c>
      <c r="D3261" s="14" t="s">
        <v>61</v>
      </c>
      <c r="E3261" s="14" t="s">
        <v>56</v>
      </c>
      <c r="F3261" s="14" t="s">
        <v>57</v>
      </c>
      <c r="G3261" s="14" t="s">
        <v>58</v>
      </c>
      <c r="H3261" s="0" t="n">
        <v>4</v>
      </c>
      <c r="I3261" s="16" t="n">
        <v>25.24</v>
      </c>
      <c r="J3261" s="16" t="n">
        <v>10</v>
      </c>
      <c r="K3261" s="16" t="n">
        <f aca="false">H3261*I3261</f>
        <v>100.96</v>
      </c>
      <c r="L3261" s="16" t="n">
        <f aca="false">H3261*J3261</f>
        <v>40</v>
      </c>
      <c r="M3261" s="16" t="n">
        <f aca="false">K3261-L3261</f>
        <v>60.96</v>
      </c>
      <c r="N3261" s="17" t="n">
        <f aca="false">IFERROR(M3261/K3261,0)</f>
        <v>0.603803486529319</v>
      </c>
    </row>
    <row r="3262" customFormat="false" ht="15" hidden="false" customHeight="false" outlineLevel="0" collapsed="false">
      <c r="A3262" s="15" t="n">
        <v>46158</v>
      </c>
      <c r="B3262" s="14" t="s">
        <v>59</v>
      </c>
      <c r="C3262" s="14" t="s">
        <v>60</v>
      </c>
      <c r="D3262" s="14" t="s">
        <v>61</v>
      </c>
      <c r="E3262" s="14" t="s">
        <v>45</v>
      </c>
      <c r="F3262" s="14" t="s">
        <v>72</v>
      </c>
      <c r="G3262" s="14" t="s">
        <v>73</v>
      </c>
      <c r="H3262" s="0" t="n">
        <v>2</v>
      </c>
      <c r="I3262" s="16" t="n">
        <v>50.93</v>
      </c>
      <c r="J3262" s="16" t="n">
        <v>21</v>
      </c>
      <c r="K3262" s="16" t="n">
        <f aca="false">H3262*I3262</f>
        <v>101.86</v>
      </c>
      <c r="L3262" s="16" t="n">
        <f aca="false">H3262*J3262</f>
        <v>42</v>
      </c>
      <c r="M3262" s="16" t="n">
        <f aca="false">K3262-L3262</f>
        <v>59.86</v>
      </c>
      <c r="N3262" s="17" t="n">
        <f aca="false">IFERROR(M3262/K3262,0)</f>
        <v>0.587669350088357</v>
      </c>
    </row>
    <row r="3263" customFormat="false" ht="15" hidden="false" customHeight="false" outlineLevel="0" collapsed="false">
      <c r="A3263" s="15" t="n">
        <v>46158</v>
      </c>
      <c r="B3263" s="14" t="s">
        <v>59</v>
      </c>
      <c r="C3263" s="14" t="s">
        <v>60</v>
      </c>
      <c r="D3263" s="14" t="s">
        <v>61</v>
      </c>
      <c r="E3263" s="14" t="s">
        <v>53</v>
      </c>
      <c r="F3263" s="14" t="s">
        <v>54</v>
      </c>
      <c r="G3263" s="14" t="s">
        <v>55</v>
      </c>
      <c r="H3263" s="0" t="n">
        <v>7</v>
      </c>
      <c r="I3263" s="16" t="n">
        <v>54.26</v>
      </c>
      <c r="J3263" s="16" t="n">
        <v>22</v>
      </c>
      <c r="K3263" s="16" t="n">
        <f aca="false">H3263*I3263</f>
        <v>379.82</v>
      </c>
      <c r="L3263" s="16" t="n">
        <f aca="false">H3263*J3263</f>
        <v>154</v>
      </c>
      <c r="M3263" s="16" t="n">
        <f aca="false">K3263-L3263</f>
        <v>225.82</v>
      </c>
      <c r="N3263" s="17" t="n">
        <f aca="false">IFERROR(M3263/K3263,0)</f>
        <v>0.594544784371545</v>
      </c>
    </row>
    <row r="3264" customFormat="false" ht="15" hidden="false" customHeight="false" outlineLevel="0" collapsed="false">
      <c r="A3264" s="15" t="n">
        <v>46158</v>
      </c>
      <c r="B3264" s="14" t="s">
        <v>69</v>
      </c>
      <c r="C3264" s="14" t="s">
        <v>70</v>
      </c>
      <c r="D3264" s="14" t="s">
        <v>71</v>
      </c>
      <c r="E3264" s="14" t="s">
        <v>56</v>
      </c>
      <c r="F3264" s="14" t="s">
        <v>67</v>
      </c>
      <c r="G3264" s="14" t="s">
        <v>68</v>
      </c>
      <c r="H3264" s="0" t="n">
        <v>6</v>
      </c>
      <c r="I3264" s="16" t="n">
        <v>36.37</v>
      </c>
      <c r="J3264" s="16" t="n">
        <v>15</v>
      </c>
      <c r="K3264" s="16" t="n">
        <f aca="false">H3264*I3264</f>
        <v>218.22</v>
      </c>
      <c r="L3264" s="16" t="n">
        <f aca="false">H3264*J3264</f>
        <v>90</v>
      </c>
      <c r="M3264" s="16" t="n">
        <f aca="false">K3264-L3264</f>
        <v>128.22</v>
      </c>
      <c r="N3264" s="17" t="n">
        <f aca="false">IFERROR(M3264/K3264,0)</f>
        <v>0.587572174869398</v>
      </c>
    </row>
    <row r="3265" customFormat="false" ht="15" hidden="false" customHeight="false" outlineLevel="0" collapsed="false">
      <c r="A3265" s="15" t="n">
        <v>46158</v>
      </c>
      <c r="B3265" s="14" t="s">
        <v>69</v>
      </c>
      <c r="C3265" s="14" t="s">
        <v>70</v>
      </c>
      <c r="D3265" s="14" t="s">
        <v>71</v>
      </c>
      <c r="E3265" s="14" t="s">
        <v>53</v>
      </c>
      <c r="F3265" s="14" t="s">
        <v>92</v>
      </c>
      <c r="G3265" s="14" t="s">
        <v>93</v>
      </c>
      <c r="H3265" s="0" t="n">
        <v>5</v>
      </c>
      <c r="I3265" s="16" t="n">
        <v>115.31</v>
      </c>
      <c r="J3265" s="16" t="n">
        <v>52</v>
      </c>
      <c r="K3265" s="16" t="n">
        <f aca="false">H3265*I3265</f>
        <v>576.55</v>
      </c>
      <c r="L3265" s="16" t="n">
        <f aca="false">H3265*J3265</f>
        <v>260</v>
      </c>
      <c r="M3265" s="16" t="n">
        <f aca="false">K3265-L3265</f>
        <v>316.55</v>
      </c>
      <c r="N3265" s="17" t="n">
        <f aca="false">IFERROR(M3265/K3265,0)</f>
        <v>0.549041713641488</v>
      </c>
    </row>
    <row r="3266" customFormat="false" ht="15" hidden="false" customHeight="false" outlineLevel="0" collapsed="false">
      <c r="A3266" s="15" t="n">
        <v>46158</v>
      </c>
      <c r="B3266" s="14" t="s">
        <v>69</v>
      </c>
      <c r="C3266" s="14" t="s">
        <v>70</v>
      </c>
      <c r="D3266" s="14" t="s">
        <v>71</v>
      </c>
      <c r="E3266" s="14" t="s">
        <v>76</v>
      </c>
      <c r="F3266" s="14" t="s">
        <v>79</v>
      </c>
      <c r="G3266" s="14" t="s">
        <v>80</v>
      </c>
      <c r="H3266" s="0" t="n">
        <v>5</v>
      </c>
      <c r="I3266" s="16" t="n">
        <v>29.59</v>
      </c>
      <c r="J3266" s="16" t="n">
        <v>11</v>
      </c>
      <c r="K3266" s="16" t="n">
        <f aca="false">H3266*I3266</f>
        <v>147.95</v>
      </c>
      <c r="L3266" s="16" t="n">
        <f aca="false">H3266*J3266</f>
        <v>55</v>
      </c>
      <c r="M3266" s="16" t="n">
        <f aca="false">K3266-L3266</f>
        <v>92.95</v>
      </c>
      <c r="N3266" s="17" t="n">
        <f aca="false">IFERROR(M3266/K3266,0)</f>
        <v>0.628252788104089</v>
      </c>
    </row>
    <row r="3267" customFormat="false" ht="15" hidden="false" customHeight="false" outlineLevel="0" collapsed="false">
      <c r="A3267" s="15" t="n">
        <v>46158</v>
      </c>
      <c r="B3267" s="14" t="s">
        <v>81</v>
      </c>
      <c r="C3267" s="14" t="s">
        <v>82</v>
      </c>
      <c r="D3267" s="14" t="s">
        <v>83</v>
      </c>
      <c r="E3267" s="14" t="s">
        <v>53</v>
      </c>
      <c r="F3267" s="14" t="s">
        <v>84</v>
      </c>
      <c r="G3267" s="14" t="s">
        <v>85</v>
      </c>
      <c r="H3267" s="0" t="n">
        <v>8</v>
      </c>
      <c r="I3267" s="16" t="n">
        <v>24.44</v>
      </c>
      <c r="J3267" s="16" t="n">
        <v>9</v>
      </c>
      <c r="K3267" s="16" t="n">
        <f aca="false">H3267*I3267</f>
        <v>195.52</v>
      </c>
      <c r="L3267" s="16" t="n">
        <f aca="false">H3267*J3267</f>
        <v>72</v>
      </c>
      <c r="M3267" s="16" t="n">
        <f aca="false">K3267-L3267</f>
        <v>123.52</v>
      </c>
      <c r="N3267" s="17" t="n">
        <f aca="false">IFERROR(M3267/K3267,0)</f>
        <v>0.631751227495908</v>
      </c>
    </row>
    <row r="3268" customFormat="false" ht="15" hidden="false" customHeight="false" outlineLevel="0" collapsed="false">
      <c r="A3268" s="15" t="n">
        <v>46158</v>
      </c>
      <c r="B3268" s="14" t="s">
        <v>81</v>
      </c>
      <c r="C3268" s="14" t="s">
        <v>82</v>
      </c>
      <c r="D3268" s="14" t="s">
        <v>83</v>
      </c>
      <c r="E3268" s="14" t="s">
        <v>64</v>
      </c>
      <c r="F3268" s="14" t="s">
        <v>90</v>
      </c>
      <c r="G3268" s="14" t="s">
        <v>91</v>
      </c>
      <c r="H3268" s="0" t="n">
        <v>3</v>
      </c>
      <c r="I3268" s="16" t="n">
        <v>11.92</v>
      </c>
      <c r="J3268" s="16" t="n">
        <v>3.5</v>
      </c>
      <c r="K3268" s="16" t="n">
        <f aca="false">H3268*I3268</f>
        <v>35.76</v>
      </c>
      <c r="L3268" s="16" t="n">
        <f aca="false">H3268*J3268</f>
        <v>10.5</v>
      </c>
      <c r="M3268" s="16" t="n">
        <f aca="false">K3268-L3268</f>
        <v>25.26</v>
      </c>
      <c r="N3268" s="17" t="n">
        <f aca="false">IFERROR(M3268/K3268,0)</f>
        <v>0.706375838926175</v>
      </c>
    </row>
    <row r="3269" customFormat="false" ht="15" hidden="false" customHeight="false" outlineLevel="0" collapsed="false">
      <c r="A3269" s="15" t="n">
        <v>46158</v>
      </c>
      <c r="B3269" s="14" t="s">
        <v>81</v>
      </c>
      <c r="C3269" s="14" t="s">
        <v>82</v>
      </c>
      <c r="D3269" s="14" t="s">
        <v>83</v>
      </c>
      <c r="E3269" s="14" t="s">
        <v>64</v>
      </c>
      <c r="F3269" s="14" t="s">
        <v>94</v>
      </c>
      <c r="G3269" s="14" t="s">
        <v>95</v>
      </c>
      <c r="H3269" s="0" t="n">
        <v>4</v>
      </c>
      <c r="I3269" s="16" t="n">
        <v>91.7</v>
      </c>
      <c r="J3269" s="16" t="n">
        <v>42</v>
      </c>
      <c r="K3269" s="16" t="n">
        <f aca="false">H3269*I3269</f>
        <v>366.8</v>
      </c>
      <c r="L3269" s="16" t="n">
        <f aca="false">H3269*J3269</f>
        <v>168</v>
      </c>
      <c r="M3269" s="16" t="n">
        <f aca="false">K3269-L3269</f>
        <v>198.8</v>
      </c>
      <c r="N3269" s="17" t="n">
        <f aca="false">IFERROR(M3269/K3269,0)</f>
        <v>0.541984732824428</v>
      </c>
    </row>
    <row r="3270" customFormat="false" ht="15" hidden="false" customHeight="false" outlineLevel="0" collapsed="false">
      <c r="A3270" s="15" t="n">
        <v>46158</v>
      </c>
      <c r="B3270" s="14" t="s">
        <v>81</v>
      </c>
      <c r="C3270" s="14" t="s">
        <v>82</v>
      </c>
      <c r="D3270" s="14" t="s">
        <v>83</v>
      </c>
      <c r="E3270" s="14" t="s">
        <v>45</v>
      </c>
      <c r="F3270" s="14" t="s">
        <v>48</v>
      </c>
      <c r="G3270" s="14" t="s">
        <v>49</v>
      </c>
      <c r="H3270" s="0" t="n">
        <v>1</v>
      </c>
      <c r="I3270" s="16" t="n">
        <v>65.93</v>
      </c>
      <c r="J3270" s="16" t="n">
        <v>27.5</v>
      </c>
      <c r="K3270" s="16" t="n">
        <f aca="false">H3270*I3270</f>
        <v>65.93</v>
      </c>
      <c r="L3270" s="16" t="n">
        <f aca="false">H3270*J3270</f>
        <v>27.5</v>
      </c>
      <c r="M3270" s="16" t="n">
        <f aca="false">K3270-L3270</f>
        <v>38.43</v>
      </c>
      <c r="N3270" s="17" t="n">
        <f aca="false">IFERROR(M3270/K3270,0)</f>
        <v>0.582890944941605</v>
      </c>
    </row>
    <row r="3271" customFormat="false" ht="15" hidden="false" customHeight="false" outlineLevel="0" collapsed="false">
      <c r="A3271" s="15" t="n">
        <v>46158</v>
      </c>
      <c r="B3271" s="14" t="s">
        <v>88</v>
      </c>
      <c r="C3271" s="14" t="s">
        <v>89</v>
      </c>
      <c r="D3271" s="14" t="s">
        <v>44</v>
      </c>
      <c r="E3271" s="14" t="s">
        <v>76</v>
      </c>
      <c r="F3271" s="14" t="s">
        <v>79</v>
      </c>
      <c r="G3271" s="14" t="s">
        <v>80</v>
      </c>
      <c r="H3271" s="0" t="n">
        <v>7</v>
      </c>
      <c r="I3271" s="16" t="n">
        <v>28.67</v>
      </c>
      <c r="J3271" s="16" t="n">
        <v>11</v>
      </c>
      <c r="K3271" s="16" t="n">
        <f aca="false">H3271*I3271</f>
        <v>200.69</v>
      </c>
      <c r="L3271" s="16" t="n">
        <f aca="false">H3271*J3271</f>
        <v>77</v>
      </c>
      <c r="M3271" s="16" t="n">
        <f aca="false">K3271-L3271</f>
        <v>123.69</v>
      </c>
      <c r="N3271" s="17" t="n">
        <f aca="false">IFERROR(M3271/K3271,0)</f>
        <v>0.61632368329264</v>
      </c>
    </row>
    <row r="3272" customFormat="false" ht="15" hidden="false" customHeight="false" outlineLevel="0" collapsed="false">
      <c r="A3272" s="15" t="n">
        <v>46158</v>
      </c>
      <c r="B3272" s="14" t="s">
        <v>88</v>
      </c>
      <c r="C3272" s="14" t="s">
        <v>89</v>
      </c>
      <c r="D3272" s="14" t="s">
        <v>44</v>
      </c>
      <c r="E3272" s="14" t="s">
        <v>56</v>
      </c>
      <c r="F3272" s="14" t="s">
        <v>86</v>
      </c>
      <c r="G3272" s="14" t="s">
        <v>87</v>
      </c>
      <c r="H3272" s="0" t="n">
        <v>3</v>
      </c>
      <c r="I3272" s="16" t="n">
        <v>13.86</v>
      </c>
      <c r="J3272" s="16" t="n">
        <v>5</v>
      </c>
      <c r="K3272" s="16" t="n">
        <f aca="false">H3272*I3272</f>
        <v>41.58</v>
      </c>
      <c r="L3272" s="16" t="n">
        <f aca="false">H3272*J3272</f>
        <v>15</v>
      </c>
      <c r="M3272" s="16" t="n">
        <f aca="false">K3272-L3272</f>
        <v>26.58</v>
      </c>
      <c r="N3272" s="17" t="n">
        <f aca="false">IFERROR(M3272/K3272,0)</f>
        <v>0.639249639249639</v>
      </c>
    </row>
    <row r="3273" customFormat="false" ht="15" hidden="false" customHeight="false" outlineLevel="0" collapsed="false">
      <c r="A3273" s="15" t="n">
        <v>46159</v>
      </c>
      <c r="B3273" s="14" t="s">
        <v>42</v>
      </c>
      <c r="C3273" s="14" t="s">
        <v>43</v>
      </c>
      <c r="D3273" s="14" t="s">
        <v>44</v>
      </c>
      <c r="E3273" s="14" t="s">
        <v>53</v>
      </c>
      <c r="F3273" s="14" t="s">
        <v>84</v>
      </c>
      <c r="G3273" s="14" t="s">
        <v>85</v>
      </c>
      <c r="H3273" s="0" t="n">
        <v>12</v>
      </c>
      <c r="I3273" s="16" t="n">
        <v>23.15</v>
      </c>
      <c r="J3273" s="16" t="n">
        <v>9</v>
      </c>
      <c r="K3273" s="16" t="n">
        <f aca="false">H3273*I3273</f>
        <v>277.8</v>
      </c>
      <c r="L3273" s="16" t="n">
        <f aca="false">H3273*J3273</f>
        <v>108</v>
      </c>
      <c r="M3273" s="16" t="n">
        <f aca="false">K3273-L3273</f>
        <v>169.8</v>
      </c>
      <c r="N3273" s="17" t="n">
        <f aca="false">IFERROR(M3273/K3273,0)</f>
        <v>0.611231101511879</v>
      </c>
    </row>
    <row r="3274" customFormat="false" ht="15" hidden="false" customHeight="false" outlineLevel="0" collapsed="false">
      <c r="A3274" s="15" t="n">
        <v>46159</v>
      </c>
      <c r="B3274" s="14" t="s">
        <v>42</v>
      </c>
      <c r="C3274" s="14" t="s">
        <v>43</v>
      </c>
      <c r="D3274" s="14" t="s">
        <v>44</v>
      </c>
      <c r="E3274" s="14" t="s">
        <v>64</v>
      </c>
      <c r="F3274" s="14" t="s">
        <v>65</v>
      </c>
      <c r="G3274" s="14" t="s">
        <v>66</v>
      </c>
      <c r="H3274" s="0" t="n">
        <v>8</v>
      </c>
      <c r="I3274" s="16" t="n">
        <v>77.55</v>
      </c>
      <c r="J3274" s="16" t="n">
        <v>34</v>
      </c>
      <c r="K3274" s="16" t="n">
        <f aca="false">H3274*I3274</f>
        <v>620.4</v>
      </c>
      <c r="L3274" s="16" t="n">
        <f aca="false">H3274*J3274</f>
        <v>272</v>
      </c>
      <c r="M3274" s="16" t="n">
        <f aca="false">K3274-L3274</f>
        <v>348.4</v>
      </c>
      <c r="N3274" s="17" t="n">
        <f aca="false">IFERROR(M3274/K3274,0)</f>
        <v>0.561573178594455</v>
      </c>
    </row>
    <row r="3275" customFormat="false" ht="15" hidden="false" customHeight="false" outlineLevel="0" collapsed="false">
      <c r="A3275" s="15" t="n">
        <v>46159</v>
      </c>
      <c r="B3275" s="14" t="s">
        <v>42</v>
      </c>
      <c r="C3275" s="14" t="s">
        <v>43</v>
      </c>
      <c r="D3275" s="14" t="s">
        <v>44</v>
      </c>
      <c r="E3275" s="14" t="s">
        <v>45</v>
      </c>
      <c r="F3275" s="14" t="s">
        <v>46</v>
      </c>
      <c r="G3275" s="14" t="s">
        <v>47</v>
      </c>
      <c r="H3275" s="0" t="n">
        <v>5</v>
      </c>
      <c r="I3275" s="16" t="n">
        <v>42.35</v>
      </c>
      <c r="J3275" s="16" t="n">
        <v>18</v>
      </c>
      <c r="K3275" s="16" t="n">
        <f aca="false">H3275*I3275</f>
        <v>211.75</v>
      </c>
      <c r="L3275" s="16" t="n">
        <f aca="false">H3275*J3275</f>
        <v>90</v>
      </c>
      <c r="M3275" s="16" t="n">
        <f aca="false">K3275-L3275</f>
        <v>121.75</v>
      </c>
      <c r="N3275" s="17" t="n">
        <f aca="false">IFERROR(M3275/K3275,0)</f>
        <v>0.574970484061393</v>
      </c>
    </row>
    <row r="3276" customFormat="false" ht="15" hidden="false" customHeight="false" outlineLevel="0" collapsed="false">
      <c r="A3276" s="15" t="n">
        <v>46159</v>
      </c>
      <c r="B3276" s="14" t="s">
        <v>50</v>
      </c>
      <c r="C3276" s="14" t="s">
        <v>51</v>
      </c>
      <c r="D3276" s="14" t="s">
        <v>52</v>
      </c>
      <c r="E3276" s="14" t="s">
        <v>45</v>
      </c>
      <c r="F3276" s="14" t="s">
        <v>48</v>
      </c>
      <c r="G3276" s="14" t="s">
        <v>49</v>
      </c>
      <c r="H3276" s="0" t="n">
        <v>12</v>
      </c>
      <c r="I3276" s="16" t="n">
        <v>63.51</v>
      </c>
      <c r="J3276" s="16" t="n">
        <v>27.5</v>
      </c>
      <c r="K3276" s="16" t="n">
        <f aca="false">H3276*I3276</f>
        <v>762.12</v>
      </c>
      <c r="L3276" s="16" t="n">
        <f aca="false">H3276*J3276</f>
        <v>330</v>
      </c>
      <c r="M3276" s="16" t="n">
        <f aca="false">K3276-L3276</f>
        <v>432.12</v>
      </c>
      <c r="N3276" s="17" t="n">
        <f aca="false">IFERROR(M3276/K3276,0)</f>
        <v>0.56699732325618</v>
      </c>
    </row>
    <row r="3277" customFormat="false" ht="15" hidden="false" customHeight="false" outlineLevel="0" collapsed="false">
      <c r="A3277" s="15" t="n">
        <v>46159</v>
      </c>
      <c r="B3277" s="14" t="s">
        <v>50</v>
      </c>
      <c r="C3277" s="14" t="s">
        <v>51</v>
      </c>
      <c r="D3277" s="14" t="s">
        <v>52</v>
      </c>
      <c r="E3277" s="14" t="s">
        <v>45</v>
      </c>
      <c r="F3277" s="14" t="s">
        <v>48</v>
      </c>
      <c r="G3277" s="14" t="s">
        <v>49</v>
      </c>
      <c r="H3277" s="0" t="n">
        <v>6</v>
      </c>
      <c r="I3277" s="16" t="n">
        <v>65.04</v>
      </c>
      <c r="J3277" s="16" t="n">
        <v>27.5</v>
      </c>
      <c r="K3277" s="16" t="n">
        <f aca="false">H3277*I3277</f>
        <v>390.24</v>
      </c>
      <c r="L3277" s="16" t="n">
        <f aca="false">H3277*J3277</f>
        <v>165</v>
      </c>
      <c r="M3277" s="16" t="n">
        <f aca="false">K3277-L3277</f>
        <v>225.24</v>
      </c>
      <c r="N3277" s="17" t="n">
        <f aca="false">IFERROR(M3277/K3277,0)</f>
        <v>0.577183271832718</v>
      </c>
    </row>
    <row r="3278" customFormat="false" ht="15" hidden="false" customHeight="false" outlineLevel="0" collapsed="false">
      <c r="A3278" s="15" t="n">
        <v>46159</v>
      </c>
      <c r="B3278" s="14" t="s">
        <v>50</v>
      </c>
      <c r="C3278" s="14" t="s">
        <v>51</v>
      </c>
      <c r="D3278" s="14" t="s">
        <v>52</v>
      </c>
      <c r="E3278" s="14" t="s">
        <v>56</v>
      </c>
      <c r="F3278" s="14" t="s">
        <v>67</v>
      </c>
      <c r="G3278" s="14" t="s">
        <v>68</v>
      </c>
      <c r="H3278" s="0" t="n">
        <v>7</v>
      </c>
      <c r="I3278" s="16" t="n">
        <v>35.03</v>
      </c>
      <c r="J3278" s="16" t="n">
        <v>15</v>
      </c>
      <c r="K3278" s="16" t="n">
        <f aca="false">H3278*I3278</f>
        <v>245.21</v>
      </c>
      <c r="L3278" s="16" t="n">
        <f aca="false">H3278*J3278</f>
        <v>105</v>
      </c>
      <c r="M3278" s="16" t="n">
        <f aca="false">K3278-L3278</f>
        <v>140.21</v>
      </c>
      <c r="N3278" s="17" t="n">
        <f aca="false">IFERROR(M3278/K3278,0)</f>
        <v>0.571795603768199</v>
      </c>
    </row>
    <row r="3279" customFormat="false" ht="15" hidden="false" customHeight="false" outlineLevel="0" collapsed="false">
      <c r="A3279" s="15" t="n">
        <v>46159</v>
      </c>
      <c r="B3279" s="14" t="s">
        <v>59</v>
      </c>
      <c r="C3279" s="14" t="s">
        <v>60</v>
      </c>
      <c r="D3279" s="14" t="s">
        <v>61</v>
      </c>
      <c r="E3279" s="14" t="s">
        <v>64</v>
      </c>
      <c r="F3279" s="14" t="s">
        <v>65</v>
      </c>
      <c r="G3279" s="14" t="s">
        <v>66</v>
      </c>
      <c r="H3279" s="0" t="n">
        <v>3</v>
      </c>
      <c r="I3279" s="16" t="n">
        <v>74.04</v>
      </c>
      <c r="J3279" s="16" t="n">
        <v>34</v>
      </c>
      <c r="K3279" s="16" t="n">
        <f aca="false">H3279*I3279</f>
        <v>222.12</v>
      </c>
      <c r="L3279" s="16" t="n">
        <f aca="false">H3279*J3279</f>
        <v>102</v>
      </c>
      <c r="M3279" s="16" t="n">
        <f aca="false">K3279-L3279</f>
        <v>120.12</v>
      </c>
      <c r="N3279" s="17" t="n">
        <f aca="false">IFERROR(M3279/K3279,0)</f>
        <v>0.540788762830902</v>
      </c>
    </row>
    <row r="3280" customFormat="false" ht="15" hidden="false" customHeight="false" outlineLevel="0" collapsed="false">
      <c r="A3280" s="15" t="n">
        <v>46159</v>
      </c>
      <c r="B3280" s="14" t="s">
        <v>59</v>
      </c>
      <c r="C3280" s="14" t="s">
        <v>60</v>
      </c>
      <c r="D3280" s="14" t="s">
        <v>61</v>
      </c>
      <c r="E3280" s="14" t="s">
        <v>64</v>
      </c>
      <c r="F3280" s="14" t="s">
        <v>90</v>
      </c>
      <c r="G3280" s="14" t="s">
        <v>91</v>
      </c>
      <c r="H3280" s="0" t="n">
        <v>1</v>
      </c>
      <c r="I3280" s="16" t="n">
        <v>11.08</v>
      </c>
      <c r="J3280" s="16" t="n">
        <v>3.5</v>
      </c>
      <c r="K3280" s="16" t="n">
        <f aca="false">H3280*I3280</f>
        <v>11.08</v>
      </c>
      <c r="L3280" s="16" t="n">
        <f aca="false">H3280*J3280</f>
        <v>3.5</v>
      </c>
      <c r="M3280" s="16" t="n">
        <f aca="false">K3280-L3280</f>
        <v>7.58</v>
      </c>
      <c r="N3280" s="17" t="n">
        <f aca="false">IFERROR(M3280/K3280,0)</f>
        <v>0.684115523465704</v>
      </c>
    </row>
    <row r="3281" customFormat="false" ht="15" hidden="false" customHeight="false" outlineLevel="0" collapsed="false">
      <c r="A3281" s="15" t="n">
        <v>46159</v>
      </c>
      <c r="B3281" s="14" t="s">
        <v>59</v>
      </c>
      <c r="C3281" s="14" t="s">
        <v>60</v>
      </c>
      <c r="D3281" s="14" t="s">
        <v>61</v>
      </c>
      <c r="E3281" s="14" t="s">
        <v>64</v>
      </c>
      <c r="F3281" s="14" t="s">
        <v>90</v>
      </c>
      <c r="G3281" s="14" t="s">
        <v>91</v>
      </c>
      <c r="H3281" s="0" t="n">
        <v>8</v>
      </c>
      <c r="I3281" s="16" t="n">
        <v>11.21</v>
      </c>
      <c r="J3281" s="16" t="n">
        <v>3.5</v>
      </c>
      <c r="K3281" s="16" t="n">
        <f aca="false">H3281*I3281</f>
        <v>89.68</v>
      </c>
      <c r="L3281" s="16" t="n">
        <f aca="false">H3281*J3281</f>
        <v>28</v>
      </c>
      <c r="M3281" s="16" t="n">
        <f aca="false">K3281-L3281</f>
        <v>61.68</v>
      </c>
      <c r="N3281" s="17" t="n">
        <f aca="false">IFERROR(M3281/K3281,0)</f>
        <v>0.687778768956289</v>
      </c>
    </row>
    <row r="3282" customFormat="false" ht="15" hidden="false" customHeight="false" outlineLevel="0" collapsed="false">
      <c r="A3282" s="15" t="n">
        <v>46159</v>
      </c>
      <c r="B3282" s="14" t="s">
        <v>59</v>
      </c>
      <c r="C3282" s="14" t="s">
        <v>60</v>
      </c>
      <c r="D3282" s="14" t="s">
        <v>61</v>
      </c>
      <c r="E3282" s="14" t="s">
        <v>45</v>
      </c>
      <c r="F3282" s="14" t="s">
        <v>48</v>
      </c>
      <c r="G3282" s="14" t="s">
        <v>49</v>
      </c>
      <c r="H3282" s="0" t="n">
        <v>2</v>
      </c>
      <c r="I3282" s="16" t="n">
        <v>67.78</v>
      </c>
      <c r="J3282" s="16" t="n">
        <v>27.5</v>
      </c>
      <c r="K3282" s="16" t="n">
        <f aca="false">H3282*I3282</f>
        <v>135.56</v>
      </c>
      <c r="L3282" s="16" t="n">
        <f aca="false">H3282*J3282</f>
        <v>55</v>
      </c>
      <c r="M3282" s="16" t="n">
        <f aca="false">K3282-L3282</f>
        <v>80.56</v>
      </c>
      <c r="N3282" s="17" t="n">
        <f aca="false">IFERROR(M3282/K3282,0)</f>
        <v>0.594275597521393</v>
      </c>
    </row>
    <row r="3283" customFormat="false" ht="15" hidden="false" customHeight="false" outlineLevel="0" collapsed="false">
      <c r="A3283" s="15" t="n">
        <v>46159</v>
      </c>
      <c r="B3283" s="14" t="s">
        <v>59</v>
      </c>
      <c r="C3283" s="14" t="s">
        <v>60</v>
      </c>
      <c r="D3283" s="14" t="s">
        <v>61</v>
      </c>
      <c r="E3283" s="14" t="s">
        <v>76</v>
      </c>
      <c r="F3283" s="14" t="s">
        <v>102</v>
      </c>
      <c r="G3283" s="14" t="s">
        <v>103</v>
      </c>
      <c r="H3283" s="0" t="n">
        <v>10</v>
      </c>
      <c r="I3283" s="16" t="n">
        <v>22.47</v>
      </c>
      <c r="J3283" s="16" t="n">
        <v>8.5</v>
      </c>
      <c r="K3283" s="16" t="n">
        <f aca="false">H3283*I3283</f>
        <v>224.7</v>
      </c>
      <c r="L3283" s="16" t="n">
        <f aca="false">H3283*J3283</f>
        <v>85</v>
      </c>
      <c r="M3283" s="16" t="n">
        <f aca="false">K3283-L3283</f>
        <v>139.7</v>
      </c>
      <c r="N3283" s="17" t="n">
        <f aca="false">IFERROR(M3283/K3283,0)</f>
        <v>0.621717846016911</v>
      </c>
    </row>
    <row r="3284" customFormat="false" ht="15" hidden="false" customHeight="false" outlineLevel="0" collapsed="false">
      <c r="A3284" s="15" t="n">
        <v>46159</v>
      </c>
      <c r="B3284" s="14" t="s">
        <v>59</v>
      </c>
      <c r="C3284" s="14" t="s">
        <v>60</v>
      </c>
      <c r="D3284" s="14" t="s">
        <v>61</v>
      </c>
      <c r="E3284" s="14" t="s">
        <v>76</v>
      </c>
      <c r="F3284" s="14" t="s">
        <v>79</v>
      </c>
      <c r="G3284" s="14" t="s">
        <v>80</v>
      </c>
      <c r="H3284" s="0" t="n">
        <v>6</v>
      </c>
      <c r="I3284" s="16" t="n">
        <v>29.91</v>
      </c>
      <c r="J3284" s="16" t="n">
        <v>11</v>
      </c>
      <c r="K3284" s="16" t="n">
        <f aca="false">H3284*I3284</f>
        <v>179.46</v>
      </c>
      <c r="L3284" s="16" t="n">
        <f aca="false">H3284*J3284</f>
        <v>66</v>
      </c>
      <c r="M3284" s="16" t="n">
        <f aca="false">K3284-L3284</f>
        <v>113.46</v>
      </c>
      <c r="N3284" s="17" t="n">
        <f aca="false">IFERROR(M3284/K3284,0)</f>
        <v>0.632230023403544</v>
      </c>
    </row>
    <row r="3285" customFormat="false" ht="15" hidden="false" customHeight="false" outlineLevel="0" collapsed="false">
      <c r="A3285" s="15" t="n">
        <v>46159</v>
      </c>
      <c r="B3285" s="14" t="s">
        <v>69</v>
      </c>
      <c r="C3285" s="14" t="s">
        <v>70</v>
      </c>
      <c r="D3285" s="14" t="s">
        <v>71</v>
      </c>
      <c r="E3285" s="14" t="s">
        <v>53</v>
      </c>
      <c r="F3285" s="14" t="s">
        <v>84</v>
      </c>
      <c r="G3285" s="14" t="s">
        <v>85</v>
      </c>
      <c r="H3285" s="0" t="n">
        <v>1</v>
      </c>
      <c r="I3285" s="16" t="n">
        <v>24.99</v>
      </c>
      <c r="J3285" s="16" t="n">
        <v>9</v>
      </c>
      <c r="K3285" s="16" t="n">
        <f aca="false">H3285*I3285</f>
        <v>24.99</v>
      </c>
      <c r="L3285" s="16" t="n">
        <f aca="false">H3285*J3285</f>
        <v>9</v>
      </c>
      <c r="M3285" s="16" t="n">
        <f aca="false">K3285-L3285</f>
        <v>15.99</v>
      </c>
      <c r="N3285" s="17" t="n">
        <f aca="false">IFERROR(M3285/K3285,0)</f>
        <v>0.639855942376951</v>
      </c>
    </row>
    <row r="3286" customFormat="false" ht="15" hidden="false" customHeight="false" outlineLevel="0" collapsed="false">
      <c r="A3286" s="15" t="n">
        <v>46159</v>
      </c>
      <c r="B3286" s="14" t="s">
        <v>69</v>
      </c>
      <c r="C3286" s="14" t="s">
        <v>70</v>
      </c>
      <c r="D3286" s="14" t="s">
        <v>71</v>
      </c>
      <c r="E3286" s="14" t="s">
        <v>45</v>
      </c>
      <c r="F3286" s="14" t="s">
        <v>72</v>
      </c>
      <c r="G3286" s="14" t="s">
        <v>73</v>
      </c>
      <c r="H3286" s="0" t="n">
        <v>8</v>
      </c>
      <c r="I3286" s="16" t="n">
        <v>51.13</v>
      </c>
      <c r="J3286" s="16" t="n">
        <v>21</v>
      </c>
      <c r="K3286" s="16" t="n">
        <f aca="false">H3286*I3286</f>
        <v>409.04</v>
      </c>
      <c r="L3286" s="16" t="n">
        <f aca="false">H3286*J3286</f>
        <v>168</v>
      </c>
      <c r="M3286" s="16" t="n">
        <f aca="false">K3286-L3286</f>
        <v>241.04</v>
      </c>
      <c r="N3286" s="17" t="n">
        <f aca="false">IFERROR(M3286/K3286,0)</f>
        <v>0.5892822217876</v>
      </c>
    </row>
    <row r="3287" customFormat="false" ht="15" hidden="false" customHeight="false" outlineLevel="0" collapsed="false">
      <c r="A3287" s="15" t="n">
        <v>46159</v>
      </c>
      <c r="B3287" s="14" t="s">
        <v>69</v>
      </c>
      <c r="C3287" s="14" t="s">
        <v>70</v>
      </c>
      <c r="D3287" s="14" t="s">
        <v>71</v>
      </c>
      <c r="E3287" s="14" t="s">
        <v>45</v>
      </c>
      <c r="F3287" s="14" t="s">
        <v>46</v>
      </c>
      <c r="G3287" s="14" t="s">
        <v>47</v>
      </c>
      <c r="H3287" s="0" t="n">
        <v>6</v>
      </c>
      <c r="I3287" s="16" t="n">
        <v>41.72</v>
      </c>
      <c r="J3287" s="16" t="n">
        <v>18</v>
      </c>
      <c r="K3287" s="16" t="n">
        <f aca="false">H3287*I3287</f>
        <v>250.32</v>
      </c>
      <c r="L3287" s="16" t="n">
        <f aca="false">H3287*J3287</f>
        <v>108</v>
      </c>
      <c r="M3287" s="16" t="n">
        <f aca="false">K3287-L3287</f>
        <v>142.32</v>
      </c>
      <c r="N3287" s="17" t="n">
        <f aca="false">IFERROR(M3287/K3287,0)</f>
        <v>0.568552253116012</v>
      </c>
    </row>
    <row r="3288" customFormat="false" ht="15" hidden="false" customHeight="false" outlineLevel="0" collapsed="false">
      <c r="A3288" s="15" t="n">
        <v>46159</v>
      </c>
      <c r="B3288" s="14" t="s">
        <v>81</v>
      </c>
      <c r="C3288" s="14" t="s">
        <v>82</v>
      </c>
      <c r="D3288" s="14" t="s">
        <v>83</v>
      </c>
      <c r="E3288" s="14" t="s">
        <v>64</v>
      </c>
      <c r="F3288" s="14" t="s">
        <v>90</v>
      </c>
      <c r="G3288" s="14" t="s">
        <v>91</v>
      </c>
      <c r="H3288" s="0" t="n">
        <v>3</v>
      </c>
      <c r="I3288" s="16" t="n">
        <v>11.4</v>
      </c>
      <c r="J3288" s="16" t="n">
        <v>3.5</v>
      </c>
      <c r="K3288" s="16" t="n">
        <f aca="false">H3288*I3288</f>
        <v>34.2</v>
      </c>
      <c r="L3288" s="16" t="n">
        <f aca="false">H3288*J3288</f>
        <v>10.5</v>
      </c>
      <c r="M3288" s="16" t="n">
        <f aca="false">K3288-L3288</f>
        <v>23.7</v>
      </c>
      <c r="N3288" s="17" t="n">
        <f aca="false">IFERROR(M3288/K3288,0)</f>
        <v>0.692982456140351</v>
      </c>
    </row>
    <row r="3289" customFormat="false" ht="15" hidden="false" customHeight="false" outlineLevel="0" collapsed="false">
      <c r="A3289" s="15" t="n">
        <v>46159</v>
      </c>
      <c r="B3289" s="14" t="s">
        <v>81</v>
      </c>
      <c r="C3289" s="14" t="s">
        <v>82</v>
      </c>
      <c r="D3289" s="14" t="s">
        <v>83</v>
      </c>
      <c r="E3289" s="14" t="s">
        <v>76</v>
      </c>
      <c r="F3289" s="14" t="s">
        <v>77</v>
      </c>
      <c r="G3289" s="14" t="s">
        <v>78</v>
      </c>
      <c r="H3289" s="0" t="n">
        <v>6</v>
      </c>
      <c r="I3289" s="16" t="n">
        <v>41.11</v>
      </c>
      <c r="J3289" s="16" t="n">
        <v>15</v>
      </c>
      <c r="K3289" s="16" t="n">
        <f aca="false">H3289*I3289</f>
        <v>246.66</v>
      </c>
      <c r="L3289" s="16" t="n">
        <f aca="false">H3289*J3289</f>
        <v>90</v>
      </c>
      <c r="M3289" s="16" t="n">
        <f aca="false">K3289-L3289</f>
        <v>156.66</v>
      </c>
      <c r="N3289" s="17" t="n">
        <f aca="false">IFERROR(M3289/K3289,0)</f>
        <v>0.635125273656045</v>
      </c>
    </row>
    <row r="3290" customFormat="false" ht="15" hidden="false" customHeight="false" outlineLevel="0" collapsed="false">
      <c r="A3290" s="15" t="n">
        <v>46159</v>
      </c>
      <c r="B3290" s="14" t="s">
        <v>81</v>
      </c>
      <c r="C3290" s="14" t="s">
        <v>82</v>
      </c>
      <c r="D3290" s="14" t="s">
        <v>83</v>
      </c>
      <c r="E3290" s="14" t="s">
        <v>76</v>
      </c>
      <c r="F3290" s="14" t="s">
        <v>100</v>
      </c>
      <c r="G3290" s="14" t="s">
        <v>101</v>
      </c>
      <c r="H3290" s="0" t="n">
        <v>3</v>
      </c>
      <c r="I3290" s="16" t="n">
        <v>15.46</v>
      </c>
      <c r="J3290" s="16" t="n">
        <v>5.5</v>
      </c>
      <c r="K3290" s="16" t="n">
        <f aca="false">H3290*I3290</f>
        <v>46.38</v>
      </c>
      <c r="L3290" s="16" t="n">
        <f aca="false">H3290*J3290</f>
        <v>16.5</v>
      </c>
      <c r="M3290" s="16" t="n">
        <f aca="false">K3290-L3290</f>
        <v>29.88</v>
      </c>
      <c r="N3290" s="17" t="n">
        <f aca="false">IFERROR(M3290/K3290,0)</f>
        <v>0.644243208279431</v>
      </c>
    </row>
    <row r="3291" customFormat="false" ht="15" hidden="false" customHeight="false" outlineLevel="0" collapsed="false">
      <c r="A3291" s="15" t="n">
        <v>46159</v>
      </c>
      <c r="B3291" s="14" t="s">
        <v>81</v>
      </c>
      <c r="C3291" s="14" t="s">
        <v>82</v>
      </c>
      <c r="D3291" s="14" t="s">
        <v>83</v>
      </c>
      <c r="E3291" s="14" t="s">
        <v>76</v>
      </c>
      <c r="F3291" s="14" t="s">
        <v>100</v>
      </c>
      <c r="G3291" s="14" t="s">
        <v>101</v>
      </c>
      <c r="H3291" s="0" t="n">
        <v>6</v>
      </c>
      <c r="I3291" s="16" t="n">
        <v>15.7</v>
      </c>
      <c r="J3291" s="16" t="n">
        <v>5.5</v>
      </c>
      <c r="K3291" s="16" t="n">
        <f aca="false">H3291*I3291</f>
        <v>94.2</v>
      </c>
      <c r="L3291" s="16" t="n">
        <f aca="false">H3291*J3291</f>
        <v>33</v>
      </c>
      <c r="M3291" s="16" t="n">
        <f aca="false">K3291-L3291</f>
        <v>61.2</v>
      </c>
      <c r="N3291" s="17" t="n">
        <f aca="false">IFERROR(M3291/K3291,0)</f>
        <v>0.64968152866242</v>
      </c>
    </row>
    <row r="3292" customFormat="false" ht="15" hidden="false" customHeight="false" outlineLevel="0" collapsed="false">
      <c r="A3292" s="15" t="n">
        <v>46159</v>
      </c>
      <c r="B3292" s="14" t="s">
        <v>88</v>
      </c>
      <c r="C3292" s="14" t="s">
        <v>89</v>
      </c>
      <c r="D3292" s="14" t="s">
        <v>44</v>
      </c>
      <c r="E3292" s="14" t="s">
        <v>64</v>
      </c>
      <c r="F3292" s="14" t="s">
        <v>90</v>
      </c>
      <c r="G3292" s="14" t="s">
        <v>91</v>
      </c>
      <c r="H3292" s="0" t="n">
        <v>8</v>
      </c>
      <c r="I3292" s="16" t="n">
        <v>11.96</v>
      </c>
      <c r="J3292" s="16" t="n">
        <v>3.5</v>
      </c>
      <c r="K3292" s="16" t="n">
        <f aca="false">H3292*I3292</f>
        <v>95.68</v>
      </c>
      <c r="L3292" s="16" t="n">
        <f aca="false">H3292*J3292</f>
        <v>28</v>
      </c>
      <c r="M3292" s="16" t="n">
        <f aca="false">K3292-L3292</f>
        <v>67.68</v>
      </c>
      <c r="N3292" s="17" t="n">
        <f aca="false">IFERROR(M3292/K3292,0)</f>
        <v>0.707357859531773</v>
      </c>
    </row>
    <row r="3293" customFormat="false" ht="15" hidden="false" customHeight="false" outlineLevel="0" collapsed="false">
      <c r="A3293" s="15" t="n">
        <v>46159</v>
      </c>
      <c r="B3293" s="14" t="s">
        <v>88</v>
      </c>
      <c r="C3293" s="14" t="s">
        <v>89</v>
      </c>
      <c r="D3293" s="14" t="s">
        <v>44</v>
      </c>
      <c r="E3293" s="14" t="s">
        <v>45</v>
      </c>
      <c r="F3293" s="14" t="s">
        <v>46</v>
      </c>
      <c r="G3293" s="14" t="s">
        <v>47</v>
      </c>
      <c r="H3293" s="0" t="n">
        <v>4</v>
      </c>
      <c r="I3293" s="16" t="n">
        <v>42.6</v>
      </c>
      <c r="J3293" s="16" t="n">
        <v>18</v>
      </c>
      <c r="K3293" s="16" t="n">
        <f aca="false">H3293*I3293</f>
        <v>170.4</v>
      </c>
      <c r="L3293" s="16" t="n">
        <f aca="false">H3293*J3293</f>
        <v>72</v>
      </c>
      <c r="M3293" s="16" t="n">
        <f aca="false">K3293-L3293</f>
        <v>98.4</v>
      </c>
      <c r="N3293" s="17" t="n">
        <f aca="false">IFERROR(M3293/K3293,0)</f>
        <v>0.577464788732394</v>
      </c>
    </row>
    <row r="3294" customFormat="false" ht="15" hidden="false" customHeight="false" outlineLevel="0" collapsed="false">
      <c r="A3294" s="15" t="n">
        <v>46159</v>
      </c>
      <c r="B3294" s="14" t="s">
        <v>88</v>
      </c>
      <c r="C3294" s="14" t="s">
        <v>89</v>
      </c>
      <c r="D3294" s="14" t="s">
        <v>44</v>
      </c>
      <c r="E3294" s="14" t="s">
        <v>76</v>
      </c>
      <c r="F3294" s="14" t="s">
        <v>100</v>
      </c>
      <c r="G3294" s="14" t="s">
        <v>101</v>
      </c>
      <c r="H3294" s="0" t="n">
        <v>12</v>
      </c>
      <c r="I3294" s="16" t="n">
        <v>15.68</v>
      </c>
      <c r="J3294" s="16" t="n">
        <v>5.5</v>
      </c>
      <c r="K3294" s="16" t="n">
        <f aca="false">H3294*I3294</f>
        <v>188.16</v>
      </c>
      <c r="L3294" s="16" t="n">
        <f aca="false">H3294*J3294</f>
        <v>66</v>
      </c>
      <c r="M3294" s="16" t="n">
        <f aca="false">K3294-L3294</f>
        <v>122.16</v>
      </c>
      <c r="N3294" s="17" t="n">
        <f aca="false">IFERROR(M3294/K3294,0)</f>
        <v>0.649234693877551</v>
      </c>
    </row>
    <row r="3295" customFormat="false" ht="15" hidden="false" customHeight="false" outlineLevel="0" collapsed="false">
      <c r="A3295" s="15" t="n">
        <v>46160</v>
      </c>
      <c r="B3295" s="14" t="s">
        <v>42</v>
      </c>
      <c r="C3295" s="14" t="s">
        <v>43</v>
      </c>
      <c r="D3295" s="14" t="s">
        <v>44</v>
      </c>
      <c r="E3295" s="14" t="s">
        <v>45</v>
      </c>
      <c r="F3295" s="14" t="s">
        <v>46</v>
      </c>
      <c r="G3295" s="14" t="s">
        <v>47</v>
      </c>
      <c r="H3295" s="0" t="n">
        <v>4</v>
      </c>
      <c r="I3295" s="16" t="n">
        <v>43.56</v>
      </c>
      <c r="J3295" s="16" t="n">
        <v>18</v>
      </c>
      <c r="K3295" s="16" t="n">
        <f aca="false">H3295*I3295</f>
        <v>174.24</v>
      </c>
      <c r="L3295" s="16" t="n">
        <f aca="false">H3295*J3295</f>
        <v>72</v>
      </c>
      <c r="M3295" s="16" t="n">
        <f aca="false">K3295-L3295</f>
        <v>102.24</v>
      </c>
      <c r="N3295" s="17" t="n">
        <f aca="false">IFERROR(M3295/K3295,0)</f>
        <v>0.586776859504132</v>
      </c>
    </row>
    <row r="3296" customFormat="false" ht="15" hidden="false" customHeight="false" outlineLevel="0" collapsed="false">
      <c r="A3296" s="15" t="n">
        <v>46160</v>
      </c>
      <c r="B3296" s="14" t="s">
        <v>42</v>
      </c>
      <c r="C3296" s="14" t="s">
        <v>43</v>
      </c>
      <c r="D3296" s="14" t="s">
        <v>44</v>
      </c>
      <c r="E3296" s="14" t="s">
        <v>56</v>
      </c>
      <c r="F3296" s="14" t="s">
        <v>86</v>
      </c>
      <c r="G3296" s="14" t="s">
        <v>87</v>
      </c>
      <c r="H3296" s="0" t="n">
        <v>4</v>
      </c>
      <c r="I3296" s="16" t="n">
        <v>14.97</v>
      </c>
      <c r="J3296" s="16" t="n">
        <v>5</v>
      </c>
      <c r="K3296" s="16" t="n">
        <f aca="false">H3296*I3296</f>
        <v>59.88</v>
      </c>
      <c r="L3296" s="16" t="n">
        <f aca="false">H3296*J3296</f>
        <v>20</v>
      </c>
      <c r="M3296" s="16" t="n">
        <f aca="false">K3296-L3296</f>
        <v>39.88</v>
      </c>
      <c r="N3296" s="17" t="n">
        <f aca="false">IFERROR(M3296/K3296,0)</f>
        <v>0.665998663994656</v>
      </c>
    </row>
    <row r="3297" customFormat="false" ht="15" hidden="false" customHeight="false" outlineLevel="0" collapsed="false">
      <c r="A3297" s="15" t="n">
        <v>46160</v>
      </c>
      <c r="B3297" s="14" t="s">
        <v>42</v>
      </c>
      <c r="C3297" s="14" t="s">
        <v>43</v>
      </c>
      <c r="D3297" s="14" t="s">
        <v>44</v>
      </c>
      <c r="E3297" s="14" t="s">
        <v>53</v>
      </c>
      <c r="F3297" s="14" t="s">
        <v>84</v>
      </c>
      <c r="G3297" s="14" t="s">
        <v>85</v>
      </c>
      <c r="H3297" s="0" t="n">
        <v>3</v>
      </c>
      <c r="I3297" s="16" t="n">
        <v>24.65</v>
      </c>
      <c r="J3297" s="16" t="n">
        <v>9</v>
      </c>
      <c r="K3297" s="16" t="n">
        <f aca="false">H3297*I3297</f>
        <v>73.95</v>
      </c>
      <c r="L3297" s="16" t="n">
        <f aca="false">H3297*J3297</f>
        <v>27</v>
      </c>
      <c r="M3297" s="16" t="n">
        <f aca="false">K3297-L3297</f>
        <v>46.95</v>
      </c>
      <c r="N3297" s="17" t="n">
        <f aca="false">IFERROR(M3297/K3297,0)</f>
        <v>0.634888438133874</v>
      </c>
    </row>
    <row r="3298" customFormat="false" ht="15" hidden="false" customHeight="false" outlineLevel="0" collapsed="false">
      <c r="A3298" s="15" t="n">
        <v>46160</v>
      </c>
      <c r="B3298" s="14" t="s">
        <v>50</v>
      </c>
      <c r="C3298" s="14" t="s">
        <v>51</v>
      </c>
      <c r="D3298" s="14" t="s">
        <v>52</v>
      </c>
      <c r="E3298" s="14" t="s">
        <v>56</v>
      </c>
      <c r="F3298" s="14" t="s">
        <v>98</v>
      </c>
      <c r="G3298" s="14" t="s">
        <v>99</v>
      </c>
      <c r="H3298" s="0" t="n">
        <v>2</v>
      </c>
      <c r="I3298" s="16" t="n">
        <v>21.25</v>
      </c>
      <c r="J3298" s="16" t="n">
        <v>8</v>
      </c>
      <c r="K3298" s="16" t="n">
        <f aca="false">H3298*I3298</f>
        <v>42.5</v>
      </c>
      <c r="L3298" s="16" t="n">
        <f aca="false">H3298*J3298</f>
        <v>16</v>
      </c>
      <c r="M3298" s="16" t="n">
        <f aca="false">K3298-L3298</f>
        <v>26.5</v>
      </c>
      <c r="N3298" s="17" t="n">
        <f aca="false">IFERROR(M3298/K3298,0)</f>
        <v>0.623529411764706</v>
      </c>
    </row>
    <row r="3299" customFormat="false" ht="15" hidden="false" customHeight="false" outlineLevel="0" collapsed="false">
      <c r="A3299" s="15" t="n">
        <v>46160</v>
      </c>
      <c r="B3299" s="14" t="s">
        <v>50</v>
      </c>
      <c r="C3299" s="14" t="s">
        <v>51</v>
      </c>
      <c r="D3299" s="14" t="s">
        <v>52</v>
      </c>
      <c r="E3299" s="14" t="s">
        <v>76</v>
      </c>
      <c r="F3299" s="14" t="s">
        <v>77</v>
      </c>
      <c r="G3299" s="14" t="s">
        <v>78</v>
      </c>
      <c r="H3299" s="0" t="n">
        <v>5</v>
      </c>
      <c r="I3299" s="16" t="n">
        <v>40.94</v>
      </c>
      <c r="J3299" s="16" t="n">
        <v>15</v>
      </c>
      <c r="K3299" s="16" t="n">
        <f aca="false">H3299*I3299</f>
        <v>204.7</v>
      </c>
      <c r="L3299" s="16" t="n">
        <f aca="false">H3299*J3299</f>
        <v>75</v>
      </c>
      <c r="M3299" s="16" t="n">
        <f aca="false">K3299-L3299</f>
        <v>129.7</v>
      </c>
      <c r="N3299" s="17" t="n">
        <f aca="false">IFERROR(M3299/K3299,0)</f>
        <v>0.633610161211529</v>
      </c>
    </row>
    <row r="3300" customFormat="false" ht="15" hidden="false" customHeight="false" outlineLevel="0" collapsed="false">
      <c r="A3300" s="15" t="n">
        <v>46160</v>
      </c>
      <c r="B3300" s="14" t="s">
        <v>59</v>
      </c>
      <c r="C3300" s="14" t="s">
        <v>60</v>
      </c>
      <c r="D3300" s="14" t="s">
        <v>61</v>
      </c>
      <c r="E3300" s="14" t="s">
        <v>64</v>
      </c>
      <c r="F3300" s="14" t="s">
        <v>65</v>
      </c>
      <c r="G3300" s="14" t="s">
        <v>66</v>
      </c>
      <c r="H3300" s="0" t="n">
        <v>5</v>
      </c>
      <c r="I3300" s="16" t="n">
        <v>77.31</v>
      </c>
      <c r="J3300" s="16" t="n">
        <v>34</v>
      </c>
      <c r="K3300" s="16" t="n">
        <f aca="false">H3300*I3300</f>
        <v>386.55</v>
      </c>
      <c r="L3300" s="16" t="n">
        <f aca="false">H3300*J3300</f>
        <v>170</v>
      </c>
      <c r="M3300" s="16" t="n">
        <f aca="false">K3300-L3300</f>
        <v>216.55</v>
      </c>
      <c r="N3300" s="17" t="n">
        <f aca="false">IFERROR(M3300/K3300,0)</f>
        <v>0.560212132971155</v>
      </c>
    </row>
    <row r="3301" customFormat="false" ht="15" hidden="false" customHeight="false" outlineLevel="0" collapsed="false">
      <c r="A3301" s="15" t="n">
        <v>46160</v>
      </c>
      <c r="B3301" s="14" t="s">
        <v>59</v>
      </c>
      <c r="C3301" s="14" t="s">
        <v>60</v>
      </c>
      <c r="D3301" s="14" t="s">
        <v>61</v>
      </c>
      <c r="E3301" s="14" t="s">
        <v>76</v>
      </c>
      <c r="F3301" s="14" t="s">
        <v>100</v>
      </c>
      <c r="G3301" s="14" t="s">
        <v>101</v>
      </c>
      <c r="H3301" s="0" t="n">
        <v>7</v>
      </c>
      <c r="I3301" s="16" t="n">
        <v>15</v>
      </c>
      <c r="J3301" s="16" t="n">
        <v>5.5</v>
      </c>
      <c r="K3301" s="16" t="n">
        <f aca="false">H3301*I3301</f>
        <v>105</v>
      </c>
      <c r="L3301" s="16" t="n">
        <f aca="false">H3301*J3301</f>
        <v>38.5</v>
      </c>
      <c r="M3301" s="16" t="n">
        <f aca="false">K3301-L3301</f>
        <v>66.5</v>
      </c>
      <c r="N3301" s="17" t="n">
        <f aca="false">IFERROR(M3301/K3301,0)</f>
        <v>0.633333333333333</v>
      </c>
    </row>
    <row r="3302" customFormat="false" ht="15" hidden="false" customHeight="false" outlineLevel="0" collapsed="false">
      <c r="A3302" s="15" t="n">
        <v>46160</v>
      </c>
      <c r="B3302" s="14" t="s">
        <v>59</v>
      </c>
      <c r="C3302" s="14" t="s">
        <v>60</v>
      </c>
      <c r="D3302" s="14" t="s">
        <v>61</v>
      </c>
      <c r="E3302" s="14" t="s">
        <v>76</v>
      </c>
      <c r="F3302" s="14" t="s">
        <v>100</v>
      </c>
      <c r="G3302" s="14" t="s">
        <v>101</v>
      </c>
      <c r="H3302" s="0" t="n">
        <v>2</v>
      </c>
      <c r="I3302" s="16" t="n">
        <v>15.01</v>
      </c>
      <c r="J3302" s="16" t="n">
        <v>5.5</v>
      </c>
      <c r="K3302" s="16" t="n">
        <f aca="false">H3302*I3302</f>
        <v>30.02</v>
      </c>
      <c r="L3302" s="16" t="n">
        <f aca="false">H3302*J3302</f>
        <v>11</v>
      </c>
      <c r="M3302" s="16" t="n">
        <f aca="false">K3302-L3302</f>
        <v>19.02</v>
      </c>
      <c r="N3302" s="17" t="n">
        <f aca="false">IFERROR(M3302/K3302,0)</f>
        <v>0.633577614923384</v>
      </c>
    </row>
    <row r="3303" customFormat="false" ht="15" hidden="false" customHeight="false" outlineLevel="0" collapsed="false">
      <c r="A3303" s="15" t="n">
        <v>46160</v>
      </c>
      <c r="B3303" s="14" t="s">
        <v>59</v>
      </c>
      <c r="C3303" s="14" t="s">
        <v>60</v>
      </c>
      <c r="D3303" s="14" t="s">
        <v>61</v>
      </c>
      <c r="E3303" s="14" t="s">
        <v>64</v>
      </c>
      <c r="F3303" s="14" t="s">
        <v>96</v>
      </c>
      <c r="G3303" s="14" t="s">
        <v>97</v>
      </c>
      <c r="H3303" s="0" t="n">
        <v>4</v>
      </c>
      <c r="I3303" s="16" t="n">
        <v>57.66</v>
      </c>
      <c r="J3303" s="16" t="n">
        <v>24</v>
      </c>
      <c r="K3303" s="16" t="n">
        <f aca="false">H3303*I3303</f>
        <v>230.64</v>
      </c>
      <c r="L3303" s="16" t="n">
        <f aca="false">H3303*J3303</f>
        <v>96</v>
      </c>
      <c r="M3303" s="16" t="n">
        <f aca="false">K3303-L3303</f>
        <v>134.64</v>
      </c>
      <c r="N3303" s="17" t="n">
        <f aca="false">IFERROR(M3303/K3303,0)</f>
        <v>0.583766909469303</v>
      </c>
    </row>
    <row r="3304" customFormat="false" ht="15" hidden="false" customHeight="false" outlineLevel="0" collapsed="false">
      <c r="A3304" s="15" t="n">
        <v>46160</v>
      </c>
      <c r="B3304" s="14" t="s">
        <v>69</v>
      </c>
      <c r="C3304" s="14" t="s">
        <v>70</v>
      </c>
      <c r="D3304" s="14" t="s">
        <v>71</v>
      </c>
      <c r="E3304" s="14" t="s">
        <v>45</v>
      </c>
      <c r="F3304" s="14" t="s">
        <v>72</v>
      </c>
      <c r="G3304" s="14" t="s">
        <v>73</v>
      </c>
      <c r="H3304" s="0" t="n">
        <v>3</v>
      </c>
      <c r="I3304" s="16" t="n">
        <v>51.65</v>
      </c>
      <c r="J3304" s="16" t="n">
        <v>21</v>
      </c>
      <c r="K3304" s="16" t="n">
        <f aca="false">H3304*I3304</f>
        <v>154.95</v>
      </c>
      <c r="L3304" s="16" t="n">
        <f aca="false">H3304*J3304</f>
        <v>63</v>
      </c>
      <c r="M3304" s="16" t="n">
        <f aca="false">K3304-L3304</f>
        <v>91.95</v>
      </c>
      <c r="N3304" s="17" t="n">
        <f aca="false">IFERROR(M3304/K3304,0)</f>
        <v>0.593417231364956</v>
      </c>
    </row>
    <row r="3305" customFormat="false" ht="15" hidden="false" customHeight="false" outlineLevel="0" collapsed="false">
      <c r="A3305" s="15" t="n">
        <v>46160</v>
      </c>
      <c r="B3305" s="14" t="s">
        <v>69</v>
      </c>
      <c r="C3305" s="14" t="s">
        <v>70</v>
      </c>
      <c r="D3305" s="14" t="s">
        <v>71</v>
      </c>
      <c r="E3305" s="14" t="s">
        <v>76</v>
      </c>
      <c r="F3305" s="14" t="s">
        <v>77</v>
      </c>
      <c r="G3305" s="14" t="s">
        <v>78</v>
      </c>
      <c r="H3305" s="0" t="n">
        <v>7</v>
      </c>
      <c r="I3305" s="16" t="n">
        <v>39.66</v>
      </c>
      <c r="J3305" s="16" t="n">
        <v>15</v>
      </c>
      <c r="K3305" s="16" t="n">
        <f aca="false">H3305*I3305</f>
        <v>277.62</v>
      </c>
      <c r="L3305" s="16" t="n">
        <f aca="false">H3305*J3305</f>
        <v>105</v>
      </c>
      <c r="M3305" s="16" t="n">
        <f aca="false">K3305-L3305</f>
        <v>172.62</v>
      </c>
      <c r="N3305" s="17" t="n">
        <f aca="false">IFERROR(M3305/K3305,0)</f>
        <v>0.62178517397882</v>
      </c>
    </row>
    <row r="3306" customFormat="false" ht="15" hidden="false" customHeight="false" outlineLevel="0" collapsed="false">
      <c r="A3306" s="15" t="n">
        <v>46160</v>
      </c>
      <c r="B3306" s="14" t="s">
        <v>69</v>
      </c>
      <c r="C3306" s="14" t="s">
        <v>70</v>
      </c>
      <c r="D3306" s="14" t="s">
        <v>71</v>
      </c>
      <c r="E3306" s="14" t="s">
        <v>53</v>
      </c>
      <c r="F3306" s="14" t="s">
        <v>74</v>
      </c>
      <c r="G3306" s="14" t="s">
        <v>75</v>
      </c>
      <c r="H3306" s="0" t="n">
        <v>4</v>
      </c>
      <c r="I3306" s="16" t="n">
        <v>82.05</v>
      </c>
      <c r="J3306" s="16" t="n">
        <v>38</v>
      </c>
      <c r="K3306" s="16" t="n">
        <f aca="false">H3306*I3306</f>
        <v>328.2</v>
      </c>
      <c r="L3306" s="16" t="n">
        <f aca="false">H3306*J3306</f>
        <v>152</v>
      </c>
      <c r="M3306" s="16" t="n">
        <f aca="false">K3306-L3306</f>
        <v>176.2</v>
      </c>
      <c r="N3306" s="17" t="n">
        <f aca="false">IFERROR(M3306/K3306,0)</f>
        <v>0.536867763558806</v>
      </c>
    </row>
    <row r="3307" customFormat="false" ht="15" hidden="false" customHeight="false" outlineLevel="0" collapsed="false">
      <c r="A3307" s="15" t="n">
        <v>46160</v>
      </c>
      <c r="B3307" s="14" t="s">
        <v>69</v>
      </c>
      <c r="C3307" s="14" t="s">
        <v>70</v>
      </c>
      <c r="D3307" s="14" t="s">
        <v>71</v>
      </c>
      <c r="E3307" s="14" t="s">
        <v>45</v>
      </c>
      <c r="F3307" s="14" t="s">
        <v>46</v>
      </c>
      <c r="G3307" s="14" t="s">
        <v>47</v>
      </c>
      <c r="H3307" s="0" t="n">
        <v>2</v>
      </c>
      <c r="I3307" s="16" t="n">
        <v>42.15</v>
      </c>
      <c r="J3307" s="16" t="n">
        <v>18</v>
      </c>
      <c r="K3307" s="16" t="n">
        <f aca="false">H3307*I3307</f>
        <v>84.3</v>
      </c>
      <c r="L3307" s="16" t="n">
        <f aca="false">H3307*J3307</f>
        <v>36</v>
      </c>
      <c r="M3307" s="16" t="n">
        <f aca="false">K3307-L3307</f>
        <v>48.3</v>
      </c>
      <c r="N3307" s="17" t="n">
        <f aca="false">IFERROR(M3307/K3307,0)</f>
        <v>0.572953736654804</v>
      </c>
    </row>
    <row r="3308" customFormat="false" ht="15" hidden="false" customHeight="false" outlineLevel="0" collapsed="false">
      <c r="A3308" s="15" t="n">
        <v>46160</v>
      </c>
      <c r="B3308" s="14" t="s">
        <v>69</v>
      </c>
      <c r="C3308" s="14" t="s">
        <v>70</v>
      </c>
      <c r="D3308" s="14" t="s">
        <v>71</v>
      </c>
      <c r="E3308" s="14" t="s">
        <v>45</v>
      </c>
      <c r="F3308" s="14" t="s">
        <v>48</v>
      </c>
      <c r="G3308" s="14" t="s">
        <v>49</v>
      </c>
      <c r="H3308" s="0" t="n">
        <v>4</v>
      </c>
      <c r="I3308" s="16" t="n">
        <v>65.02</v>
      </c>
      <c r="J3308" s="16" t="n">
        <v>27.5</v>
      </c>
      <c r="K3308" s="16" t="n">
        <f aca="false">H3308*I3308</f>
        <v>260.08</v>
      </c>
      <c r="L3308" s="16" t="n">
        <f aca="false">H3308*J3308</f>
        <v>110</v>
      </c>
      <c r="M3308" s="16" t="n">
        <f aca="false">K3308-L3308</f>
        <v>150.08</v>
      </c>
      <c r="N3308" s="17" t="n">
        <f aca="false">IFERROR(M3308/K3308,0)</f>
        <v>0.577053214395571</v>
      </c>
    </row>
    <row r="3309" customFormat="false" ht="15" hidden="false" customHeight="false" outlineLevel="0" collapsed="false">
      <c r="A3309" s="15" t="n">
        <v>46160</v>
      </c>
      <c r="B3309" s="14" t="s">
        <v>69</v>
      </c>
      <c r="C3309" s="14" t="s">
        <v>70</v>
      </c>
      <c r="D3309" s="14" t="s">
        <v>71</v>
      </c>
      <c r="E3309" s="14" t="s">
        <v>45</v>
      </c>
      <c r="F3309" s="14" t="s">
        <v>72</v>
      </c>
      <c r="G3309" s="14" t="s">
        <v>73</v>
      </c>
      <c r="H3309" s="0" t="n">
        <v>5</v>
      </c>
      <c r="I3309" s="16" t="n">
        <v>50.59</v>
      </c>
      <c r="J3309" s="16" t="n">
        <v>21</v>
      </c>
      <c r="K3309" s="16" t="n">
        <f aca="false">H3309*I3309</f>
        <v>252.95</v>
      </c>
      <c r="L3309" s="16" t="n">
        <f aca="false">H3309*J3309</f>
        <v>105</v>
      </c>
      <c r="M3309" s="16" t="n">
        <f aca="false">K3309-L3309</f>
        <v>147.95</v>
      </c>
      <c r="N3309" s="17" t="n">
        <f aca="false">IFERROR(M3309/K3309,0)</f>
        <v>0.584898201225539</v>
      </c>
    </row>
    <row r="3310" customFormat="false" ht="15" hidden="false" customHeight="false" outlineLevel="0" collapsed="false">
      <c r="A3310" s="15" t="n">
        <v>46160</v>
      </c>
      <c r="B3310" s="14" t="s">
        <v>81</v>
      </c>
      <c r="C3310" s="14" t="s">
        <v>82</v>
      </c>
      <c r="D3310" s="14" t="s">
        <v>83</v>
      </c>
      <c r="E3310" s="14" t="s">
        <v>56</v>
      </c>
      <c r="F3310" s="14" t="s">
        <v>67</v>
      </c>
      <c r="G3310" s="14" t="s">
        <v>68</v>
      </c>
      <c r="H3310" s="0" t="n">
        <v>4</v>
      </c>
      <c r="I3310" s="16" t="n">
        <v>36.14</v>
      </c>
      <c r="J3310" s="16" t="n">
        <v>15</v>
      </c>
      <c r="K3310" s="16" t="n">
        <f aca="false">H3310*I3310</f>
        <v>144.56</v>
      </c>
      <c r="L3310" s="16" t="n">
        <f aca="false">H3310*J3310</f>
        <v>60</v>
      </c>
      <c r="M3310" s="16" t="n">
        <f aca="false">K3310-L3310</f>
        <v>84.56</v>
      </c>
      <c r="N3310" s="17" t="n">
        <f aca="false">IFERROR(M3310/K3310,0)</f>
        <v>0.584947426674045</v>
      </c>
    </row>
    <row r="3311" customFormat="false" ht="15" hidden="false" customHeight="false" outlineLevel="0" collapsed="false">
      <c r="A3311" s="15" t="n">
        <v>46160</v>
      </c>
      <c r="B3311" s="14" t="s">
        <v>81</v>
      </c>
      <c r="C3311" s="14" t="s">
        <v>82</v>
      </c>
      <c r="D3311" s="14" t="s">
        <v>83</v>
      </c>
      <c r="E3311" s="14" t="s">
        <v>53</v>
      </c>
      <c r="F3311" s="14" t="s">
        <v>92</v>
      </c>
      <c r="G3311" s="14" t="s">
        <v>93</v>
      </c>
      <c r="H3311" s="0" t="n">
        <v>7</v>
      </c>
      <c r="I3311" s="16" t="n">
        <v>116.34</v>
      </c>
      <c r="J3311" s="16" t="n">
        <v>52</v>
      </c>
      <c r="K3311" s="16" t="n">
        <f aca="false">H3311*I3311</f>
        <v>814.38</v>
      </c>
      <c r="L3311" s="16" t="n">
        <f aca="false">H3311*J3311</f>
        <v>364</v>
      </c>
      <c r="M3311" s="16" t="n">
        <f aca="false">K3311-L3311</f>
        <v>450.38</v>
      </c>
      <c r="N3311" s="17" t="n">
        <f aca="false">IFERROR(M3311/K3311,0)</f>
        <v>0.553034210073921</v>
      </c>
    </row>
    <row r="3312" customFormat="false" ht="15" hidden="false" customHeight="false" outlineLevel="0" collapsed="false">
      <c r="A3312" s="15" t="n">
        <v>46160</v>
      </c>
      <c r="B3312" s="14" t="s">
        <v>88</v>
      </c>
      <c r="C3312" s="14" t="s">
        <v>89</v>
      </c>
      <c r="D3312" s="14" t="s">
        <v>44</v>
      </c>
      <c r="E3312" s="14" t="s">
        <v>56</v>
      </c>
      <c r="F3312" s="14" t="s">
        <v>98</v>
      </c>
      <c r="G3312" s="14" t="s">
        <v>99</v>
      </c>
      <c r="H3312" s="0" t="n">
        <v>8</v>
      </c>
      <c r="I3312" s="16" t="n">
        <v>21.96</v>
      </c>
      <c r="J3312" s="16" t="n">
        <v>8</v>
      </c>
      <c r="K3312" s="16" t="n">
        <f aca="false">H3312*I3312</f>
        <v>175.68</v>
      </c>
      <c r="L3312" s="16" t="n">
        <f aca="false">H3312*J3312</f>
        <v>64</v>
      </c>
      <c r="M3312" s="16" t="n">
        <f aca="false">K3312-L3312</f>
        <v>111.68</v>
      </c>
      <c r="N3312" s="17" t="n">
        <f aca="false">IFERROR(M3312/K3312,0)</f>
        <v>0.635701275045537</v>
      </c>
    </row>
    <row r="3313" customFormat="false" ht="15" hidden="false" customHeight="false" outlineLevel="0" collapsed="false">
      <c r="A3313" s="15" t="n">
        <v>46160</v>
      </c>
      <c r="B3313" s="14" t="s">
        <v>88</v>
      </c>
      <c r="C3313" s="14" t="s">
        <v>89</v>
      </c>
      <c r="D3313" s="14" t="s">
        <v>44</v>
      </c>
      <c r="E3313" s="14" t="s">
        <v>64</v>
      </c>
      <c r="F3313" s="14" t="s">
        <v>94</v>
      </c>
      <c r="G3313" s="14" t="s">
        <v>95</v>
      </c>
      <c r="H3313" s="0" t="n">
        <v>6</v>
      </c>
      <c r="I3313" s="16" t="n">
        <v>91.33</v>
      </c>
      <c r="J3313" s="16" t="n">
        <v>42</v>
      </c>
      <c r="K3313" s="16" t="n">
        <f aca="false">H3313*I3313</f>
        <v>547.98</v>
      </c>
      <c r="L3313" s="16" t="n">
        <f aca="false">H3313*J3313</f>
        <v>252</v>
      </c>
      <c r="M3313" s="16" t="n">
        <f aca="false">K3313-L3313</f>
        <v>295.98</v>
      </c>
      <c r="N3313" s="17" t="n">
        <f aca="false">IFERROR(M3313/K3313,0)</f>
        <v>0.540129201795686</v>
      </c>
    </row>
    <row r="3314" customFormat="false" ht="15" hidden="false" customHeight="false" outlineLevel="0" collapsed="false">
      <c r="A3314" s="15" t="n">
        <v>46160</v>
      </c>
      <c r="B3314" s="14" t="s">
        <v>88</v>
      </c>
      <c r="C3314" s="14" t="s">
        <v>89</v>
      </c>
      <c r="D3314" s="14" t="s">
        <v>44</v>
      </c>
      <c r="E3314" s="14" t="s">
        <v>64</v>
      </c>
      <c r="F3314" s="14" t="s">
        <v>90</v>
      </c>
      <c r="G3314" s="14" t="s">
        <v>91</v>
      </c>
      <c r="H3314" s="0" t="n">
        <v>2</v>
      </c>
      <c r="I3314" s="16" t="n">
        <v>11.45</v>
      </c>
      <c r="J3314" s="16" t="n">
        <v>3.5</v>
      </c>
      <c r="K3314" s="16" t="n">
        <f aca="false">H3314*I3314</f>
        <v>22.9</v>
      </c>
      <c r="L3314" s="16" t="n">
        <f aca="false">H3314*J3314</f>
        <v>7</v>
      </c>
      <c r="M3314" s="16" t="n">
        <f aca="false">K3314-L3314</f>
        <v>15.9</v>
      </c>
      <c r="N3314" s="17" t="n">
        <f aca="false">IFERROR(M3314/K3314,0)</f>
        <v>0.694323144104803</v>
      </c>
    </row>
    <row r="3315" customFormat="false" ht="15" hidden="false" customHeight="false" outlineLevel="0" collapsed="false">
      <c r="A3315" s="15" t="n">
        <v>46160</v>
      </c>
      <c r="B3315" s="14" t="s">
        <v>88</v>
      </c>
      <c r="C3315" s="14" t="s">
        <v>89</v>
      </c>
      <c r="D3315" s="14" t="s">
        <v>44</v>
      </c>
      <c r="E3315" s="14" t="s">
        <v>56</v>
      </c>
      <c r="F3315" s="14" t="s">
        <v>67</v>
      </c>
      <c r="G3315" s="14" t="s">
        <v>68</v>
      </c>
      <c r="H3315" s="0" t="n">
        <v>8</v>
      </c>
      <c r="I3315" s="16" t="n">
        <v>37.98</v>
      </c>
      <c r="J3315" s="16" t="n">
        <v>15</v>
      </c>
      <c r="K3315" s="16" t="n">
        <f aca="false">H3315*I3315</f>
        <v>303.84</v>
      </c>
      <c r="L3315" s="16" t="n">
        <f aca="false">H3315*J3315</f>
        <v>120</v>
      </c>
      <c r="M3315" s="16" t="n">
        <f aca="false">K3315-L3315</f>
        <v>183.84</v>
      </c>
      <c r="N3315" s="17" t="n">
        <f aca="false">IFERROR(M3315/K3315,0)</f>
        <v>0.605055292259084</v>
      </c>
    </row>
    <row r="3316" customFormat="false" ht="15" hidden="false" customHeight="false" outlineLevel="0" collapsed="false">
      <c r="A3316" s="15" t="n">
        <v>46160</v>
      </c>
      <c r="B3316" s="14" t="s">
        <v>88</v>
      </c>
      <c r="C3316" s="14" t="s">
        <v>89</v>
      </c>
      <c r="D3316" s="14" t="s">
        <v>44</v>
      </c>
      <c r="E3316" s="14" t="s">
        <v>64</v>
      </c>
      <c r="F3316" s="14" t="s">
        <v>65</v>
      </c>
      <c r="G3316" s="14" t="s">
        <v>66</v>
      </c>
      <c r="H3316" s="0" t="n">
        <v>8</v>
      </c>
      <c r="I3316" s="16" t="n">
        <v>77.48</v>
      </c>
      <c r="J3316" s="16" t="n">
        <v>34</v>
      </c>
      <c r="K3316" s="16" t="n">
        <f aca="false">H3316*I3316</f>
        <v>619.84</v>
      </c>
      <c r="L3316" s="16" t="n">
        <f aca="false">H3316*J3316</f>
        <v>272</v>
      </c>
      <c r="M3316" s="16" t="n">
        <f aca="false">K3316-L3316</f>
        <v>347.84</v>
      </c>
      <c r="N3316" s="17" t="n">
        <f aca="false">IFERROR(M3316/K3316,0)</f>
        <v>0.561177077955602</v>
      </c>
    </row>
    <row r="3317" customFormat="false" ht="15" hidden="false" customHeight="false" outlineLevel="0" collapsed="false">
      <c r="A3317" s="15" t="n">
        <v>46161</v>
      </c>
      <c r="B3317" s="14" t="s">
        <v>42</v>
      </c>
      <c r="C3317" s="14" t="s">
        <v>43</v>
      </c>
      <c r="D3317" s="14" t="s">
        <v>44</v>
      </c>
      <c r="E3317" s="14" t="s">
        <v>64</v>
      </c>
      <c r="F3317" s="14" t="s">
        <v>94</v>
      </c>
      <c r="G3317" s="14" t="s">
        <v>95</v>
      </c>
      <c r="H3317" s="0" t="n">
        <v>3</v>
      </c>
      <c r="I3317" s="16" t="n">
        <v>91.74</v>
      </c>
      <c r="J3317" s="16" t="n">
        <v>42</v>
      </c>
      <c r="K3317" s="16" t="n">
        <f aca="false">H3317*I3317</f>
        <v>275.22</v>
      </c>
      <c r="L3317" s="16" t="n">
        <f aca="false">H3317*J3317</f>
        <v>126</v>
      </c>
      <c r="M3317" s="16" t="n">
        <f aca="false">K3317-L3317</f>
        <v>149.22</v>
      </c>
      <c r="N3317" s="17" t="n">
        <f aca="false">IFERROR(M3317/K3317,0)</f>
        <v>0.542184434270765</v>
      </c>
    </row>
    <row r="3318" customFormat="false" ht="15" hidden="false" customHeight="false" outlineLevel="0" collapsed="false">
      <c r="A3318" s="15" t="n">
        <v>46161</v>
      </c>
      <c r="B3318" s="14" t="s">
        <v>42</v>
      </c>
      <c r="C3318" s="14" t="s">
        <v>43</v>
      </c>
      <c r="D3318" s="14" t="s">
        <v>44</v>
      </c>
      <c r="E3318" s="14" t="s">
        <v>45</v>
      </c>
      <c r="F3318" s="14" t="s">
        <v>72</v>
      </c>
      <c r="G3318" s="14" t="s">
        <v>73</v>
      </c>
      <c r="H3318" s="0" t="n">
        <v>9</v>
      </c>
      <c r="I3318" s="16" t="n">
        <v>50.96</v>
      </c>
      <c r="J3318" s="16" t="n">
        <v>21</v>
      </c>
      <c r="K3318" s="16" t="n">
        <f aca="false">H3318*I3318</f>
        <v>458.64</v>
      </c>
      <c r="L3318" s="16" t="n">
        <f aca="false">H3318*J3318</f>
        <v>189</v>
      </c>
      <c r="M3318" s="16" t="n">
        <f aca="false">K3318-L3318</f>
        <v>269.64</v>
      </c>
      <c r="N3318" s="17" t="n">
        <f aca="false">IFERROR(M3318/K3318,0)</f>
        <v>0.587912087912088</v>
      </c>
    </row>
    <row r="3319" customFormat="false" ht="15" hidden="false" customHeight="false" outlineLevel="0" collapsed="false">
      <c r="A3319" s="15" t="n">
        <v>46161</v>
      </c>
      <c r="B3319" s="14" t="s">
        <v>50</v>
      </c>
      <c r="C3319" s="14" t="s">
        <v>51</v>
      </c>
      <c r="D3319" s="14" t="s">
        <v>52</v>
      </c>
      <c r="E3319" s="14" t="s">
        <v>56</v>
      </c>
      <c r="F3319" s="14" t="s">
        <v>57</v>
      </c>
      <c r="G3319" s="14" t="s">
        <v>58</v>
      </c>
      <c r="H3319" s="0" t="n">
        <v>1</v>
      </c>
      <c r="I3319" s="16" t="n">
        <v>25.54</v>
      </c>
      <c r="J3319" s="16" t="n">
        <v>10</v>
      </c>
      <c r="K3319" s="16" t="n">
        <f aca="false">H3319*I3319</f>
        <v>25.54</v>
      </c>
      <c r="L3319" s="16" t="n">
        <f aca="false">H3319*J3319</f>
        <v>10</v>
      </c>
      <c r="M3319" s="16" t="n">
        <f aca="false">K3319-L3319</f>
        <v>15.54</v>
      </c>
      <c r="N3319" s="17" t="n">
        <f aca="false">IFERROR(M3319/K3319,0)</f>
        <v>0.608457321848081</v>
      </c>
    </row>
    <row r="3320" customFormat="false" ht="15" hidden="false" customHeight="false" outlineLevel="0" collapsed="false">
      <c r="A3320" s="15" t="n">
        <v>46161</v>
      </c>
      <c r="B3320" s="14" t="s">
        <v>50</v>
      </c>
      <c r="C3320" s="14" t="s">
        <v>51</v>
      </c>
      <c r="D3320" s="14" t="s">
        <v>52</v>
      </c>
      <c r="E3320" s="14" t="s">
        <v>56</v>
      </c>
      <c r="F3320" s="14" t="s">
        <v>57</v>
      </c>
      <c r="G3320" s="14" t="s">
        <v>58</v>
      </c>
      <c r="H3320" s="0" t="n">
        <v>5</v>
      </c>
      <c r="I3320" s="16" t="n">
        <v>26.17</v>
      </c>
      <c r="J3320" s="16" t="n">
        <v>10</v>
      </c>
      <c r="K3320" s="16" t="n">
        <f aca="false">H3320*I3320</f>
        <v>130.85</v>
      </c>
      <c r="L3320" s="16" t="n">
        <f aca="false">H3320*J3320</f>
        <v>50</v>
      </c>
      <c r="M3320" s="16" t="n">
        <f aca="false">K3320-L3320</f>
        <v>80.85</v>
      </c>
      <c r="N3320" s="17" t="n">
        <f aca="false">IFERROR(M3320/K3320,0)</f>
        <v>0.617883072220099</v>
      </c>
    </row>
    <row r="3321" customFormat="false" ht="15" hidden="false" customHeight="false" outlineLevel="0" collapsed="false">
      <c r="A3321" s="15" t="n">
        <v>46161</v>
      </c>
      <c r="B3321" s="14" t="s">
        <v>50</v>
      </c>
      <c r="C3321" s="14" t="s">
        <v>51</v>
      </c>
      <c r="D3321" s="14" t="s">
        <v>52</v>
      </c>
      <c r="E3321" s="14" t="s">
        <v>45</v>
      </c>
      <c r="F3321" s="14" t="s">
        <v>48</v>
      </c>
      <c r="G3321" s="14" t="s">
        <v>49</v>
      </c>
      <c r="H3321" s="0" t="n">
        <v>3</v>
      </c>
      <c r="I3321" s="16" t="n">
        <v>65.79</v>
      </c>
      <c r="J3321" s="16" t="n">
        <v>27.5</v>
      </c>
      <c r="K3321" s="16" t="n">
        <f aca="false">H3321*I3321</f>
        <v>197.37</v>
      </c>
      <c r="L3321" s="16" t="n">
        <f aca="false">H3321*J3321</f>
        <v>82.5</v>
      </c>
      <c r="M3321" s="16" t="n">
        <f aca="false">K3321-L3321</f>
        <v>114.87</v>
      </c>
      <c r="N3321" s="17" t="n">
        <f aca="false">IFERROR(M3321/K3321,0)</f>
        <v>0.582003343973248</v>
      </c>
    </row>
    <row r="3322" customFormat="false" ht="15" hidden="false" customHeight="false" outlineLevel="0" collapsed="false">
      <c r="A3322" s="15" t="n">
        <v>46161</v>
      </c>
      <c r="B3322" s="14" t="s">
        <v>59</v>
      </c>
      <c r="C3322" s="14" t="s">
        <v>60</v>
      </c>
      <c r="D3322" s="14" t="s">
        <v>61</v>
      </c>
      <c r="E3322" s="14" t="s">
        <v>56</v>
      </c>
      <c r="F3322" s="14" t="s">
        <v>57</v>
      </c>
      <c r="G3322" s="14" t="s">
        <v>58</v>
      </c>
      <c r="H3322" s="0" t="n">
        <v>2</v>
      </c>
      <c r="I3322" s="16" t="n">
        <v>25.92</v>
      </c>
      <c r="J3322" s="16" t="n">
        <v>10</v>
      </c>
      <c r="K3322" s="16" t="n">
        <f aca="false">H3322*I3322</f>
        <v>51.84</v>
      </c>
      <c r="L3322" s="16" t="n">
        <f aca="false">H3322*J3322</f>
        <v>20</v>
      </c>
      <c r="M3322" s="16" t="n">
        <f aca="false">K3322-L3322</f>
        <v>31.84</v>
      </c>
      <c r="N3322" s="17" t="n">
        <f aca="false">IFERROR(M3322/K3322,0)</f>
        <v>0.614197530864198</v>
      </c>
    </row>
    <row r="3323" customFormat="false" ht="15" hidden="false" customHeight="false" outlineLevel="0" collapsed="false">
      <c r="A3323" s="15" t="n">
        <v>46161</v>
      </c>
      <c r="B3323" s="14" t="s">
        <v>59</v>
      </c>
      <c r="C3323" s="14" t="s">
        <v>60</v>
      </c>
      <c r="D3323" s="14" t="s">
        <v>61</v>
      </c>
      <c r="E3323" s="14" t="s">
        <v>64</v>
      </c>
      <c r="F3323" s="14" t="s">
        <v>94</v>
      </c>
      <c r="G3323" s="14" t="s">
        <v>95</v>
      </c>
      <c r="H3323" s="0" t="n">
        <v>6</v>
      </c>
      <c r="I3323" s="16" t="n">
        <v>97.43</v>
      </c>
      <c r="J3323" s="16" t="n">
        <v>42</v>
      </c>
      <c r="K3323" s="16" t="n">
        <f aca="false">H3323*I3323</f>
        <v>584.58</v>
      </c>
      <c r="L3323" s="16" t="n">
        <f aca="false">H3323*J3323</f>
        <v>252</v>
      </c>
      <c r="M3323" s="16" t="n">
        <f aca="false">K3323-L3323</f>
        <v>332.58</v>
      </c>
      <c r="N3323" s="17" t="n">
        <f aca="false">IFERROR(M3323/K3323,0)</f>
        <v>0.568921276814123</v>
      </c>
    </row>
    <row r="3324" customFormat="false" ht="15" hidden="false" customHeight="false" outlineLevel="0" collapsed="false">
      <c r="A3324" s="15" t="n">
        <v>46161</v>
      </c>
      <c r="B3324" s="14" t="s">
        <v>69</v>
      </c>
      <c r="C3324" s="14" t="s">
        <v>70</v>
      </c>
      <c r="D3324" s="14" t="s">
        <v>71</v>
      </c>
      <c r="E3324" s="14" t="s">
        <v>45</v>
      </c>
      <c r="F3324" s="14" t="s">
        <v>46</v>
      </c>
      <c r="G3324" s="14" t="s">
        <v>47</v>
      </c>
      <c r="H3324" s="0" t="n">
        <v>2</v>
      </c>
      <c r="I3324" s="16" t="n">
        <v>43.91</v>
      </c>
      <c r="J3324" s="16" t="n">
        <v>18</v>
      </c>
      <c r="K3324" s="16" t="n">
        <f aca="false">H3324*I3324</f>
        <v>87.82</v>
      </c>
      <c r="L3324" s="16" t="n">
        <f aca="false">H3324*J3324</f>
        <v>36</v>
      </c>
      <c r="M3324" s="16" t="n">
        <f aca="false">K3324-L3324</f>
        <v>51.82</v>
      </c>
      <c r="N3324" s="17" t="n">
        <f aca="false">IFERROR(M3324/K3324,0)</f>
        <v>0.590070598952403</v>
      </c>
    </row>
    <row r="3325" customFormat="false" ht="15" hidden="false" customHeight="false" outlineLevel="0" collapsed="false">
      <c r="A3325" s="15" t="n">
        <v>46161</v>
      </c>
      <c r="B3325" s="14" t="s">
        <v>69</v>
      </c>
      <c r="C3325" s="14" t="s">
        <v>70</v>
      </c>
      <c r="D3325" s="14" t="s">
        <v>71</v>
      </c>
      <c r="E3325" s="14" t="s">
        <v>64</v>
      </c>
      <c r="F3325" s="14" t="s">
        <v>96</v>
      </c>
      <c r="G3325" s="14" t="s">
        <v>97</v>
      </c>
      <c r="H3325" s="0" t="n">
        <v>7</v>
      </c>
      <c r="I3325" s="16" t="n">
        <v>55.66</v>
      </c>
      <c r="J3325" s="16" t="n">
        <v>24</v>
      </c>
      <c r="K3325" s="16" t="n">
        <f aca="false">H3325*I3325</f>
        <v>389.62</v>
      </c>
      <c r="L3325" s="16" t="n">
        <f aca="false">H3325*J3325</f>
        <v>168</v>
      </c>
      <c r="M3325" s="16" t="n">
        <f aca="false">K3325-L3325</f>
        <v>221.62</v>
      </c>
      <c r="N3325" s="17" t="n">
        <f aca="false">IFERROR(M3325/K3325,0)</f>
        <v>0.568810636004312</v>
      </c>
    </row>
    <row r="3326" customFormat="false" ht="15" hidden="false" customHeight="false" outlineLevel="0" collapsed="false">
      <c r="A3326" s="15" t="n">
        <v>46161</v>
      </c>
      <c r="B3326" s="14" t="s">
        <v>69</v>
      </c>
      <c r="C3326" s="14" t="s">
        <v>70</v>
      </c>
      <c r="D3326" s="14" t="s">
        <v>71</v>
      </c>
      <c r="E3326" s="14" t="s">
        <v>53</v>
      </c>
      <c r="F3326" s="14" t="s">
        <v>74</v>
      </c>
      <c r="G3326" s="14" t="s">
        <v>75</v>
      </c>
      <c r="H3326" s="0" t="n">
        <v>5</v>
      </c>
      <c r="I3326" s="16" t="n">
        <v>86.16</v>
      </c>
      <c r="J3326" s="16" t="n">
        <v>38</v>
      </c>
      <c r="K3326" s="16" t="n">
        <f aca="false">H3326*I3326</f>
        <v>430.8</v>
      </c>
      <c r="L3326" s="16" t="n">
        <f aca="false">H3326*J3326</f>
        <v>190</v>
      </c>
      <c r="M3326" s="16" t="n">
        <f aca="false">K3326-L3326</f>
        <v>240.8</v>
      </c>
      <c r="N3326" s="17" t="n">
        <f aca="false">IFERROR(M3326/K3326,0)</f>
        <v>0.558960074280409</v>
      </c>
    </row>
    <row r="3327" customFormat="false" ht="15" hidden="false" customHeight="false" outlineLevel="0" collapsed="false">
      <c r="A3327" s="15" t="n">
        <v>46161</v>
      </c>
      <c r="B3327" s="14" t="s">
        <v>69</v>
      </c>
      <c r="C3327" s="14" t="s">
        <v>70</v>
      </c>
      <c r="D3327" s="14" t="s">
        <v>71</v>
      </c>
      <c r="E3327" s="14" t="s">
        <v>64</v>
      </c>
      <c r="F3327" s="14" t="s">
        <v>65</v>
      </c>
      <c r="G3327" s="14" t="s">
        <v>66</v>
      </c>
      <c r="H3327" s="0" t="n">
        <v>3</v>
      </c>
      <c r="I3327" s="16" t="n">
        <v>78.8</v>
      </c>
      <c r="J3327" s="16" t="n">
        <v>34</v>
      </c>
      <c r="K3327" s="16" t="n">
        <f aca="false">H3327*I3327</f>
        <v>236.4</v>
      </c>
      <c r="L3327" s="16" t="n">
        <f aca="false">H3327*J3327</f>
        <v>102</v>
      </c>
      <c r="M3327" s="16" t="n">
        <f aca="false">K3327-L3327</f>
        <v>134.4</v>
      </c>
      <c r="N3327" s="17" t="n">
        <f aca="false">IFERROR(M3327/K3327,0)</f>
        <v>0.568527918781726</v>
      </c>
    </row>
    <row r="3328" customFormat="false" ht="15" hidden="false" customHeight="false" outlineLevel="0" collapsed="false">
      <c r="A3328" s="15" t="n">
        <v>46161</v>
      </c>
      <c r="B3328" s="14" t="s">
        <v>69</v>
      </c>
      <c r="C3328" s="14" t="s">
        <v>70</v>
      </c>
      <c r="D3328" s="14" t="s">
        <v>71</v>
      </c>
      <c r="E3328" s="14" t="s">
        <v>45</v>
      </c>
      <c r="F3328" s="14" t="s">
        <v>62</v>
      </c>
      <c r="G3328" s="14" t="s">
        <v>63</v>
      </c>
      <c r="H3328" s="0" t="n">
        <v>7</v>
      </c>
      <c r="I3328" s="16" t="n">
        <v>17.26</v>
      </c>
      <c r="J3328" s="16" t="n">
        <v>6.5</v>
      </c>
      <c r="K3328" s="16" t="n">
        <f aca="false">H3328*I3328</f>
        <v>120.82</v>
      </c>
      <c r="L3328" s="16" t="n">
        <f aca="false">H3328*J3328</f>
        <v>45.5</v>
      </c>
      <c r="M3328" s="16" t="n">
        <f aca="false">K3328-L3328</f>
        <v>75.32</v>
      </c>
      <c r="N3328" s="17" t="n">
        <f aca="false">IFERROR(M3328/K3328,0)</f>
        <v>0.623406720741599</v>
      </c>
    </row>
    <row r="3329" customFormat="false" ht="15" hidden="false" customHeight="false" outlineLevel="0" collapsed="false">
      <c r="A3329" s="15" t="n">
        <v>46161</v>
      </c>
      <c r="B3329" s="14" t="s">
        <v>69</v>
      </c>
      <c r="C3329" s="14" t="s">
        <v>70</v>
      </c>
      <c r="D3329" s="14" t="s">
        <v>71</v>
      </c>
      <c r="E3329" s="14" t="s">
        <v>45</v>
      </c>
      <c r="F3329" s="14" t="s">
        <v>72</v>
      </c>
      <c r="G3329" s="14" t="s">
        <v>73</v>
      </c>
      <c r="H3329" s="0" t="n">
        <v>3</v>
      </c>
      <c r="I3329" s="16" t="n">
        <v>51.05</v>
      </c>
      <c r="J3329" s="16" t="n">
        <v>21</v>
      </c>
      <c r="K3329" s="16" t="n">
        <f aca="false">H3329*I3329</f>
        <v>153.15</v>
      </c>
      <c r="L3329" s="16" t="n">
        <f aca="false">H3329*J3329</f>
        <v>63</v>
      </c>
      <c r="M3329" s="16" t="n">
        <f aca="false">K3329-L3329</f>
        <v>90.15</v>
      </c>
      <c r="N3329" s="17" t="n">
        <f aca="false">IFERROR(M3329/K3329,0)</f>
        <v>0.588638589618022</v>
      </c>
    </row>
    <row r="3330" customFormat="false" ht="15" hidden="false" customHeight="false" outlineLevel="0" collapsed="false">
      <c r="A3330" s="15" t="n">
        <v>46161</v>
      </c>
      <c r="B3330" s="14" t="s">
        <v>81</v>
      </c>
      <c r="C3330" s="14" t="s">
        <v>82</v>
      </c>
      <c r="D3330" s="14" t="s">
        <v>83</v>
      </c>
      <c r="E3330" s="14" t="s">
        <v>76</v>
      </c>
      <c r="F3330" s="14" t="s">
        <v>77</v>
      </c>
      <c r="G3330" s="14" t="s">
        <v>78</v>
      </c>
      <c r="H3330" s="0" t="n">
        <v>3</v>
      </c>
      <c r="I3330" s="16" t="n">
        <v>39.78</v>
      </c>
      <c r="J3330" s="16" t="n">
        <v>15</v>
      </c>
      <c r="K3330" s="16" t="n">
        <f aca="false">H3330*I3330</f>
        <v>119.34</v>
      </c>
      <c r="L3330" s="16" t="n">
        <f aca="false">H3330*J3330</f>
        <v>45</v>
      </c>
      <c r="M3330" s="16" t="n">
        <f aca="false">K3330-L3330</f>
        <v>74.34</v>
      </c>
      <c r="N3330" s="17" t="n">
        <f aca="false">IFERROR(M3330/K3330,0)</f>
        <v>0.622926093514329</v>
      </c>
    </row>
    <row r="3331" customFormat="false" ht="15" hidden="false" customHeight="false" outlineLevel="0" collapsed="false">
      <c r="A3331" s="15" t="n">
        <v>46161</v>
      </c>
      <c r="B3331" s="14" t="s">
        <v>81</v>
      </c>
      <c r="C3331" s="14" t="s">
        <v>82</v>
      </c>
      <c r="D3331" s="14" t="s">
        <v>83</v>
      </c>
      <c r="E3331" s="14" t="s">
        <v>56</v>
      </c>
      <c r="F3331" s="14" t="s">
        <v>57</v>
      </c>
      <c r="G3331" s="14" t="s">
        <v>58</v>
      </c>
      <c r="H3331" s="0" t="n">
        <v>3</v>
      </c>
      <c r="I3331" s="16" t="n">
        <v>26.38</v>
      </c>
      <c r="J3331" s="16" t="n">
        <v>10</v>
      </c>
      <c r="K3331" s="16" t="n">
        <f aca="false">H3331*I3331</f>
        <v>79.14</v>
      </c>
      <c r="L3331" s="16" t="n">
        <f aca="false">H3331*J3331</f>
        <v>30</v>
      </c>
      <c r="M3331" s="16" t="n">
        <f aca="false">K3331-L3331</f>
        <v>49.14</v>
      </c>
      <c r="N3331" s="17" t="n">
        <f aca="false">IFERROR(M3331/K3331,0)</f>
        <v>0.620924943138742</v>
      </c>
    </row>
    <row r="3332" customFormat="false" ht="15" hidden="false" customHeight="false" outlineLevel="0" collapsed="false">
      <c r="A3332" s="15" t="n">
        <v>46161</v>
      </c>
      <c r="B3332" s="14" t="s">
        <v>88</v>
      </c>
      <c r="C3332" s="14" t="s">
        <v>89</v>
      </c>
      <c r="D3332" s="14" t="s">
        <v>44</v>
      </c>
      <c r="E3332" s="14" t="s">
        <v>45</v>
      </c>
      <c r="F3332" s="14" t="s">
        <v>62</v>
      </c>
      <c r="G3332" s="14" t="s">
        <v>63</v>
      </c>
      <c r="H3332" s="0" t="n">
        <v>3</v>
      </c>
      <c r="I3332" s="16" t="n">
        <v>16.75</v>
      </c>
      <c r="J3332" s="16" t="n">
        <v>6.5</v>
      </c>
      <c r="K3332" s="16" t="n">
        <f aca="false">H3332*I3332</f>
        <v>50.25</v>
      </c>
      <c r="L3332" s="16" t="n">
        <f aca="false">H3332*J3332</f>
        <v>19.5</v>
      </c>
      <c r="M3332" s="16" t="n">
        <f aca="false">K3332-L3332</f>
        <v>30.75</v>
      </c>
      <c r="N3332" s="17" t="n">
        <f aca="false">IFERROR(M3332/K3332,0)</f>
        <v>0.611940298507463</v>
      </c>
    </row>
    <row r="3333" customFormat="false" ht="15" hidden="false" customHeight="false" outlineLevel="0" collapsed="false">
      <c r="A3333" s="15" t="n">
        <v>46161</v>
      </c>
      <c r="B3333" s="14" t="s">
        <v>88</v>
      </c>
      <c r="C3333" s="14" t="s">
        <v>89</v>
      </c>
      <c r="D3333" s="14" t="s">
        <v>44</v>
      </c>
      <c r="E3333" s="14" t="s">
        <v>56</v>
      </c>
      <c r="F3333" s="14" t="s">
        <v>98</v>
      </c>
      <c r="G3333" s="14" t="s">
        <v>99</v>
      </c>
      <c r="H3333" s="0" t="n">
        <v>8</v>
      </c>
      <c r="I3333" s="16" t="n">
        <v>21.11</v>
      </c>
      <c r="J3333" s="16" t="n">
        <v>8</v>
      </c>
      <c r="K3333" s="16" t="n">
        <f aca="false">H3333*I3333</f>
        <v>168.88</v>
      </c>
      <c r="L3333" s="16" t="n">
        <f aca="false">H3333*J3333</f>
        <v>64</v>
      </c>
      <c r="M3333" s="16" t="n">
        <f aca="false">K3333-L3333</f>
        <v>104.88</v>
      </c>
      <c r="N3333" s="17" t="n">
        <f aca="false">IFERROR(M3333/K3333,0)</f>
        <v>0.621032685930839</v>
      </c>
    </row>
    <row r="3334" customFormat="false" ht="15" hidden="false" customHeight="false" outlineLevel="0" collapsed="false">
      <c r="A3334" s="15" t="n">
        <v>46162</v>
      </c>
      <c r="B3334" s="14" t="s">
        <v>42</v>
      </c>
      <c r="C3334" s="14" t="s">
        <v>43</v>
      </c>
      <c r="D3334" s="14" t="s">
        <v>44</v>
      </c>
      <c r="E3334" s="14" t="s">
        <v>45</v>
      </c>
      <c r="F3334" s="14" t="s">
        <v>46</v>
      </c>
      <c r="G3334" s="14" t="s">
        <v>47</v>
      </c>
      <c r="H3334" s="0" t="n">
        <v>3</v>
      </c>
      <c r="I3334" s="16" t="n">
        <v>42.91</v>
      </c>
      <c r="J3334" s="16" t="n">
        <v>18</v>
      </c>
      <c r="K3334" s="16" t="n">
        <f aca="false">H3334*I3334</f>
        <v>128.73</v>
      </c>
      <c r="L3334" s="16" t="n">
        <f aca="false">H3334*J3334</f>
        <v>54</v>
      </c>
      <c r="M3334" s="16" t="n">
        <f aca="false">K3334-L3334</f>
        <v>74.73</v>
      </c>
      <c r="N3334" s="17" t="n">
        <f aca="false">IFERROR(M3334/K3334,0)</f>
        <v>0.580517361920298</v>
      </c>
    </row>
    <row r="3335" customFormat="false" ht="15" hidden="false" customHeight="false" outlineLevel="0" collapsed="false">
      <c r="A3335" s="15" t="n">
        <v>46162</v>
      </c>
      <c r="B3335" s="14" t="s">
        <v>42</v>
      </c>
      <c r="C3335" s="14" t="s">
        <v>43</v>
      </c>
      <c r="D3335" s="14" t="s">
        <v>44</v>
      </c>
      <c r="E3335" s="14" t="s">
        <v>45</v>
      </c>
      <c r="F3335" s="14" t="s">
        <v>46</v>
      </c>
      <c r="G3335" s="14" t="s">
        <v>47</v>
      </c>
      <c r="H3335" s="0" t="n">
        <v>9</v>
      </c>
      <c r="I3335" s="16" t="n">
        <v>43.41</v>
      </c>
      <c r="J3335" s="16" t="n">
        <v>18</v>
      </c>
      <c r="K3335" s="16" t="n">
        <f aca="false">H3335*I3335</f>
        <v>390.69</v>
      </c>
      <c r="L3335" s="16" t="n">
        <f aca="false">H3335*J3335</f>
        <v>162</v>
      </c>
      <c r="M3335" s="16" t="n">
        <f aca="false">K3335-L3335</f>
        <v>228.69</v>
      </c>
      <c r="N3335" s="17" t="n">
        <f aca="false">IFERROR(M3335/K3335,0)</f>
        <v>0.585348997926745</v>
      </c>
    </row>
    <row r="3336" customFormat="false" ht="15" hidden="false" customHeight="false" outlineLevel="0" collapsed="false">
      <c r="A3336" s="15" t="n">
        <v>46162</v>
      </c>
      <c r="B3336" s="14" t="s">
        <v>42</v>
      </c>
      <c r="C3336" s="14" t="s">
        <v>43</v>
      </c>
      <c r="D3336" s="14" t="s">
        <v>44</v>
      </c>
      <c r="E3336" s="14" t="s">
        <v>64</v>
      </c>
      <c r="F3336" s="14" t="s">
        <v>65</v>
      </c>
      <c r="G3336" s="14" t="s">
        <v>66</v>
      </c>
      <c r="H3336" s="0" t="n">
        <v>3</v>
      </c>
      <c r="I3336" s="16" t="n">
        <v>73.23</v>
      </c>
      <c r="J3336" s="16" t="n">
        <v>34</v>
      </c>
      <c r="K3336" s="16" t="n">
        <f aca="false">H3336*I3336</f>
        <v>219.69</v>
      </c>
      <c r="L3336" s="16" t="n">
        <f aca="false">H3336*J3336</f>
        <v>102</v>
      </c>
      <c r="M3336" s="16" t="n">
        <f aca="false">K3336-L3336</f>
        <v>117.69</v>
      </c>
      <c r="N3336" s="17" t="n">
        <f aca="false">IFERROR(M3336/K3336,0)</f>
        <v>0.535709408712276</v>
      </c>
    </row>
    <row r="3337" customFormat="false" ht="15" hidden="false" customHeight="false" outlineLevel="0" collapsed="false">
      <c r="A3337" s="15" t="n">
        <v>46162</v>
      </c>
      <c r="B3337" s="14" t="s">
        <v>42</v>
      </c>
      <c r="C3337" s="14" t="s">
        <v>43</v>
      </c>
      <c r="D3337" s="14" t="s">
        <v>44</v>
      </c>
      <c r="E3337" s="14" t="s">
        <v>76</v>
      </c>
      <c r="F3337" s="14" t="s">
        <v>100</v>
      </c>
      <c r="G3337" s="14" t="s">
        <v>101</v>
      </c>
      <c r="H3337" s="0" t="n">
        <v>10</v>
      </c>
      <c r="I3337" s="16" t="n">
        <v>15.37</v>
      </c>
      <c r="J3337" s="16" t="n">
        <v>5.5</v>
      </c>
      <c r="K3337" s="16" t="n">
        <f aca="false">H3337*I3337</f>
        <v>153.7</v>
      </c>
      <c r="L3337" s="16" t="n">
        <f aca="false">H3337*J3337</f>
        <v>55</v>
      </c>
      <c r="M3337" s="16" t="n">
        <f aca="false">K3337-L3337</f>
        <v>98.7</v>
      </c>
      <c r="N3337" s="17" t="n">
        <f aca="false">IFERROR(M3337/K3337,0)</f>
        <v>0.642160052049447</v>
      </c>
    </row>
    <row r="3338" customFormat="false" ht="15" hidden="false" customHeight="false" outlineLevel="0" collapsed="false">
      <c r="A3338" s="15" t="n">
        <v>46162</v>
      </c>
      <c r="B3338" s="14" t="s">
        <v>42</v>
      </c>
      <c r="C3338" s="14" t="s">
        <v>43</v>
      </c>
      <c r="D3338" s="14" t="s">
        <v>44</v>
      </c>
      <c r="E3338" s="14" t="s">
        <v>53</v>
      </c>
      <c r="F3338" s="14" t="s">
        <v>54</v>
      </c>
      <c r="G3338" s="14" t="s">
        <v>55</v>
      </c>
      <c r="H3338" s="0" t="n">
        <v>3</v>
      </c>
      <c r="I3338" s="16" t="n">
        <v>50.71</v>
      </c>
      <c r="J3338" s="16" t="n">
        <v>22</v>
      </c>
      <c r="K3338" s="16" t="n">
        <f aca="false">H3338*I3338</f>
        <v>152.13</v>
      </c>
      <c r="L3338" s="16" t="n">
        <f aca="false">H3338*J3338</f>
        <v>66</v>
      </c>
      <c r="M3338" s="16" t="n">
        <f aca="false">K3338-L3338</f>
        <v>86.13</v>
      </c>
      <c r="N3338" s="17" t="n">
        <f aca="false">IFERROR(M3338/K3338,0)</f>
        <v>0.566160520607375</v>
      </c>
    </row>
    <row r="3339" customFormat="false" ht="15" hidden="false" customHeight="false" outlineLevel="0" collapsed="false">
      <c r="A3339" s="15" t="n">
        <v>46162</v>
      </c>
      <c r="B3339" s="14" t="s">
        <v>50</v>
      </c>
      <c r="C3339" s="14" t="s">
        <v>51</v>
      </c>
      <c r="D3339" s="14" t="s">
        <v>52</v>
      </c>
      <c r="E3339" s="14" t="s">
        <v>56</v>
      </c>
      <c r="F3339" s="14" t="s">
        <v>86</v>
      </c>
      <c r="G3339" s="14" t="s">
        <v>87</v>
      </c>
      <c r="H3339" s="0" t="n">
        <v>5</v>
      </c>
      <c r="I3339" s="16" t="n">
        <v>14.34</v>
      </c>
      <c r="J3339" s="16" t="n">
        <v>5</v>
      </c>
      <c r="K3339" s="16" t="n">
        <f aca="false">H3339*I3339</f>
        <v>71.7</v>
      </c>
      <c r="L3339" s="16" t="n">
        <f aca="false">H3339*J3339</f>
        <v>25</v>
      </c>
      <c r="M3339" s="16" t="n">
        <f aca="false">K3339-L3339</f>
        <v>46.7</v>
      </c>
      <c r="N3339" s="17" t="n">
        <f aca="false">IFERROR(M3339/K3339,0)</f>
        <v>0.651324965132497</v>
      </c>
    </row>
    <row r="3340" customFormat="false" ht="15" hidden="false" customHeight="false" outlineLevel="0" collapsed="false">
      <c r="A3340" s="15" t="n">
        <v>46162</v>
      </c>
      <c r="B3340" s="14" t="s">
        <v>50</v>
      </c>
      <c r="C3340" s="14" t="s">
        <v>51</v>
      </c>
      <c r="D3340" s="14" t="s">
        <v>52</v>
      </c>
      <c r="E3340" s="14" t="s">
        <v>56</v>
      </c>
      <c r="F3340" s="14" t="s">
        <v>67</v>
      </c>
      <c r="G3340" s="14" t="s">
        <v>68</v>
      </c>
      <c r="H3340" s="0" t="n">
        <v>6</v>
      </c>
      <c r="I3340" s="16" t="n">
        <v>36.41</v>
      </c>
      <c r="J3340" s="16" t="n">
        <v>15</v>
      </c>
      <c r="K3340" s="16" t="n">
        <f aca="false">H3340*I3340</f>
        <v>218.46</v>
      </c>
      <c r="L3340" s="16" t="n">
        <f aca="false">H3340*J3340</f>
        <v>90</v>
      </c>
      <c r="M3340" s="16" t="n">
        <f aca="false">K3340-L3340</f>
        <v>128.46</v>
      </c>
      <c r="N3340" s="17" t="n">
        <f aca="false">IFERROR(M3340/K3340,0)</f>
        <v>0.588025267783576</v>
      </c>
    </row>
    <row r="3341" customFormat="false" ht="15" hidden="false" customHeight="false" outlineLevel="0" collapsed="false">
      <c r="A3341" s="15" t="n">
        <v>46162</v>
      </c>
      <c r="B3341" s="14" t="s">
        <v>59</v>
      </c>
      <c r="C3341" s="14" t="s">
        <v>60</v>
      </c>
      <c r="D3341" s="14" t="s">
        <v>61</v>
      </c>
      <c r="E3341" s="14" t="s">
        <v>56</v>
      </c>
      <c r="F3341" s="14" t="s">
        <v>57</v>
      </c>
      <c r="G3341" s="14" t="s">
        <v>58</v>
      </c>
      <c r="H3341" s="0" t="n">
        <v>2</v>
      </c>
      <c r="I3341" s="16" t="n">
        <v>26.05</v>
      </c>
      <c r="J3341" s="16" t="n">
        <v>10</v>
      </c>
      <c r="K3341" s="16" t="n">
        <f aca="false">H3341*I3341</f>
        <v>52.1</v>
      </c>
      <c r="L3341" s="16" t="n">
        <f aca="false">H3341*J3341</f>
        <v>20</v>
      </c>
      <c r="M3341" s="16" t="n">
        <f aca="false">K3341-L3341</f>
        <v>32.1</v>
      </c>
      <c r="N3341" s="17" t="n">
        <f aca="false">IFERROR(M3341/K3341,0)</f>
        <v>0.616122840690979</v>
      </c>
    </row>
    <row r="3342" customFormat="false" ht="15" hidden="false" customHeight="false" outlineLevel="0" collapsed="false">
      <c r="A3342" s="15" t="n">
        <v>46162</v>
      </c>
      <c r="B3342" s="14" t="s">
        <v>59</v>
      </c>
      <c r="C3342" s="14" t="s">
        <v>60</v>
      </c>
      <c r="D3342" s="14" t="s">
        <v>61</v>
      </c>
      <c r="E3342" s="14" t="s">
        <v>53</v>
      </c>
      <c r="F3342" s="14" t="s">
        <v>54</v>
      </c>
      <c r="G3342" s="14" t="s">
        <v>55</v>
      </c>
      <c r="H3342" s="0" t="n">
        <v>3</v>
      </c>
      <c r="I3342" s="16" t="n">
        <v>51.92</v>
      </c>
      <c r="J3342" s="16" t="n">
        <v>22</v>
      </c>
      <c r="K3342" s="16" t="n">
        <f aca="false">H3342*I3342</f>
        <v>155.76</v>
      </c>
      <c r="L3342" s="16" t="n">
        <f aca="false">H3342*J3342</f>
        <v>66</v>
      </c>
      <c r="M3342" s="16" t="n">
        <f aca="false">K3342-L3342</f>
        <v>89.76</v>
      </c>
      <c r="N3342" s="17" t="n">
        <f aca="false">IFERROR(M3342/K3342,0)</f>
        <v>0.576271186440678</v>
      </c>
    </row>
    <row r="3343" customFormat="false" ht="15" hidden="false" customHeight="false" outlineLevel="0" collapsed="false">
      <c r="A3343" s="15" t="n">
        <v>46162</v>
      </c>
      <c r="B3343" s="14" t="s">
        <v>59</v>
      </c>
      <c r="C3343" s="14" t="s">
        <v>60</v>
      </c>
      <c r="D3343" s="14" t="s">
        <v>61</v>
      </c>
      <c r="E3343" s="14" t="s">
        <v>64</v>
      </c>
      <c r="F3343" s="14" t="s">
        <v>65</v>
      </c>
      <c r="G3343" s="14" t="s">
        <v>66</v>
      </c>
      <c r="H3343" s="0" t="n">
        <v>5</v>
      </c>
      <c r="I3343" s="16" t="n">
        <v>73.06</v>
      </c>
      <c r="J3343" s="16" t="n">
        <v>34</v>
      </c>
      <c r="K3343" s="16" t="n">
        <f aca="false">H3343*I3343</f>
        <v>365.3</v>
      </c>
      <c r="L3343" s="16" t="n">
        <f aca="false">H3343*J3343</f>
        <v>170</v>
      </c>
      <c r="M3343" s="16" t="n">
        <f aca="false">K3343-L3343</f>
        <v>195.3</v>
      </c>
      <c r="N3343" s="17" t="n">
        <f aca="false">IFERROR(M3343/K3343,0)</f>
        <v>0.53462907199562</v>
      </c>
    </row>
    <row r="3344" customFormat="false" ht="15" hidden="false" customHeight="false" outlineLevel="0" collapsed="false">
      <c r="A3344" s="15" t="n">
        <v>46162</v>
      </c>
      <c r="B3344" s="14" t="s">
        <v>69</v>
      </c>
      <c r="C3344" s="14" t="s">
        <v>70</v>
      </c>
      <c r="D3344" s="14" t="s">
        <v>71</v>
      </c>
      <c r="E3344" s="14" t="s">
        <v>45</v>
      </c>
      <c r="F3344" s="14" t="s">
        <v>46</v>
      </c>
      <c r="G3344" s="14" t="s">
        <v>47</v>
      </c>
      <c r="H3344" s="0" t="n">
        <v>1</v>
      </c>
      <c r="I3344" s="16" t="n">
        <v>42.49</v>
      </c>
      <c r="J3344" s="16" t="n">
        <v>18</v>
      </c>
      <c r="K3344" s="16" t="n">
        <f aca="false">H3344*I3344</f>
        <v>42.49</v>
      </c>
      <c r="L3344" s="16" t="n">
        <f aca="false">H3344*J3344</f>
        <v>18</v>
      </c>
      <c r="M3344" s="16" t="n">
        <f aca="false">K3344-L3344</f>
        <v>24.49</v>
      </c>
      <c r="N3344" s="17" t="n">
        <f aca="false">IFERROR(M3344/K3344,0)</f>
        <v>0.576370910802542</v>
      </c>
    </row>
    <row r="3345" customFormat="false" ht="15" hidden="false" customHeight="false" outlineLevel="0" collapsed="false">
      <c r="A3345" s="15" t="n">
        <v>46162</v>
      </c>
      <c r="B3345" s="14" t="s">
        <v>69</v>
      </c>
      <c r="C3345" s="14" t="s">
        <v>70</v>
      </c>
      <c r="D3345" s="14" t="s">
        <v>71</v>
      </c>
      <c r="E3345" s="14" t="s">
        <v>53</v>
      </c>
      <c r="F3345" s="14" t="s">
        <v>92</v>
      </c>
      <c r="G3345" s="14" t="s">
        <v>93</v>
      </c>
      <c r="H3345" s="0" t="n">
        <v>4</v>
      </c>
      <c r="I3345" s="16" t="n">
        <v>118.66</v>
      </c>
      <c r="J3345" s="16" t="n">
        <v>52</v>
      </c>
      <c r="K3345" s="16" t="n">
        <f aca="false">H3345*I3345</f>
        <v>474.64</v>
      </c>
      <c r="L3345" s="16" t="n">
        <f aca="false">H3345*J3345</f>
        <v>208</v>
      </c>
      <c r="M3345" s="16" t="n">
        <f aca="false">K3345-L3345</f>
        <v>266.64</v>
      </c>
      <c r="N3345" s="17" t="n">
        <f aca="false">IFERROR(M3345/K3345,0)</f>
        <v>0.561773133322097</v>
      </c>
    </row>
    <row r="3346" customFormat="false" ht="15" hidden="false" customHeight="false" outlineLevel="0" collapsed="false">
      <c r="A3346" s="15" t="n">
        <v>46162</v>
      </c>
      <c r="B3346" s="14" t="s">
        <v>81</v>
      </c>
      <c r="C3346" s="14" t="s">
        <v>82</v>
      </c>
      <c r="D3346" s="14" t="s">
        <v>83</v>
      </c>
      <c r="E3346" s="14" t="s">
        <v>53</v>
      </c>
      <c r="F3346" s="14" t="s">
        <v>84</v>
      </c>
      <c r="G3346" s="14" t="s">
        <v>85</v>
      </c>
      <c r="H3346" s="0" t="n">
        <v>8</v>
      </c>
      <c r="I3346" s="16" t="n">
        <v>23.96</v>
      </c>
      <c r="J3346" s="16" t="n">
        <v>9</v>
      </c>
      <c r="K3346" s="16" t="n">
        <f aca="false">H3346*I3346</f>
        <v>191.68</v>
      </c>
      <c r="L3346" s="16" t="n">
        <f aca="false">H3346*J3346</f>
        <v>72</v>
      </c>
      <c r="M3346" s="16" t="n">
        <f aca="false">K3346-L3346</f>
        <v>119.68</v>
      </c>
      <c r="N3346" s="17" t="n">
        <f aca="false">IFERROR(M3346/K3346,0)</f>
        <v>0.624373956594324</v>
      </c>
    </row>
    <row r="3347" customFormat="false" ht="15" hidden="false" customHeight="false" outlineLevel="0" collapsed="false">
      <c r="A3347" s="15" t="n">
        <v>46162</v>
      </c>
      <c r="B3347" s="14" t="s">
        <v>81</v>
      </c>
      <c r="C3347" s="14" t="s">
        <v>82</v>
      </c>
      <c r="D3347" s="14" t="s">
        <v>83</v>
      </c>
      <c r="E3347" s="14" t="s">
        <v>45</v>
      </c>
      <c r="F3347" s="14" t="s">
        <v>62</v>
      </c>
      <c r="G3347" s="14" t="s">
        <v>63</v>
      </c>
      <c r="H3347" s="0" t="n">
        <v>5</v>
      </c>
      <c r="I3347" s="16" t="n">
        <v>17.36</v>
      </c>
      <c r="J3347" s="16" t="n">
        <v>6.5</v>
      </c>
      <c r="K3347" s="16" t="n">
        <f aca="false">H3347*I3347</f>
        <v>86.8</v>
      </c>
      <c r="L3347" s="16" t="n">
        <f aca="false">H3347*J3347</f>
        <v>32.5</v>
      </c>
      <c r="M3347" s="16" t="n">
        <f aca="false">K3347-L3347</f>
        <v>54.3</v>
      </c>
      <c r="N3347" s="17" t="n">
        <f aca="false">IFERROR(M3347/K3347,0)</f>
        <v>0.625576036866359</v>
      </c>
    </row>
    <row r="3348" customFormat="false" ht="15" hidden="false" customHeight="false" outlineLevel="0" collapsed="false">
      <c r="A3348" s="15" t="n">
        <v>46162</v>
      </c>
      <c r="B3348" s="14" t="s">
        <v>81</v>
      </c>
      <c r="C3348" s="14" t="s">
        <v>82</v>
      </c>
      <c r="D3348" s="14" t="s">
        <v>83</v>
      </c>
      <c r="E3348" s="14" t="s">
        <v>56</v>
      </c>
      <c r="F3348" s="14" t="s">
        <v>98</v>
      </c>
      <c r="G3348" s="14" t="s">
        <v>99</v>
      </c>
      <c r="H3348" s="0" t="n">
        <v>2</v>
      </c>
      <c r="I3348" s="16" t="n">
        <v>21.41</v>
      </c>
      <c r="J3348" s="16" t="n">
        <v>8</v>
      </c>
      <c r="K3348" s="16" t="n">
        <f aca="false">H3348*I3348</f>
        <v>42.82</v>
      </c>
      <c r="L3348" s="16" t="n">
        <f aca="false">H3348*J3348</f>
        <v>16</v>
      </c>
      <c r="M3348" s="16" t="n">
        <f aca="false">K3348-L3348</f>
        <v>26.82</v>
      </c>
      <c r="N3348" s="17" t="n">
        <f aca="false">IFERROR(M3348/K3348,0)</f>
        <v>0.626342830453059</v>
      </c>
    </row>
    <row r="3349" customFormat="false" ht="15" hidden="false" customHeight="false" outlineLevel="0" collapsed="false">
      <c r="A3349" s="15" t="n">
        <v>46162</v>
      </c>
      <c r="B3349" s="14" t="s">
        <v>88</v>
      </c>
      <c r="C3349" s="14" t="s">
        <v>89</v>
      </c>
      <c r="D3349" s="14" t="s">
        <v>44</v>
      </c>
      <c r="E3349" s="14" t="s">
        <v>53</v>
      </c>
      <c r="F3349" s="14" t="s">
        <v>74</v>
      </c>
      <c r="G3349" s="14" t="s">
        <v>75</v>
      </c>
      <c r="H3349" s="0" t="n">
        <v>10</v>
      </c>
      <c r="I3349" s="16" t="n">
        <v>85.54</v>
      </c>
      <c r="J3349" s="16" t="n">
        <v>38</v>
      </c>
      <c r="K3349" s="16" t="n">
        <f aca="false">H3349*I3349</f>
        <v>855.4</v>
      </c>
      <c r="L3349" s="16" t="n">
        <f aca="false">H3349*J3349</f>
        <v>380</v>
      </c>
      <c r="M3349" s="16" t="n">
        <f aca="false">K3349-L3349</f>
        <v>475.4</v>
      </c>
      <c r="N3349" s="17" t="n">
        <f aca="false">IFERROR(M3349/K3349,0)</f>
        <v>0.55576338555062</v>
      </c>
    </row>
    <row r="3350" customFormat="false" ht="15" hidden="false" customHeight="false" outlineLevel="0" collapsed="false">
      <c r="A3350" s="15" t="n">
        <v>46162</v>
      </c>
      <c r="B3350" s="14" t="s">
        <v>88</v>
      </c>
      <c r="C3350" s="14" t="s">
        <v>89</v>
      </c>
      <c r="D3350" s="14" t="s">
        <v>44</v>
      </c>
      <c r="E3350" s="14" t="s">
        <v>45</v>
      </c>
      <c r="F3350" s="14" t="s">
        <v>62</v>
      </c>
      <c r="G3350" s="14" t="s">
        <v>63</v>
      </c>
      <c r="H3350" s="0" t="n">
        <v>4</v>
      </c>
      <c r="I3350" s="16" t="n">
        <v>17.46</v>
      </c>
      <c r="J3350" s="16" t="n">
        <v>6.5</v>
      </c>
      <c r="K3350" s="16" t="n">
        <f aca="false">H3350*I3350</f>
        <v>69.84</v>
      </c>
      <c r="L3350" s="16" t="n">
        <f aca="false">H3350*J3350</f>
        <v>26</v>
      </c>
      <c r="M3350" s="16" t="n">
        <f aca="false">K3350-L3350</f>
        <v>43.84</v>
      </c>
      <c r="N3350" s="17" t="n">
        <f aca="false">IFERROR(M3350/K3350,0)</f>
        <v>0.627720504009164</v>
      </c>
    </row>
    <row r="3351" customFormat="false" ht="15" hidden="false" customHeight="false" outlineLevel="0" collapsed="false">
      <c r="A3351" s="15" t="n">
        <v>46162</v>
      </c>
      <c r="B3351" s="14" t="s">
        <v>88</v>
      </c>
      <c r="C3351" s="14" t="s">
        <v>89</v>
      </c>
      <c r="D3351" s="14" t="s">
        <v>44</v>
      </c>
      <c r="E3351" s="14" t="s">
        <v>64</v>
      </c>
      <c r="F3351" s="14" t="s">
        <v>94</v>
      </c>
      <c r="G3351" s="14" t="s">
        <v>95</v>
      </c>
      <c r="H3351" s="0" t="n">
        <v>4</v>
      </c>
      <c r="I3351" s="16" t="n">
        <v>97.64</v>
      </c>
      <c r="J3351" s="16" t="n">
        <v>42</v>
      </c>
      <c r="K3351" s="16" t="n">
        <f aca="false">H3351*I3351</f>
        <v>390.56</v>
      </c>
      <c r="L3351" s="16" t="n">
        <f aca="false">H3351*J3351</f>
        <v>168</v>
      </c>
      <c r="M3351" s="16" t="n">
        <f aca="false">K3351-L3351</f>
        <v>222.56</v>
      </c>
      <c r="N3351" s="17" t="n">
        <f aca="false">IFERROR(M3351/K3351,0)</f>
        <v>0.56984842277755</v>
      </c>
    </row>
    <row r="3352" customFormat="false" ht="15" hidden="false" customHeight="false" outlineLevel="0" collapsed="false">
      <c r="A3352" s="15" t="n">
        <v>46162</v>
      </c>
      <c r="B3352" s="14" t="s">
        <v>88</v>
      </c>
      <c r="C3352" s="14" t="s">
        <v>89</v>
      </c>
      <c r="D3352" s="14" t="s">
        <v>44</v>
      </c>
      <c r="E3352" s="14" t="s">
        <v>64</v>
      </c>
      <c r="F3352" s="14" t="s">
        <v>65</v>
      </c>
      <c r="G3352" s="14" t="s">
        <v>66</v>
      </c>
      <c r="H3352" s="0" t="n">
        <v>7</v>
      </c>
      <c r="I3352" s="16" t="n">
        <v>72.95</v>
      </c>
      <c r="J3352" s="16" t="n">
        <v>34</v>
      </c>
      <c r="K3352" s="16" t="n">
        <f aca="false">H3352*I3352</f>
        <v>510.65</v>
      </c>
      <c r="L3352" s="16" t="n">
        <f aca="false">H3352*J3352</f>
        <v>238</v>
      </c>
      <c r="M3352" s="16" t="n">
        <f aca="false">K3352-L3352</f>
        <v>272.65</v>
      </c>
      <c r="N3352" s="17" t="n">
        <f aca="false">IFERROR(M3352/K3352,0)</f>
        <v>0.533927347498287</v>
      </c>
    </row>
    <row r="3353" customFormat="false" ht="15" hidden="false" customHeight="false" outlineLevel="0" collapsed="false">
      <c r="A3353" s="15" t="n">
        <v>46162</v>
      </c>
      <c r="B3353" s="14" t="s">
        <v>88</v>
      </c>
      <c r="C3353" s="14" t="s">
        <v>89</v>
      </c>
      <c r="D3353" s="14" t="s">
        <v>44</v>
      </c>
      <c r="E3353" s="14" t="s">
        <v>76</v>
      </c>
      <c r="F3353" s="14" t="s">
        <v>100</v>
      </c>
      <c r="G3353" s="14" t="s">
        <v>101</v>
      </c>
      <c r="H3353" s="0" t="n">
        <v>1</v>
      </c>
      <c r="I3353" s="16" t="n">
        <v>14.97</v>
      </c>
      <c r="J3353" s="16" t="n">
        <v>5.5</v>
      </c>
      <c r="K3353" s="16" t="n">
        <f aca="false">H3353*I3353</f>
        <v>14.97</v>
      </c>
      <c r="L3353" s="16" t="n">
        <f aca="false">H3353*J3353</f>
        <v>5.5</v>
      </c>
      <c r="M3353" s="16" t="n">
        <f aca="false">K3353-L3353</f>
        <v>9.47</v>
      </c>
      <c r="N3353" s="17" t="n">
        <f aca="false">IFERROR(M3353/K3353,0)</f>
        <v>0.632598530394122</v>
      </c>
    </row>
    <row r="3354" customFormat="false" ht="15" hidden="false" customHeight="false" outlineLevel="0" collapsed="false">
      <c r="A3354" s="15" t="n">
        <v>46162</v>
      </c>
      <c r="B3354" s="14" t="s">
        <v>88</v>
      </c>
      <c r="C3354" s="14" t="s">
        <v>89</v>
      </c>
      <c r="D3354" s="14" t="s">
        <v>44</v>
      </c>
      <c r="E3354" s="14" t="s">
        <v>76</v>
      </c>
      <c r="F3354" s="14" t="s">
        <v>100</v>
      </c>
      <c r="G3354" s="14" t="s">
        <v>101</v>
      </c>
      <c r="H3354" s="0" t="n">
        <v>9</v>
      </c>
      <c r="I3354" s="16" t="n">
        <v>15.5</v>
      </c>
      <c r="J3354" s="16" t="n">
        <v>5.5</v>
      </c>
      <c r="K3354" s="16" t="n">
        <f aca="false">H3354*I3354</f>
        <v>139.5</v>
      </c>
      <c r="L3354" s="16" t="n">
        <f aca="false">H3354*J3354</f>
        <v>49.5</v>
      </c>
      <c r="M3354" s="16" t="n">
        <f aca="false">K3354-L3354</f>
        <v>90</v>
      </c>
      <c r="N3354" s="17" t="n">
        <f aca="false">IFERROR(M3354/K3354,0)</f>
        <v>0.645161290322581</v>
      </c>
    </row>
    <row r="3355" customFormat="false" ht="15" hidden="false" customHeight="false" outlineLevel="0" collapsed="false">
      <c r="A3355" s="15" t="n">
        <v>46163</v>
      </c>
      <c r="B3355" s="14" t="s">
        <v>42</v>
      </c>
      <c r="C3355" s="14" t="s">
        <v>43</v>
      </c>
      <c r="D3355" s="14" t="s">
        <v>44</v>
      </c>
      <c r="E3355" s="14" t="s">
        <v>53</v>
      </c>
      <c r="F3355" s="14" t="s">
        <v>84</v>
      </c>
      <c r="G3355" s="14" t="s">
        <v>85</v>
      </c>
      <c r="H3355" s="0" t="n">
        <v>11</v>
      </c>
      <c r="I3355" s="16" t="n">
        <v>24.29</v>
      </c>
      <c r="J3355" s="16" t="n">
        <v>9</v>
      </c>
      <c r="K3355" s="16" t="n">
        <f aca="false">H3355*I3355</f>
        <v>267.19</v>
      </c>
      <c r="L3355" s="16" t="n">
        <f aca="false">H3355*J3355</f>
        <v>99</v>
      </c>
      <c r="M3355" s="16" t="n">
        <f aca="false">K3355-L3355</f>
        <v>168.19</v>
      </c>
      <c r="N3355" s="17" t="n">
        <f aca="false">IFERROR(M3355/K3355,0)</f>
        <v>0.629477151090984</v>
      </c>
    </row>
    <row r="3356" customFormat="false" ht="15" hidden="false" customHeight="false" outlineLevel="0" collapsed="false">
      <c r="A3356" s="15" t="n">
        <v>46163</v>
      </c>
      <c r="B3356" s="14" t="s">
        <v>42</v>
      </c>
      <c r="C3356" s="14" t="s">
        <v>43</v>
      </c>
      <c r="D3356" s="14" t="s">
        <v>44</v>
      </c>
      <c r="E3356" s="14" t="s">
        <v>53</v>
      </c>
      <c r="F3356" s="14" t="s">
        <v>54</v>
      </c>
      <c r="G3356" s="14" t="s">
        <v>55</v>
      </c>
      <c r="H3356" s="0" t="n">
        <v>8</v>
      </c>
      <c r="I3356" s="16" t="n">
        <v>52.79</v>
      </c>
      <c r="J3356" s="16" t="n">
        <v>22</v>
      </c>
      <c r="K3356" s="16" t="n">
        <f aca="false">H3356*I3356</f>
        <v>422.32</v>
      </c>
      <c r="L3356" s="16" t="n">
        <f aca="false">H3356*J3356</f>
        <v>176</v>
      </c>
      <c r="M3356" s="16" t="n">
        <f aca="false">K3356-L3356</f>
        <v>246.32</v>
      </c>
      <c r="N3356" s="17" t="n">
        <f aca="false">IFERROR(M3356/K3356,0)</f>
        <v>0.583254404243228</v>
      </c>
    </row>
    <row r="3357" customFormat="false" ht="15" hidden="false" customHeight="false" outlineLevel="0" collapsed="false">
      <c r="A3357" s="15" t="n">
        <v>46163</v>
      </c>
      <c r="B3357" s="14" t="s">
        <v>42</v>
      </c>
      <c r="C3357" s="14" t="s">
        <v>43</v>
      </c>
      <c r="D3357" s="14" t="s">
        <v>44</v>
      </c>
      <c r="E3357" s="14" t="s">
        <v>45</v>
      </c>
      <c r="F3357" s="14" t="s">
        <v>72</v>
      </c>
      <c r="G3357" s="14" t="s">
        <v>73</v>
      </c>
      <c r="H3357" s="0" t="n">
        <v>1</v>
      </c>
      <c r="I3357" s="16" t="n">
        <v>49.58</v>
      </c>
      <c r="J3357" s="16" t="n">
        <v>21</v>
      </c>
      <c r="K3357" s="16" t="n">
        <f aca="false">H3357*I3357</f>
        <v>49.58</v>
      </c>
      <c r="L3357" s="16" t="n">
        <f aca="false">H3357*J3357</f>
        <v>21</v>
      </c>
      <c r="M3357" s="16" t="n">
        <f aca="false">K3357-L3357</f>
        <v>28.58</v>
      </c>
      <c r="N3357" s="17" t="n">
        <f aca="false">IFERROR(M3357/K3357,0)</f>
        <v>0.576442113755547</v>
      </c>
    </row>
    <row r="3358" customFormat="false" ht="15" hidden="false" customHeight="false" outlineLevel="0" collapsed="false">
      <c r="A3358" s="15" t="n">
        <v>46163</v>
      </c>
      <c r="B3358" s="14" t="s">
        <v>50</v>
      </c>
      <c r="C3358" s="14" t="s">
        <v>51</v>
      </c>
      <c r="D3358" s="14" t="s">
        <v>52</v>
      </c>
      <c r="E3358" s="14" t="s">
        <v>45</v>
      </c>
      <c r="F3358" s="14" t="s">
        <v>62</v>
      </c>
      <c r="G3358" s="14" t="s">
        <v>63</v>
      </c>
      <c r="H3358" s="0" t="n">
        <v>1</v>
      </c>
      <c r="I3358" s="16" t="n">
        <v>17.09</v>
      </c>
      <c r="J3358" s="16" t="n">
        <v>6.5</v>
      </c>
      <c r="K3358" s="16" t="n">
        <f aca="false">H3358*I3358</f>
        <v>17.09</v>
      </c>
      <c r="L3358" s="16" t="n">
        <f aca="false">H3358*J3358</f>
        <v>6.5</v>
      </c>
      <c r="M3358" s="16" t="n">
        <f aca="false">K3358-L3358</f>
        <v>10.59</v>
      </c>
      <c r="N3358" s="17" t="n">
        <f aca="false">IFERROR(M3358/K3358,0)</f>
        <v>0.619660620245758</v>
      </c>
    </row>
    <row r="3359" customFormat="false" ht="15" hidden="false" customHeight="false" outlineLevel="0" collapsed="false">
      <c r="A3359" s="15" t="n">
        <v>46163</v>
      </c>
      <c r="B3359" s="14" t="s">
        <v>50</v>
      </c>
      <c r="C3359" s="14" t="s">
        <v>51</v>
      </c>
      <c r="D3359" s="14" t="s">
        <v>52</v>
      </c>
      <c r="E3359" s="14" t="s">
        <v>64</v>
      </c>
      <c r="F3359" s="14" t="s">
        <v>94</v>
      </c>
      <c r="G3359" s="14" t="s">
        <v>95</v>
      </c>
      <c r="H3359" s="0" t="n">
        <v>9</v>
      </c>
      <c r="I3359" s="16" t="n">
        <v>96.23</v>
      </c>
      <c r="J3359" s="16" t="n">
        <v>42</v>
      </c>
      <c r="K3359" s="16" t="n">
        <f aca="false">H3359*I3359</f>
        <v>866.07</v>
      </c>
      <c r="L3359" s="16" t="n">
        <f aca="false">H3359*J3359</f>
        <v>378</v>
      </c>
      <c r="M3359" s="16" t="n">
        <f aca="false">K3359-L3359</f>
        <v>488.07</v>
      </c>
      <c r="N3359" s="17" t="n">
        <f aca="false">IFERROR(M3359/K3359,0)</f>
        <v>0.563545671827912</v>
      </c>
    </row>
    <row r="3360" customFormat="false" ht="15" hidden="false" customHeight="false" outlineLevel="0" collapsed="false">
      <c r="A3360" s="15" t="n">
        <v>46163</v>
      </c>
      <c r="B3360" s="14" t="s">
        <v>50</v>
      </c>
      <c r="C3360" s="14" t="s">
        <v>51</v>
      </c>
      <c r="D3360" s="14" t="s">
        <v>52</v>
      </c>
      <c r="E3360" s="14" t="s">
        <v>76</v>
      </c>
      <c r="F3360" s="14" t="s">
        <v>102</v>
      </c>
      <c r="G3360" s="14" t="s">
        <v>103</v>
      </c>
      <c r="H3360" s="0" t="n">
        <v>8</v>
      </c>
      <c r="I3360" s="16" t="n">
        <v>23.85</v>
      </c>
      <c r="J3360" s="16" t="n">
        <v>8.5</v>
      </c>
      <c r="K3360" s="16" t="n">
        <f aca="false">H3360*I3360</f>
        <v>190.8</v>
      </c>
      <c r="L3360" s="16" t="n">
        <f aca="false">H3360*J3360</f>
        <v>68</v>
      </c>
      <c r="M3360" s="16" t="n">
        <f aca="false">K3360-L3360</f>
        <v>122.8</v>
      </c>
      <c r="N3360" s="17" t="n">
        <f aca="false">IFERROR(M3360/K3360,0)</f>
        <v>0.643605870020964</v>
      </c>
    </row>
    <row r="3361" customFormat="false" ht="15" hidden="false" customHeight="false" outlineLevel="0" collapsed="false">
      <c r="A3361" s="15" t="n">
        <v>46163</v>
      </c>
      <c r="B3361" s="14" t="s">
        <v>50</v>
      </c>
      <c r="C3361" s="14" t="s">
        <v>51</v>
      </c>
      <c r="D3361" s="14" t="s">
        <v>52</v>
      </c>
      <c r="E3361" s="14" t="s">
        <v>64</v>
      </c>
      <c r="F3361" s="14" t="s">
        <v>90</v>
      </c>
      <c r="G3361" s="14" t="s">
        <v>91</v>
      </c>
      <c r="H3361" s="0" t="n">
        <v>8</v>
      </c>
      <c r="I3361" s="16" t="n">
        <v>11.77</v>
      </c>
      <c r="J3361" s="16" t="n">
        <v>3.5</v>
      </c>
      <c r="K3361" s="16" t="n">
        <f aca="false">H3361*I3361</f>
        <v>94.16</v>
      </c>
      <c r="L3361" s="16" t="n">
        <f aca="false">H3361*J3361</f>
        <v>28</v>
      </c>
      <c r="M3361" s="16" t="n">
        <f aca="false">K3361-L3361</f>
        <v>66.16</v>
      </c>
      <c r="N3361" s="17" t="n">
        <f aca="false">IFERROR(M3361/K3361,0)</f>
        <v>0.702633814783348</v>
      </c>
    </row>
    <row r="3362" customFormat="false" ht="15" hidden="false" customHeight="false" outlineLevel="0" collapsed="false">
      <c r="A3362" s="15" t="n">
        <v>46163</v>
      </c>
      <c r="B3362" s="14" t="s">
        <v>50</v>
      </c>
      <c r="C3362" s="14" t="s">
        <v>51</v>
      </c>
      <c r="D3362" s="14" t="s">
        <v>52</v>
      </c>
      <c r="E3362" s="14" t="s">
        <v>56</v>
      </c>
      <c r="F3362" s="14" t="s">
        <v>86</v>
      </c>
      <c r="G3362" s="14" t="s">
        <v>87</v>
      </c>
      <c r="H3362" s="0" t="n">
        <v>9</v>
      </c>
      <c r="I3362" s="16" t="n">
        <v>14.2</v>
      </c>
      <c r="J3362" s="16" t="n">
        <v>5</v>
      </c>
      <c r="K3362" s="16" t="n">
        <f aca="false">H3362*I3362</f>
        <v>127.8</v>
      </c>
      <c r="L3362" s="16" t="n">
        <f aca="false">H3362*J3362</f>
        <v>45</v>
      </c>
      <c r="M3362" s="16" t="n">
        <f aca="false">K3362-L3362</f>
        <v>82.8</v>
      </c>
      <c r="N3362" s="17" t="n">
        <f aca="false">IFERROR(M3362/K3362,0)</f>
        <v>0.647887323943662</v>
      </c>
    </row>
    <row r="3363" customFormat="false" ht="15" hidden="false" customHeight="false" outlineLevel="0" collapsed="false">
      <c r="A3363" s="15" t="n">
        <v>46163</v>
      </c>
      <c r="B3363" s="14" t="s">
        <v>50</v>
      </c>
      <c r="C3363" s="14" t="s">
        <v>51</v>
      </c>
      <c r="D3363" s="14" t="s">
        <v>52</v>
      </c>
      <c r="E3363" s="14" t="s">
        <v>64</v>
      </c>
      <c r="F3363" s="14" t="s">
        <v>94</v>
      </c>
      <c r="G3363" s="14" t="s">
        <v>95</v>
      </c>
      <c r="H3363" s="0" t="n">
        <v>2</v>
      </c>
      <c r="I3363" s="16" t="n">
        <v>93.07</v>
      </c>
      <c r="J3363" s="16" t="n">
        <v>42</v>
      </c>
      <c r="K3363" s="16" t="n">
        <f aca="false">H3363*I3363</f>
        <v>186.14</v>
      </c>
      <c r="L3363" s="16" t="n">
        <f aca="false">H3363*J3363</f>
        <v>84</v>
      </c>
      <c r="M3363" s="16" t="n">
        <f aca="false">K3363-L3363</f>
        <v>102.14</v>
      </c>
      <c r="N3363" s="17" t="n">
        <f aca="false">IFERROR(M3363/K3363,0)</f>
        <v>0.548726764800688</v>
      </c>
    </row>
    <row r="3364" customFormat="false" ht="15" hidden="false" customHeight="false" outlineLevel="0" collapsed="false">
      <c r="A3364" s="15" t="n">
        <v>46163</v>
      </c>
      <c r="B3364" s="14" t="s">
        <v>59</v>
      </c>
      <c r="C3364" s="14" t="s">
        <v>60</v>
      </c>
      <c r="D3364" s="14" t="s">
        <v>61</v>
      </c>
      <c r="E3364" s="14" t="s">
        <v>76</v>
      </c>
      <c r="F3364" s="14" t="s">
        <v>102</v>
      </c>
      <c r="G3364" s="14" t="s">
        <v>103</v>
      </c>
      <c r="H3364" s="0" t="n">
        <v>4</v>
      </c>
      <c r="I3364" s="16" t="n">
        <v>22.68</v>
      </c>
      <c r="J3364" s="16" t="n">
        <v>8.5</v>
      </c>
      <c r="K3364" s="16" t="n">
        <f aca="false">H3364*I3364</f>
        <v>90.72</v>
      </c>
      <c r="L3364" s="16" t="n">
        <f aca="false">H3364*J3364</f>
        <v>34</v>
      </c>
      <c r="M3364" s="16" t="n">
        <f aca="false">K3364-L3364</f>
        <v>56.72</v>
      </c>
      <c r="N3364" s="17" t="n">
        <f aca="false">IFERROR(M3364/K3364,0)</f>
        <v>0.625220458553792</v>
      </c>
    </row>
    <row r="3365" customFormat="false" ht="15" hidden="false" customHeight="false" outlineLevel="0" collapsed="false">
      <c r="A3365" s="15" t="n">
        <v>46163</v>
      </c>
      <c r="B3365" s="14" t="s">
        <v>59</v>
      </c>
      <c r="C3365" s="14" t="s">
        <v>60</v>
      </c>
      <c r="D3365" s="14" t="s">
        <v>61</v>
      </c>
      <c r="E3365" s="14" t="s">
        <v>76</v>
      </c>
      <c r="F3365" s="14" t="s">
        <v>77</v>
      </c>
      <c r="G3365" s="14" t="s">
        <v>78</v>
      </c>
      <c r="H3365" s="0" t="n">
        <v>4</v>
      </c>
      <c r="I3365" s="16" t="n">
        <v>39.81</v>
      </c>
      <c r="J3365" s="16" t="n">
        <v>15</v>
      </c>
      <c r="K3365" s="16" t="n">
        <f aca="false">H3365*I3365</f>
        <v>159.24</v>
      </c>
      <c r="L3365" s="16" t="n">
        <f aca="false">H3365*J3365</f>
        <v>60</v>
      </c>
      <c r="M3365" s="16" t="n">
        <f aca="false">K3365-L3365</f>
        <v>99.24</v>
      </c>
      <c r="N3365" s="17" t="n">
        <f aca="false">IFERROR(M3365/K3365,0)</f>
        <v>0.623210248681236</v>
      </c>
    </row>
    <row r="3366" customFormat="false" ht="15" hidden="false" customHeight="false" outlineLevel="0" collapsed="false">
      <c r="A3366" s="15" t="n">
        <v>46163</v>
      </c>
      <c r="B3366" s="14" t="s">
        <v>59</v>
      </c>
      <c r="C3366" s="14" t="s">
        <v>60</v>
      </c>
      <c r="D3366" s="14" t="s">
        <v>61</v>
      </c>
      <c r="E3366" s="14" t="s">
        <v>76</v>
      </c>
      <c r="F3366" s="14" t="s">
        <v>77</v>
      </c>
      <c r="G3366" s="14" t="s">
        <v>78</v>
      </c>
      <c r="H3366" s="0" t="n">
        <v>6</v>
      </c>
      <c r="I3366" s="16" t="n">
        <v>40.38</v>
      </c>
      <c r="J3366" s="16" t="n">
        <v>15</v>
      </c>
      <c r="K3366" s="16" t="n">
        <f aca="false">H3366*I3366</f>
        <v>242.28</v>
      </c>
      <c r="L3366" s="16" t="n">
        <f aca="false">H3366*J3366</f>
        <v>90</v>
      </c>
      <c r="M3366" s="16" t="n">
        <f aca="false">K3366-L3366</f>
        <v>152.28</v>
      </c>
      <c r="N3366" s="17" t="n">
        <f aca="false">IFERROR(M3366/K3366,0)</f>
        <v>0.62852897473997</v>
      </c>
    </row>
    <row r="3367" customFormat="false" ht="15" hidden="false" customHeight="false" outlineLevel="0" collapsed="false">
      <c r="A3367" s="15" t="n">
        <v>46163</v>
      </c>
      <c r="B3367" s="14" t="s">
        <v>59</v>
      </c>
      <c r="C3367" s="14" t="s">
        <v>60</v>
      </c>
      <c r="D3367" s="14" t="s">
        <v>61</v>
      </c>
      <c r="E3367" s="14" t="s">
        <v>64</v>
      </c>
      <c r="F3367" s="14" t="s">
        <v>94</v>
      </c>
      <c r="G3367" s="14" t="s">
        <v>95</v>
      </c>
      <c r="H3367" s="0" t="n">
        <v>4</v>
      </c>
      <c r="I3367" s="16" t="n">
        <v>95.81</v>
      </c>
      <c r="J3367" s="16" t="n">
        <v>42</v>
      </c>
      <c r="K3367" s="16" t="n">
        <f aca="false">H3367*I3367</f>
        <v>383.24</v>
      </c>
      <c r="L3367" s="16" t="n">
        <f aca="false">H3367*J3367</f>
        <v>168</v>
      </c>
      <c r="M3367" s="16" t="n">
        <f aca="false">K3367-L3367</f>
        <v>215.24</v>
      </c>
      <c r="N3367" s="17" t="n">
        <f aca="false">IFERROR(M3367/K3367,0)</f>
        <v>0.561632397453293</v>
      </c>
    </row>
    <row r="3368" customFormat="false" ht="15" hidden="false" customHeight="false" outlineLevel="0" collapsed="false">
      <c r="A3368" s="15" t="n">
        <v>46163</v>
      </c>
      <c r="B3368" s="14" t="s">
        <v>69</v>
      </c>
      <c r="C3368" s="14" t="s">
        <v>70</v>
      </c>
      <c r="D3368" s="14" t="s">
        <v>71</v>
      </c>
      <c r="E3368" s="14" t="s">
        <v>56</v>
      </c>
      <c r="F3368" s="14" t="s">
        <v>86</v>
      </c>
      <c r="G3368" s="14" t="s">
        <v>87</v>
      </c>
      <c r="H3368" s="0" t="n">
        <v>4</v>
      </c>
      <c r="I3368" s="16" t="n">
        <v>14.03</v>
      </c>
      <c r="J3368" s="16" t="n">
        <v>5</v>
      </c>
      <c r="K3368" s="16" t="n">
        <f aca="false">H3368*I3368</f>
        <v>56.12</v>
      </c>
      <c r="L3368" s="16" t="n">
        <f aca="false">H3368*J3368</f>
        <v>20</v>
      </c>
      <c r="M3368" s="16" t="n">
        <f aca="false">K3368-L3368</f>
        <v>36.12</v>
      </c>
      <c r="N3368" s="17" t="n">
        <f aca="false">IFERROR(M3368/K3368,0)</f>
        <v>0.643620812544547</v>
      </c>
    </row>
    <row r="3369" customFormat="false" ht="15" hidden="false" customHeight="false" outlineLevel="0" collapsed="false">
      <c r="A3369" s="15" t="n">
        <v>46163</v>
      </c>
      <c r="B3369" s="14" t="s">
        <v>69</v>
      </c>
      <c r="C3369" s="14" t="s">
        <v>70</v>
      </c>
      <c r="D3369" s="14" t="s">
        <v>71</v>
      </c>
      <c r="E3369" s="14" t="s">
        <v>76</v>
      </c>
      <c r="F3369" s="14" t="s">
        <v>102</v>
      </c>
      <c r="G3369" s="14" t="s">
        <v>103</v>
      </c>
      <c r="H3369" s="0" t="n">
        <v>4</v>
      </c>
      <c r="I3369" s="16" t="n">
        <v>23.61</v>
      </c>
      <c r="J3369" s="16" t="n">
        <v>8.5</v>
      </c>
      <c r="K3369" s="16" t="n">
        <f aca="false">H3369*I3369</f>
        <v>94.44</v>
      </c>
      <c r="L3369" s="16" t="n">
        <f aca="false">H3369*J3369</f>
        <v>34</v>
      </c>
      <c r="M3369" s="16" t="n">
        <f aca="false">K3369-L3369</f>
        <v>60.44</v>
      </c>
      <c r="N3369" s="17" t="n">
        <f aca="false">IFERROR(M3369/K3369,0)</f>
        <v>0.63998305802626</v>
      </c>
    </row>
    <row r="3370" customFormat="false" ht="15" hidden="false" customHeight="false" outlineLevel="0" collapsed="false">
      <c r="A3370" s="15" t="n">
        <v>46163</v>
      </c>
      <c r="B3370" s="14" t="s">
        <v>69</v>
      </c>
      <c r="C3370" s="14" t="s">
        <v>70</v>
      </c>
      <c r="D3370" s="14" t="s">
        <v>71</v>
      </c>
      <c r="E3370" s="14" t="s">
        <v>56</v>
      </c>
      <c r="F3370" s="14" t="s">
        <v>86</v>
      </c>
      <c r="G3370" s="14" t="s">
        <v>87</v>
      </c>
      <c r="H3370" s="0" t="n">
        <v>2</v>
      </c>
      <c r="I3370" s="16" t="n">
        <v>14.67</v>
      </c>
      <c r="J3370" s="16" t="n">
        <v>5</v>
      </c>
      <c r="K3370" s="16" t="n">
        <f aca="false">H3370*I3370</f>
        <v>29.34</v>
      </c>
      <c r="L3370" s="16" t="n">
        <f aca="false">H3370*J3370</f>
        <v>10</v>
      </c>
      <c r="M3370" s="16" t="n">
        <f aca="false">K3370-L3370</f>
        <v>19.34</v>
      </c>
      <c r="N3370" s="17" t="n">
        <f aca="false">IFERROR(M3370/K3370,0)</f>
        <v>0.659168370824813</v>
      </c>
    </row>
    <row r="3371" customFormat="false" ht="15" hidden="false" customHeight="false" outlineLevel="0" collapsed="false">
      <c r="A3371" s="15" t="n">
        <v>46163</v>
      </c>
      <c r="B3371" s="14" t="s">
        <v>81</v>
      </c>
      <c r="C3371" s="14" t="s">
        <v>82</v>
      </c>
      <c r="D3371" s="14" t="s">
        <v>83</v>
      </c>
      <c r="E3371" s="14" t="s">
        <v>53</v>
      </c>
      <c r="F3371" s="14" t="s">
        <v>54</v>
      </c>
      <c r="G3371" s="14" t="s">
        <v>55</v>
      </c>
      <c r="H3371" s="0" t="n">
        <v>6</v>
      </c>
      <c r="I3371" s="16" t="n">
        <v>51.41</v>
      </c>
      <c r="J3371" s="16" t="n">
        <v>22</v>
      </c>
      <c r="K3371" s="16" t="n">
        <f aca="false">H3371*I3371</f>
        <v>308.46</v>
      </c>
      <c r="L3371" s="16" t="n">
        <f aca="false">H3371*J3371</f>
        <v>132</v>
      </c>
      <c r="M3371" s="16" t="n">
        <f aca="false">K3371-L3371</f>
        <v>176.46</v>
      </c>
      <c r="N3371" s="17" t="n">
        <f aca="false">IFERROR(M3371/K3371,0)</f>
        <v>0.572067691110679</v>
      </c>
    </row>
    <row r="3372" customFormat="false" ht="15" hidden="false" customHeight="false" outlineLevel="0" collapsed="false">
      <c r="A3372" s="15" t="n">
        <v>46163</v>
      </c>
      <c r="B3372" s="14" t="s">
        <v>81</v>
      </c>
      <c r="C3372" s="14" t="s">
        <v>82</v>
      </c>
      <c r="D3372" s="14" t="s">
        <v>83</v>
      </c>
      <c r="E3372" s="14" t="s">
        <v>64</v>
      </c>
      <c r="F3372" s="14" t="s">
        <v>94</v>
      </c>
      <c r="G3372" s="14" t="s">
        <v>95</v>
      </c>
      <c r="H3372" s="0" t="n">
        <v>3</v>
      </c>
      <c r="I3372" s="16" t="n">
        <v>94.18</v>
      </c>
      <c r="J3372" s="16" t="n">
        <v>42</v>
      </c>
      <c r="K3372" s="16" t="n">
        <f aca="false">H3372*I3372</f>
        <v>282.54</v>
      </c>
      <c r="L3372" s="16" t="n">
        <f aca="false">H3372*J3372</f>
        <v>126</v>
      </c>
      <c r="M3372" s="16" t="n">
        <f aca="false">K3372-L3372</f>
        <v>156.54</v>
      </c>
      <c r="N3372" s="17" t="n">
        <f aca="false">IFERROR(M3372/K3372,0)</f>
        <v>0.554045444892759</v>
      </c>
    </row>
    <row r="3373" customFormat="false" ht="15" hidden="false" customHeight="false" outlineLevel="0" collapsed="false">
      <c r="A3373" s="15" t="n">
        <v>46163</v>
      </c>
      <c r="B3373" s="14" t="s">
        <v>81</v>
      </c>
      <c r="C3373" s="14" t="s">
        <v>82</v>
      </c>
      <c r="D3373" s="14" t="s">
        <v>83</v>
      </c>
      <c r="E3373" s="14" t="s">
        <v>76</v>
      </c>
      <c r="F3373" s="14" t="s">
        <v>100</v>
      </c>
      <c r="G3373" s="14" t="s">
        <v>101</v>
      </c>
      <c r="H3373" s="0" t="n">
        <v>5</v>
      </c>
      <c r="I3373" s="16" t="n">
        <v>14.91</v>
      </c>
      <c r="J3373" s="16" t="n">
        <v>5.5</v>
      </c>
      <c r="K3373" s="16" t="n">
        <f aca="false">H3373*I3373</f>
        <v>74.55</v>
      </c>
      <c r="L3373" s="16" t="n">
        <f aca="false">H3373*J3373</f>
        <v>27.5</v>
      </c>
      <c r="M3373" s="16" t="n">
        <f aca="false">K3373-L3373</f>
        <v>47.05</v>
      </c>
      <c r="N3373" s="17" t="n">
        <f aca="false">IFERROR(M3373/K3373,0)</f>
        <v>0.631120053655265</v>
      </c>
    </row>
    <row r="3374" customFormat="false" ht="15" hidden="false" customHeight="false" outlineLevel="0" collapsed="false">
      <c r="A3374" s="15" t="n">
        <v>46163</v>
      </c>
      <c r="B3374" s="14" t="s">
        <v>81</v>
      </c>
      <c r="C3374" s="14" t="s">
        <v>82</v>
      </c>
      <c r="D3374" s="14" t="s">
        <v>83</v>
      </c>
      <c r="E3374" s="14" t="s">
        <v>56</v>
      </c>
      <c r="F3374" s="14" t="s">
        <v>98</v>
      </c>
      <c r="G3374" s="14" t="s">
        <v>99</v>
      </c>
      <c r="H3374" s="0" t="n">
        <v>4</v>
      </c>
      <c r="I3374" s="16" t="n">
        <v>20.46</v>
      </c>
      <c r="J3374" s="16" t="n">
        <v>8</v>
      </c>
      <c r="K3374" s="16" t="n">
        <f aca="false">H3374*I3374</f>
        <v>81.84</v>
      </c>
      <c r="L3374" s="16" t="n">
        <f aca="false">H3374*J3374</f>
        <v>32</v>
      </c>
      <c r="M3374" s="16" t="n">
        <f aca="false">K3374-L3374</f>
        <v>49.84</v>
      </c>
      <c r="N3374" s="17" t="n">
        <f aca="false">IFERROR(M3374/K3374,0)</f>
        <v>0.608993157380254</v>
      </c>
    </row>
    <row r="3375" customFormat="false" ht="15" hidden="false" customHeight="false" outlineLevel="0" collapsed="false">
      <c r="A3375" s="15" t="n">
        <v>46163</v>
      </c>
      <c r="B3375" s="14" t="s">
        <v>88</v>
      </c>
      <c r="C3375" s="14" t="s">
        <v>89</v>
      </c>
      <c r="D3375" s="14" t="s">
        <v>44</v>
      </c>
      <c r="E3375" s="14" t="s">
        <v>56</v>
      </c>
      <c r="F3375" s="14" t="s">
        <v>57</v>
      </c>
      <c r="G3375" s="14" t="s">
        <v>58</v>
      </c>
      <c r="H3375" s="0" t="n">
        <v>1</v>
      </c>
      <c r="I3375" s="16" t="n">
        <v>24.98</v>
      </c>
      <c r="J3375" s="16" t="n">
        <v>10</v>
      </c>
      <c r="K3375" s="16" t="n">
        <f aca="false">H3375*I3375</f>
        <v>24.98</v>
      </c>
      <c r="L3375" s="16" t="n">
        <f aca="false">H3375*J3375</f>
        <v>10</v>
      </c>
      <c r="M3375" s="16" t="n">
        <f aca="false">K3375-L3375</f>
        <v>14.98</v>
      </c>
      <c r="N3375" s="17" t="n">
        <f aca="false">IFERROR(M3375/K3375,0)</f>
        <v>0.599679743795036</v>
      </c>
    </row>
    <row r="3376" customFormat="false" ht="15" hidden="false" customHeight="false" outlineLevel="0" collapsed="false">
      <c r="A3376" s="15" t="n">
        <v>46163</v>
      </c>
      <c r="B3376" s="14" t="s">
        <v>88</v>
      </c>
      <c r="C3376" s="14" t="s">
        <v>89</v>
      </c>
      <c r="D3376" s="14" t="s">
        <v>44</v>
      </c>
      <c r="E3376" s="14" t="s">
        <v>76</v>
      </c>
      <c r="F3376" s="14" t="s">
        <v>100</v>
      </c>
      <c r="G3376" s="14" t="s">
        <v>101</v>
      </c>
      <c r="H3376" s="0" t="n">
        <v>9</v>
      </c>
      <c r="I3376" s="16" t="n">
        <v>15.92</v>
      </c>
      <c r="J3376" s="16" t="n">
        <v>5.5</v>
      </c>
      <c r="K3376" s="16" t="n">
        <f aca="false">H3376*I3376</f>
        <v>143.28</v>
      </c>
      <c r="L3376" s="16" t="n">
        <f aca="false">H3376*J3376</f>
        <v>49.5</v>
      </c>
      <c r="M3376" s="16" t="n">
        <f aca="false">K3376-L3376</f>
        <v>93.78</v>
      </c>
      <c r="N3376" s="17" t="n">
        <f aca="false">IFERROR(M3376/K3376,0)</f>
        <v>0.654522613065327</v>
      </c>
    </row>
    <row r="3377" customFormat="false" ht="15" hidden="false" customHeight="false" outlineLevel="0" collapsed="false">
      <c r="A3377" s="15" t="n">
        <v>46163</v>
      </c>
      <c r="B3377" s="14" t="s">
        <v>88</v>
      </c>
      <c r="C3377" s="14" t="s">
        <v>89</v>
      </c>
      <c r="D3377" s="14" t="s">
        <v>44</v>
      </c>
      <c r="E3377" s="14" t="s">
        <v>56</v>
      </c>
      <c r="F3377" s="14" t="s">
        <v>67</v>
      </c>
      <c r="G3377" s="14" t="s">
        <v>68</v>
      </c>
      <c r="H3377" s="0" t="n">
        <v>7</v>
      </c>
      <c r="I3377" s="16" t="n">
        <v>35.57</v>
      </c>
      <c r="J3377" s="16" t="n">
        <v>15</v>
      </c>
      <c r="K3377" s="16" t="n">
        <f aca="false">H3377*I3377</f>
        <v>248.99</v>
      </c>
      <c r="L3377" s="16" t="n">
        <f aca="false">H3377*J3377</f>
        <v>105</v>
      </c>
      <c r="M3377" s="16" t="n">
        <f aca="false">K3377-L3377</f>
        <v>143.99</v>
      </c>
      <c r="N3377" s="17" t="n">
        <f aca="false">IFERROR(M3377/K3377,0)</f>
        <v>0.57829631712117</v>
      </c>
    </row>
    <row r="3378" customFormat="false" ht="15" hidden="false" customHeight="false" outlineLevel="0" collapsed="false">
      <c r="A3378" s="15" t="n">
        <v>46163</v>
      </c>
      <c r="B3378" s="14" t="s">
        <v>88</v>
      </c>
      <c r="C3378" s="14" t="s">
        <v>89</v>
      </c>
      <c r="D3378" s="14" t="s">
        <v>44</v>
      </c>
      <c r="E3378" s="14" t="s">
        <v>45</v>
      </c>
      <c r="F3378" s="14" t="s">
        <v>72</v>
      </c>
      <c r="G3378" s="14" t="s">
        <v>73</v>
      </c>
      <c r="H3378" s="0" t="n">
        <v>8</v>
      </c>
      <c r="I3378" s="16" t="n">
        <v>50.32</v>
      </c>
      <c r="J3378" s="16" t="n">
        <v>21</v>
      </c>
      <c r="K3378" s="16" t="n">
        <f aca="false">H3378*I3378</f>
        <v>402.56</v>
      </c>
      <c r="L3378" s="16" t="n">
        <f aca="false">H3378*J3378</f>
        <v>168</v>
      </c>
      <c r="M3378" s="16" t="n">
        <f aca="false">K3378-L3378</f>
        <v>234.56</v>
      </c>
      <c r="N3378" s="17" t="n">
        <f aca="false">IFERROR(M3378/K3378,0)</f>
        <v>0.582670906200318</v>
      </c>
    </row>
    <row r="3379" customFormat="false" ht="15" hidden="false" customHeight="false" outlineLevel="0" collapsed="false">
      <c r="A3379" s="15" t="n">
        <v>46163</v>
      </c>
      <c r="B3379" s="14" t="s">
        <v>88</v>
      </c>
      <c r="C3379" s="14" t="s">
        <v>89</v>
      </c>
      <c r="D3379" s="14" t="s">
        <v>44</v>
      </c>
      <c r="E3379" s="14" t="s">
        <v>64</v>
      </c>
      <c r="F3379" s="14" t="s">
        <v>90</v>
      </c>
      <c r="G3379" s="14" t="s">
        <v>91</v>
      </c>
      <c r="H3379" s="0" t="n">
        <v>7</v>
      </c>
      <c r="I3379" s="16" t="n">
        <v>11.34</v>
      </c>
      <c r="J3379" s="16" t="n">
        <v>3.5</v>
      </c>
      <c r="K3379" s="16" t="n">
        <f aca="false">H3379*I3379</f>
        <v>79.38</v>
      </c>
      <c r="L3379" s="16" t="n">
        <f aca="false">H3379*J3379</f>
        <v>24.5</v>
      </c>
      <c r="M3379" s="16" t="n">
        <f aca="false">K3379-L3379</f>
        <v>54.88</v>
      </c>
      <c r="N3379" s="17" t="n">
        <f aca="false">IFERROR(M3379/K3379,0)</f>
        <v>0.691358024691358</v>
      </c>
    </row>
    <row r="3380" customFormat="false" ht="15" hidden="false" customHeight="false" outlineLevel="0" collapsed="false">
      <c r="A3380" s="15" t="n">
        <v>46164</v>
      </c>
      <c r="B3380" s="14" t="s">
        <v>42</v>
      </c>
      <c r="C3380" s="14" t="s">
        <v>43</v>
      </c>
      <c r="D3380" s="14" t="s">
        <v>44</v>
      </c>
      <c r="E3380" s="14" t="s">
        <v>53</v>
      </c>
      <c r="F3380" s="14" t="s">
        <v>74</v>
      </c>
      <c r="G3380" s="14" t="s">
        <v>75</v>
      </c>
      <c r="H3380" s="0" t="n">
        <v>10</v>
      </c>
      <c r="I3380" s="16" t="n">
        <v>87.29</v>
      </c>
      <c r="J3380" s="16" t="n">
        <v>38</v>
      </c>
      <c r="K3380" s="16" t="n">
        <f aca="false">H3380*I3380</f>
        <v>872.9</v>
      </c>
      <c r="L3380" s="16" t="n">
        <f aca="false">H3380*J3380</f>
        <v>380</v>
      </c>
      <c r="M3380" s="16" t="n">
        <f aca="false">K3380-L3380</f>
        <v>492.9</v>
      </c>
      <c r="N3380" s="17" t="n">
        <f aca="false">IFERROR(M3380/K3380,0)</f>
        <v>0.564669492496277</v>
      </c>
    </row>
    <row r="3381" customFormat="false" ht="15" hidden="false" customHeight="false" outlineLevel="0" collapsed="false">
      <c r="A3381" s="15" t="n">
        <v>46164</v>
      </c>
      <c r="B3381" s="14" t="s">
        <v>42</v>
      </c>
      <c r="C3381" s="14" t="s">
        <v>43</v>
      </c>
      <c r="D3381" s="14" t="s">
        <v>44</v>
      </c>
      <c r="E3381" s="14" t="s">
        <v>45</v>
      </c>
      <c r="F3381" s="14" t="s">
        <v>48</v>
      </c>
      <c r="G3381" s="14" t="s">
        <v>49</v>
      </c>
      <c r="H3381" s="0" t="n">
        <v>3</v>
      </c>
      <c r="I3381" s="16" t="n">
        <v>64.07</v>
      </c>
      <c r="J3381" s="16" t="n">
        <v>27.5</v>
      </c>
      <c r="K3381" s="16" t="n">
        <f aca="false">H3381*I3381</f>
        <v>192.21</v>
      </c>
      <c r="L3381" s="16" t="n">
        <f aca="false">H3381*J3381</f>
        <v>82.5</v>
      </c>
      <c r="M3381" s="16" t="n">
        <f aca="false">K3381-L3381</f>
        <v>109.71</v>
      </c>
      <c r="N3381" s="17" t="n">
        <f aca="false">IFERROR(M3381/K3381,0)</f>
        <v>0.570781957234275</v>
      </c>
    </row>
    <row r="3382" customFormat="false" ht="15" hidden="false" customHeight="false" outlineLevel="0" collapsed="false">
      <c r="A3382" s="15" t="n">
        <v>46164</v>
      </c>
      <c r="B3382" s="14" t="s">
        <v>42</v>
      </c>
      <c r="C3382" s="14" t="s">
        <v>43</v>
      </c>
      <c r="D3382" s="14" t="s">
        <v>44</v>
      </c>
      <c r="E3382" s="14" t="s">
        <v>56</v>
      </c>
      <c r="F3382" s="14" t="s">
        <v>67</v>
      </c>
      <c r="G3382" s="14" t="s">
        <v>68</v>
      </c>
      <c r="H3382" s="0" t="n">
        <v>4</v>
      </c>
      <c r="I3382" s="16" t="n">
        <v>37.34</v>
      </c>
      <c r="J3382" s="16" t="n">
        <v>15</v>
      </c>
      <c r="K3382" s="16" t="n">
        <f aca="false">H3382*I3382</f>
        <v>149.36</v>
      </c>
      <c r="L3382" s="16" t="n">
        <f aca="false">H3382*J3382</f>
        <v>60</v>
      </c>
      <c r="M3382" s="16" t="n">
        <f aca="false">K3382-L3382</f>
        <v>89.36</v>
      </c>
      <c r="N3382" s="17" t="n">
        <f aca="false">IFERROR(M3382/K3382,0)</f>
        <v>0.598286020353508</v>
      </c>
    </row>
    <row r="3383" customFormat="false" ht="15" hidden="false" customHeight="false" outlineLevel="0" collapsed="false">
      <c r="A3383" s="15" t="n">
        <v>46164</v>
      </c>
      <c r="B3383" s="14" t="s">
        <v>50</v>
      </c>
      <c r="C3383" s="14" t="s">
        <v>51</v>
      </c>
      <c r="D3383" s="14" t="s">
        <v>52</v>
      </c>
      <c r="E3383" s="14" t="s">
        <v>53</v>
      </c>
      <c r="F3383" s="14" t="s">
        <v>74</v>
      </c>
      <c r="G3383" s="14" t="s">
        <v>75</v>
      </c>
      <c r="H3383" s="0" t="n">
        <v>1</v>
      </c>
      <c r="I3383" s="16" t="n">
        <v>81.95</v>
      </c>
      <c r="J3383" s="16" t="n">
        <v>38</v>
      </c>
      <c r="K3383" s="16" t="n">
        <f aca="false">H3383*I3383</f>
        <v>81.95</v>
      </c>
      <c r="L3383" s="16" t="n">
        <f aca="false">H3383*J3383</f>
        <v>38</v>
      </c>
      <c r="M3383" s="16" t="n">
        <f aca="false">K3383-L3383</f>
        <v>43.95</v>
      </c>
      <c r="N3383" s="17" t="n">
        <f aca="false">IFERROR(M3383/K3383,0)</f>
        <v>0.536302623550946</v>
      </c>
    </row>
    <row r="3384" customFormat="false" ht="15" hidden="false" customHeight="false" outlineLevel="0" collapsed="false">
      <c r="A3384" s="15" t="n">
        <v>46164</v>
      </c>
      <c r="B3384" s="14" t="s">
        <v>50</v>
      </c>
      <c r="C3384" s="14" t="s">
        <v>51</v>
      </c>
      <c r="D3384" s="14" t="s">
        <v>52</v>
      </c>
      <c r="E3384" s="14" t="s">
        <v>76</v>
      </c>
      <c r="F3384" s="14" t="s">
        <v>102</v>
      </c>
      <c r="G3384" s="14" t="s">
        <v>103</v>
      </c>
      <c r="H3384" s="0" t="n">
        <v>6</v>
      </c>
      <c r="I3384" s="16" t="n">
        <v>22.91</v>
      </c>
      <c r="J3384" s="16" t="n">
        <v>8.5</v>
      </c>
      <c r="K3384" s="16" t="n">
        <f aca="false">H3384*I3384</f>
        <v>137.46</v>
      </c>
      <c r="L3384" s="16" t="n">
        <f aca="false">H3384*J3384</f>
        <v>51</v>
      </c>
      <c r="M3384" s="16" t="n">
        <f aca="false">K3384-L3384</f>
        <v>86.46</v>
      </c>
      <c r="N3384" s="17" t="n">
        <f aca="false">IFERROR(M3384/K3384,0)</f>
        <v>0.628982976865997</v>
      </c>
    </row>
    <row r="3385" customFormat="false" ht="15" hidden="false" customHeight="false" outlineLevel="0" collapsed="false">
      <c r="A3385" s="15" t="n">
        <v>46164</v>
      </c>
      <c r="B3385" s="14" t="s">
        <v>50</v>
      </c>
      <c r="C3385" s="14" t="s">
        <v>51</v>
      </c>
      <c r="D3385" s="14" t="s">
        <v>52</v>
      </c>
      <c r="E3385" s="14" t="s">
        <v>53</v>
      </c>
      <c r="F3385" s="14" t="s">
        <v>54</v>
      </c>
      <c r="G3385" s="14" t="s">
        <v>55</v>
      </c>
      <c r="H3385" s="0" t="n">
        <v>7</v>
      </c>
      <c r="I3385" s="16" t="n">
        <v>54.68</v>
      </c>
      <c r="J3385" s="16" t="n">
        <v>22</v>
      </c>
      <c r="K3385" s="16" t="n">
        <f aca="false">H3385*I3385</f>
        <v>382.76</v>
      </c>
      <c r="L3385" s="16" t="n">
        <f aca="false">H3385*J3385</f>
        <v>154</v>
      </c>
      <c r="M3385" s="16" t="n">
        <f aca="false">K3385-L3385</f>
        <v>228.76</v>
      </c>
      <c r="N3385" s="17" t="n">
        <f aca="false">IFERROR(M3385/K3385,0)</f>
        <v>0.597659107534748</v>
      </c>
    </row>
    <row r="3386" customFormat="false" ht="15" hidden="false" customHeight="false" outlineLevel="0" collapsed="false">
      <c r="A3386" s="15" t="n">
        <v>46164</v>
      </c>
      <c r="B3386" s="14" t="s">
        <v>50</v>
      </c>
      <c r="C3386" s="14" t="s">
        <v>51</v>
      </c>
      <c r="D3386" s="14" t="s">
        <v>52</v>
      </c>
      <c r="E3386" s="14" t="s">
        <v>76</v>
      </c>
      <c r="F3386" s="14" t="s">
        <v>77</v>
      </c>
      <c r="G3386" s="14" t="s">
        <v>78</v>
      </c>
      <c r="H3386" s="0" t="n">
        <v>4</v>
      </c>
      <c r="I3386" s="16" t="n">
        <v>38.72</v>
      </c>
      <c r="J3386" s="16" t="n">
        <v>15</v>
      </c>
      <c r="K3386" s="16" t="n">
        <f aca="false">H3386*I3386</f>
        <v>154.88</v>
      </c>
      <c r="L3386" s="16" t="n">
        <f aca="false">H3386*J3386</f>
        <v>60</v>
      </c>
      <c r="M3386" s="16" t="n">
        <f aca="false">K3386-L3386</f>
        <v>94.88</v>
      </c>
      <c r="N3386" s="17" t="n">
        <f aca="false">IFERROR(M3386/K3386,0)</f>
        <v>0.612603305785124</v>
      </c>
    </row>
    <row r="3387" customFormat="false" ht="15" hidden="false" customHeight="false" outlineLevel="0" collapsed="false">
      <c r="A3387" s="15" t="n">
        <v>46164</v>
      </c>
      <c r="B3387" s="14" t="s">
        <v>50</v>
      </c>
      <c r="C3387" s="14" t="s">
        <v>51</v>
      </c>
      <c r="D3387" s="14" t="s">
        <v>52</v>
      </c>
      <c r="E3387" s="14" t="s">
        <v>56</v>
      </c>
      <c r="F3387" s="14" t="s">
        <v>67</v>
      </c>
      <c r="G3387" s="14" t="s">
        <v>68</v>
      </c>
      <c r="H3387" s="0" t="n">
        <v>5</v>
      </c>
      <c r="I3387" s="16" t="n">
        <v>35.48</v>
      </c>
      <c r="J3387" s="16" t="n">
        <v>15</v>
      </c>
      <c r="K3387" s="16" t="n">
        <f aca="false">H3387*I3387</f>
        <v>177.4</v>
      </c>
      <c r="L3387" s="16" t="n">
        <f aca="false">H3387*J3387</f>
        <v>75</v>
      </c>
      <c r="M3387" s="16" t="n">
        <f aca="false">K3387-L3387</f>
        <v>102.4</v>
      </c>
      <c r="N3387" s="17" t="n">
        <f aca="false">IFERROR(M3387/K3387,0)</f>
        <v>0.577226606538895</v>
      </c>
    </row>
    <row r="3388" customFormat="false" ht="15" hidden="false" customHeight="false" outlineLevel="0" collapsed="false">
      <c r="A3388" s="15" t="n">
        <v>46164</v>
      </c>
      <c r="B3388" s="14" t="s">
        <v>59</v>
      </c>
      <c r="C3388" s="14" t="s">
        <v>60</v>
      </c>
      <c r="D3388" s="14" t="s">
        <v>61</v>
      </c>
      <c r="E3388" s="14" t="s">
        <v>53</v>
      </c>
      <c r="F3388" s="14" t="s">
        <v>74</v>
      </c>
      <c r="G3388" s="14" t="s">
        <v>75</v>
      </c>
      <c r="H3388" s="0" t="n">
        <v>3</v>
      </c>
      <c r="I3388" s="16" t="n">
        <v>82.53</v>
      </c>
      <c r="J3388" s="16" t="n">
        <v>38</v>
      </c>
      <c r="K3388" s="16" t="n">
        <f aca="false">H3388*I3388</f>
        <v>247.59</v>
      </c>
      <c r="L3388" s="16" t="n">
        <f aca="false">H3388*J3388</f>
        <v>114</v>
      </c>
      <c r="M3388" s="16" t="n">
        <f aca="false">K3388-L3388</f>
        <v>133.59</v>
      </c>
      <c r="N3388" s="17" t="n">
        <f aca="false">IFERROR(M3388/K3388,0)</f>
        <v>0.53956137162244</v>
      </c>
    </row>
    <row r="3389" customFormat="false" ht="15" hidden="false" customHeight="false" outlineLevel="0" collapsed="false">
      <c r="A3389" s="15" t="n">
        <v>46164</v>
      </c>
      <c r="B3389" s="14" t="s">
        <v>59</v>
      </c>
      <c r="C3389" s="14" t="s">
        <v>60</v>
      </c>
      <c r="D3389" s="14" t="s">
        <v>61</v>
      </c>
      <c r="E3389" s="14" t="s">
        <v>56</v>
      </c>
      <c r="F3389" s="14" t="s">
        <v>67</v>
      </c>
      <c r="G3389" s="14" t="s">
        <v>68</v>
      </c>
      <c r="H3389" s="0" t="n">
        <v>7</v>
      </c>
      <c r="I3389" s="16" t="n">
        <v>35.34</v>
      </c>
      <c r="J3389" s="16" t="n">
        <v>15</v>
      </c>
      <c r="K3389" s="16" t="n">
        <f aca="false">H3389*I3389</f>
        <v>247.38</v>
      </c>
      <c r="L3389" s="16" t="n">
        <f aca="false">H3389*J3389</f>
        <v>105</v>
      </c>
      <c r="M3389" s="16" t="n">
        <f aca="false">K3389-L3389</f>
        <v>142.38</v>
      </c>
      <c r="N3389" s="17" t="n">
        <f aca="false">IFERROR(M3389/K3389,0)</f>
        <v>0.575551782682513</v>
      </c>
    </row>
    <row r="3390" customFormat="false" ht="15" hidden="false" customHeight="false" outlineLevel="0" collapsed="false">
      <c r="A3390" s="15" t="n">
        <v>46164</v>
      </c>
      <c r="B3390" s="14" t="s">
        <v>59</v>
      </c>
      <c r="C3390" s="14" t="s">
        <v>60</v>
      </c>
      <c r="D3390" s="14" t="s">
        <v>61</v>
      </c>
      <c r="E3390" s="14" t="s">
        <v>53</v>
      </c>
      <c r="F3390" s="14" t="s">
        <v>84</v>
      </c>
      <c r="G3390" s="14" t="s">
        <v>85</v>
      </c>
      <c r="H3390" s="0" t="n">
        <v>4</v>
      </c>
      <c r="I3390" s="16" t="n">
        <v>23.48</v>
      </c>
      <c r="J3390" s="16" t="n">
        <v>9</v>
      </c>
      <c r="K3390" s="16" t="n">
        <f aca="false">H3390*I3390</f>
        <v>93.92</v>
      </c>
      <c r="L3390" s="16" t="n">
        <f aca="false">H3390*J3390</f>
        <v>36</v>
      </c>
      <c r="M3390" s="16" t="n">
        <f aca="false">K3390-L3390</f>
        <v>57.92</v>
      </c>
      <c r="N3390" s="17" t="n">
        <f aca="false">IFERROR(M3390/K3390,0)</f>
        <v>0.616695059625213</v>
      </c>
    </row>
    <row r="3391" customFormat="false" ht="15" hidden="false" customHeight="false" outlineLevel="0" collapsed="false">
      <c r="A3391" s="15" t="n">
        <v>46164</v>
      </c>
      <c r="B3391" s="14" t="s">
        <v>59</v>
      </c>
      <c r="C3391" s="14" t="s">
        <v>60</v>
      </c>
      <c r="D3391" s="14" t="s">
        <v>61</v>
      </c>
      <c r="E3391" s="14" t="s">
        <v>56</v>
      </c>
      <c r="F3391" s="14" t="s">
        <v>86</v>
      </c>
      <c r="G3391" s="14" t="s">
        <v>87</v>
      </c>
      <c r="H3391" s="0" t="n">
        <v>3</v>
      </c>
      <c r="I3391" s="16" t="n">
        <v>14.9</v>
      </c>
      <c r="J3391" s="16" t="n">
        <v>5</v>
      </c>
      <c r="K3391" s="16" t="n">
        <f aca="false">H3391*I3391</f>
        <v>44.7</v>
      </c>
      <c r="L3391" s="16" t="n">
        <f aca="false">H3391*J3391</f>
        <v>15</v>
      </c>
      <c r="M3391" s="16" t="n">
        <f aca="false">K3391-L3391</f>
        <v>29.7</v>
      </c>
      <c r="N3391" s="17" t="n">
        <f aca="false">IFERROR(M3391/K3391,0)</f>
        <v>0.664429530201342</v>
      </c>
    </row>
    <row r="3392" customFormat="false" ht="15" hidden="false" customHeight="false" outlineLevel="0" collapsed="false">
      <c r="A3392" s="15" t="n">
        <v>46164</v>
      </c>
      <c r="B3392" s="14" t="s">
        <v>59</v>
      </c>
      <c r="C3392" s="14" t="s">
        <v>60</v>
      </c>
      <c r="D3392" s="14" t="s">
        <v>61</v>
      </c>
      <c r="E3392" s="14" t="s">
        <v>76</v>
      </c>
      <c r="F3392" s="14" t="s">
        <v>79</v>
      </c>
      <c r="G3392" s="14" t="s">
        <v>80</v>
      </c>
      <c r="H3392" s="0" t="n">
        <v>1</v>
      </c>
      <c r="I3392" s="16" t="n">
        <v>28.17</v>
      </c>
      <c r="J3392" s="16" t="n">
        <v>11</v>
      </c>
      <c r="K3392" s="16" t="n">
        <f aca="false">H3392*I3392</f>
        <v>28.17</v>
      </c>
      <c r="L3392" s="16" t="n">
        <f aca="false">H3392*J3392</f>
        <v>11</v>
      </c>
      <c r="M3392" s="16" t="n">
        <f aca="false">K3392-L3392</f>
        <v>17.17</v>
      </c>
      <c r="N3392" s="17" t="n">
        <f aca="false">IFERROR(M3392/K3392,0)</f>
        <v>0.609513667021654</v>
      </c>
    </row>
    <row r="3393" customFormat="false" ht="15" hidden="false" customHeight="false" outlineLevel="0" collapsed="false">
      <c r="A3393" s="15" t="n">
        <v>46164</v>
      </c>
      <c r="B3393" s="14" t="s">
        <v>69</v>
      </c>
      <c r="C3393" s="14" t="s">
        <v>70</v>
      </c>
      <c r="D3393" s="14" t="s">
        <v>71</v>
      </c>
      <c r="E3393" s="14" t="s">
        <v>64</v>
      </c>
      <c r="F3393" s="14" t="s">
        <v>90</v>
      </c>
      <c r="G3393" s="14" t="s">
        <v>91</v>
      </c>
      <c r="H3393" s="0" t="n">
        <v>7</v>
      </c>
      <c r="I3393" s="16" t="n">
        <v>11.24</v>
      </c>
      <c r="J3393" s="16" t="n">
        <v>3.5</v>
      </c>
      <c r="K3393" s="16" t="n">
        <f aca="false">H3393*I3393</f>
        <v>78.68</v>
      </c>
      <c r="L3393" s="16" t="n">
        <f aca="false">H3393*J3393</f>
        <v>24.5</v>
      </c>
      <c r="M3393" s="16" t="n">
        <f aca="false">K3393-L3393</f>
        <v>54.18</v>
      </c>
      <c r="N3393" s="17" t="n">
        <f aca="false">IFERROR(M3393/K3393,0)</f>
        <v>0.688612099644128</v>
      </c>
    </row>
    <row r="3394" customFormat="false" ht="15" hidden="false" customHeight="false" outlineLevel="0" collapsed="false">
      <c r="A3394" s="15" t="n">
        <v>46164</v>
      </c>
      <c r="B3394" s="14" t="s">
        <v>69</v>
      </c>
      <c r="C3394" s="14" t="s">
        <v>70</v>
      </c>
      <c r="D3394" s="14" t="s">
        <v>71</v>
      </c>
      <c r="E3394" s="14" t="s">
        <v>45</v>
      </c>
      <c r="F3394" s="14" t="s">
        <v>48</v>
      </c>
      <c r="G3394" s="14" t="s">
        <v>49</v>
      </c>
      <c r="H3394" s="0" t="n">
        <v>6</v>
      </c>
      <c r="I3394" s="16" t="n">
        <v>66.44</v>
      </c>
      <c r="J3394" s="16" t="n">
        <v>27.5</v>
      </c>
      <c r="K3394" s="16" t="n">
        <f aca="false">H3394*I3394</f>
        <v>398.64</v>
      </c>
      <c r="L3394" s="16" t="n">
        <f aca="false">H3394*J3394</f>
        <v>165</v>
      </c>
      <c r="M3394" s="16" t="n">
        <f aca="false">K3394-L3394</f>
        <v>233.64</v>
      </c>
      <c r="N3394" s="17" t="n">
        <f aca="false">IFERROR(M3394/K3394,0)</f>
        <v>0.586092715231788</v>
      </c>
    </row>
    <row r="3395" customFormat="false" ht="15" hidden="false" customHeight="false" outlineLevel="0" collapsed="false">
      <c r="A3395" s="15" t="n">
        <v>46164</v>
      </c>
      <c r="B3395" s="14" t="s">
        <v>69</v>
      </c>
      <c r="C3395" s="14" t="s">
        <v>70</v>
      </c>
      <c r="D3395" s="14" t="s">
        <v>71</v>
      </c>
      <c r="E3395" s="14" t="s">
        <v>64</v>
      </c>
      <c r="F3395" s="14" t="s">
        <v>96</v>
      </c>
      <c r="G3395" s="14" t="s">
        <v>97</v>
      </c>
      <c r="H3395" s="0" t="n">
        <v>6</v>
      </c>
      <c r="I3395" s="16" t="n">
        <v>58.29</v>
      </c>
      <c r="J3395" s="16" t="n">
        <v>24</v>
      </c>
      <c r="K3395" s="16" t="n">
        <f aca="false">H3395*I3395</f>
        <v>349.74</v>
      </c>
      <c r="L3395" s="16" t="n">
        <f aca="false">H3395*J3395</f>
        <v>144</v>
      </c>
      <c r="M3395" s="16" t="n">
        <f aca="false">K3395-L3395</f>
        <v>205.74</v>
      </c>
      <c r="N3395" s="17" t="n">
        <f aca="false">IFERROR(M3395/K3395,0)</f>
        <v>0.588265568708183</v>
      </c>
    </row>
    <row r="3396" customFormat="false" ht="15" hidden="false" customHeight="false" outlineLevel="0" collapsed="false">
      <c r="A3396" s="15" t="n">
        <v>46164</v>
      </c>
      <c r="B3396" s="14" t="s">
        <v>69</v>
      </c>
      <c r="C3396" s="14" t="s">
        <v>70</v>
      </c>
      <c r="D3396" s="14" t="s">
        <v>71</v>
      </c>
      <c r="E3396" s="14" t="s">
        <v>64</v>
      </c>
      <c r="F3396" s="14" t="s">
        <v>65</v>
      </c>
      <c r="G3396" s="14" t="s">
        <v>66</v>
      </c>
      <c r="H3396" s="0" t="n">
        <v>4</v>
      </c>
      <c r="I3396" s="16" t="n">
        <v>73.98</v>
      </c>
      <c r="J3396" s="16" t="n">
        <v>34</v>
      </c>
      <c r="K3396" s="16" t="n">
        <f aca="false">H3396*I3396</f>
        <v>295.92</v>
      </c>
      <c r="L3396" s="16" t="n">
        <f aca="false">H3396*J3396</f>
        <v>136</v>
      </c>
      <c r="M3396" s="16" t="n">
        <f aca="false">K3396-L3396</f>
        <v>159.92</v>
      </c>
      <c r="N3396" s="17" t="n">
        <f aca="false">IFERROR(M3396/K3396,0)</f>
        <v>0.540416328737497</v>
      </c>
    </row>
    <row r="3397" customFormat="false" ht="15" hidden="false" customHeight="false" outlineLevel="0" collapsed="false">
      <c r="A3397" s="15" t="n">
        <v>46164</v>
      </c>
      <c r="B3397" s="14" t="s">
        <v>81</v>
      </c>
      <c r="C3397" s="14" t="s">
        <v>82</v>
      </c>
      <c r="D3397" s="14" t="s">
        <v>83</v>
      </c>
      <c r="E3397" s="14" t="s">
        <v>64</v>
      </c>
      <c r="F3397" s="14" t="s">
        <v>94</v>
      </c>
      <c r="G3397" s="14" t="s">
        <v>95</v>
      </c>
      <c r="H3397" s="0" t="n">
        <v>4</v>
      </c>
      <c r="I3397" s="16" t="n">
        <v>91.24</v>
      </c>
      <c r="J3397" s="16" t="n">
        <v>42</v>
      </c>
      <c r="K3397" s="16" t="n">
        <f aca="false">H3397*I3397</f>
        <v>364.96</v>
      </c>
      <c r="L3397" s="16" t="n">
        <f aca="false">H3397*J3397</f>
        <v>168</v>
      </c>
      <c r="M3397" s="16" t="n">
        <f aca="false">K3397-L3397</f>
        <v>196.96</v>
      </c>
      <c r="N3397" s="17" t="n">
        <f aca="false">IFERROR(M3397/K3397,0)</f>
        <v>0.539675580885576</v>
      </c>
    </row>
    <row r="3398" customFormat="false" ht="15" hidden="false" customHeight="false" outlineLevel="0" collapsed="false">
      <c r="A3398" s="15" t="n">
        <v>46164</v>
      </c>
      <c r="B3398" s="14" t="s">
        <v>81</v>
      </c>
      <c r="C3398" s="14" t="s">
        <v>82</v>
      </c>
      <c r="D3398" s="14" t="s">
        <v>83</v>
      </c>
      <c r="E3398" s="14" t="s">
        <v>56</v>
      </c>
      <c r="F3398" s="14" t="s">
        <v>57</v>
      </c>
      <c r="G3398" s="14" t="s">
        <v>58</v>
      </c>
      <c r="H3398" s="0" t="n">
        <v>6</v>
      </c>
      <c r="I3398" s="16" t="n">
        <v>26.15</v>
      </c>
      <c r="J3398" s="16" t="n">
        <v>10</v>
      </c>
      <c r="K3398" s="16" t="n">
        <f aca="false">H3398*I3398</f>
        <v>156.9</v>
      </c>
      <c r="L3398" s="16" t="n">
        <f aca="false">H3398*J3398</f>
        <v>60</v>
      </c>
      <c r="M3398" s="16" t="n">
        <f aca="false">K3398-L3398</f>
        <v>96.9</v>
      </c>
      <c r="N3398" s="17" t="n">
        <f aca="false">IFERROR(M3398/K3398,0)</f>
        <v>0.617590822179732</v>
      </c>
    </row>
    <row r="3399" customFormat="false" ht="15" hidden="false" customHeight="false" outlineLevel="0" collapsed="false">
      <c r="A3399" s="15" t="n">
        <v>46164</v>
      </c>
      <c r="B3399" s="14" t="s">
        <v>81</v>
      </c>
      <c r="C3399" s="14" t="s">
        <v>82</v>
      </c>
      <c r="D3399" s="14" t="s">
        <v>83</v>
      </c>
      <c r="E3399" s="14" t="s">
        <v>76</v>
      </c>
      <c r="F3399" s="14" t="s">
        <v>77</v>
      </c>
      <c r="G3399" s="14" t="s">
        <v>78</v>
      </c>
      <c r="H3399" s="0" t="n">
        <v>2</v>
      </c>
      <c r="I3399" s="16" t="n">
        <v>40.66</v>
      </c>
      <c r="J3399" s="16" t="n">
        <v>15</v>
      </c>
      <c r="K3399" s="16" t="n">
        <f aca="false">H3399*I3399</f>
        <v>81.32</v>
      </c>
      <c r="L3399" s="16" t="n">
        <f aca="false">H3399*J3399</f>
        <v>30</v>
      </c>
      <c r="M3399" s="16" t="n">
        <f aca="false">K3399-L3399</f>
        <v>51.32</v>
      </c>
      <c r="N3399" s="17" t="n">
        <f aca="false">IFERROR(M3399/K3399,0)</f>
        <v>0.631087063453025</v>
      </c>
    </row>
    <row r="3400" customFormat="false" ht="15" hidden="false" customHeight="false" outlineLevel="0" collapsed="false">
      <c r="A3400" s="15" t="n">
        <v>46164</v>
      </c>
      <c r="B3400" s="14" t="s">
        <v>81</v>
      </c>
      <c r="C3400" s="14" t="s">
        <v>82</v>
      </c>
      <c r="D3400" s="14" t="s">
        <v>83</v>
      </c>
      <c r="E3400" s="14" t="s">
        <v>64</v>
      </c>
      <c r="F3400" s="14" t="s">
        <v>96</v>
      </c>
      <c r="G3400" s="14" t="s">
        <v>97</v>
      </c>
      <c r="H3400" s="0" t="n">
        <v>5</v>
      </c>
      <c r="I3400" s="16" t="n">
        <v>55.26</v>
      </c>
      <c r="J3400" s="16" t="n">
        <v>24</v>
      </c>
      <c r="K3400" s="16" t="n">
        <f aca="false">H3400*I3400</f>
        <v>276.3</v>
      </c>
      <c r="L3400" s="16" t="n">
        <f aca="false">H3400*J3400</f>
        <v>120</v>
      </c>
      <c r="M3400" s="16" t="n">
        <f aca="false">K3400-L3400</f>
        <v>156.3</v>
      </c>
      <c r="N3400" s="17" t="n">
        <f aca="false">IFERROR(M3400/K3400,0)</f>
        <v>0.565689467969598</v>
      </c>
    </row>
    <row r="3401" customFormat="false" ht="15" hidden="false" customHeight="false" outlineLevel="0" collapsed="false">
      <c r="A3401" s="15" t="n">
        <v>46164</v>
      </c>
      <c r="B3401" s="14" t="s">
        <v>81</v>
      </c>
      <c r="C3401" s="14" t="s">
        <v>82</v>
      </c>
      <c r="D3401" s="14" t="s">
        <v>83</v>
      </c>
      <c r="E3401" s="14" t="s">
        <v>76</v>
      </c>
      <c r="F3401" s="14" t="s">
        <v>102</v>
      </c>
      <c r="G3401" s="14" t="s">
        <v>103</v>
      </c>
      <c r="H3401" s="0" t="n">
        <v>6</v>
      </c>
      <c r="I3401" s="16" t="n">
        <v>22.61</v>
      </c>
      <c r="J3401" s="16" t="n">
        <v>8.5</v>
      </c>
      <c r="K3401" s="16" t="n">
        <f aca="false">H3401*I3401</f>
        <v>135.66</v>
      </c>
      <c r="L3401" s="16" t="n">
        <f aca="false">H3401*J3401</f>
        <v>51</v>
      </c>
      <c r="M3401" s="16" t="n">
        <f aca="false">K3401-L3401</f>
        <v>84.66</v>
      </c>
      <c r="N3401" s="17" t="n">
        <f aca="false">IFERROR(M3401/K3401,0)</f>
        <v>0.62406015037594</v>
      </c>
    </row>
    <row r="3402" customFormat="false" ht="15" hidden="false" customHeight="false" outlineLevel="0" collapsed="false">
      <c r="A3402" s="15" t="n">
        <v>46164</v>
      </c>
      <c r="B3402" s="14" t="s">
        <v>88</v>
      </c>
      <c r="C3402" s="14" t="s">
        <v>89</v>
      </c>
      <c r="D3402" s="14" t="s">
        <v>44</v>
      </c>
      <c r="E3402" s="14" t="s">
        <v>53</v>
      </c>
      <c r="F3402" s="14" t="s">
        <v>84</v>
      </c>
      <c r="G3402" s="14" t="s">
        <v>85</v>
      </c>
      <c r="H3402" s="0" t="n">
        <v>10</v>
      </c>
      <c r="I3402" s="16" t="n">
        <v>24.92</v>
      </c>
      <c r="J3402" s="16" t="n">
        <v>9</v>
      </c>
      <c r="K3402" s="16" t="n">
        <f aca="false">H3402*I3402</f>
        <v>249.2</v>
      </c>
      <c r="L3402" s="16" t="n">
        <f aca="false">H3402*J3402</f>
        <v>90</v>
      </c>
      <c r="M3402" s="16" t="n">
        <f aca="false">K3402-L3402</f>
        <v>159.2</v>
      </c>
      <c r="N3402" s="17" t="n">
        <f aca="false">IFERROR(M3402/K3402,0)</f>
        <v>0.63884430176565</v>
      </c>
    </row>
    <row r="3403" customFormat="false" ht="15" hidden="false" customHeight="false" outlineLevel="0" collapsed="false">
      <c r="A3403" s="15" t="n">
        <v>46164</v>
      </c>
      <c r="B3403" s="14" t="s">
        <v>88</v>
      </c>
      <c r="C3403" s="14" t="s">
        <v>89</v>
      </c>
      <c r="D3403" s="14" t="s">
        <v>44</v>
      </c>
      <c r="E3403" s="14" t="s">
        <v>56</v>
      </c>
      <c r="F3403" s="14" t="s">
        <v>86</v>
      </c>
      <c r="G3403" s="14" t="s">
        <v>87</v>
      </c>
      <c r="H3403" s="0" t="n">
        <v>2</v>
      </c>
      <c r="I3403" s="16" t="n">
        <v>14.34</v>
      </c>
      <c r="J3403" s="16" t="n">
        <v>5</v>
      </c>
      <c r="K3403" s="16" t="n">
        <f aca="false">H3403*I3403</f>
        <v>28.68</v>
      </c>
      <c r="L3403" s="16" t="n">
        <f aca="false">H3403*J3403</f>
        <v>10</v>
      </c>
      <c r="M3403" s="16" t="n">
        <f aca="false">K3403-L3403</f>
        <v>18.68</v>
      </c>
      <c r="N3403" s="17" t="n">
        <f aca="false">IFERROR(M3403/K3403,0)</f>
        <v>0.651324965132497</v>
      </c>
    </row>
    <row r="3404" customFormat="false" ht="15" hidden="false" customHeight="false" outlineLevel="0" collapsed="false">
      <c r="A3404" s="15" t="n">
        <v>46164</v>
      </c>
      <c r="B3404" s="14" t="s">
        <v>88</v>
      </c>
      <c r="C3404" s="14" t="s">
        <v>89</v>
      </c>
      <c r="D3404" s="14" t="s">
        <v>44</v>
      </c>
      <c r="E3404" s="14" t="s">
        <v>45</v>
      </c>
      <c r="F3404" s="14" t="s">
        <v>72</v>
      </c>
      <c r="G3404" s="14" t="s">
        <v>73</v>
      </c>
      <c r="H3404" s="0" t="n">
        <v>6</v>
      </c>
      <c r="I3404" s="16" t="n">
        <v>49.34</v>
      </c>
      <c r="J3404" s="16" t="n">
        <v>21</v>
      </c>
      <c r="K3404" s="16" t="n">
        <f aca="false">H3404*I3404</f>
        <v>296.04</v>
      </c>
      <c r="L3404" s="16" t="n">
        <f aca="false">H3404*J3404</f>
        <v>126</v>
      </c>
      <c r="M3404" s="16" t="n">
        <f aca="false">K3404-L3404</f>
        <v>170.04</v>
      </c>
      <c r="N3404" s="17" t="n">
        <f aca="false">IFERROR(M3404/K3404,0)</f>
        <v>0.574381840291853</v>
      </c>
    </row>
    <row r="3405" customFormat="false" ht="15" hidden="false" customHeight="false" outlineLevel="0" collapsed="false">
      <c r="A3405" s="15" t="n">
        <v>46164</v>
      </c>
      <c r="B3405" s="14" t="s">
        <v>88</v>
      </c>
      <c r="C3405" s="14" t="s">
        <v>89</v>
      </c>
      <c r="D3405" s="14" t="s">
        <v>44</v>
      </c>
      <c r="E3405" s="14" t="s">
        <v>45</v>
      </c>
      <c r="F3405" s="14" t="s">
        <v>72</v>
      </c>
      <c r="G3405" s="14" t="s">
        <v>73</v>
      </c>
      <c r="H3405" s="0" t="n">
        <v>7</v>
      </c>
      <c r="I3405" s="16" t="n">
        <v>50.85</v>
      </c>
      <c r="J3405" s="16" t="n">
        <v>21</v>
      </c>
      <c r="K3405" s="16" t="n">
        <f aca="false">H3405*I3405</f>
        <v>355.95</v>
      </c>
      <c r="L3405" s="16" t="n">
        <f aca="false">H3405*J3405</f>
        <v>147</v>
      </c>
      <c r="M3405" s="16" t="n">
        <f aca="false">K3405-L3405</f>
        <v>208.95</v>
      </c>
      <c r="N3405" s="17" t="n">
        <f aca="false">IFERROR(M3405/K3405,0)</f>
        <v>0.587020648967552</v>
      </c>
    </row>
    <row r="3406" customFormat="false" ht="15" hidden="false" customHeight="false" outlineLevel="0" collapsed="false">
      <c r="A3406" s="15" t="n">
        <v>46165</v>
      </c>
      <c r="B3406" s="14" t="s">
        <v>42</v>
      </c>
      <c r="C3406" s="14" t="s">
        <v>43</v>
      </c>
      <c r="D3406" s="14" t="s">
        <v>44</v>
      </c>
      <c r="E3406" s="14" t="s">
        <v>45</v>
      </c>
      <c r="F3406" s="14" t="s">
        <v>72</v>
      </c>
      <c r="G3406" s="14" t="s">
        <v>73</v>
      </c>
      <c r="H3406" s="0" t="n">
        <v>8</v>
      </c>
      <c r="I3406" s="16" t="n">
        <v>49.29</v>
      </c>
      <c r="J3406" s="16" t="n">
        <v>21</v>
      </c>
      <c r="K3406" s="16" t="n">
        <f aca="false">H3406*I3406</f>
        <v>394.32</v>
      </c>
      <c r="L3406" s="16" t="n">
        <f aca="false">H3406*J3406</f>
        <v>168</v>
      </c>
      <c r="M3406" s="16" t="n">
        <f aca="false">K3406-L3406</f>
        <v>226.32</v>
      </c>
      <c r="N3406" s="17" t="n">
        <f aca="false">IFERROR(M3406/K3406,0)</f>
        <v>0.573950091296409</v>
      </c>
    </row>
    <row r="3407" customFormat="false" ht="15" hidden="false" customHeight="false" outlineLevel="0" collapsed="false">
      <c r="A3407" s="15" t="n">
        <v>46165</v>
      </c>
      <c r="B3407" s="14" t="s">
        <v>42</v>
      </c>
      <c r="C3407" s="14" t="s">
        <v>43</v>
      </c>
      <c r="D3407" s="14" t="s">
        <v>44</v>
      </c>
      <c r="E3407" s="14" t="s">
        <v>76</v>
      </c>
      <c r="F3407" s="14" t="s">
        <v>102</v>
      </c>
      <c r="G3407" s="14" t="s">
        <v>103</v>
      </c>
      <c r="H3407" s="0" t="n">
        <v>9</v>
      </c>
      <c r="I3407" s="16" t="n">
        <v>23</v>
      </c>
      <c r="J3407" s="16" t="n">
        <v>8.5</v>
      </c>
      <c r="K3407" s="16" t="n">
        <f aca="false">H3407*I3407</f>
        <v>207</v>
      </c>
      <c r="L3407" s="16" t="n">
        <f aca="false">H3407*J3407</f>
        <v>76.5</v>
      </c>
      <c r="M3407" s="16" t="n">
        <f aca="false">K3407-L3407</f>
        <v>130.5</v>
      </c>
      <c r="N3407" s="17" t="n">
        <f aca="false">IFERROR(M3407/K3407,0)</f>
        <v>0.630434782608696</v>
      </c>
    </row>
    <row r="3408" customFormat="false" ht="15" hidden="false" customHeight="false" outlineLevel="0" collapsed="false">
      <c r="A3408" s="15" t="n">
        <v>46165</v>
      </c>
      <c r="B3408" s="14" t="s">
        <v>42</v>
      </c>
      <c r="C3408" s="14" t="s">
        <v>43</v>
      </c>
      <c r="D3408" s="14" t="s">
        <v>44</v>
      </c>
      <c r="E3408" s="14" t="s">
        <v>53</v>
      </c>
      <c r="F3408" s="14" t="s">
        <v>54</v>
      </c>
      <c r="G3408" s="14" t="s">
        <v>55</v>
      </c>
      <c r="H3408" s="0" t="n">
        <v>8</v>
      </c>
      <c r="I3408" s="16" t="n">
        <v>54.32</v>
      </c>
      <c r="J3408" s="16" t="n">
        <v>22</v>
      </c>
      <c r="K3408" s="16" t="n">
        <f aca="false">H3408*I3408</f>
        <v>434.56</v>
      </c>
      <c r="L3408" s="16" t="n">
        <f aca="false">H3408*J3408</f>
        <v>176</v>
      </c>
      <c r="M3408" s="16" t="n">
        <f aca="false">K3408-L3408</f>
        <v>258.56</v>
      </c>
      <c r="N3408" s="17" t="n">
        <f aca="false">IFERROR(M3408/K3408,0)</f>
        <v>0.59499263622975</v>
      </c>
    </row>
    <row r="3409" customFormat="false" ht="15" hidden="false" customHeight="false" outlineLevel="0" collapsed="false">
      <c r="A3409" s="15" t="n">
        <v>46165</v>
      </c>
      <c r="B3409" s="14" t="s">
        <v>42</v>
      </c>
      <c r="C3409" s="14" t="s">
        <v>43</v>
      </c>
      <c r="D3409" s="14" t="s">
        <v>44</v>
      </c>
      <c r="E3409" s="14" t="s">
        <v>64</v>
      </c>
      <c r="F3409" s="14" t="s">
        <v>94</v>
      </c>
      <c r="G3409" s="14" t="s">
        <v>95</v>
      </c>
      <c r="H3409" s="0" t="n">
        <v>2</v>
      </c>
      <c r="I3409" s="16" t="n">
        <v>97.1</v>
      </c>
      <c r="J3409" s="16" t="n">
        <v>42</v>
      </c>
      <c r="K3409" s="16" t="n">
        <f aca="false">H3409*I3409</f>
        <v>194.2</v>
      </c>
      <c r="L3409" s="16" t="n">
        <f aca="false">H3409*J3409</f>
        <v>84</v>
      </c>
      <c r="M3409" s="16" t="n">
        <f aca="false">K3409-L3409</f>
        <v>110.2</v>
      </c>
      <c r="N3409" s="17" t="n">
        <f aca="false">IFERROR(M3409/K3409,0)</f>
        <v>0.56745623069001</v>
      </c>
    </row>
    <row r="3410" customFormat="false" ht="15" hidden="false" customHeight="false" outlineLevel="0" collapsed="false">
      <c r="A3410" s="15" t="n">
        <v>46165</v>
      </c>
      <c r="B3410" s="14" t="s">
        <v>42</v>
      </c>
      <c r="C3410" s="14" t="s">
        <v>43</v>
      </c>
      <c r="D3410" s="14" t="s">
        <v>44</v>
      </c>
      <c r="E3410" s="14" t="s">
        <v>45</v>
      </c>
      <c r="F3410" s="14" t="s">
        <v>62</v>
      </c>
      <c r="G3410" s="14" t="s">
        <v>63</v>
      </c>
      <c r="H3410" s="0" t="n">
        <v>3</v>
      </c>
      <c r="I3410" s="16" t="n">
        <v>17.45</v>
      </c>
      <c r="J3410" s="16" t="n">
        <v>6.5</v>
      </c>
      <c r="K3410" s="16" t="n">
        <f aca="false">H3410*I3410</f>
        <v>52.35</v>
      </c>
      <c r="L3410" s="16" t="n">
        <f aca="false">H3410*J3410</f>
        <v>19.5</v>
      </c>
      <c r="M3410" s="16" t="n">
        <f aca="false">K3410-L3410</f>
        <v>32.85</v>
      </c>
      <c r="N3410" s="17" t="n">
        <f aca="false">IFERROR(M3410/K3410,0)</f>
        <v>0.627507163323782</v>
      </c>
    </row>
    <row r="3411" customFormat="false" ht="15" hidden="false" customHeight="false" outlineLevel="0" collapsed="false">
      <c r="A3411" s="15" t="n">
        <v>46165</v>
      </c>
      <c r="B3411" s="14" t="s">
        <v>50</v>
      </c>
      <c r="C3411" s="14" t="s">
        <v>51</v>
      </c>
      <c r="D3411" s="14" t="s">
        <v>52</v>
      </c>
      <c r="E3411" s="14" t="s">
        <v>45</v>
      </c>
      <c r="F3411" s="14" t="s">
        <v>46</v>
      </c>
      <c r="G3411" s="14" t="s">
        <v>47</v>
      </c>
      <c r="H3411" s="0" t="n">
        <v>3</v>
      </c>
      <c r="I3411" s="16" t="n">
        <v>43.29</v>
      </c>
      <c r="J3411" s="16" t="n">
        <v>18</v>
      </c>
      <c r="K3411" s="16" t="n">
        <f aca="false">H3411*I3411</f>
        <v>129.87</v>
      </c>
      <c r="L3411" s="16" t="n">
        <f aca="false">H3411*J3411</f>
        <v>54</v>
      </c>
      <c r="M3411" s="16" t="n">
        <f aca="false">K3411-L3411</f>
        <v>75.87</v>
      </c>
      <c r="N3411" s="17" t="n">
        <f aca="false">IFERROR(M3411/K3411,0)</f>
        <v>0.584199584199584</v>
      </c>
    </row>
    <row r="3412" customFormat="false" ht="15" hidden="false" customHeight="false" outlineLevel="0" collapsed="false">
      <c r="A3412" s="15" t="n">
        <v>46165</v>
      </c>
      <c r="B3412" s="14" t="s">
        <v>50</v>
      </c>
      <c r="C3412" s="14" t="s">
        <v>51</v>
      </c>
      <c r="D3412" s="14" t="s">
        <v>52</v>
      </c>
      <c r="E3412" s="14" t="s">
        <v>76</v>
      </c>
      <c r="F3412" s="14" t="s">
        <v>100</v>
      </c>
      <c r="G3412" s="14" t="s">
        <v>101</v>
      </c>
      <c r="H3412" s="0" t="n">
        <v>5</v>
      </c>
      <c r="I3412" s="16" t="n">
        <v>15.1</v>
      </c>
      <c r="J3412" s="16" t="n">
        <v>5.5</v>
      </c>
      <c r="K3412" s="16" t="n">
        <f aca="false">H3412*I3412</f>
        <v>75.5</v>
      </c>
      <c r="L3412" s="16" t="n">
        <f aca="false">H3412*J3412</f>
        <v>27.5</v>
      </c>
      <c r="M3412" s="16" t="n">
        <f aca="false">K3412-L3412</f>
        <v>48</v>
      </c>
      <c r="N3412" s="17" t="n">
        <f aca="false">IFERROR(M3412/K3412,0)</f>
        <v>0.635761589403974</v>
      </c>
    </row>
    <row r="3413" customFormat="false" ht="15" hidden="false" customHeight="false" outlineLevel="0" collapsed="false">
      <c r="A3413" s="15" t="n">
        <v>46165</v>
      </c>
      <c r="B3413" s="14" t="s">
        <v>50</v>
      </c>
      <c r="C3413" s="14" t="s">
        <v>51</v>
      </c>
      <c r="D3413" s="14" t="s">
        <v>52</v>
      </c>
      <c r="E3413" s="14" t="s">
        <v>64</v>
      </c>
      <c r="F3413" s="14" t="s">
        <v>94</v>
      </c>
      <c r="G3413" s="14" t="s">
        <v>95</v>
      </c>
      <c r="H3413" s="0" t="n">
        <v>4</v>
      </c>
      <c r="I3413" s="16" t="n">
        <v>92.89</v>
      </c>
      <c r="J3413" s="16" t="n">
        <v>42</v>
      </c>
      <c r="K3413" s="16" t="n">
        <f aca="false">H3413*I3413</f>
        <v>371.56</v>
      </c>
      <c r="L3413" s="16" t="n">
        <f aca="false">H3413*J3413</f>
        <v>168</v>
      </c>
      <c r="M3413" s="16" t="n">
        <f aca="false">K3413-L3413</f>
        <v>203.56</v>
      </c>
      <c r="N3413" s="17" t="n">
        <f aca="false">IFERROR(M3413/K3413,0)</f>
        <v>0.547852298417483</v>
      </c>
    </row>
    <row r="3414" customFormat="false" ht="15" hidden="false" customHeight="false" outlineLevel="0" collapsed="false">
      <c r="A3414" s="15" t="n">
        <v>46165</v>
      </c>
      <c r="B3414" s="14" t="s">
        <v>50</v>
      </c>
      <c r="C3414" s="14" t="s">
        <v>51</v>
      </c>
      <c r="D3414" s="14" t="s">
        <v>52</v>
      </c>
      <c r="E3414" s="14" t="s">
        <v>76</v>
      </c>
      <c r="F3414" s="14" t="s">
        <v>77</v>
      </c>
      <c r="G3414" s="14" t="s">
        <v>78</v>
      </c>
      <c r="H3414" s="0" t="n">
        <v>3</v>
      </c>
      <c r="I3414" s="16" t="n">
        <v>39.42</v>
      </c>
      <c r="J3414" s="16" t="n">
        <v>15</v>
      </c>
      <c r="K3414" s="16" t="n">
        <f aca="false">H3414*I3414</f>
        <v>118.26</v>
      </c>
      <c r="L3414" s="16" t="n">
        <f aca="false">H3414*J3414</f>
        <v>45</v>
      </c>
      <c r="M3414" s="16" t="n">
        <f aca="false">K3414-L3414</f>
        <v>73.26</v>
      </c>
      <c r="N3414" s="17" t="n">
        <f aca="false">IFERROR(M3414/K3414,0)</f>
        <v>0.619482496194825</v>
      </c>
    </row>
    <row r="3415" customFormat="false" ht="15" hidden="false" customHeight="false" outlineLevel="0" collapsed="false">
      <c r="A3415" s="15" t="n">
        <v>46165</v>
      </c>
      <c r="B3415" s="14" t="s">
        <v>50</v>
      </c>
      <c r="C3415" s="14" t="s">
        <v>51</v>
      </c>
      <c r="D3415" s="14" t="s">
        <v>52</v>
      </c>
      <c r="E3415" s="14" t="s">
        <v>45</v>
      </c>
      <c r="F3415" s="14" t="s">
        <v>48</v>
      </c>
      <c r="G3415" s="14" t="s">
        <v>49</v>
      </c>
      <c r="H3415" s="0" t="n">
        <v>4</v>
      </c>
      <c r="I3415" s="16" t="n">
        <v>64.13</v>
      </c>
      <c r="J3415" s="16" t="n">
        <v>27.5</v>
      </c>
      <c r="K3415" s="16" t="n">
        <f aca="false">H3415*I3415</f>
        <v>256.52</v>
      </c>
      <c r="L3415" s="16" t="n">
        <f aca="false">H3415*J3415</f>
        <v>110</v>
      </c>
      <c r="M3415" s="16" t="n">
        <f aca="false">K3415-L3415</f>
        <v>146.52</v>
      </c>
      <c r="N3415" s="17" t="n">
        <f aca="false">IFERROR(M3415/K3415,0)</f>
        <v>0.571183533447684</v>
      </c>
    </row>
    <row r="3416" customFormat="false" ht="15" hidden="false" customHeight="false" outlineLevel="0" collapsed="false">
      <c r="A3416" s="15" t="n">
        <v>46165</v>
      </c>
      <c r="B3416" s="14" t="s">
        <v>50</v>
      </c>
      <c r="C3416" s="14" t="s">
        <v>51</v>
      </c>
      <c r="D3416" s="14" t="s">
        <v>52</v>
      </c>
      <c r="E3416" s="14" t="s">
        <v>64</v>
      </c>
      <c r="F3416" s="14" t="s">
        <v>90</v>
      </c>
      <c r="G3416" s="14" t="s">
        <v>91</v>
      </c>
      <c r="H3416" s="0" t="n">
        <v>4</v>
      </c>
      <c r="I3416" s="16" t="n">
        <v>11.27</v>
      </c>
      <c r="J3416" s="16" t="n">
        <v>3.5</v>
      </c>
      <c r="K3416" s="16" t="n">
        <f aca="false">H3416*I3416</f>
        <v>45.08</v>
      </c>
      <c r="L3416" s="16" t="n">
        <f aca="false">H3416*J3416</f>
        <v>14</v>
      </c>
      <c r="M3416" s="16" t="n">
        <f aca="false">K3416-L3416</f>
        <v>31.08</v>
      </c>
      <c r="N3416" s="17" t="n">
        <f aca="false">IFERROR(M3416/K3416,0)</f>
        <v>0.68944099378882</v>
      </c>
    </row>
    <row r="3417" customFormat="false" ht="15" hidden="false" customHeight="false" outlineLevel="0" collapsed="false">
      <c r="A3417" s="15" t="n">
        <v>46165</v>
      </c>
      <c r="B3417" s="14" t="s">
        <v>59</v>
      </c>
      <c r="C3417" s="14" t="s">
        <v>60</v>
      </c>
      <c r="D3417" s="14" t="s">
        <v>61</v>
      </c>
      <c r="E3417" s="14" t="s">
        <v>56</v>
      </c>
      <c r="F3417" s="14" t="s">
        <v>98</v>
      </c>
      <c r="G3417" s="14" t="s">
        <v>99</v>
      </c>
      <c r="H3417" s="0" t="n">
        <v>2</v>
      </c>
      <c r="I3417" s="16" t="n">
        <v>21.6</v>
      </c>
      <c r="J3417" s="16" t="n">
        <v>8</v>
      </c>
      <c r="K3417" s="16" t="n">
        <f aca="false">H3417*I3417</f>
        <v>43.2</v>
      </c>
      <c r="L3417" s="16" t="n">
        <f aca="false">H3417*J3417</f>
        <v>16</v>
      </c>
      <c r="M3417" s="16" t="n">
        <f aca="false">K3417-L3417</f>
        <v>27.2</v>
      </c>
      <c r="N3417" s="17" t="n">
        <f aca="false">IFERROR(M3417/K3417,0)</f>
        <v>0.62962962962963</v>
      </c>
    </row>
    <row r="3418" customFormat="false" ht="15" hidden="false" customHeight="false" outlineLevel="0" collapsed="false">
      <c r="A3418" s="15" t="n">
        <v>46165</v>
      </c>
      <c r="B3418" s="14" t="s">
        <v>59</v>
      </c>
      <c r="C3418" s="14" t="s">
        <v>60</v>
      </c>
      <c r="D3418" s="14" t="s">
        <v>61</v>
      </c>
      <c r="E3418" s="14" t="s">
        <v>76</v>
      </c>
      <c r="F3418" s="14" t="s">
        <v>77</v>
      </c>
      <c r="G3418" s="14" t="s">
        <v>78</v>
      </c>
      <c r="H3418" s="0" t="n">
        <v>2</v>
      </c>
      <c r="I3418" s="16" t="n">
        <v>41.26</v>
      </c>
      <c r="J3418" s="16" t="n">
        <v>15</v>
      </c>
      <c r="K3418" s="16" t="n">
        <f aca="false">H3418*I3418</f>
        <v>82.52</v>
      </c>
      <c r="L3418" s="16" t="n">
        <f aca="false">H3418*J3418</f>
        <v>30</v>
      </c>
      <c r="M3418" s="16" t="n">
        <f aca="false">K3418-L3418</f>
        <v>52.52</v>
      </c>
      <c r="N3418" s="17" t="n">
        <f aca="false">IFERROR(M3418/K3418,0)</f>
        <v>0.636451769268056</v>
      </c>
    </row>
    <row r="3419" customFormat="false" ht="15" hidden="false" customHeight="false" outlineLevel="0" collapsed="false">
      <c r="A3419" s="15" t="n">
        <v>46165</v>
      </c>
      <c r="B3419" s="14" t="s">
        <v>59</v>
      </c>
      <c r="C3419" s="14" t="s">
        <v>60</v>
      </c>
      <c r="D3419" s="14" t="s">
        <v>61</v>
      </c>
      <c r="E3419" s="14" t="s">
        <v>56</v>
      </c>
      <c r="F3419" s="14" t="s">
        <v>67</v>
      </c>
      <c r="G3419" s="14" t="s">
        <v>68</v>
      </c>
      <c r="H3419" s="0" t="n">
        <v>3</v>
      </c>
      <c r="I3419" s="16" t="n">
        <v>35.42</v>
      </c>
      <c r="J3419" s="16" t="n">
        <v>15</v>
      </c>
      <c r="K3419" s="16" t="n">
        <f aca="false">H3419*I3419</f>
        <v>106.26</v>
      </c>
      <c r="L3419" s="16" t="n">
        <f aca="false">H3419*J3419</f>
        <v>45</v>
      </c>
      <c r="M3419" s="16" t="n">
        <f aca="false">K3419-L3419</f>
        <v>61.26</v>
      </c>
      <c r="N3419" s="17" t="n">
        <f aca="false">IFERROR(M3419/K3419,0)</f>
        <v>0.576510446075664</v>
      </c>
    </row>
    <row r="3420" customFormat="false" ht="15" hidden="false" customHeight="false" outlineLevel="0" collapsed="false">
      <c r="A3420" s="15" t="n">
        <v>46165</v>
      </c>
      <c r="B3420" s="14" t="s">
        <v>69</v>
      </c>
      <c r="C3420" s="14" t="s">
        <v>70</v>
      </c>
      <c r="D3420" s="14" t="s">
        <v>71</v>
      </c>
      <c r="E3420" s="14" t="s">
        <v>53</v>
      </c>
      <c r="F3420" s="14" t="s">
        <v>74</v>
      </c>
      <c r="G3420" s="14" t="s">
        <v>75</v>
      </c>
      <c r="H3420" s="0" t="n">
        <v>8</v>
      </c>
      <c r="I3420" s="16" t="n">
        <v>87.97</v>
      </c>
      <c r="J3420" s="16" t="n">
        <v>38</v>
      </c>
      <c r="K3420" s="16" t="n">
        <f aca="false">H3420*I3420</f>
        <v>703.76</v>
      </c>
      <c r="L3420" s="16" t="n">
        <f aca="false">H3420*J3420</f>
        <v>304</v>
      </c>
      <c r="M3420" s="16" t="n">
        <f aca="false">K3420-L3420</f>
        <v>399.76</v>
      </c>
      <c r="N3420" s="17" t="n">
        <f aca="false">IFERROR(M3420/K3420,0)</f>
        <v>0.568034557235421</v>
      </c>
    </row>
    <row r="3421" customFormat="false" ht="15" hidden="false" customHeight="false" outlineLevel="0" collapsed="false">
      <c r="A3421" s="15" t="n">
        <v>46165</v>
      </c>
      <c r="B3421" s="14" t="s">
        <v>69</v>
      </c>
      <c r="C3421" s="14" t="s">
        <v>70</v>
      </c>
      <c r="D3421" s="14" t="s">
        <v>71</v>
      </c>
      <c r="E3421" s="14" t="s">
        <v>76</v>
      </c>
      <c r="F3421" s="14" t="s">
        <v>79</v>
      </c>
      <c r="G3421" s="14" t="s">
        <v>80</v>
      </c>
      <c r="H3421" s="0" t="n">
        <v>1</v>
      </c>
      <c r="I3421" s="16" t="n">
        <v>28.55</v>
      </c>
      <c r="J3421" s="16" t="n">
        <v>11</v>
      </c>
      <c r="K3421" s="16" t="n">
        <f aca="false">H3421*I3421</f>
        <v>28.55</v>
      </c>
      <c r="L3421" s="16" t="n">
        <f aca="false">H3421*J3421</f>
        <v>11</v>
      </c>
      <c r="M3421" s="16" t="n">
        <f aca="false">K3421-L3421</f>
        <v>17.55</v>
      </c>
      <c r="N3421" s="17" t="n">
        <f aca="false">IFERROR(M3421/K3421,0)</f>
        <v>0.614711033274956</v>
      </c>
    </row>
    <row r="3422" customFormat="false" ht="15" hidden="false" customHeight="false" outlineLevel="0" collapsed="false">
      <c r="A3422" s="15" t="n">
        <v>46165</v>
      </c>
      <c r="B3422" s="14" t="s">
        <v>69</v>
      </c>
      <c r="C3422" s="14" t="s">
        <v>70</v>
      </c>
      <c r="D3422" s="14" t="s">
        <v>71</v>
      </c>
      <c r="E3422" s="14" t="s">
        <v>53</v>
      </c>
      <c r="F3422" s="14" t="s">
        <v>74</v>
      </c>
      <c r="G3422" s="14" t="s">
        <v>75</v>
      </c>
      <c r="H3422" s="0" t="n">
        <v>11</v>
      </c>
      <c r="I3422" s="16" t="n">
        <v>82.99</v>
      </c>
      <c r="J3422" s="16" t="n">
        <v>38</v>
      </c>
      <c r="K3422" s="16" t="n">
        <f aca="false">H3422*I3422</f>
        <v>912.89</v>
      </c>
      <c r="L3422" s="16" t="n">
        <f aca="false">H3422*J3422</f>
        <v>418</v>
      </c>
      <c r="M3422" s="16" t="n">
        <f aca="false">K3422-L3422</f>
        <v>494.89</v>
      </c>
      <c r="N3422" s="17" t="n">
        <f aca="false">IFERROR(M3422/K3422,0)</f>
        <v>0.542113507651524</v>
      </c>
    </row>
    <row r="3423" customFormat="false" ht="15" hidden="false" customHeight="false" outlineLevel="0" collapsed="false">
      <c r="A3423" s="15" t="n">
        <v>46165</v>
      </c>
      <c r="B3423" s="14" t="s">
        <v>81</v>
      </c>
      <c r="C3423" s="14" t="s">
        <v>82</v>
      </c>
      <c r="D3423" s="14" t="s">
        <v>83</v>
      </c>
      <c r="E3423" s="14" t="s">
        <v>53</v>
      </c>
      <c r="F3423" s="14" t="s">
        <v>92</v>
      </c>
      <c r="G3423" s="14" t="s">
        <v>93</v>
      </c>
      <c r="H3423" s="0" t="n">
        <v>6</v>
      </c>
      <c r="I3423" s="16" t="n">
        <v>114.84</v>
      </c>
      <c r="J3423" s="16" t="n">
        <v>52</v>
      </c>
      <c r="K3423" s="16" t="n">
        <f aca="false">H3423*I3423</f>
        <v>689.04</v>
      </c>
      <c r="L3423" s="16" t="n">
        <f aca="false">H3423*J3423</f>
        <v>312</v>
      </c>
      <c r="M3423" s="16" t="n">
        <f aca="false">K3423-L3423</f>
        <v>377.04</v>
      </c>
      <c r="N3423" s="17" t="n">
        <f aca="false">IFERROR(M3423/K3423,0)</f>
        <v>0.547196098920237</v>
      </c>
    </row>
    <row r="3424" customFormat="false" ht="15" hidden="false" customHeight="false" outlineLevel="0" collapsed="false">
      <c r="A3424" s="15" t="n">
        <v>46165</v>
      </c>
      <c r="B3424" s="14" t="s">
        <v>81</v>
      </c>
      <c r="C3424" s="14" t="s">
        <v>82</v>
      </c>
      <c r="D3424" s="14" t="s">
        <v>83</v>
      </c>
      <c r="E3424" s="14" t="s">
        <v>64</v>
      </c>
      <c r="F3424" s="14" t="s">
        <v>96</v>
      </c>
      <c r="G3424" s="14" t="s">
        <v>97</v>
      </c>
      <c r="H3424" s="0" t="n">
        <v>2</v>
      </c>
      <c r="I3424" s="16" t="n">
        <v>57.65</v>
      </c>
      <c r="J3424" s="16" t="n">
        <v>24</v>
      </c>
      <c r="K3424" s="16" t="n">
        <f aca="false">H3424*I3424</f>
        <v>115.3</v>
      </c>
      <c r="L3424" s="16" t="n">
        <f aca="false">H3424*J3424</f>
        <v>48</v>
      </c>
      <c r="M3424" s="16" t="n">
        <f aca="false">K3424-L3424</f>
        <v>67.3</v>
      </c>
      <c r="N3424" s="17" t="n">
        <f aca="false">IFERROR(M3424/K3424,0)</f>
        <v>0.583694709453599</v>
      </c>
    </row>
    <row r="3425" customFormat="false" ht="15" hidden="false" customHeight="false" outlineLevel="0" collapsed="false">
      <c r="A3425" s="15" t="n">
        <v>46165</v>
      </c>
      <c r="B3425" s="14" t="s">
        <v>81</v>
      </c>
      <c r="C3425" s="14" t="s">
        <v>82</v>
      </c>
      <c r="D3425" s="14" t="s">
        <v>83</v>
      </c>
      <c r="E3425" s="14" t="s">
        <v>53</v>
      </c>
      <c r="F3425" s="14" t="s">
        <v>74</v>
      </c>
      <c r="G3425" s="14" t="s">
        <v>75</v>
      </c>
      <c r="H3425" s="0" t="n">
        <v>2</v>
      </c>
      <c r="I3425" s="16" t="n">
        <v>88.88</v>
      </c>
      <c r="J3425" s="16" t="n">
        <v>38</v>
      </c>
      <c r="K3425" s="16" t="n">
        <f aca="false">H3425*I3425</f>
        <v>177.76</v>
      </c>
      <c r="L3425" s="16" t="n">
        <f aca="false">H3425*J3425</f>
        <v>76</v>
      </c>
      <c r="M3425" s="16" t="n">
        <f aca="false">K3425-L3425</f>
        <v>101.76</v>
      </c>
      <c r="N3425" s="17" t="n">
        <f aca="false">IFERROR(M3425/K3425,0)</f>
        <v>0.572457245724573</v>
      </c>
    </row>
    <row r="3426" customFormat="false" ht="15" hidden="false" customHeight="false" outlineLevel="0" collapsed="false">
      <c r="A3426" s="15" t="n">
        <v>46165</v>
      </c>
      <c r="B3426" s="14" t="s">
        <v>88</v>
      </c>
      <c r="C3426" s="14" t="s">
        <v>89</v>
      </c>
      <c r="D3426" s="14" t="s">
        <v>44</v>
      </c>
      <c r="E3426" s="14" t="s">
        <v>45</v>
      </c>
      <c r="F3426" s="14" t="s">
        <v>46</v>
      </c>
      <c r="G3426" s="14" t="s">
        <v>47</v>
      </c>
      <c r="H3426" s="0" t="n">
        <v>10</v>
      </c>
      <c r="I3426" s="16" t="n">
        <v>43.3</v>
      </c>
      <c r="J3426" s="16" t="n">
        <v>18</v>
      </c>
      <c r="K3426" s="16" t="n">
        <f aca="false">H3426*I3426</f>
        <v>433</v>
      </c>
      <c r="L3426" s="16" t="n">
        <f aca="false">H3426*J3426</f>
        <v>180</v>
      </c>
      <c r="M3426" s="16" t="n">
        <f aca="false">K3426-L3426</f>
        <v>253</v>
      </c>
      <c r="N3426" s="17" t="n">
        <f aca="false">IFERROR(M3426/K3426,0)</f>
        <v>0.584295612009238</v>
      </c>
    </row>
    <row r="3427" customFormat="false" ht="15" hidden="false" customHeight="false" outlineLevel="0" collapsed="false">
      <c r="A3427" s="15" t="n">
        <v>46165</v>
      </c>
      <c r="B3427" s="14" t="s">
        <v>88</v>
      </c>
      <c r="C3427" s="14" t="s">
        <v>89</v>
      </c>
      <c r="D3427" s="14" t="s">
        <v>44</v>
      </c>
      <c r="E3427" s="14" t="s">
        <v>64</v>
      </c>
      <c r="F3427" s="14" t="s">
        <v>90</v>
      </c>
      <c r="G3427" s="14" t="s">
        <v>91</v>
      </c>
      <c r="H3427" s="0" t="n">
        <v>9</v>
      </c>
      <c r="I3427" s="16" t="n">
        <v>11.89</v>
      </c>
      <c r="J3427" s="16" t="n">
        <v>3.5</v>
      </c>
      <c r="K3427" s="16" t="n">
        <f aca="false">H3427*I3427</f>
        <v>107.01</v>
      </c>
      <c r="L3427" s="16" t="n">
        <f aca="false">H3427*J3427</f>
        <v>31.5</v>
      </c>
      <c r="M3427" s="16" t="n">
        <f aca="false">K3427-L3427</f>
        <v>75.51</v>
      </c>
      <c r="N3427" s="17" t="n">
        <f aca="false">IFERROR(M3427/K3427,0)</f>
        <v>0.705634987384357</v>
      </c>
    </row>
    <row r="3428" customFormat="false" ht="15" hidden="false" customHeight="false" outlineLevel="0" collapsed="false">
      <c r="A3428" s="15" t="n">
        <v>46165</v>
      </c>
      <c r="B3428" s="14" t="s">
        <v>88</v>
      </c>
      <c r="C3428" s="14" t="s">
        <v>89</v>
      </c>
      <c r="D3428" s="14" t="s">
        <v>44</v>
      </c>
      <c r="E3428" s="14" t="s">
        <v>64</v>
      </c>
      <c r="F3428" s="14" t="s">
        <v>94</v>
      </c>
      <c r="G3428" s="14" t="s">
        <v>95</v>
      </c>
      <c r="H3428" s="0" t="n">
        <v>9</v>
      </c>
      <c r="I3428" s="16" t="n">
        <v>97.03</v>
      </c>
      <c r="J3428" s="16" t="n">
        <v>42</v>
      </c>
      <c r="K3428" s="16" t="n">
        <f aca="false">H3428*I3428</f>
        <v>873.27</v>
      </c>
      <c r="L3428" s="16" t="n">
        <f aca="false">H3428*J3428</f>
        <v>378</v>
      </c>
      <c r="M3428" s="16" t="n">
        <f aca="false">K3428-L3428</f>
        <v>495.27</v>
      </c>
      <c r="N3428" s="17" t="n">
        <f aca="false">IFERROR(M3428/K3428,0)</f>
        <v>0.567144182211687</v>
      </c>
    </row>
    <row r="3429" customFormat="false" ht="15" hidden="false" customHeight="false" outlineLevel="0" collapsed="false">
      <c r="A3429" s="15" t="n">
        <v>46166</v>
      </c>
      <c r="B3429" s="14" t="s">
        <v>42</v>
      </c>
      <c r="C3429" s="14" t="s">
        <v>43</v>
      </c>
      <c r="D3429" s="14" t="s">
        <v>44</v>
      </c>
      <c r="E3429" s="14" t="s">
        <v>64</v>
      </c>
      <c r="F3429" s="14" t="s">
        <v>96</v>
      </c>
      <c r="G3429" s="14" t="s">
        <v>97</v>
      </c>
      <c r="H3429" s="0" t="n">
        <v>13</v>
      </c>
      <c r="I3429" s="16" t="n">
        <v>54.88</v>
      </c>
      <c r="J3429" s="16" t="n">
        <v>24</v>
      </c>
      <c r="K3429" s="16" t="n">
        <f aca="false">H3429*I3429</f>
        <v>713.44</v>
      </c>
      <c r="L3429" s="16" t="n">
        <f aca="false">H3429*J3429</f>
        <v>312</v>
      </c>
      <c r="M3429" s="16" t="n">
        <f aca="false">K3429-L3429</f>
        <v>401.44</v>
      </c>
      <c r="N3429" s="17" t="n">
        <f aca="false">IFERROR(M3429/K3429,0)</f>
        <v>0.56268221574344</v>
      </c>
    </row>
    <row r="3430" customFormat="false" ht="15" hidden="false" customHeight="false" outlineLevel="0" collapsed="false">
      <c r="A3430" s="15" t="n">
        <v>46166</v>
      </c>
      <c r="B3430" s="14" t="s">
        <v>42</v>
      </c>
      <c r="C3430" s="14" t="s">
        <v>43</v>
      </c>
      <c r="D3430" s="14" t="s">
        <v>44</v>
      </c>
      <c r="E3430" s="14" t="s">
        <v>45</v>
      </c>
      <c r="F3430" s="14" t="s">
        <v>62</v>
      </c>
      <c r="G3430" s="14" t="s">
        <v>63</v>
      </c>
      <c r="H3430" s="0" t="n">
        <v>3</v>
      </c>
      <c r="I3430" s="16" t="n">
        <v>17.42</v>
      </c>
      <c r="J3430" s="16" t="n">
        <v>6.5</v>
      </c>
      <c r="K3430" s="16" t="n">
        <f aca="false">H3430*I3430</f>
        <v>52.26</v>
      </c>
      <c r="L3430" s="16" t="n">
        <f aca="false">H3430*J3430</f>
        <v>19.5</v>
      </c>
      <c r="M3430" s="16" t="n">
        <f aca="false">K3430-L3430</f>
        <v>32.76</v>
      </c>
      <c r="N3430" s="17" t="n">
        <f aca="false">IFERROR(M3430/K3430,0)</f>
        <v>0.626865671641791</v>
      </c>
    </row>
    <row r="3431" customFormat="false" ht="15" hidden="false" customHeight="false" outlineLevel="0" collapsed="false">
      <c r="A3431" s="15" t="n">
        <v>46166</v>
      </c>
      <c r="B3431" s="14" t="s">
        <v>42</v>
      </c>
      <c r="C3431" s="14" t="s">
        <v>43</v>
      </c>
      <c r="D3431" s="14" t="s">
        <v>44</v>
      </c>
      <c r="E3431" s="14" t="s">
        <v>76</v>
      </c>
      <c r="F3431" s="14" t="s">
        <v>102</v>
      </c>
      <c r="G3431" s="14" t="s">
        <v>103</v>
      </c>
      <c r="H3431" s="0" t="n">
        <v>4</v>
      </c>
      <c r="I3431" s="16" t="n">
        <v>23.24</v>
      </c>
      <c r="J3431" s="16" t="n">
        <v>8.5</v>
      </c>
      <c r="K3431" s="16" t="n">
        <f aca="false">H3431*I3431</f>
        <v>92.96</v>
      </c>
      <c r="L3431" s="16" t="n">
        <f aca="false">H3431*J3431</f>
        <v>34</v>
      </c>
      <c r="M3431" s="16" t="n">
        <f aca="false">K3431-L3431</f>
        <v>58.96</v>
      </c>
      <c r="N3431" s="17" t="n">
        <f aca="false">IFERROR(M3431/K3431,0)</f>
        <v>0.634251290877797</v>
      </c>
    </row>
    <row r="3432" customFormat="false" ht="15" hidden="false" customHeight="false" outlineLevel="0" collapsed="false">
      <c r="A3432" s="15" t="n">
        <v>46166</v>
      </c>
      <c r="B3432" s="14" t="s">
        <v>42</v>
      </c>
      <c r="C3432" s="14" t="s">
        <v>43</v>
      </c>
      <c r="D3432" s="14" t="s">
        <v>44</v>
      </c>
      <c r="E3432" s="14" t="s">
        <v>64</v>
      </c>
      <c r="F3432" s="14" t="s">
        <v>90</v>
      </c>
      <c r="G3432" s="14" t="s">
        <v>91</v>
      </c>
      <c r="H3432" s="0" t="n">
        <v>11</v>
      </c>
      <c r="I3432" s="16" t="n">
        <v>11.33</v>
      </c>
      <c r="J3432" s="16" t="n">
        <v>3.5</v>
      </c>
      <c r="K3432" s="16" t="n">
        <f aca="false">H3432*I3432</f>
        <v>124.63</v>
      </c>
      <c r="L3432" s="16" t="n">
        <f aca="false">H3432*J3432</f>
        <v>38.5</v>
      </c>
      <c r="M3432" s="16" t="n">
        <f aca="false">K3432-L3432</f>
        <v>86.13</v>
      </c>
      <c r="N3432" s="17" t="n">
        <f aca="false">IFERROR(M3432/K3432,0)</f>
        <v>0.691085613415711</v>
      </c>
    </row>
    <row r="3433" customFormat="false" ht="15" hidden="false" customHeight="false" outlineLevel="0" collapsed="false">
      <c r="A3433" s="15" t="n">
        <v>46166</v>
      </c>
      <c r="B3433" s="14" t="s">
        <v>42</v>
      </c>
      <c r="C3433" s="14" t="s">
        <v>43</v>
      </c>
      <c r="D3433" s="14" t="s">
        <v>44</v>
      </c>
      <c r="E3433" s="14" t="s">
        <v>45</v>
      </c>
      <c r="F3433" s="14" t="s">
        <v>46</v>
      </c>
      <c r="G3433" s="14" t="s">
        <v>47</v>
      </c>
      <c r="H3433" s="0" t="n">
        <v>13</v>
      </c>
      <c r="I3433" s="16" t="n">
        <v>42.12</v>
      </c>
      <c r="J3433" s="16" t="n">
        <v>18</v>
      </c>
      <c r="K3433" s="16" t="n">
        <f aca="false">H3433*I3433</f>
        <v>547.56</v>
      </c>
      <c r="L3433" s="16" t="n">
        <f aca="false">H3433*J3433</f>
        <v>234</v>
      </c>
      <c r="M3433" s="16" t="n">
        <f aca="false">K3433-L3433</f>
        <v>313.56</v>
      </c>
      <c r="N3433" s="17" t="n">
        <f aca="false">IFERROR(M3433/K3433,0)</f>
        <v>0.572649572649573</v>
      </c>
    </row>
    <row r="3434" customFormat="false" ht="15" hidden="false" customHeight="false" outlineLevel="0" collapsed="false">
      <c r="A3434" s="15" t="n">
        <v>46166</v>
      </c>
      <c r="B3434" s="14" t="s">
        <v>42</v>
      </c>
      <c r="C3434" s="14" t="s">
        <v>43</v>
      </c>
      <c r="D3434" s="14" t="s">
        <v>44</v>
      </c>
      <c r="E3434" s="14" t="s">
        <v>45</v>
      </c>
      <c r="F3434" s="14" t="s">
        <v>62</v>
      </c>
      <c r="G3434" s="14" t="s">
        <v>63</v>
      </c>
      <c r="H3434" s="0" t="n">
        <v>11</v>
      </c>
      <c r="I3434" s="16" t="n">
        <v>17.68</v>
      </c>
      <c r="J3434" s="16" t="n">
        <v>6.5</v>
      </c>
      <c r="K3434" s="16" t="n">
        <f aca="false">H3434*I3434</f>
        <v>194.48</v>
      </c>
      <c r="L3434" s="16" t="n">
        <f aca="false">H3434*J3434</f>
        <v>71.5</v>
      </c>
      <c r="M3434" s="16" t="n">
        <f aca="false">K3434-L3434</f>
        <v>122.98</v>
      </c>
      <c r="N3434" s="17" t="n">
        <f aca="false">IFERROR(M3434/K3434,0)</f>
        <v>0.632352941176471</v>
      </c>
    </row>
    <row r="3435" customFormat="false" ht="15" hidden="false" customHeight="false" outlineLevel="0" collapsed="false">
      <c r="A3435" s="15" t="n">
        <v>46166</v>
      </c>
      <c r="B3435" s="14" t="s">
        <v>50</v>
      </c>
      <c r="C3435" s="14" t="s">
        <v>51</v>
      </c>
      <c r="D3435" s="14" t="s">
        <v>52</v>
      </c>
      <c r="E3435" s="14" t="s">
        <v>64</v>
      </c>
      <c r="F3435" s="14" t="s">
        <v>96</v>
      </c>
      <c r="G3435" s="14" t="s">
        <v>97</v>
      </c>
      <c r="H3435" s="0" t="n">
        <v>7</v>
      </c>
      <c r="I3435" s="16" t="n">
        <v>56.15</v>
      </c>
      <c r="J3435" s="16" t="n">
        <v>24</v>
      </c>
      <c r="K3435" s="16" t="n">
        <f aca="false">H3435*I3435</f>
        <v>393.05</v>
      </c>
      <c r="L3435" s="16" t="n">
        <f aca="false">H3435*J3435</f>
        <v>168</v>
      </c>
      <c r="M3435" s="16" t="n">
        <f aca="false">K3435-L3435</f>
        <v>225.05</v>
      </c>
      <c r="N3435" s="17" t="n">
        <f aca="false">IFERROR(M3435/K3435,0)</f>
        <v>0.572573463935886</v>
      </c>
    </row>
    <row r="3436" customFormat="false" ht="15" hidden="false" customHeight="false" outlineLevel="0" collapsed="false">
      <c r="A3436" s="15" t="n">
        <v>46166</v>
      </c>
      <c r="B3436" s="14" t="s">
        <v>50</v>
      </c>
      <c r="C3436" s="14" t="s">
        <v>51</v>
      </c>
      <c r="D3436" s="14" t="s">
        <v>52</v>
      </c>
      <c r="E3436" s="14" t="s">
        <v>53</v>
      </c>
      <c r="F3436" s="14" t="s">
        <v>74</v>
      </c>
      <c r="G3436" s="14" t="s">
        <v>75</v>
      </c>
      <c r="H3436" s="0" t="n">
        <v>7</v>
      </c>
      <c r="I3436" s="16" t="n">
        <v>88.31</v>
      </c>
      <c r="J3436" s="16" t="n">
        <v>38</v>
      </c>
      <c r="K3436" s="16" t="n">
        <f aca="false">H3436*I3436</f>
        <v>618.17</v>
      </c>
      <c r="L3436" s="16" t="n">
        <f aca="false">H3436*J3436</f>
        <v>266</v>
      </c>
      <c r="M3436" s="16" t="n">
        <f aca="false">K3436-L3436</f>
        <v>352.17</v>
      </c>
      <c r="N3436" s="17" t="n">
        <f aca="false">IFERROR(M3436/K3436,0)</f>
        <v>0.5696976559846</v>
      </c>
    </row>
    <row r="3437" customFormat="false" ht="15" hidden="false" customHeight="false" outlineLevel="0" collapsed="false">
      <c r="A3437" s="15" t="n">
        <v>46166</v>
      </c>
      <c r="B3437" s="14" t="s">
        <v>50</v>
      </c>
      <c r="C3437" s="14" t="s">
        <v>51</v>
      </c>
      <c r="D3437" s="14" t="s">
        <v>52</v>
      </c>
      <c r="E3437" s="14" t="s">
        <v>76</v>
      </c>
      <c r="F3437" s="14" t="s">
        <v>100</v>
      </c>
      <c r="G3437" s="14" t="s">
        <v>101</v>
      </c>
      <c r="H3437" s="0" t="n">
        <v>11</v>
      </c>
      <c r="I3437" s="16" t="n">
        <v>15.32</v>
      </c>
      <c r="J3437" s="16" t="n">
        <v>5.5</v>
      </c>
      <c r="K3437" s="16" t="n">
        <f aca="false">H3437*I3437</f>
        <v>168.52</v>
      </c>
      <c r="L3437" s="16" t="n">
        <f aca="false">H3437*J3437</f>
        <v>60.5</v>
      </c>
      <c r="M3437" s="16" t="n">
        <f aca="false">K3437-L3437</f>
        <v>108.02</v>
      </c>
      <c r="N3437" s="17" t="n">
        <f aca="false">IFERROR(M3437/K3437,0)</f>
        <v>0.640992167101828</v>
      </c>
    </row>
    <row r="3438" customFormat="false" ht="15" hidden="false" customHeight="false" outlineLevel="0" collapsed="false">
      <c r="A3438" s="15" t="n">
        <v>46166</v>
      </c>
      <c r="B3438" s="14" t="s">
        <v>59</v>
      </c>
      <c r="C3438" s="14" t="s">
        <v>60</v>
      </c>
      <c r="D3438" s="14" t="s">
        <v>61</v>
      </c>
      <c r="E3438" s="14" t="s">
        <v>76</v>
      </c>
      <c r="F3438" s="14" t="s">
        <v>77</v>
      </c>
      <c r="G3438" s="14" t="s">
        <v>78</v>
      </c>
      <c r="H3438" s="0" t="n">
        <v>10</v>
      </c>
      <c r="I3438" s="16" t="n">
        <v>39.08</v>
      </c>
      <c r="J3438" s="16" t="n">
        <v>15</v>
      </c>
      <c r="K3438" s="16" t="n">
        <f aca="false">H3438*I3438</f>
        <v>390.8</v>
      </c>
      <c r="L3438" s="16" t="n">
        <f aca="false">H3438*J3438</f>
        <v>150</v>
      </c>
      <c r="M3438" s="16" t="n">
        <f aca="false">K3438-L3438</f>
        <v>240.8</v>
      </c>
      <c r="N3438" s="17" t="n">
        <f aca="false">IFERROR(M3438/K3438,0)</f>
        <v>0.616171954964176</v>
      </c>
    </row>
    <row r="3439" customFormat="false" ht="15" hidden="false" customHeight="false" outlineLevel="0" collapsed="false">
      <c r="A3439" s="15" t="n">
        <v>46166</v>
      </c>
      <c r="B3439" s="14" t="s">
        <v>59</v>
      </c>
      <c r="C3439" s="14" t="s">
        <v>60</v>
      </c>
      <c r="D3439" s="14" t="s">
        <v>61</v>
      </c>
      <c r="E3439" s="14" t="s">
        <v>45</v>
      </c>
      <c r="F3439" s="14" t="s">
        <v>62</v>
      </c>
      <c r="G3439" s="14" t="s">
        <v>63</v>
      </c>
      <c r="H3439" s="0" t="n">
        <v>3</v>
      </c>
      <c r="I3439" s="16" t="n">
        <v>17.85</v>
      </c>
      <c r="J3439" s="16" t="n">
        <v>6.5</v>
      </c>
      <c r="K3439" s="16" t="n">
        <f aca="false">H3439*I3439</f>
        <v>53.55</v>
      </c>
      <c r="L3439" s="16" t="n">
        <f aca="false">H3439*J3439</f>
        <v>19.5</v>
      </c>
      <c r="M3439" s="16" t="n">
        <f aca="false">K3439-L3439</f>
        <v>34.05</v>
      </c>
      <c r="N3439" s="17" t="n">
        <f aca="false">IFERROR(M3439/K3439,0)</f>
        <v>0.635854341736695</v>
      </c>
    </row>
    <row r="3440" customFormat="false" ht="15" hidden="false" customHeight="false" outlineLevel="0" collapsed="false">
      <c r="A3440" s="15" t="n">
        <v>46166</v>
      </c>
      <c r="B3440" s="14" t="s">
        <v>59</v>
      </c>
      <c r="C3440" s="14" t="s">
        <v>60</v>
      </c>
      <c r="D3440" s="14" t="s">
        <v>61</v>
      </c>
      <c r="E3440" s="14" t="s">
        <v>45</v>
      </c>
      <c r="F3440" s="14" t="s">
        <v>46</v>
      </c>
      <c r="G3440" s="14" t="s">
        <v>47</v>
      </c>
      <c r="H3440" s="0" t="n">
        <v>7</v>
      </c>
      <c r="I3440" s="16" t="n">
        <v>41.59</v>
      </c>
      <c r="J3440" s="16" t="n">
        <v>18</v>
      </c>
      <c r="K3440" s="16" t="n">
        <f aca="false">H3440*I3440</f>
        <v>291.13</v>
      </c>
      <c r="L3440" s="16" t="n">
        <f aca="false">H3440*J3440</f>
        <v>126</v>
      </c>
      <c r="M3440" s="16" t="n">
        <f aca="false">K3440-L3440</f>
        <v>165.13</v>
      </c>
      <c r="N3440" s="17" t="n">
        <f aca="false">IFERROR(M3440/K3440,0)</f>
        <v>0.567203654724694</v>
      </c>
    </row>
    <row r="3441" customFormat="false" ht="15" hidden="false" customHeight="false" outlineLevel="0" collapsed="false">
      <c r="A3441" s="15" t="n">
        <v>46166</v>
      </c>
      <c r="B3441" s="14" t="s">
        <v>59</v>
      </c>
      <c r="C3441" s="14" t="s">
        <v>60</v>
      </c>
      <c r="D3441" s="14" t="s">
        <v>61</v>
      </c>
      <c r="E3441" s="14" t="s">
        <v>64</v>
      </c>
      <c r="F3441" s="14" t="s">
        <v>90</v>
      </c>
      <c r="G3441" s="14" t="s">
        <v>91</v>
      </c>
      <c r="H3441" s="0" t="n">
        <v>8</v>
      </c>
      <c r="I3441" s="16" t="n">
        <v>11.11</v>
      </c>
      <c r="J3441" s="16" t="n">
        <v>3.5</v>
      </c>
      <c r="K3441" s="16" t="n">
        <f aca="false">H3441*I3441</f>
        <v>88.88</v>
      </c>
      <c r="L3441" s="16" t="n">
        <f aca="false">H3441*J3441</f>
        <v>28</v>
      </c>
      <c r="M3441" s="16" t="n">
        <f aca="false">K3441-L3441</f>
        <v>60.88</v>
      </c>
      <c r="N3441" s="17" t="n">
        <f aca="false">IFERROR(M3441/K3441,0)</f>
        <v>0.684968496849685</v>
      </c>
    </row>
    <row r="3442" customFormat="false" ht="15" hidden="false" customHeight="false" outlineLevel="0" collapsed="false">
      <c r="A3442" s="15" t="n">
        <v>46166</v>
      </c>
      <c r="B3442" s="14" t="s">
        <v>59</v>
      </c>
      <c r="C3442" s="14" t="s">
        <v>60</v>
      </c>
      <c r="D3442" s="14" t="s">
        <v>61</v>
      </c>
      <c r="E3442" s="14" t="s">
        <v>76</v>
      </c>
      <c r="F3442" s="14" t="s">
        <v>102</v>
      </c>
      <c r="G3442" s="14" t="s">
        <v>103</v>
      </c>
      <c r="H3442" s="0" t="n">
        <v>10</v>
      </c>
      <c r="I3442" s="16" t="n">
        <v>22.16</v>
      </c>
      <c r="J3442" s="16" t="n">
        <v>8.5</v>
      </c>
      <c r="K3442" s="16" t="n">
        <f aca="false">H3442*I3442</f>
        <v>221.6</v>
      </c>
      <c r="L3442" s="16" t="n">
        <f aca="false">H3442*J3442</f>
        <v>85</v>
      </c>
      <c r="M3442" s="16" t="n">
        <f aca="false">K3442-L3442</f>
        <v>136.6</v>
      </c>
      <c r="N3442" s="17" t="n">
        <f aca="false">IFERROR(M3442/K3442,0)</f>
        <v>0.616425992779783</v>
      </c>
    </row>
    <row r="3443" customFormat="false" ht="15" hidden="false" customHeight="false" outlineLevel="0" collapsed="false">
      <c r="A3443" s="15" t="n">
        <v>46166</v>
      </c>
      <c r="B3443" s="14" t="s">
        <v>69</v>
      </c>
      <c r="C3443" s="14" t="s">
        <v>70</v>
      </c>
      <c r="D3443" s="14" t="s">
        <v>71</v>
      </c>
      <c r="E3443" s="14" t="s">
        <v>45</v>
      </c>
      <c r="F3443" s="14" t="s">
        <v>46</v>
      </c>
      <c r="G3443" s="14" t="s">
        <v>47</v>
      </c>
      <c r="H3443" s="0" t="n">
        <v>6</v>
      </c>
      <c r="I3443" s="16" t="n">
        <v>42.1</v>
      </c>
      <c r="J3443" s="16" t="n">
        <v>18</v>
      </c>
      <c r="K3443" s="16" t="n">
        <f aca="false">H3443*I3443</f>
        <v>252.6</v>
      </c>
      <c r="L3443" s="16" t="n">
        <f aca="false">H3443*J3443</f>
        <v>108</v>
      </c>
      <c r="M3443" s="16" t="n">
        <f aca="false">K3443-L3443</f>
        <v>144.6</v>
      </c>
      <c r="N3443" s="17" t="n">
        <f aca="false">IFERROR(M3443/K3443,0)</f>
        <v>0.572446555819478</v>
      </c>
    </row>
    <row r="3444" customFormat="false" ht="15" hidden="false" customHeight="false" outlineLevel="0" collapsed="false">
      <c r="A3444" s="15" t="n">
        <v>46166</v>
      </c>
      <c r="B3444" s="14" t="s">
        <v>69</v>
      </c>
      <c r="C3444" s="14" t="s">
        <v>70</v>
      </c>
      <c r="D3444" s="14" t="s">
        <v>71</v>
      </c>
      <c r="E3444" s="14" t="s">
        <v>56</v>
      </c>
      <c r="F3444" s="14" t="s">
        <v>86</v>
      </c>
      <c r="G3444" s="14" t="s">
        <v>87</v>
      </c>
      <c r="H3444" s="0" t="n">
        <v>1</v>
      </c>
      <c r="I3444" s="16" t="n">
        <v>14.99</v>
      </c>
      <c r="J3444" s="16" t="n">
        <v>5</v>
      </c>
      <c r="K3444" s="16" t="n">
        <f aca="false">H3444*I3444</f>
        <v>14.99</v>
      </c>
      <c r="L3444" s="16" t="n">
        <f aca="false">H3444*J3444</f>
        <v>5</v>
      </c>
      <c r="M3444" s="16" t="n">
        <f aca="false">K3444-L3444</f>
        <v>9.99</v>
      </c>
      <c r="N3444" s="17" t="n">
        <f aca="false">IFERROR(M3444/K3444,0)</f>
        <v>0.666444296197465</v>
      </c>
    </row>
    <row r="3445" customFormat="false" ht="15" hidden="false" customHeight="false" outlineLevel="0" collapsed="false">
      <c r="A3445" s="15" t="n">
        <v>46166</v>
      </c>
      <c r="B3445" s="14" t="s">
        <v>69</v>
      </c>
      <c r="C3445" s="14" t="s">
        <v>70</v>
      </c>
      <c r="D3445" s="14" t="s">
        <v>71</v>
      </c>
      <c r="E3445" s="14" t="s">
        <v>53</v>
      </c>
      <c r="F3445" s="14" t="s">
        <v>92</v>
      </c>
      <c r="G3445" s="14" t="s">
        <v>93</v>
      </c>
      <c r="H3445" s="0" t="n">
        <v>1</v>
      </c>
      <c r="I3445" s="16" t="n">
        <v>110.64</v>
      </c>
      <c r="J3445" s="16" t="n">
        <v>52</v>
      </c>
      <c r="K3445" s="16" t="n">
        <f aca="false">H3445*I3445</f>
        <v>110.64</v>
      </c>
      <c r="L3445" s="16" t="n">
        <f aca="false">H3445*J3445</f>
        <v>52</v>
      </c>
      <c r="M3445" s="16" t="n">
        <f aca="false">K3445-L3445</f>
        <v>58.64</v>
      </c>
      <c r="N3445" s="17" t="n">
        <f aca="false">IFERROR(M3445/K3445,0)</f>
        <v>0.53000723065799</v>
      </c>
    </row>
    <row r="3446" customFormat="false" ht="15" hidden="false" customHeight="false" outlineLevel="0" collapsed="false">
      <c r="A3446" s="15" t="n">
        <v>46166</v>
      </c>
      <c r="B3446" s="14" t="s">
        <v>69</v>
      </c>
      <c r="C3446" s="14" t="s">
        <v>70</v>
      </c>
      <c r="D3446" s="14" t="s">
        <v>71</v>
      </c>
      <c r="E3446" s="14" t="s">
        <v>53</v>
      </c>
      <c r="F3446" s="14" t="s">
        <v>92</v>
      </c>
      <c r="G3446" s="14" t="s">
        <v>93</v>
      </c>
      <c r="H3446" s="0" t="n">
        <v>1</v>
      </c>
      <c r="I3446" s="16" t="n">
        <v>114.7</v>
      </c>
      <c r="J3446" s="16" t="n">
        <v>52</v>
      </c>
      <c r="K3446" s="16" t="n">
        <f aca="false">H3446*I3446</f>
        <v>114.7</v>
      </c>
      <c r="L3446" s="16" t="n">
        <f aca="false">H3446*J3446</f>
        <v>52</v>
      </c>
      <c r="M3446" s="16" t="n">
        <f aca="false">K3446-L3446</f>
        <v>62.7</v>
      </c>
      <c r="N3446" s="17" t="n">
        <f aca="false">IFERROR(M3446/K3446,0)</f>
        <v>0.54664341761116</v>
      </c>
    </row>
    <row r="3447" customFormat="false" ht="15" hidden="false" customHeight="false" outlineLevel="0" collapsed="false">
      <c r="A3447" s="15" t="n">
        <v>46166</v>
      </c>
      <c r="B3447" s="14" t="s">
        <v>69</v>
      </c>
      <c r="C3447" s="14" t="s">
        <v>70</v>
      </c>
      <c r="D3447" s="14" t="s">
        <v>71</v>
      </c>
      <c r="E3447" s="14" t="s">
        <v>76</v>
      </c>
      <c r="F3447" s="14" t="s">
        <v>100</v>
      </c>
      <c r="G3447" s="14" t="s">
        <v>101</v>
      </c>
      <c r="H3447" s="0" t="n">
        <v>7</v>
      </c>
      <c r="I3447" s="16" t="n">
        <v>15.52</v>
      </c>
      <c r="J3447" s="16" t="n">
        <v>5.5</v>
      </c>
      <c r="K3447" s="16" t="n">
        <f aca="false">H3447*I3447</f>
        <v>108.64</v>
      </c>
      <c r="L3447" s="16" t="n">
        <f aca="false">H3447*J3447</f>
        <v>38.5</v>
      </c>
      <c r="M3447" s="16" t="n">
        <f aca="false">K3447-L3447</f>
        <v>70.14</v>
      </c>
      <c r="N3447" s="17" t="n">
        <f aca="false">IFERROR(M3447/K3447,0)</f>
        <v>0.645618556701031</v>
      </c>
    </row>
    <row r="3448" customFormat="false" ht="15" hidden="false" customHeight="false" outlineLevel="0" collapsed="false">
      <c r="A3448" s="15" t="n">
        <v>46166</v>
      </c>
      <c r="B3448" s="14" t="s">
        <v>81</v>
      </c>
      <c r="C3448" s="14" t="s">
        <v>82</v>
      </c>
      <c r="D3448" s="14" t="s">
        <v>83</v>
      </c>
      <c r="E3448" s="14" t="s">
        <v>76</v>
      </c>
      <c r="F3448" s="14" t="s">
        <v>79</v>
      </c>
      <c r="G3448" s="14" t="s">
        <v>80</v>
      </c>
      <c r="H3448" s="0" t="n">
        <v>2</v>
      </c>
      <c r="I3448" s="16" t="n">
        <v>29.72</v>
      </c>
      <c r="J3448" s="16" t="n">
        <v>11</v>
      </c>
      <c r="K3448" s="16" t="n">
        <f aca="false">H3448*I3448</f>
        <v>59.44</v>
      </c>
      <c r="L3448" s="16" t="n">
        <f aca="false">H3448*J3448</f>
        <v>22</v>
      </c>
      <c r="M3448" s="16" t="n">
        <f aca="false">K3448-L3448</f>
        <v>37.44</v>
      </c>
      <c r="N3448" s="17" t="n">
        <f aca="false">IFERROR(M3448/K3448,0)</f>
        <v>0.629878869448183</v>
      </c>
    </row>
    <row r="3449" customFormat="false" ht="15" hidden="false" customHeight="false" outlineLevel="0" collapsed="false">
      <c r="A3449" s="15" t="n">
        <v>46166</v>
      </c>
      <c r="B3449" s="14" t="s">
        <v>81</v>
      </c>
      <c r="C3449" s="14" t="s">
        <v>82</v>
      </c>
      <c r="D3449" s="14" t="s">
        <v>83</v>
      </c>
      <c r="E3449" s="14" t="s">
        <v>64</v>
      </c>
      <c r="F3449" s="14" t="s">
        <v>90</v>
      </c>
      <c r="G3449" s="14" t="s">
        <v>91</v>
      </c>
      <c r="H3449" s="0" t="n">
        <v>1</v>
      </c>
      <c r="I3449" s="16" t="n">
        <v>11.68</v>
      </c>
      <c r="J3449" s="16" t="n">
        <v>3.5</v>
      </c>
      <c r="K3449" s="16" t="n">
        <f aca="false">H3449*I3449</f>
        <v>11.68</v>
      </c>
      <c r="L3449" s="16" t="n">
        <f aca="false">H3449*J3449</f>
        <v>3.5</v>
      </c>
      <c r="M3449" s="16" t="n">
        <f aca="false">K3449-L3449</f>
        <v>8.18</v>
      </c>
      <c r="N3449" s="17" t="n">
        <f aca="false">IFERROR(M3449/K3449,0)</f>
        <v>0.700342465753425</v>
      </c>
    </row>
    <row r="3450" customFormat="false" ht="15" hidden="false" customHeight="false" outlineLevel="0" collapsed="false">
      <c r="A3450" s="15" t="n">
        <v>46166</v>
      </c>
      <c r="B3450" s="14" t="s">
        <v>81</v>
      </c>
      <c r="C3450" s="14" t="s">
        <v>82</v>
      </c>
      <c r="D3450" s="14" t="s">
        <v>83</v>
      </c>
      <c r="E3450" s="14" t="s">
        <v>56</v>
      </c>
      <c r="F3450" s="14" t="s">
        <v>98</v>
      </c>
      <c r="G3450" s="14" t="s">
        <v>99</v>
      </c>
      <c r="H3450" s="0" t="n">
        <v>3</v>
      </c>
      <c r="I3450" s="16" t="n">
        <v>21.88</v>
      </c>
      <c r="J3450" s="16" t="n">
        <v>8</v>
      </c>
      <c r="K3450" s="16" t="n">
        <f aca="false">H3450*I3450</f>
        <v>65.64</v>
      </c>
      <c r="L3450" s="16" t="n">
        <f aca="false">H3450*J3450</f>
        <v>24</v>
      </c>
      <c r="M3450" s="16" t="n">
        <f aca="false">K3450-L3450</f>
        <v>41.64</v>
      </c>
      <c r="N3450" s="17" t="n">
        <f aca="false">IFERROR(M3450/K3450,0)</f>
        <v>0.63436928702011</v>
      </c>
    </row>
    <row r="3451" customFormat="false" ht="15" hidden="false" customHeight="false" outlineLevel="0" collapsed="false">
      <c r="A3451" s="15" t="n">
        <v>46166</v>
      </c>
      <c r="B3451" s="14" t="s">
        <v>81</v>
      </c>
      <c r="C3451" s="14" t="s">
        <v>82</v>
      </c>
      <c r="D3451" s="14" t="s">
        <v>83</v>
      </c>
      <c r="E3451" s="14" t="s">
        <v>64</v>
      </c>
      <c r="F3451" s="14" t="s">
        <v>94</v>
      </c>
      <c r="G3451" s="14" t="s">
        <v>95</v>
      </c>
      <c r="H3451" s="0" t="n">
        <v>8</v>
      </c>
      <c r="I3451" s="16" t="n">
        <v>96.87</v>
      </c>
      <c r="J3451" s="16" t="n">
        <v>42</v>
      </c>
      <c r="K3451" s="16" t="n">
        <f aca="false">H3451*I3451</f>
        <v>774.96</v>
      </c>
      <c r="L3451" s="16" t="n">
        <f aca="false">H3451*J3451</f>
        <v>336</v>
      </c>
      <c r="M3451" s="16" t="n">
        <f aca="false">K3451-L3451</f>
        <v>438.96</v>
      </c>
      <c r="N3451" s="17" t="n">
        <f aca="false">IFERROR(M3451/K3451,0)</f>
        <v>0.566429235057293</v>
      </c>
    </row>
    <row r="3452" customFormat="false" ht="15" hidden="false" customHeight="false" outlineLevel="0" collapsed="false">
      <c r="A3452" s="15" t="n">
        <v>46166</v>
      </c>
      <c r="B3452" s="14" t="s">
        <v>88</v>
      </c>
      <c r="C3452" s="14" t="s">
        <v>89</v>
      </c>
      <c r="D3452" s="14" t="s">
        <v>44</v>
      </c>
      <c r="E3452" s="14" t="s">
        <v>53</v>
      </c>
      <c r="F3452" s="14" t="s">
        <v>54</v>
      </c>
      <c r="G3452" s="14" t="s">
        <v>55</v>
      </c>
      <c r="H3452" s="0" t="n">
        <v>7</v>
      </c>
      <c r="I3452" s="16" t="n">
        <v>51.01</v>
      </c>
      <c r="J3452" s="16" t="n">
        <v>22</v>
      </c>
      <c r="K3452" s="16" t="n">
        <f aca="false">H3452*I3452</f>
        <v>357.07</v>
      </c>
      <c r="L3452" s="16" t="n">
        <f aca="false">H3452*J3452</f>
        <v>154</v>
      </c>
      <c r="M3452" s="16" t="n">
        <f aca="false">K3452-L3452</f>
        <v>203.07</v>
      </c>
      <c r="N3452" s="17" t="n">
        <f aca="false">IFERROR(M3452/K3452,0)</f>
        <v>0.568712017251519</v>
      </c>
    </row>
    <row r="3453" customFormat="false" ht="15" hidden="false" customHeight="false" outlineLevel="0" collapsed="false">
      <c r="A3453" s="15" t="n">
        <v>46166</v>
      </c>
      <c r="B3453" s="14" t="s">
        <v>88</v>
      </c>
      <c r="C3453" s="14" t="s">
        <v>89</v>
      </c>
      <c r="D3453" s="14" t="s">
        <v>44</v>
      </c>
      <c r="E3453" s="14" t="s">
        <v>64</v>
      </c>
      <c r="F3453" s="14" t="s">
        <v>94</v>
      </c>
      <c r="G3453" s="14" t="s">
        <v>95</v>
      </c>
      <c r="H3453" s="0" t="n">
        <v>9</v>
      </c>
      <c r="I3453" s="16" t="n">
        <v>92.82</v>
      </c>
      <c r="J3453" s="16" t="n">
        <v>42</v>
      </c>
      <c r="K3453" s="16" t="n">
        <f aca="false">H3453*I3453</f>
        <v>835.38</v>
      </c>
      <c r="L3453" s="16" t="n">
        <f aca="false">H3453*J3453</f>
        <v>378</v>
      </c>
      <c r="M3453" s="16" t="n">
        <f aca="false">K3453-L3453</f>
        <v>457.38</v>
      </c>
      <c r="N3453" s="17" t="n">
        <f aca="false">IFERROR(M3453/K3453,0)</f>
        <v>0.547511312217195</v>
      </c>
    </row>
    <row r="3454" customFormat="false" ht="15" hidden="false" customHeight="false" outlineLevel="0" collapsed="false">
      <c r="A3454" s="15" t="n">
        <v>46166</v>
      </c>
      <c r="B3454" s="14" t="s">
        <v>88</v>
      </c>
      <c r="C3454" s="14" t="s">
        <v>89</v>
      </c>
      <c r="D3454" s="14" t="s">
        <v>44</v>
      </c>
      <c r="E3454" s="14" t="s">
        <v>45</v>
      </c>
      <c r="F3454" s="14" t="s">
        <v>46</v>
      </c>
      <c r="G3454" s="14" t="s">
        <v>47</v>
      </c>
      <c r="H3454" s="0" t="n">
        <v>1</v>
      </c>
      <c r="I3454" s="16" t="n">
        <v>44.83</v>
      </c>
      <c r="J3454" s="16" t="n">
        <v>18</v>
      </c>
      <c r="K3454" s="16" t="n">
        <f aca="false">H3454*I3454</f>
        <v>44.83</v>
      </c>
      <c r="L3454" s="16" t="n">
        <f aca="false">H3454*J3454</f>
        <v>18</v>
      </c>
      <c r="M3454" s="16" t="n">
        <f aca="false">K3454-L3454</f>
        <v>26.83</v>
      </c>
      <c r="N3454" s="17" t="n">
        <f aca="false">IFERROR(M3454/K3454,0)</f>
        <v>0.598483158599152</v>
      </c>
    </row>
    <row r="3455" customFormat="false" ht="15" hidden="false" customHeight="false" outlineLevel="0" collapsed="false">
      <c r="A3455" s="15" t="n">
        <v>46166</v>
      </c>
      <c r="B3455" s="14" t="s">
        <v>88</v>
      </c>
      <c r="C3455" s="14" t="s">
        <v>89</v>
      </c>
      <c r="D3455" s="14" t="s">
        <v>44</v>
      </c>
      <c r="E3455" s="14" t="s">
        <v>53</v>
      </c>
      <c r="F3455" s="14" t="s">
        <v>84</v>
      </c>
      <c r="G3455" s="14" t="s">
        <v>85</v>
      </c>
      <c r="H3455" s="0" t="n">
        <v>7</v>
      </c>
      <c r="I3455" s="16" t="n">
        <v>23.84</v>
      </c>
      <c r="J3455" s="16" t="n">
        <v>9</v>
      </c>
      <c r="K3455" s="16" t="n">
        <f aca="false">H3455*I3455</f>
        <v>166.88</v>
      </c>
      <c r="L3455" s="16" t="n">
        <f aca="false">H3455*J3455</f>
        <v>63</v>
      </c>
      <c r="M3455" s="16" t="n">
        <f aca="false">K3455-L3455</f>
        <v>103.88</v>
      </c>
      <c r="N3455" s="17" t="n">
        <f aca="false">IFERROR(M3455/K3455,0)</f>
        <v>0.62248322147651</v>
      </c>
    </row>
    <row r="3456" customFormat="false" ht="15" hidden="false" customHeight="false" outlineLevel="0" collapsed="false">
      <c r="A3456" s="15" t="n">
        <v>46167</v>
      </c>
      <c r="B3456" s="14" t="s">
        <v>42</v>
      </c>
      <c r="C3456" s="14" t="s">
        <v>43</v>
      </c>
      <c r="D3456" s="14" t="s">
        <v>44</v>
      </c>
      <c r="E3456" s="14" t="s">
        <v>64</v>
      </c>
      <c r="F3456" s="14" t="s">
        <v>94</v>
      </c>
      <c r="G3456" s="14" t="s">
        <v>95</v>
      </c>
      <c r="H3456" s="0" t="n">
        <v>5</v>
      </c>
      <c r="I3456" s="16" t="n">
        <v>91.08</v>
      </c>
      <c r="J3456" s="16" t="n">
        <v>42</v>
      </c>
      <c r="K3456" s="16" t="n">
        <f aca="false">H3456*I3456</f>
        <v>455.4</v>
      </c>
      <c r="L3456" s="16" t="n">
        <f aca="false">H3456*J3456</f>
        <v>210</v>
      </c>
      <c r="M3456" s="16" t="n">
        <f aca="false">K3456-L3456</f>
        <v>245.4</v>
      </c>
      <c r="N3456" s="17" t="n">
        <f aca="false">IFERROR(M3456/K3456,0)</f>
        <v>0.538866930171278</v>
      </c>
    </row>
    <row r="3457" customFormat="false" ht="15" hidden="false" customHeight="false" outlineLevel="0" collapsed="false">
      <c r="A3457" s="15" t="n">
        <v>46167</v>
      </c>
      <c r="B3457" s="14" t="s">
        <v>42</v>
      </c>
      <c r="C3457" s="14" t="s">
        <v>43</v>
      </c>
      <c r="D3457" s="14" t="s">
        <v>44</v>
      </c>
      <c r="E3457" s="14" t="s">
        <v>45</v>
      </c>
      <c r="F3457" s="14" t="s">
        <v>62</v>
      </c>
      <c r="G3457" s="14" t="s">
        <v>63</v>
      </c>
      <c r="H3457" s="0" t="n">
        <v>1</v>
      </c>
      <c r="I3457" s="16" t="n">
        <v>16.94</v>
      </c>
      <c r="J3457" s="16" t="n">
        <v>6.5</v>
      </c>
      <c r="K3457" s="16" t="n">
        <f aca="false">H3457*I3457</f>
        <v>16.94</v>
      </c>
      <c r="L3457" s="16" t="n">
        <f aca="false">H3457*J3457</f>
        <v>6.5</v>
      </c>
      <c r="M3457" s="16" t="n">
        <f aca="false">K3457-L3457</f>
        <v>10.44</v>
      </c>
      <c r="N3457" s="17" t="n">
        <f aca="false">IFERROR(M3457/K3457,0)</f>
        <v>0.61629279811098</v>
      </c>
    </row>
    <row r="3458" customFormat="false" ht="15" hidden="false" customHeight="false" outlineLevel="0" collapsed="false">
      <c r="A3458" s="15" t="n">
        <v>46167</v>
      </c>
      <c r="B3458" s="14" t="s">
        <v>42</v>
      </c>
      <c r="C3458" s="14" t="s">
        <v>43</v>
      </c>
      <c r="D3458" s="14" t="s">
        <v>44</v>
      </c>
      <c r="E3458" s="14" t="s">
        <v>64</v>
      </c>
      <c r="F3458" s="14" t="s">
        <v>65</v>
      </c>
      <c r="G3458" s="14" t="s">
        <v>66</v>
      </c>
      <c r="H3458" s="0" t="n">
        <v>5</v>
      </c>
      <c r="I3458" s="16" t="n">
        <v>75.64</v>
      </c>
      <c r="J3458" s="16" t="n">
        <v>34</v>
      </c>
      <c r="K3458" s="16" t="n">
        <f aca="false">H3458*I3458</f>
        <v>378.2</v>
      </c>
      <c r="L3458" s="16" t="n">
        <f aca="false">H3458*J3458</f>
        <v>170</v>
      </c>
      <c r="M3458" s="16" t="n">
        <f aca="false">K3458-L3458</f>
        <v>208.2</v>
      </c>
      <c r="N3458" s="17" t="n">
        <f aca="false">IFERROR(M3458/K3458,0)</f>
        <v>0.550502379693284</v>
      </c>
    </row>
    <row r="3459" customFormat="false" ht="15" hidden="false" customHeight="false" outlineLevel="0" collapsed="false">
      <c r="A3459" s="15" t="n">
        <v>46167</v>
      </c>
      <c r="B3459" s="14" t="s">
        <v>50</v>
      </c>
      <c r="C3459" s="14" t="s">
        <v>51</v>
      </c>
      <c r="D3459" s="14" t="s">
        <v>52</v>
      </c>
      <c r="E3459" s="14" t="s">
        <v>64</v>
      </c>
      <c r="F3459" s="14" t="s">
        <v>65</v>
      </c>
      <c r="G3459" s="14" t="s">
        <v>66</v>
      </c>
      <c r="H3459" s="0" t="n">
        <v>2</v>
      </c>
      <c r="I3459" s="16" t="n">
        <v>76.91</v>
      </c>
      <c r="J3459" s="16" t="n">
        <v>34</v>
      </c>
      <c r="K3459" s="16" t="n">
        <f aca="false">H3459*I3459</f>
        <v>153.82</v>
      </c>
      <c r="L3459" s="16" t="n">
        <f aca="false">H3459*J3459</f>
        <v>68</v>
      </c>
      <c r="M3459" s="16" t="n">
        <f aca="false">K3459-L3459</f>
        <v>85.82</v>
      </c>
      <c r="N3459" s="17" t="n">
        <f aca="false">IFERROR(M3459/K3459,0)</f>
        <v>0.557924847224028</v>
      </c>
    </row>
    <row r="3460" customFormat="false" ht="15" hidden="false" customHeight="false" outlineLevel="0" collapsed="false">
      <c r="A3460" s="15" t="n">
        <v>46167</v>
      </c>
      <c r="B3460" s="14" t="s">
        <v>50</v>
      </c>
      <c r="C3460" s="14" t="s">
        <v>51</v>
      </c>
      <c r="D3460" s="14" t="s">
        <v>52</v>
      </c>
      <c r="E3460" s="14" t="s">
        <v>76</v>
      </c>
      <c r="F3460" s="14" t="s">
        <v>102</v>
      </c>
      <c r="G3460" s="14" t="s">
        <v>103</v>
      </c>
      <c r="H3460" s="0" t="n">
        <v>10</v>
      </c>
      <c r="I3460" s="16" t="n">
        <v>23.91</v>
      </c>
      <c r="J3460" s="16" t="n">
        <v>8.5</v>
      </c>
      <c r="K3460" s="16" t="n">
        <f aca="false">H3460*I3460</f>
        <v>239.1</v>
      </c>
      <c r="L3460" s="16" t="n">
        <f aca="false">H3460*J3460</f>
        <v>85</v>
      </c>
      <c r="M3460" s="16" t="n">
        <f aca="false">K3460-L3460</f>
        <v>154.1</v>
      </c>
      <c r="N3460" s="17" t="n">
        <f aca="false">IFERROR(M3460/K3460,0)</f>
        <v>0.644500209117524</v>
      </c>
    </row>
    <row r="3461" customFormat="false" ht="15" hidden="false" customHeight="false" outlineLevel="0" collapsed="false">
      <c r="A3461" s="15" t="n">
        <v>46167</v>
      </c>
      <c r="B3461" s="14" t="s">
        <v>50</v>
      </c>
      <c r="C3461" s="14" t="s">
        <v>51</v>
      </c>
      <c r="D3461" s="14" t="s">
        <v>52</v>
      </c>
      <c r="E3461" s="14" t="s">
        <v>76</v>
      </c>
      <c r="F3461" s="14" t="s">
        <v>102</v>
      </c>
      <c r="G3461" s="14" t="s">
        <v>103</v>
      </c>
      <c r="H3461" s="0" t="n">
        <v>8</v>
      </c>
      <c r="I3461" s="16" t="n">
        <v>23.09</v>
      </c>
      <c r="J3461" s="16" t="n">
        <v>8.5</v>
      </c>
      <c r="K3461" s="16" t="n">
        <f aca="false">H3461*I3461</f>
        <v>184.72</v>
      </c>
      <c r="L3461" s="16" t="n">
        <f aca="false">H3461*J3461</f>
        <v>68</v>
      </c>
      <c r="M3461" s="16" t="n">
        <f aca="false">K3461-L3461</f>
        <v>116.72</v>
      </c>
      <c r="N3461" s="17" t="n">
        <f aca="false">IFERROR(M3461/K3461,0)</f>
        <v>0.631875270679948</v>
      </c>
    </row>
    <row r="3462" customFormat="false" ht="15" hidden="false" customHeight="false" outlineLevel="0" collapsed="false">
      <c r="A3462" s="15" t="n">
        <v>46167</v>
      </c>
      <c r="B3462" s="14" t="s">
        <v>59</v>
      </c>
      <c r="C3462" s="14" t="s">
        <v>60</v>
      </c>
      <c r="D3462" s="14" t="s">
        <v>61</v>
      </c>
      <c r="E3462" s="14" t="s">
        <v>56</v>
      </c>
      <c r="F3462" s="14" t="s">
        <v>67</v>
      </c>
      <c r="G3462" s="14" t="s">
        <v>68</v>
      </c>
      <c r="H3462" s="0" t="n">
        <v>4</v>
      </c>
      <c r="I3462" s="16" t="n">
        <v>35.65</v>
      </c>
      <c r="J3462" s="16" t="n">
        <v>15</v>
      </c>
      <c r="K3462" s="16" t="n">
        <f aca="false">H3462*I3462</f>
        <v>142.6</v>
      </c>
      <c r="L3462" s="16" t="n">
        <f aca="false">H3462*J3462</f>
        <v>60</v>
      </c>
      <c r="M3462" s="16" t="n">
        <f aca="false">K3462-L3462</f>
        <v>82.6</v>
      </c>
      <c r="N3462" s="17" t="n">
        <f aca="false">IFERROR(M3462/K3462,0)</f>
        <v>0.579242636746143</v>
      </c>
    </row>
    <row r="3463" customFormat="false" ht="15" hidden="false" customHeight="false" outlineLevel="0" collapsed="false">
      <c r="A3463" s="15" t="n">
        <v>46167</v>
      </c>
      <c r="B3463" s="14" t="s">
        <v>59</v>
      </c>
      <c r="C3463" s="14" t="s">
        <v>60</v>
      </c>
      <c r="D3463" s="14" t="s">
        <v>61</v>
      </c>
      <c r="E3463" s="14" t="s">
        <v>45</v>
      </c>
      <c r="F3463" s="14" t="s">
        <v>72</v>
      </c>
      <c r="G3463" s="14" t="s">
        <v>73</v>
      </c>
      <c r="H3463" s="0" t="n">
        <v>7</v>
      </c>
      <c r="I3463" s="16" t="n">
        <v>48.97</v>
      </c>
      <c r="J3463" s="16" t="n">
        <v>21</v>
      </c>
      <c r="K3463" s="16" t="n">
        <f aca="false">H3463*I3463</f>
        <v>342.79</v>
      </c>
      <c r="L3463" s="16" t="n">
        <f aca="false">H3463*J3463</f>
        <v>147</v>
      </c>
      <c r="M3463" s="16" t="n">
        <f aca="false">K3463-L3463</f>
        <v>195.79</v>
      </c>
      <c r="N3463" s="17" t="n">
        <f aca="false">IFERROR(M3463/K3463,0)</f>
        <v>0.571166020012252</v>
      </c>
    </row>
    <row r="3464" customFormat="false" ht="15" hidden="false" customHeight="false" outlineLevel="0" collapsed="false">
      <c r="A3464" s="15" t="n">
        <v>46167</v>
      </c>
      <c r="B3464" s="14" t="s">
        <v>59</v>
      </c>
      <c r="C3464" s="14" t="s">
        <v>60</v>
      </c>
      <c r="D3464" s="14" t="s">
        <v>61</v>
      </c>
      <c r="E3464" s="14" t="s">
        <v>56</v>
      </c>
      <c r="F3464" s="14" t="s">
        <v>67</v>
      </c>
      <c r="G3464" s="14" t="s">
        <v>68</v>
      </c>
      <c r="H3464" s="0" t="n">
        <v>7</v>
      </c>
      <c r="I3464" s="16" t="n">
        <v>37.92</v>
      </c>
      <c r="J3464" s="16" t="n">
        <v>15</v>
      </c>
      <c r="K3464" s="16" t="n">
        <f aca="false">H3464*I3464</f>
        <v>265.44</v>
      </c>
      <c r="L3464" s="16" t="n">
        <f aca="false">H3464*J3464</f>
        <v>105</v>
      </c>
      <c r="M3464" s="16" t="n">
        <f aca="false">K3464-L3464</f>
        <v>160.44</v>
      </c>
      <c r="N3464" s="17" t="n">
        <f aca="false">IFERROR(M3464/K3464,0)</f>
        <v>0.604430379746835</v>
      </c>
    </row>
    <row r="3465" customFormat="false" ht="15" hidden="false" customHeight="false" outlineLevel="0" collapsed="false">
      <c r="A3465" s="15" t="n">
        <v>46167</v>
      </c>
      <c r="B3465" s="14" t="s">
        <v>59</v>
      </c>
      <c r="C3465" s="14" t="s">
        <v>60</v>
      </c>
      <c r="D3465" s="14" t="s">
        <v>61</v>
      </c>
      <c r="E3465" s="14" t="s">
        <v>64</v>
      </c>
      <c r="F3465" s="14" t="s">
        <v>65</v>
      </c>
      <c r="G3465" s="14" t="s">
        <v>66</v>
      </c>
      <c r="H3465" s="0" t="n">
        <v>4</v>
      </c>
      <c r="I3465" s="16" t="n">
        <v>77.75</v>
      </c>
      <c r="J3465" s="16" t="n">
        <v>34</v>
      </c>
      <c r="K3465" s="16" t="n">
        <f aca="false">H3465*I3465</f>
        <v>311</v>
      </c>
      <c r="L3465" s="16" t="n">
        <f aca="false">H3465*J3465</f>
        <v>136</v>
      </c>
      <c r="M3465" s="16" t="n">
        <f aca="false">K3465-L3465</f>
        <v>175</v>
      </c>
      <c r="N3465" s="17" t="n">
        <f aca="false">IFERROR(M3465/K3465,0)</f>
        <v>0.562700964630225</v>
      </c>
    </row>
    <row r="3466" customFormat="false" ht="15" hidden="false" customHeight="false" outlineLevel="0" collapsed="false">
      <c r="A3466" s="15" t="n">
        <v>46167</v>
      </c>
      <c r="B3466" s="14" t="s">
        <v>59</v>
      </c>
      <c r="C3466" s="14" t="s">
        <v>60</v>
      </c>
      <c r="D3466" s="14" t="s">
        <v>61</v>
      </c>
      <c r="E3466" s="14" t="s">
        <v>76</v>
      </c>
      <c r="F3466" s="14" t="s">
        <v>79</v>
      </c>
      <c r="G3466" s="14" t="s">
        <v>80</v>
      </c>
      <c r="H3466" s="0" t="n">
        <v>3</v>
      </c>
      <c r="I3466" s="16" t="n">
        <v>28.93</v>
      </c>
      <c r="J3466" s="16" t="n">
        <v>11</v>
      </c>
      <c r="K3466" s="16" t="n">
        <f aca="false">H3466*I3466</f>
        <v>86.79</v>
      </c>
      <c r="L3466" s="16" t="n">
        <f aca="false">H3466*J3466</f>
        <v>33</v>
      </c>
      <c r="M3466" s="16" t="n">
        <f aca="false">K3466-L3466</f>
        <v>53.79</v>
      </c>
      <c r="N3466" s="17" t="n">
        <f aca="false">IFERROR(M3466/K3466,0)</f>
        <v>0.619771863117871</v>
      </c>
    </row>
    <row r="3467" customFormat="false" ht="15" hidden="false" customHeight="false" outlineLevel="0" collapsed="false">
      <c r="A3467" s="15" t="n">
        <v>46167</v>
      </c>
      <c r="B3467" s="14" t="s">
        <v>59</v>
      </c>
      <c r="C3467" s="14" t="s">
        <v>60</v>
      </c>
      <c r="D3467" s="14" t="s">
        <v>61</v>
      </c>
      <c r="E3467" s="14" t="s">
        <v>53</v>
      </c>
      <c r="F3467" s="14" t="s">
        <v>54</v>
      </c>
      <c r="G3467" s="14" t="s">
        <v>55</v>
      </c>
      <c r="H3467" s="0" t="n">
        <v>9</v>
      </c>
      <c r="I3467" s="16" t="n">
        <v>54.58</v>
      </c>
      <c r="J3467" s="16" t="n">
        <v>22</v>
      </c>
      <c r="K3467" s="16" t="n">
        <f aca="false">H3467*I3467</f>
        <v>491.22</v>
      </c>
      <c r="L3467" s="16" t="n">
        <f aca="false">H3467*J3467</f>
        <v>198</v>
      </c>
      <c r="M3467" s="16" t="n">
        <f aca="false">K3467-L3467</f>
        <v>293.22</v>
      </c>
      <c r="N3467" s="17" t="n">
        <f aca="false">IFERROR(M3467/K3467,0)</f>
        <v>0.596921949432026</v>
      </c>
    </row>
    <row r="3468" customFormat="false" ht="15" hidden="false" customHeight="false" outlineLevel="0" collapsed="false">
      <c r="A3468" s="15" t="n">
        <v>46167</v>
      </c>
      <c r="B3468" s="14" t="s">
        <v>69</v>
      </c>
      <c r="C3468" s="14" t="s">
        <v>70</v>
      </c>
      <c r="D3468" s="14" t="s">
        <v>71</v>
      </c>
      <c r="E3468" s="14" t="s">
        <v>56</v>
      </c>
      <c r="F3468" s="14" t="s">
        <v>67</v>
      </c>
      <c r="G3468" s="14" t="s">
        <v>68</v>
      </c>
      <c r="H3468" s="0" t="n">
        <v>6</v>
      </c>
      <c r="I3468" s="16" t="n">
        <v>37.22</v>
      </c>
      <c r="J3468" s="16" t="n">
        <v>15</v>
      </c>
      <c r="K3468" s="16" t="n">
        <f aca="false">H3468*I3468</f>
        <v>223.32</v>
      </c>
      <c r="L3468" s="16" t="n">
        <f aca="false">H3468*J3468</f>
        <v>90</v>
      </c>
      <c r="M3468" s="16" t="n">
        <f aca="false">K3468-L3468</f>
        <v>133.32</v>
      </c>
      <c r="N3468" s="17" t="n">
        <f aca="false">IFERROR(M3468/K3468,0)</f>
        <v>0.596990865126276</v>
      </c>
    </row>
    <row r="3469" customFormat="false" ht="15" hidden="false" customHeight="false" outlineLevel="0" collapsed="false">
      <c r="A3469" s="15" t="n">
        <v>46167</v>
      </c>
      <c r="B3469" s="14" t="s">
        <v>69</v>
      </c>
      <c r="C3469" s="14" t="s">
        <v>70</v>
      </c>
      <c r="D3469" s="14" t="s">
        <v>71</v>
      </c>
      <c r="E3469" s="14" t="s">
        <v>64</v>
      </c>
      <c r="F3469" s="14" t="s">
        <v>94</v>
      </c>
      <c r="G3469" s="14" t="s">
        <v>95</v>
      </c>
      <c r="H3469" s="0" t="n">
        <v>4</v>
      </c>
      <c r="I3469" s="16" t="n">
        <v>91.72</v>
      </c>
      <c r="J3469" s="16" t="n">
        <v>42</v>
      </c>
      <c r="K3469" s="16" t="n">
        <f aca="false">H3469*I3469</f>
        <v>366.88</v>
      </c>
      <c r="L3469" s="16" t="n">
        <f aca="false">H3469*J3469</f>
        <v>168</v>
      </c>
      <c r="M3469" s="16" t="n">
        <f aca="false">K3469-L3469</f>
        <v>198.88</v>
      </c>
      <c r="N3469" s="17" t="n">
        <f aca="false">IFERROR(M3469/K3469,0)</f>
        <v>0.542084605320541</v>
      </c>
    </row>
    <row r="3470" customFormat="false" ht="15" hidden="false" customHeight="false" outlineLevel="0" collapsed="false">
      <c r="A3470" s="15" t="n">
        <v>46167</v>
      </c>
      <c r="B3470" s="14" t="s">
        <v>81</v>
      </c>
      <c r="C3470" s="14" t="s">
        <v>82</v>
      </c>
      <c r="D3470" s="14" t="s">
        <v>83</v>
      </c>
      <c r="E3470" s="14" t="s">
        <v>56</v>
      </c>
      <c r="F3470" s="14" t="s">
        <v>57</v>
      </c>
      <c r="G3470" s="14" t="s">
        <v>58</v>
      </c>
      <c r="H3470" s="0" t="n">
        <v>2</v>
      </c>
      <c r="I3470" s="16" t="n">
        <v>26.51</v>
      </c>
      <c r="J3470" s="16" t="n">
        <v>10</v>
      </c>
      <c r="K3470" s="16" t="n">
        <f aca="false">H3470*I3470</f>
        <v>53.02</v>
      </c>
      <c r="L3470" s="16" t="n">
        <f aca="false">H3470*J3470</f>
        <v>20</v>
      </c>
      <c r="M3470" s="16" t="n">
        <f aca="false">K3470-L3470</f>
        <v>33.02</v>
      </c>
      <c r="N3470" s="17" t="n">
        <f aca="false">IFERROR(M3470/K3470,0)</f>
        <v>0.622783855149</v>
      </c>
    </row>
    <row r="3471" customFormat="false" ht="15" hidden="false" customHeight="false" outlineLevel="0" collapsed="false">
      <c r="A3471" s="15" t="n">
        <v>46167</v>
      </c>
      <c r="B3471" s="14" t="s">
        <v>81</v>
      </c>
      <c r="C3471" s="14" t="s">
        <v>82</v>
      </c>
      <c r="D3471" s="14" t="s">
        <v>83</v>
      </c>
      <c r="E3471" s="14" t="s">
        <v>45</v>
      </c>
      <c r="F3471" s="14" t="s">
        <v>72</v>
      </c>
      <c r="G3471" s="14" t="s">
        <v>73</v>
      </c>
      <c r="H3471" s="0" t="n">
        <v>5</v>
      </c>
      <c r="I3471" s="16" t="n">
        <v>51.23</v>
      </c>
      <c r="J3471" s="16" t="n">
        <v>21</v>
      </c>
      <c r="K3471" s="16" t="n">
        <f aca="false">H3471*I3471</f>
        <v>256.15</v>
      </c>
      <c r="L3471" s="16" t="n">
        <f aca="false">H3471*J3471</f>
        <v>105</v>
      </c>
      <c r="M3471" s="16" t="n">
        <f aca="false">K3471-L3471</f>
        <v>151.15</v>
      </c>
      <c r="N3471" s="17" t="n">
        <f aca="false">IFERROR(M3471/K3471,0)</f>
        <v>0.590083935194222</v>
      </c>
    </row>
    <row r="3472" customFormat="false" ht="15" hidden="false" customHeight="false" outlineLevel="0" collapsed="false">
      <c r="A3472" s="15" t="n">
        <v>46167</v>
      </c>
      <c r="B3472" s="14" t="s">
        <v>81</v>
      </c>
      <c r="C3472" s="14" t="s">
        <v>82</v>
      </c>
      <c r="D3472" s="14" t="s">
        <v>83</v>
      </c>
      <c r="E3472" s="14" t="s">
        <v>53</v>
      </c>
      <c r="F3472" s="14" t="s">
        <v>84</v>
      </c>
      <c r="G3472" s="14" t="s">
        <v>85</v>
      </c>
      <c r="H3472" s="0" t="n">
        <v>8</v>
      </c>
      <c r="I3472" s="16" t="n">
        <v>24.96</v>
      </c>
      <c r="J3472" s="16" t="n">
        <v>9</v>
      </c>
      <c r="K3472" s="16" t="n">
        <f aca="false">H3472*I3472</f>
        <v>199.68</v>
      </c>
      <c r="L3472" s="16" t="n">
        <f aca="false">H3472*J3472</f>
        <v>72</v>
      </c>
      <c r="M3472" s="16" t="n">
        <f aca="false">K3472-L3472</f>
        <v>127.68</v>
      </c>
      <c r="N3472" s="17" t="n">
        <f aca="false">IFERROR(M3472/K3472,0)</f>
        <v>0.639423076923077</v>
      </c>
    </row>
    <row r="3473" customFormat="false" ht="15" hidden="false" customHeight="false" outlineLevel="0" collapsed="false">
      <c r="A3473" s="15" t="n">
        <v>46167</v>
      </c>
      <c r="B3473" s="14" t="s">
        <v>88</v>
      </c>
      <c r="C3473" s="14" t="s">
        <v>89</v>
      </c>
      <c r="D3473" s="14" t="s">
        <v>44</v>
      </c>
      <c r="E3473" s="14" t="s">
        <v>76</v>
      </c>
      <c r="F3473" s="14" t="s">
        <v>79</v>
      </c>
      <c r="G3473" s="14" t="s">
        <v>80</v>
      </c>
      <c r="H3473" s="0" t="n">
        <v>6</v>
      </c>
      <c r="I3473" s="16" t="n">
        <v>28.17</v>
      </c>
      <c r="J3473" s="16" t="n">
        <v>11</v>
      </c>
      <c r="K3473" s="16" t="n">
        <f aca="false">H3473*I3473</f>
        <v>169.02</v>
      </c>
      <c r="L3473" s="16" t="n">
        <f aca="false">H3473*J3473</f>
        <v>66</v>
      </c>
      <c r="M3473" s="16" t="n">
        <f aca="false">K3473-L3473</f>
        <v>103.02</v>
      </c>
      <c r="N3473" s="17" t="n">
        <f aca="false">IFERROR(M3473/K3473,0)</f>
        <v>0.609513667021654</v>
      </c>
    </row>
    <row r="3474" customFormat="false" ht="15" hidden="false" customHeight="false" outlineLevel="0" collapsed="false">
      <c r="A3474" s="15" t="n">
        <v>46167</v>
      </c>
      <c r="B3474" s="14" t="s">
        <v>88</v>
      </c>
      <c r="C3474" s="14" t="s">
        <v>89</v>
      </c>
      <c r="D3474" s="14" t="s">
        <v>44</v>
      </c>
      <c r="E3474" s="14" t="s">
        <v>64</v>
      </c>
      <c r="F3474" s="14" t="s">
        <v>90</v>
      </c>
      <c r="G3474" s="14" t="s">
        <v>91</v>
      </c>
      <c r="H3474" s="0" t="n">
        <v>4</v>
      </c>
      <c r="I3474" s="16" t="n">
        <v>11.43</v>
      </c>
      <c r="J3474" s="16" t="n">
        <v>3.5</v>
      </c>
      <c r="K3474" s="16" t="n">
        <f aca="false">H3474*I3474</f>
        <v>45.72</v>
      </c>
      <c r="L3474" s="16" t="n">
        <f aca="false">H3474*J3474</f>
        <v>14</v>
      </c>
      <c r="M3474" s="16" t="n">
        <f aca="false">K3474-L3474</f>
        <v>31.72</v>
      </c>
      <c r="N3474" s="17" t="n">
        <f aca="false">IFERROR(M3474/K3474,0)</f>
        <v>0.693788276465442</v>
      </c>
    </row>
    <row r="3475" customFormat="false" ht="15" hidden="false" customHeight="false" outlineLevel="0" collapsed="false">
      <c r="A3475" s="15" t="n">
        <v>46167</v>
      </c>
      <c r="B3475" s="14" t="s">
        <v>88</v>
      </c>
      <c r="C3475" s="14" t="s">
        <v>89</v>
      </c>
      <c r="D3475" s="14" t="s">
        <v>44</v>
      </c>
      <c r="E3475" s="14" t="s">
        <v>53</v>
      </c>
      <c r="F3475" s="14" t="s">
        <v>92</v>
      </c>
      <c r="G3475" s="14" t="s">
        <v>93</v>
      </c>
      <c r="H3475" s="0" t="n">
        <v>5</v>
      </c>
      <c r="I3475" s="16" t="n">
        <v>116.26</v>
      </c>
      <c r="J3475" s="16" t="n">
        <v>52</v>
      </c>
      <c r="K3475" s="16" t="n">
        <f aca="false">H3475*I3475</f>
        <v>581.3</v>
      </c>
      <c r="L3475" s="16" t="n">
        <f aca="false">H3475*J3475</f>
        <v>260</v>
      </c>
      <c r="M3475" s="16" t="n">
        <f aca="false">K3475-L3475</f>
        <v>321.3</v>
      </c>
      <c r="N3475" s="17" t="n">
        <f aca="false">IFERROR(M3475/K3475,0)</f>
        <v>0.552726647170136</v>
      </c>
    </row>
    <row r="3476" customFormat="false" ht="15" hidden="false" customHeight="false" outlineLevel="0" collapsed="false">
      <c r="A3476" s="15" t="n">
        <v>46167</v>
      </c>
      <c r="B3476" s="14" t="s">
        <v>88</v>
      </c>
      <c r="C3476" s="14" t="s">
        <v>89</v>
      </c>
      <c r="D3476" s="14" t="s">
        <v>44</v>
      </c>
      <c r="E3476" s="14" t="s">
        <v>53</v>
      </c>
      <c r="F3476" s="14" t="s">
        <v>92</v>
      </c>
      <c r="G3476" s="14" t="s">
        <v>93</v>
      </c>
      <c r="H3476" s="0" t="n">
        <v>4</v>
      </c>
      <c r="I3476" s="16" t="n">
        <v>116.14</v>
      </c>
      <c r="J3476" s="16" t="n">
        <v>52</v>
      </c>
      <c r="K3476" s="16" t="n">
        <f aca="false">H3476*I3476</f>
        <v>464.56</v>
      </c>
      <c r="L3476" s="16" t="n">
        <f aca="false">H3476*J3476</f>
        <v>208</v>
      </c>
      <c r="M3476" s="16" t="n">
        <f aca="false">K3476-L3476</f>
        <v>256.56</v>
      </c>
      <c r="N3476" s="17" t="n">
        <f aca="false">IFERROR(M3476/K3476,0)</f>
        <v>0.552264508351989</v>
      </c>
    </row>
    <row r="3477" customFormat="false" ht="15" hidden="false" customHeight="false" outlineLevel="0" collapsed="false">
      <c r="A3477" s="15" t="n">
        <v>46168</v>
      </c>
      <c r="B3477" s="14" t="s">
        <v>42</v>
      </c>
      <c r="C3477" s="14" t="s">
        <v>43</v>
      </c>
      <c r="D3477" s="14" t="s">
        <v>44</v>
      </c>
      <c r="E3477" s="14" t="s">
        <v>64</v>
      </c>
      <c r="F3477" s="14" t="s">
        <v>65</v>
      </c>
      <c r="G3477" s="14" t="s">
        <v>66</v>
      </c>
      <c r="H3477" s="0" t="n">
        <v>3</v>
      </c>
      <c r="I3477" s="16" t="n">
        <v>73.2</v>
      </c>
      <c r="J3477" s="16" t="n">
        <v>34</v>
      </c>
      <c r="K3477" s="16" t="n">
        <f aca="false">H3477*I3477</f>
        <v>219.6</v>
      </c>
      <c r="L3477" s="16" t="n">
        <f aca="false">H3477*J3477</f>
        <v>102</v>
      </c>
      <c r="M3477" s="16" t="n">
        <f aca="false">K3477-L3477</f>
        <v>117.6</v>
      </c>
      <c r="N3477" s="17" t="n">
        <f aca="false">IFERROR(M3477/K3477,0)</f>
        <v>0.53551912568306</v>
      </c>
    </row>
    <row r="3478" customFormat="false" ht="15" hidden="false" customHeight="false" outlineLevel="0" collapsed="false">
      <c r="A3478" s="15" t="n">
        <v>46168</v>
      </c>
      <c r="B3478" s="14" t="s">
        <v>42</v>
      </c>
      <c r="C3478" s="14" t="s">
        <v>43</v>
      </c>
      <c r="D3478" s="14" t="s">
        <v>44</v>
      </c>
      <c r="E3478" s="14" t="s">
        <v>45</v>
      </c>
      <c r="F3478" s="14" t="s">
        <v>62</v>
      </c>
      <c r="G3478" s="14" t="s">
        <v>63</v>
      </c>
      <c r="H3478" s="0" t="n">
        <v>9</v>
      </c>
      <c r="I3478" s="16" t="n">
        <v>17.27</v>
      </c>
      <c r="J3478" s="16" t="n">
        <v>6.5</v>
      </c>
      <c r="K3478" s="16" t="n">
        <f aca="false">H3478*I3478</f>
        <v>155.43</v>
      </c>
      <c r="L3478" s="16" t="n">
        <f aca="false">H3478*J3478</f>
        <v>58.5</v>
      </c>
      <c r="M3478" s="16" t="n">
        <f aca="false">K3478-L3478</f>
        <v>96.93</v>
      </c>
      <c r="N3478" s="17" t="n">
        <f aca="false">IFERROR(M3478/K3478,0)</f>
        <v>0.623624782860452</v>
      </c>
    </row>
    <row r="3479" customFormat="false" ht="15" hidden="false" customHeight="false" outlineLevel="0" collapsed="false">
      <c r="A3479" s="15" t="n">
        <v>46168</v>
      </c>
      <c r="B3479" s="14" t="s">
        <v>42</v>
      </c>
      <c r="C3479" s="14" t="s">
        <v>43</v>
      </c>
      <c r="D3479" s="14" t="s">
        <v>44</v>
      </c>
      <c r="E3479" s="14" t="s">
        <v>45</v>
      </c>
      <c r="F3479" s="14" t="s">
        <v>62</v>
      </c>
      <c r="G3479" s="14" t="s">
        <v>63</v>
      </c>
      <c r="H3479" s="0" t="n">
        <v>1</v>
      </c>
      <c r="I3479" s="16" t="n">
        <v>16.56</v>
      </c>
      <c r="J3479" s="16" t="n">
        <v>6.5</v>
      </c>
      <c r="K3479" s="16" t="n">
        <f aca="false">H3479*I3479</f>
        <v>16.56</v>
      </c>
      <c r="L3479" s="16" t="n">
        <f aca="false">H3479*J3479</f>
        <v>6.5</v>
      </c>
      <c r="M3479" s="16" t="n">
        <f aca="false">K3479-L3479</f>
        <v>10.06</v>
      </c>
      <c r="N3479" s="17" t="n">
        <f aca="false">IFERROR(M3479/K3479,0)</f>
        <v>0.607487922705314</v>
      </c>
    </row>
    <row r="3480" customFormat="false" ht="15" hidden="false" customHeight="false" outlineLevel="0" collapsed="false">
      <c r="A3480" s="15" t="n">
        <v>46168</v>
      </c>
      <c r="B3480" s="14" t="s">
        <v>42</v>
      </c>
      <c r="C3480" s="14" t="s">
        <v>43</v>
      </c>
      <c r="D3480" s="14" t="s">
        <v>44</v>
      </c>
      <c r="E3480" s="14" t="s">
        <v>53</v>
      </c>
      <c r="F3480" s="14" t="s">
        <v>74</v>
      </c>
      <c r="G3480" s="14" t="s">
        <v>75</v>
      </c>
      <c r="H3480" s="0" t="n">
        <v>5</v>
      </c>
      <c r="I3480" s="16" t="n">
        <v>83.95</v>
      </c>
      <c r="J3480" s="16" t="n">
        <v>38</v>
      </c>
      <c r="K3480" s="16" t="n">
        <f aca="false">H3480*I3480</f>
        <v>419.75</v>
      </c>
      <c r="L3480" s="16" t="n">
        <f aca="false">H3480*J3480</f>
        <v>190</v>
      </c>
      <c r="M3480" s="16" t="n">
        <f aca="false">K3480-L3480</f>
        <v>229.75</v>
      </c>
      <c r="N3480" s="17" t="n">
        <f aca="false">IFERROR(M3480/K3480,0)</f>
        <v>0.5473496128648</v>
      </c>
    </row>
    <row r="3481" customFormat="false" ht="15" hidden="false" customHeight="false" outlineLevel="0" collapsed="false">
      <c r="A3481" s="15" t="n">
        <v>46168</v>
      </c>
      <c r="B3481" s="14" t="s">
        <v>42</v>
      </c>
      <c r="C3481" s="14" t="s">
        <v>43</v>
      </c>
      <c r="D3481" s="14" t="s">
        <v>44</v>
      </c>
      <c r="E3481" s="14" t="s">
        <v>76</v>
      </c>
      <c r="F3481" s="14" t="s">
        <v>102</v>
      </c>
      <c r="G3481" s="14" t="s">
        <v>103</v>
      </c>
      <c r="H3481" s="0" t="n">
        <v>3</v>
      </c>
      <c r="I3481" s="16" t="n">
        <v>22.16</v>
      </c>
      <c r="J3481" s="16" t="n">
        <v>8.5</v>
      </c>
      <c r="K3481" s="16" t="n">
        <f aca="false">H3481*I3481</f>
        <v>66.48</v>
      </c>
      <c r="L3481" s="16" t="n">
        <f aca="false">H3481*J3481</f>
        <v>25.5</v>
      </c>
      <c r="M3481" s="16" t="n">
        <f aca="false">K3481-L3481</f>
        <v>40.98</v>
      </c>
      <c r="N3481" s="17" t="n">
        <f aca="false">IFERROR(M3481/K3481,0)</f>
        <v>0.616425992779783</v>
      </c>
    </row>
    <row r="3482" customFormat="false" ht="15" hidden="false" customHeight="false" outlineLevel="0" collapsed="false">
      <c r="A3482" s="15" t="n">
        <v>46168</v>
      </c>
      <c r="B3482" s="14" t="s">
        <v>42</v>
      </c>
      <c r="C3482" s="14" t="s">
        <v>43</v>
      </c>
      <c r="D3482" s="14" t="s">
        <v>44</v>
      </c>
      <c r="E3482" s="14" t="s">
        <v>76</v>
      </c>
      <c r="F3482" s="14" t="s">
        <v>102</v>
      </c>
      <c r="G3482" s="14" t="s">
        <v>103</v>
      </c>
      <c r="H3482" s="0" t="n">
        <v>3</v>
      </c>
      <c r="I3482" s="16" t="n">
        <v>22.15</v>
      </c>
      <c r="J3482" s="16" t="n">
        <v>8.5</v>
      </c>
      <c r="K3482" s="16" t="n">
        <f aca="false">H3482*I3482</f>
        <v>66.45</v>
      </c>
      <c r="L3482" s="16" t="n">
        <f aca="false">H3482*J3482</f>
        <v>25.5</v>
      </c>
      <c r="M3482" s="16" t="n">
        <f aca="false">K3482-L3482</f>
        <v>40.95</v>
      </c>
      <c r="N3482" s="17" t="n">
        <f aca="false">IFERROR(M3482/K3482,0)</f>
        <v>0.616252821670429</v>
      </c>
    </row>
    <row r="3483" customFormat="false" ht="15" hidden="false" customHeight="false" outlineLevel="0" collapsed="false">
      <c r="A3483" s="15" t="n">
        <v>46168</v>
      </c>
      <c r="B3483" s="14" t="s">
        <v>50</v>
      </c>
      <c r="C3483" s="14" t="s">
        <v>51</v>
      </c>
      <c r="D3483" s="14" t="s">
        <v>52</v>
      </c>
      <c r="E3483" s="14" t="s">
        <v>45</v>
      </c>
      <c r="F3483" s="14" t="s">
        <v>48</v>
      </c>
      <c r="G3483" s="14" t="s">
        <v>49</v>
      </c>
      <c r="H3483" s="0" t="n">
        <v>1</v>
      </c>
      <c r="I3483" s="16" t="n">
        <v>67.03</v>
      </c>
      <c r="J3483" s="16" t="n">
        <v>27.5</v>
      </c>
      <c r="K3483" s="16" t="n">
        <f aca="false">H3483*I3483</f>
        <v>67.03</v>
      </c>
      <c r="L3483" s="16" t="n">
        <f aca="false">H3483*J3483</f>
        <v>27.5</v>
      </c>
      <c r="M3483" s="16" t="n">
        <f aca="false">K3483-L3483</f>
        <v>39.53</v>
      </c>
      <c r="N3483" s="17" t="n">
        <f aca="false">IFERROR(M3483/K3483,0)</f>
        <v>0.589735939131732</v>
      </c>
    </row>
    <row r="3484" customFormat="false" ht="15" hidden="false" customHeight="false" outlineLevel="0" collapsed="false">
      <c r="A3484" s="15" t="n">
        <v>46168</v>
      </c>
      <c r="B3484" s="14" t="s">
        <v>50</v>
      </c>
      <c r="C3484" s="14" t="s">
        <v>51</v>
      </c>
      <c r="D3484" s="14" t="s">
        <v>52</v>
      </c>
      <c r="E3484" s="14" t="s">
        <v>53</v>
      </c>
      <c r="F3484" s="14" t="s">
        <v>54</v>
      </c>
      <c r="G3484" s="14" t="s">
        <v>55</v>
      </c>
      <c r="H3484" s="0" t="n">
        <v>10</v>
      </c>
      <c r="I3484" s="16" t="n">
        <v>54.23</v>
      </c>
      <c r="J3484" s="16" t="n">
        <v>22</v>
      </c>
      <c r="K3484" s="16" t="n">
        <f aca="false">H3484*I3484</f>
        <v>542.3</v>
      </c>
      <c r="L3484" s="16" t="n">
        <f aca="false">H3484*J3484</f>
        <v>220</v>
      </c>
      <c r="M3484" s="16" t="n">
        <f aca="false">K3484-L3484</f>
        <v>322.3</v>
      </c>
      <c r="N3484" s="17" t="n">
        <f aca="false">IFERROR(M3484/K3484,0)</f>
        <v>0.594320486815416</v>
      </c>
    </row>
    <row r="3485" customFormat="false" ht="15" hidden="false" customHeight="false" outlineLevel="0" collapsed="false">
      <c r="A3485" s="15" t="n">
        <v>46168</v>
      </c>
      <c r="B3485" s="14" t="s">
        <v>50</v>
      </c>
      <c r="C3485" s="14" t="s">
        <v>51</v>
      </c>
      <c r="D3485" s="14" t="s">
        <v>52</v>
      </c>
      <c r="E3485" s="14" t="s">
        <v>64</v>
      </c>
      <c r="F3485" s="14" t="s">
        <v>65</v>
      </c>
      <c r="G3485" s="14" t="s">
        <v>66</v>
      </c>
      <c r="H3485" s="0" t="n">
        <v>6</v>
      </c>
      <c r="I3485" s="16" t="n">
        <v>76.43</v>
      </c>
      <c r="J3485" s="16" t="n">
        <v>34</v>
      </c>
      <c r="K3485" s="16" t="n">
        <f aca="false">H3485*I3485</f>
        <v>458.58</v>
      </c>
      <c r="L3485" s="16" t="n">
        <f aca="false">H3485*J3485</f>
        <v>204</v>
      </c>
      <c r="M3485" s="16" t="n">
        <f aca="false">K3485-L3485</f>
        <v>254.58</v>
      </c>
      <c r="N3485" s="17" t="n">
        <f aca="false">IFERROR(M3485/K3485,0)</f>
        <v>0.555148501897161</v>
      </c>
    </row>
    <row r="3486" customFormat="false" ht="15" hidden="false" customHeight="false" outlineLevel="0" collapsed="false">
      <c r="A3486" s="15" t="n">
        <v>46168</v>
      </c>
      <c r="B3486" s="14" t="s">
        <v>50</v>
      </c>
      <c r="C3486" s="14" t="s">
        <v>51</v>
      </c>
      <c r="D3486" s="14" t="s">
        <v>52</v>
      </c>
      <c r="E3486" s="14" t="s">
        <v>56</v>
      </c>
      <c r="F3486" s="14" t="s">
        <v>98</v>
      </c>
      <c r="G3486" s="14" t="s">
        <v>99</v>
      </c>
      <c r="H3486" s="0" t="n">
        <v>6</v>
      </c>
      <c r="I3486" s="16" t="n">
        <v>20.48</v>
      </c>
      <c r="J3486" s="16" t="n">
        <v>8</v>
      </c>
      <c r="K3486" s="16" t="n">
        <f aca="false">H3486*I3486</f>
        <v>122.88</v>
      </c>
      <c r="L3486" s="16" t="n">
        <f aca="false">H3486*J3486</f>
        <v>48</v>
      </c>
      <c r="M3486" s="16" t="n">
        <f aca="false">K3486-L3486</f>
        <v>74.88</v>
      </c>
      <c r="N3486" s="17" t="n">
        <f aca="false">IFERROR(M3486/K3486,0)</f>
        <v>0.609375</v>
      </c>
    </row>
    <row r="3487" customFormat="false" ht="15" hidden="false" customHeight="false" outlineLevel="0" collapsed="false">
      <c r="A3487" s="15" t="n">
        <v>46168</v>
      </c>
      <c r="B3487" s="14" t="s">
        <v>50</v>
      </c>
      <c r="C3487" s="14" t="s">
        <v>51</v>
      </c>
      <c r="D3487" s="14" t="s">
        <v>52</v>
      </c>
      <c r="E3487" s="14" t="s">
        <v>64</v>
      </c>
      <c r="F3487" s="14" t="s">
        <v>94</v>
      </c>
      <c r="G3487" s="14" t="s">
        <v>95</v>
      </c>
      <c r="H3487" s="0" t="n">
        <v>3</v>
      </c>
      <c r="I3487" s="16" t="n">
        <v>96.18</v>
      </c>
      <c r="J3487" s="16" t="n">
        <v>42</v>
      </c>
      <c r="K3487" s="16" t="n">
        <f aca="false">H3487*I3487</f>
        <v>288.54</v>
      </c>
      <c r="L3487" s="16" t="n">
        <f aca="false">H3487*J3487</f>
        <v>126</v>
      </c>
      <c r="M3487" s="16" t="n">
        <f aca="false">K3487-L3487</f>
        <v>162.54</v>
      </c>
      <c r="N3487" s="17" t="n">
        <f aca="false">IFERROR(M3487/K3487,0)</f>
        <v>0.563318777292576</v>
      </c>
    </row>
    <row r="3488" customFormat="false" ht="15" hidden="false" customHeight="false" outlineLevel="0" collapsed="false">
      <c r="A3488" s="15" t="n">
        <v>46168</v>
      </c>
      <c r="B3488" s="14" t="s">
        <v>50</v>
      </c>
      <c r="C3488" s="14" t="s">
        <v>51</v>
      </c>
      <c r="D3488" s="14" t="s">
        <v>52</v>
      </c>
      <c r="E3488" s="14" t="s">
        <v>56</v>
      </c>
      <c r="F3488" s="14" t="s">
        <v>98</v>
      </c>
      <c r="G3488" s="14" t="s">
        <v>99</v>
      </c>
      <c r="H3488" s="0" t="n">
        <v>9</v>
      </c>
      <c r="I3488" s="16" t="n">
        <v>21.31</v>
      </c>
      <c r="J3488" s="16" t="n">
        <v>8</v>
      </c>
      <c r="K3488" s="16" t="n">
        <f aca="false">H3488*I3488</f>
        <v>191.79</v>
      </c>
      <c r="L3488" s="16" t="n">
        <f aca="false">H3488*J3488</f>
        <v>72</v>
      </c>
      <c r="M3488" s="16" t="n">
        <f aca="false">K3488-L3488</f>
        <v>119.79</v>
      </c>
      <c r="N3488" s="17" t="n">
        <f aca="false">IFERROR(M3488/K3488,0)</f>
        <v>0.624589394650399</v>
      </c>
    </row>
    <row r="3489" customFormat="false" ht="15" hidden="false" customHeight="false" outlineLevel="0" collapsed="false">
      <c r="A3489" s="15" t="n">
        <v>46168</v>
      </c>
      <c r="B3489" s="14" t="s">
        <v>59</v>
      </c>
      <c r="C3489" s="14" t="s">
        <v>60</v>
      </c>
      <c r="D3489" s="14" t="s">
        <v>61</v>
      </c>
      <c r="E3489" s="14" t="s">
        <v>45</v>
      </c>
      <c r="F3489" s="14" t="s">
        <v>72</v>
      </c>
      <c r="G3489" s="14" t="s">
        <v>73</v>
      </c>
      <c r="H3489" s="0" t="n">
        <v>5</v>
      </c>
      <c r="I3489" s="16" t="n">
        <v>50.61</v>
      </c>
      <c r="J3489" s="16" t="n">
        <v>21</v>
      </c>
      <c r="K3489" s="16" t="n">
        <f aca="false">H3489*I3489</f>
        <v>253.05</v>
      </c>
      <c r="L3489" s="16" t="n">
        <f aca="false">H3489*J3489</f>
        <v>105</v>
      </c>
      <c r="M3489" s="16" t="n">
        <f aca="false">K3489-L3489</f>
        <v>148.05</v>
      </c>
      <c r="N3489" s="17" t="n">
        <f aca="false">IFERROR(M3489/K3489,0)</f>
        <v>0.5850622406639</v>
      </c>
    </row>
    <row r="3490" customFormat="false" ht="15" hidden="false" customHeight="false" outlineLevel="0" collapsed="false">
      <c r="A3490" s="15" t="n">
        <v>46168</v>
      </c>
      <c r="B3490" s="14" t="s">
        <v>59</v>
      </c>
      <c r="C3490" s="14" t="s">
        <v>60</v>
      </c>
      <c r="D3490" s="14" t="s">
        <v>61</v>
      </c>
      <c r="E3490" s="14" t="s">
        <v>64</v>
      </c>
      <c r="F3490" s="14" t="s">
        <v>90</v>
      </c>
      <c r="G3490" s="14" t="s">
        <v>91</v>
      </c>
      <c r="H3490" s="0" t="n">
        <v>5</v>
      </c>
      <c r="I3490" s="16" t="n">
        <v>11.95</v>
      </c>
      <c r="J3490" s="16" t="n">
        <v>3.5</v>
      </c>
      <c r="K3490" s="16" t="n">
        <f aca="false">H3490*I3490</f>
        <v>59.75</v>
      </c>
      <c r="L3490" s="16" t="n">
        <f aca="false">H3490*J3490</f>
        <v>17.5</v>
      </c>
      <c r="M3490" s="16" t="n">
        <f aca="false">K3490-L3490</f>
        <v>42.25</v>
      </c>
      <c r="N3490" s="17" t="n">
        <f aca="false">IFERROR(M3490/K3490,0)</f>
        <v>0.707112970711297</v>
      </c>
    </row>
    <row r="3491" customFormat="false" ht="15" hidden="false" customHeight="false" outlineLevel="0" collapsed="false">
      <c r="A3491" s="15" t="n">
        <v>46168</v>
      </c>
      <c r="B3491" s="14" t="s">
        <v>59</v>
      </c>
      <c r="C3491" s="14" t="s">
        <v>60</v>
      </c>
      <c r="D3491" s="14" t="s">
        <v>61</v>
      </c>
      <c r="E3491" s="14" t="s">
        <v>76</v>
      </c>
      <c r="F3491" s="14" t="s">
        <v>102</v>
      </c>
      <c r="G3491" s="14" t="s">
        <v>103</v>
      </c>
      <c r="H3491" s="0" t="n">
        <v>7</v>
      </c>
      <c r="I3491" s="16" t="n">
        <v>22.88</v>
      </c>
      <c r="J3491" s="16" t="n">
        <v>8.5</v>
      </c>
      <c r="K3491" s="16" t="n">
        <f aca="false">H3491*I3491</f>
        <v>160.16</v>
      </c>
      <c r="L3491" s="16" t="n">
        <f aca="false">H3491*J3491</f>
        <v>59.5</v>
      </c>
      <c r="M3491" s="16" t="n">
        <f aca="false">K3491-L3491</f>
        <v>100.66</v>
      </c>
      <c r="N3491" s="17" t="n">
        <f aca="false">IFERROR(M3491/K3491,0)</f>
        <v>0.628496503496503</v>
      </c>
    </row>
    <row r="3492" customFormat="false" ht="15" hidden="false" customHeight="false" outlineLevel="0" collapsed="false">
      <c r="A3492" s="15" t="n">
        <v>46168</v>
      </c>
      <c r="B3492" s="14" t="s">
        <v>59</v>
      </c>
      <c r="C3492" s="14" t="s">
        <v>60</v>
      </c>
      <c r="D3492" s="14" t="s">
        <v>61</v>
      </c>
      <c r="E3492" s="14" t="s">
        <v>53</v>
      </c>
      <c r="F3492" s="14" t="s">
        <v>92</v>
      </c>
      <c r="G3492" s="14" t="s">
        <v>93</v>
      </c>
      <c r="H3492" s="0" t="n">
        <v>7</v>
      </c>
      <c r="I3492" s="16" t="n">
        <v>112.42</v>
      </c>
      <c r="J3492" s="16" t="n">
        <v>52</v>
      </c>
      <c r="K3492" s="16" t="n">
        <f aca="false">H3492*I3492</f>
        <v>786.94</v>
      </c>
      <c r="L3492" s="16" t="n">
        <f aca="false">H3492*J3492</f>
        <v>364</v>
      </c>
      <c r="M3492" s="16" t="n">
        <f aca="false">K3492-L3492</f>
        <v>422.94</v>
      </c>
      <c r="N3492" s="17" t="n">
        <f aca="false">IFERROR(M3492/K3492,0)</f>
        <v>0.537448852517346</v>
      </c>
    </row>
    <row r="3493" customFormat="false" ht="15" hidden="false" customHeight="false" outlineLevel="0" collapsed="false">
      <c r="A3493" s="15" t="n">
        <v>46168</v>
      </c>
      <c r="B3493" s="14" t="s">
        <v>69</v>
      </c>
      <c r="C3493" s="14" t="s">
        <v>70</v>
      </c>
      <c r="D3493" s="14" t="s">
        <v>71</v>
      </c>
      <c r="E3493" s="14" t="s">
        <v>53</v>
      </c>
      <c r="F3493" s="14" t="s">
        <v>54</v>
      </c>
      <c r="G3493" s="14" t="s">
        <v>55</v>
      </c>
      <c r="H3493" s="0" t="n">
        <v>1</v>
      </c>
      <c r="I3493" s="16" t="n">
        <v>50.95</v>
      </c>
      <c r="J3493" s="16" t="n">
        <v>22</v>
      </c>
      <c r="K3493" s="16" t="n">
        <f aca="false">H3493*I3493</f>
        <v>50.95</v>
      </c>
      <c r="L3493" s="16" t="n">
        <f aca="false">H3493*J3493</f>
        <v>22</v>
      </c>
      <c r="M3493" s="16" t="n">
        <f aca="false">K3493-L3493</f>
        <v>28.95</v>
      </c>
      <c r="N3493" s="17" t="n">
        <f aca="false">IFERROR(M3493/K3493,0)</f>
        <v>0.568204121687929</v>
      </c>
    </row>
    <row r="3494" customFormat="false" ht="15" hidden="false" customHeight="false" outlineLevel="0" collapsed="false">
      <c r="A3494" s="15" t="n">
        <v>46168</v>
      </c>
      <c r="B3494" s="14" t="s">
        <v>69</v>
      </c>
      <c r="C3494" s="14" t="s">
        <v>70</v>
      </c>
      <c r="D3494" s="14" t="s">
        <v>71</v>
      </c>
      <c r="E3494" s="14" t="s">
        <v>56</v>
      </c>
      <c r="F3494" s="14" t="s">
        <v>98</v>
      </c>
      <c r="G3494" s="14" t="s">
        <v>99</v>
      </c>
      <c r="H3494" s="0" t="n">
        <v>3</v>
      </c>
      <c r="I3494" s="16" t="n">
        <v>20.43</v>
      </c>
      <c r="J3494" s="16" t="n">
        <v>8</v>
      </c>
      <c r="K3494" s="16" t="n">
        <f aca="false">H3494*I3494</f>
        <v>61.29</v>
      </c>
      <c r="L3494" s="16" t="n">
        <f aca="false">H3494*J3494</f>
        <v>24</v>
      </c>
      <c r="M3494" s="16" t="n">
        <f aca="false">K3494-L3494</f>
        <v>37.29</v>
      </c>
      <c r="N3494" s="17" t="n">
        <f aca="false">IFERROR(M3494/K3494,0)</f>
        <v>0.608418991678904</v>
      </c>
    </row>
    <row r="3495" customFormat="false" ht="15" hidden="false" customHeight="false" outlineLevel="0" collapsed="false">
      <c r="A3495" s="15" t="n">
        <v>46168</v>
      </c>
      <c r="B3495" s="14" t="s">
        <v>69</v>
      </c>
      <c r="C3495" s="14" t="s">
        <v>70</v>
      </c>
      <c r="D3495" s="14" t="s">
        <v>71</v>
      </c>
      <c r="E3495" s="14" t="s">
        <v>64</v>
      </c>
      <c r="F3495" s="14" t="s">
        <v>96</v>
      </c>
      <c r="G3495" s="14" t="s">
        <v>97</v>
      </c>
      <c r="H3495" s="0" t="n">
        <v>3</v>
      </c>
      <c r="I3495" s="16" t="n">
        <v>57.69</v>
      </c>
      <c r="J3495" s="16" t="n">
        <v>24</v>
      </c>
      <c r="K3495" s="16" t="n">
        <f aca="false">H3495*I3495</f>
        <v>173.07</v>
      </c>
      <c r="L3495" s="16" t="n">
        <f aca="false">H3495*J3495</f>
        <v>72</v>
      </c>
      <c r="M3495" s="16" t="n">
        <f aca="false">K3495-L3495</f>
        <v>101.07</v>
      </c>
      <c r="N3495" s="17" t="n">
        <f aca="false">IFERROR(M3495/K3495,0)</f>
        <v>0.583983359334373</v>
      </c>
    </row>
    <row r="3496" customFormat="false" ht="15" hidden="false" customHeight="false" outlineLevel="0" collapsed="false">
      <c r="A3496" s="15" t="n">
        <v>46168</v>
      </c>
      <c r="B3496" s="14" t="s">
        <v>69</v>
      </c>
      <c r="C3496" s="14" t="s">
        <v>70</v>
      </c>
      <c r="D3496" s="14" t="s">
        <v>71</v>
      </c>
      <c r="E3496" s="14" t="s">
        <v>76</v>
      </c>
      <c r="F3496" s="14" t="s">
        <v>102</v>
      </c>
      <c r="G3496" s="14" t="s">
        <v>103</v>
      </c>
      <c r="H3496" s="0" t="n">
        <v>6</v>
      </c>
      <c r="I3496" s="16" t="n">
        <v>23.19</v>
      </c>
      <c r="J3496" s="16" t="n">
        <v>8.5</v>
      </c>
      <c r="K3496" s="16" t="n">
        <f aca="false">H3496*I3496</f>
        <v>139.14</v>
      </c>
      <c r="L3496" s="16" t="n">
        <f aca="false">H3496*J3496</f>
        <v>51</v>
      </c>
      <c r="M3496" s="16" t="n">
        <f aca="false">K3496-L3496</f>
        <v>88.14</v>
      </c>
      <c r="N3496" s="17" t="n">
        <f aca="false">IFERROR(M3496/K3496,0)</f>
        <v>0.633462699439414</v>
      </c>
    </row>
    <row r="3497" customFormat="false" ht="15" hidden="false" customHeight="false" outlineLevel="0" collapsed="false">
      <c r="A3497" s="15" t="n">
        <v>46168</v>
      </c>
      <c r="B3497" s="14" t="s">
        <v>69</v>
      </c>
      <c r="C3497" s="14" t="s">
        <v>70</v>
      </c>
      <c r="D3497" s="14" t="s">
        <v>71</v>
      </c>
      <c r="E3497" s="14" t="s">
        <v>64</v>
      </c>
      <c r="F3497" s="14" t="s">
        <v>90</v>
      </c>
      <c r="G3497" s="14" t="s">
        <v>91</v>
      </c>
      <c r="H3497" s="0" t="n">
        <v>6</v>
      </c>
      <c r="I3497" s="16" t="n">
        <v>11.16</v>
      </c>
      <c r="J3497" s="16" t="n">
        <v>3.5</v>
      </c>
      <c r="K3497" s="16" t="n">
        <f aca="false">H3497*I3497</f>
        <v>66.96</v>
      </c>
      <c r="L3497" s="16" t="n">
        <f aca="false">H3497*J3497</f>
        <v>21</v>
      </c>
      <c r="M3497" s="16" t="n">
        <f aca="false">K3497-L3497</f>
        <v>45.96</v>
      </c>
      <c r="N3497" s="17" t="n">
        <f aca="false">IFERROR(M3497/K3497,0)</f>
        <v>0.686379928315412</v>
      </c>
    </row>
    <row r="3498" customFormat="false" ht="15" hidden="false" customHeight="false" outlineLevel="0" collapsed="false">
      <c r="A3498" s="15" t="n">
        <v>46168</v>
      </c>
      <c r="B3498" s="14" t="s">
        <v>81</v>
      </c>
      <c r="C3498" s="14" t="s">
        <v>82</v>
      </c>
      <c r="D3498" s="14" t="s">
        <v>83</v>
      </c>
      <c r="E3498" s="14" t="s">
        <v>56</v>
      </c>
      <c r="F3498" s="14" t="s">
        <v>67</v>
      </c>
      <c r="G3498" s="14" t="s">
        <v>68</v>
      </c>
      <c r="H3498" s="0" t="n">
        <v>3</v>
      </c>
      <c r="I3498" s="16" t="n">
        <v>37.68</v>
      </c>
      <c r="J3498" s="16" t="n">
        <v>15</v>
      </c>
      <c r="K3498" s="16" t="n">
        <f aca="false">H3498*I3498</f>
        <v>113.04</v>
      </c>
      <c r="L3498" s="16" t="n">
        <f aca="false">H3498*J3498</f>
        <v>45</v>
      </c>
      <c r="M3498" s="16" t="n">
        <f aca="false">K3498-L3498</f>
        <v>68.04</v>
      </c>
      <c r="N3498" s="17" t="n">
        <f aca="false">IFERROR(M3498/K3498,0)</f>
        <v>0.601910828025478</v>
      </c>
    </row>
    <row r="3499" customFormat="false" ht="15" hidden="false" customHeight="false" outlineLevel="0" collapsed="false">
      <c r="A3499" s="15" t="n">
        <v>46168</v>
      </c>
      <c r="B3499" s="14" t="s">
        <v>81</v>
      </c>
      <c r="C3499" s="14" t="s">
        <v>82</v>
      </c>
      <c r="D3499" s="14" t="s">
        <v>83</v>
      </c>
      <c r="E3499" s="14" t="s">
        <v>45</v>
      </c>
      <c r="F3499" s="14" t="s">
        <v>46</v>
      </c>
      <c r="G3499" s="14" t="s">
        <v>47</v>
      </c>
      <c r="H3499" s="0" t="n">
        <v>2</v>
      </c>
      <c r="I3499" s="16" t="n">
        <v>42.81</v>
      </c>
      <c r="J3499" s="16" t="n">
        <v>18</v>
      </c>
      <c r="K3499" s="16" t="n">
        <f aca="false">H3499*I3499</f>
        <v>85.62</v>
      </c>
      <c r="L3499" s="16" t="n">
        <f aca="false">H3499*J3499</f>
        <v>36</v>
      </c>
      <c r="M3499" s="16" t="n">
        <f aca="false">K3499-L3499</f>
        <v>49.62</v>
      </c>
      <c r="N3499" s="17" t="n">
        <f aca="false">IFERROR(M3499/K3499,0)</f>
        <v>0.579537491240365</v>
      </c>
    </row>
    <row r="3500" customFormat="false" ht="15" hidden="false" customHeight="false" outlineLevel="0" collapsed="false">
      <c r="A3500" s="15" t="n">
        <v>46168</v>
      </c>
      <c r="B3500" s="14" t="s">
        <v>81</v>
      </c>
      <c r="C3500" s="14" t="s">
        <v>82</v>
      </c>
      <c r="D3500" s="14" t="s">
        <v>83</v>
      </c>
      <c r="E3500" s="14" t="s">
        <v>76</v>
      </c>
      <c r="F3500" s="14" t="s">
        <v>79</v>
      </c>
      <c r="G3500" s="14" t="s">
        <v>80</v>
      </c>
      <c r="H3500" s="0" t="n">
        <v>1</v>
      </c>
      <c r="I3500" s="16" t="n">
        <v>27.68</v>
      </c>
      <c r="J3500" s="16" t="n">
        <v>11</v>
      </c>
      <c r="K3500" s="16" t="n">
        <f aca="false">H3500*I3500</f>
        <v>27.68</v>
      </c>
      <c r="L3500" s="16" t="n">
        <f aca="false">H3500*J3500</f>
        <v>11</v>
      </c>
      <c r="M3500" s="16" t="n">
        <f aca="false">K3500-L3500</f>
        <v>16.68</v>
      </c>
      <c r="N3500" s="17" t="n">
        <f aca="false">IFERROR(M3500/K3500,0)</f>
        <v>0.602601156069364</v>
      </c>
    </row>
    <row r="3501" customFormat="false" ht="15" hidden="false" customHeight="false" outlineLevel="0" collapsed="false">
      <c r="A3501" s="15" t="n">
        <v>46168</v>
      </c>
      <c r="B3501" s="14" t="s">
        <v>81</v>
      </c>
      <c r="C3501" s="14" t="s">
        <v>82</v>
      </c>
      <c r="D3501" s="14" t="s">
        <v>83</v>
      </c>
      <c r="E3501" s="14" t="s">
        <v>76</v>
      </c>
      <c r="F3501" s="14" t="s">
        <v>100</v>
      </c>
      <c r="G3501" s="14" t="s">
        <v>101</v>
      </c>
      <c r="H3501" s="0" t="n">
        <v>2</v>
      </c>
      <c r="I3501" s="16" t="n">
        <v>15.76</v>
      </c>
      <c r="J3501" s="16" t="n">
        <v>5.5</v>
      </c>
      <c r="K3501" s="16" t="n">
        <f aca="false">H3501*I3501</f>
        <v>31.52</v>
      </c>
      <c r="L3501" s="16" t="n">
        <f aca="false">H3501*J3501</f>
        <v>11</v>
      </c>
      <c r="M3501" s="16" t="n">
        <f aca="false">K3501-L3501</f>
        <v>20.52</v>
      </c>
      <c r="N3501" s="17" t="n">
        <f aca="false">IFERROR(M3501/K3501,0)</f>
        <v>0.651015228426396</v>
      </c>
    </row>
    <row r="3502" customFormat="false" ht="15" hidden="false" customHeight="false" outlineLevel="0" collapsed="false">
      <c r="A3502" s="15" t="n">
        <v>46168</v>
      </c>
      <c r="B3502" s="14" t="s">
        <v>81</v>
      </c>
      <c r="C3502" s="14" t="s">
        <v>82</v>
      </c>
      <c r="D3502" s="14" t="s">
        <v>83</v>
      </c>
      <c r="E3502" s="14" t="s">
        <v>64</v>
      </c>
      <c r="F3502" s="14" t="s">
        <v>90</v>
      </c>
      <c r="G3502" s="14" t="s">
        <v>91</v>
      </c>
      <c r="H3502" s="0" t="n">
        <v>4</v>
      </c>
      <c r="I3502" s="16" t="n">
        <v>11.47</v>
      </c>
      <c r="J3502" s="16" t="n">
        <v>3.5</v>
      </c>
      <c r="K3502" s="16" t="n">
        <f aca="false">H3502*I3502</f>
        <v>45.88</v>
      </c>
      <c r="L3502" s="16" t="n">
        <f aca="false">H3502*J3502</f>
        <v>14</v>
      </c>
      <c r="M3502" s="16" t="n">
        <f aca="false">K3502-L3502</f>
        <v>31.88</v>
      </c>
      <c r="N3502" s="17" t="n">
        <f aca="false">IFERROR(M3502/K3502,0)</f>
        <v>0.69485614646905</v>
      </c>
    </row>
    <row r="3503" customFormat="false" ht="15" hidden="false" customHeight="false" outlineLevel="0" collapsed="false">
      <c r="A3503" s="15" t="n">
        <v>46168</v>
      </c>
      <c r="B3503" s="14" t="s">
        <v>81</v>
      </c>
      <c r="C3503" s="14" t="s">
        <v>82</v>
      </c>
      <c r="D3503" s="14" t="s">
        <v>83</v>
      </c>
      <c r="E3503" s="14" t="s">
        <v>76</v>
      </c>
      <c r="F3503" s="14" t="s">
        <v>100</v>
      </c>
      <c r="G3503" s="14" t="s">
        <v>101</v>
      </c>
      <c r="H3503" s="0" t="n">
        <v>5</v>
      </c>
      <c r="I3503" s="16" t="n">
        <v>15.95</v>
      </c>
      <c r="J3503" s="16" t="n">
        <v>5.5</v>
      </c>
      <c r="K3503" s="16" t="n">
        <f aca="false">H3503*I3503</f>
        <v>79.75</v>
      </c>
      <c r="L3503" s="16" t="n">
        <f aca="false">H3503*J3503</f>
        <v>27.5</v>
      </c>
      <c r="M3503" s="16" t="n">
        <f aca="false">K3503-L3503</f>
        <v>52.25</v>
      </c>
      <c r="N3503" s="17" t="n">
        <f aca="false">IFERROR(M3503/K3503,0)</f>
        <v>0.655172413793103</v>
      </c>
    </row>
    <row r="3504" customFormat="false" ht="15" hidden="false" customHeight="false" outlineLevel="0" collapsed="false">
      <c r="A3504" s="15" t="n">
        <v>46168</v>
      </c>
      <c r="B3504" s="14" t="s">
        <v>88</v>
      </c>
      <c r="C3504" s="14" t="s">
        <v>89</v>
      </c>
      <c r="D3504" s="14" t="s">
        <v>44</v>
      </c>
      <c r="E3504" s="14" t="s">
        <v>53</v>
      </c>
      <c r="F3504" s="14" t="s">
        <v>74</v>
      </c>
      <c r="G3504" s="14" t="s">
        <v>75</v>
      </c>
      <c r="H3504" s="0" t="n">
        <v>4</v>
      </c>
      <c r="I3504" s="16" t="n">
        <v>88.67</v>
      </c>
      <c r="J3504" s="16" t="n">
        <v>38</v>
      </c>
      <c r="K3504" s="16" t="n">
        <f aca="false">H3504*I3504</f>
        <v>354.68</v>
      </c>
      <c r="L3504" s="16" t="n">
        <f aca="false">H3504*J3504</f>
        <v>152</v>
      </c>
      <c r="M3504" s="16" t="n">
        <f aca="false">K3504-L3504</f>
        <v>202.68</v>
      </c>
      <c r="N3504" s="17" t="n">
        <f aca="false">IFERROR(M3504/K3504,0)</f>
        <v>0.571444682530732</v>
      </c>
    </row>
    <row r="3505" customFormat="false" ht="15" hidden="false" customHeight="false" outlineLevel="0" collapsed="false">
      <c r="A3505" s="15" t="n">
        <v>46168</v>
      </c>
      <c r="B3505" s="14" t="s">
        <v>88</v>
      </c>
      <c r="C3505" s="14" t="s">
        <v>89</v>
      </c>
      <c r="D3505" s="14" t="s">
        <v>44</v>
      </c>
      <c r="E3505" s="14" t="s">
        <v>64</v>
      </c>
      <c r="F3505" s="14" t="s">
        <v>65</v>
      </c>
      <c r="G3505" s="14" t="s">
        <v>66</v>
      </c>
      <c r="H3505" s="0" t="n">
        <v>8</v>
      </c>
      <c r="I3505" s="16" t="n">
        <v>78.21</v>
      </c>
      <c r="J3505" s="16" t="n">
        <v>34</v>
      </c>
      <c r="K3505" s="16" t="n">
        <f aca="false">H3505*I3505</f>
        <v>625.68</v>
      </c>
      <c r="L3505" s="16" t="n">
        <f aca="false">H3505*J3505</f>
        <v>272</v>
      </c>
      <c r="M3505" s="16" t="n">
        <f aca="false">K3505-L3505</f>
        <v>353.68</v>
      </c>
      <c r="N3505" s="17" t="n">
        <f aca="false">IFERROR(M3505/K3505,0)</f>
        <v>0.565272982994502</v>
      </c>
    </row>
    <row r="3506" customFormat="false" ht="15" hidden="false" customHeight="false" outlineLevel="0" collapsed="false">
      <c r="A3506" s="15" t="n">
        <v>46168</v>
      </c>
      <c r="B3506" s="14" t="s">
        <v>88</v>
      </c>
      <c r="C3506" s="14" t="s">
        <v>89</v>
      </c>
      <c r="D3506" s="14" t="s">
        <v>44</v>
      </c>
      <c r="E3506" s="14" t="s">
        <v>76</v>
      </c>
      <c r="F3506" s="14" t="s">
        <v>77</v>
      </c>
      <c r="G3506" s="14" t="s">
        <v>78</v>
      </c>
      <c r="H3506" s="0" t="n">
        <v>1</v>
      </c>
      <c r="I3506" s="16" t="n">
        <v>41.61</v>
      </c>
      <c r="J3506" s="16" t="n">
        <v>15</v>
      </c>
      <c r="K3506" s="16" t="n">
        <f aca="false">H3506*I3506</f>
        <v>41.61</v>
      </c>
      <c r="L3506" s="16" t="n">
        <f aca="false">H3506*J3506</f>
        <v>15</v>
      </c>
      <c r="M3506" s="16" t="n">
        <f aca="false">K3506-L3506</f>
        <v>26.61</v>
      </c>
      <c r="N3506" s="17" t="n">
        <f aca="false">IFERROR(M3506/K3506,0)</f>
        <v>0.639509733237203</v>
      </c>
    </row>
    <row r="3507" customFormat="false" ht="15" hidden="false" customHeight="false" outlineLevel="0" collapsed="false">
      <c r="A3507" s="15" t="n">
        <v>46168</v>
      </c>
      <c r="B3507" s="14" t="s">
        <v>88</v>
      </c>
      <c r="C3507" s="14" t="s">
        <v>89</v>
      </c>
      <c r="D3507" s="14" t="s">
        <v>44</v>
      </c>
      <c r="E3507" s="14" t="s">
        <v>53</v>
      </c>
      <c r="F3507" s="14" t="s">
        <v>84</v>
      </c>
      <c r="G3507" s="14" t="s">
        <v>85</v>
      </c>
      <c r="H3507" s="0" t="n">
        <v>7</v>
      </c>
      <c r="I3507" s="16" t="n">
        <v>24.81</v>
      </c>
      <c r="J3507" s="16" t="n">
        <v>9</v>
      </c>
      <c r="K3507" s="16" t="n">
        <f aca="false">H3507*I3507</f>
        <v>173.67</v>
      </c>
      <c r="L3507" s="16" t="n">
        <f aca="false">H3507*J3507</f>
        <v>63</v>
      </c>
      <c r="M3507" s="16" t="n">
        <f aca="false">K3507-L3507</f>
        <v>110.67</v>
      </c>
      <c r="N3507" s="17" t="n">
        <f aca="false">IFERROR(M3507/K3507,0)</f>
        <v>0.637243047158404</v>
      </c>
    </row>
    <row r="3508" customFormat="false" ht="15" hidden="false" customHeight="false" outlineLevel="0" collapsed="false">
      <c r="A3508" s="15" t="n">
        <v>46168</v>
      </c>
      <c r="B3508" s="14" t="s">
        <v>88</v>
      </c>
      <c r="C3508" s="14" t="s">
        <v>89</v>
      </c>
      <c r="D3508" s="14" t="s">
        <v>44</v>
      </c>
      <c r="E3508" s="14" t="s">
        <v>53</v>
      </c>
      <c r="F3508" s="14" t="s">
        <v>84</v>
      </c>
      <c r="G3508" s="14" t="s">
        <v>85</v>
      </c>
      <c r="H3508" s="0" t="n">
        <v>1</v>
      </c>
      <c r="I3508" s="16" t="n">
        <v>24.54</v>
      </c>
      <c r="J3508" s="16" t="n">
        <v>9</v>
      </c>
      <c r="K3508" s="16" t="n">
        <f aca="false">H3508*I3508</f>
        <v>24.54</v>
      </c>
      <c r="L3508" s="16" t="n">
        <f aca="false">H3508*J3508</f>
        <v>9</v>
      </c>
      <c r="M3508" s="16" t="n">
        <f aca="false">K3508-L3508</f>
        <v>15.54</v>
      </c>
      <c r="N3508" s="17" t="n">
        <f aca="false">IFERROR(M3508/K3508,0)</f>
        <v>0.633251833740831</v>
      </c>
    </row>
    <row r="3509" customFormat="false" ht="15" hidden="false" customHeight="false" outlineLevel="0" collapsed="false">
      <c r="A3509" s="15" t="n">
        <v>46168</v>
      </c>
      <c r="B3509" s="14" t="s">
        <v>88</v>
      </c>
      <c r="C3509" s="14" t="s">
        <v>89</v>
      </c>
      <c r="D3509" s="14" t="s">
        <v>44</v>
      </c>
      <c r="E3509" s="14" t="s">
        <v>76</v>
      </c>
      <c r="F3509" s="14" t="s">
        <v>102</v>
      </c>
      <c r="G3509" s="14" t="s">
        <v>103</v>
      </c>
      <c r="H3509" s="0" t="n">
        <v>7</v>
      </c>
      <c r="I3509" s="16" t="n">
        <v>22.73</v>
      </c>
      <c r="J3509" s="16" t="n">
        <v>8.5</v>
      </c>
      <c r="K3509" s="16" t="n">
        <f aca="false">H3509*I3509</f>
        <v>159.11</v>
      </c>
      <c r="L3509" s="16" t="n">
        <f aca="false">H3509*J3509</f>
        <v>59.5</v>
      </c>
      <c r="M3509" s="16" t="n">
        <f aca="false">K3509-L3509</f>
        <v>99.61</v>
      </c>
      <c r="N3509" s="17" t="n">
        <f aca="false">IFERROR(M3509/K3509,0)</f>
        <v>0.626044874615046</v>
      </c>
    </row>
    <row r="3510" customFormat="false" ht="15" hidden="false" customHeight="false" outlineLevel="0" collapsed="false">
      <c r="A3510" s="15" t="n">
        <v>46169</v>
      </c>
      <c r="B3510" s="14" t="s">
        <v>42</v>
      </c>
      <c r="C3510" s="14" t="s">
        <v>43</v>
      </c>
      <c r="D3510" s="14" t="s">
        <v>44</v>
      </c>
      <c r="E3510" s="14" t="s">
        <v>64</v>
      </c>
      <c r="F3510" s="14" t="s">
        <v>96</v>
      </c>
      <c r="G3510" s="14" t="s">
        <v>97</v>
      </c>
      <c r="H3510" s="0" t="n">
        <v>5</v>
      </c>
      <c r="I3510" s="16" t="n">
        <v>54.98</v>
      </c>
      <c r="J3510" s="16" t="n">
        <v>24</v>
      </c>
      <c r="K3510" s="16" t="n">
        <f aca="false">H3510*I3510</f>
        <v>274.9</v>
      </c>
      <c r="L3510" s="16" t="n">
        <f aca="false">H3510*J3510</f>
        <v>120</v>
      </c>
      <c r="M3510" s="16" t="n">
        <f aca="false">K3510-L3510</f>
        <v>154.9</v>
      </c>
      <c r="N3510" s="17" t="n">
        <f aca="false">IFERROR(M3510/K3510,0)</f>
        <v>0.563477628228447</v>
      </c>
    </row>
    <row r="3511" customFormat="false" ht="15" hidden="false" customHeight="false" outlineLevel="0" collapsed="false">
      <c r="A3511" s="15" t="n">
        <v>46169</v>
      </c>
      <c r="B3511" s="14" t="s">
        <v>42</v>
      </c>
      <c r="C3511" s="14" t="s">
        <v>43</v>
      </c>
      <c r="D3511" s="14" t="s">
        <v>44</v>
      </c>
      <c r="E3511" s="14" t="s">
        <v>56</v>
      </c>
      <c r="F3511" s="14" t="s">
        <v>67</v>
      </c>
      <c r="G3511" s="14" t="s">
        <v>68</v>
      </c>
      <c r="H3511" s="0" t="n">
        <v>9</v>
      </c>
      <c r="I3511" s="16" t="n">
        <v>37.66</v>
      </c>
      <c r="J3511" s="16" t="n">
        <v>15</v>
      </c>
      <c r="K3511" s="16" t="n">
        <f aca="false">H3511*I3511</f>
        <v>338.94</v>
      </c>
      <c r="L3511" s="16" t="n">
        <f aca="false">H3511*J3511</f>
        <v>135</v>
      </c>
      <c r="M3511" s="16" t="n">
        <f aca="false">K3511-L3511</f>
        <v>203.94</v>
      </c>
      <c r="N3511" s="17" t="n">
        <f aca="false">IFERROR(M3511/K3511,0)</f>
        <v>0.60169941582581</v>
      </c>
    </row>
    <row r="3512" customFormat="false" ht="15" hidden="false" customHeight="false" outlineLevel="0" collapsed="false">
      <c r="A3512" s="15" t="n">
        <v>46169</v>
      </c>
      <c r="B3512" s="14" t="s">
        <v>50</v>
      </c>
      <c r="C3512" s="14" t="s">
        <v>51</v>
      </c>
      <c r="D3512" s="14" t="s">
        <v>52</v>
      </c>
      <c r="E3512" s="14" t="s">
        <v>56</v>
      </c>
      <c r="F3512" s="14" t="s">
        <v>86</v>
      </c>
      <c r="G3512" s="14" t="s">
        <v>87</v>
      </c>
      <c r="H3512" s="0" t="n">
        <v>8</v>
      </c>
      <c r="I3512" s="16" t="n">
        <v>14.72</v>
      </c>
      <c r="J3512" s="16" t="n">
        <v>5</v>
      </c>
      <c r="K3512" s="16" t="n">
        <f aca="false">H3512*I3512</f>
        <v>117.76</v>
      </c>
      <c r="L3512" s="16" t="n">
        <f aca="false">H3512*J3512</f>
        <v>40</v>
      </c>
      <c r="M3512" s="16" t="n">
        <f aca="false">K3512-L3512</f>
        <v>77.76</v>
      </c>
      <c r="N3512" s="17" t="n">
        <f aca="false">IFERROR(M3512/K3512,0)</f>
        <v>0.660326086956522</v>
      </c>
    </row>
    <row r="3513" customFormat="false" ht="15" hidden="false" customHeight="false" outlineLevel="0" collapsed="false">
      <c r="A3513" s="15" t="n">
        <v>46169</v>
      </c>
      <c r="B3513" s="14" t="s">
        <v>50</v>
      </c>
      <c r="C3513" s="14" t="s">
        <v>51</v>
      </c>
      <c r="D3513" s="14" t="s">
        <v>52</v>
      </c>
      <c r="E3513" s="14" t="s">
        <v>45</v>
      </c>
      <c r="F3513" s="14" t="s">
        <v>72</v>
      </c>
      <c r="G3513" s="14" t="s">
        <v>73</v>
      </c>
      <c r="H3513" s="0" t="n">
        <v>6</v>
      </c>
      <c r="I3513" s="16" t="n">
        <v>50.08</v>
      </c>
      <c r="J3513" s="16" t="n">
        <v>21</v>
      </c>
      <c r="K3513" s="16" t="n">
        <f aca="false">H3513*I3513</f>
        <v>300.48</v>
      </c>
      <c r="L3513" s="16" t="n">
        <f aca="false">H3513*J3513</f>
        <v>126</v>
      </c>
      <c r="M3513" s="16" t="n">
        <f aca="false">K3513-L3513</f>
        <v>174.48</v>
      </c>
      <c r="N3513" s="17" t="n">
        <f aca="false">IFERROR(M3513/K3513,0)</f>
        <v>0.580670926517572</v>
      </c>
    </row>
    <row r="3514" customFormat="false" ht="15" hidden="false" customHeight="false" outlineLevel="0" collapsed="false">
      <c r="A3514" s="15" t="n">
        <v>46169</v>
      </c>
      <c r="B3514" s="14" t="s">
        <v>50</v>
      </c>
      <c r="C3514" s="14" t="s">
        <v>51</v>
      </c>
      <c r="D3514" s="14" t="s">
        <v>52</v>
      </c>
      <c r="E3514" s="14" t="s">
        <v>64</v>
      </c>
      <c r="F3514" s="14" t="s">
        <v>65</v>
      </c>
      <c r="G3514" s="14" t="s">
        <v>66</v>
      </c>
      <c r="H3514" s="0" t="n">
        <v>6</v>
      </c>
      <c r="I3514" s="16" t="n">
        <v>74.78</v>
      </c>
      <c r="J3514" s="16" t="n">
        <v>34</v>
      </c>
      <c r="K3514" s="16" t="n">
        <f aca="false">H3514*I3514</f>
        <v>448.68</v>
      </c>
      <c r="L3514" s="16" t="n">
        <f aca="false">H3514*J3514</f>
        <v>204</v>
      </c>
      <c r="M3514" s="16" t="n">
        <f aca="false">K3514-L3514</f>
        <v>244.68</v>
      </c>
      <c r="N3514" s="17" t="n">
        <f aca="false">IFERROR(M3514/K3514,0)</f>
        <v>0.545332976731746</v>
      </c>
    </row>
    <row r="3515" customFormat="false" ht="15" hidden="false" customHeight="false" outlineLevel="0" collapsed="false">
      <c r="A3515" s="15" t="n">
        <v>46169</v>
      </c>
      <c r="B3515" s="14" t="s">
        <v>50</v>
      </c>
      <c r="C3515" s="14" t="s">
        <v>51</v>
      </c>
      <c r="D3515" s="14" t="s">
        <v>52</v>
      </c>
      <c r="E3515" s="14" t="s">
        <v>64</v>
      </c>
      <c r="F3515" s="14" t="s">
        <v>65</v>
      </c>
      <c r="G3515" s="14" t="s">
        <v>66</v>
      </c>
      <c r="H3515" s="0" t="n">
        <v>9</v>
      </c>
      <c r="I3515" s="16" t="n">
        <v>77.92</v>
      </c>
      <c r="J3515" s="16" t="n">
        <v>34</v>
      </c>
      <c r="K3515" s="16" t="n">
        <f aca="false">H3515*I3515</f>
        <v>701.28</v>
      </c>
      <c r="L3515" s="16" t="n">
        <f aca="false">H3515*J3515</f>
        <v>306</v>
      </c>
      <c r="M3515" s="16" t="n">
        <f aca="false">K3515-L3515</f>
        <v>395.28</v>
      </c>
      <c r="N3515" s="17" t="n">
        <f aca="false">IFERROR(M3515/K3515,0)</f>
        <v>0.563655030800821</v>
      </c>
    </row>
    <row r="3516" customFormat="false" ht="15" hidden="false" customHeight="false" outlineLevel="0" collapsed="false">
      <c r="A3516" s="15" t="n">
        <v>46169</v>
      </c>
      <c r="B3516" s="14" t="s">
        <v>50</v>
      </c>
      <c r="C3516" s="14" t="s">
        <v>51</v>
      </c>
      <c r="D3516" s="14" t="s">
        <v>52</v>
      </c>
      <c r="E3516" s="14" t="s">
        <v>64</v>
      </c>
      <c r="F3516" s="14" t="s">
        <v>90</v>
      </c>
      <c r="G3516" s="14" t="s">
        <v>91</v>
      </c>
      <c r="H3516" s="0" t="n">
        <v>5</v>
      </c>
      <c r="I3516" s="16" t="n">
        <v>11.93</v>
      </c>
      <c r="J3516" s="16" t="n">
        <v>3.5</v>
      </c>
      <c r="K3516" s="16" t="n">
        <f aca="false">H3516*I3516</f>
        <v>59.65</v>
      </c>
      <c r="L3516" s="16" t="n">
        <f aca="false">H3516*J3516</f>
        <v>17.5</v>
      </c>
      <c r="M3516" s="16" t="n">
        <f aca="false">K3516-L3516</f>
        <v>42.15</v>
      </c>
      <c r="N3516" s="17" t="n">
        <f aca="false">IFERROR(M3516/K3516,0)</f>
        <v>0.706621961441744</v>
      </c>
    </row>
    <row r="3517" customFormat="false" ht="15" hidden="false" customHeight="false" outlineLevel="0" collapsed="false">
      <c r="A3517" s="15" t="n">
        <v>46169</v>
      </c>
      <c r="B3517" s="14" t="s">
        <v>50</v>
      </c>
      <c r="C3517" s="14" t="s">
        <v>51</v>
      </c>
      <c r="D3517" s="14" t="s">
        <v>52</v>
      </c>
      <c r="E3517" s="14" t="s">
        <v>56</v>
      </c>
      <c r="F3517" s="14" t="s">
        <v>86</v>
      </c>
      <c r="G3517" s="14" t="s">
        <v>87</v>
      </c>
      <c r="H3517" s="0" t="n">
        <v>9</v>
      </c>
      <c r="I3517" s="16" t="n">
        <v>14.12</v>
      </c>
      <c r="J3517" s="16" t="n">
        <v>5</v>
      </c>
      <c r="K3517" s="16" t="n">
        <f aca="false">H3517*I3517</f>
        <v>127.08</v>
      </c>
      <c r="L3517" s="16" t="n">
        <f aca="false">H3517*J3517</f>
        <v>45</v>
      </c>
      <c r="M3517" s="16" t="n">
        <f aca="false">K3517-L3517</f>
        <v>82.08</v>
      </c>
      <c r="N3517" s="17" t="n">
        <f aca="false">IFERROR(M3517/K3517,0)</f>
        <v>0.645892351274788</v>
      </c>
    </row>
    <row r="3518" customFormat="false" ht="15" hidden="false" customHeight="false" outlineLevel="0" collapsed="false">
      <c r="A3518" s="15" t="n">
        <v>46169</v>
      </c>
      <c r="B3518" s="14" t="s">
        <v>59</v>
      </c>
      <c r="C3518" s="14" t="s">
        <v>60</v>
      </c>
      <c r="D3518" s="14" t="s">
        <v>61</v>
      </c>
      <c r="E3518" s="14" t="s">
        <v>53</v>
      </c>
      <c r="F3518" s="14" t="s">
        <v>92</v>
      </c>
      <c r="G3518" s="14" t="s">
        <v>93</v>
      </c>
      <c r="H3518" s="0" t="n">
        <v>8</v>
      </c>
      <c r="I3518" s="16" t="n">
        <v>112.95</v>
      </c>
      <c r="J3518" s="16" t="n">
        <v>52</v>
      </c>
      <c r="K3518" s="16" t="n">
        <f aca="false">H3518*I3518</f>
        <v>903.6</v>
      </c>
      <c r="L3518" s="16" t="n">
        <f aca="false">H3518*J3518</f>
        <v>416</v>
      </c>
      <c r="M3518" s="16" t="n">
        <f aca="false">K3518-L3518</f>
        <v>487.6</v>
      </c>
      <c r="N3518" s="17" t="n">
        <f aca="false">IFERROR(M3518/K3518,0)</f>
        <v>0.539619300575476</v>
      </c>
    </row>
    <row r="3519" customFormat="false" ht="15" hidden="false" customHeight="false" outlineLevel="0" collapsed="false">
      <c r="A3519" s="15" t="n">
        <v>46169</v>
      </c>
      <c r="B3519" s="14" t="s">
        <v>59</v>
      </c>
      <c r="C3519" s="14" t="s">
        <v>60</v>
      </c>
      <c r="D3519" s="14" t="s">
        <v>61</v>
      </c>
      <c r="E3519" s="14" t="s">
        <v>56</v>
      </c>
      <c r="F3519" s="14" t="s">
        <v>86</v>
      </c>
      <c r="G3519" s="14" t="s">
        <v>87</v>
      </c>
      <c r="H3519" s="0" t="n">
        <v>1</v>
      </c>
      <c r="I3519" s="16" t="n">
        <v>14.07</v>
      </c>
      <c r="J3519" s="16" t="n">
        <v>5</v>
      </c>
      <c r="K3519" s="16" t="n">
        <f aca="false">H3519*I3519</f>
        <v>14.07</v>
      </c>
      <c r="L3519" s="16" t="n">
        <f aca="false">H3519*J3519</f>
        <v>5</v>
      </c>
      <c r="M3519" s="16" t="n">
        <f aca="false">K3519-L3519</f>
        <v>9.07</v>
      </c>
      <c r="N3519" s="17" t="n">
        <f aca="false">IFERROR(M3519/K3519,0)</f>
        <v>0.644633972992182</v>
      </c>
    </row>
    <row r="3520" customFormat="false" ht="15" hidden="false" customHeight="false" outlineLevel="0" collapsed="false">
      <c r="A3520" s="15" t="n">
        <v>46169</v>
      </c>
      <c r="B3520" s="14" t="s">
        <v>69</v>
      </c>
      <c r="C3520" s="14" t="s">
        <v>70</v>
      </c>
      <c r="D3520" s="14" t="s">
        <v>71</v>
      </c>
      <c r="E3520" s="14" t="s">
        <v>53</v>
      </c>
      <c r="F3520" s="14" t="s">
        <v>84</v>
      </c>
      <c r="G3520" s="14" t="s">
        <v>85</v>
      </c>
      <c r="H3520" s="0" t="n">
        <v>1</v>
      </c>
      <c r="I3520" s="16" t="n">
        <v>23.86</v>
      </c>
      <c r="J3520" s="16" t="n">
        <v>9</v>
      </c>
      <c r="K3520" s="16" t="n">
        <f aca="false">H3520*I3520</f>
        <v>23.86</v>
      </c>
      <c r="L3520" s="16" t="n">
        <f aca="false">H3520*J3520</f>
        <v>9</v>
      </c>
      <c r="M3520" s="16" t="n">
        <f aca="false">K3520-L3520</f>
        <v>14.86</v>
      </c>
      <c r="N3520" s="17" t="n">
        <f aca="false">IFERROR(M3520/K3520,0)</f>
        <v>0.622799664710813</v>
      </c>
    </row>
    <row r="3521" customFormat="false" ht="15" hidden="false" customHeight="false" outlineLevel="0" collapsed="false">
      <c r="A3521" s="15" t="n">
        <v>46169</v>
      </c>
      <c r="B3521" s="14" t="s">
        <v>69</v>
      </c>
      <c r="C3521" s="14" t="s">
        <v>70</v>
      </c>
      <c r="D3521" s="14" t="s">
        <v>71</v>
      </c>
      <c r="E3521" s="14" t="s">
        <v>45</v>
      </c>
      <c r="F3521" s="14" t="s">
        <v>46</v>
      </c>
      <c r="G3521" s="14" t="s">
        <v>47</v>
      </c>
      <c r="H3521" s="0" t="n">
        <v>6</v>
      </c>
      <c r="I3521" s="16" t="n">
        <v>41.46</v>
      </c>
      <c r="J3521" s="16" t="n">
        <v>18</v>
      </c>
      <c r="K3521" s="16" t="n">
        <f aca="false">H3521*I3521</f>
        <v>248.76</v>
      </c>
      <c r="L3521" s="16" t="n">
        <f aca="false">H3521*J3521</f>
        <v>108</v>
      </c>
      <c r="M3521" s="16" t="n">
        <f aca="false">K3521-L3521</f>
        <v>140.76</v>
      </c>
      <c r="N3521" s="17" t="n">
        <f aca="false">IFERROR(M3521/K3521,0)</f>
        <v>0.565846599131693</v>
      </c>
    </row>
    <row r="3522" customFormat="false" ht="15" hidden="false" customHeight="false" outlineLevel="0" collapsed="false">
      <c r="A3522" s="15" t="n">
        <v>46169</v>
      </c>
      <c r="B3522" s="14" t="s">
        <v>69</v>
      </c>
      <c r="C3522" s="14" t="s">
        <v>70</v>
      </c>
      <c r="D3522" s="14" t="s">
        <v>71</v>
      </c>
      <c r="E3522" s="14" t="s">
        <v>76</v>
      </c>
      <c r="F3522" s="14" t="s">
        <v>79</v>
      </c>
      <c r="G3522" s="14" t="s">
        <v>80</v>
      </c>
      <c r="H3522" s="0" t="n">
        <v>7</v>
      </c>
      <c r="I3522" s="16" t="n">
        <v>29.97</v>
      </c>
      <c r="J3522" s="16" t="n">
        <v>11</v>
      </c>
      <c r="K3522" s="16" t="n">
        <f aca="false">H3522*I3522</f>
        <v>209.79</v>
      </c>
      <c r="L3522" s="16" t="n">
        <f aca="false">H3522*J3522</f>
        <v>77</v>
      </c>
      <c r="M3522" s="16" t="n">
        <f aca="false">K3522-L3522</f>
        <v>132.79</v>
      </c>
      <c r="N3522" s="17" t="n">
        <f aca="false">IFERROR(M3522/K3522,0)</f>
        <v>0.632966299632966</v>
      </c>
    </row>
    <row r="3523" customFormat="false" ht="15" hidden="false" customHeight="false" outlineLevel="0" collapsed="false">
      <c r="A3523" s="15" t="n">
        <v>46169</v>
      </c>
      <c r="B3523" s="14" t="s">
        <v>69</v>
      </c>
      <c r="C3523" s="14" t="s">
        <v>70</v>
      </c>
      <c r="D3523" s="14" t="s">
        <v>71</v>
      </c>
      <c r="E3523" s="14" t="s">
        <v>53</v>
      </c>
      <c r="F3523" s="14" t="s">
        <v>92</v>
      </c>
      <c r="G3523" s="14" t="s">
        <v>93</v>
      </c>
      <c r="H3523" s="0" t="n">
        <v>2</v>
      </c>
      <c r="I3523" s="16" t="n">
        <v>118.61</v>
      </c>
      <c r="J3523" s="16" t="n">
        <v>52</v>
      </c>
      <c r="K3523" s="16" t="n">
        <f aca="false">H3523*I3523</f>
        <v>237.22</v>
      </c>
      <c r="L3523" s="16" t="n">
        <f aca="false">H3523*J3523</f>
        <v>104</v>
      </c>
      <c r="M3523" s="16" t="n">
        <f aca="false">K3523-L3523</f>
        <v>133.22</v>
      </c>
      <c r="N3523" s="17" t="n">
        <f aca="false">IFERROR(M3523/K3523,0)</f>
        <v>0.561588398954557</v>
      </c>
    </row>
    <row r="3524" customFormat="false" ht="15" hidden="false" customHeight="false" outlineLevel="0" collapsed="false">
      <c r="A3524" s="15" t="n">
        <v>46169</v>
      </c>
      <c r="B3524" s="14" t="s">
        <v>69</v>
      </c>
      <c r="C3524" s="14" t="s">
        <v>70</v>
      </c>
      <c r="D3524" s="14" t="s">
        <v>71</v>
      </c>
      <c r="E3524" s="14" t="s">
        <v>64</v>
      </c>
      <c r="F3524" s="14" t="s">
        <v>94</v>
      </c>
      <c r="G3524" s="14" t="s">
        <v>95</v>
      </c>
      <c r="H3524" s="0" t="n">
        <v>3</v>
      </c>
      <c r="I3524" s="16" t="n">
        <v>95.4</v>
      </c>
      <c r="J3524" s="16" t="n">
        <v>42</v>
      </c>
      <c r="K3524" s="16" t="n">
        <f aca="false">H3524*I3524</f>
        <v>286.2</v>
      </c>
      <c r="L3524" s="16" t="n">
        <f aca="false">H3524*J3524</f>
        <v>126</v>
      </c>
      <c r="M3524" s="16" t="n">
        <f aca="false">K3524-L3524</f>
        <v>160.2</v>
      </c>
      <c r="N3524" s="17" t="n">
        <f aca="false">IFERROR(M3524/K3524,0)</f>
        <v>0.559748427672956</v>
      </c>
    </row>
    <row r="3525" customFormat="false" ht="15" hidden="false" customHeight="false" outlineLevel="0" collapsed="false">
      <c r="A3525" s="15" t="n">
        <v>46169</v>
      </c>
      <c r="B3525" s="14" t="s">
        <v>81</v>
      </c>
      <c r="C3525" s="14" t="s">
        <v>82</v>
      </c>
      <c r="D3525" s="14" t="s">
        <v>83</v>
      </c>
      <c r="E3525" s="14" t="s">
        <v>45</v>
      </c>
      <c r="F3525" s="14" t="s">
        <v>72</v>
      </c>
      <c r="G3525" s="14" t="s">
        <v>73</v>
      </c>
      <c r="H3525" s="0" t="n">
        <v>2</v>
      </c>
      <c r="I3525" s="16" t="n">
        <v>49.21</v>
      </c>
      <c r="J3525" s="16" t="n">
        <v>21</v>
      </c>
      <c r="K3525" s="16" t="n">
        <f aca="false">H3525*I3525</f>
        <v>98.42</v>
      </c>
      <c r="L3525" s="16" t="n">
        <f aca="false">H3525*J3525</f>
        <v>42</v>
      </c>
      <c r="M3525" s="16" t="n">
        <f aca="false">K3525-L3525</f>
        <v>56.42</v>
      </c>
      <c r="N3525" s="17" t="n">
        <f aca="false">IFERROR(M3525/K3525,0)</f>
        <v>0.57325746799431</v>
      </c>
    </row>
    <row r="3526" customFormat="false" ht="15" hidden="false" customHeight="false" outlineLevel="0" collapsed="false">
      <c r="A3526" s="15" t="n">
        <v>46169</v>
      </c>
      <c r="B3526" s="14" t="s">
        <v>81</v>
      </c>
      <c r="C3526" s="14" t="s">
        <v>82</v>
      </c>
      <c r="D3526" s="14" t="s">
        <v>83</v>
      </c>
      <c r="E3526" s="14" t="s">
        <v>53</v>
      </c>
      <c r="F3526" s="14" t="s">
        <v>84</v>
      </c>
      <c r="G3526" s="14" t="s">
        <v>85</v>
      </c>
      <c r="H3526" s="0" t="n">
        <v>1</v>
      </c>
      <c r="I3526" s="16" t="n">
        <v>23.2</v>
      </c>
      <c r="J3526" s="16" t="n">
        <v>9</v>
      </c>
      <c r="K3526" s="16" t="n">
        <f aca="false">H3526*I3526</f>
        <v>23.2</v>
      </c>
      <c r="L3526" s="16" t="n">
        <f aca="false">H3526*J3526</f>
        <v>9</v>
      </c>
      <c r="M3526" s="16" t="n">
        <f aca="false">K3526-L3526</f>
        <v>14.2</v>
      </c>
      <c r="N3526" s="17" t="n">
        <f aca="false">IFERROR(M3526/K3526,0)</f>
        <v>0.612068965517241</v>
      </c>
    </row>
    <row r="3527" customFormat="false" ht="15" hidden="false" customHeight="false" outlineLevel="0" collapsed="false">
      <c r="A3527" s="15" t="n">
        <v>46169</v>
      </c>
      <c r="B3527" s="14" t="s">
        <v>81</v>
      </c>
      <c r="C3527" s="14" t="s">
        <v>82</v>
      </c>
      <c r="D3527" s="14" t="s">
        <v>83</v>
      </c>
      <c r="E3527" s="14" t="s">
        <v>76</v>
      </c>
      <c r="F3527" s="14" t="s">
        <v>77</v>
      </c>
      <c r="G3527" s="14" t="s">
        <v>78</v>
      </c>
      <c r="H3527" s="0" t="n">
        <v>4</v>
      </c>
      <c r="I3527" s="16" t="n">
        <v>40.9</v>
      </c>
      <c r="J3527" s="16" t="n">
        <v>15</v>
      </c>
      <c r="K3527" s="16" t="n">
        <f aca="false">H3527*I3527</f>
        <v>163.6</v>
      </c>
      <c r="L3527" s="16" t="n">
        <f aca="false">H3527*J3527</f>
        <v>60</v>
      </c>
      <c r="M3527" s="16" t="n">
        <f aca="false">K3527-L3527</f>
        <v>103.6</v>
      </c>
      <c r="N3527" s="17" t="n">
        <f aca="false">IFERROR(M3527/K3527,0)</f>
        <v>0.633251833740831</v>
      </c>
    </row>
    <row r="3528" customFormat="false" ht="15" hidden="false" customHeight="false" outlineLevel="0" collapsed="false">
      <c r="A3528" s="15" t="n">
        <v>46169</v>
      </c>
      <c r="B3528" s="14" t="s">
        <v>88</v>
      </c>
      <c r="C3528" s="14" t="s">
        <v>89</v>
      </c>
      <c r="D3528" s="14" t="s">
        <v>44</v>
      </c>
      <c r="E3528" s="14" t="s">
        <v>53</v>
      </c>
      <c r="F3528" s="14" t="s">
        <v>84</v>
      </c>
      <c r="G3528" s="14" t="s">
        <v>85</v>
      </c>
      <c r="H3528" s="0" t="n">
        <v>5</v>
      </c>
      <c r="I3528" s="16" t="n">
        <v>24.46</v>
      </c>
      <c r="J3528" s="16" t="n">
        <v>9</v>
      </c>
      <c r="K3528" s="16" t="n">
        <f aca="false">H3528*I3528</f>
        <v>122.3</v>
      </c>
      <c r="L3528" s="16" t="n">
        <f aca="false">H3528*J3528</f>
        <v>45</v>
      </c>
      <c r="M3528" s="16" t="n">
        <f aca="false">K3528-L3528</f>
        <v>77.3</v>
      </c>
      <c r="N3528" s="17" t="n">
        <f aca="false">IFERROR(M3528/K3528,0)</f>
        <v>0.632052330335241</v>
      </c>
    </row>
    <row r="3529" customFormat="false" ht="15" hidden="false" customHeight="false" outlineLevel="0" collapsed="false">
      <c r="A3529" s="15" t="n">
        <v>46169</v>
      </c>
      <c r="B3529" s="14" t="s">
        <v>88</v>
      </c>
      <c r="C3529" s="14" t="s">
        <v>89</v>
      </c>
      <c r="D3529" s="14" t="s">
        <v>44</v>
      </c>
      <c r="E3529" s="14" t="s">
        <v>76</v>
      </c>
      <c r="F3529" s="14" t="s">
        <v>79</v>
      </c>
      <c r="G3529" s="14" t="s">
        <v>80</v>
      </c>
      <c r="H3529" s="0" t="n">
        <v>6</v>
      </c>
      <c r="I3529" s="16" t="n">
        <v>28.34</v>
      </c>
      <c r="J3529" s="16" t="n">
        <v>11</v>
      </c>
      <c r="K3529" s="16" t="n">
        <f aca="false">H3529*I3529</f>
        <v>170.04</v>
      </c>
      <c r="L3529" s="16" t="n">
        <f aca="false">H3529*J3529</f>
        <v>66</v>
      </c>
      <c r="M3529" s="16" t="n">
        <f aca="false">K3529-L3529</f>
        <v>104.04</v>
      </c>
      <c r="N3529" s="17" t="n">
        <f aca="false">IFERROR(M3529/K3529,0)</f>
        <v>0.611856033874383</v>
      </c>
    </row>
    <row r="3530" customFormat="false" ht="15" hidden="false" customHeight="false" outlineLevel="0" collapsed="false">
      <c r="A3530" s="15" t="n">
        <v>46169</v>
      </c>
      <c r="B3530" s="14" t="s">
        <v>88</v>
      </c>
      <c r="C3530" s="14" t="s">
        <v>89</v>
      </c>
      <c r="D3530" s="14" t="s">
        <v>44</v>
      </c>
      <c r="E3530" s="14" t="s">
        <v>56</v>
      </c>
      <c r="F3530" s="14" t="s">
        <v>98</v>
      </c>
      <c r="G3530" s="14" t="s">
        <v>99</v>
      </c>
      <c r="H3530" s="0" t="n">
        <v>2</v>
      </c>
      <c r="I3530" s="16" t="n">
        <v>21.97</v>
      </c>
      <c r="J3530" s="16" t="n">
        <v>8</v>
      </c>
      <c r="K3530" s="16" t="n">
        <f aca="false">H3530*I3530</f>
        <v>43.94</v>
      </c>
      <c r="L3530" s="16" t="n">
        <f aca="false">H3530*J3530</f>
        <v>16</v>
      </c>
      <c r="M3530" s="16" t="n">
        <f aca="false">K3530-L3530</f>
        <v>27.94</v>
      </c>
      <c r="N3530" s="17" t="n">
        <f aca="false">IFERROR(M3530/K3530,0)</f>
        <v>0.635867091488393</v>
      </c>
    </row>
    <row r="3531" customFormat="false" ht="15" hidden="false" customHeight="false" outlineLevel="0" collapsed="false">
      <c r="A3531" s="15" t="n">
        <v>46169</v>
      </c>
      <c r="B3531" s="14" t="s">
        <v>88</v>
      </c>
      <c r="C3531" s="14" t="s">
        <v>89</v>
      </c>
      <c r="D3531" s="14" t="s">
        <v>44</v>
      </c>
      <c r="E3531" s="14" t="s">
        <v>45</v>
      </c>
      <c r="F3531" s="14" t="s">
        <v>48</v>
      </c>
      <c r="G3531" s="14" t="s">
        <v>49</v>
      </c>
      <c r="H3531" s="0" t="n">
        <v>4</v>
      </c>
      <c r="I3531" s="16" t="n">
        <v>62.92</v>
      </c>
      <c r="J3531" s="16" t="n">
        <v>27.5</v>
      </c>
      <c r="K3531" s="16" t="n">
        <f aca="false">H3531*I3531</f>
        <v>251.68</v>
      </c>
      <c r="L3531" s="16" t="n">
        <f aca="false">H3531*J3531</f>
        <v>110</v>
      </c>
      <c r="M3531" s="16" t="n">
        <f aca="false">K3531-L3531</f>
        <v>141.68</v>
      </c>
      <c r="N3531" s="17" t="n">
        <f aca="false">IFERROR(M3531/K3531,0)</f>
        <v>0.562937062937063</v>
      </c>
    </row>
    <row r="3532" customFormat="false" ht="15" hidden="false" customHeight="false" outlineLevel="0" collapsed="false">
      <c r="A3532" s="15" t="n">
        <v>46169</v>
      </c>
      <c r="B3532" s="14" t="s">
        <v>88</v>
      </c>
      <c r="C3532" s="14" t="s">
        <v>89</v>
      </c>
      <c r="D3532" s="14" t="s">
        <v>44</v>
      </c>
      <c r="E3532" s="14" t="s">
        <v>76</v>
      </c>
      <c r="F3532" s="14" t="s">
        <v>77</v>
      </c>
      <c r="G3532" s="14" t="s">
        <v>78</v>
      </c>
      <c r="H3532" s="0" t="n">
        <v>2</v>
      </c>
      <c r="I3532" s="16" t="n">
        <v>41.21</v>
      </c>
      <c r="J3532" s="16" t="n">
        <v>15</v>
      </c>
      <c r="K3532" s="16" t="n">
        <f aca="false">H3532*I3532</f>
        <v>82.42</v>
      </c>
      <c r="L3532" s="16" t="n">
        <f aca="false">H3532*J3532</f>
        <v>30</v>
      </c>
      <c r="M3532" s="16" t="n">
        <f aca="false">K3532-L3532</f>
        <v>52.42</v>
      </c>
      <c r="N3532" s="17" t="n">
        <f aca="false">IFERROR(M3532/K3532,0)</f>
        <v>0.636010677020141</v>
      </c>
    </row>
    <row r="3533" customFormat="false" ht="15" hidden="false" customHeight="false" outlineLevel="0" collapsed="false">
      <c r="A3533" s="15" t="n">
        <v>46170</v>
      </c>
      <c r="B3533" s="14" t="s">
        <v>42</v>
      </c>
      <c r="C3533" s="14" t="s">
        <v>43</v>
      </c>
      <c r="D3533" s="14" t="s">
        <v>44</v>
      </c>
      <c r="E3533" s="14" t="s">
        <v>45</v>
      </c>
      <c r="F3533" s="14" t="s">
        <v>72</v>
      </c>
      <c r="G3533" s="14" t="s">
        <v>73</v>
      </c>
      <c r="H3533" s="0" t="n">
        <v>3</v>
      </c>
      <c r="I3533" s="16" t="n">
        <v>49.84</v>
      </c>
      <c r="J3533" s="16" t="n">
        <v>21</v>
      </c>
      <c r="K3533" s="16" t="n">
        <f aca="false">H3533*I3533</f>
        <v>149.52</v>
      </c>
      <c r="L3533" s="16" t="n">
        <f aca="false">H3533*J3533</f>
        <v>63</v>
      </c>
      <c r="M3533" s="16" t="n">
        <f aca="false">K3533-L3533</f>
        <v>86.52</v>
      </c>
      <c r="N3533" s="17" t="n">
        <f aca="false">IFERROR(M3533/K3533,0)</f>
        <v>0.578651685393259</v>
      </c>
    </row>
    <row r="3534" customFormat="false" ht="15" hidden="false" customHeight="false" outlineLevel="0" collapsed="false">
      <c r="A3534" s="15" t="n">
        <v>46170</v>
      </c>
      <c r="B3534" s="14" t="s">
        <v>42</v>
      </c>
      <c r="C3534" s="14" t="s">
        <v>43</v>
      </c>
      <c r="D3534" s="14" t="s">
        <v>44</v>
      </c>
      <c r="E3534" s="14" t="s">
        <v>56</v>
      </c>
      <c r="F3534" s="14" t="s">
        <v>67</v>
      </c>
      <c r="G3534" s="14" t="s">
        <v>68</v>
      </c>
      <c r="H3534" s="0" t="n">
        <v>3</v>
      </c>
      <c r="I3534" s="16" t="n">
        <v>36.04</v>
      </c>
      <c r="J3534" s="16" t="n">
        <v>15</v>
      </c>
      <c r="K3534" s="16" t="n">
        <f aca="false">H3534*I3534</f>
        <v>108.12</v>
      </c>
      <c r="L3534" s="16" t="n">
        <f aca="false">H3534*J3534</f>
        <v>45</v>
      </c>
      <c r="M3534" s="16" t="n">
        <f aca="false">K3534-L3534</f>
        <v>63.12</v>
      </c>
      <c r="N3534" s="17" t="n">
        <f aca="false">IFERROR(M3534/K3534,0)</f>
        <v>0.583795782463929</v>
      </c>
    </row>
    <row r="3535" customFormat="false" ht="15" hidden="false" customHeight="false" outlineLevel="0" collapsed="false">
      <c r="A3535" s="15" t="n">
        <v>46170</v>
      </c>
      <c r="B3535" s="14" t="s">
        <v>42</v>
      </c>
      <c r="C3535" s="14" t="s">
        <v>43</v>
      </c>
      <c r="D3535" s="14" t="s">
        <v>44</v>
      </c>
      <c r="E3535" s="14" t="s">
        <v>45</v>
      </c>
      <c r="F3535" s="14" t="s">
        <v>46</v>
      </c>
      <c r="G3535" s="14" t="s">
        <v>47</v>
      </c>
      <c r="H3535" s="0" t="n">
        <v>4</v>
      </c>
      <c r="I3535" s="16" t="n">
        <v>42.8</v>
      </c>
      <c r="J3535" s="16" t="n">
        <v>18</v>
      </c>
      <c r="K3535" s="16" t="n">
        <f aca="false">H3535*I3535</f>
        <v>171.2</v>
      </c>
      <c r="L3535" s="16" t="n">
        <f aca="false">H3535*J3535</f>
        <v>72</v>
      </c>
      <c r="M3535" s="16" t="n">
        <f aca="false">K3535-L3535</f>
        <v>99.2</v>
      </c>
      <c r="N3535" s="17" t="n">
        <f aca="false">IFERROR(M3535/K3535,0)</f>
        <v>0.579439252336449</v>
      </c>
    </row>
    <row r="3536" customFormat="false" ht="15" hidden="false" customHeight="false" outlineLevel="0" collapsed="false">
      <c r="A3536" s="15" t="n">
        <v>46170</v>
      </c>
      <c r="B3536" s="14" t="s">
        <v>42</v>
      </c>
      <c r="C3536" s="14" t="s">
        <v>43</v>
      </c>
      <c r="D3536" s="14" t="s">
        <v>44</v>
      </c>
      <c r="E3536" s="14" t="s">
        <v>53</v>
      </c>
      <c r="F3536" s="14" t="s">
        <v>92</v>
      </c>
      <c r="G3536" s="14" t="s">
        <v>93</v>
      </c>
      <c r="H3536" s="0" t="n">
        <v>2</v>
      </c>
      <c r="I3536" s="16" t="n">
        <v>119.14</v>
      </c>
      <c r="J3536" s="16" t="n">
        <v>52</v>
      </c>
      <c r="K3536" s="16" t="n">
        <f aca="false">H3536*I3536</f>
        <v>238.28</v>
      </c>
      <c r="L3536" s="16" t="n">
        <f aca="false">H3536*J3536</f>
        <v>104</v>
      </c>
      <c r="M3536" s="16" t="n">
        <f aca="false">K3536-L3536</f>
        <v>134.28</v>
      </c>
      <c r="N3536" s="17" t="n">
        <f aca="false">IFERROR(M3536/K3536,0)</f>
        <v>0.563538693973477</v>
      </c>
    </row>
    <row r="3537" customFormat="false" ht="15" hidden="false" customHeight="false" outlineLevel="0" collapsed="false">
      <c r="A3537" s="15" t="n">
        <v>46170</v>
      </c>
      <c r="B3537" s="14" t="s">
        <v>50</v>
      </c>
      <c r="C3537" s="14" t="s">
        <v>51</v>
      </c>
      <c r="D3537" s="14" t="s">
        <v>52</v>
      </c>
      <c r="E3537" s="14" t="s">
        <v>45</v>
      </c>
      <c r="F3537" s="14" t="s">
        <v>48</v>
      </c>
      <c r="G3537" s="14" t="s">
        <v>49</v>
      </c>
      <c r="H3537" s="0" t="n">
        <v>3</v>
      </c>
      <c r="I3537" s="16" t="n">
        <v>63.35</v>
      </c>
      <c r="J3537" s="16" t="n">
        <v>27.5</v>
      </c>
      <c r="K3537" s="16" t="n">
        <f aca="false">H3537*I3537</f>
        <v>190.05</v>
      </c>
      <c r="L3537" s="16" t="n">
        <f aca="false">H3537*J3537</f>
        <v>82.5</v>
      </c>
      <c r="M3537" s="16" t="n">
        <f aca="false">K3537-L3537</f>
        <v>107.55</v>
      </c>
      <c r="N3537" s="17" t="n">
        <f aca="false">IFERROR(M3537/K3537,0)</f>
        <v>0.565903709550118</v>
      </c>
    </row>
    <row r="3538" customFormat="false" ht="15" hidden="false" customHeight="false" outlineLevel="0" collapsed="false">
      <c r="A3538" s="15" t="n">
        <v>46170</v>
      </c>
      <c r="B3538" s="14" t="s">
        <v>50</v>
      </c>
      <c r="C3538" s="14" t="s">
        <v>51</v>
      </c>
      <c r="D3538" s="14" t="s">
        <v>52</v>
      </c>
      <c r="E3538" s="14" t="s">
        <v>53</v>
      </c>
      <c r="F3538" s="14" t="s">
        <v>54</v>
      </c>
      <c r="G3538" s="14" t="s">
        <v>55</v>
      </c>
      <c r="H3538" s="0" t="n">
        <v>12</v>
      </c>
      <c r="I3538" s="16" t="n">
        <v>54.96</v>
      </c>
      <c r="J3538" s="16" t="n">
        <v>22</v>
      </c>
      <c r="K3538" s="16" t="n">
        <f aca="false">H3538*I3538</f>
        <v>659.52</v>
      </c>
      <c r="L3538" s="16" t="n">
        <f aca="false">H3538*J3538</f>
        <v>264</v>
      </c>
      <c r="M3538" s="16" t="n">
        <f aca="false">K3538-L3538</f>
        <v>395.52</v>
      </c>
      <c r="N3538" s="17" t="n">
        <f aca="false">IFERROR(M3538/K3538,0)</f>
        <v>0.599708879184862</v>
      </c>
    </row>
    <row r="3539" customFormat="false" ht="15" hidden="false" customHeight="false" outlineLevel="0" collapsed="false">
      <c r="A3539" s="15" t="n">
        <v>46170</v>
      </c>
      <c r="B3539" s="14" t="s">
        <v>50</v>
      </c>
      <c r="C3539" s="14" t="s">
        <v>51</v>
      </c>
      <c r="D3539" s="14" t="s">
        <v>52</v>
      </c>
      <c r="E3539" s="14" t="s">
        <v>76</v>
      </c>
      <c r="F3539" s="14" t="s">
        <v>79</v>
      </c>
      <c r="G3539" s="14" t="s">
        <v>80</v>
      </c>
      <c r="H3539" s="0" t="n">
        <v>8</v>
      </c>
      <c r="I3539" s="16" t="n">
        <v>29.65</v>
      </c>
      <c r="J3539" s="16" t="n">
        <v>11</v>
      </c>
      <c r="K3539" s="16" t="n">
        <f aca="false">H3539*I3539</f>
        <v>237.2</v>
      </c>
      <c r="L3539" s="16" t="n">
        <f aca="false">H3539*J3539</f>
        <v>88</v>
      </c>
      <c r="M3539" s="16" t="n">
        <f aca="false">K3539-L3539</f>
        <v>149.2</v>
      </c>
      <c r="N3539" s="17" t="n">
        <f aca="false">IFERROR(M3539/K3539,0)</f>
        <v>0.629005059021922</v>
      </c>
    </row>
    <row r="3540" customFormat="false" ht="15" hidden="false" customHeight="false" outlineLevel="0" collapsed="false">
      <c r="A3540" s="15" t="n">
        <v>46170</v>
      </c>
      <c r="B3540" s="14" t="s">
        <v>50</v>
      </c>
      <c r="C3540" s="14" t="s">
        <v>51</v>
      </c>
      <c r="D3540" s="14" t="s">
        <v>52</v>
      </c>
      <c r="E3540" s="14" t="s">
        <v>64</v>
      </c>
      <c r="F3540" s="14" t="s">
        <v>65</v>
      </c>
      <c r="G3540" s="14" t="s">
        <v>66</v>
      </c>
      <c r="H3540" s="0" t="n">
        <v>8</v>
      </c>
      <c r="I3540" s="16" t="n">
        <v>74.02</v>
      </c>
      <c r="J3540" s="16" t="n">
        <v>34</v>
      </c>
      <c r="K3540" s="16" t="n">
        <f aca="false">H3540*I3540</f>
        <v>592.16</v>
      </c>
      <c r="L3540" s="16" t="n">
        <f aca="false">H3540*J3540</f>
        <v>272</v>
      </c>
      <c r="M3540" s="16" t="n">
        <f aca="false">K3540-L3540</f>
        <v>320.16</v>
      </c>
      <c r="N3540" s="17" t="n">
        <f aca="false">IFERROR(M3540/K3540,0)</f>
        <v>0.540664685220211</v>
      </c>
    </row>
    <row r="3541" customFormat="false" ht="15" hidden="false" customHeight="false" outlineLevel="0" collapsed="false">
      <c r="A3541" s="15" t="n">
        <v>46170</v>
      </c>
      <c r="B3541" s="14" t="s">
        <v>50</v>
      </c>
      <c r="C3541" s="14" t="s">
        <v>51</v>
      </c>
      <c r="D3541" s="14" t="s">
        <v>52</v>
      </c>
      <c r="E3541" s="14" t="s">
        <v>53</v>
      </c>
      <c r="F3541" s="14" t="s">
        <v>84</v>
      </c>
      <c r="G3541" s="14" t="s">
        <v>85</v>
      </c>
      <c r="H3541" s="0" t="n">
        <v>3</v>
      </c>
      <c r="I3541" s="16" t="n">
        <v>24.95</v>
      </c>
      <c r="J3541" s="16" t="n">
        <v>9</v>
      </c>
      <c r="K3541" s="16" t="n">
        <f aca="false">H3541*I3541</f>
        <v>74.85</v>
      </c>
      <c r="L3541" s="16" t="n">
        <f aca="false">H3541*J3541</f>
        <v>27</v>
      </c>
      <c r="M3541" s="16" t="n">
        <f aca="false">K3541-L3541</f>
        <v>47.85</v>
      </c>
      <c r="N3541" s="17" t="n">
        <f aca="false">IFERROR(M3541/K3541,0)</f>
        <v>0.639278557114228</v>
      </c>
    </row>
    <row r="3542" customFormat="false" ht="15" hidden="false" customHeight="false" outlineLevel="0" collapsed="false">
      <c r="A3542" s="15" t="n">
        <v>46170</v>
      </c>
      <c r="B3542" s="14" t="s">
        <v>50</v>
      </c>
      <c r="C3542" s="14" t="s">
        <v>51</v>
      </c>
      <c r="D3542" s="14" t="s">
        <v>52</v>
      </c>
      <c r="E3542" s="14" t="s">
        <v>53</v>
      </c>
      <c r="F3542" s="14" t="s">
        <v>84</v>
      </c>
      <c r="G3542" s="14" t="s">
        <v>85</v>
      </c>
      <c r="H3542" s="0" t="n">
        <v>12</v>
      </c>
      <c r="I3542" s="16" t="n">
        <v>23.77</v>
      </c>
      <c r="J3542" s="16" t="n">
        <v>9</v>
      </c>
      <c r="K3542" s="16" t="n">
        <f aca="false">H3542*I3542</f>
        <v>285.24</v>
      </c>
      <c r="L3542" s="16" t="n">
        <f aca="false">H3542*J3542</f>
        <v>108</v>
      </c>
      <c r="M3542" s="16" t="n">
        <f aca="false">K3542-L3542</f>
        <v>177.24</v>
      </c>
      <c r="N3542" s="17" t="n">
        <f aca="false">IFERROR(M3542/K3542,0)</f>
        <v>0.621371476651241</v>
      </c>
    </row>
    <row r="3543" customFormat="false" ht="15" hidden="false" customHeight="false" outlineLevel="0" collapsed="false">
      <c r="A3543" s="15" t="n">
        <v>46170</v>
      </c>
      <c r="B3543" s="14" t="s">
        <v>59</v>
      </c>
      <c r="C3543" s="14" t="s">
        <v>60</v>
      </c>
      <c r="D3543" s="14" t="s">
        <v>61</v>
      </c>
      <c r="E3543" s="14" t="s">
        <v>53</v>
      </c>
      <c r="F3543" s="14" t="s">
        <v>74</v>
      </c>
      <c r="G3543" s="14" t="s">
        <v>75</v>
      </c>
      <c r="H3543" s="0" t="n">
        <v>1</v>
      </c>
      <c r="I3543" s="16" t="n">
        <v>85.1</v>
      </c>
      <c r="J3543" s="16" t="n">
        <v>38</v>
      </c>
      <c r="K3543" s="16" t="n">
        <f aca="false">H3543*I3543</f>
        <v>85.1</v>
      </c>
      <c r="L3543" s="16" t="n">
        <f aca="false">H3543*J3543</f>
        <v>38</v>
      </c>
      <c r="M3543" s="16" t="n">
        <f aca="false">K3543-L3543</f>
        <v>47.1</v>
      </c>
      <c r="N3543" s="17" t="n">
        <f aca="false">IFERROR(M3543/K3543,0)</f>
        <v>0.553466509988249</v>
      </c>
    </row>
    <row r="3544" customFormat="false" ht="15" hidden="false" customHeight="false" outlineLevel="0" collapsed="false">
      <c r="A3544" s="15" t="n">
        <v>46170</v>
      </c>
      <c r="B3544" s="14" t="s">
        <v>59</v>
      </c>
      <c r="C3544" s="14" t="s">
        <v>60</v>
      </c>
      <c r="D3544" s="14" t="s">
        <v>61</v>
      </c>
      <c r="E3544" s="14" t="s">
        <v>45</v>
      </c>
      <c r="F3544" s="14" t="s">
        <v>46</v>
      </c>
      <c r="G3544" s="14" t="s">
        <v>47</v>
      </c>
      <c r="H3544" s="0" t="n">
        <v>1</v>
      </c>
      <c r="I3544" s="16" t="n">
        <v>44.96</v>
      </c>
      <c r="J3544" s="16" t="n">
        <v>18</v>
      </c>
      <c r="K3544" s="16" t="n">
        <f aca="false">H3544*I3544</f>
        <v>44.96</v>
      </c>
      <c r="L3544" s="16" t="n">
        <f aca="false">H3544*J3544</f>
        <v>18</v>
      </c>
      <c r="M3544" s="16" t="n">
        <f aca="false">K3544-L3544</f>
        <v>26.96</v>
      </c>
      <c r="N3544" s="17" t="n">
        <f aca="false">IFERROR(M3544/K3544,0)</f>
        <v>0.599644128113879</v>
      </c>
    </row>
    <row r="3545" customFormat="false" ht="15" hidden="false" customHeight="false" outlineLevel="0" collapsed="false">
      <c r="A3545" s="15" t="n">
        <v>46170</v>
      </c>
      <c r="B3545" s="14" t="s">
        <v>59</v>
      </c>
      <c r="C3545" s="14" t="s">
        <v>60</v>
      </c>
      <c r="D3545" s="14" t="s">
        <v>61</v>
      </c>
      <c r="E3545" s="14" t="s">
        <v>76</v>
      </c>
      <c r="F3545" s="14" t="s">
        <v>102</v>
      </c>
      <c r="G3545" s="14" t="s">
        <v>103</v>
      </c>
      <c r="H3545" s="0" t="n">
        <v>7</v>
      </c>
      <c r="I3545" s="16" t="n">
        <v>23.52</v>
      </c>
      <c r="J3545" s="16" t="n">
        <v>8.5</v>
      </c>
      <c r="K3545" s="16" t="n">
        <f aca="false">H3545*I3545</f>
        <v>164.64</v>
      </c>
      <c r="L3545" s="16" t="n">
        <f aca="false">H3545*J3545</f>
        <v>59.5</v>
      </c>
      <c r="M3545" s="16" t="n">
        <f aca="false">K3545-L3545</f>
        <v>105.14</v>
      </c>
      <c r="N3545" s="17" t="n">
        <f aca="false">IFERROR(M3545/K3545,0)</f>
        <v>0.638605442176871</v>
      </c>
    </row>
    <row r="3546" customFormat="false" ht="15" hidden="false" customHeight="false" outlineLevel="0" collapsed="false">
      <c r="A3546" s="15" t="n">
        <v>46170</v>
      </c>
      <c r="B3546" s="14" t="s">
        <v>59</v>
      </c>
      <c r="C3546" s="14" t="s">
        <v>60</v>
      </c>
      <c r="D3546" s="14" t="s">
        <v>61</v>
      </c>
      <c r="E3546" s="14" t="s">
        <v>45</v>
      </c>
      <c r="F3546" s="14" t="s">
        <v>46</v>
      </c>
      <c r="G3546" s="14" t="s">
        <v>47</v>
      </c>
      <c r="H3546" s="0" t="n">
        <v>7</v>
      </c>
      <c r="I3546" s="16" t="n">
        <v>41.71</v>
      </c>
      <c r="J3546" s="16" t="n">
        <v>18</v>
      </c>
      <c r="K3546" s="16" t="n">
        <f aca="false">H3546*I3546</f>
        <v>291.97</v>
      </c>
      <c r="L3546" s="16" t="n">
        <f aca="false">H3546*J3546</f>
        <v>126</v>
      </c>
      <c r="M3546" s="16" t="n">
        <f aca="false">K3546-L3546</f>
        <v>165.97</v>
      </c>
      <c r="N3546" s="17" t="n">
        <f aca="false">IFERROR(M3546/K3546,0)</f>
        <v>0.568448813234237</v>
      </c>
    </row>
    <row r="3547" customFormat="false" ht="15" hidden="false" customHeight="false" outlineLevel="0" collapsed="false">
      <c r="A3547" s="15" t="n">
        <v>46170</v>
      </c>
      <c r="B3547" s="14" t="s">
        <v>69</v>
      </c>
      <c r="C3547" s="14" t="s">
        <v>70</v>
      </c>
      <c r="D3547" s="14" t="s">
        <v>71</v>
      </c>
      <c r="E3547" s="14" t="s">
        <v>56</v>
      </c>
      <c r="F3547" s="14" t="s">
        <v>98</v>
      </c>
      <c r="G3547" s="14" t="s">
        <v>99</v>
      </c>
      <c r="H3547" s="0" t="n">
        <v>3</v>
      </c>
      <c r="I3547" s="16" t="n">
        <v>21.07</v>
      </c>
      <c r="J3547" s="16" t="n">
        <v>8</v>
      </c>
      <c r="K3547" s="16" t="n">
        <f aca="false">H3547*I3547</f>
        <v>63.21</v>
      </c>
      <c r="L3547" s="16" t="n">
        <f aca="false">H3547*J3547</f>
        <v>24</v>
      </c>
      <c r="M3547" s="16" t="n">
        <f aca="false">K3547-L3547</f>
        <v>39.21</v>
      </c>
      <c r="N3547" s="17" t="n">
        <f aca="false">IFERROR(M3547/K3547,0)</f>
        <v>0.6203132415757</v>
      </c>
    </row>
    <row r="3548" customFormat="false" ht="15" hidden="false" customHeight="false" outlineLevel="0" collapsed="false">
      <c r="A3548" s="15" t="n">
        <v>46170</v>
      </c>
      <c r="B3548" s="14" t="s">
        <v>69</v>
      </c>
      <c r="C3548" s="14" t="s">
        <v>70</v>
      </c>
      <c r="D3548" s="14" t="s">
        <v>71</v>
      </c>
      <c r="E3548" s="14" t="s">
        <v>56</v>
      </c>
      <c r="F3548" s="14" t="s">
        <v>67</v>
      </c>
      <c r="G3548" s="14" t="s">
        <v>68</v>
      </c>
      <c r="H3548" s="0" t="n">
        <v>2</v>
      </c>
      <c r="I3548" s="16" t="n">
        <v>36.86</v>
      </c>
      <c r="J3548" s="16" t="n">
        <v>15</v>
      </c>
      <c r="K3548" s="16" t="n">
        <f aca="false">H3548*I3548</f>
        <v>73.72</v>
      </c>
      <c r="L3548" s="16" t="n">
        <f aca="false">H3548*J3548</f>
        <v>30</v>
      </c>
      <c r="M3548" s="16" t="n">
        <f aca="false">K3548-L3548</f>
        <v>43.72</v>
      </c>
      <c r="N3548" s="17" t="n">
        <f aca="false">IFERROR(M3548/K3548,0)</f>
        <v>0.593054801953337</v>
      </c>
    </row>
    <row r="3549" customFormat="false" ht="15" hidden="false" customHeight="false" outlineLevel="0" collapsed="false">
      <c r="A3549" s="15" t="n">
        <v>46170</v>
      </c>
      <c r="B3549" s="14" t="s">
        <v>81</v>
      </c>
      <c r="C3549" s="14" t="s">
        <v>82</v>
      </c>
      <c r="D3549" s="14" t="s">
        <v>83</v>
      </c>
      <c r="E3549" s="14" t="s">
        <v>76</v>
      </c>
      <c r="F3549" s="14" t="s">
        <v>77</v>
      </c>
      <c r="G3549" s="14" t="s">
        <v>78</v>
      </c>
      <c r="H3549" s="0" t="n">
        <v>4</v>
      </c>
      <c r="I3549" s="16" t="n">
        <v>40.44</v>
      </c>
      <c r="J3549" s="16" t="n">
        <v>15</v>
      </c>
      <c r="K3549" s="16" t="n">
        <f aca="false">H3549*I3549</f>
        <v>161.76</v>
      </c>
      <c r="L3549" s="16" t="n">
        <f aca="false">H3549*J3549</f>
        <v>60</v>
      </c>
      <c r="M3549" s="16" t="n">
        <f aca="false">K3549-L3549</f>
        <v>101.76</v>
      </c>
      <c r="N3549" s="17" t="n">
        <f aca="false">IFERROR(M3549/K3549,0)</f>
        <v>0.629080118694362</v>
      </c>
    </row>
    <row r="3550" customFormat="false" ht="15" hidden="false" customHeight="false" outlineLevel="0" collapsed="false">
      <c r="A3550" s="15" t="n">
        <v>46170</v>
      </c>
      <c r="B3550" s="14" t="s">
        <v>81</v>
      </c>
      <c r="C3550" s="14" t="s">
        <v>82</v>
      </c>
      <c r="D3550" s="14" t="s">
        <v>83</v>
      </c>
      <c r="E3550" s="14" t="s">
        <v>64</v>
      </c>
      <c r="F3550" s="14" t="s">
        <v>94</v>
      </c>
      <c r="G3550" s="14" t="s">
        <v>95</v>
      </c>
      <c r="H3550" s="0" t="n">
        <v>1</v>
      </c>
      <c r="I3550" s="16" t="n">
        <v>97.88</v>
      </c>
      <c r="J3550" s="16" t="n">
        <v>42</v>
      </c>
      <c r="K3550" s="16" t="n">
        <f aca="false">H3550*I3550</f>
        <v>97.88</v>
      </c>
      <c r="L3550" s="16" t="n">
        <f aca="false">H3550*J3550</f>
        <v>42</v>
      </c>
      <c r="M3550" s="16" t="n">
        <f aca="false">K3550-L3550</f>
        <v>55.88</v>
      </c>
      <c r="N3550" s="17" t="n">
        <f aca="false">IFERROR(M3550/K3550,0)</f>
        <v>0.570903146710257</v>
      </c>
    </row>
    <row r="3551" customFormat="false" ht="15" hidden="false" customHeight="false" outlineLevel="0" collapsed="false">
      <c r="A3551" s="15" t="n">
        <v>46170</v>
      </c>
      <c r="B3551" s="14" t="s">
        <v>88</v>
      </c>
      <c r="C3551" s="14" t="s">
        <v>89</v>
      </c>
      <c r="D3551" s="14" t="s">
        <v>44</v>
      </c>
      <c r="E3551" s="14" t="s">
        <v>76</v>
      </c>
      <c r="F3551" s="14" t="s">
        <v>77</v>
      </c>
      <c r="G3551" s="14" t="s">
        <v>78</v>
      </c>
      <c r="H3551" s="0" t="n">
        <v>6</v>
      </c>
      <c r="I3551" s="16" t="n">
        <v>41.38</v>
      </c>
      <c r="J3551" s="16" t="n">
        <v>15</v>
      </c>
      <c r="K3551" s="16" t="n">
        <f aca="false">H3551*I3551</f>
        <v>248.28</v>
      </c>
      <c r="L3551" s="16" t="n">
        <f aca="false">H3551*J3551</f>
        <v>90</v>
      </c>
      <c r="M3551" s="16" t="n">
        <f aca="false">K3551-L3551</f>
        <v>158.28</v>
      </c>
      <c r="N3551" s="17" t="n">
        <f aca="false">IFERROR(M3551/K3551,0)</f>
        <v>0.637506041565974</v>
      </c>
    </row>
    <row r="3552" customFormat="false" ht="15" hidden="false" customHeight="false" outlineLevel="0" collapsed="false">
      <c r="A3552" s="15" t="n">
        <v>46170</v>
      </c>
      <c r="B3552" s="14" t="s">
        <v>88</v>
      </c>
      <c r="C3552" s="14" t="s">
        <v>89</v>
      </c>
      <c r="D3552" s="14" t="s">
        <v>44</v>
      </c>
      <c r="E3552" s="14" t="s">
        <v>53</v>
      </c>
      <c r="F3552" s="14" t="s">
        <v>92</v>
      </c>
      <c r="G3552" s="14" t="s">
        <v>93</v>
      </c>
      <c r="H3552" s="0" t="n">
        <v>8</v>
      </c>
      <c r="I3552" s="16" t="n">
        <v>118.56</v>
      </c>
      <c r="J3552" s="16" t="n">
        <v>52</v>
      </c>
      <c r="K3552" s="16" t="n">
        <f aca="false">H3552*I3552</f>
        <v>948.48</v>
      </c>
      <c r="L3552" s="16" t="n">
        <f aca="false">H3552*J3552</f>
        <v>416</v>
      </c>
      <c r="M3552" s="16" t="n">
        <f aca="false">K3552-L3552</f>
        <v>532.48</v>
      </c>
      <c r="N3552" s="17" t="n">
        <f aca="false">IFERROR(M3552/K3552,0)</f>
        <v>0.56140350877193</v>
      </c>
    </row>
    <row r="3553" customFormat="false" ht="15" hidden="false" customHeight="false" outlineLevel="0" collapsed="false">
      <c r="A3553" s="15" t="n">
        <v>46171</v>
      </c>
      <c r="B3553" s="14" t="s">
        <v>42</v>
      </c>
      <c r="C3553" s="14" t="s">
        <v>43</v>
      </c>
      <c r="D3553" s="14" t="s">
        <v>44</v>
      </c>
      <c r="E3553" s="14" t="s">
        <v>56</v>
      </c>
      <c r="F3553" s="14" t="s">
        <v>67</v>
      </c>
      <c r="G3553" s="14" t="s">
        <v>68</v>
      </c>
      <c r="H3553" s="0" t="n">
        <v>3</v>
      </c>
      <c r="I3553" s="16" t="n">
        <v>36.47</v>
      </c>
      <c r="J3553" s="16" t="n">
        <v>15</v>
      </c>
      <c r="K3553" s="16" t="n">
        <f aca="false">H3553*I3553</f>
        <v>109.41</v>
      </c>
      <c r="L3553" s="16" t="n">
        <f aca="false">H3553*J3553</f>
        <v>45</v>
      </c>
      <c r="M3553" s="16" t="n">
        <f aca="false">K3553-L3553</f>
        <v>64.41</v>
      </c>
      <c r="N3553" s="17" t="n">
        <f aca="false">IFERROR(M3553/K3553,0)</f>
        <v>0.588703043597477</v>
      </c>
    </row>
    <row r="3554" customFormat="false" ht="15" hidden="false" customHeight="false" outlineLevel="0" collapsed="false">
      <c r="A3554" s="15" t="n">
        <v>46171</v>
      </c>
      <c r="B3554" s="14" t="s">
        <v>42</v>
      </c>
      <c r="C3554" s="14" t="s">
        <v>43</v>
      </c>
      <c r="D3554" s="14" t="s">
        <v>44</v>
      </c>
      <c r="E3554" s="14" t="s">
        <v>76</v>
      </c>
      <c r="F3554" s="14" t="s">
        <v>100</v>
      </c>
      <c r="G3554" s="14" t="s">
        <v>101</v>
      </c>
      <c r="H3554" s="0" t="n">
        <v>1</v>
      </c>
      <c r="I3554" s="16" t="n">
        <v>14.75</v>
      </c>
      <c r="J3554" s="16" t="n">
        <v>5.5</v>
      </c>
      <c r="K3554" s="16" t="n">
        <f aca="false">H3554*I3554</f>
        <v>14.75</v>
      </c>
      <c r="L3554" s="16" t="n">
        <f aca="false">H3554*J3554</f>
        <v>5.5</v>
      </c>
      <c r="M3554" s="16" t="n">
        <f aca="false">K3554-L3554</f>
        <v>9.25</v>
      </c>
      <c r="N3554" s="17" t="n">
        <f aca="false">IFERROR(M3554/K3554,0)</f>
        <v>0.627118644067797</v>
      </c>
    </row>
    <row r="3555" customFormat="false" ht="15" hidden="false" customHeight="false" outlineLevel="0" collapsed="false">
      <c r="A3555" s="15" t="n">
        <v>46171</v>
      </c>
      <c r="B3555" s="14" t="s">
        <v>50</v>
      </c>
      <c r="C3555" s="14" t="s">
        <v>51</v>
      </c>
      <c r="D3555" s="14" t="s">
        <v>52</v>
      </c>
      <c r="E3555" s="14" t="s">
        <v>76</v>
      </c>
      <c r="F3555" s="14" t="s">
        <v>77</v>
      </c>
      <c r="G3555" s="14" t="s">
        <v>78</v>
      </c>
      <c r="H3555" s="0" t="n">
        <v>3</v>
      </c>
      <c r="I3555" s="16" t="n">
        <v>41.56</v>
      </c>
      <c r="J3555" s="16" t="n">
        <v>15</v>
      </c>
      <c r="K3555" s="16" t="n">
        <f aca="false">H3555*I3555</f>
        <v>124.68</v>
      </c>
      <c r="L3555" s="16" t="n">
        <f aca="false">H3555*J3555</f>
        <v>45</v>
      </c>
      <c r="M3555" s="16" t="n">
        <f aca="false">K3555-L3555</f>
        <v>79.68</v>
      </c>
      <c r="N3555" s="17" t="n">
        <f aca="false">IFERROR(M3555/K3555,0)</f>
        <v>0.639076034648701</v>
      </c>
    </row>
    <row r="3556" customFormat="false" ht="15" hidden="false" customHeight="false" outlineLevel="0" collapsed="false">
      <c r="A3556" s="15" t="n">
        <v>46171</v>
      </c>
      <c r="B3556" s="14" t="s">
        <v>50</v>
      </c>
      <c r="C3556" s="14" t="s">
        <v>51</v>
      </c>
      <c r="D3556" s="14" t="s">
        <v>52</v>
      </c>
      <c r="E3556" s="14" t="s">
        <v>56</v>
      </c>
      <c r="F3556" s="14" t="s">
        <v>98</v>
      </c>
      <c r="G3556" s="14" t="s">
        <v>99</v>
      </c>
      <c r="H3556" s="0" t="n">
        <v>7</v>
      </c>
      <c r="I3556" s="16" t="n">
        <v>20.44</v>
      </c>
      <c r="J3556" s="16" t="n">
        <v>8</v>
      </c>
      <c r="K3556" s="16" t="n">
        <f aca="false">H3556*I3556</f>
        <v>143.08</v>
      </c>
      <c r="L3556" s="16" t="n">
        <f aca="false">H3556*J3556</f>
        <v>56</v>
      </c>
      <c r="M3556" s="16" t="n">
        <f aca="false">K3556-L3556</f>
        <v>87.08</v>
      </c>
      <c r="N3556" s="17" t="n">
        <f aca="false">IFERROR(M3556/K3556,0)</f>
        <v>0.608610567514677</v>
      </c>
    </row>
    <row r="3557" customFormat="false" ht="15" hidden="false" customHeight="false" outlineLevel="0" collapsed="false">
      <c r="A3557" s="15" t="n">
        <v>46171</v>
      </c>
      <c r="B3557" s="14" t="s">
        <v>50</v>
      </c>
      <c r="C3557" s="14" t="s">
        <v>51</v>
      </c>
      <c r="D3557" s="14" t="s">
        <v>52</v>
      </c>
      <c r="E3557" s="14" t="s">
        <v>76</v>
      </c>
      <c r="F3557" s="14" t="s">
        <v>102</v>
      </c>
      <c r="G3557" s="14" t="s">
        <v>103</v>
      </c>
      <c r="H3557" s="0" t="n">
        <v>8</v>
      </c>
      <c r="I3557" s="16" t="n">
        <v>23.79</v>
      </c>
      <c r="J3557" s="16" t="n">
        <v>8.5</v>
      </c>
      <c r="K3557" s="16" t="n">
        <f aca="false">H3557*I3557</f>
        <v>190.32</v>
      </c>
      <c r="L3557" s="16" t="n">
        <f aca="false">H3557*J3557</f>
        <v>68</v>
      </c>
      <c r="M3557" s="16" t="n">
        <f aca="false">K3557-L3557</f>
        <v>122.32</v>
      </c>
      <c r="N3557" s="17" t="n">
        <f aca="false">IFERROR(M3557/K3557,0)</f>
        <v>0.6427070197562</v>
      </c>
    </row>
    <row r="3558" customFormat="false" ht="15" hidden="false" customHeight="false" outlineLevel="0" collapsed="false">
      <c r="A3558" s="15" t="n">
        <v>46171</v>
      </c>
      <c r="B3558" s="14" t="s">
        <v>50</v>
      </c>
      <c r="C3558" s="14" t="s">
        <v>51</v>
      </c>
      <c r="D3558" s="14" t="s">
        <v>52</v>
      </c>
      <c r="E3558" s="14" t="s">
        <v>53</v>
      </c>
      <c r="F3558" s="14" t="s">
        <v>54</v>
      </c>
      <c r="G3558" s="14" t="s">
        <v>55</v>
      </c>
      <c r="H3558" s="0" t="n">
        <v>3</v>
      </c>
      <c r="I3558" s="16" t="n">
        <v>51.62</v>
      </c>
      <c r="J3558" s="16" t="n">
        <v>22</v>
      </c>
      <c r="K3558" s="16" t="n">
        <f aca="false">H3558*I3558</f>
        <v>154.86</v>
      </c>
      <c r="L3558" s="16" t="n">
        <f aca="false">H3558*J3558</f>
        <v>66</v>
      </c>
      <c r="M3558" s="16" t="n">
        <f aca="false">K3558-L3558</f>
        <v>88.86</v>
      </c>
      <c r="N3558" s="17" t="n">
        <f aca="false">IFERROR(M3558/K3558,0)</f>
        <v>0.573808601317319</v>
      </c>
    </row>
    <row r="3559" customFormat="false" ht="15" hidden="false" customHeight="false" outlineLevel="0" collapsed="false">
      <c r="A3559" s="15" t="n">
        <v>46171</v>
      </c>
      <c r="B3559" s="14" t="s">
        <v>59</v>
      </c>
      <c r="C3559" s="14" t="s">
        <v>60</v>
      </c>
      <c r="D3559" s="14" t="s">
        <v>61</v>
      </c>
      <c r="E3559" s="14" t="s">
        <v>76</v>
      </c>
      <c r="F3559" s="14" t="s">
        <v>79</v>
      </c>
      <c r="G3559" s="14" t="s">
        <v>80</v>
      </c>
      <c r="H3559" s="0" t="n">
        <v>5</v>
      </c>
      <c r="I3559" s="16" t="n">
        <v>29.78</v>
      </c>
      <c r="J3559" s="16" t="n">
        <v>11</v>
      </c>
      <c r="K3559" s="16" t="n">
        <f aca="false">H3559*I3559</f>
        <v>148.9</v>
      </c>
      <c r="L3559" s="16" t="n">
        <f aca="false">H3559*J3559</f>
        <v>55</v>
      </c>
      <c r="M3559" s="16" t="n">
        <f aca="false">K3559-L3559</f>
        <v>93.9</v>
      </c>
      <c r="N3559" s="17" t="n">
        <f aca="false">IFERROR(M3559/K3559,0)</f>
        <v>0.630624580255205</v>
      </c>
    </row>
    <row r="3560" customFormat="false" ht="15" hidden="false" customHeight="false" outlineLevel="0" collapsed="false">
      <c r="A3560" s="15" t="n">
        <v>46171</v>
      </c>
      <c r="B3560" s="14" t="s">
        <v>59</v>
      </c>
      <c r="C3560" s="14" t="s">
        <v>60</v>
      </c>
      <c r="D3560" s="14" t="s">
        <v>61</v>
      </c>
      <c r="E3560" s="14" t="s">
        <v>76</v>
      </c>
      <c r="F3560" s="14" t="s">
        <v>79</v>
      </c>
      <c r="G3560" s="14" t="s">
        <v>80</v>
      </c>
      <c r="H3560" s="0" t="n">
        <v>7</v>
      </c>
      <c r="I3560" s="16" t="n">
        <v>29.41</v>
      </c>
      <c r="J3560" s="16" t="n">
        <v>11</v>
      </c>
      <c r="K3560" s="16" t="n">
        <f aca="false">H3560*I3560</f>
        <v>205.87</v>
      </c>
      <c r="L3560" s="16" t="n">
        <f aca="false">H3560*J3560</f>
        <v>77</v>
      </c>
      <c r="M3560" s="16" t="n">
        <f aca="false">K3560-L3560</f>
        <v>128.87</v>
      </c>
      <c r="N3560" s="17" t="n">
        <f aca="false">IFERROR(M3560/K3560,0)</f>
        <v>0.625977558653519</v>
      </c>
    </row>
    <row r="3561" customFormat="false" ht="15" hidden="false" customHeight="false" outlineLevel="0" collapsed="false">
      <c r="A3561" s="15" t="n">
        <v>46171</v>
      </c>
      <c r="B3561" s="14" t="s">
        <v>59</v>
      </c>
      <c r="C3561" s="14" t="s">
        <v>60</v>
      </c>
      <c r="D3561" s="14" t="s">
        <v>61</v>
      </c>
      <c r="E3561" s="14" t="s">
        <v>45</v>
      </c>
      <c r="F3561" s="14" t="s">
        <v>46</v>
      </c>
      <c r="G3561" s="14" t="s">
        <v>47</v>
      </c>
      <c r="H3561" s="0" t="n">
        <v>6</v>
      </c>
      <c r="I3561" s="16" t="n">
        <v>41.73</v>
      </c>
      <c r="J3561" s="16" t="n">
        <v>18</v>
      </c>
      <c r="K3561" s="16" t="n">
        <f aca="false">H3561*I3561</f>
        <v>250.38</v>
      </c>
      <c r="L3561" s="16" t="n">
        <f aca="false">H3561*J3561</f>
        <v>108</v>
      </c>
      <c r="M3561" s="16" t="n">
        <f aca="false">K3561-L3561</f>
        <v>142.38</v>
      </c>
      <c r="N3561" s="17" t="n">
        <f aca="false">IFERROR(M3561/K3561,0)</f>
        <v>0.568655643421999</v>
      </c>
    </row>
    <row r="3562" customFormat="false" ht="15" hidden="false" customHeight="false" outlineLevel="0" collapsed="false">
      <c r="A3562" s="15" t="n">
        <v>46171</v>
      </c>
      <c r="B3562" s="14" t="s">
        <v>59</v>
      </c>
      <c r="C3562" s="14" t="s">
        <v>60</v>
      </c>
      <c r="D3562" s="14" t="s">
        <v>61</v>
      </c>
      <c r="E3562" s="14" t="s">
        <v>76</v>
      </c>
      <c r="F3562" s="14" t="s">
        <v>102</v>
      </c>
      <c r="G3562" s="14" t="s">
        <v>103</v>
      </c>
      <c r="H3562" s="0" t="n">
        <v>1</v>
      </c>
      <c r="I3562" s="16" t="n">
        <v>22.34</v>
      </c>
      <c r="J3562" s="16" t="n">
        <v>8.5</v>
      </c>
      <c r="K3562" s="16" t="n">
        <f aca="false">H3562*I3562</f>
        <v>22.34</v>
      </c>
      <c r="L3562" s="16" t="n">
        <f aca="false">H3562*J3562</f>
        <v>8.5</v>
      </c>
      <c r="M3562" s="16" t="n">
        <f aca="false">K3562-L3562</f>
        <v>13.84</v>
      </c>
      <c r="N3562" s="17" t="n">
        <f aca="false">IFERROR(M3562/K3562,0)</f>
        <v>0.619516562220233</v>
      </c>
    </row>
    <row r="3563" customFormat="false" ht="15" hidden="false" customHeight="false" outlineLevel="0" collapsed="false">
      <c r="A3563" s="15" t="n">
        <v>46171</v>
      </c>
      <c r="B3563" s="14" t="s">
        <v>69</v>
      </c>
      <c r="C3563" s="14" t="s">
        <v>70</v>
      </c>
      <c r="D3563" s="14" t="s">
        <v>71</v>
      </c>
      <c r="E3563" s="14" t="s">
        <v>56</v>
      </c>
      <c r="F3563" s="14" t="s">
        <v>98</v>
      </c>
      <c r="G3563" s="14" t="s">
        <v>99</v>
      </c>
      <c r="H3563" s="0" t="n">
        <v>2</v>
      </c>
      <c r="I3563" s="16" t="n">
        <v>21.81</v>
      </c>
      <c r="J3563" s="16" t="n">
        <v>8</v>
      </c>
      <c r="K3563" s="16" t="n">
        <f aca="false">H3563*I3563</f>
        <v>43.62</v>
      </c>
      <c r="L3563" s="16" t="n">
        <f aca="false">H3563*J3563</f>
        <v>16</v>
      </c>
      <c r="M3563" s="16" t="n">
        <f aca="false">K3563-L3563</f>
        <v>27.62</v>
      </c>
      <c r="N3563" s="17" t="n">
        <f aca="false">IFERROR(M3563/K3563,0)</f>
        <v>0.63319578175149</v>
      </c>
    </row>
    <row r="3564" customFormat="false" ht="15" hidden="false" customHeight="false" outlineLevel="0" collapsed="false">
      <c r="A3564" s="15" t="n">
        <v>46171</v>
      </c>
      <c r="B3564" s="14" t="s">
        <v>69</v>
      </c>
      <c r="C3564" s="14" t="s">
        <v>70</v>
      </c>
      <c r="D3564" s="14" t="s">
        <v>71</v>
      </c>
      <c r="E3564" s="14" t="s">
        <v>45</v>
      </c>
      <c r="F3564" s="14" t="s">
        <v>72</v>
      </c>
      <c r="G3564" s="14" t="s">
        <v>73</v>
      </c>
      <c r="H3564" s="0" t="n">
        <v>5</v>
      </c>
      <c r="I3564" s="16" t="n">
        <v>49.53</v>
      </c>
      <c r="J3564" s="16" t="n">
        <v>21</v>
      </c>
      <c r="K3564" s="16" t="n">
        <f aca="false">H3564*I3564</f>
        <v>247.65</v>
      </c>
      <c r="L3564" s="16" t="n">
        <f aca="false">H3564*J3564</f>
        <v>105</v>
      </c>
      <c r="M3564" s="16" t="n">
        <f aca="false">K3564-L3564</f>
        <v>142.65</v>
      </c>
      <c r="N3564" s="17" t="n">
        <f aca="false">IFERROR(M3564/K3564,0)</f>
        <v>0.576014536644458</v>
      </c>
    </row>
    <row r="3565" customFormat="false" ht="15" hidden="false" customHeight="false" outlineLevel="0" collapsed="false">
      <c r="A3565" s="15" t="n">
        <v>46171</v>
      </c>
      <c r="B3565" s="14" t="s">
        <v>81</v>
      </c>
      <c r="C3565" s="14" t="s">
        <v>82</v>
      </c>
      <c r="D3565" s="14" t="s">
        <v>83</v>
      </c>
      <c r="E3565" s="14" t="s">
        <v>76</v>
      </c>
      <c r="F3565" s="14" t="s">
        <v>77</v>
      </c>
      <c r="G3565" s="14" t="s">
        <v>78</v>
      </c>
      <c r="H3565" s="0" t="n">
        <v>3</v>
      </c>
      <c r="I3565" s="16" t="n">
        <v>38.92</v>
      </c>
      <c r="J3565" s="16" t="n">
        <v>15</v>
      </c>
      <c r="K3565" s="16" t="n">
        <f aca="false">H3565*I3565</f>
        <v>116.76</v>
      </c>
      <c r="L3565" s="16" t="n">
        <f aca="false">H3565*J3565</f>
        <v>45</v>
      </c>
      <c r="M3565" s="16" t="n">
        <f aca="false">K3565-L3565</f>
        <v>71.76</v>
      </c>
      <c r="N3565" s="17" t="n">
        <f aca="false">IFERROR(M3565/K3565,0)</f>
        <v>0.614594039054471</v>
      </c>
    </row>
    <row r="3566" customFormat="false" ht="15" hidden="false" customHeight="false" outlineLevel="0" collapsed="false">
      <c r="A3566" s="15" t="n">
        <v>46171</v>
      </c>
      <c r="B3566" s="14" t="s">
        <v>81</v>
      </c>
      <c r="C3566" s="14" t="s">
        <v>82</v>
      </c>
      <c r="D3566" s="14" t="s">
        <v>83</v>
      </c>
      <c r="E3566" s="14" t="s">
        <v>53</v>
      </c>
      <c r="F3566" s="14" t="s">
        <v>54</v>
      </c>
      <c r="G3566" s="14" t="s">
        <v>55</v>
      </c>
      <c r="H3566" s="0" t="n">
        <v>2</v>
      </c>
      <c r="I3566" s="16" t="n">
        <v>53.38</v>
      </c>
      <c r="J3566" s="16" t="n">
        <v>22</v>
      </c>
      <c r="K3566" s="16" t="n">
        <f aca="false">H3566*I3566</f>
        <v>106.76</v>
      </c>
      <c r="L3566" s="16" t="n">
        <f aca="false">H3566*J3566</f>
        <v>44</v>
      </c>
      <c r="M3566" s="16" t="n">
        <f aca="false">K3566-L3566</f>
        <v>62.76</v>
      </c>
      <c r="N3566" s="17" t="n">
        <f aca="false">IFERROR(M3566/K3566,0)</f>
        <v>0.587860621955789</v>
      </c>
    </row>
    <row r="3567" customFormat="false" ht="15" hidden="false" customHeight="false" outlineLevel="0" collapsed="false">
      <c r="A3567" s="15" t="n">
        <v>46171</v>
      </c>
      <c r="B3567" s="14" t="s">
        <v>88</v>
      </c>
      <c r="C3567" s="14" t="s">
        <v>89</v>
      </c>
      <c r="D3567" s="14" t="s">
        <v>44</v>
      </c>
      <c r="E3567" s="14" t="s">
        <v>64</v>
      </c>
      <c r="F3567" s="14" t="s">
        <v>96</v>
      </c>
      <c r="G3567" s="14" t="s">
        <v>97</v>
      </c>
      <c r="H3567" s="0" t="n">
        <v>3</v>
      </c>
      <c r="I3567" s="16" t="n">
        <v>55.08</v>
      </c>
      <c r="J3567" s="16" t="n">
        <v>24</v>
      </c>
      <c r="K3567" s="16" t="n">
        <f aca="false">H3567*I3567</f>
        <v>165.24</v>
      </c>
      <c r="L3567" s="16" t="n">
        <f aca="false">H3567*J3567</f>
        <v>72</v>
      </c>
      <c r="M3567" s="16" t="n">
        <f aca="false">K3567-L3567</f>
        <v>93.24</v>
      </c>
      <c r="N3567" s="17" t="n">
        <f aca="false">IFERROR(M3567/K3567,0)</f>
        <v>0.564270152505447</v>
      </c>
    </row>
    <row r="3568" customFormat="false" ht="15" hidden="false" customHeight="false" outlineLevel="0" collapsed="false">
      <c r="A3568" s="15" t="n">
        <v>46171</v>
      </c>
      <c r="B3568" s="14" t="s">
        <v>88</v>
      </c>
      <c r="C3568" s="14" t="s">
        <v>89</v>
      </c>
      <c r="D3568" s="14" t="s">
        <v>44</v>
      </c>
      <c r="E3568" s="14" t="s">
        <v>56</v>
      </c>
      <c r="F3568" s="14" t="s">
        <v>86</v>
      </c>
      <c r="G3568" s="14" t="s">
        <v>87</v>
      </c>
      <c r="H3568" s="0" t="n">
        <v>7</v>
      </c>
      <c r="I3568" s="16" t="n">
        <v>13.81</v>
      </c>
      <c r="J3568" s="16" t="n">
        <v>5</v>
      </c>
      <c r="K3568" s="16" t="n">
        <f aca="false">H3568*I3568</f>
        <v>96.67</v>
      </c>
      <c r="L3568" s="16" t="n">
        <f aca="false">H3568*J3568</f>
        <v>35</v>
      </c>
      <c r="M3568" s="16" t="n">
        <f aca="false">K3568-L3568</f>
        <v>61.67</v>
      </c>
      <c r="N3568" s="17" t="n">
        <f aca="false">IFERROR(M3568/K3568,0)</f>
        <v>0.637943519188994</v>
      </c>
    </row>
    <row r="3569" customFormat="false" ht="15" hidden="false" customHeight="false" outlineLevel="0" collapsed="false">
      <c r="A3569" s="15" t="n">
        <v>46172</v>
      </c>
      <c r="B3569" s="14" t="s">
        <v>42</v>
      </c>
      <c r="C3569" s="14" t="s">
        <v>43</v>
      </c>
      <c r="D3569" s="14" t="s">
        <v>44</v>
      </c>
      <c r="E3569" s="14" t="s">
        <v>76</v>
      </c>
      <c r="F3569" s="14" t="s">
        <v>77</v>
      </c>
      <c r="G3569" s="14" t="s">
        <v>78</v>
      </c>
      <c r="H3569" s="0" t="n">
        <v>14</v>
      </c>
      <c r="I3569" s="16" t="n">
        <v>40.48</v>
      </c>
      <c r="J3569" s="16" t="n">
        <v>15</v>
      </c>
      <c r="K3569" s="16" t="n">
        <f aca="false">H3569*I3569</f>
        <v>566.72</v>
      </c>
      <c r="L3569" s="16" t="n">
        <f aca="false">H3569*J3569</f>
        <v>210</v>
      </c>
      <c r="M3569" s="16" t="n">
        <f aca="false">K3569-L3569</f>
        <v>356.72</v>
      </c>
      <c r="N3569" s="17" t="n">
        <f aca="false">IFERROR(M3569/K3569,0)</f>
        <v>0.629446640316206</v>
      </c>
    </row>
    <row r="3570" customFormat="false" ht="15" hidden="false" customHeight="false" outlineLevel="0" collapsed="false">
      <c r="A3570" s="15" t="n">
        <v>46172</v>
      </c>
      <c r="B3570" s="14" t="s">
        <v>42</v>
      </c>
      <c r="C3570" s="14" t="s">
        <v>43</v>
      </c>
      <c r="D3570" s="14" t="s">
        <v>44</v>
      </c>
      <c r="E3570" s="14" t="s">
        <v>45</v>
      </c>
      <c r="F3570" s="14" t="s">
        <v>72</v>
      </c>
      <c r="G3570" s="14" t="s">
        <v>73</v>
      </c>
      <c r="H3570" s="0" t="n">
        <v>6</v>
      </c>
      <c r="I3570" s="16" t="n">
        <v>50.39</v>
      </c>
      <c r="J3570" s="16" t="n">
        <v>21</v>
      </c>
      <c r="K3570" s="16" t="n">
        <f aca="false">H3570*I3570</f>
        <v>302.34</v>
      </c>
      <c r="L3570" s="16" t="n">
        <f aca="false">H3570*J3570</f>
        <v>126</v>
      </c>
      <c r="M3570" s="16" t="n">
        <f aca="false">K3570-L3570</f>
        <v>176.34</v>
      </c>
      <c r="N3570" s="17" t="n">
        <f aca="false">IFERROR(M3570/K3570,0)</f>
        <v>0.58325064496924</v>
      </c>
    </row>
    <row r="3571" customFormat="false" ht="15" hidden="false" customHeight="false" outlineLevel="0" collapsed="false">
      <c r="A3571" s="15" t="n">
        <v>46172</v>
      </c>
      <c r="B3571" s="14" t="s">
        <v>42</v>
      </c>
      <c r="C3571" s="14" t="s">
        <v>43</v>
      </c>
      <c r="D3571" s="14" t="s">
        <v>44</v>
      </c>
      <c r="E3571" s="14" t="s">
        <v>64</v>
      </c>
      <c r="F3571" s="14" t="s">
        <v>96</v>
      </c>
      <c r="G3571" s="14" t="s">
        <v>97</v>
      </c>
      <c r="H3571" s="0" t="n">
        <v>8</v>
      </c>
      <c r="I3571" s="16" t="n">
        <v>55.9</v>
      </c>
      <c r="J3571" s="16" t="n">
        <v>24</v>
      </c>
      <c r="K3571" s="16" t="n">
        <f aca="false">H3571*I3571</f>
        <v>447.2</v>
      </c>
      <c r="L3571" s="16" t="n">
        <f aca="false">H3571*J3571</f>
        <v>192</v>
      </c>
      <c r="M3571" s="16" t="n">
        <f aca="false">K3571-L3571</f>
        <v>255.2</v>
      </c>
      <c r="N3571" s="17" t="n">
        <f aca="false">IFERROR(M3571/K3571,0)</f>
        <v>0.570661896243292</v>
      </c>
    </row>
    <row r="3572" customFormat="false" ht="15" hidden="false" customHeight="false" outlineLevel="0" collapsed="false">
      <c r="A3572" s="15" t="n">
        <v>46172</v>
      </c>
      <c r="B3572" s="14" t="s">
        <v>42</v>
      </c>
      <c r="C3572" s="14" t="s">
        <v>43</v>
      </c>
      <c r="D3572" s="14" t="s">
        <v>44</v>
      </c>
      <c r="E3572" s="14" t="s">
        <v>64</v>
      </c>
      <c r="F3572" s="14" t="s">
        <v>90</v>
      </c>
      <c r="G3572" s="14" t="s">
        <v>91</v>
      </c>
      <c r="H3572" s="0" t="n">
        <v>8</v>
      </c>
      <c r="I3572" s="16" t="n">
        <v>11.3</v>
      </c>
      <c r="J3572" s="16" t="n">
        <v>3.5</v>
      </c>
      <c r="K3572" s="16" t="n">
        <f aca="false">H3572*I3572</f>
        <v>90.4</v>
      </c>
      <c r="L3572" s="16" t="n">
        <f aca="false">H3572*J3572</f>
        <v>28</v>
      </c>
      <c r="M3572" s="16" t="n">
        <f aca="false">K3572-L3572</f>
        <v>62.4</v>
      </c>
      <c r="N3572" s="17" t="n">
        <f aca="false">IFERROR(M3572/K3572,0)</f>
        <v>0.690265486725664</v>
      </c>
    </row>
    <row r="3573" customFormat="false" ht="15" hidden="false" customHeight="false" outlineLevel="0" collapsed="false">
      <c r="A3573" s="15" t="n">
        <v>46172</v>
      </c>
      <c r="B3573" s="14" t="s">
        <v>42</v>
      </c>
      <c r="C3573" s="14" t="s">
        <v>43</v>
      </c>
      <c r="D3573" s="14" t="s">
        <v>44</v>
      </c>
      <c r="E3573" s="14" t="s">
        <v>56</v>
      </c>
      <c r="F3573" s="14" t="s">
        <v>98</v>
      </c>
      <c r="G3573" s="14" t="s">
        <v>99</v>
      </c>
      <c r="H3573" s="0" t="n">
        <v>11</v>
      </c>
      <c r="I3573" s="16" t="n">
        <v>20.69</v>
      </c>
      <c r="J3573" s="16" t="n">
        <v>8</v>
      </c>
      <c r="K3573" s="16" t="n">
        <f aca="false">H3573*I3573</f>
        <v>227.59</v>
      </c>
      <c r="L3573" s="16" t="n">
        <f aca="false">H3573*J3573</f>
        <v>88</v>
      </c>
      <c r="M3573" s="16" t="n">
        <f aca="false">K3573-L3573</f>
        <v>139.59</v>
      </c>
      <c r="N3573" s="17" t="n">
        <f aca="false">IFERROR(M3573/K3573,0)</f>
        <v>0.613339777670372</v>
      </c>
    </row>
    <row r="3574" customFormat="false" ht="15" hidden="false" customHeight="false" outlineLevel="0" collapsed="false">
      <c r="A3574" s="15" t="n">
        <v>46172</v>
      </c>
      <c r="B3574" s="14" t="s">
        <v>42</v>
      </c>
      <c r="C3574" s="14" t="s">
        <v>43</v>
      </c>
      <c r="D3574" s="14" t="s">
        <v>44</v>
      </c>
      <c r="E3574" s="14" t="s">
        <v>56</v>
      </c>
      <c r="F3574" s="14" t="s">
        <v>57</v>
      </c>
      <c r="G3574" s="14" t="s">
        <v>58</v>
      </c>
      <c r="H3574" s="0" t="n">
        <v>2</v>
      </c>
      <c r="I3574" s="16" t="n">
        <v>26.95</v>
      </c>
      <c r="J3574" s="16" t="n">
        <v>10</v>
      </c>
      <c r="K3574" s="16" t="n">
        <f aca="false">H3574*I3574</f>
        <v>53.9</v>
      </c>
      <c r="L3574" s="16" t="n">
        <f aca="false">H3574*J3574</f>
        <v>20</v>
      </c>
      <c r="M3574" s="16" t="n">
        <f aca="false">K3574-L3574</f>
        <v>33.9</v>
      </c>
      <c r="N3574" s="17" t="n">
        <f aca="false">IFERROR(M3574/K3574,0)</f>
        <v>0.628942486085343</v>
      </c>
    </row>
    <row r="3575" customFormat="false" ht="15" hidden="false" customHeight="false" outlineLevel="0" collapsed="false">
      <c r="A3575" s="15" t="n">
        <v>46172</v>
      </c>
      <c r="B3575" s="14" t="s">
        <v>50</v>
      </c>
      <c r="C3575" s="14" t="s">
        <v>51</v>
      </c>
      <c r="D3575" s="14" t="s">
        <v>52</v>
      </c>
      <c r="E3575" s="14" t="s">
        <v>56</v>
      </c>
      <c r="F3575" s="14" t="s">
        <v>86</v>
      </c>
      <c r="G3575" s="14" t="s">
        <v>87</v>
      </c>
      <c r="H3575" s="0" t="n">
        <v>7</v>
      </c>
      <c r="I3575" s="16" t="n">
        <v>14.63</v>
      </c>
      <c r="J3575" s="16" t="n">
        <v>5</v>
      </c>
      <c r="K3575" s="16" t="n">
        <f aca="false">H3575*I3575</f>
        <v>102.41</v>
      </c>
      <c r="L3575" s="16" t="n">
        <f aca="false">H3575*J3575</f>
        <v>35</v>
      </c>
      <c r="M3575" s="16" t="n">
        <f aca="false">K3575-L3575</f>
        <v>67.41</v>
      </c>
      <c r="N3575" s="17" t="n">
        <f aca="false">IFERROR(M3575/K3575,0)</f>
        <v>0.658236500341764</v>
      </c>
    </row>
    <row r="3576" customFormat="false" ht="15" hidden="false" customHeight="false" outlineLevel="0" collapsed="false">
      <c r="A3576" s="15" t="n">
        <v>46172</v>
      </c>
      <c r="B3576" s="14" t="s">
        <v>50</v>
      </c>
      <c r="C3576" s="14" t="s">
        <v>51</v>
      </c>
      <c r="D3576" s="14" t="s">
        <v>52</v>
      </c>
      <c r="E3576" s="14" t="s">
        <v>56</v>
      </c>
      <c r="F3576" s="14" t="s">
        <v>86</v>
      </c>
      <c r="G3576" s="14" t="s">
        <v>87</v>
      </c>
      <c r="H3576" s="0" t="n">
        <v>3</v>
      </c>
      <c r="I3576" s="16" t="n">
        <v>14.96</v>
      </c>
      <c r="J3576" s="16" t="n">
        <v>5</v>
      </c>
      <c r="K3576" s="16" t="n">
        <f aca="false">H3576*I3576</f>
        <v>44.88</v>
      </c>
      <c r="L3576" s="16" t="n">
        <f aca="false">H3576*J3576</f>
        <v>15</v>
      </c>
      <c r="M3576" s="16" t="n">
        <f aca="false">K3576-L3576</f>
        <v>29.88</v>
      </c>
      <c r="N3576" s="17" t="n">
        <f aca="false">IFERROR(M3576/K3576,0)</f>
        <v>0.665775401069519</v>
      </c>
    </row>
    <row r="3577" customFormat="false" ht="15" hidden="false" customHeight="false" outlineLevel="0" collapsed="false">
      <c r="A3577" s="15" t="n">
        <v>46172</v>
      </c>
      <c r="B3577" s="14" t="s">
        <v>50</v>
      </c>
      <c r="C3577" s="14" t="s">
        <v>51</v>
      </c>
      <c r="D3577" s="14" t="s">
        <v>52</v>
      </c>
      <c r="E3577" s="14" t="s">
        <v>53</v>
      </c>
      <c r="F3577" s="14" t="s">
        <v>54</v>
      </c>
      <c r="G3577" s="14" t="s">
        <v>55</v>
      </c>
      <c r="H3577" s="0" t="n">
        <v>2</v>
      </c>
      <c r="I3577" s="16" t="n">
        <v>51.62</v>
      </c>
      <c r="J3577" s="16" t="n">
        <v>22</v>
      </c>
      <c r="K3577" s="16" t="n">
        <f aca="false">H3577*I3577</f>
        <v>103.24</v>
      </c>
      <c r="L3577" s="16" t="n">
        <f aca="false">H3577*J3577</f>
        <v>44</v>
      </c>
      <c r="M3577" s="16" t="n">
        <f aca="false">K3577-L3577</f>
        <v>59.24</v>
      </c>
      <c r="N3577" s="17" t="n">
        <f aca="false">IFERROR(M3577/K3577,0)</f>
        <v>0.573808601317319</v>
      </c>
    </row>
    <row r="3578" customFormat="false" ht="15" hidden="false" customHeight="false" outlineLevel="0" collapsed="false">
      <c r="A3578" s="15" t="n">
        <v>46172</v>
      </c>
      <c r="B3578" s="14" t="s">
        <v>50</v>
      </c>
      <c r="C3578" s="14" t="s">
        <v>51</v>
      </c>
      <c r="D3578" s="14" t="s">
        <v>52</v>
      </c>
      <c r="E3578" s="14" t="s">
        <v>53</v>
      </c>
      <c r="F3578" s="14" t="s">
        <v>74</v>
      </c>
      <c r="G3578" s="14" t="s">
        <v>75</v>
      </c>
      <c r="H3578" s="0" t="n">
        <v>4</v>
      </c>
      <c r="I3578" s="16" t="n">
        <v>86.75</v>
      </c>
      <c r="J3578" s="16" t="n">
        <v>38</v>
      </c>
      <c r="K3578" s="16" t="n">
        <f aca="false">H3578*I3578</f>
        <v>347</v>
      </c>
      <c r="L3578" s="16" t="n">
        <f aca="false">H3578*J3578</f>
        <v>152</v>
      </c>
      <c r="M3578" s="16" t="n">
        <f aca="false">K3578-L3578</f>
        <v>195</v>
      </c>
      <c r="N3578" s="17" t="n">
        <f aca="false">IFERROR(M3578/K3578,0)</f>
        <v>0.561959654178674</v>
      </c>
    </row>
    <row r="3579" customFormat="false" ht="15" hidden="false" customHeight="false" outlineLevel="0" collapsed="false">
      <c r="A3579" s="15" t="n">
        <v>46172</v>
      </c>
      <c r="B3579" s="14" t="s">
        <v>50</v>
      </c>
      <c r="C3579" s="14" t="s">
        <v>51</v>
      </c>
      <c r="D3579" s="14" t="s">
        <v>52</v>
      </c>
      <c r="E3579" s="14" t="s">
        <v>53</v>
      </c>
      <c r="F3579" s="14" t="s">
        <v>54</v>
      </c>
      <c r="G3579" s="14" t="s">
        <v>55</v>
      </c>
      <c r="H3579" s="0" t="n">
        <v>9</v>
      </c>
      <c r="I3579" s="16" t="n">
        <v>54.82</v>
      </c>
      <c r="J3579" s="16" t="n">
        <v>22</v>
      </c>
      <c r="K3579" s="16" t="n">
        <f aca="false">H3579*I3579</f>
        <v>493.38</v>
      </c>
      <c r="L3579" s="16" t="n">
        <f aca="false">H3579*J3579</f>
        <v>198</v>
      </c>
      <c r="M3579" s="16" t="n">
        <f aca="false">K3579-L3579</f>
        <v>295.38</v>
      </c>
      <c r="N3579" s="17" t="n">
        <f aca="false">IFERROR(M3579/K3579,0)</f>
        <v>0.598686610726012</v>
      </c>
    </row>
    <row r="3580" customFormat="false" ht="15" hidden="false" customHeight="false" outlineLevel="0" collapsed="false">
      <c r="A3580" s="15" t="n">
        <v>46172</v>
      </c>
      <c r="B3580" s="14" t="s">
        <v>59</v>
      </c>
      <c r="C3580" s="14" t="s">
        <v>60</v>
      </c>
      <c r="D3580" s="14" t="s">
        <v>61</v>
      </c>
      <c r="E3580" s="14" t="s">
        <v>45</v>
      </c>
      <c r="F3580" s="14" t="s">
        <v>62</v>
      </c>
      <c r="G3580" s="14" t="s">
        <v>63</v>
      </c>
      <c r="H3580" s="0" t="n">
        <v>2</v>
      </c>
      <c r="I3580" s="16" t="n">
        <v>17.76</v>
      </c>
      <c r="J3580" s="16" t="n">
        <v>6.5</v>
      </c>
      <c r="K3580" s="16" t="n">
        <f aca="false">H3580*I3580</f>
        <v>35.52</v>
      </c>
      <c r="L3580" s="16" t="n">
        <f aca="false">H3580*J3580</f>
        <v>13</v>
      </c>
      <c r="M3580" s="16" t="n">
        <f aca="false">K3580-L3580</f>
        <v>22.52</v>
      </c>
      <c r="N3580" s="17" t="n">
        <f aca="false">IFERROR(M3580/K3580,0)</f>
        <v>0.634009009009009</v>
      </c>
    </row>
    <row r="3581" customFormat="false" ht="15" hidden="false" customHeight="false" outlineLevel="0" collapsed="false">
      <c r="A3581" s="15" t="n">
        <v>46172</v>
      </c>
      <c r="B3581" s="14" t="s">
        <v>59</v>
      </c>
      <c r="C3581" s="14" t="s">
        <v>60</v>
      </c>
      <c r="D3581" s="14" t="s">
        <v>61</v>
      </c>
      <c r="E3581" s="14" t="s">
        <v>45</v>
      </c>
      <c r="F3581" s="14" t="s">
        <v>72</v>
      </c>
      <c r="G3581" s="14" t="s">
        <v>73</v>
      </c>
      <c r="H3581" s="0" t="n">
        <v>2</v>
      </c>
      <c r="I3581" s="16" t="n">
        <v>49.26</v>
      </c>
      <c r="J3581" s="16" t="n">
        <v>21</v>
      </c>
      <c r="K3581" s="16" t="n">
        <f aca="false">H3581*I3581</f>
        <v>98.52</v>
      </c>
      <c r="L3581" s="16" t="n">
        <f aca="false">H3581*J3581</f>
        <v>42</v>
      </c>
      <c r="M3581" s="16" t="n">
        <f aca="false">K3581-L3581</f>
        <v>56.52</v>
      </c>
      <c r="N3581" s="17" t="n">
        <f aca="false">IFERROR(M3581/K3581,0)</f>
        <v>0.573690621193666</v>
      </c>
    </row>
    <row r="3582" customFormat="false" ht="15" hidden="false" customHeight="false" outlineLevel="0" collapsed="false">
      <c r="A3582" s="15" t="n">
        <v>46172</v>
      </c>
      <c r="B3582" s="14" t="s">
        <v>59</v>
      </c>
      <c r="C3582" s="14" t="s">
        <v>60</v>
      </c>
      <c r="D3582" s="14" t="s">
        <v>61</v>
      </c>
      <c r="E3582" s="14" t="s">
        <v>64</v>
      </c>
      <c r="F3582" s="14" t="s">
        <v>96</v>
      </c>
      <c r="G3582" s="14" t="s">
        <v>97</v>
      </c>
      <c r="H3582" s="0" t="n">
        <v>3</v>
      </c>
      <c r="I3582" s="16" t="n">
        <v>57.7</v>
      </c>
      <c r="J3582" s="16" t="n">
        <v>24</v>
      </c>
      <c r="K3582" s="16" t="n">
        <f aca="false">H3582*I3582</f>
        <v>173.1</v>
      </c>
      <c r="L3582" s="16" t="n">
        <f aca="false">H3582*J3582</f>
        <v>72</v>
      </c>
      <c r="M3582" s="16" t="n">
        <f aca="false">K3582-L3582</f>
        <v>101.1</v>
      </c>
      <c r="N3582" s="17" t="n">
        <f aca="false">IFERROR(M3582/K3582,0)</f>
        <v>0.584055459272097</v>
      </c>
    </row>
    <row r="3583" customFormat="false" ht="15" hidden="false" customHeight="false" outlineLevel="0" collapsed="false">
      <c r="A3583" s="15" t="n">
        <v>46172</v>
      </c>
      <c r="B3583" s="14" t="s">
        <v>59</v>
      </c>
      <c r="C3583" s="14" t="s">
        <v>60</v>
      </c>
      <c r="D3583" s="14" t="s">
        <v>61</v>
      </c>
      <c r="E3583" s="14" t="s">
        <v>45</v>
      </c>
      <c r="F3583" s="14" t="s">
        <v>46</v>
      </c>
      <c r="G3583" s="14" t="s">
        <v>47</v>
      </c>
      <c r="H3583" s="0" t="n">
        <v>7</v>
      </c>
      <c r="I3583" s="16" t="n">
        <v>44.92</v>
      </c>
      <c r="J3583" s="16" t="n">
        <v>18</v>
      </c>
      <c r="K3583" s="16" t="n">
        <f aca="false">H3583*I3583</f>
        <v>314.44</v>
      </c>
      <c r="L3583" s="16" t="n">
        <f aca="false">H3583*J3583</f>
        <v>126</v>
      </c>
      <c r="M3583" s="16" t="n">
        <f aca="false">K3583-L3583</f>
        <v>188.44</v>
      </c>
      <c r="N3583" s="17" t="n">
        <f aca="false">IFERROR(M3583/K3583,0)</f>
        <v>0.599287622439893</v>
      </c>
    </row>
    <row r="3584" customFormat="false" ht="15" hidden="false" customHeight="false" outlineLevel="0" collapsed="false">
      <c r="A3584" s="15" t="n">
        <v>46172</v>
      </c>
      <c r="B3584" s="14" t="s">
        <v>59</v>
      </c>
      <c r="C3584" s="14" t="s">
        <v>60</v>
      </c>
      <c r="D3584" s="14" t="s">
        <v>61</v>
      </c>
      <c r="E3584" s="14" t="s">
        <v>64</v>
      </c>
      <c r="F3584" s="14" t="s">
        <v>94</v>
      </c>
      <c r="G3584" s="14" t="s">
        <v>95</v>
      </c>
      <c r="H3584" s="0" t="n">
        <v>9</v>
      </c>
      <c r="I3584" s="16" t="n">
        <v>96.33</v>
      </c>
      <c r="J3584" s="16" t="n">
        <v>42</v>
      </c>
      <c r="K3584" s="16" t="n">
        <f aca="false">H3584*I3584</f>
        <v>866.97</v>
      </c>
      <c r="L3584" s="16" t="n">
        <f aca="false">H3584*J3584</f>
        <v>378</v>
      </c>
      <c r="M3584" s="16" t="n">
        <f aca="false">K3584-L3584</f>
        <v>488.97</v>
      </c>
      <c r="N3584" s="17" t="n">
        <f aca="false">IFERROR(M3584/K3584,0)</f>
        <v>0.563998754282155</v>
      </c>
    </row>
    <row r="3585" customFormat="false" ht="15" hidden="false" customHeight="false" outlineLevel="0" collapsed="false">
      <c r="A3585" s="15" t="n">
        <v>46172</v>
      </c>
      <c r="B3585" s="14" t="s">
        <v>59</v>
      </c>
      <c r="C3585" s="14" t="s">
        <v>60</v>
      </c>
      <c r="D3585" s="14" t="s">
        <v>61</v>
      </c>
      <c r="E3585" s="14" t="s">
        <v>53</v>
      </c>
      <c r="F3585" s="14" t="s">
        <v>54</v>
      </c>
      <c r="G3585" s="14" t="s">
        <v>55</v>
      </c>
      <c r="H3585" s="0" t="n">
        <v>10</v>
      </c>
      <c r="I3585" s="16" t="n">
        <v>52.15</v>
      </c>
      <c r="J3585" s="16" t="n">
        <v>22</v>
      </c>
      <c r="K3585" s="16" t="n">
        <f aca="false">H3585*I3585</f>
        <v>521.5</v>
      </c>
      <c r="L3585" s="16" t="n">
        <f aca="false">H3585*J3585</f>
        <v>220</v>
      </c>
      <c r="M3585" s="16" t="n">
        <f aca="false">K3585-L3585</f>
        <v>301.5</v>
      </c>
      <c r="N3585" s="17" t="n">
        <f aca="false">IFERROR(M3585/K3585,0)</f>
        <v>0.578139980824545</v>
      </c>
    </row>
    <row r="3586" customFormat="false" ht="15" hidden="false" customHeight="false" outlineLevel="0" collapsed="false">
      <c r="A3586" s="15" t="n">
        <v>46172</v>
      </c>
      <c r="B3586" s="14" t="s">
        <v>69</v>
      </c>
      <c r="C3586" s="14" t="s">
        <v>70</v>
      </c>
      <c r="D3586" s="14" t="s">
        <v>71</v>
      </c>
      <c r="E3586" s="14" t="s">
        <v>64</v>
      </c>
      <c r="F3586" s="14" t="s">
        <v>90</v>
      </c>
      <c r="G3586" s="14" t="s">
        <v>91</v>
      </c>
      <c r="H3586" s="0" t="n">
        <v>5</v>
      </c>
      <c r="I3586" s="16" t="n">
        <v>11.46</v>
      </c>
      <c r="J3586" s="16" t="n">
        <v>3.5</v>
      </c>
      <c r="K3586" s="16" t="n">
        <f aca="false">H3586*I3586</f>
        <v>57.3</v>
      </c>
      <c r="L3586" s="16" t="n">
        <f aca="false">H3586*J3586</f>
        <v>17.5</v>
      </c>
      <c r="M3586" s="16" t="n">
        <f aca="false">K3586-L3586</f>
        <v>39.8</v>
      </c>
      <c r="N3586" s="17" t="n">
        <f aca="false">IFERROR(M3586/K3586,0)</f>
        <v>0.694589877835951</v>
      </c>
    </row>
    <row r="3587" customFormat="false" ht="15" hidden="false" customHeight="false" outlineLevel="0" collapsed="false">
      <c r="A3587" s="15" t="n">
        <v>46172</v>
      </c>
      <c r="B3587" s="14" t="s">
        <v>69</v>
      </c>
      <c r="C3587" s="14" t="s">
        <v>70</v>
      </c>
      <c r="D3587" s="14" t="s">
        <v>71</v>
      </c>
      <c r="E3587" s="14" t="s">
        <v>76</v>
      </c>
      <c r="F3587" s="14" t="s">
        <v>79</v>
      </c>
      <c r="G3587" s="14" t="s">
        <v>80</v>
      </c>
      <c r="H3587" s="0" t="n">
        <v>8</v>
      </c>
      <c r="I3587" s="16" t="n">
        <v>28.71</v>
      </c>
      <c r="J3587" s="16" t="n">
        <v>11</v>
      </c>
      <c r="K3587" s="16" t="n">
        <f aca="false">H3587*I3587</f>
        <v>229.68</v>
      </c>
      <c r="L3587" s="16" t="n">
        <f aca="false">H3587*J3587</f>
        <v>88</v>
      </c>
      <c r="M3587" s="16" t="n">
        <f aca="false">K3587-L3587</f>
        <v>141.68</v>
      </c>
      <c r="N3587" s="17" t="n">
        <f aca="false">IFERROR(M3587/K3587,0)</f>
        <v>0.616858237547893</v>
      </c>
    </row>
    <row r="3588" customFormat="false" ht="15" hidden="false" customHeight="false" outlineLevel="0" collapsed="false">
      <c r="A3588" s="15" t="n">
        <v>46172</v>
      </c>
      <c r="B3588" s="14" t="s">
        <v>69</v>
      </c>
      <c r="C3588" s="14" t="s">
        <v>70</v>
      </c>
      <c r="D3588" s="14" t="s">
        <v>71</v>
      </c>
      <c r="E3588" s="14" t="s">
        <v>45</v>
      </c>
      <c r="F3588" s="14" t="s">
        <v>48</v>
      </c>
      <c r="G3588" s="14" t="s">
        <v>49</v>
      </c>
      <c r="H3588" s="0" t="n">
        <v>8</v>
      </c>
      <c r="I3588" s="16" t="n">
        <v>65.41</v>
      </c>
      <c r="J3588" s="16" t="n">
        <v>27.5</v>
      </c>
      <c r="K3588" s="16" t="n">
        <f aca="false">H3588*I3588</f>
        <v>523.28</v>
      </c>
      <c r="L3588" s="16" t="n">
        <f aca="false">H3588*J3588</f>
        <v>220</v>
      </c>
      <c r="M3588" s="16" t="n">
        <f aca="false">K3588-L3588</f>
        <v>303.28</v>
      </c>
      <c r="N3588" s="17" t="n">
        <f aca="false">IFERROR(M3588/K3588,0)</f>
        <v>0.579574988533863</v>
      </c>
    </row>
    <row r="3589" customFormat="false" ht="15" hidden="false" customHeight="false" outlineLevel="0" collapsed="false">
      <c r="A3589" s="15" t="n">
        <v>46172</v>
      </c>
      <c r="B3589" s="14" t="s">
        <v>81</v>
      </c>
      <c r="C3589" s="14" t="s">
        <v>82</v>
      </c>
      <c r="D3589" s="14" t="s">
        <v>83</v>
      </c>
      <c r="E3589" s="14" t="s">
        <v>64</v>
      </c>
      <c r="F3589" s="14" t="s">
        <v>65</v>
      </c>
      <c r="G3589" s="14" t="s">
        <v>66</v>
      </c>
      <c r="H3589" s="0" t="n">
        <v>5</v>
      </c>
      <c r="I3589" s="16" t="n">
        <v>73.57</v>
      </c>
      <c r="J3589" s="16" t="n">
        <v>34</v>
      </c>
      <c r="K3589" s="16" t="n">
        <f aca="false">H3589*I3589</f>
        <v>367.85</v>
      </c>
      <c r="L3589" s="16" t="n">
        <f aca="false">H3589*J3589</f>
        <v>170</v>
      </c>
      <c r="M3589" s="16" t="n">
        <f aca="false">K3589-L3589</f>
        <v>197.85</v>
      </c>
      <c r="N3589" s="17" t="n">
        <f aca="false">IFERROR(M3589/K3589,0)</f>
        <v>0.537855103982602</v>
      </c>
    </row>
    <row r="3590" customFormat="false" ht="15" hidden="false" customHeight="false" outlineLevel="0" collapsed="false">
      <c r="A3590" s="15" t="n">
        <v>46172</v>
      </c>
      <c r="B3590" s="14" t="s">
        <v>81</v>
      </c>
      <c r="C3590" s="14" t="s">
        <v>82</v>
      </c>
      <c r="D3590" s="14" t="s">
        <v>83</v>
      </c>
      <c r="E3590" s="14" t="s">
        <v>76</v>
      </c>
      <c r="F3590" s="14" t="s">
        <v>77</v>
      </c>
      <c r="G3590" s="14" t="s">
        <v>78</v>
      </c>
      <c r="H3590" s="0" t="n">
        <v>7</v>
      </c>
      <c r="I3590" s="16" t="n">
        <v>41.22</v>
      </c>
      <c r="J3590" s="16" t="n">
        <v>15</v>
      </c>
      <c r="K3590" s="16" t="n">
        <f aca="false">H3590*I3590</f>
        <v>288.54</v>
      </c>
      <c r="L3590" s="16" t="n">
        <f aca="false">H3590*J3590</f>
        <v>105</v>
      </c>
      <c r="M3590" s="16" t="n">
        <f aca="false">K3590-L3590</f>
        <v>183.54</v>
      </c>
      <c r="N3590" s="17" t="n">
        <f aca="false">IFERROR(M3590/K3590,0)</f>
        <v>0.636098981077147</v>
      </c>
    </row>
    <row r="3591" customFormat="false" ht="15" hidden="false" customHeight="false" outlineLevel="0" collapsed="false">
      <c r="A3591" s="15" t="n">
        <v>46172</v>
      </c>
      <c r="B3591" s="14" t="s">
        <v>81</v>
      </c>
      <c r="C3591" s="14" t="s">
        <v>82</v>
      </c>
      <c r="D3591" s="14" t="s">
        <v>83</v>
      </c>
      <c r="E3591" s="14" t="s">
        <v>64</v>
      </c>
      <c r="F3591" s="14" t="s">
        <v>65</v>
      </c>
      <c r="G3591" s="14" t="s">
        <v>66</v>
      </c>
      <c r="H3591" s="0" t="n">
        <v>8</v>
      </c>
      <c r="I3591" s="16" t="n">
        <v>74.88</v>
      </c>
      <c r="J3591" s="16" t="n">
        <v>34</v>
      </c>
      <c r="K3591" s="16" t="n">
        <f aca="false">H3591*I3591</f>
        <v>599.04</v>
      </c>
      <c r="L3591" s="16" t="n">
        <f aca="false">H3591*J3591</f>
        <v>272</v>
      </c>
      <c r="M3591" s="16" t="n">
        <f aca="false">K3591-L3591</f>
        <v>327.04</v>
      </c>
      <c r="N3591" s="17" t="n">
        <f aca="false">IFERROR(M3591/K3591,0)</f>
        <v>0.545940170940171</v>
      </c>
    </row>
    <row r="3592" customFormat="false" ht="15" hidden="false" customHeight="false" outlineLevel="0" collapsed="false">
      <c r="A3592" s="15" t="n">
        <v>46172</v>
      </c>
      <c r="B3592" s="14" t="s">
        <v>88</v>
      </c>
      <c r="C3592" s="14" t="s">
        <v>89</v>
      </c>
      <c r="D3592" s="14" t="s">
        <v>44</v>
      </c>
      <c r="E3592" s="14" t="s">
        <v>64</v>
      </c>
      <c r="F3592" s="14" t="s">
        <v>96</v>
      </c>
      <c r="G3592" s="14" t="s">
        <v>97</v>
      </c>
      <c r="H3592" s="0" t="n">
        <v>7</v>
      </c>
      <c r="I3592" s="16" t="n">
        <v>58.24</v>
      </c>
      <c r="J3592" s="16" t="n">
        <v>24</v>
      </c>
      <c r="K3592" s="16" t="n">
        <f aca="false">H3592*I3592</f>
        <v>407.68</v>
      </c>
      <c r="L3592" s="16" t="n">
        <f aca="false">H3592*J3592</f>
        <v>168</v>
      </c>
      <c r="M3592" s="16" t="n">
        <f aca="false">K3592-L3592</f>
        <v>239.68</v>
      </c>
      <c r="N3592" s="17" t="n">
        <f aca="false">IFERROR(M3592/K3592,0)</f>
        <v>0.587912087912088</v>
      </c>
    </row>
    <row r="3593" customFormat="false" ht="15" hidden="false" customHeight="false" outlineLevel="0" collapsed="false">
      <c r="A3593" s="15" t="n">
        <v>46172</v>
      </c>
      <c r="B3593" s="14" t="s">
        <v>88</v>
      </c>
      <c r="C3593" s="14" t="s">
        <v>89</v>
      </c>
      <c r="D3593" s="14" t="s">
        <v>44</v>
      </c>
      <c r="E3593" s="14" t="s">
        <v>64</v>
      </c>
      <c r="F3593" s="14" t="s">
        <v>94</v>
      </c>
      <c r="G3593" s="14" t="s">
        <v>95</v>
      </c>
      <c r="H3593" s="0" t="n">
        <v>4</v>
      </c>
      <c r="I3593" s="16" t="n">
        <v>94.88</v>
      </c>
      <c r="J3593" s="16" t="n">
        <v>42</v>
      </c>
      <c r="K3593" s="16" t="n">
        <f aca="false">H3593*I3593</f>
        <v>379.52</v>
      </c>
      <c r="L3593" s="16" t="n">
        <f aca="false">H3593*J3593</f>
        <v>168</v>
      </c>
      <c r="M3593" s="16" t="n">
        <f aca="false">K3593-L3593</f>
        <v>211.52</v>
      </c>
      <c r="N3593" s="17" t="n">
        <f aca="false">IFERROR(M3593/K3593,0)</f>
        <v>0.557335581787521</v>
      </c>
    </row>
    <row r="3594" customFormat="false" ht="15" hidden="false" customHeight="false" outlineLevel="0" collapsed="false">
      <c r="A3594" s="15" t="n">
        <v>46172</v>
      </c>
      <c r="B3594" s="14" t="s">
        <v>88</v>
      </c>
      <c r="C3594" s="14" t="s">
        <v>89</v>
      </c>
      <c r="D3594" s="14" t="s">
        <v>44</v>
      </c>
      <c r="E3594" s="14" t="s">
        <v>64</v>
      </c>
      <c r="F3594" s="14" t="s">
        <v>96</v>
      </c>
      <c r="G3594" s="14" t="s">
        <v>97</v>
      </c>
      <c r="H3594" s="0" t="n">
        <v>1</v>
      </c>
      <c r="I3594" s="16" t="n">
        <v>57.97</v>
      </c>
      <c r="J3594" s="16" t="n">
        <v>24</v>
      </c>
      <c r="K3594" s="16" t="n">
        <f aca="false">H3594*I3594</f>
        <v>57.97</v>
      </c>
      <c r="L3594" s="16" t="n">
        <f aca="false">H3594*J3594</f>
        <v>24</v>
      </c>
      <c r="M3594" s="16" t="n">
        <f aca="false">K3594-L3594</f>
        <v>33.97</v>
      </c>
      <c r="N3594" s="17" t="n">
        <f aca="false">IFERROR(M3594/K3594,0)</f>
        <v>0.58599275487321</v>
      </c>
    </row>
    <row r="3595" customFormat="false" ht="15" hidden="false" customHeight="false" outlineLevel="0" collapsed="false">
      <c r="A3595" s="15" t="n">
        <v>46173</v>
      </c>
      <c r="B3595" s="14" t="s">
        <v>42</v>
      </c>
      <c r="C3595" s="14" t="s">
        <v>43</v>
      </c>
      <c r="D3595" s="14" t="s">
        <v>44</v>
      </c>
      <c r="E3595" s="14" t="s">
        <v>64</v>
      </c>
      <c r="F3595" s="14" t="s">
        <v>96</v>
      </c>
      <c r="G3595" s="14" t="s">
        <v>97</v>
      </c>
      <c r="H3595" s="0" t="n">
        <v>5</v>
      </c>
      <c r="I3595" s="16" t="n">
        <v>54.8</v>
      </c>
      <c r="J3595" s="16" t="n">
        <v>24</v>
      </c>
      <c r="K3595" s="16" t="n">
        <f aca="false">H3595*I3595</f>
        <v>274</v>
      </c>
      <c r="L3595" s="16" t="n">
        <f aca="false">H3595*J3595</f>
        <v>120</v>
      </c>
      <c r="M3595" s="16" t="n">
        <f aca="false">K3595-L3595</f>
        <v>154</v>
      </c>
      <c r="N3595" s="17" t="n">
        <f aca="false">IFERROR(M3595/K3595,0)</f>
        <v>0.562043795620438</v>
      </c>
    </row>
    <row r="3596" customFormat="false" ht="15" hidden="false" customHeight="false" outlineLevel="0" collapsed="false">
      <c r="A3596" s="15" t="n">
        <v>46173</v>
      </c>
      <c r="B3596" s="14" t="s">
        <v>42</v>
      </c>
      <c r="C3596" s="14" t="s">
        <v>43</v>
      </c>
      <c r="D3596" s="14" t="s">
        <v>44</v>
      </c>
      <c r="E3596" s="14" t="s">
        <v>76</v>
      </c>
      <c r="F3596" s="14" t="s">
        <v>102</v>
      </c>
      <c r="G3596" s="14" t="s">
        <v>103</v>
      </c>
      <c r="H3596" s="0" t="n">
        <v>4</v>
      </c>
      <c r="I3596" s="16" t="n">
        <v>22.6</v>
      </c>
      <c r="J3596" s="16" t="n">
        <v>8.5</v>
      </c>
      <c r="K3596" s="16" t="n">
        <f aca="false">H3596*I3596</f>
        <v>90.4</v>
      </c>
      <c r="L3596" s="16" t="n">
        <f aca="false">H3596*J3596</f>
        <v>34</v>
      </c>
      <c r="M3596" s="16" t="n">
        <f aca="false">K3596-L3596</f>
        <v>56.4</v>
      </c>
      <c r="N3596" s="17" t="n">
        <f aca="false">IFERROR(M3596/K3596,0)</f>
        <v>0.623893805309735</v>
      </c>
    </row>
    <row r="3597" customFormat="false" ht="15" hidden="false" customHeight="false" outlineLevel="0" collapsed="false">
      <c r="A3597" s="15" t="n">
        <v>46173</v>
      </c>
      <c r="B3597" s="14" t="s">
        <v>42</v>
      </c>
      <c r="C3597" s="14" t="s">
        <v>43</v>
      </c>
      <c r="D3597" s="14" t="s">
        <v>44</v>
      </c>
      <c r="E3597" s="14" t="s">
        <v>56</v>
      </c>
      <c r="F3597" s="14" t="s">
        <v>67</v>
      </c>
      <c r="G3597" s="14" t="s">
        <v>68</v>
      </c>
      <c r="H3597" s="0" t="n">
        <v>11</v>
      </c>
      <c r="I3597" s="16" t="n">
        <v>35.02</v>
      </c>
      <c r="J3597" s="16" t="n">
        <v>15</v>
      </c>
      <c r="K3597" s="16" t="n">
        <f aca="false">H3597*I3597</f>
        <v>385.22</v>
      </c>
      <c r="L3597" s="16" t="n">
        <f aca="false">H3597*J3597</f>
        <v>165</v>
      </c>
      <c r="M3597" s="16" t="n">
        <f aca="false">K3597-L3597</f>
        <v>220.22</v>
      </c>
      <c r="N3597" s="17" t="n">
        <f aca="false">IFERROR(M3597/K3597,0)</f>
        <v>0.571673329525985</v>
      </c>
    </row>
    <row r="3598" customFormat="false" ht="15" hidden="false" customHeight="false" outlineLevel="0" collapsed="false">
      <c r="A3598" s="15" t="n">
        <v>46173</v>
      </c>
      <c r="B3598" s="14" t="s">
        <v>42</v>
      </c>
      <c r="C3598" s="14" t="s">
        <v>43</v>
      </c>
      <c r="D3598" s="14" t="s">
        <v>44</v>
      </c>
      <c r="E3598" s="14" t="s">
        <v>56</v>
      </c>
      <c r="F3598" s="14" t="s">
        <v>98</v>
      </c>
      <c r="G3598" s="14" t="s">
        <v>99</v>
      </c>
      <c r="H3598" s="0" t="n">
        <v>6</v>
      </c>
      <c r="I3598" s="16" t="n">
        <v>21.82</v>
      </c>
      <c r="J3598" s="16" t="n">
        <v>8</v>
      </c>
      <c r="K3598" s="16" t="n">
        <f aca="false">H3598*I3598</f>
        <v>130.92</v>
      </c>
      <c r="L3598" s="16" t="n">
        <f aca="false">H3598*J3598</f>
        <v>48</v>
      </c>
      <c r="M3598" s="16" t="n">
        <f aca="false">K3598-L3598</f>
        <v>82.92</v>
      </c>
      <c r="N3598" s="17" t="n">
        <f aca="false">IFERROR(M3598/K3598,0)</f>
        <v>0.633363886342805</v>
      </c>
    </row>
    <row r="3599" customFormat="false" ht="15" hidden="false" customHeight="false" outlineLevel="0" collapsed="false">
      <c r="A3599" s="15" t="n">
        <v>46173</v>
      </c>
      <c r="B3599" s="14" t="s">
        <v>42</v>
      </c>
      <c r="C3599" s="14" t="s">
        <v>43</v>
      </c>
      <c r="D3599" s="14" t="s">
        <v>44</v>
      </c>
      <c r="E3599" s="14" t="s">
        <v>76</v>
      </c>
      <c r="F3599" s="14" t="s">
        <v>77</v>
      </c>
      <c r="G3599" s="14" t="s">
        <v>78</v>
      </c>
      <c r="H3599" s="0" t="n">
        <v>5</v>
      </c>
      <c r="I3599" s="16" t="n">
        <v>40.75</v>
      </c>
      <c r="J3599" s="16" t="n">
        <v>15</v>
      </c>
      <c r="K3599" s="16" t="n">
        <f aca="false">H3599*I3599</f>
        <v>203.75</v>
      </c>
      <c r="L3599" s="16" t="n">
        <f aca="false">H3599*J3599</f>
        <v>75</v>
      </c>
      <c r="M3599" s="16" t="n">
        <f aca="false">K3599-L3599</f>
        <v>128.75</v>
      </c>
      <c r="N3599" s="17" t="n">
        <f aca="false">IFERROR(M3599/K3599,0)</f>
        <v>0.631901840490798</v>
      </c>
    </row>
    <row r="3600" customFormat="false" ht="15" hidden="false" customHeight="false" outlineLevel="0" collapsed="false">
      <c r="A3600" s="15" t="n">
        <v>46173</v>
      </c>
      <c r="B3600" s="14" t="s">
        <v>50</v>
      </c>
      <c r="C3600" s="14" t="s">
        <v>51</v>
      </c>
      <c r="D3600" s="14" t="s">
        <v>52</v>
      </c>
      <c r="E3600" s="14" t="s">
        <v>45</v>
      </c>
      <c r="F3600" s="14" t="s">
        <v>62</v>
      </c>
      <c r="G3600" s="14" t="s">
        <v>63</v>
      </c>
      <c r="H3600" s="0" t="n">
        <v>1</v>
      </c>
      <c r="I3600" s="16" t="n">
        <v>17.03</v>
      </c>
      <c r="J3600" s="16" t="n">
        <v>6.5</v>
      </c>
      <c r="K3600" s="16" t="n">
        <f aca="false">H3600*I3600</f>
        <v>17.03</v>
      </c>
      <c r="L3600" s="16" t="n">
        <f aca="false">H3600*J3600</f>
        <v>6.5</v>
      </c>
      <c r="M3600" s="16" t="n">
        <f aca="false">K3600-L3600</f>
        <v>10.53</v>
      </c>
      <c r="N3600" s="17" t="n">
        <f aca="false">IFERROR(M3600/K3600,0)</f>
        <v>0.618320610687023</v>
      </c>
    </row>
    <row r="3601" customFormat="false" ht="15" hidden="false" customHeight="false" outlineLevel="0" collapsed="false">
      <c r="A3601" s="15" t="n">
        <v>46173</v>
      </c>
      <c r="B3601" s="14" t="s">
        <v>50</v>
      </c>
      <c r="C3601" s="14" t="s">
        <v>51</v>
      </c>
      <c r="D3601" s="14" t="s">
        <v>52</v>
      </c>
      <c r="E3601" s="14" t="s">
        <v>56</v>
      </c>
      <c r="F3601" s="14" t="s">
        <v>57</v>
      </c>
      <c r="G3601" s="14" t="s">
        <v>58</v>
      </c>
      <c r="H3601" s="0" t="n">
        <v>9</v>
      </c>
      <c r="I3601" s="16" t="n">
        <v>24.84</v>
      </c>
      <c r="J3601" s="16" t="n">
        <v>10</v>
      </c>
      <c r="K3601" s="16" t="n">
        <f aca="false">H3601*I3601</f>
        <v>223.56</v>
      </c>
      <c r="L3601" s="16" t="n">
        <f aca="false">H3601*J3601</f>
        <v>90</v>
      </c>
      <c r="M3601" s="16" t="n">
        <f aca="false">K3601-L3601</f>
        <v>133.56</v>
      </c>
      <c r="N3601" s="17" t="n">
        <f aca="false">IFERROR(M3601/K3601,0)</f>
        <v>0.597423510466989</v>
      </c>
    </row>
    <row r="3602" customFormat="false" ht="15" hidden="false" customHeight="false" outlineLevel="0" collapsed="false">
      <c r="A3602" s="15" t="n">
        <v>46173</v>
      </c>
      <c r="B3602" s="14" t="s">
        <v>50</v>
      </c>
      <c r="C3602" s="14" t="s">
        <v>51</v>
      </c>
      <c r="D3602" s="14" t="s">
        <v>52</v>
      </c>
      <c r="E3602" s="14" t="s">
        <v>53</v>
      </c>
      <c r="F3602" s="14" t="s">
        <v>54</v>
      </c>
      <c r="G3602" s="14" t="s">
        <v>55</v>
      </c>
      <c r="H3602" s="0" t="n">
        <v>4</v>
      </c>
      <c r="I3602" s="16" t="n">
        <v>53.82</v>
      </c>
      <c r="J3602" s="16" t="n">
        <v>22</v>
      </c>
      <c r="K3602" s="16" t="n">
        <f aca="false">H3602*I3602</f>
        <v>215.28</v>
      </c>
      <c r="L3602" s="16" t="n">
        <f aca="false">H3602*J3602</f>
        <v>88</v>
      </c>
      <c r="M3602" s="16" t="n">
        <f aca="false">K3602-L3602</f>
        <v>127.28</v>
      </c>
      <c r="N3602" s="17" t="n">
        <f aca="false">IFERROR(M3602/K3602,0)</f>
        <v>0.591230026012635</v>
      </c>
    </row>
    <row r="3603" customFormat="false" ht="15" hidden="false" customHeight="false" outlineLevel="0" collapsed="false">
      <c r="A3603" s="15" t="n">
        <v>46173</v>
      </c>
      <c r="B3603" s="14" t="s">
        <v>50</v>
      </c>
      <c r="C3603" s="14" t="s">
        <v>51</v>
      </c>
      <c r="D3603" s="14" t="s">
        <v>52</v>
      </c>
      <c r="E3603" s="14" t="s">
        <v>64</v>
      </c>
      <c r="F3603" s="14" t="s">
        <v>94</v>
      </c>
      <c r="G3603" s="14" t="s">
        <v>95</v>
      </c>
      <c r="H3603" s="0" t="n">
        <v>7</v>
      </c>
      <c r="I3603" s="16" t="n">
        <v>95.72</v>
      </c>
      <c r="J3603" s="16" t="n">
        <v>42</v>
      </c>
      <c r="K3603" s="16" t="n">
        <f aca="false">H3603*I3603</f>
        <v>670.04</v>
      </c>
      <c r="L3603" s="16" t="n">
        <f aca="false">H3603*J3603</f>
        <v>294</v>
      </c>
      <c r="M3603" s="16" t="n">
        <f aca="false">K3603-L3603</f>
        <v>376.04</v>
      </c>
      <c r="N3603" s="17" t="n">
        <f aca="false">IFERROR(M3603/K3603,0)</f>
        <v>0.56122022565817</v>
      </c>
    </row>
    <row r="3604" customFormat="false" ht="15" hidden="false" customHeight="false" outlineLevel="0" collapsed="false">
      <c r="A3604" s="15" t="n">
        <v>46173</v>
      </c>
      <c r="B3604" s="14" t="s">
        <v>50</v>
      </c>
      <c r="C3604" s="14" t="s">
        <v>51</v>
      </c>
      <c r="D3604" s="14" t="s">
        <v>52</v>
      </c>
      <c r="E3604" s="14" t="s">
        <v>64</v>
      </c>
      <c r="F3604" s="14" t="s">
        <v>94</v>
      </c>
      <c r="G3604" s="14" t="s">
        <v>95</v>
      </c>
      <c r="H3604" s="0" t="n">
        <v>3</v>
      </c>
      <c r="I3604" s="16" t="n">
        <v>94.09</v>
      </c>
      <c r="J3604" s="16" t="n">
        <v>42</v>
      </c>
      <c r="K3604" s="16" t="n">
        <f aca="false">H3604*I3604</f>
        <v>282.27</v>
      </c>
      <c r="L3604" s="16" t="n">
        <f aca="false">H3604*J3604</f>
        <v>126</v>
      </c>
      <c r="M3604" s="16" t="n">
        <f aca="false">K3604-L3604</f>
        <v>156.27</v>
      </c>
      <c r="N3604" s="17" t="n">
        <f aca="false">IFERROR(M3604/K3604,0)</f>
        <v>0.553618875544691</v>
      </c>
    </row>
    <row r="3605" customFormat="false" ht="15" hidden="false" customHeight="false" outlineLevel="0" collapsed="false">
      <c r="A3605" s="15" t="n">
        <v>46173</v>
      </c>
      <c r="B3605" s="14" t="s">
        <v>50</v>
      </c>
      <c r="C3605" s="14" t="s">
        <v>51</v>
      </c>
      <c r="D3605" s="14" t="s">
        <v>52</v>
      </c>
      <c r="E3605" s="14" t="s">
        <v>56</v>
      </c>
      <c r="F3605" s="14" t="s">
        <v>86</v>
      </c>
      <c r="G3605" s="14" t="s">
        <v>87</v>
      </c>
      <c r="H3605" s="0" t="n">
        <v>6</v>
      </c>
      <c r="I3605" s="16" t="n">
        <v>14.19</v>
      </c>
      <c r="J3605" s="16" t="n">
        <v>5</v>
      </c>
      <c r="K3605" s="16" t="n">
        <f aca="false">H3605*I3605</f>
        <v>85.14</v>
      </c>
      <c r="L3605" s="16" t="n">
        <f aca="false">H3605*J3605</f>
        <v>30</v>
      </c>
      <c r="M3605" s="16" t="n">
        <f aca="false">K3605-L3605</f>
        <v>55.14</v>
      </c>
      <c r="N3605" s="17" t="n">
        <f aca="false">IFERROR(M3605/K3605,0)</f>
        <v>0.647639182522903</v>
      </c>
    </row>
    <row r="3606" customFormat="false" ht="15" hidden="false" customHeight="false" outlineLevel="0" collapsed="false">
      <c r="A3606" s="15" t="n">
        <v>46173</v>
      </c>
      <c r="B3606" s="14" t="s">
        <v>59</v>
      </c>
      <c r="C3606" s="14" t="s">
        <v>60</v>
      </c>
      <c r="D3606" s="14" t="s">
        <v>61</v>
      </c>
      <c r="E3606" s="14" t="s">
        <v>76</v>
      </c>
      <c r="F3606" s="14" t="s">
        <v>100</v>
      </c>
      <c r="G3606" s="14" t="s">
        <v>101</v>
      </c>
      <c r="H3606" s="0" t="n">
        <v>5</v>
      </c>
      <c r="I3606" s="16" t="n">
        <v>15.4</v>
      </c>
      <c r="J3606" s="16" t="n">
        <v>5.5</v>
      </c>
      <c r="K3606" s="16" t="n">
        <f aca="false">H3606*I3606</f>
        <v>77</v>
      </c>
      <c r="L3606" s="16" t="n">
        <f aca="false">H3606*J3606</f>
        <v>27.5</v>
      </c>
      <c r="M3606" s="16" t="n">
        <f aca="false">K3606-L3606</f>
        <v>49.5</v>
      </c>
      <c r="N3606" s="17" t="n">
        <f aca="false">IFERROR(M3606/K3606,0)</f>
        <v>0.642857142857143</v>
      </c>
    </row>
    <row r="3607" customFormat="false" ht="15" hidden="false" customHeight="false" outlineLevel="0" collapsed="false">
      <c r="A3607" s="15" t="n">
        <v>46173</v>
      </c>
      <c r="B3607" s="14" t="s">
        <v>59</v>
      </c>
      <c r="C3607" s="14" t="s">
        <v>60</v>
      </c>
      <c r="D3607" s="14" t="s">
        <v>61</v>
      </c>
      <c r="E3607" s="14" t="s">
        <v>64</v>
      </c>
      <c r="F3607" s="14" t="s">
        <v>96</v>
      </c>
      <c r="G3607" s="14" t="s">
        <v>97</v>
      </c>
      <c r="H3607" s="0" t="n">
        <v>8</v>
      </c>
      <c r="I3607" s="16" t="n">
        <v>58.8</v>
      </c>
      <c r="J3607" s="16" t="n">
        <v>24</v>
      </c>
      <c r="K3607" s="16" t="n">
        <f aca="false">H3607*I3607</f>
        <v>470.4</v>
      </c>
      <c r="L3607" s="16" t="n">
        <f aca="false">H3607*J3607</f>
        <v>192</v>
      </c>
      <c r="M3607" s="16" t="n">
        <f aca="false">K3607-L3607</f>
        <v>278.4</v>
      </c>
      <c r="N3607" s="17" t="n">
        <f aca="false">IFERROR(M3607/K3607,0)</f>
        <v>0.591836734693878</v>
      </c>
    </row>
    <row r="3608" customFormat="false" ht="15" hidden="false" customHeight="false" outlineLevel="0" collapsed="false">
      <c r="A3608" s="15" t="n">
        <v>46173</v>
      </c>
      <c r="B3608" s="14" t="s">
        <v>59</v>
      </c>
      <c r="C3608" s="14" t="s">
        <v>60</v>
      </c>
      <c r="D3608" s="14" t="s">
        <v>61</v>
      </c>
      <c r="E3608" s="14" t="s">
        <v>45</v>
      </c>
      <c r="F3608" s="14" t="s">
        <v>48</v>
      </c>
      <c r="G3608" s="14" t="s">
        <v>49</v>
      </c>
      <c r="H3608" s="0" t="n">
        <v>2</v>
      </c>
      <c r="I3608" s="16" t="n">
        <v>65.63</v>
      </c>
      <c r="J3608" s="16" t="n">
        <v>27.5</v>
      </c>
      <c r="K3608" s="16" t="n">
        <f aca="false">H3608*I3608</f>
        <v>131.26</v>
      </c>
      <c r="L3608" s="16" t="n">
        <f aca="false">H3608*J3608</f>
        <v>55</v>
      </c>
      <c r="M3608" s="16" t="n">
        <f aca="false">K3608-L3608</f>
        <v>76.26</v>
      </c>
      <c r="N3608" s="17" t="n">
        <f aca="false">IFERROR(M3608/K3608,0)</f>
        <v>0.580984305957641</v>
      </c>
    </row>
    <row r="3609" customFormat="false" ht="15" hidden="false" customHeight="false" outlineLevel="0" collapsed="false">
      <c r="A3609" s="15" t="n">
        <v>46173</v>
      </c>
      <c r="B3609" s="14" t="s">
        <v>59</v>
      </c>
      <c r="C3609" s="14" t="s">
        <v>60</v>
      </c>
      <c r="D3609" s="14" t="s">
        <v>61</v>
      </c>
      <c r="E3609" s="14" t="s">
        <v>53</v>
      </c>
      <c r="F3609" s="14" t="s">
        <v>54</v>
      </c>
      <c r="G3609" s="14" t="s">
        <v>55</v>
      </c>
      <c r="H3609" s="0" t="n">
        <v>10</v>
      </c>
      <c r="I3609" s="16" t="n">
        <v>54.41</v>
      </c>
      <c r="J3609" s="16" t="n">
        <v>22</v>
      </c>
      <c r="K3609" s="16" t="n">
        <f aca="false">H3609*I3609</f>
        <v>544.1</v>
      </c>
      <c r="L3609" s="16" t="n">
        <f aca="false">H3609*J3609</f>
        <v>220</v>
      </c>
      <c r="M3609" s="16" t="n">
        <f aca="false">K3609-L3609</f>
        <v>324.1</v>
      </c>
      <c r="N3609" s="17" t="n">
        <f aca="false">IFERROR(M3609/K3609,0)</f>
        <v>0.595662562029039</v>
      </c>
    </row>
    <row r="3610" customFormat="false" ht="15" hidden="false" customHeight="false" outlineLevel="0" collapsed="false">
      <c r="A3610" s="15" t="n">
        <v>46173</v>
      </c>
      <c r="B3610" s="14" t="s">
        <v>69</v>
      </c>
      <c r="C3610" s="14" t="s">
        <v>70</v>
      </c>
      <c r="D3610" s="14" t="s">
        <v>71</v>
      </c>
      <c r="E3610" s="14" t="s">
        <v>64</v>
      </c>
      <c r="F3610" s="14" t="s">
        <v>90</v>
      </c>
      <c r="G3610" s="14" t="s">
        <v>91</v>
      </c>
      <c r="H3610" s="0" t="n">
        <v>2</v>
      </c>
      <c r="I3610" s="16" t="n">
        <v>11.14</v>
      </c>
      <c r="J3610" s="16" t="n">
        <v>3.5</v>
      </c>
      <c r="K3610" s="16" t="n">
        <f aca="false">H3610*I3610</f>
        <v>22.28</v>
      </c>
      <c r="L3610" s="16" t="n">
        <f aca="false">H3610*J3610</f>
        <v>7</v>
      </c>
      <c r="M3610" s="16" t="n">
        <f aca="false">K3610-L3610</f>
        <v>15.28</v>
      </c>
      <c r="N3610" s="17" t="n">
        <f aca="false">IFERROR(M3610/K3610,0)</f>
        <v>0.685816876122083</v>
      </c>
    </row>
    <row r="3611" customFormat="false" ht="15" hidden="false" customHeight="false" outlineLevel="0" collapsed="false">
      <c r="A3611" s="15" t="n">
        <v>46173</v>
      </c>
      <c r="B3611" s="14" t="s">
        <v>69</v>
      </c>
      <c r="C3611" s="14" t="s">
        <v>70</v>
      </c>
      <c r="D3611" s="14" t="s">
        <v>71</v>
      </c>
      <c r="E3611" s="14" t="s">
        <v>56</v>
      </c>
      <c r="F3611" s="14" t="s">
        <v>57</v>
      </c>
      <c r="G3611" s="14" t="s">
        <v>58</v>
      </c>
      <c r="H3611" s="0" t="n">
        <v>3</v>
      </c>
      <c r="I3611" s="16" t="n">
        <v>25.32</v>
      </c>
      <c r="J3611" s="16" t="n">
        <v>10</v>
      </c>
      <c r="K3611" s="16" t="n">
        <f aca="false">H3611*I3611</f>
        <v>75.96</v>
      </c>
      <c r="L3611" s="16" t="n">
        <f aca="false">H3611*J3611</f>
        <v>30</v>
      </c>
      <c r="M3611" s="16" t="n">
        <f aca="false">K3611-L3611</f>
        <v>45.96</v>
      </c>
      <c r="N3611" s="17" t="n">
        <f aca="false">IFERROR(M3611/K3611,0)</f>
        <v>0.605055292259084</v>
      </c>
    </row>
    <row r="3612" customFormat="false" ht="15" hidden="false" customHeight="false" outlineLevel="0" collapsed="false">
      <c r="A3612" s="15" t="n">
        <v>46173</v>
      </c>
      <c r="B3612" s="14" t="s">
        <v>69</v>
      </c>
      <c r="C3612" s="14" t="s">
        <v>70</v>
      </c>
      <c r="D3612" s="14" t="s">
        <v>71</v>
      </c>
      <c r="E3612" s="14" t="s">
        <v>53</v>
      </c>
      <c r="F3612" s="14" t="s">
        <v>54</v>
      </c>
      <c r="G3612" s="14" t="s">
        <v>55</v>
      </c>
      <c r="H3612" s="0" t="n">
        <v>8</v>
      </c>
      <c r="I3612" s="16" t="n">
        <v>51.03</v>
      </c>
      <c r="J3612" s="16" t="n">
        <v>22</v>
      </c>
      <c r="K3612" s="16" t="n">
        <f aca="false">H3612*I3612</f>
        <v>408.24</v>
      </c>
      <c r="L3612" s="16" t="n">
        <f aca="false">H3612*J3612</f>
        <v>176</v>
      </c>
      <c r="M3612" s="16" t="n">
        <f aca="false">K3612-L3612</f>
        <v>232.24</v>
      </c>
      <c r="N3612" s="17" t="n">
        <f aca="false">IFERROR(M3612/K3612,0)</f>
        <v>0.568881050362532</v>
      </c>
    </row>
    <row r="3613" customFormat="false" ht="15" hidden="false" customHeight="false" outlineLevel="0" collapsed="false">
      <c r="A3613" s="15" t="n">
        <v>46173</v>
      </c>
      <c r="B3613" s="14" t="s">
        <v>81</v>
      </c>
      <c r="C3613" s="14" t="s">
        <v>82</v>
      </c>
      <c r="D3613" s="14" t="s">
        <v>83</v>
      </c>
      <c r="E3613" s="14" t="s">
        <v>45</v>
      </c>
      <c r="F3613" s="14" t="s">
        <v>72</v>
      </c>
      <c r="G3613" s="14" t="s">
        <v>73</v>
      </c>
      <c r="H3613" s="0" t="n">
        <v>2</v>
      </c>
      <c r="I3613" s="16" t="n">
        <v>51.96</v>
      </c>
      <c r="J3613" s="16" t="n">
        <v>21</v>
      </c>
      <c r="K3613" s="16" t="n">
        <f aca="false">H3613*I3613</f>
        <v>103.92</v>
      </c>
      <c r="L3613" s="16" t="n">
        <f aca="false">H3613*J3613</f>
        <v>42</v>
      </c>
      <c r="M3613" s="16" t="n">
        <f aca="false">K3613-L3613</f>
        <v>61.92</v>
      </c>
      <c r="N3613" s="17" t="n">
        <f aca="false">IFERROR(M3613/K3613,0)</f>
        <v>0.595842956120092</v>
      </c>
    </row>
    <row r="3614" customFormat="false" ht="15" hidden="false" customHeight="false" outlineLevel="0" collapsed="false">
      <c r="A3614" s="15" t="n">
        <v>46173</v>
      </c>
      <c r="B3614" s="14" t="s">
        <v>81</v>
      </c>
      <c r="C3614" s="14" t="s">
        <v>82</v>
      </c>
      <c r="D3614" s="14" t="s">
        <v>83</v>
      </c>
      <c r="E3614" s="14" t="s">
        <v>56</v>
      </c>
      <c r="F3614" s="14" t="s">
        <v>57</v>
      </c>
      <c r="G3614" s="14" t="s">
        <v>58</v>
      </c>
      <c r="H3614" s="0" t="n">
        <v>4</v>
      </c>
      <c r="I3614" s="16" t="n">
        <v>25.04</v>
      </c>
      <c r="J3614" s="16" t="n">
        <v>10</v>
      </c>
      <c r="K3614" s="16" t="n">
        <f aca="false">H3614*I3614</f>
        <v>100.16</v>
      </c>
      <c r="L3614" s="16" t="n">
        <f aca="false">H3614*J3614</f>
        <v>40</v>
      </c>
      <c r="M3614" s="16" t="n">
        <f aca="false">K3614-L3614</f>
        <v>60.16</v>
      </c>
      <c r="N3614" s="17" t="n">
        <f aca="false">IFERROR(M3614/K3614,0)</f>
        <v>0.600638977635783</v>
      </c>
    </row>
    <row r="3615" customFormat="false" ht="15" hidden="false" customHeight="false" outlineLevel="0" collapsed="false">
      <c r="A3615" s="15" t="n">
        <v>46173</v>
      </c>
      <c r="B3615" s="14" t="s">
        <v>81</v>
      </c>
      <c r="C3615" s="14" t="s">
        <v>82</v>
      </c>
      <c r="D3615" s="14" t="s">
        <v>83</v>
      </c>
      <c r="E3615" s="14" t="s">
        <v>53</v>
      </c>
      <c r="F3615" s="14" t="s">
        <v>74</v>
      </c>
      <c r="G3615" s="14" t="s">
        <v>75</v>
      </c>
      <c r="H3615" s="0" t="n">
        <v>2</v>
      </c>
      <c r="I3615" s="16" t="n">
        <v>87.61</v>
      </c>
      <c r="J3615" s="16" t="n">
        <v>38</v>
      </c>
      <c r="K3615" s="16" t="n">
        <f aca="false">H3615*I3615</f>
        <v>175.22</v>
      </c>
      <c r="L3615" s="16" t="n">
        <f aca="false">H3615*J3615</f>
        <v>76</v>
      </c>
      <c r="M3615" s="16" t="n">
        <f aca="false">K3615-L3615</f>
        <v>99.22</v>
      </c>
      <c r="N3615" s="17" t="n">
        <f aca="false">IFERROR(M3615/K3615,0)</f>
        <v>0.566259559411026</v>
      </c>
    </row>
    <row r="3616" customFormat="false" ht="15" hidden="false" customHeight="false" outlineLevel="0" collapsed="false">
      <c r="A3616" s="15" t="n">
        <v>46173</v>
      </c>
      <c r="B3616" s="14" t="s">
        <v>81</v>
      </c>
      <c r="C3616" s="14" t="s">
        <v>82</v>
      </c>
      <c r="D3616" s="14" t="s">
        <v>83</v>
      </c>
      <c r="E3616" s="14" t="s">
        <v>56</v>
      </c>
      <c r="F3616" s="14" t="s">
        <v>86</v>
      </c>
      <c r="G3616" s="14" t="s">
        <v>87</v>
      </c>
      <c r="H3616" s="0" t="n">
        <v>1</v>
      </c>
      <c r="I3616" s="16" t="n">
        <v>14.37</v>
      </c>
      <c r="J3616" s="16" t="n">
        <v>5</v>
      </c>
      <c r="K3616" s="16" t="n">
        <f aca="false">H3616*I3616</f>
        <v>14.37</v>
      </c>
      <c r="L3616" s="16" t="n">
        <f aca="false">H3616*J3616</f>
        <v>5</v>
      </c>
      <c r="M3616" s="16" t="n">
        <f aca="false">K3616-L3616</f>
        <v>9.37</v>
      </c>
      <c r="N3616" s="17" t="n">
        <f aca="false">IFERROR(M3616/K3616,0)</f>
        <v>0.65205288796103</v>
      </c>
    </row>
    <row r="3617" customFormat="false" ht="15" hidden="false" customHeight="false" outlineLevel="0" collapsed="false">
      <c r="A3617" s="15" t="n">
        <v>46173</v>
      </c>
      <c r="B3617" s="14" t="s">
        <v>88</v>
      </c>
      <c r="C3617" s="14" t="s">
        <v>89</v>
      </c>
      <c r="D3617" s="14" t="s">
        <v>44</v>
      </c>
      <c r="E3617" s="14" t="s">
        <v>56</v>
      </c>
      <c r="F3617" s="14" t="s">
        <v>86</v>
      </c>
      <c r="G3617" s="14" t="s">
        <v>87</v>
      </c>
      <c r="H3617" s="0" t="n">
        <v>1</v>
      </c>
      <c r="I3617" s="16" t="n">
        <v>14.91</v>
      </c>
      <c r="J3617" s="16" t="n">
        <v>5</v>
      </c>
      <c r="K3617" s="16" t="n">
        <f aca="false">H3617*I3617</f>
        <v>14.91</v>
      </c>
      <c r="L3617" s="16" t="n">
        <f aca="false">H3617*J3617</f>
        <v>5</v>
      </c>
      <c r="M3617" s="16" t="n">
        <f aca="false">K3617-L3617</f>
        <v>9.91</v>
      </c>
      <c r="N3617" s="17" t="n">
        <f aca="false">IFERROR(M3617/K3617,0)</f>
        <v>0.664654594232059</v>
      </c>
    </row>
    <row r="3618" customFormat="false" ht="15" hidden="false" customHeight="false" outlineLevel="0" collapsed="false">
      <c r="A3618" s="15" t="n">
        <v>46173</v>
      </c>
      <c r="B3618" s="14" t="s">
        <v>88</v>
      </c>
      <c r="C3618" s="14" t="s">
        <v>89</v>
      </c>
      <c r="D3618" s="14" t="s">
        <v>44</v>
      </c>
      <c r="E3618" s="14" t="s">
        <v>64</v>
      </c>
      <c r="F3618" s="14" t="s">
        <v>96</v>
      </c>
      <c r="G3618" s="14" t="s">
        <v>97</v>
      </c>
      <c r="H3618" s="0" t="n">
        <v>9</v>
      </c>
      <c r="I3618" s="16" t="n">
        <v>58.47</v>
      </c>
      <c r="J3618" s="16" t="n">
        <v>24</v>
      </c>
      <c r="K3618" s="16" t="n">
        <f aca="false">H3618*I3618</f>
        <v>526.23</v>
      </c>
      <c r="L3618" s="16" t="n">
        <f aca="false">H3618*J3618</f>
        <v>216</v>
      </c>
      <c r="M3618" s="16" t="n">
        <f aca="false">K3618-L3618</f>
        <v>310.23</v>
      </c>
      <c r="N3618" s="17" t="n">
        <f aca="false">IFERROR(M3618/K3618,0)</f>
        <v>0.589533093894305</v>
      </c>
    </row>
    <row r="3619" customFormat="false" ht="15" hidden="false" customHeight="false" outlineLevel="0" collapsed="false">
      <c r="A3619" s="15" t="n">
        <v>46173</v>
      </c>
      <c r="B3619" s="14" t="s">
        <v>88</v>
      </c>
      <c r="C3619" s="14" t="s">
        <v>89</v>
      </c>
      <c r="D3619" s="14" t="s">
        <v>44</v>
      </c>
      <c r="E3619" s="14" t="s">
        <v>45</v>
      </c>
      <c r="F3619" s="14" t="s">
        <v>48</v>
      </c>
      <c r="G3619" s="14" t="s">
        <v>49</v>
      </c>
      <c r="H3619" s="0" t="n">
        <v>5</v>
      </c>
      <c r="I3619" s="16" t="n">
        <v>67.59</v>
      </c>
      <c r="J3619" s="16" t="n">
        <v>27.5</v>
      </c>
      <c r="K3619" s="16" t="n">
        <f aca="false">H3619*I3619</f>
        <v>337.95</v>
      </c>
      <c r="L3619" s="16" t="n">
        <f aca="false">H3619*J3619</f>
        <v>137.5</v>
      </c>
      <c r="M3619" s="16" t="n">
        <f aca="false">K3619-L3619</f>
        <v>200.45</v>
      </c>
      <c r="N3619" s="17" t="n">
        <f aca="false">IFERROR(M3619/K3619,0)</f>
        <v>0.593135079153721</v>
      </c>
    </row>
    <row r="3620" customFormat="false" ht="15" hidden="false" customHeight="false" outlineLevel="0" collapsed="false">
      <c r="A3620" s="15" t="n">
        <v>46173</v>
      </c>
      <c r="B3620" s="14" t="s">
        <v>88</v>
      </c>
      <c r="C3620" s="14" t="s">
        <v>89</v>
      </c>
      <c r="D3620" s="14" t="s">
        <v>44</v>
      </c>
      <c r="E3620" s="14" t="s">
        <v>76</v>
      </c>
      <c r="F3620" s="14" t="s">
        <v>79</v>
      </c>
      <c r="G3620" s="14" t="s">
        <v>80</v>
      </c>
      <c r="H3620" s="0" t="n">
        <v>10</v>
      </c>
      <c r="I3620" s="16" t="n">
        <v>29.27</v>
      </c>
      <c r="J3620" s="16" t="n">
        <v>11</v>
      </c>
      <c r="K3620" s="16" t="n">
        <f aca="false">H3620*I3620</f>
        <v>292.7</v>
      </c>
      <c r="L3620" s="16" t="n">
        <f aca="false">H3620*J3620</f>
        <v>110</v>
      </c>
      <c r="M3620" s="16" t="n">
        <f aca="false">K3620-L3620</f>
        <v>182.7</v>
      </c>
      <c r="N3620" s="17" t="n">
        <f aca="false">IFERROR(M3620/K3620,0)</f>
        <v>0.624188588998975</v>
      </c>
    </row>
    <row r="3621" customFormat="false" ht="15" hidden="false" customHeight="false" outlineLevel="0" collapsed="false">
      <c r="A3621" s="15" t="n">
        <v>46174</v>
      </c>
      <c r="B3621" s="14" t="s">
        <v>42</v>
      </c>
      <c r="C3621" s="14" t="s">
        <v>43</v>
      </c>
      <c r="D3621" s="14" t="s">
        <v>44</v>
      </c>
      <c r="E3621" s="14" t="s">
        <v>64</v>
      </c>
      <c r="F3621" s="14" t="s">
        <v>96</v>
      </c>
      <c r="G3621" s="14" t="s">
        <v>97</v>
      </c>
      <c r="H3621" s="0" t="n">
        <v>1</v>
      </c>
      <c r="I3621" s="16" t="n">
        <v>57.77</v>
      </c>
      <c r="J3621" s="16" t="n">
        <v>24</v>
      </c>
      <c r="K3621" s="16" t="n">
        <f aca="false">H3621*I3621</f>
        <v>57.77</v>
      </c>
      <c r="L3621" s="16" t="n">
        <f aca="false">H3621*J3621</f>
        <v>24</v>
      </c>
      <c r="M3621" s="16" t="n">
        <f aca="false">K3621-L3621</f>
        <v>33.77</v>
      </c>
      <c r="N3621" s="17" t="n">
        <f aca="false">IFERROR(M3621/K3621,0)</f>
        <v>0.584559459927298</v>
      </c>
    </row>
    <row r="3622" customFormat="false" ht="15" hidden="false" customHeight="false" outlineLevel="0" collapsed="false">
      <c r="A3622" s="15" t="n">
        <v>46174</v>
      </c>
      <c r="B3622" s="14" t="s">
        <v>42</v>
      </c>
      <c r="C3622" s="14" t="s">
        <v>43</v>
      </c>
      <c r="D3622" s="14" t="s">
        <v>44</v>
      </c>
      <c r="E3622" s="14" t="s">
        <v>56</v>
      </c>
      <c r="F3622" s="14" t="s">
        <v>98</v>
      </c>
      <c r="G3622" s="14" t="s">
        <v>99</v>
      </c>
      <c r="H3622" s="0" t="n">
        <v>6</v>
      </c>
      <c r="I3622" s="16" t="n">
        <v>20.58</v>
      </c>
      <c r="J3622" s="16" t="n">
        <v>8</v>
      </c>
      <c r="K3622" s="16" t="n">
        <f aca="false">H3622*I3622</f>
        <v>123.48</v>
      </c>
      <c r="L3622" s="16" t="n">
        <f aca="false">H3622*J3622</f>
        <v>48</v>
      </c>
      <c r="M3622" s="16" t="n">
        <f aca="false">K3622-L3622</f>
        <v>75.48</v>
      </c>
      <c r="N3622" s="17" t="n">
        <f aca="false">IFERROR(M3622/K3622,0)</f>
        <v>0.611273080660836</v>
      </c>
    </row>
    <row r="3623" customFormat="false" ht="15" hidden="false" customHeight="false" outlineLevel="0" collapsed="false">
      <c r="A3623" s="15" t="n">
        <v>46174</v>
      </c>
      <c r="B3623" s="14" t="s">
        <v>42</v>
      </c>
      <c r="C3623" s="14" t="s">
        <v>43</v>
      </c>
      <c r="D3623" s="14" t="s">
        <v>44</v>
      </c>
      <c r="E3623" s="14" t="s">
        <v>53</v>
      </c>
      <c r="F3623" s="14" t="s">
        <v>54</v>
      </c>
      <c r="G3623" s="14" t="s">
        <v>55</v>
      </c>
      <c r="H3623" s="0" t="n">
        <v>2</v>
      </c>
      <c r="I3623" s="16" t="n">
        <v>53.82</v>
      </c>
      <c r="J3623" s="16" t="n">
        <v>22</v>
      </c>
      <c r="K3623" s="16" t="n">
        <f aca="false">H3623*I3623</f>
        <v>107.64</v>
      </c>
      <c r="L3623" s="16" t="n">
        <f aca="false">H3623*J3623</f>
        <v>44</v>
      </c>
      <c r="M3623" s="16" t="n">
        <f aca="false">K3623-L3623</f>
        <v>63.64</v>
      </c>
      <c r="N3623" s="17" t="n">
        <f aca="false">IFERROR(M3623/K3623,0)</f>
        <v>0.591230026012635</v>
      </c>
    </row>
    <row r="3624" customFormat="false" ht="15" hidden="false" customHeight="false" outlineLevel="0" collapsed="false">
      <c r="A3624" s="15" t="n">
        <v>46174</v>
      </c>
      <c r="B3624" s="14" t="s">
        <v>42</v>
      </c>
      <c r="C3624" s="14" t="s">
        <v>43</v>
      </c>
      <c r="D3624" s="14" t="s">
        <v>44</v>
      </c>
      <c r="E3624" s="14" t="s">
        <v>53</v>
      </c>
      <c r="F3624" s="14" t="s">
        <v>54</v>
      </c>
      <c r="G3624" s="14" t="s">
        <v>55</v>
      </c>
      <c r="H3624" s="0" t="n">
        <v>7</v>
      </c>
      <c r="I3624" s="16" t="n">
        <v>51.18</v>
      </c>
      <c r="J3624" s="16" t="n">
        <v>22</v>
      </c>
      <c r="K3624" s="16" t="n">
        <f aca="false">H3624*I3624</f>
        <v>358.26</v>
      </c>
      <c r="L3624" s="16" t="n">
        <f aca="false">H3624*J3624</f>
        <v>154</v>
      </c>
      <c r="M3624" s="16" t="n">
        <f aca="false">K3624-L3624</f>
        <v>204.26</v>
      </c>
      <c r="N3624" s="17" t="n">
        <f aca="false">IFERROR(M3624/K3624,0)</f>
        <v>0.570144587729582</v>
      </c>
    </row>
    <row r="3625" customFormat="false" ht="15" hidden="false" customHeight="false" outlineLevel="0" collapsed="false">
      <c r="A3625" s="15" t="n">
        <v>46174</v>
      </c>
      <c r="B3625" s="14" t="s">
        <v>50</v>
      </c>
      <c r="C3625" s="14" t="s">
        <v>51</v>
      </c>
      <c r="D3625" s="14" t="s">
        <v>52</v>
      </c>
      <c r="E3625" s="14" t="s">
        <v>45</v>
      </c>
      <c r="F3625" s="14" t="s">
        <v>72</v>
      </c>
      <c r="G3625" s="14" t="s">
        <v>73</v>
      </c>
      <c r="H3625" s="0" t="n">
        <v>4</v>
      </c>
      <c r="I3625" s="16" t="n">
        <v>50.41</v>
      </c>
      <c r="J3625" s="16" t="n">
        <v>21</v>
      </c>
      <c r="K3625" s="16" t="n">
        <f aca="false">H3625*I3625</f>
        <v>201.64</v>
      </c>
      <c r="L3625" s="16" t="n">
        <f aca="false">H3625*J3625</f>
        <v>84</v>
      </c>
      <c r="M3625" s="16" t="n">
        <f aca="false">K3625-L3625</f>
        <v>117.64</v>
      </c>
      <c r="N3625" s="17" t="n">
        <f aca="false">IFERROR(M3625/K3625,0)</f>
        <v>0.583415988891093</v>
      </c>
    </row>
    <row r="3626" customFormat="false" ht="15" hidden="false" customHeight="false" outlineLevel="0" collapsed="false">
      <c r="A3626" s="15" t="n">
        <v>46174</v>
      </c>
      <c r="B3626" s="14" t="s">
        <v>50</v>
      </c>
      <c r="C3626" s="14" t="s">
        <v>51</v>
      </c>
      <c r="D3626" s="14" t="s">
        <v>52</v>
      </c>
      <c r="E3626" s="14" t="s">
        <v>45</v>
      </c>
      <c r="F3626" s="14" t="s">
        <v>48</v>
      </c>
      <c r="G3626" s="14" t="s">
        <v>49</v>
      </c>
      <c r="H3626" s="0" t="n">
        <v>4</v>
      </c>
      <c r="I3626" s="16" t="n">
        <v>64.55</v>
      </c>
      <c r="J3626" s="16" t="n">
        <v>27.5</v>
      </c>
      <c r="K3626" s="16" t="n">
        <f aca="false">H3626*I3626</f>
        <v>258.2</v>
      </c>
      <c r="L3626" s="16" t="n">
        <f aca="false">H3626*J3626</f>
        <v>110</v>
      </c>
      <c r="M3626" s="16" t="n">
        <f aca="false">K3626-L3626</f>
        <v>148.2</v>
      </c>
      <c r="N3626" s="17" t="n">
        <f aca="false">IFERROR(M3626/K3626,0)</f>
        <v>0.573973663826491</v>
      </c>
    </row>
    <row r="3627" customFormat="false" ht="15" hidden="false" customHeight="false" outlineLevel="0" collapsed="false">
      <c r="A3627" s="15" t="n">
        <v>46174</v>
      </c>
      <c r="B3627" s="14" t="s">
        <v>50</v>
      </c>
      <c r="C3627" s="14" t="s">
        <v>51</v>
      </c>
      <c r="D3627" s="14" t="s">
        <v>52</v>
      </c>
      <c r="E3627" s="14" t="s">
        <v>76</v>
      </c>
      <c r="F3627" s="14" t="s">
        <v>100</v>
      </c>
      <c r="G3627" s="14" t="s">
        <v>101</v>
      </c>
      <c r="H3627" s="0" t="n">
        <v>4</v>
      </c>
      <c r="I3627" s="16" t="n">
        <v>15.6</v>
      </c>
      <c r="J3627" s="16" t="n">
        <v>5.5</v>
      </c>
      <c r="K3627" s="16" t="n">
        <f aca="false">H3627*I3627</f>
        <v>62.4</v>
      </c>
      <c r="L3627" s="16" t="n">
        <f aca="false">H3627*J3627</f>
        <v>22</v>
      </c>
      <c r="M3627" s="16" t="n">
        <f aca="false">K3627-L3627</f>
        <v>40.4</v>
      </c>
      <c r="N3627" s="17" t="n">
        <f aca="false">IFERROR(M3627/K3627,0)</f>
        <v>0.647435897435898</v>
      </c>
    </row>
    <row r="3628" customFormat="false" ht="15" hidden="false" customHeight="false" outlineLevel="0" collapsed="false">
      <c r="A3628" s="15" t="n">
        <v>46174</v>
      </c>
      <c r="B3628" s="14" t="s">
        <v>50</v>
      </c>
      <c r="C3628" s="14" t="s">
        <v>51</v>
      </c>
      <c r="D3628" s="14" t="s">
        <v>52</v>
      </c>
      <c r="E3628" s="14" t="s">
        <v>53</v>
      </c>
      <c r="F3628" s="14" t="s">
        <v>84</v>
      </c>
      <c r="G3628" s="14" t="s">
        <v>85</v>
      </c>
      <c r="H3628" s="0" t="n">
        <v>10</v>
      </c>
      <c r="I3628" s="16" t="n">
        <v>23.02</v>
      </c>
      <c r="J3628" s="16" t="n">
        <v>9</v>
      </c>
      <c r="K3628" s="16" t="n">
        <f aca="false">H3628*I3628</f>
        <v>230.2</v>
      </c>
      <c r="L3628" s="16" t="n">
        <f aca="false">H3628*J3628</f>
        <v>90</v>
      </c>
      <c r="M3628" s="16" t="n">
        <f aca="false">K3628-L3628</f>
        <v>140.2</v>
      </c>
      <c r="N3628" s="17" t="n">
        <f aca="false">IFERROR(M3628/K3628,0)</f>
        <v>0.609035621198957</v>
      </c>
    </row>
    <row r="3629" customFormat="false" ht="15" hidden="false" customHeight="false" outlineLevel="0" collapsed="false">
      <c r="A3629" s="15" t="n">
        <v>46174</v>
      </c>
      <c r="B3629" s="14" t="s">
        <v>50</v>
      </c>
      <c r="C3629" s="14" t="s">
        <v>51</v>
      </c>
      <c r="D3629" s="14" t="s">
        <v>52</v>
      </c>
      <c r="E3629" s="14" t="s">
        <v>76</v>
      </c>
      <c r="F3629" s="14" t="s">
        <v>79</v>
      </c>
      <c r="G3629" s="14" t="s">
        <v>80</v>
      </c>
      <c r="H3629" s="0" t="n">
        <v>4</v>
      </c>
      <c r="I3629" s="16" t="n">
        <v>29.24</v>
      </c>
      <c r="J3629" s="16" t="n">
        <v>11</v>
      </c>
      <c r="K3629" s="16" t="n">
        <f aca="false">H3629*I3629</f>
        <v>116.96</v>
      </c>
      <c r="L3629" s="16" t="n">
        <f aca="false">H3629*J3629</f>
        <v>44</v>
      </c>
      <c r="M3629" s="16" t="n">
        <f aca="false">K3629-L3629</f>
        <v>72.96</v>
      </c>
      <c r="N3629" s="17" t="n">
        <f aca="false">IFERROR(M3629/K3629,0)</f>
        <v>0.623803009575923</v>
      </c>
    </row>
    <row r="3630" customFormat="false" ht="15" hidden="false" customHeight="false" outlineLevel="0" collapsed="false">
      <c r="A3630" s="15" t="n">
        <v>46174</v>
      </c>
      <c r="B3630" s="14" t="s">
        <v>59</v>
      </c>
      <c r="C3630" s="14" t="s">
        <v>60</v>
      </c>
      <c r="D3630" s="14" t="s">
        <v>61</v>
      </c>
      <c r="E3630" s="14" t="s">
        <v>45</v>
      </c>
      <c r="F3630" s="14" t="s">
        <v>48</v>
      </c>
      <c r="G3630" s="14" t="s">
        <v>49</v>
      </c>
      <c r="H3630" s="0" t="n">
        <v>3</v>
      </c>
      <c r="I3630" s="16" t="n">
        <v>63.71</v>
      </c>
      <c r="J3630" s="16" t="n">
        <v>27.5</v>
      </c>
      <c r="K3630" s="16" t="n">
        <f aca="false">H3630*I3630</f>
        <v>191.13</v>
      </c>
      <c r="L3630" s="16" t="n">
        <f aca="false">H3630*J3630</f>
        <v>82.5</v>
      </c>
      <c r="M3630" s="16" t="n">
        <f aca="false">K3630-L3630</f>
        <v>108.63</v>
      </c>
      <c r="N3630" s="17" t="n">
        <f aca="false">IFERROR(M3630/K3630,0)</f>
        <v>0.568356615915869</v>
      </c>
    </row>
    <row r="3631" customFormat="false" ht="15" hidden="false" customHeight="false" outlineLevel="0" collapsed="false">
      <c r="A3631" s="15" t="n">
        <v>46174</v>
      </c>
      <c r="B3631" s="14" t="s">
        <v>59</v>
      </c>
      <c r="C3631" s="14" t="s">
        <v>60</v>
      </c>
      <c r="D3631" s="14" t="s">
        <v>61</v>
      </c>
      <c r="E3631" s="14" t="s">
        <v>53</v>
      </c>
      <c r="F3631" s="14" t="s">
        <v>84</v>
      </c>
      <c r="G3631" s="14" t="s">
        <v>85</v>
      </c>
      <c r="H3631" s="0" t="n">
        <v>2</v>
      </c>
      <c r="I3631" s="16" t="n">
        <v>23.87</v>
      </c>
      <c r="J3631" s="16" t="n">
        <v>9</v>
      </c>
      <c r="K3631" s="16" t="n">
        <f aca="false">H3631*I3631</f>
        <v>47.74</v>
      </c>
      <c r="L3631" s="16" t="n">
        <f aca="false">H3631*J3631</f>
        <v>18</v>
      </c>
      <c r="M3631" s="16" t="n">
        <f aca="false">K3631-L3631</f>
        <v>29.74</v>
      </c>
      <c r="N3631" s="17" t="n">
        <f aca="false">IFERROR(M3631/K3631,0)</f>
        <v>0.622957687473817</v>
      </c>
    </row>
    <row r="3632" customFormat="false" ht="15" hidden="false" customHeight="false" outlineLevel="0" collapsed="false">
      <c r="A3632" s="15" t="n">
        <v>46174</v>
      </c>
      <c r="B3632" s="14" t="s">
        <v>59</v>
      </c>
      <c r="C3632" s="14" t="s">
        <v>60</v>
      </c>
      <c r="D3632" s="14" t="s">
        <v>61</v>
      </c>
      <c r="E3632" s="14" t="s">
        <v>53</v>
      </c>
      <c r="F3632" s="14" t="s">
        <v>92</v>
      </c>
      <c r="G3632" s="14" t="s">
        <v>93</v>
      </c>
      <c r="H3632" s="0" t="n">
        <v>7</v>
      </c>
      <c r="I3632" s="16" t="n">
        <v>118.91</v>
      </c>
      <c r="J3632" s="16" t="n">
        <v>52</v>
      </c>
      <c r="K3632" s="16" t="n">
        <f aca="false">H3632*I3632</f>
        <v>832.37</v>
      </c>
      <c r="L3632" s="16" t="n">
        <f aca="false">H3632*J3632</f>
        <v>364</v>
      </c>
      <c r="M3632" s="16" t="n">
        <f aca="false">K3632-L3632</f>
        <v>468.37</v>
      </c>
      <c r="N3632" s="17" t="n">
        <f aca="false">IFERROR(M3632/K3632,0)</f>
        <v>0.562694474812884</v>
      </c>
    </row>
    <row r="3633" customFormat="false" ht="15" hidden="false" customHeight="false" outlineLevel="0" collapsed="false">
      <c r="A3633" s="15" t="n">
        <v>46174</v>
      </c>
      <c r="B3633" s="14" t="s">
        <v>59</v>
      </c>
      <c r="C3633" s="14" t="s">
        <v>60</v>
      </c>
      <c r="D3633" s="14" t="s">
        <v>61</v>
      </c>
      <c r="E3633" s="14" t="s">
        <v>53</v>
      </c>
      <c r="F3633" s="14" t="s">
        <v>54</v>
      </c>
      <c r="G3633" s="14" t="s">
        <v>55</v>
      </c>
      <c r="H3633" s="0" t="n">
        <v>9</v>
      </c>
      <c r="I3633" s="16" t="n">
        <v>52.47</v>
      </c>
      <c r="J3633" s="16" t="n">
        <v>22</v>
      </c>
      <c r="K3633" s="16" t="n">
        <f aca="false">H3633*I3633</f>
        <v>472.23</v>
      </c>
      <c r="L3633" s="16" t="n">
        <f aca="false">H3633*J3633</f>
        <v>198</v>
      </c>
      <c r="M3633" s="16" t="n">
        <f aca="false">K3633-L3633</f>
        <v>274.23</v>
      </c>
      <c r="N3633" s="17" t="n">
        <f aca="false">IFERROR(M3633/K3633,0)</f>
        <v>0.580712788259958</v>
      </c>
    </row>
    <row r="3634" customFormat="false" ht="15" hidden="false" customHeight="false" outlineLevel="0" collapsed="false">
      <c r="A3634" s="15" t="n">
        <v>46174</v>
      </c>
      <c r="B3634" s="14" t="s">
        <v>59</v>
      </c>
      <c r="C3634" s="14" t="s">
        <v>60</v>
      </c>
      <c r="D3634" s="14" t="s">
        <v>61</v>
      </c>
      <c r="E3634" s="14" t="s">
        <v>56</v>
      </c>
      <c r="F3634" s="14" t="s">
        <v>57</v>
      </c>
      <c r="G3634" s="14" t="s">
        <v>58</v>
      </c>
      <c r="H3634" s="0" t="n">
        <v>4</v>
      </c>
      <c r="I3634" s="16" t="n">
        <v>25.52</v>
      </c>
      <c r="J3634" s="16" t="n">
        <v>10</v>
      </c>
      <c r="K3634" s="16" t="n">
        <f aca="false">H3634*I3634</f>
        <v>102.08</v>
      </c>
      <c r="L3634" s="16" t="n">
        <f aca="false">H3634*J3634</f>
        <v>40</v>
      </c>
      <c r="M3634" s="16" t="n">
        <f aca="false">K3634-L3634</f>
        <v>62.08</v>
      </c>
      <c r="N3634" s="17" t="n">
        <f aca="false">IFERROR(M3634/K3634,0)</f>
        <v>0.608150470219436</v>
      </c>
    </row>
    <row r="3635" customFormat="false" ht="15" hidden="false" customHeight="false" outlineLevel="0" collapsed="false">
      <c r="A3635" s="15" t="n">
        <v>46174</v>
      </c>
      <c r="B3635" s="14" t="s">
        <v>69</v>
      </c>
      <c r="C3635" s="14" t="s">
        <v>70</v>
      </c>
      <c r="D3635" s="14" t="s">
        <v>71</v>
      </c>
      <c r="E3635" s="14" t="s">
        <v>53</v>
      </c>
      <c r="F3635" s="14" t="s">
        <v>74</v>
      </c>
      <c r="G3635" s="14" t="s">
        <v>75</v>
      </c>
      <c r="H3635" s="0" t="n">
        <v>4</v>
      </c>
      <c r="I3635" s="16" t="n">
        <v>84.77</v>
      </c>
      <c r="J3635" s="16" t="n">
        <v>38</v>
      </c>
      <c r="K3635" s="16" t="n">
        <f aca="false">H3635*I3635</f>
        <v>339.08</v>
      </c>
      <c r="L3635" s="16" t="n">
        <f aca="false">H3635*J3635</f>
        <v>152</v>
      </c>
      <c r="M3635" s="16" t="n">
        <f aca="false">K3635-L3635</f>
        <v>187.08</v>
      </c>
      <c r="N3635" s="17" t="n">
        <f aca="false">IFERROR(M3635/K3635,0)</f>
        <v>0.55172820573316</v>
      </c>
    </row>
    <row r="3636" customFormat="false" ht="15" hidden="false" customHeight="false" outlineLevel="0" collapsed="false">
      <c r="A3636" s="15" t="n">
        <v>46174</v>
      </c>
      <c r="B3636" s="14" t="s">
        <v>69</v>
      </c>
      <c r="C3636" s="14" t="s">
        <v>70</v>
      </c>
      <c r="D3636" s="14" t="s">
        <v>71</v>
      </c>
      <c r="E3636" s="14" t="s">
        <v>64</v>
      </c>
      <c r="F3636" s="14" t="s">
        <v>90</v>
      </c>
      <c r="G3636" s="14" t="s">
        <v>91</v>
      </c>
      <c r="H3636" s="0" t="n">
        <v>2</v>
      </c>
      <c r="I3636" s="16" t="n">
        <v>11.88</v>
      </c>
      <c r="J3636" s="16" t="n">
        <v>3.5</v>
      </c>
      <c r="K3636" s="16" t="n">
        <f aca="false">H3636*I3636</f>
        <v>23.76</v>
      </c>
      <c r="L3636" s="16" t="n">
        <f aca="false">H3636*J3636</f>
        <v>7</v>
      </c>
      <c r="M3636" s="16" t="n">
        <f aca="false">K3636-L3636</f>
        <v>16.76</v>
      </c>
      <c r="N3636" s="17" t="n">
        <f aca="false">IFERROR(M3636/K3636,0)</f>
        <v>0.705387205387206</v>
      </c>
    </row>
    <row r="3637" customFormat="false" ht="15" hidden="false" customHeight="false" outlineLevel="0" collapsed="false">
      <c r="A3637" s="15" t="n">
        <v>46174</v>
      </c>
      <c r="B3637" s="14" t="s">
        <v>69</v>
      </c>
      <c r="C3637" s="14" t="s">
        <v>70</v>
      </c>
      <c r="D3637" s="14" t="s">
        <v>71</v>
      </c>
      <c r="E3637" s="14" t="s">
        <v>45</v>
      </c>
      <c r="F3637" s="14" t="s">
        <v>62</v>
      </c>
      <c r="G3637" s="14" t="s">
        <v>63</v>
      </c>
      <c r="H3637" s="0" t="n">
        <v>1</v>
      </c>
      <c r="I3637" s="16" t="n">
        <v>16.89</v>
      </c>
      <c r="J3637" s="16" t="n">
        <v>6.5</v>
      </c>
      <c r="K3637" s="16" t="n">
        <f aca="false">H3637*I3637</f>
        <v>16.89</v>
      </c>
      <c r="L3637" s="16" t="n">
        <f aca="false">H3637*J3637</f>
        <v>6.5</v>
      </c>
      <c r="M3637" s="16" t="n">
        <f aca="false">K3637-L3637</f>
        <v>10.39</v>
      </c>
      <c r="N3637" s="17" t="n">
        <f aca="false">IFERROR(M3637/K3637,0)</f>
        <v>0.615156897572528</v>
      </c>
    </row>
    <row r="3638" customFormat="false" ht="15" hidden="false" customHeight="false" outlineLevel="0" collapsed="false">
      <c r="A3638" s="15" t="n">
        <v>46174</v>
      </c>
      <c r="B3638" s="14" t="s">
        <v>69</v>
      </c>
      <c r="C3638" s="14" t="s">
        <v>70</v>
      </c>
      <c r="D3638" s="14" t="s">
        <v>71</v>
      </c>
      <c r="E3638" s="14" t="s">
        <v>56</v>
      </c>
      <c r="F3638" s="14" t="s">
        <v>98</v>
      </c>
      <c r="G3638" s="14" t="s">
        <v>99</v>
      </c>
      <c r="H3638" s="0" t="n">
        <v>6</v>
      </c>
      <c r="I3638" s="16" t="n">
        <v>20.93</v>
      </c>
      <c r="J3638" s="16" t="n">
        <v>8</v>
      </c>
      <c r="K3638" s="16" t="n">
        <f aca="false">H3638*I3638</f>
        <v>125.58</v>
      </c>
      <c r="L3638" s="16" t="n">
        <f aca="false">H3638*J3638</f>
        <v>48</v>
      </c>
      <c r="M3638" s="16" t="n">
        <f aca="false">K3638-L3638</f>
        <v>77.58</v>
      </c>
      <c r="N3638" s="17" t="n">
        <f aca="false">IFERROR(M3638/K3638,0)</f>
        <v>0.617773530817009</v>
      </c>
    </row>
    <row r="3639" customFormat="false" ht="15" hidden="false" customHeight="false" outlineLevel="0" collapsed="false">
      <c r="A3639" s="15" t="n">
        <v>46174</v>
      </c>
      <c r="B3639" s="14" t="s">
        <v>69</v>
      </c>
      <c r="C3639" s="14" t="s">
        <v>70</v>
      </c>
      <c r="D3639" s="14" t="s">
        <v>71</v>
      </c>
      <c r="E3639" s="14" t="s">
        <v>56</v>
      </c>
      <c r="F3639" s="14" t="s">
        <v>86</v>
      </c>
      <c r="G3639" s="14" t="s">
        <v>87</v>
      </c>
      <c r="H3639" s="0" t="n">
        <v>1</v>
      </c>
      <c r="I3639" s="16" t="n">
        <v>14.42</v>
      </c>
      <c r="J3639" s="16" t="n">
        <v>5</v>
      </c>
      <c r="K3639" s="16" t="n">
        <f aca="false">H3639*I3639</f>
        <v>14.42</v>
      </c>
      <c r="L3639" s="16" t="n">
        <f aca="false">H3639*J3639</f>
        <v>5</v>
      </c>
      <c r="M3639" s="16" t="n">
        <f aca="false">K3639-L3639</f>
        <v>9.42</v>
      </c>
      <c r="N3639" s="17" t="n">
        <f aca="false">IFERROR(M3639/K3639,0)</f>
        <v>0.653259361997226</v>
      </c>
    </row>
    <row r="3640" customFormat="false" ht="15" hidden="false" customHeight="false" outlineLevel="0" collapsed="false">
      <c r="A3640" s="15" t="n">
        <v>46174</v>
      </c>
      <c r="B3640" s="14" t="s">
        <v>69</v>
      </c>
      <c r="C3640" s="14" t="s">
        <v>70</v>
      </c>
      <c r="D3640" s="14" t="s">
        <v>71</v>
      </c>
      <c r="E3640" s="14" t="s">
        <v>56</v>
      </c>
      <c r="F3640" s="14" t="s">
        <v>86</v>
      </c>
      <c r="G3640" s="14" t="s">
        <v>87</v>
      </c>
      <c r="H3640" s="0" t="n">
        <v>2</v>
      </c>
      <c r="I3640" s="16" t="n">
        <v>14.09</v>
      </c>
      <c r="J3640" s="16" t="n">
        <v>5</v>
      </c>
      <c r="K3640" s="16" t="n">
        <f aca="false">H3640*I3640</f>
        <v>28.18</v>
      </c>
      <c r="L3640" s="16" t="n">
        <f aca="false">H3640*J3640</f>
        <v>10</v>
      </c>
      <c r="M3640" s="16" t="n">
        <f aca="false">K3640-L3640</f>
        <v>18.18</v>
      </c>
      <c r="N3640" s="17" t="n">
        <f aca="false">IFERROR(M3640/K3640,0)</f>
        <v>0.64513839602555</v>
      </c>
    </row>
    <row r="3641" customFormat="false" ht="15" hidden="false" customHeight="false" outlineLevel="0" collapsed="false">
      <c r="A3641" s="15" t="n">
        <v>46174</v>
      </c>
      <c r="B3641" s="14" t="s">
        <v>81</v>
      </c>
      <c r="C3641" s="14" t="s">
        <v>82</v>
      </c>
      <c r="D3641" s="14" t="s">
        <v>83</v>
      </c>
      <c r="E3641" s="14" t="s">
        <v>56</v>
      </c>
      <c r="F3641" s="14" t="s">
        <v>98</v>
      </c>
      <c r="G3641" s="14" t="s">
        <v>99</v>
      </c>
      <c r="H3641" s="0" t="n">
        <v>3</v>
      </c>
      <c r="I3641" s="16" t="n">
        <v>21.19</v>
      </c>
      <c r="J3641" s="16" t="n">
        <v>8</v>
      </c>
      <c r="K3641" s="16" t="n">
        <f aca="false">H3641*I3641</f>
        <v>63.57</v>
      </c>
      <c r="L3641" s="16" t="n">
        <f aca="false">H3641*J3641</f>
        <v>24</v>
      </c>
      <c r="M3641" s="16" t="n">
        <f aca="false">K3641-L3641</f>
        <v>39.57</v>
      </c>
      <c r="N3641" s="17" t="n">
        <f aca="false">IFERROR(M3641/K3641,0)</f>
        <v>0.622463426144408</v>
      </c>
    </row>
    <row r="3642" customFormat="false" ht="15" hidden="false" customHeight="false" outlineLevel="0" collapsed="false">
      <c r="A3642" s="15" t="n">
        <v>46174</v>
      </c>
      <c r="B3642" s="14" t="s">
        <v>81</v>
      </c>
      <c r="C3642" s="14" t="s">
        <v>82</v>
      </c>
      <c r="D3642" s="14" t="s">
        <v>83</v>
      </c>
      <c r="E3642" s="14" t="s">
        <v>45</v>
      </c>
      <c r="F3642" s="14" t="s">
        <v>46</v>
      </c>
      <c r="G3642" s="14" t="s">
        <v>47</v>
      </c>
      <c r="H3642" s="0" t="n">
        <v>1</v>
      </c>
      <c r="I3642" s="16" t="n">
        <v>42.33</v>
      </c>
      <c r="J3642" s="16" t="n">
        <v>18</v>
      </c>
      <c r="K3642" s="16" t="n">
        <f aca="false">H3642*I3642</f>
        <v>42.33</v>
      </c>
      <c r="L3642" s="16" t="n">
        <f aca="false">H3642*J3642</f>
        <v>18</v>
      </c>
      <c r="M3642" s="16" t="n">
        <f aca="false">K3642-L3642</f>
        <v>24.33</v>
      </c>
      <c r="N3642" s="17" t="n">
        <f aca="false">IFERROR(M3642/K3642,0)</f>
        <v>0.574769666902906</v>
      </c>
    </row>
    <row r="3643" customFormat="false" ht="15" hidden="false" customHeight="false" outlineLevel="0" collapsed="false">
      <c r="A3643" s="15" t="n">
        <v>46174</v>
      </c>
      <c r="B3643" s="14" t="s">
        <v>88</v>
      </c>
      <c r="C3643" s="14" t="s">
        <v>89</v>
      </c>
      <c r="D3643" s="14" t="s">
        <v>44</v>
      </c>
      <c r="E3643" s="14" t="s">
        <v>56</v>
      </c>
      <c r="F3643" s="14" t="s">
        <v>86</v>
      </c>
      <c r="G3643" s="14" t="s">
        <v>87</v>
      </c>
      <c r="H3643" s="0" t="n">
        <v>3</v>
      </c>
      <c r="I3643" s="16" t="n">
        <v>13.85</v>
      </c>
      <c r="J3643" s="16" t="n">
        <v>5</v>
      </c>
      <c r="K3643" s="16" t="n">
        <f aca="false">H3643*I3643</f>
        <v>41.55</v>
      </c>
      <c r="L3643" s="16" t="n">
        <f aca="false">H3643*J3643</f>
        <v>15</v>
      </c>
      <c r="M3643" s="16" t="n">
        <f aca="false">K3643-L3643</f>
        <v>26.55</v>
      </c>
      <c r="N3643" s="17" t="n">
        <f aca="false">IFERROR(M3643/K3643,0)</f>
        <v>0.63898916967509</v>
      </c>
    </row>
    <row r="3644" customFormat="false" ht="15" hidden="false" customHeight="false" outlineLevel="0" collapsed="false">
      <c r="A3644" s="15" t="n">
        <v>46174</v>
      </c>
      <c r="B3644" s="14" t="s">
        <v>88</v>
      </c>
      <c r="C3644" s="14" t="s">
        <v>89</v>
      </c>
      <c r="D3644" s="14" t="s">
        <v>44</v>
      </c>
      <c r="E3644" s="14" t="s">
        <v>64</v>
      </c>
      <c r="F3644" s="14" t="s">
        <v>96</v>
      </c>
      <c r="G3644" s="14" t="s">
        <v>97</v>
      </c>
      <c r="H3644" s="0" t="n">
        <v>3</v>
      </c>
      <c r="I3644" s="16" t="n">
        <v>58.07</v>
      </c>
      <c r="J3644" s="16" t="n">
        <v>24</v>
      </c>
      <c r="K3644" s="16" t="n">
        <f aca="false">H3644*I3644</f>
        <v>174.21</v>
      </c>
      <c r="L3644" s="16" t="n">
        <f aca="false">H3644*J3644</f>
        <v>72</v>
      </c>
      <c r="M3644" s="16" t="n">
        <f aca="false">K3644-L3644</f>
        <v>102.21</v>
      </c>
      <c r="N3644" s="17" t="n">
        <f aca="false">IFERROR(M3644/K3644,0)</f>
        <v>0.586705700017221</v>
      </c>
    </row>
    <row r="3645" customFormat="false" ht="15" hidden="false" customHeight="false" outlineLevel="0" collapsed="false">
      <c r="A3645" s="15" t="n">
        <v>46174</v>
      </c>
      <c r="B3645" s="14" t="s">
        <v>88</v>
      </c>
      <c r="C3645" s="14" t="s">
        <v>89</v>
      </c>
      <c r="D3645" s="14" t="s">
        <v>44</v>
      </c>
      <c r="E3645" s="14" t="s">
        <v>53</v>
      </c>
      <c r="F3645" s="14" t="s">
        <v>74</v>
      </c>
      <c r="G3645" s="14" t="s">
        <v>75</v>
      </c>
      <c r="H3645" s="0" t="n">
        <v>4</v>
      </c>
      <c r="I3645" s="16" t="n">
        <v>86.33</v>
      </c>
      <c r="J3645" s="16" t="n">
        <v>38</v>
      </c>
      <c r="K3645" s="16" t="n">
        <f aca="false">H3645*I3645</f>
        <v>345.32</v>
      </c>
      <c r="L3645" s="16" t="n">
        <f aca="false">H3645*J3645</f>
        <v>152</v>
      </c>
      <c r="M3645" s="16" t="n">
        <f aca="false">K3645-L3645</f>
        <v>193.32</v>
      </c>
      <c r="N3645" s="17" t="n">
        <f aca="false">IFERROR(M3645/K3645,0)</f>
        <v>0.559828564809452</v>
      </c>
    </row>
    <row r="3646" customFormat="false" ht="15" hidden="false" customHeight="false" outlineLevel="0" collapsed="false">
      <c r="A3646" s="15" t="n">
        <v>46174</v>
      </c>
      <c r="B3646" s="14" t="s">
        <v>88</v>
      </c>
      <c r="C3646" s="14" t="s">
        <v>89</v>
      </c>
      <c r="D3646" s="14" t="s">
        <v>44</v>
      </c>
      <c r="E3646" s="14" t="s">
        <v>45</v>
      </c>
      <c r="F3646" s="14" t="s">
        <v>72</v>
      </c>
      <c r="G3646" s="14" t="s">
        <v>73</v>
      </c>
      <c r="H3646" s="0" t="n">
        <v>2</v>
      </c>
      <c r="I3646" s="16" t="n">
        <v>50.91</v>
      </c>
      <c r="J3646" s="16" t="n">
        <v>21</v>
      </c>
      <c r="K3646" s="16" t="n">
        <f aca="false">H3646*I3646</f>
        <v>101.82</v>
      </c>
      <c r="L3646" s="16" t="n">
        <f aca="false">H3646*J3646</f>
        <v>42</v>
      </c>
      <c r="M3646" s="16" t="n">
        <f aca="false">K3646-L3646</f>
        <v>59.82</v>
      </c>
      <c r="N3646" s="17" t="n">
        <f aca="false">IFERROR(M3646/K3646,0)</f>
        <v>0.587507365939894</v>
      </c>
    </row>
    <row r="3647" customFormat="false" ht="15" hidden="false" customHeight="false" outlineLevel="0" collapsed="false">
      <c r="A3647" s="15" t="n">
        <v>46175</v>
      </c>
      <c r="B3647" s="14" t="s">
        <v>42</v>
      </c>
      <c r="C3647" s="14" t="s">
        <v>43</v>
      </c>
      <c r="D3647" s="14" t="s">
        <v>44</v>
      </c>
      <c r="E3647" s="14" t="s">
        <v>64</v>
      </c>
      <c r="F3647" s="14" t="s">
        <v>96</v>
      </c>
      <c r="G3647" s="14" t="s">
        <v>97</v>
      </c>
      <c r="H3647" s="0" t="n">
        <v>7</v>
      </c>
      <c r="I3647" s="16" t="n">
        <v>58.97</v>
      </c>
      <c r="J3647" s="16" t="n">
        <v>24</v>
      </c>
      <c r="K3647" s="16" t="n">
        <f aca="false">H3647*I3647</f>
        <v>412.79</v>
      </c>
      <c r="L3647" s="16" t="n">
        <f aca="false">H3647*J3647</f>
        <v>168</v>
      </c>
      <c r="M3647" s="16" t="n">
        <f aca="false">K3647-L3647</f>
        <v>244.79</v>
      </c>
      <c r="N3647" s="17" t="n">
        <f aca="false">IFERROR(M3647/K3647,0)</f>
        <v>0.593013396642361</v>
      </c>
    </row>
    <row r="3648" customFormat="false" ht="15" hidden="false" customHeight="false" outlineLevel="0" collapsed="false">
      <c r="A3648" s="15" t="n">
        <v>46175</v>
      </c>
      <c r="B3648" s="14" t="s">
        <v>42</v>
      </c>
      <c r="C3648" s="14" t="s">
        <v>43</v>
      </c>
      <c r="D3648" s="14" t="s">
        <v>44</v>
      </c>
      <c r="E3648" s="14" t="s">
        <v>76</v>
      </c>
      <c r="F3648" s="14" t="s">
        <v>79</v>
      </c>
      <c r="G3648" s="14" t="s">
        <v>80</v>
      </c>
      <c r="H3648" s="0" t="n">
        <v>1</v>
      </c>
      <c r="I3648" s="16" t="n">
        <v>29.44</v>
      </c>
      <c r="J3648" s="16" t="n">
        <v>11</v>
      </c>
      <c r="K3648" s="16" t="n">
        <f aca="false">H3648*I3648</f>
        <v>29.44</v>
      </c>
      <c r="L3648" s="16" t="n">
        <f aca="false">H3648*J3648</f>
        <v>11</v>
      </c>
      <c r="M3648" s="16" t="n">
        <f aca="false">K3648-L3648</f>
        <v>18.44</v>
      </c>
      <c r="N3648" s="17" t="n">
        <f aca="false">IFERROR(M3648/K3648,0)</f>
        <v>0.626358695652174</v>
      </c>
    </row>
    <row r="3649" customFormat="false" ht="15" hidden="false" customHeight="false" outlineLevel="0" collapsed="false">
      <c r="A3649" s="15" t="n">
        <v>46175</v>
      </c>
      <c r="B3649" s="14" t="s">
        <v>42</v>
      </c>
      <c r="C3649" s="14" t="s">
        <v>43</v>
      </c>
      <c r="D3649" s="14" t="s">
        <v>44</v>
      </c>
      <c r="E3649" s="14" t="s">
        <v>45</v>
      </c>
      <c r="F3649" s="14" t="s">
        <v>48</v>
      </c>
      <c r="G3649" s="14" t="s">
        <v>49</v>
      </c>
      <c r="H3649" s="0" t="n">
        <v>1</v>
      </c>
      <c r="I3649" s="16" t="n">
        <v>63.01</v>
      </c>
      <c r="J3649" s="16" t="n">
        <v>27.5</v>
      </c>
      <c r="K3649" s="16" t="n">
        <f aca="false">H3649*I3649</f>
        <v>63.01</v>
      </c>
      <c r="L3649" s="16" t="n">
        <f aca="false">H3649*J3649</f>
        <v>27.5</v>
      </c>
      <c r="M3649" s="16" t="n">
        <f aca="false">K3649-L3649</f>
        <v>35.51</v>
      </c>
      <c r="N3649" s="17" t="n">
        <f aca="false">IFERROR(M3649/K3649,0)</f>
        <v>0.563561339469925</v>
      </c>
    </row>
    <row r="3650" customFormat="false" ht="15" hidden="false" customHeight="false" outlineLevel="0" collapsed="false">
      <c r="A3650" s="15" t="n">
        <v>46175</v>
      </c>
      <c r="B3650" s="14" t="s">
        <v>42</v>
      </c>
      <c r="C3650" s="14" t="s">
        <v>43</v>
      </c>
      <c r="D3650" s="14" t="s">
        <v>44</v>
      </c>
      <c r="E3650" s="14" t="s">
        <v>53</v>
      </c>
      <c r="F3650" s="14" t="s">
        <v>74</v>
      </c>
      <c r="G3650" s="14" t="s">
        <v>75</v>
      </c>
      <c r="H3650" s="0" t="n">
        <v>3</v>
      </c>
      <c r="I3650" s="16" t="n">
        <v>86.78</v>
      </c>
      <c r="J3650" s="16" t="n">
        <v>38</v>
      </c>
      <c r="K3650" s="16" t="n">
        <f aca="false">H3650*I3650</f>
        <v>260.34</v>
      </c>
      <c r="L3650" s="16" t="n">
        <f aca="false">H3650*J3650</f>
        <v>114</v>
      </c>
      <c r="M3650" s="16" t="n">
        <f aca="false">K3650-L3650</f>
        <v>146.34</v>
      </c>
      <c r="N3650" s="17" t="n">
        <f aca="false">IFERROR(M3650/K3650,0)</f>
        <v>0.562111085503572</v>
      </c>
    </row>
    <row r="3651" customFormat="false" ht="15" hidden="false" customHeight="false" outlineLevel="0" collapsed="false">
      <c r="A3651" s="15" t="n">
        <v>46175</v>
      </c>
      <c r="B3651" s="14" t="s">
        <v>50</v>
      </c>
      <c r="C3651" s="14" t="s">
        <v>51</v>
      </c>
      <c r="D3651" s="14" t="s">
        <v>52</v>
      </c>
      <c r="E3651" s="14" t="s">
        <v>45</v>
      </c>
      <c r="F3651" s="14" t="s">
        <v>72</v>
      </c>
      <c r="G3651" s="14" t="s">
        <v>73</v>
      </c>
      <c r="H3651" s="0" t="n">
        <v>7</v>
      </c>
      <c r="I3651" s="16" t="n">
        <v>48.08</v>
      </c>
      <c r="J3651" s="16" t="n">
        <v>21</v>
      </c>
      <c r="K3651" s="16" t="n">
        <f aca="false">H3651*I3651</f>
        <v>336.56</v>
      </c>
      <c r="L3651" s="16" t="n">
        <f aca="false">H3651*J3651</f>
        <v>147</v>
      </c>
      <c r="M3651" s="16" t="n">
        <f aca="false">K3651-L3651</f>
        <v>189.56</v>
      </c>
      <c r="N3651" s="17" t="n">
        <f aca="false">IFERROR(M3651/K3651,0)</f>
        <v>0.563227953410982</v>
      </c>
    </row>
    <row r="3652" customFormat="false" ht="15" hidden="false" customHeight="false" outlineLevel="0" collapsed="false">
      <c r="A3652" s="15" t="n">
        <v>46175</v>
      </c>
      <c r="B3652" s="14" t="s">
        <v>50</v>
      </c>
      <c r="C3652" s="14" t="s">
        <v>51</v>
      </c>
      <c r="D3652" s="14" t="s">
        <v>52</v>
      </c>
      <c r="E3652" s="14" t="s">
        <v>56</v>
      </c>
      <c r="F3652" s="14" t="s">
        <v>98</v>
      </c>
      <c r="G3652" s="14" t="s">
        <v>99</v>
      </c>
      <c r="H3652" s="0" t="n">
        <v>3</v>
      </c>
      <c r="I3652" s="16" t="n">
        <v>21.98</v>
      </c>
      <c r="J3652" s="16" t="n">
        <v>8</v>
      </c>
      <c r="K3652" s="16" t="n">
        <f aca="false">H3652*I3652</f>
        <v>65.94</v>
      </c>
      <c r="L3652" s="16" t="n">
        <f aca="false">H3652*J3652</f>
        <v>24</v>
      </c>
      <c r="M3652" s="16" t="n">
        <f aca="false">K3652-L3652</f>
        <v>41.94</v>
      </c>
      <c r="N3652" s="17" t="n">
        <f aca="false">IFERROR(M3652/K3652,0)</f>
        <v>0.636032757051865</v>
      </c>
    </row>
    <row r="3653" customFormat="false" ht="15" hidden="false" customHeight="false" outlineLevel="0" collapsed="false">
      <c r="A3653" s="15" t="n">
        <v>46175</v>
      </c>
      <c r="B3653" s="14" t="s">
        <v>50</v>
      </c>
      <c r="C3653" s="14" t="s">
        <v>51</v>
      </c>
      <c r="D3653" s="14" t="s">
        <v>52</v>
      </c>
      <c r="E3653" s="14" t="s">
        <v>76</v>
      </c>
      <c r="F3653" s="14" t="s">
        <v>100</v>
      </c>
      <c r="G3653" s="14" t="s">
        <v>101</v>
      </c>
      <c r="H3653" s="0" t="n">
        <v>3</v>
      </c>
      <c r="I3653" s="16" t="n">
        <v>15.74</v>
      </c>
      <c r="J3653" s="16" t="n">
        <v>5.5</v>
      </c>
      <c r="K3653" s="16" t="n">
        <f aca="false">H3653*I3653</f>
        <v>47.22</v>
      </c>
      <c r="L3653" s="16" t="n">
        <f aca="false">H3653*J3653</f>
        <v>16.5</v>
      </c>
      <c r="M3653" s="16" t="n">
        <f aca="false">K3653-L3653</f>
        <v>30.72</v>
      </c>
      <c r="N3653" s="17" t="n">
        <f aca="false">IFERROR(M3653/K3653,0)</f>
        <v>0.650571791613723</v>
      </c>
    </row>
    <row r="3654" customFormat="false" ht="15" hidden="false" customHeight="false" outlineLevel="0" collapsed="false">
      <c r="A3654" s="15" t="n">
        <v>46175</v>
      </c>
      <c r="B3654" s="14" t="s">
        <v>50</v>
      </c>
      <c r="C3654" s="14" t="s">
        <v>51</v>
      </c>
      <c r="D3654" s="14" t="s">
        <v>52</v>
      </c>
      <c r="E3654" s="14" t="s">
        <v>56</v>
      </c>
      <c r="F3654" s="14" t="s">
        <v>67</v>
      </c>
      <c r="G3654" s="14" t="s">
        <v>68</v>
      </c>
      <c r="H3654" s="0" t="n">
        <v>5</v>
      </c>
      <c r="I3654" s="16" t="n">
        <v>35.75</v>
      </c>
      <c r="J3654" s="16" t="n">
        <v>15</v>
      </c>
      <c r="K3654" s="16" t="n">
        <f aca="false">H3654*I3654</f>
        <v>178.75</v>
      </c>
      <c r="L3654" s="16" t="n">
        <f aca="false">H3654*J3654</f>
        <v>75</v>
      </c>
      <c r="M3654" s="16" t="n">
        <f aca="false">K3654-L3654</f>
        <v>103.75</v>
      </c>
      <c r="N3654" s="17" t="n">
        <f aca="false">IFERROR(M3654/K3654,0)</f>
        <v>0.58041958041958</v>
      </c>
    </row>
    <row r="3655" customFormat="false" ht="15" hidden="false" customHeight="false" outlineLevel="0" collapsed="false">
      <c r="A3655" s="15" t="n">
        <v>46175</v>
      </c>
      <c r="B3655" s="14" t="s">
        <v>50</v>
      </c>
      <c r="C3655" s="14" t="s">
        <v>51</v>
      </c>
      <c r="D3655" s="14" t="s">
        <v>52</v>
      </c>
      <c r="E3655" s="14" t="s">
        <v>45</v>
      </c>
      <c r="F3655" s="14" t="s">
        <v>62</v>
      </c>
      <c r="G3655" s="14" t="s">
        <v>63</v>
      </c>
      <c r="H3655" s="0" t="n">
        <v>9</v>
      </c>
      <c r="I3655" s="16" t="n">
        <v>16.97</v>
      </c>
      <c r="J3655" s="16" t="n">
        <v>6.5</v>
      </c>
      <c r="K3655" s="16" t="n">
        <f aca="false">H3655*I3655</f>
        <v>152.73</v>
      </c>
      <c r="L3655" s="16" t="n">
        <f aca="false">H3655*J3655</f>
        <v>58.5</v>
      </c>
      <c r="M3655" s="16" t="n">
        <f aca="false">K3655-L3655</f>
        <v>94.23</v>
      </c>
      <c r="N3655" s="17" t="n">
        <f aca="false">IFERROR(M3655/K3655,0)</f>
        <v>0.616971125515616</v>
      </c>
    </row>
    <row r="3656" customFormat="false" ht="15" hidden="false" customHeight="false" outlineLevel="0" collapsed="false">
      <c r="A3656" s="15" t="n">
        <v>46175</v>
      </c>
      <c r="B3656" s="14" t="s">
        <v>59</v>
      </c>
      <c r="C3656" s="14" t="s">
        <v>60</v>
      </c>
      <c r="D3656" s="14" t="s">
        <v>61</v>
      </c>
      <c r="E3656" s="14" t="s">
        <v>45</v>
      </c>
      <c r="F3656" s="14" t="s">
        <v>62</v>
      </c>
      <c r="G3656" s="14" t="s">
        <v>63</v>
      </c>
      <c r="H3656" s="0" t="n">
        <v>3</v>
      </c>
      <c r="I3656" s="16" t="n">
        <v>17.75</v>
      </c>
      <c r="J3656" s="16" t="n">
        <v>6.5</v>
      </c>
      <c r="K3656" s="16" t="n">
        <f aca="false">H3656*I3656</f>
        <v>53.25</v>
      </c>
      <c r="L3656" s="16" t="n">
        <f aca="false">H3656*J3656</f>
        <v>19.5</v>
      </c>
      <c r="M3656" s="16" t="n">
        <f aca="false">K3656-L3656</f>
        <v>33.75</v>
      </c>
      <c r="N3656" s="17" t="n">
        <f aca="false">IFERROR(M3656/K3656,0)</f>
        <v>0.633802816901409</v>
      </c>
    </row>
    <row r="3657" customFormat="false" ht="15" hidden="false" customHeight="false" outlineLevel="0" collapsed="false">
      <c r="A3657" s="15" t="n">
        <v>46175</v>
      </c>
      <c r="B3657" s="14" t="s">
        <v>59</v>
      </c>
      <c r="C3657" s="14" t="s">
        <v>60</v>
      </c>
      <c r="D3657" s="14" t="s">
        <v>61</v>
      </c>
      <c r="E3657" s="14" t="s">
        <v>76</v>
      </c>
      <c r="F3657" s="14" t="s">
        <v>79</v>
      </c>
      <c r="G3657" s="14" t="s">
        <v>80</v>
      </c>
      <c r="H3657" s="0" t="n">
        <v>6</v>
      </c>
      <c r="I3657" s="16" t="n">
        <v>28.51</v>
      </c>
      <c r="J3657" s="16" t="n">
        <v>11</v>
      </c>
      <c r="K3657" s="16" t="n">
        <f aca="false">H3657*I3657</f>
        <v>171.06</v>
      </c>
      <c r="L3657" s="16" t="n">
        <f aca="false">H3657*J3657</f>
        <v>66</v>
      </c>
      <c r="M3657" s="16" t="n">
        <f aca="false">K3657-L3657</f>
        <v>105.06</v>
      </c>
      <c r="N3657" s="17" t="n">
        <f aca="false">IFERROR(M3657/K3657,0)</f>
        <v>0.614170466502982</v>
      </c>
    </row>
    <row r="3658" customFormat="false" ht="15" hidden="false" customHeight="false" outlineLevel="0" collapsed="false">
      <c r="A3658" s="15" t="n">
        <v>46175</v>
      </c>
      <c r="B3658" s="14" t="s">
        <v>59</v>
      </c>
      <c r="C3658" s="14" t="s">
        <v>60</v>
      </c>
      <c r="D3658" s="14" t="s">
        <v>61</v>
      </c>
      <c r="E3658" s="14" t="s">
        <v>45</v>
      </c>
      <c r="F3658" s="14" t="s">
        <v>72</v>
      </c>
      <c r="G3658" s="14" t="s">
        <v>73</v>
      </c>
      <c r="H3658" s="0" t="n">
        <v>7</v>
      </c>
      <c r="I3658" s="16" t="n">
        <v>47.95</v>
      </c>
      <c r="J3658" s="16" t="n">
        <v>21</v>
      </c>
      <c r="K3658" s="16" t="n">
        <f aca="false">H3658*I3658</f>
        <v>335.65</v>
      </c>
      <c r="L3658" s="16" t="n">
        <f aca="false">H3658*J3658</f>
        <v>147</v>
      </c>
      <c r="M3658" s="16" t="n">
        <f aca="false">K3658-L3658</f>
        <v>188.65</v>
      </c>
      <c r="N3658" s="17" t="n">
        <f aca="false">IFERROR(M3658/K3658,0)</f>
        <v>0.562043795620438</v>
      </c>
    </row>
    <row r="3659" customFormat="false" ht="15" hidden="false" customHeight="false" outlineLevel="0" collapsed="false">
      <c r="A3659" s="15" t="n">
        <v>46175</v>
      </c>
      <c r="B3659" s="14" t="s">
        <v>59</v>
      </c>
      <c r="C3659" s="14" t="s">
        <v>60</v>
      </c>
      <c r="D3659" s="14" t="s">
        <v>61</v>
      </c>
      <c r="E3659" s="14" t="s">
        <v>56</v>
      </c>
      <c r="F3659" s="14" t="s">
        <v>98</v>
      </c>
      <c r="G3659" s="14" t="s">
        <v>99</v>
      </c>
      <c r="H3659" s="0" t="n">
        <v>1</v>
      </c>
      <c r="I3659" s="16" t="n">
        <v>21.41</v>
      </c>
      <c r="J3659" s="16" t="n">
        <v>8</v>
      </c>
      <c r="K3659" s="16" t="n">
        <f aca="false">H3659*I3659</f>
        <v>21.41</v>
      </c>
      <c r="L3659" s="16" t="n">
        <f aca="false">H3659*J3659</f>
        <v>8</v>
      </c>
      <c r="M3659" s="16" t="n">
        <f aca="false">K3659-L3659</f>
        <v>13.41</v>
      </c>
      <c r="N3659" s="17" t="n">
        <f aca="false">IFERROR(M3659/K3659,0)</f>
        <v>0.626342830453059</v>
      </c>
    </row>
    <row r="3660" customFormat="false" ht="15" hidden="false" customHeight="false" outlineLevel="0" collapsed="false">
      <c r="A3660" s="15" t="n">
        <v>46175</v>
      </c>
      <c r="B3660" s="14" t="s">
        <v>59</v>
      </c>
      <c r="C3660" s="14" t="s">
        <v>60</v>
      </c>
      <c r="D3660" s="14" t="s">
        <v>61</v>
      </c>
      <c r="E3660" s="14" t="s">
        <v>53</v>
      </c>
      <c r="F3660" s="14" t="s">
        <v>84</v>
      </c>
      <c r="G3660" s="14" t="s">
        <v>85</v>
      </c>
      <c r="H3660" s="0" t="n">
        <v>7</v>
      </c>
      <c r="I3660" s="16" t="n">
        <v>24.27</v>
      </c>
      <c r="J3660" s="16" t="n">
        <v>9</v>
      </c>
      <c r="K3660" s="16" t="n">
        <f aca="false">H3660*I3660</f>
        <v>169.89</v>
      </c>
      <c r="L3660" s="16" t="n">
        <f aca="false">H3660*J3660</f>
        <v>63</v>
      </c>
      <c r="M3660" s="16" t="n">
        <f aca="false">K3660-L3660</f>
        <v>106.89</v>
      </c>
      <c r="N3660" s="17" t="n">
        <f aca="false">IFERROR(M3660/K3660,0)</f>
        <v>0.629171817058096</v>
      </c>
    </row>
    <row r="3661" customFormat="false" ht="15" hidden="false" customHeight="false" outlineLevel="0" collapsed="false">
      <c r="A3661" s="15" t="n">
        <v>46175</v>
      </c>
      <c r="B3661" s="14" t="s">
        <v>59</v>
      </c>
      <c r="C3661" s="14" t="s">
        <v>60</v>
      </c>
      <c r="D3661" s="14" t="s">
        <v>61</v>
      </c>
      <c r="E3661" s="14" t="s">
        <v>45</v>
      </c>
      <c r="F3661" s="14" t="s">
        <v>46</v>
      </c>
      <c r="G3661" s="14" t="s">
        <v>47</v>
      </c>
      <c r="H3661" s="0" t="n">
        <v>4</v>
      </c>
      <c r="I3661" s="16" t="n">
        <v>43.31</v>
      </c>
      <c r="J3661" s="16" t="n">
        <v>18</v>
      </c>
      <c r="K3661" s="16" t="n">
        <f aca="false">H3661*I3661</f>
        <v>173.24</v>
      </c>
      <c r="L3661" s="16" t="n">
        <f aca="false">H3661*J3661</f>
        <v>72</v>
      </c>
      <c r="M3661" s="16" t="n">
        <f aca="false">K3661-L3661</f>
        <v>101.24</v>
      </c>
      <c r="N3661" s="17" t="n">
        <f aca="false">IFERROR(M3661/K3661,0)</f>
        <v>0.584391595474486</v>
      </c>
    </row>
    <row r="3662" customFormat="false" ht="15" hidden="false" customHeight="false" outlineLevel="0" collapsed="false">
      <c r="A3662" s="15" t="n">
        <v>46175</v>
      </c>
      <c r="B3662" s="14" t="s">
        <v>69</v>
      </c>
      <c r="C3662" s="14" t="s">
        <v>70</v>
      </c>
      <c r="D3662" s="14" t="s">
        <v>71</v>
      </c>
      <c r="E3662" s="14" t="s">
        <v>64</v>
      </c>
      <c r="F3662" s="14" t="s">
        <v>65</v>
      </c>
      <c r="G3662" s="14" t="s">
        <v>66</v>
      </c>
      <c r="H3662" s="0" t="n">
        <v>4</v>
      </c>
      <c r="I3662" s="16" t="n">
        <v>75.29</v>
      </c>
      <c r="J3662" s="16" t="n">
        <v>34</v>
      </c>
      <c r="K3662" s="16" t="n">
        <f aca="false">H3662*I3662</f>
        <v>301.16</v>
      </c>
      <c r="L3662" s="16" t="n">
        <f aca="false">H3662*J3662</f>
        <v>136</v>
      </c>
      <c r="M3662" s="16" t="n">
        <f aca="false">K3662-L3662</f>
        <v>165.16</v>
      </c>
      <c r="N3662" s="17" t="n">
        <f aca="false">IFERROR(M3662/K3662,0)</f>
        <v>0.548412803825209</v>
      </c>
    </row>
    <row r="3663" customFormat="false" ht="15" hidden="false" customHeight="false" outlineLevel="0" collapsed="false">
      <c r="A3663" s="15" t="n">
        <v>46175</v>
      </c>
      <c r="B3663" s="14" t="s">
        <v>69</v>
      </c>
      <c r="C3663" s="14" t="s">
        <v>70</v>
      </c>
      <c r="D3663" s="14" t="s">
        <v>71</v>
      </c>
      <c r="E3663" s="14" t="s">
        <v>76</v>
      </c>
      <c r="F3663" s="14" t="s">
        <v>77</v>
      </c>
      <c r="G3663" s="14" t="s">
        <v>78</v>
      </c>
      <c r="H3663" s="0" t="n">
        <v>6</v>
      </c>
      <c r="I3663" s="16" t="n">
        <v>39.88</v>
      </c>
      <c r="J3663" s="16" t="n">
        <v>15</v>
      </c>
      <c r="K3663" s="16" t="n">
        <f aca="false">H3663*I3663</f>
        <v>239.28</v>
      </c>
      <c r="L3663" s="16" t="n">
        <f aca="false">H3663*J3663</f>
        <v>90</v>
      </c>
      <c r="M3663" s="16" t="n">
        <f aca="false">K3663-L3663</f>
        <v>149.28</v>
      </c>
      <c r="N3663" s="17" t="n">
        <f aca="false">IFERROR(M3663/K3663,0)</f>
        <v>0.623871614844534</v>
      </c>
    </row>
    <row r="3664" customFormat="false" ht="15" hidden="false" customHeight="false" outlineLevel="0" collapsed="false">
      <c r="A3664" s="15" t="n">
        <v>46175</v>
      </c>
      <c r="B3664" s="14" t="s">
        <v>69</v>
      </c>
      <c r="C3664" s="14" t="s">
        <v>70</v>
      </c>
      <c r="D3664" s="14" t="s">
        <v>71</v>
      </c>
      <c r="E3664" s="14" t="s">
        <v>45</v>
      </c>
      <c r="F3664" s="14" t="s">
        <v>46</v>
      </c>
      <c r="G3664" s="14" t="s">
        <v>47</v>
      </c>
      <c r="H3664" s="0" t="n">
        <v>4</v>
      </c>
      <c r="I3664" s="16" t="n">
        <v>44.36</v>
      </c>
      <c r="J3664" s="16" t="n">
        <v>18</v>
      </c>
      <c r="K3664" s="16" t="n">
        <f aca="false">H3664*I3664</f>
        <v>177.44</v>
      </c>
      <c r="L3664" s="16" t="n">
        <f aca="false">H3664*J3664</f>
        <v>72</v>
      </c>
      <c r="M3664" s="16" t="n">
        <f aca="false">K3664-L3664</f>
        <v>105.44</v>
      </c>
      <c r="N3664" s="17" t="n">
        <f aca="false">IFERROR(M3664/K3664,0)</f>
        <v>0.594229035166817</v>
      </c>
    </row>
    <row r="3665" customFormat="false" ht="15" hidden="false" customHeight="false" outlineLevel="0" collapsed="false">
      <c r="A3665" s="15" t="n">
        <v>46175</v>
      </c>
      <c r="B3665" s="14" t="s">
        <v>69</v>
      </c>
      <c r="C3665" s="14" t="s">
        <v>70</v>
      </c>
      <c r="D3665" s="14" t="s">
        <v>71</v>
      </c>
      <c r="E3665" s="14" t="s">
        <v>56</v>
      </c>
      <c r="F3665" s="14" t="s">
        <v>57</v>
      </c>
      <c r="G3665" s="14" t="s">
        <v>58</v>
      </c>
      <c r="H3665" s="0" t="n">
        <v>1</v>
      </c>
      <c r="I3665" s="16" t="n">
        <v>26.03</v>
      </c>
      <c r="J3665" s="16" t="n">
        <v>10</v>
      </c>
      <c r="K3665" s="16" t="n">
        <f aca="false">H3665*I3665</f>
        <v>26.03</v>
      </c>
      <c r="L3665" s="16" t="n">
        <f aca="false">H3665*J3665</f>
        <v>10</v>
      </c>
      <c r="M3665" s="16" t="n">
        <f aca="false">K3665-L3665</f>
        <v>16.03</v>
      </c>
      <c r="N3665" s="17" t="n">
        <f aca="false">IFERROR(M3665/K3665,0)</f>
        <v>0.615827890895121</v>
      </c>
    </row>
    <row r="3666" customFormat="false" ht="15" hidden="false" customHeight="false" outlineLevel="0" collapsed="false">
      <c r="A3666" s="15" t="n">
        <v>46175</v>
      </c>
      <c r="B3666" s="14" t="s">
        <v>69</v>
      </c>
      <c r="C3666" s="14" t="s">
        <v>70</v>
      </c>
      <c r="D3666" s="14" t="s">
        <v>71</v>
      </c>
      <c r="E3666" s="14" t="s">
        <v>45</v>
      </c>
      <c r="F3666" s="14" t="s">
        <v>72</v>
      </c>
      <c r="G3666" s="14" t="s">
        <v>73</v>
      </c>
      <c r="H3666" s="0" t="n">
        <v>1</v>
      </c>
      <c r="I3666" s="16" t="n">
        <v>49.53</v>
      </c>
      <c r="J3666" s="16" t="n">
        <v>21</v>
      </c>
      <c r="K3666" s="16" t="n">
        <f aca="false">H3666*I3666</f>
        <v>49.53</v>
      </c>
      <c r="L3666" s="16" t="n">
        <f aca="false">H3666*J3666</f>
        <v>21</v>
      </c>
      <c r="M3666" s="16" t="n">
        <f aca="false">K3666-L3666</f>
        <v>28.53</v>
      </c>
      <c r="N3666" s="17" t="n">
        <f aca="false">IFERROR(M3666/K3666,0)</f>
        <v>0.576014536644458</v>
      </c>
    </row>
    <row r="3667" customFormat="false" ht="15" hidden="false" customHeight="false" outlineLevel="0" collapsed="false">
      <c r="A3667" s="15" t="n">
        <v>46175</v>
      </c>
      <c r="B3667" s="14" t="s">
        <v>81</v>
      </c>
      <c r="C3667" s="14" t="s">
        <v>82</v>
      </c>
      <c r="D3667" s="14" t="s">
        <v>83</v>
      </c>
      <c r="E3667" s="14" t="s">
        <v>64</v>
      </c>
      <c r="F3667" s="14" t="s">
        <v>90</v>
      </c>
      <c r="G3667" s="14" t="s">
        <v>91</v>
      </c>
      <c r="H3667" s="0" t="n">
        <v>5</v>
      </c>
      <c r="I3667" s="16" t="n">
        <v>11.8</v>
      </c>
      <c r="J3667" s="16" t="n">
        <v>3.5</v>
      </c>
      <c r="K3667" s="16" t="n">
        <f aca="false">H3667*I3667</f>
        <v>59</v>
      </c>
      <c r="L3667" s="16" t="n">
        <f aca="false">H3667*J3667</f>
        <v>17.5</v>
      </c>
      <c r="M3667" s="16" t="n">
        <f aca="false">K3667-L3667</f>
        <v>41.5</v>
      </c>
      <c r="N3667" s="17" t="n">
        <f aca="false">IFERROR(M3667/K3667,0)</f>
        <v>0.703389830508475</v>
      </c>
    </row>
    <row r="3668" customFormat="false" ht="15" hidden="false" customHeight="false" outlineLevel="0" collapsed="false">
      <c r="A3668" s="15" t="n">
        <v>46175</v>
      </c>
      <c r="B3668" s="14" t="s">
        <v>81</v>
      </c>
      <c r="C3668" s="14" t="s">
        <v>82</v>
      </c>
      <c r="D3668" s="14" t="s">
        <v>83</v>
      </c>
      <c r="E3668" s="14" t="s">
        <v>45</v>
      </c>
      <c r="F3668" s="14" t="s">
        <v>62</v>
      </c>
      <c r="G3668" s="14" t="s">
        <v>63</v>
      </c>
      <c r="H3668" s="0" t="n">
        <v>2</v>
      </c>
      <c r="I3668" s="16" t="n">
        <v>16.65</v>
      </c>
      <c r="J3668" s="16" t="n">
        <v>6.5</v>
      </c>
      <c r="K3668" s="16" t="n">
        <f aca="false">H3668*I3668</f>
        <v>33.3</v>
      </c>
      <c r="L3668" s="16" t="n">
        <f aca="false">H3668*J3668</f>
        <v>13</v>
      </c>
      <c r="M3668" s="16" t="n">
        <f aca="false">K3668-L3668</f>
        <v>20.3</v>
      </c>
      <c r="N3668" s="17" t="n">
        <f aca="false">IFERROR(M3668/K3668,0)</f>
        <v>0.60960960960961</v>
      </c>
    </row>
    <row r="3669" customFormat="false" ht="15" hidden="false" customHeight="false" outlineLevel="0" collapsed="false">
      <c r="A3669" s="15" t="n">
        <v>46175</v>
      </c>
      <c r="B3669" s="14" t="s">
        <v>81</v>
      </c>
      <c r="C3669" s="14" t="s">
        <v>82</v>
      </c>
      <c r="D3669" s="14" t="s">
        <v>83</v>
      </c>
      <c r="E3669" s="14" t="s">
        <v>76</v>
      </c>
      <c r="F3669" s="14" t="s">
        <v>79</v>
      </c>
      <c r="G3669" s="14" t="s">
        <v>80</v>
      </c>
      <c r="H3669" s="0" t="n">
        <v>2</v>
      </c>
      <c r="I3669" s="16" t="n">
        <v>29.68</v>
      </c>
      <c r="J3669" s="16" t="n">
        <v>11</v>
      </c>
      <c r="K3669" s="16" t="n">
        <f aca="false">H3669*I3669</f>
        <v>59.36</v>
      </c>
      <c r="L3669" s="16" t="n">
        <f aca="false">H3669*J3669</f>
        <v>22</v>
      </c>
      <c r="M3669" s="16" t="n">
        <f aca="false">K3669-L3669</f>
        <v>37.36</v>
      </c>
      <c r="N3669" s="17" t="n">
        <f aca="false">IFERROR(M3669/K3669,0)</f>
        <v>0.629380053908356</v>
      </c>
    </row>
    <row r="3670" customFormat="false" ht="15" hidden="false" customHeight="false" outlineLevel="0" collapsed="false">
      <c r="A3670" s="15" t="n">
        <v>46175</v>
      </c>
      <c r="B3670" s="14" t="s">
        <v>88</v>
      </c>
      <c r="C3670" s="14" t="s">
        <v>89</v>
      </c>
      <c r="D3670" s="14" t="s">
        <v>44</v>
      </c>
      <c r="E3670" s="14" t="s">
        <v>56</v>
      </c>
      <c r="F3670" s="14" t="s">
        <v>98</v>
      </c>
      <c r="G3670" s="14" t="s">
        <v>99</v>
      </c>
      <c r="H3670" s="0" t="n">
        <v>1</v>
      </c>
      <c r="I3670" s="16" t="n">
        <v>20.7</v>
      </c>
      <c r="J3670" s="16" t="n">
        <v>8</v>
      </c>
      <c r="K3670" s="16" t="n">
        <f aca="false">H3670*I3670</f>
        <v>20.7</v>
      </c>
      <c r="L3670" s="16" t="n">
        <f aca="false">H3670*J3670</f>
        <v>8</v>
      </c>
      <c r="M3670" s="16" t="n">
        <f aca="false">K3670-L3670</f>
        <v>12.7</v>
      </c>
      <c r="N3670" s="17" t="n">
        <f aca="false">IFERROR(M3670/K3670,0)</f>
        <v>0.613526570048309</v>
      </c>
    </row>
    <row r="3671" customFormat="false" ht="15" hidden="false" customHeight="false" outlineLevel="0" collapsed="false">
      <c r="A3671" s="15" t="n">
        <v>46175</v>
      </c>
      <c r="B3671" s="14" t="s">
        <v>88</v>
      </c>
      <c r="C3671" s="14" t="s">
        <v>89</v>
      </c>
      <c r="D3671" s="14" t="s">
        <v>44</v>
      </c>
      <c r="E3671" s="14" t="s">
        <v>76</v>
      </c>
      <c r="F3671" s="14" t="s">
        <v>77</v>
      </c>
      <c r="G3671" s="14" t="s">
        <v>78</v>
      </c>
      <c r="H3671" s="0" t="n">
        <v>10</v>
      </c>
      <c r="I3671" s="16" t="n">
        <v>40.31</v>
      </c>
      <c r="J3671" s="16" t="n">
        <v>15</v>
      </c>
      <c r="K3671" s="16" t="n">
        <f aca="false">H3671*I3671</f>
        <v>403.1</v>
      </c>
      <c r="L3671" s="16" t="n">
        <f aca="false">H3671*J3671</f>
        <v>150</v>
      </c>
      <c r="M3671" s="16" t="n">
        <f aca="false">K3671-L3671</f>
        <v>253.1</v>
      </c>
      <c r="N3671" s="17" t="n">
        <f aca="false">IFERROR(M3671/K3671,0)</f>
        <v>0.62788389977673</v>
      </c>
    </row>
    <row r="3672" customFormat="false" ht="15" hidden="false" customHeight="false" outlineLevel="0" collapsed="false">
      <c r="A3672" s="15" t="n">
        <v>46175</v>
      </c>
      <c r="B3672" s="14" t="s">
        <v>88</v>
      </c>
      <c r="C3672" s="14" t="s">
        <v>89</v>
      </c>
      <c r="D3672" s="14" t="s">
        <v>44</v>
      </c>
      <c r="E3672" s="14" t="s">
        <v>53</v>
      </c>
      <c r="F3672" s="14" t="s">
        <v>54</v>
      </c>
      <c r="G3672" s="14" t="s">
        <v>55</v>
      </c>
      <c r="H3672" s="0" t="n">
        <v>10</v>
      </c>
      <c r="I3672" s="16" t="n">
        <v>53.76</v>
      </c>
      <c r="J3672" s="16" t="n">
        <v>22</v>
      </c>
      <c r="K3672" s="16" t="n">
        <f aca="false">H3672*I3672</f>
        <v>537.6</v>
      </c>
      <c r="L3672" s="16" t="n">
        <f aca="false">H3672*J3672</f>
        <v>220</v>
      </c>
      <c r="M3672" s="16" t="n">
        <f aca="false">K3672-L3672</f>
        <v>317.6</v>
      </c>
      <c r="N3672" s="17" t="n">
        <f aca="false">IFERROR(M3672/K3672,0)</f>
        <v>0.59077380952381</v>
      </c>
    </row>
    <row r="3673" customFormat="false" ht="15" hidden="false" customHeight="false" outlineLevel="0" collapsed="false">
      <c r="A3673" s="15" t="n">
        <v>46175</v>
      </c>
      <c r="B3673" s="14" t="s">
        <v>88</v>
      </c>
      <c r="C3673" s="14" t="s">
        <v>89</v>
      </c>
      <c r="D3673" s="14" t="s">
        <v>44</v>
      </c>
      <c r="E3673" s="14" t="s">
        <v>53</v>
      </c>
      <c r="F3673" s="14" t="s">
        <v>74</v>
      </c>
      <c r="G3673" s="14" t="s">
        <v>75</v>
      </c>
      <c r="H3673" s="0" t="n">
        <v>10</v>
      </c>
      <c r="I3673" s="16" t="n">
        <v>83.79</v>
      </c>
      <c r="J3673" s="16" t="n">
        <v>38</v>
      </c>
      <c r="K3673" s="16" t="n">
        <f aca="false">H3673*I3673</f>
        <v>837.9</v>
      </c>
      <c r="L3673" s="16" t="n">
        <f aca="false">H3673*J3673</f>
        <v>380</v>
      </c>
      <c r="M3673" s="16" t="n">
        <f aca="false">K3673-L3673</f>
        <v>457.9</v>
      </c>
      <c r="N3673" s="17" t="n">
        <f aca="false">IFERROR(M3673/K3673,0)</f>
        <v>0.546485260770975</v>
      </c>
    </row>
    <row r="3674" customFormat="false" ht="15" hidden="false" customHeight="false" outlineLevel="0" collapsed="false">
      <c r="A3674" s="15" t="n">
        <v>46176</v>
      </c>
      <c r="B3674" s="14" t="s">
        <v>42</v>
      </c>
      <c r="C3674" s="14" t="s">
        <v>43</v>
      </c>
      <c r="D3674" s="14" t="s">
        <v>44</v>
      </c>
      <c r="E3674" s="14" t="s">
        <v>45</v>
      </c>
      <c r="F3674" s="14" t="s">
        <v>62</v>
      </c>
      <c r="G3674" s="14" t="s">
        <v>63</v>
      </c>
      <c r="H3674" s="0" t="n">
        <v>9</v>
      </c>
      <c r="I3674" s="16" t="n">
        <v>17.45</v>
      </c>
      <c r="J3674" s="16" t="n">
        <v>6.5</v>
      </c>
      <c r="K3674" s="16" t="n">
        <f aca="false">H3674*I3674</f>
        <v>157.05</v>
      </c>
      <c r="L3674" s="16" t="n">
        <f aca="false">H3674*J3674</f>
        <v>58.5</v>
      </c>
      <c r="M3674" s="16" t="n">
        <f aca="false">K3674-L3674</f>
        <v>98.55</v>
      </c>
      <c r="N3674" s="17" t="n">
        <f aca="false">IFERROR(M3674/K3674,0)</f>
        <v>0.627507163323782</v>
      </c>
    </row>
    <row r="3675" customFormat="false" ht="15" hidden="false" customHeight="false" outlineLevel="0" collapsed="false">
      <c r="A3675" s="15" t="n">
        <v>46176</v>
      </c>
      <c r="B3675" s="14" t="s">
        <v>42</v>
      </c>
      <c r="C3675" s="14" t="s">
        <v>43</v>
      </c>
      <c r="D3675" s="14" t="s">
        <v>44</v>
      </c>
      <c r="E3675" s="14" t="s">
        <v>76</v>
      </c>
      <c r="F3675" s="14" t="s">
        <v>77</v>
      </c>
      <c r="G3675" s="14" t="s">
        <v>78</v>
      </c>
      <c r="H3675" s="0" t="n">
        <v>7</v>
      </c>
      <c r="I3675" s="16" t="n">
        <v>40.01</v>
      </c>
      <c r="J3675" s="16" t="n">
        <v>15</v>
      </c>
      <c r="K3675" s="16" t="n">
        <f aca="false">H3675*I3675</f>
        <v>280.07</v>
      </c>
      <c r="L3675" s="16" t="n">
        <f aca="false">H3675*J3675</f>
        <v>105</v>
      </c>
      <c r="M3675" s="16" t="n">
        <f aca="false">K3675-L3675</f>
        <v>175.07</v>
      </c>
      <c r="N3675" s="17" t="n">
        <f aca="false">IFERROR(M3675/K3675,0)</f>
        <v>0.625093726568358</v>
      </c>
    </row>
    <row r="3676" customFormat="false" ht="15" hidden="false" customHeight="false" outlineLevel="0" collapsed="false">
      <c r="A3676" s="15" t="n">
        <v>46176</v>
      </c>
      <c r="B3676" s="14" t="s">
        <v>42</v>
      </c>
      <c r="C3676" s="14" t="s">
        <v>43</v>
      </c>
      <c r="D3676" s="14" t="s">
        <v>44</v>
      </c>
      <c r="E3676" s="14" t="s">
        <v>53</v>
      </c>
      <c r="F3676" s="14" t="s">
        <v>74</v>
      </c>
      <c r="G3676" s="14" t="s">
        <v>75</v>
      </c>
      <c r="H3676" s="0" t="n">
        <v>7</v>
      </c>
      <c r="I3676" s="16" t="n">
        <v>88.14</v>
      </c>
      <c r="J3676" s="16" t="n">
        <v>38</v>
      </c>
      <c r="K3676" s="16" t="n">
        <f aca="false">H3676*I3676</f>
        <v>616.98</v>
      </c>
      <c r="L3676" s="16" t="n">
        <f aca="false">H3676*J3676</f>
        <v>266</v>
      </c>
      <c r="M3676" s="16" t="n">
        <f aca="false">K3676-L3676</f>
        <v>350.98</v>
      </c>
      <c r="N3676" s="17" t="n">
        <f aca="false">IFERROR(M3676/K3676,0)</f>
        <v>0.568867710460631</v>
      </c>
    </row>
    <row r="3677" customFormat="false" ht="15" hidden="false" customHeight="false" outlineLevel="0" collapsed="false">
      <c r="A3677" s="15" t="n">
        <v>46176</v>
      </c>
      <c r="B3677" s="14" t="s">
        <v>50</v>
      </c>
      <c r="C3677" s="14" t="s">
        <v>51</v>
      </c>
      <c r="D3677" s="14" t="s">
        <v>52</v>
      </c>
      <c r="E3677" s="14" t="s">
        <v>76</v>
      </c>
      <c r="F3677" s="14" t="s">
        <v>100</v>
      </c>
      <c r="G3677" s="14" t="s">
        <v>101</v>
      </c>
      <c r="H3677" s="0" t="n">
        <v>5</v>
      </c>
      <c r="I3677" s="16" t="n">
        <v>14.85</v>
      </c>
      <c r="J3677" s="16" t="n">
        <v>5.5</v>
      </c>
      <c r="K3677" s="16" t="n">
        <f aca="false">H3677*I3677</f>
        <v>74.25</v>
      </c>
      <c r="L3677" s="16" t="n">
        <f aca="false">H3677*J3677</f>
        <v>27.5</v>
      </c>
      <c r="M3677" s="16" t="n">
        <f aca="false">K3677-L3677</f>
        <v>46.75</v>
      </c>
      <c r="N3677" s="17" t="n">
        <f aca="false">IFERROR(M3677/K3677,0)</f>
        <v>0.62962962962963</v>
      </c>
    </row>
    <row r="3678" customFormat="false" ht="15" hidden="false" customHeight="false" outlineLevel="0" collapsed="false">
      <c r="A3678" s="15" t="n">
        <v>46176</v>
      </c>
      <c r="B3678" s="14" t="s">
        <v>50</v>
      </c>
      <c r="C3678" s="14" t="s">
        <v>51</v>
      </c>
      <c r="D3678" s="14" t="s">
        <v>52</v>
      </c>
      <c r="E3678" s="14" t="s">
        <v>76</v>
      </c>
      <c r="F3678" s="14" t="s">
        <v>79</v>
      </c>
      <c r="G3678" s="14" t="s">
        <v>80</v>
      </c>
      <c r="H3678" s="0" t="n">
        <v>11</v>
      </c>
      <c r="I3678" s="16" t="n">
        <v>29.7</v>
      </c>
      <c r="J3678" s="16" t="n">
        <v>11</v>
      </c>
      <c r="K3678" s="16" t="n">
        <f aca="false">H3678*I3678</f>
        <v>326.7</v>
      </c>
      <c r="L3678" s="16" t="n">
        <f aca="false">H3678*J3678</f>
        <v>121</v>
      </c>
      <c r="M3678" s="16" t="n">
        <f aca="false">K3678-L3678</f>
        <v>205.7</v>
      </c>
      <c r="N3678" s="17" t="n">
        <f aca="false">IFERROR(M3678/K3678,0)</f>
        <v>0.62962962962963</v>
      </c>
    </row>
    <row r="3679" customFormat="false" ht="15" hidden="false" customHeight="false" outlineLevel="0" collapsed="false">
      <c r="A3679" s="15" t="n">
        <v>46176</v>
      </c>
      <c r="B3679" s="14" t="s">
        <v>50</v>
      </c>
      <c r="C3679" s="14" t="s">
        <v>51</v>
      </c>
      <c r="D3679" s="14" t="s">
        <v>52</v>
      </c>
      <c r="E3679" s="14" t="s">
        <v>64</v>
      </c>
      <c r="F3679" s="14" t="s">
        <v>94</v>
      </c>
      <c r="G3679" s="14" t="s">
        <v>95</v>
      </c>
      <c r="H3679" s="0" t="n">
        <v>8</v>
      </c>
      <c r="I3679" s="16" t="n">
        <v>92.32</v>
      </c>
      <c r="J3679" s="16" t="n">
        <v>42</v>
      </c>
      <c r="K3679" s="16" t="n">
        <f aca="false">H3679*I3679</f>
        <v>738.56</v>
      </c>
      <c r="L3679" s="16" t="n">
        <f aca="false">H3679*J3679</f>
        <v>336</v>
      </c>
      <c r="M3679" s="16" t="n">
        <f aca="false">K3679-L3679</f>
        <v>402.56</v>
      </c>
      <c r="N3679" s="17" t="n">
        <f aca="false">IFERROR(M3679/K3679,0)</f>
        <v>0.545060658578856</v>
      </c>
    </row>
    <row r="3680" customFormat="false" ht="15" hidden="false" customHeight="false" outlineLevel="0" collapsed="false">
      <c r="A3680" s="15" t="n">
        <v>46176</v>
      </c>
      <c r="B3680" s="14" t="s">
        <v>59</v>
      </c>
      <c r="C3680" s="14" t="s">
        <v>60</v>
      </c>
      <c r="D3680" s="14" t="s">
        <v>61</v>
      </c>
      <c r="E3680" s="14" t="s">
        <v>76</v>
      </c>
      <c r="F3680" s="14" t="s">
        <v>79</v>
      </c>
      <c r="G3680" s="14" t="s">
        <v>80</v>
      </c>
      <c r="H3680" s="0" t="n">
        <v>3</v>
      </c>
      <c r="I3680" s="16" t="n">
        <v>28.57</v>
      </c>
      <c r="J3680" s="16" t="n">
        <v>11</v>
      </c>
      <c r="K3680" s="16" t="n">
        <f aca="false">H3680*I3680</f>
        <v>85.71</v>
      </c>
      <c r="L3680" s="16" t="n">
        <f aca="false">H3680*J3680</f>
        <v>33</v>
      </c>
      <c r="M3680" s="16" t="n">
        <f aca="false">K3680-L3680</f>
        <v>52.71</v>
      </c>
      <c r="N3680" s="17" t="n">
        <f aca="false">IFERROR(M3680/K3680,0)</f>
        <v>0.614980749037452</v>
      </c>
    </row>
    <row r="3681" customFormat="false" ht="15" hidden="false" customHeight="false" outlineLevel="0" collapsed="false">
      <c r="A3681" s="15" t="n">
        <v>46176</v>
      </c>
      <c r="B3681" s="14" t="s">
        <v>59</v>
      </c>
      <c r="C3681" s="14" t="s">
        <v>60</v>
      </c>
      <c r="D3681" s="14" t="s">
        <v>61</v>
      </c>
      <c r="E3681" s="14" t="s">
        <v>53</v>
      </c>
      <c r="F3681" s="14" t="s">
        <v>92</v>
      </c>
      <c r="G3681" s="14" t="s">
        <v>93</v>
      </c>
      <c r="H3681" s="0" t="n">
        <v>7</v>
      </c>
      <c r="I3681" s="16" t="n">
        <v>115.62</v>
      </c>
      <c r="J3681" s="16" t="n">
        <v>52</v>
      </c>
      <c r="K3681" s="16" t="n">
        <f aca="false">H3681*I3681</f>
        <v>809.34</v>
      </c>
      <c r="L3681" s="16" t="n">
        <f aca="false">H3681*J3681</f>
        <v>364</v>
      </c>
      <c r="M3681" s="16" t="n">
        <f aca="false">K3681-L3681</f>
        <v>445.34</v>
      </c>
      <c r="N3681" s="17" t="n">
        <f aca="false">IFERROR(M3681/K3681,0)</f>
        <v>0.550250821657153</v>
      </c>
    </row>
    <row r="3682" customFormat="false" ht="15" hidden="false" customHeight="false" outlineLevel="0" collapsed="false">
      <c r="A3682" s="15" t="n">
        <v>46176</v>
      </c>
      <c r="B3682" s="14" t="s">
        <v>59</v>
      </c>
      <c r="C3682" s="14" t="s">
        <v>60</v>
      </c>
      <c r="D3682" s="14" t="s">
        <v>61</v>
      </c>
      <c r="E3682" s="14" t="s">
        <v>53</v>
      </c>
      <c r="F3682" s="14" t="s">
        <v>92</v>
      </c>
      <c r="G3682" s="14" t="s">
        <v>93</v>
      </c>
      <c r="H3682" s="0" t="n">
        <v>5</v>
      </c>
      <c r="I3682" s="16" t="n">
        <v>119.61</v>
      </c>
      <c r="J3682" s="16" t="n">
        <v>52</v>
      </c>
      <c r="K3682" s="16" t="n">
        <f aca="false">H3682*I3682</f>
        <v>598.05</v>
      </c>
      <c r="L3682" s="16" t="n">
        <f aca="false">H3682*J3682</f>
        <v>260</v>
      </c>
      <c r="M3682" s="16" t="n">
        <f aca="false">K3682-L3682</f>
        <v>338.05</v>
      </c>
      <c r="N3682" s="17" t="n">
        <f aca="false">IFERROR(M3682/K3682,0)</f>
        <v>0.565253741325976</v>
      </c>
    </row>
    <row r="3683" customFormat="false" ht="15" hidden="false" customHeight="false" outlineLevel="0" collapsed="false">
      <c r="A3683" s="15" t="n">
        <v>46176</v>
      </c>
      <c r="B3683" s="14" t="s">
        <v>59</v>
      </c>
      <c r="C3683" s="14" t="s">
        <v>60</v>
      </c>
      <c r="D3683" s="14" t="s">
        <v>61</v>
      </c>
      <c r="E3683" s="14" t="s">
        <v>45</v>
      </c>
      <c r="F3683" s="14" t="s">
        <v>48</v>
      </c>
      <c r="G3683" s="14" t="s">
        <v>49</v>
      </c>
      <c r="H3683" s="0" t="n">
        <v>7</v>
      </c>
      <c r="I3683" s="16" t="n">
        <v>64.61</v>
      </c>
      <c r="J3683" s="16" t="n">
        <v>27.5</v>
      </c>
      <c r="K3683" s="16" t="n">
        <f aca="false">H3683*I3683</f>
        <v>452.27</v>
      </c>
      <c r="L3683" s="16" t="n">
        <f aca="false">H3683*J3683</f>
        <v>192.5</v>
      </c>
      <c r="M3683" s="16" t="n">
        <f aca="false">K3683-L3683</f>
        <v>259.77</v>
      </c>
      <c r="N3683" s="17" t="n">
        <f aca="false">IFERROR(M3683/K3683,0)</f>
        <v>0.574369292679152</v>
      </c>
    </row>
    <row r="3684" customFormat="false" ht="15" hidden="false" customHeight="false" outlineLevel="0" collapsed="false">
      <c r="A3684" s="15" t="n">
        <v>46176</v>
      </c>
      <c r="B3684" s="14" t="s">
        <v>69</v>
      </c>
      <c r="C3684" s="14" t="s">
        <v>70</v>
      </c>
      <c r="D3684" s="14" t="s">
        <v>71</v>
      </c>
      <c r="E3684" s="14" t="s">
        <v>76</v>
      </c>
      <c r="F3684" s="14" t="s">
        <v>102</v>
      </c>
      <c r="G3684" s="14" t="s">
        <v>103</v>
      </c>
      <c r="H3684" s="0" t="n">
        <v>1</v>
      </c>
      <c r="I3684" s="16" t="n">
        <v>23.56</v>
      </c>
      <c r="J3684" s="16" t="n">
        <v>8.5</v>
      </c>
      <c r="K3684" s="16" t="n">
        <f aca="false">H3684*I3684</f>
        <v>23.56</v>
      </c>
      <c r="L3684" s="16" t="n">
        <f aca="false">H3684*J3684</f>
        <v>8.5</v>
      </c>
      <c r="M3684" s="16" t="n">
        <f aca="false">K3684-L3684</f>
        <v>15.06</v>
      </c>
      <c r="N3684" s="17" t="n">
        <f aca="false">IFERROR(M3684/K3684,0)</f>
        <v>0.639219015280136</v>
      </c>
    </row>
    <row r="3685" customFormat="false" ht="15" hidden="false" customHeight="false" outlineLevel="0" collapsed="false">
      <c r="A3685" s="15" t="n">
        <v>46176</v>
      </c>
      <c r="B3685" s="14" t="s">
        <v>69</v>
      </c>
      <c r="C3685" s="14" t="s">
        <v>70</v>
      </c>
      <c r="D3685" s="14" t="s">
        <v>71</v>
      </c>
      <c r="E3685" s="14" t="s">
        <v>45</v>
      </c>
      <c r="F3685" s="14" t="s">
        <v>46</v>
      </c>
      <c r="G3685" s="14" t="s">
        <v>47</v>
      </c>
      <c r="H3685" s="0" t="n">
        <v>3</v>
      </c>
      <c r="I3685" s="16" t="n">
        <v>43.4</v>
      </c>
      <c r="J3685" s="16" t="n">
        <v>18</v>
      </c>
      <c r="K3685" s="16" t="n">
        <f aca="false">H3685*I3685</f>
        <v>130.2</v>
      </c>
      <c r="L3685" s="16" t="n">
        <f aca="false">H3685*J3685</f>
        <v>54</v>
      </c>
      <c r="M3685" s="16" t="n">
        <f aca="false">K3685-L3685</f>
        <v>76.2</v>
      </c>
      <c r="N3685" s="17" t="n">
        <f aca="false">IFERROR(M3685/K3685,0)</f>
        <v>0.585253456221198</v>
      </c>
    </row>
    <row r="3686" customFormat="false" ht="15" hidden="false" customHeight="false" outlineLevel="0" collapsed="false">
      <c r="A3686" s="15" t="n">
        <v>46176</v>
      </c>
      <c r="B3686" s="14" t="s">
        <v>69</v>
      </c>
      <c r="C3686" s="14" t="s">
        <v>70</v>
      </c>
      <c r="D3686" s="14" t="s">
        <v>71</v>
      </c>
      <c r="E3686" s="14" t="s">
        <v>56</v>
      </c>
      <c r="F3686" s="14" t="s">
        <v>86</v>
      </c>
      <c r="G3686" s="14" t="s">
        <v>87</v>
      </c>
      <c r="H3686" s="0" t="n">
        <v>4</v>
      </c>
      <c r="I3686" s="16" t="n">
        <v>14.2</v>
      </c>
      <c r="J3686" s="16" t="n">
        <v>5</v>
      </c>
      <c r="K3686" s="16" t="n">
        <f aca="false">H3686*I3686</f>
        <v>56.8</v>
      </c>
      <c r="L3686" s="16" t="n">
        <f aca="false">H3686*J3686</f>
        <v>20</v>
      </c>
      <c r="M3686" s="16" t="n">
        <f aca="false">K3686-L3686</f>
        <v>36.8</v>
      </c>
      <c r="N3686" s="17" t="n">
        <f aca="false">IFERROR(M3686/K3686,0)</f>
        <v>0.647887323943662</v>
      </c>
    </row>
    <row r="3687" customFormat="false" ht="15" hidden="false" customHeight="false" outlineLevel="0" collapsed="false">
      <c r="A3687" s="15" t="n">
        <v>46176</v>
      </c>
      <c r="B3687" s="14" t="s">
        <v>69</v>
      </c>
      <c r="C3687" s="14" t="s">
        <v>70</v>
      </c>
      <c r="D3687" s="14" t="s">
        <v>71</v>
      </c>
      <c r="E3687" s="14" t="s">
        <v>53</v>
      </c>
      <c r="F3687" s="14" t="s">
        <v>84</v>
      </c>
      <c r="G3687" s="14" t="s">
        <v>85</v>
      </c>
      <c r="H3687" s="0" t="n">
        <v>1</v>
      </c>
      <c r="I3687" s="16" t="n">
        <v>24.35</v>
      </c>
      <c r="J3687" s="16" t="n">
        <v>9</v>
      </c>
      <c r="K3687" s="16" t="n">
        <f aca="false">H3687*I3687</f>
        <v>24.35</v>
      </c>
      <c r="L3687" s="16" t="n">
        <f aca="false">H3687*J3687</f>
        <v>9</v>
      </c>
      <c r="M3687" s="16" t="n">
        <f aca="false">K3687-L3687</f>
        <v>15.35</v>
      </c>
      <c r="N3687" s="17" t="n">
        <f aca="false">IFERROR(M3687/K3687,0)</f>
        <v>0.630390143737166</v>
      </c>
    </row>
    <row r="3688" customFormat="false" ht="15" hidden="false" customHeight="false" outlineLevel="0" collapsed="false">
      <c r="A3688" s="15" t="n">
        <v>46176</v>
      </c>
      <c r="B3688" s="14" t="s">
        <v>69</v>
      </c>
      <c r="C3688" s="14" t="s">
        <v>70</v>
      </c>
      <c r="D3688" s="14" t="s">
        <v>71</v>
      </c>
      <c r="E3688" s="14" t="s">
        <v>76</v>
      </c>
      <c r="F3688" s="14" t="s">
        <v>79</v>
      </c>
      <c r="G3688" s="14" t="s">
        <v>80</v>
      </c>
      <c r="H3688" s="0" t="n">
        <v>5</v>
      </c>
      <c r="I3688" s="16" t="n">
        <v>29.25</v>
      </c>
      <c r="J3688" s="16" t="n">
        <v>11</v>
      </c>
      <c r="K3688" s="16" t="n">
        <f aca="false">H3688*I3688</f>
        <v>146.25</v>
      </c>
      <c r="L3688" s="16" t="n">
        <f aca="false">H3688*J3688</f>
        <v>55</v>
      </c>
      <c r="M3688" s="16" t="n">
        <f aca="false">K3688-L3688</f>
        <v>91.25</v>
      </c>
      <c r="N3688" s="17" t="n">
        <f aca="false">IFERROR(M3688/K3688,0)</f>
        <v>0.623931623931624</v>
      </c>
    </row>
    <row r="3689" customFormat="false" ht="15" hidden="false" customHeight="false" outlineLevel="0" collapsed="false">
      <c r="A3689" s="15" t="n">
        <v>46176</v>
      </c>
      <c r="B3689" s="14" t="s">
        <v>81</v>
      </c>
      <c r="C3689" s="14" t="s">
        <v>82</v>
      </c>
      <c r="D3689" s="14" t="s">
        <v>83</v>
      </c>
      <c r="E3689" s="14" t="s">
        <v>76</v>
      </c>
      <c r="F3689" s="14" t="s">
        <v>77</v>
      </c>
      <c r="G3689" s="14" t="s">
        <v>78</v>
      </c>
      <c r="H3689" s="0" t="n">
        <v>3</v>
      </c>
      <c r="I3689" s="16" t="n">
        <v>41.72</v>
      </c>
      <c r="J3689" s="16" t="n">
        <v>15</v>
      </c>
      <c r="K3689" s="16" t="n">
        <f aca="false">H3689*I3689</f>
        <v>125.16</v>
      </c>
      <c r="L3689" s="16" t="n">
        <f aca="false">H3689*J3689</f>
        <v>45</v>
      </c>
      <c r="M3689" s="16" t="n">
        <f aca="false">K3689-L3689</f>
        <v>80.16</v>
      </c>
      <c r="N3689" s="17" t="n">
        <f aca="false">IFERROR(M3689/K3689,0)</f>
        <v>0.64046021093001</v>
      </c>
    </row>
    <row r="3690" customFormat="false" ht="15" hidden="false" customHeight="false" outlineLevel="0" collapsed="false">
      <c r="A3690" s="15" t="n">
        <v>46176</v>
      </c>
      <c r="B3690" s="14" t="s">
        <v>81</v>
      </c>
      <c r="C3690" s="14" t="s">
        <v>82</v>
      </c>
      <c r="D3690" s="14" t="s">
        <v>83</v>
      </c>
      <c r="E3690" s="14" t="s">
        <v>53</v>
      </c>
      <c r="F3690" s="14" t="s">
        <v>92</v>
      </c>
      <c r="G3690" s="14" t="s">
        <v>93</v>
      </c>
      <c r="H3690" s="0" t="n">
        <v>4</v>
      </c>
      <c r="I3690" s="16" t="n">
        <v>118.35</v>
      </c>
      <c r="J3690" s="16" t="n">
        <v>52</v>
      </c>
      <c r="K3690" s="16" t="n">
        <f aca="false">H3690*I3690</f>
        <v>473.4</v>
      </c>
      <c r="L3690" s="16" t="n">
        <f aca="false">H3690*J3690</f>
        <v>208</v>
      </c>
      <c r="M3690" s="16" t="n">
        <f aca="false">K3690-L3690</f>
        <v>265.4</v>
      </c>
      <c r="N3690" s="17" t="n">
        <f aca="false">IFERROR(M3690/K3690,0)</f>
        <v>0.560625264047317</v>
      </c>
    </row>
    <row r="3691" customFormat="false" ht="15" hidden="false" customHeight="false" outlineLevel="0" collapsed="false">
      <c r="A3691" s="15" t="n">
        <v>46176</v>
      </c>
      <c r="B3691" s="14" t="s">
        <v>88</v>
      </c>
      <c r="C3691" s="14" t="s">
        <v>89</v>
      </c>
      <c r="D3691" s="14" t="s">
        <v>44</v>
      </c>
      <c r="E3691" s="14" t="s">
        <v>56</v>
      </c>
      <c r="F3691" s="14" t="s">
        <v>67</v>
      </c>
      <c r="G3691" s="14" t="s">
        <v>68</v>
      </c>
      <c r="H3691" s="0" t="n">
        <v>2</v>
      </c>
      <c r="I3691" s="16" t="n">
        <v>36.16</v>
      </c>
      <c r="J3691" s="16" t="n">
        <v>15</v>
      </c>
      <c r="K3691" s="16" t="n">
        <f aca="false">H3691*I3691</f>
        <v>72.32</v>
      </c>
      <c r="L3691" s="16" t="n">
        <f aca="false">H3691*J3691</f>
        <v>30</v>
      </c>
      <c r="M3691" s="16" t="n">
        <f aca="false">K3691-L3691</f>
        <v>42.32</v>
      </c>
      <c r="N3691" s="17" t="n">
        <f aca="false">IFERROR(M3691/K3691,0)</f>
        <v>0.585176991150442</v>
      </c>
    </row>
    <row r="3692" customFormat="false" ht="15" hidden="false" customHeight="false" outlineLevel="0" collapsed="false">
      <c r="A3692" s="15" t="n">
        <v>46176</v>
      </c>
      <c r="B3692" s="14" t="s">
        <v>88</v>
      </c>
      <c r="C3692" s="14" t="s">
        <v>89</v>
      </c>
      <c r="D3692" s="14" t="s">
        <v>44</v>
      </c>
      <c r="E3692" s="14" t="s">
        <v>53</v>
      </c>
      <c r="F3692" s="14" t="s">
        <v>54</v>
      </c>
      <c r="G3692" s="14" t="s">
        <v>55</v>
      </c>
      <c r="H3692" s="0" t="n">
        <v>3</v>
      </c>
      <c r="I3692" s="16" t="n">
        <v>51</v>
      </c>
      <c r="J3692" s="16" t="n">
        <v>22</v>
      </c>
      <c r="K3692" s="16" t="n">
        <f aca="false">H3692*I3692</f>
        <v>153</v>
      </c>
      <c r="L3692" s="16" t="n">
        <f aca="false">H3692*J3692</f>
        <v>66</v>
      </c>
      <c r="M3692" s="16" t="n">
        <f aca="false">K3692-L3692</f>
        <v>87</v>
      </c>
      <c r="N3692" s="17" t="n">
        <f aca="false">IFERROR(M3692/K3692,0)</f>
        <v>0.568627450980392</v>
      </c>
    </row>
    <row r="3693" customFormat="false" ht="15" hidden="false" customHeight="false" outlineLevel="0" collapsed="false">
      <c r="A3693" s="15" t="n">
        <v>46176</v>
      </c>
      <c r="B3693" s="14" t="s">
        <v>88</v>
      </c>
      <c r="C3693" s="14" t="s">
        <v>89</v>
      </c>
      <c r="D3693" s="14" t="s">
        <v>44</v>
      </c>
      <c r="E3693" s="14" t="s">
        <v>56</v>
      </c>
      <c r="F3693" s="14" t="s">
        <v>57</v>
      </c>
      <c r="G3693" s="14" t="s">
        <v>58</v>
      </c>
      <c r="H3693" s="0" t="n">
        <v>8</v>
      </c>
      <c r="I3693" s="16" t="n">
        <v>26.4</v>
      </c>
      <c r="J3693" s="16" t="n">
        <v>10</v>
      </c>
      <c r="K3693" s="16" t="n">
        <f aca="false">H3693*I3693</f>
        <v>211.2</v>
      </c>
      <c r="L3693" s="16" t="n">
        <f aca="false">H3693*J3693</f>
        <v>80</v>
      </c>
      <c r="M3693" s="16" t="n">
        <f aca="false">K3693-L3693</f>
        <v>131.2</v>
      </c>
      <c r="N3693" s="17" t="n">
        <f aca="false">IFERROR(M3693/K3693,0)</f>
        <v>0.621212121212121</v>
      </c>
    </row>
    <row r="3694" customFormat="false" ht="15" hidden="false" customHeight="false" outlineLevel="0" collapsed="false">
      <c r="A3694" s="15" t="n">
        <v>46176</v>
      </c>
      <c r="B3694" s="14" t="s">
        <v>88</v>
      </c>
      <c r="C3694" s="14" t="s">
        <v>89</v>
      </c>
      <c r="D3694" s="14" t="s">
        <v>44</v>
      </c>
      <c r="E3694" s="14" t="s">
        <v>45</v>
      </c>
      <c r="F3694" s="14" t="s">
        <v>48</v>
      </c>
      <c r="G3694" s="14" t="s">
        <v>49</v>
      </c>
      <c r="H3694" s="0" t="n">
        <v>4</v>
      </c>
      <c r="I3694" s="16" t="n">
        <v>63.87</v>
      </c>
      <c r="J3694" s="16" t="n">
        <v>27.5</v>
      </c>
      <c r="K3694" s="16" t="n">
        <f aca="false">H3694*I3694</f>
        <v>255.48</v>
      </c>
      <c r="L3694" s="16" t="n">
        <f aca="false">H3694*J3694</f>
        <v>110</v>
      </c>
      <c r="M3694" s="16" t="n">
        <f aca="false">K3694-L3694</f>
        <v>145.48</v>
      </c>
      <c r="N3694" s="17" t="n">
        <f aca="false">IFERROR(M3694/K3694,0)</f>
        <v>0.569437920776577</v>
      </c>
    </row>
    <row r="3695" customFormat="false" ht="15" hidden="false" customHeight="false" outlineLevel="0" collapsed="false">
      <c r="A3695" s="15" t="n">
        <v>46177</v>
      </c>
      <c r="B3695" s="14" t="s">
        <v>42</v>
      </c>
      <c r="C3695" s="14" t="s">
        <v>43</v>
      </c>
      <c r="D3695" s="14" t="s">
        <v>44</v>
      </c>
      <c r="E3695" s="14" t="s">
        <v>53</v>
      </c>
      <c r="F3695" s="14" t="s">
        <v>84</v>
      </c>
      <c r="G3695" s="14" t="s">
        <v>85</v>
      </c>
      <c r="H3695" s="0" t="n">
        <v>7</v>
      </c>
      <c r="I3695" s="16" t="n">
        <v>23.27</v>
      </c>
      <c r="J3695" s="16" t="n">
        <v>9</v>
      </c>
      <c r="K3695" s="16" t="n">
        <f aca="false">H3695*I3695</f>
        <v>162.89</v>
      </c>
      <c r="L3695" s="16" t="n">
        <f aca="false">H3695*J3695</f>
        <v>63</v>
      </c>
      <c r="M3695" s="16" t="n">
        <f aca="false">K3695-L3695</f>
        <v>99.89</v>
      </c>
      <c r="N3695" s="17" t="n">
        <f aca="false">IFERROR(M3695/K3695,0)</f>
        <v>0.613235926085088</v>
      </c>
    </row>
    <row r="3696" customFormat="false" ht="15" hidden="false" customHeight="false" outlineLevel="0" collapsed="false">
      <c r="A3696" s="15" t="n">
        <v>46177</v>
      </c>
      <c r="B3696" s="14" t="s">
        <v>42</v>
      </c>
      <c r="C3696" s="14" t="s">
        <v>43</v>
      </c>
      <c r="D3696" s="14" t="s">
        <v>44</v>
      </c>
      <c r="E3696" s="14" t="s">
        <v>76</v>
      </c>
      <c r="F3696" s="14" t="s">
        <v>77</v>
      </c>
      <c r="G3696" s="14" t="s">
        <v>78</v>
      </c>
      <c r="H3696" s="0" t="n">
        <v>1</v>
      </c>
      <c r="I3696" s="16" t="n">
        <v>41.6</v>
      </c>
      <c r="J3696" s="16" t="n">
        <v>15</v>
      </c>
      <c r="K3696" s="16" t="n">
        <f aca="false">H3696*I3696</f>
        <v>41.6</v>
      </c>
      <c r="L3696" s="16" t="n">
        <f aca="false">H3696*J3696</f>
        <v>15</v>
      </c>
      <c r="M3696" s="16" t="n">
        <f aca="false">K3696-L3696</f>
        <v>26.6</v>
      </c>
      <c r="N3696" s="17" t="n">
        <f aca="false">IFERROR(M3696/K3696,0)</f>
        <v>0.639423076923077</v>
      </c>
    </row>
    <row r="3697" customFormat="false" ht="15" hidden="false" customHeight="false" outlineLevel="0" collapsed="false">
      <c r="A3697" s="15" t="n">
        <v>46177</v>
      </c>
      <c r="B3697" s="14" t="s">
        <v>50</v>
      </c>
      <c r="C3697" s="14" t="s">
        <v>51</v>
      </c>
      <c r="D3697" s="14" t="s">
        <v>52</v>
      </c>
      <c r="E3697" s="14" t="s">
        <v>45</v>
      </c>
      <c r="F3697" s="14" t="s">
        <v>48</v>
      </c>
      <c r="G3697" s="14" t="s">
        <v>49</v>
      </c>
      <c r="H3697" s="0" t="n">
        <v>9</v>
      </c>
      <c r="I3697" s="16" t="n">
        <v>66.69</v>
      </c>
      <c r="J3697" s="16" t="n">
        <v>27.5</v>
      </c>
      <c r="K3697" s="16" t="n">
        <f aca="false">H3697*I3697</f>
        <v>600.21</v>
      </c>
      <c r="L3697" s="16" t="n">
        <f aca="false">H3697*J3697</f>
        <v>247.5</v>
      </c>
      <c r="M3697" s="16" t="n">
        <f aca="false">K3697-L3697</f>
        <v>352.71</v>
      </c>
      <c r="N3697" s="17" t="n">
        <f aca="false">IFERROR(M3697/K3697,0)</f>
        <v>0.58764432448643</v>
      </c>
    </row>
    <row r="3698" customFormat="false" ht="15" hidden="false" customHeight="false" outlineLevel="0" collapsed="false">
      <c r="A3698" s="15" t="n">
        <v>46177</v>
      </c>
      <c r="B3698" s="14" t="s">
        <v>50</v>
      </c>
      <c r="C3698" s="14" t="s">
        <v>51</v>
      </c>
      <c r="D3698" s="14" t="s">
        <v>52</v>
      </c>
      <c r="E3698" s="14" t="s">
        <v>76</v>
      </c>
      <c r="F3698" s="14" t="s">
        <v>100</v>
      </c>
      <c r="G3698" s="14" t="s">
        <v>101</v>
      </c>
      <c r="H3698" s="0" t="n">
        <v>3</v>
      </c>
      <c r="I3698" s="16" t="n">
        <v>15.31</v>
      </c>
      <c r="J3698" s="16" t="n">
        <v>5.5</v>
      </c>
      <c r="K3698" s="16" t="n">
        <f aca="false">H3698*I3698</f>
        <v>45.93</v>
      </c>
      <c r="L3698" s="16" t="n">
        <f aca="false">H3698*J3698</f>
        <v>16.5</v>
      </c>
      <c r="M3698" s="16" t="n">
        <f aca="false">K3698-L3698</f>
        <v>29.43</v>
      </c>
      <c r="N3698" s="17" t="n">
        <f aca="false">IFERROR(M3698/K3698,0)</f>
        <v>0.640757674722404</v>
      </c>
    </row>
    <row r="3699" customFormat="false" ht="15" hidden="false" customHeight="false" outlineLevel="0" collapsed="false">
      <c r="A3699" s="15" t="n">
        <v>46177</v>
      </c>
      <c r="B3699" s="14" t="s">
        <v>59</v>
      </c>
      <c r="C3699" s="14" t="s">
        <v>60</v>
      </c>
      <c r="D3699" s="14" t="s">
        <v>61</v>
      </c>
      <c r="E3699" s="14" t="s">
        <v>64</v>
      </c>
      <c r="F3699" s="14" t="s">
        <v>65</v>
      </c>
      <c r="G3699" s="14" t="s">
        <v>66</v>
      </c>
      <c r="H3699" s="0" t="n">
        <v>1</v>
      </c>
      <c r="I3699" s="16" t="n">
        <v>78.44</v>
      </c>
      <c r="J3699" s="16" t="n">
        <v>34</v>
      </c>
      <c r="K3699" s="16" t="n">
        <f aca="false">H3699*I3699</f>
        <v>78.44</v>
      </c>
      <c r="L3699" s="16" t="n">
        <f aca="false">H3699*J3699</f>
        <v>34</v>
      </c>
      <c r="M3699" s="16" t="n">
        <f aca="false">K3699-L3699</f>
        <v>44.44</v>
      </c>
      <c r="N3699" s="17" t="n">
        <f aca="false">IFERROR(M3699/K3699,0)</f>
        <v>0.566547679755227</v>
      </c>
    </row>
    <row r="3700" customFormat="false" ht="15" hidden="false" customHeight="false" outlineLevel="0" collapsed="false">
      <c r="A3700" s="15" t="n">
        <v>46177</v>
      </c>
      <c r="B3700" s="14" t="s">
        <v>59</v>
      </c>
      <c r="C3700" s="14" t="s">
        <v>60</v>
      </c>
      <c r="D3700" s="14" t="s">
        <v>61</v>
      </c>
      <c r="E3700" s="14" t="s">
        <v>53</v>
      </c>
      <c r="F3700" s="14" t="s">
        <v>74</v>
      </c>
      <c r="G3700" s="14" t="s">
        <v>75</v>
      </c>
      <c r="H3700" s="0" t="n">
        <v>1</v>
      </c>
      <c r="I3700" s="16" t="n">
        <v>86.05</v>
      </c>
      <c r="J3700" s="16" t="n">
        <v>38</v>
      </c>
      <c r="K3700" s="16" t="n">
        <f aca="false">H3700*I3700</f>
        <v>86.05</v>
      </c>
      <c r="L3700" s="16" t="n">
        <f aca="false">H3700*J3700</f>
        <v>38</v>
      </c>
      <c r="M3700" s="16" t="n">
        <f aca="false">K3700-L3700</f>
        <v>48.05</v>
      </c>
      <c r="N3700" s="17" t="n">
        <f aca="false">IFERROR(M3700/K3700,0)</f>
        <v>0.558396281231842</v>
      </c>
    </row>
    <row r="3701" customFormat="false" ht="15" hidden="false" customHeight="false" outlineLevel="0" collapsed="false">
      <c r="A3701" s="15" t="n">
        <v>46177</v>
      </c>
      <c r="B3701" s="14" t="s">
        <v>59</v>
      </c>
      <c r="C3701" s="14" t="s">
        <v>60</v>
      </c>
      <c r="D3701" s="14" t="s">
        <v>61</v>
      </c>
      <c r="E3701" s="14" t="s">
        <v>76</v>
      </c>
      <c r="F3701" s="14" t="s">
        <v>100</v>
      </c>
      <c r="G3701" s="14" t="s">
        <v>101</v>
      </c>
      <c r="H3701" s="0" t="n">
        <v>2</v>
      </c>
      <c r="I3701" s="16" t="n">
        <v>15.42</v>
      </c>
      <c r="J3701" s="16" t="n">
        <v>5.5</v>
      </c>
      <c r="K3701" s="16" t="n">
        <f aca="false">H3701*I3701</f>
        <v>30.84</v>
      </c>
      <c r="L3701" s="16" t="n">
        <f aca="false">H3701*J3701</f>
        <v>11</v>
      </c>
      <c r="M3701" s="16" t="n">
        <f aca="false">K3701-L3701</f>
        <v>19.84</v>
      </c>
      <c r="N3701" s="17" t="n">
        <f aca="false">IFERROR(M3701/K3701,0)</f>
        <v>0.643320363164721</v>
      </c>
    </row>
    <row r="3702" customFormat="false" ht="15" hidden="false" customHeight="false" outlineLevel="0" collapsed="false">
      <c r="A3702" s="15" t="n">
        <v>46177</v>
      </c>
      <c r="B3702" s="14" t="s">
        <v>59</v>
      </c>
      <c r="C3702" s="14" t="s">
        <v>60</v>
      </c>
      <c r="D3702" s="14" t="s">
        <v>61</v>
      </c>
      <c r="E3702" s="14" t="s">
        <v>56</v>
      </c>
      <c r="F3702" s="14" t="s">
        <v>98</v>
      </c>
      <c r="G3702" s="14" t="s">
        <v>99</v>
      </c>
      <c r="H3702" s="0" t="n">
        <v>3</v>
      </c>
      <c r="I3702" s="16" t="n">
        <v>21.45</v>
      </c>
      <c r="J3702" s="16" t="n">
        <v>8</v>
      </c>
      <c r="K3702" s="16" t="n">
        <f aca="false">H3702*I3702</f>
        <v>64.35</v>
      </c>
      <c r="L3702" s="16" t="n">
        <f aca="false">H3702*J3702</f>
        <v>24</v>
      </c>
      <c r="M3702" s="16" t="n">
        <f aca="false">K3702-L3702</f>
        <v>40.35</v>
      </c>
      <c r="N3702" s="17" t="n">
        <f aca="false">IFERROR(M3702/K3702,0)</f>
        <v>0.627039627039627</v>
      </c>
    </row>
    <row r="3703" customFormat="false" ht="15" hidden="false" customHeight="false" outlineLevel="0" collapsed="false">
      <c r="A3703" s="15" t="n">
        <v>46177</v>
      </c>
      <c r="B3703" s="14" t="s">
        <v>59</v>
      </c>
      <c r="C3703" s="14" t="s">
        <v>60</v>
      </c>
      <c r="D3703" s="14" t="s">
        <v>61</v>
      </c>
      <c r="E3703" s="14" t="s">
        <v>76</v>
      </c>
      <c r="F3703" s="14" t="s">
        <v>100</v>
      </c>
      <c r="G3703" s="14" t="s">
        <v>101</v>
      </c>
      <c r="H3703" s="0" t="n">
        <v>8</v>
      </c>
      <c r="I3703" s="16" t="n">
        <v>15.06</v>
      </c>
      <c r="J3703" s="16" t="n">
        <v>5.5</v>
      </c>
      <c r="K3703" s="16" t="n">
        <f aca="false">H3703*I3703</f>
        <v>120.48</v>
      </c>
      <c r="L3703" s="16" t="n">
        <f aca="false">H3703*J3703</f>
        <v>44</v>
      </c>
      <c r="M3703" s="16" t="n">
        <f aca="false">K3703-L3703</f>
        <v>76.48</v>
      </c>
      <c r="N3703" s="17" t="n">
        <f aca="false">IFERROR(M3703/K3703,0)</f>
        <v>0.634794156706507</v>
      </c>
    </row>
    <row r="3704" customFormat="false" ht="15" hidden="false" customHeight="false" outlineLevel="0" collapsed="false">
      <c r="A3704" s="15" t="n">
        <v>46177</v>
      </c>
      <c r="B3704" s="14" t="s">
        <v>59</v>
      </c>
      <c r="C3704" s="14" t="s">
        <v>60</v>
      </c>
      <c r="D3704" s="14" t="s">
        <v>61</v>
      </c>
      <c r="E3704" s="14" t="s">
        <v>76</v>
      </c>
      <c r="F3704" s="14" t="s">
        <v>79</v>
      </c>
      <c r="G3704" s="14" t="s">
        <v>80</v>
      </c>
      <c r="H3704" s="0" t="n">
        <v>7</v>
      </c>
      <c r="I3704" s="16" t="n">
        <v>29.8</v>
      </c>
      <c r="J3704" s="16" t="n">
        <v>11</v>
      </c>
      <c r="K3704" s="16" t="n">
        <f aca="false">H3704*I3704</f>
        <v>208.6</v>
      </c>
      <c r="L3704" s="16" t="n">
        <f aca="false">H3704*J3704</f>
        <v>77</v>
      </c>
      <c r="M3704" s="16" t="n">
        <f aca="false">K3704-L3704</f>
        <v>131.6</v>
      </c>
      <c r="N3704" s="17" t="n">
        <f aca="false">IFERROR(M3704/K3704,0)</f>
        <v>0.630872483221477</v>
      </c>
    </row>
    <row r="3705" customFormat="false" ht="15" hidden="false" customHeight="false" outlineLevel="0" collapsed="false">
      <c r="A3705" s="15" t="n">
        <v>46177</v>
      </c>
      <c r="B3705" s="14" t="s">
        <v>69</v>
      </c>
      <c r="C3705" s="14" t="s">
        <v>70</v>
      </c>
      <c r="D3705" s="14" t="s">
        <v>71</v>
      </c>
      <c r="E3705" s="14" t="s">
        <v>53</v>
      </c>
      <c r="F3705" s="14" t="s">
        <v>84</v>
      </c>
      <c r="G3705" s="14" t="s">
        <v>85</v>
      </c>
      <c r="H3705" s="0" t="n">
        <v>7</v>
      </c>
      <c r="I3705" s="16" t="n">
        <v>24.22</v>
      </c>
      <c r="J3705" s="16" t="n">
        <v>9</v>
      </c>
      <c r="K3705" s="16" t="n">
        <f aca="false">H3705*I3705</f>
        <v>169.54</v>
      </c>
      <c r="L3705" s="16" t="n">
        <f aca="false">H3705*J3705</f>
        <v>63</v>
      </c>
      <c r="M3705" s="16" t="n">
        <f aca="false">K3705-L3705</f>
        <v>106.54</v>
      </c>
      <c r="N3705" s="17" t="n">
        <f aca="false">IFERROR(M3705/K3705,0)</f>
        <v>0.62840627580512</v>
      </c>
    </row>
    <row r="3706" customFormat="false" ht="15" hidden="false" customHeight="false" outlineLevel="0" collapsed="false">
      <c r="A3706" s="15" t="n">
        <v>46177</v>
      </c>
      <c r="B3706" s="14" t="s">
        <v>69</v>
      </c>
      <c r="C3706" s="14" t="s">
        <v>70</v>
      </c>
      <c r="D3706" s="14" t="s">
        <v>71</v>
      </c>
      <c r="E3706" s="14" t="s">
        <v>76</v>
      </c>
      <c r="F3706" s="14" t="s">
        <v>77</v>
      </c>
      <c r="G3706" s="14" t="s">
        <v>78</v>
      </c>
      <c r="H3706" s="0" t="n">
        <v>1</v>
      </c>
      <c r="I3706" s="16" t="n">
        <v>38.9</v>
      </c>
      <c r="J3706" s="16" t="n">
        <v>15</v>
      </c>
      <c r="K3706" s="16" t="n">
        <f aca="false">H3706*I3706</f>
        <v>38.9</v>
      </c>
      <c r="L3706" s="16" t="n">
        <f aca="false">H3706*J3706</f>
        <v>15</v>
      </c>
      <c r="M3706" s="16" t="n">
        <f aca="false">K3706-L3706</f>
        <v>23.9</v>
      </c>
      <c r="N3706" s="17" t="n">
        <f aca="false">IFERROR(M3706/K3706,0)</f>
        <v>0.61439588688946</v>
      </c>
    </row>
    <row r="3707" customFormat="false" ht="15" hidden="false" customHeight="false" outlineLevel="0" collapsed="false">
      <c r="A3707" s="15" t="n">
        <v>46177</v>
      </c>
      <c r="B3707" s="14" t="s">
        <v>69</v>
      </c>
      <c r="C3707" s="14" t="s">
        <v>70</v>
      </c>
      <c r="D3707" s="14" t="s">
        <v>71</v>
      </c>
      <c r="E3707" s="14" t="s">
        <v>56</v>
      </c>
      <c r="F3707" s="14" t="s">
        <v>98</v>
      </c>
      <c r="G3707" s="14" t="s">
        <v>99</v>
      </c>
      <c r="H3707" s="0" t="n">
        <v>2</v>
      </c>
      <c r="I3707" s="16" t="n">
        <v>21.77</v>
      </c>
      <c r="J3707" s="16" t="n">
        <v>8</v>
      </c>
      <c r="K3707" s="16" t="n">
        <f aca="false">H3707*I3707</f>
        <v>43.54</v>
      </c>
      <c r="L3707" s="16" t="n">
        <f aca="false">H3707*J3707</f>
        <v>16</v>
      </c>
      <c r="M3707" s="16" t="n">
        <f aca="false">K3707-L3707</f>
        <v>27.54</v>
      </c>
      <c r="N3707" s="17" t="n">
        <f aca="false">IFERROR(M3707/K3707,0)</f>
        <v>0.632521819016996</v>
      </c>
    </row>
    <row r="3708" customFormat="false" ht="15" hidden="false" customHeight="false" outlineLevel="0" collapsed="false">
      <c r="A3708" s="15" t="n">
        <v>46177</v>
      </c>
      <c r="B3708" s="14" t="s">
        <v>69</v>
      </c>
      <c r="C3708" s="14" t="s">
        <v>70</v>
      </c>
      <c r="D3708" s="14" t="s">
        <v>71</v>
      </c>
      <c r="E3708" s="14" t="s">
        <v>56</v>
      </c>
      <c r="F3708" s="14" t="s">
        <v>67</v>
      </c>
      <c r="G3708" s="14" t="s">
        <v>68</v>
      </c>
      <c r="H3708" s="0" t="n">
        <v>2</v>
      </c>
      <c r="I3708" s="16" t="n">
        <v>36.6</v>
      </c>
      <c r="J3708" s="16" t="n">
        <v>15</v>
      </c>
      <c r="K3708" s="16" t="n">
        <f aca="false">H3708*I3708</f>
        <v>73.2</v>
      </c>
      <c r="L3708" s="16" t="n">
        <f aca="false">H3708*J3708</f>
        <v>30</v>
      </c>
      <c r="M3708" s="16" t="n">
        <f aca="false">K3708-L3708</f>
        <v>43.2</v>
      </c>
      <c r="N3708" s="17" t="n">
        <f aca="false">IFERROR(M3708/K3708,0)</f>
        <v>0.59016393442623</v>
      </c>
    </row>
    <row r="3709" customFormat="false" ht="15" hidden="false" customHeight="false" outlineLevel="0" collapsed="false">
      <c r="A3709" s="15" t="n">
        <v>46177</v>
      </c>
      <c r="B3709" s="14" t="s">
        <v>69</v>
      </c>
      <c r="C3709" s="14" t="s">
        <v>70</v>
      </c>
      <c r="D3709" s="14" t="s">
        <v>71</v>
      </c>
      <c r="E3709" s="14" t="s">
        <v>53</v>
      </c>
      <c r="F3709" s="14" t="s">
        <v>54</v>
      </c>
      <c r="G3709" s="14" t="s">
        <v>55</v>
      </c>
      <c r="H3709" s="0" t="n">
        <v>8</v>
      </c>
      <c r="I3709" s="16" t="n">
        <v>52.93</v>
      </c>
      <c r="J3709" s="16" t="n">
        <v>22</v>
      </c>
      <c r="K3709" s="16" t="n">
        <f aca="false">H3709*I3709</f>
        <v>423.44</v>
      </c>
      <c r="L3709" s="16" t="n">
        <f aca="false">H3709*J3709</f>
        <v>176</v>
      </c>
      <c r="M3709" s="16" t="n">
        <f aca="false">K3709-L3709</f>
        <v>247.44</v>
      </c>
      <c r="N3709" s="17" t="n">
        <f aca="false">IFERROR(M3709/K3709,0)</f>
        <v>0.584356697525033</v>
      </c>
    </row>
    <row r="3710" customFormat="false" ht="15" hidden="false" customHeight="false" outlineLevel="0" collapsed="false">
      <c r="A3710" s="15" t="n">
        <v>46177</v>
      </c>
      <c r="B3710" s="14" t="s">
        <v>69</v>
      </c>
      <c r="C3710" s="14" t="s">
        <v>70</v>
      </c>
      <c r="D3710" s="14" t="s">
        <v>71</v>
      </c>
      <c r="E3710" s="14" t="s">
        <v>76</v>
      </c>
      <c r="F3710" s="14" t="s">
        <v>79</v>
      </c>
      <c r="G3710" s="14" t="s">
        <v>80</v>
      </c>
      <c r="H3710" s="0" t="n">
        <v>3</v>
      </c>
      <c r="I3710" s="16" t="n">
        <v>29.42</v>
      </c>
      <c r="J3710" s="16" t="n">
        <v>11</v>
      </c>
      <c r="K3710" s="16" t="n">
        <f aca="false">H3710*I3710</f>
        <v>88.26</v>
      </c>
      <c r="L3710" s="16" t="n">
        <f aca="false">H3710*J3710</f>
        <v>33</v>
      </c>
      <c r="M3710" s="16" t="n">
        <f aca="false">K3710-L3710</f>
        <v>55.26</v>
      </c>
      <c r="N3710" s="17" t="n">
        <f aca="false">IFERROR(M3710/K3710,0)</f>
        <v>0.626104690686608</v>
      </c>
    </row>
    <row r="3711" customFormat="false" ht="15" hidden="false" customHeight="false" outlineLevel="0" collapsed="false">
      <c r="A3711" s="15" t="n">
        <v>46177</v>
      </c>
      <c r="B3711" s="14" t="s">
        <v>81</v>
      </c>
      <c r="C3711" s="14" t="s">
        <v>82</v>
      </c>
      <c r="D3711" s="14" t="s">
        <v>83</v>
      </c>
      <c r="E3711" s="14" t="s">
        <v>53</v>
      </c>
      <c r="F3711" s="14" t="s">
        <v>54</v>
      </c>
      <c r="G3711" s="14" t="s">
        <v>55</v>
      </c>
      <c r="H3711" s="0" t="n">
        <v>3</v>
      </c>
      <c r="I3711" s="16" t="n">
        <v>54.74</v>
      </c>
      <c r="J3711" s="16" t="n">
        <v>22</v>
      </c>
      <c r="K3711" s="16" t="n">
        <f aca="false">H3711*I3711</f>
        <v>164.22</v>
      </c>
      <c r="L3711" s="16" t="n">
        <f aca="false">H3711*J3711</f>
        <v>66</v>
      </c>
      <c r="M3711" s="16" t="n">
        <f aca="false">K3711-L3711</f>
        <v>98.22</v>
      </c>
      <c r="N3711" s="17" t="n">
        <f aca="false">IFERROR(M3711/K3711,0)</f>
        <v>0.598100109609061</v>
      </c>
    </row>
    <row r="3712" customFormat="false" ht="15" hidden="false" customHeight="false" outlineLevel="0" collapsed="false">
      <c r="A3712" s="15" t="n">
        <v>46177</v>
      </c>
      <c r="B3712" s="14" t="s">
        <v>81</v>
      </c>
      <c r="C3712" s="14" t="s">
        <v>82</v>
      </c>
      <c r="D3712" s="14" t="s">
        <v>83</v>
      </c>
      <c r="E3712" s="14" t="s">
        <v>56</v>
      </c>
      <c r="F3712" s="14" t="s">
        <v>86</v>
      </c>
      <c r="G3712" s="14" t="s">
        <v>87</v>
      </c>
      <c r="H3712" s="0" t="n">
        <v>1</v>
      </c>
      <c r="I3712" s="16" t="n">
        <v>14.09</v>
      </c>
      <c r="J3712" s="16" t="n">
        <v>5</v>
      </c>
      <c r="K3712" s="16" t="n">
        <f aca="false">H3712*I3712</f>
        <v>14.09</v>
      </c>
      <c r="L3712" s="16" t="n">
        <f aca="false">H3712*J3712</f>
        <v>5</v>
      </c>
      <c r="M3712" s="16" t="n">
        <f aca="false">K3712-L3712</f>
        <v>9.09</v>
      </c>
      <c r="N3712" s="17" t="n">
        <f aca="false">IFERROR(M3712/K3712,0)</f>
        <v>0.64513839602555</v>
      </c>
    </row>
    <row r="3713" customFormat="false" ht="15" hidden="false" customHeight="false" outlineLevel="0" collapsed="false">
      <c r="A3713" s="15" t="n">
        <v>46177</v>
      </c>
      <c r="B3713" s="14" t="s">
        <v>81</v>
      </c>
      <c r="C3713" s="14" t="s">
        <v>82</v>
      </c>
      <c r="D3713" s="14" t="s">
        <v>83</v>
      </c>
      <c r="E3713" s="14" t="s">
        <v>76</v>
      </c>
      <c r="F3713" s="14" t="s">
        <v>102</v>
      </c>
      <c r="G3713" s="14" t="s">
        <v>103</v>
      </c>
      <c r="H3713" s="0" t="n">
        <v>5</v>
      </c>
      <c r="I3713" s="16" t="n">
        <v>22.88</v>
      </c>
      <c r="J3713" s="16" t="n">
        <v>8.5</v>
      </c>
      <c r="K3713" s="16" t="n">
        <f aca="false">H3713*I3713</f>
        <v>114.4</v>
      </c>
      <c r="L3713" s="16" t="n">
        <f aca="false">H3713*J3713</f>
        <v>42.5</v>
      </c>
      <c r="M3713" s="16" t="n">
        <f aca="false">K3713-L3713</f>
        <v>71.9</v>
      </c>
      <c r="N3713" s="17" t="n">
        <f aca="false">IFERROR(M3713/K3713,0)</f>
        <v>0.628496503496503</v>
      </c>
    </row>
    <row r="3714" customFormat="false" ht="15" hidden="false" customHeight="false" outlineLevel="0" collapsed="false">
      <c r="A3714" s="15" t="n">
        <v>46177</v>
      </c>
      <c r="B3714" s="14" t="s">
        <v>81</v>
      </c>
      <c r="C3714" s="14" t="s">
        <v>82</v>
      </c>
      <c r="D3714" s="14" t="s">
        <v>83</v>
      </c>
      <c r="E3714" s="14" t="s">
        <v>45</v>
      </c>
      <c r="F3714" s="14" t="s">
        <v>46</v>
      </c>
      <c r="G3714" s="14" t="s">
        <v>47</v>
      </c>
      <c r="H3714" s="0" t="n">
        <v>1</v>
      </c>
      <c r="I3714" s="16" t="n">
        <v>43.9</v>
      </c>
      <c r="J3714" s="16" t="n">
        <v>18</v>
      </c>
      <c r="K3714" s="16" t="n">
        <f aca="false">H3714*I3714</f>
        <v>43.9</v>
      </c>
      <c r="L3714" s="16" t="n">
        <f aca="false">H3714*J3714</f>
        <v>18</v>
      </c>
      <c r="M3714" s="16" t="n">
        <f aca="false">K3714-L3714</f>
        <v>25.9</v>
      </c>
      <c r="N3714" s="17" t="n">
        <f aca="false">IFERROR(M3714/K3714,0)</f>
        <v>0.58997722095672</v>
      </c>
    </row>
    <row r="3715" customFormat="false" ht="15" hidden="false" customHeight="false" outlineLevel="0" collapsed="false">
      <c r="A3715" s="15" t="n">
        <v>46177</v>
      </c>
      <c r="B3715" s="14" t="s">
        <v>81</v>
      </c>
      <c r="C3715" s="14" t="s">
        <v>82</v>
      </c>
      <c r="D3715" s="14" t="s">
        <v>83</v>
      </c>
      <c r="E3715" s="14" t="s">
        <v>76</v>
      </c>
      <c r="F3715" s="14" t="s">
        <v>77</v>
      </c>
      <c r="G3715" s="14" t="s">
        <v>78</v>
      </c>
      <c r="H3715" s="0" t="n">
        <v>6</v>
      </c>
      <c r="I3715" s="16" t="n">
        <v>41.8</v>
      </c>
      <c r="J3715" s="16" t="n">
        <v>15</v>
      </c>
      <c r="K3715" s="16" t="n">
        <f aca="false">H3715*I3715</f>
        <v>250.8</v>
      </c>
      <c r="L3715" s="16" t="n">
        <f aca="false">H3715*J3715</f>
        <v>90</v>
      </c>
      <c r="M3715" s="16" t="n">
        <f aca="false">K3715-L3715</f>
        <v>160.8</v>
      </c>
      <c r="N3715" s="17" t="n">
        <f aca="false">IFERROR(M3715/K3715,0)</f>
        <v>0.641148325358852</v>
      </c>
    </row>
    <row r="3716" customFormat="false" ht="15" hidden="false" customHeight="false" outlineLevel="0" collapsed="false">
      <c r="A3716" s="15" t="n">
        <v>46177</v>
      </c>
      <c r="B3716" s="14" t="s">
        <v>88</v>
      </c>
      <c r="C3716" s="14" t="s">
        <v>89</v>
      </c>
      <c r="D3716" s="14" t="s">
        <v>44</v>
      </c>
      <c r="E3716" s="14" t="s">
        <v>76</v>
      </c>
      <c r="F3716" s="14" t="s">
        <v>79</v>
      </c>
      <c r="G3716" s="14" t="s">
        <v>80</v>
      </c>
      <c r="H3716" s="0" t="n">
        <v>7</v>
      </c>
      <c r="I3716" s="16" t="n">
        <v>28.17</v>
      </c>
      <c r="J3716" s="16" t="n">
        <v>11</v>
      </c>
      <c r="K3716" s="16" t="n">
        <f aca="false">H3716*I3716</f>
        <v>197.19</v>
      </c>
      <c r="L3716" s="16" t="n">
        <f aca="false">H3716*J3716</f>
        <v>77</v>
      </c>
      <c r="M3716" s="16" t="n">
        <f aca="false">K3716-L3716</f>
        <v>120.19</v>
      </c>
      <c r="N3716" s="17" t="n">
        <f aca="false">IFERROR(M3716/K3716,0)</f>
        <v>0.609513667021654</v>
      </c>
    </row>
    <row r="3717" customFormat="false" ht="15" hidden="false" customHeight="false" outlineLevel="0" collapsed="false">
      <c r="A3717" s="15" t="n">
        <v>46177</v>
      </c>
      <c r="B3717" s="14" t="s">
        <v>88</v>
      </c>
      <c r="C3717" s="14" t="s">
        <v>89</v>
      </c>
      <c r="D3717" s="14" t="s">
        <v>44</v>
      </c>
      <c r="E3717" s="14" t="s">
        <v>64</v>
      </c>
      <c r="F3717" s="14" t="s">
        <v>90</v>
      </c>
      <c r="G3717" s="14" t="s">
        <v>91</v>
      </c>
      <c r="H3717" s="0" t="n">
        <v>8</v>
      </c>
      <c r="I3717" s="16" t="n">
        <v>11.97</v>
      </c>
      <c r="J3717" s="16" t="n">
        <v>3.5</v>
      </c>
      <c r="K3717" s="16" t="n">
        <f aca="false">H3717*I3717</f>
        <v>95.76</v>
      </c>
      <c r="L3717" s="16" t="n">
        <f aca="false">H3717*J3717</f>
        <v>28</v>
      </c>
      <c r="M3717" s="16" t="n">
        <f aca="false">K3717-L3717</f>
        <v>67.76</v>
      </c>
      <c r="N3717" s="17" t="n">
        <f aca="false">IFERROR(M3717/K3717,0)</f>
        <v>0.707602339181287</v>
      </c>
    </row>
    <row r="3718" customFormat="false" ht="15" hidden="false" customHeight="false" outlineLevel="0" collapsed="false">
      <c r="A3718" s="15" t="n">
        <v>46178</v>
      </c>
      <c r="B3718" s="14" t="s">
        <v>42</v>
      </c>
      <c r="C3718" s="14" t="s">
        <v>43</v>
      </c>
      <c r="D3718" s="14" t="s">
        <v>44</v>
      </c>
      <c r="E3718" s="14" t="s">
        <v>56</v>
      </c>
      <c r="F3718" s="14" t="s">
        <v>98</v>
      </c>
      <c r="G3718" s="14" t="s">
        <v>99</v>
      </c>
      <c r="H3718" s="0" t="n">
        <v>2</v>
      </c>
      <c r="I3718" s="16" t="n">
        <v>21.55</v>
      </c>
      <c r="J3718" s="16" t="n">
        <v>8</v>
      </c>
      <c r="K3718" s="16" t="n">
        <f aca="false">H3718*I3718</f>
        <v>43.1</v>
      </c>
      <c r="L3718" s="16" t="n">
        <f aca="false">H3718*J3718</f>
        <v>16</v>
      </c>
      <c r="M3718" s="16" t="n">
        <f aca="false">K3718-L3718</f>
        <v>27.1</v>
      </c>
      <c r="N3718" s="17" t="n">
        <f aca="false">IFERROR(M3718/K3718,0)</f>
        <v>0.62877030162413</v>
      </c>
    </row>
    <row r="3719" customFormat="false" ht="15" hidden="false" customHeight="false" outlineLevel="0" collapsed="false">
      <c r="A3719" s="15" t="n">
        <v>46178</v>
      </c>
      <c r="B3719" s="14" t="s">
        <v>42</v>
      </c>
      <c r="C3719" s="14" t="s">
        <v>43</v>
      </c>
      <c r="D3719" s="14" t="s">
        <v>44</v>
      </c>
      <c r="E3719" s="14" t="s">
        <v>64</v>
      </c>
      <c r="F3719" s="14" t="s">
        <v>65</v>
      </c>
      <c r="G3719" s="14" t="s">
        <v>66</v>
      </c>
      <c r="H3719" s="0" t="n">
        <v>1</v>
      </c>
      <c r="I3719" s="16" t="n">
        <v>78.65</v>
      </c>
      <c r="J3719" s="16" t="n">
        <v>34</v>
      </c>
      <c r="K3719" s="16" t="n">
        <f aca="false">H3719*I3719</f>
        <v>78.65</v>
      </c>
      <c r="L3719" s="16" t="n">
        <f aca="false">H3719*J3719</f>
        <v>34</v>
      </c>
      <c r="M3719" s="16" t="n">
        <f aca="false">K3719-L3719</f>
        <v>44.65</v>
      </c>
      <c r="N3719" s="17" t="n">
        <f aca="false">IFERROR(M3719/K3719,0)</f>
        <v>0.567705022250477</v>
      </c>
    </row>
    <row r="3720" customFormat="false" ht="15" hidden="false" customHeight="false" outlineLevel="0" collapsed="false">
      <c r="A3720" s="15" t="n">
        <v>46178</v>
      </c>
      <c r="B3720" s="14" t="s">
        <v>50</v>
      </c>
      <c r="C3720" s="14" t="s">
        <v>51</v>
      </c>
      <c r="D3720" s="14" t="s">
        <v>52</v>
      </c>
      <c r="E3720" s="14" t="s">
        <v>56</v>
      </c>
      <c r="F3720" s="14" t="s">
        <v>86</v>
      </c>
      <c r="G3720" s="14" t="s">
        <v>87</v>
      </c>
      <c r="H3720" s="0" t="n">
        <v>7</v>
      </c>
      <c r="I3720" s="16" t="n">
        <v>14.27</v>
      </c>
      <c r="J3720" s="16" t="n">
        <v>5</v>
      </c>
      <c r="K3720" s="16" t="n">
        <f aca="false">H3720*I3720</f>
        <v>99.89</v>
      </c>
      <c r="L3720" s="16" t="n">
        <f aca="false">H3720*J3720</f>
        <v>35</v>
      </c>
      <c r="M3720" s="16" t="n">
        <f aca="false">K3720-L3720</f>
        <v>64.89</v>
      </c>
      <c r="N3720" s="17" t="n">
        <f aca="false">IFERROR(M3720/K3720,0)</f>
        <v>0.649614576033637</v>
      </c>
    </row>
    <row r="3721" customFormat="false" ht="15" hidden="false" customHeight="false" outlineLevel="0" collapsed="false">
      <c r="A3721" s="15" t="n">
        <v>46178</v>
      </c>
      <c r="B3721" s="14" t="s">
        <v>50</v>
      </c>
      <c r="C3721" s="14" t="s">
        <v>51</v>
      </c>
      <c r="D3721" s="14" t="s">
        <v>52</v>
      </c>
      <c r="E3721" s="14" t="s">
        <v>56</v>
      </c>
      <c r="F3721" s="14" t="s">
        <v>98</v>
      </c>
      <c r="G3721" s="14" t="s">
        <v>99</v>
      </c>
      <c r="H3721" s="0" t="n">
        <v>1</v>
      </c>
      <c r="I3721" s="16" t="n">
        <v>20.92</v>
      </c>
      <c r="J3721" s="16" t="n">
        <v>8</v>
      </c>
      <c r="K3721" s="16" t="n">
        <f aca="false">H3721*I3721</f>
        <v>20.92</v>
      </c>
      <c r="L3721" s="16" t="n">
        <f aca="false">H3721*J3721</f>
        <v>8</v>
      </c>
      <c r="M3721" s="16" t="n">
        <f aca="false">K3721-L3721</f>
        <v>12.92</v>
      </c>
      <c r="N3721" s="17" t="n">
        <f aca="false">IFERROR(M3721/K3721,0)</f>
        <v>0.617590822179732</v>
      </c>
    </row>
    <row r="3722" customFormat="false" ht="15" hidden="false" customHeight="false" outlineLevel="0" collapsed="false">
      <c r="A3722" s="15" t="n">
        <v>46178</v>
      </c>
      <c r="B3722" s="14" t="s">
        <v>59</v>
      </c>
      <c r="C3722" s="14" t="s">
        <v>60</v>
      </c>
      <c r="D3722" s="14" t="s">
        <v>61</v>
      </c>
      <c r="E3722" s="14" t="s">
        <v>45</v>
      </c>
      <c r="F3722" s="14" t="s">
        <v>46</v>
      </c>
      <c r="G3722" s="14" t="s">
        <v>47</v>
      </c>
      <c r="H3722" s="0" t="n">
        <v>3</v>
      </c>
      <c r="I3722" s="16" t="n">
        <v>41.76</v>
      </c>
      <c r="J3722" s="16" t="n">
        <v>18</v>
      </c>
      <c r="K3722" s="16" t="n">
        <f aca="false">H3722*I3722</f>
        <v>125.28</v>
      </c>
      <c r="L3722" s="16" t="n">
        <f aca="false">H3722*J3722</f>
        <v>54</v>
      </c>
      <c r="M3722" s="16" t="n">
        <f aca="false">K3722-L3722</f>
        <v>71.28</v>
      </c>
      <c r="N3722" s="17" t="n">
        <f aca="false">IFERROR(M3722/K3722,0)</f>
        <v>0.568965517241379</v>
      </c>
    </row>
    <row r="3723" customFormat="false" ht="15" hidden="false" customHeight="false" outlineLevel="0" collapsed="false">
      <c r="A3723" s="15" t="n">
        <v>46178</v>
      </c>
      <c r="B3723" s="14" t="s">
        <v>59</v>
      </c>
      <c r="C3723" s="14" t="s">
        <v>60</v>
      </c>
      <c r="D3723" s="14" t="s">
        <v>61</v>
      </c>
      <c r="E3723" s="14" t="s">
        <v>53</v>
      </c>
      <c r="F3723" s="14" t="s">
        <v>54</v>
      </c>
      <c r="G3723" s="14" t="s">
        <v>55</v>
      </c>
      <c r="H3723" s="0" t="n">
        <v>6</v>
      </c>
      <c r="I3723" s="16" t="n">
        <v>54.55</v>
      </c>
      <c r="J3723" s="16" t="n">
        <v>22</v>
      </c>
      <c r="K3723" s="16" t="n">
        <f aca="false">H3723*I3723</f>
        <v>327.3</v>
      </c>
      <c r="L3723" s="16" t="n">
        <f aca="false">H3723*J3723</f>
        <v>132</v>
      </c>
      <c r="M3723" s="16" t="n">
        <f aca="false">K3723-L3723</f>
        <v>195.3</v>
      </c>
      <c r="N3723" s="17" t="n">
        <f aca="false">IFERROR(M3723/K3723,0)</f>
        <v>0.596700274977085</v>
      </c>
    </row>
    <row r="3724" customFormat="false" ht="15" hidden="false" customHeight="false" outlineLevel="0" collapsed="false">
      <c r="A3724" s="15" t="n">
        <v>46178</v>
      </c>
      <c r="B3724" s="14" t="s">
        <v>59</v>
      </c>
      <c r="C3724" s="14" t="s">
        <v>60</v>
      </c>
      <c r="D3724" s="14" t="s">
        <v>61</v>
      </c>
      <c r="E3724" s="14" t="s">
        <v>76</v>
      </c>
      <c r="F3724" s="14" t="s">
        <v>79</v>
      </c>
      <c r="G3724" s="14" t="s">
        <v>80</v>
      </c>
      <c r="H3724" s="0" t="n">
        <v>7</v>
      </c>
      <c r="I3724" s="16" t="n">
        <v>28.82</v>
      </c>
      <c r="J3724" s="16" t="n">
        <v>11</v>
      </c>
      <c r="K3724" s="16" t="n">
        <f aca="false">H3724*I3724</f>
        <v>201.74</v>
      </c>
      <c r="L3724" s="16" t="n">
        <f aca="false">H3724*J3724</f>
        <v>77</v>
      </c>
      <c r="M3724" s="16" t="n">
        <f aca="false">K3724-L3724</f>
        <v>124.74</v>
      </c>
      <c r="N3724" s="17" t="n">
        <f aca="false">IFERROR(M3724/K3724,0)</f>
        <v>0.618320610687023</v>
      </c>
    </row>
    <row r="3725" customFormat="false" ht="15" hidden="false" customHeight="false" outlineLevel="0" collapsed="false">
      <c r="A3725" s="15" t="n">
        <v>46178</v>
      </c>
      <c r="B3725" s="14" t="s">
        <v>59</v>
      </c>
      <c r="C3725" s="14" t="s">
        <v>60</v>
      </c>
      <c r="D3725" s="14" t="s">
        <v>61</v>
      </c>
      <c r="E3725" s="14" t="s">
        <v>53</v>
      </c>
      <c r="F3725" s="14" t="s">
        <v>84</v>
      </c>
      <c r="G3725" s="14" t="s">
        <v>85</v>
      </c>
      <c r="H3725" s="0" t="n">
        <v>2</v>
      </c>
      <c r="I3725" s="16" t="n">
        <v>23.97</v>
      </c>
      <c r="J3725" s="16" t="n">
        <v>9</v>
      </c>
      <c r="K3725" s="16" t="n">
        <f aca="false">H3725*I3725</f>
        <v>47.94</v>
      </c>
      <c r="L3725" s="16" t="n">
        <f aca="false">H3725*J3725</f>
        <v>18</v>
      </c>
      <c r="M3725" s="16" t="n">
        <f aca="false">K3725-L3725</f>
        <v>29.94</v>
      </c>
      <c r="N3725" s="17" t="n">
        <f aca="false">IFERROR(M3725/K3725,0)</f>
        <v>0.624530663329161</v>
      </c>
    </row>
    <row r="3726" customFormat="false" ht="15" hidden="false" customHeight="false" outlineLevel="0" collapsed="false">
      <c r="A3726" s="15" t="n">
        <v>46178</v>
      </c>
      <c r="B3726" s="14" t="s">
        <v>59</v>
      </c>
      <c r="C3726" s="14" t="s">
        <v>60</v>
      </c>
      <c r="D3726" s="14" t="s">
        <v>61</v>
      </c>
      <c r="E3726" s="14" t="s">
        <v>64</v>
      </c>
      <c r="F3726" s="14" t="s">
        <v>90</v>
      </c>
      <c r="G3726" s="14" t="s">
        <v>91</v>
      </c>
      <c r="H3726" s="0" t="n">
        <v>3</v>
      </c>
      <c r="I3726" s="16" t="n">
        <v>11.64</v>
      </c>
      <c r="J3726" s="16" t="n">
        <v>3.5</v>
      </c>
      <c r="K3726" s="16" t="n">
        <f aca="false">H3726*I3726</f>
        <v>34.92</v>
      </c>
      <c r="L3726" s="16" t="n">
        <f aca="false">H3726*J3726</f>
        <v>10.5</v>
      </c>
      <c r="M3726" s="16" t="n">
        <f aca="false">K3726-L3726</f>
        <v>24.42</v>
      </c>
      <c r="N3726" s="17" t="n">
        <f aca="false">IFERROR(M3726/K3726,0)</f>
        <v>0.699312714776632</v>
      </c>
    </row>
    <row r="3727" customFormat="false" ht="15" hidden="false" customHeight="false" outlineLevel="0" collapsed="false">
      <c r="A3727" s="15" t="n">
        <v>46178</v>
      </c>
      <c r="B3727" s="14" t="s">
        <v>69</v>
      </c>
      <c r="C3727" s="14" t="s">
        <v>70</v>
      </c>
      <c r="D3727" s="14" t="s">
        <v>71</v>
      </c>
      <c r="E3727" s="14" t="s">
        <v>76</v>
      </c>
      <c r="F3727" s="14" t="s">
        <v>102</v>
      </c>
      <c r="G3727" s="14" t="s">
        <v>103</v>
      </c>
      <c r="H3727" s="0" t="n">
        <v>1</v>
      </c>
      <c r="I3727" s="16" t="n">
        <v>22.3</v>
      </c>
      <c r="J3727" s="16" t="n">
        <v>8.5</v>
      </c>
      <c r="K3727" s="16" t="n">
        <f aca="false">H3727*I3727</f>
        <v>22.3</v>
      </c>
      <c r="L3727" s="16" t="n">
        <f aca="false">H3727*J3727</f>
        <v>8.5</v>
      </c>
      <c r="M3727" s="16" t="n">
        <f aca="false">K3727-L3727</f>
        <v>13.8</v>
      </c>
      <c r="N3727" s="17" t="n">
        <f aca="false">IFERROR(M3727/K3727,0)</f>
        <v>0.618834080717489</v>
      </c>
    </row>
    <row r="3728" customFormat="false" ht="15" hidden="false" customHeight="false" outlineLevel="0" collapsed="false">
      <c r="A3728" s="15" t="n">
        <v>46178</v>
      </c>
      <c r="B3728" s="14" t="s">
        <v>69</v>
      </c>
      <c r="C3728" s="14" t="s">
        <v>70</v>
      </c>
      <c r="D3728" s="14" t="s">
        <v>71</v>
      </c>
      <c r="E3728" s="14" t="s">
        <v>76</v>
      </c>
      <c r="F3728" s="14" t="s">
        <v>79</v>
      </c>
      <c r="G3728" s="14" t="s">
        <v>80</v>
      </c>
      <c r="H3728" s="0" t="n">
        <v>8</v>
      </c>
      <c r="I3728" s="16" t="n">
        <v>29.47</v>
      </c>
      <c r="J3728" s="16" t="n">
        <v>11</v>
      </c>
      <c r="K3728" s="16" t="n">
        <f aca="false">H3728*I3728</f>
        <v>235.76</v>
      </c>
      <c r="L3728" s="16" t="n">
        <f aca="false">H3728*J3728</f>
        <v>88</v>
      </c>
      <c r="M3728" s="16" t="n">
        <f aca="false">K3728-L3728</f>
        <v>147.76</v>
      </c>
      <c r="N3728" s="17" t="n">
        <f aca="false">IFERROR(M3728/K3728,0)</f>
        <v>0.626739056667798</v>
      </c>
    </row>
    <row r="3729" customFormat="false" ht="15" hidden="false" customHeight="false" outlineLevel="0" collapsed="false">
      <c r="A3729" s="15" t="n">
        <v>46178</v>
      </c>
      <c r="B3729" s="14" t="s">
        <v>69</v>
      </c>
      <c r="C3729" s="14" t="s">
        <v>70</v>
      </c>
      <c r="D3729" s="14" t="s">
        <v>71</v>
      </c>
      <c r="E3729" s="14" t="s">
        <v>76</v>
      </c>
      <c r="F3729" s="14" t="s">
        <v>102</v>
      </c>
      <c r="G3729" s="14" t="s">
        <v>103</v>
      </c>
      <c r="H3729" s="0" t="n">
        <v>4</v>
      </c>
      <c r="I3729" s="16" t="n">
        <v>23</v>
      </c>
      <c r="J3729" s="16" t="n">
        <v>8.5</v>
      </c>
      <c r="K3729" s="16" t="n">
        <f aca="false">H3729*I3729</f>
        <v>92</v>
      </c>
      <c r="L3729" s="16" t="n">
        <f aca="false">H3729*J3729</f>
        <v>34</v>
      </c>
      <c r="M3729" s="16" t="n">
        <f aca="false">K3729-L3729</f>
        <v>58</v>
      </c>
      <c r="N3729" s="17" t="n">
        <f aca="false">IFERROR(M3729/K3729,0)</f>
        <v>0.630434782608696</v>
      </c>
    </row>
    <row r="3730" customFormat="false" ht="15" hidden="false" customHeight="false" outlineLevel="0" collapsed="false">
      <c r="A3730" s="15" t="n">
        <v>46178</v>
      </c>
      <c r="B3730" s="14" t="s">
        <v>69</v>
      </c>
      <c r="C3730" s="14" t="s">
        <v>70</v>
      </c>
      <c r="D3730" s="14" t="s">
        <v>71</v>
      </c>
      <c r="E3730" s="14" t="s">
        <v>56</v>
      </c>
      <c r="F3730" s="14" t="s">
        <v>86</v>
      </c>
      <c r="G3730" s="14" t="s">
        <v>87</v>
      </c>
      <c r="H3730" s="0" t="n">
        <v>6</v>
      </c>
      <c r="I3730" s="16" t="n">
        <v>13.86</v>
      </c>
      <c r="J3730" s="16" t="n">
        <v>5</v>
      </c>
      <c r="K3730" s="16" t="n">
        <f aca="false">H3730*I3730</f>
        <v>83.16</v>
      </c>
      <c r="L3730" s="16" t="n">
        <f aca="false">H3730*J3730</f>
        <v>30</v>
      </c>
      <c r="M3730" s="16" t="n">
        <f aca="false">K3730-L3730</f>
        <v>53.16</v>
      </c>
      <c r="N3730" s="17" t="n">
        <f aca="false">IFERROR(M3730/K3730,0)</f>
        <v>0.639249639249639</v>
      </c>
    </row>
    <row r="3731" customFormat="false" ht="15" hidden="false" customHeight="false" outlineLevel="0" collapsed="false">
      <c r="A3731" s="15" t="n">
        <v>46178</v>
      </c>
      <c r="B3731" s="14" t="s">
        <v>69</v>
      </c>
      <c r="C3731" s="14" t="s">
        <v>70</v>
      </c>
      <c r="D3731" s="14" t="s">
        <v>71</v>
      </c>
      <c r="E3731" s="14" t="s">
        <v>53</v>
      </c>
      <c r="F3731" s="14" t="s">
        <v>92</v>
      </c>
      <c r="G3731" s="14" t="s">
        <v>93</v>
      </c>
      <c r="H3731" s="0" t="n">
        <v>2</v>
      </c>
      <c r="I3731" s="16" t="n">
        <v>110.91</v>
      </c>
      <c r="J3731" s="16" t="n">
        <v>52</v>
      </c>
      <c r="K3731" s="16" t="n">
        <f aca="false">H3731*I3731</f>
        <v>221.82</v>
      </c>
      <c r="L3731" s="16" t="n">
        <f aca="false">H3731*J3731</f>
        <v>104</v>
      </c>
      <c r="M3731" s="16" t="n">
        <f aca="false">K3731-L3731</f>
        <v>117.82</v>
      </c>
      <c r="N3731" s="17" t="n">
        <f aca="false">IFERROR(M3731/K3731,0)</f>
        <v>0.531151384005049</v>
      </c>
    </row>
    <row r="3732" customFormat="false" ht="15" hidden="false" customHeight="false" outlineLevel="0" collapsed="false">
      <c r="A3732" s="15" t="n">
        <v>46178</v>
      </c>
      <c r="B3732" s="14" t="s">
        <v>69</v>
      </c>
      <c r="C3732" s="14" t="s">
        <v>70</v>
      </c>
      <c r="D3732" s="14" t="s">
        <v>71</v>
      </c>
      <c r="E3732" s="14" t="s">
        <v>76</v>
      </c>
      <c r="F3732" s="14" t="s">
        <v>100</v>
      </c>
      <c r="G3732" s="14" t="s">
        <v>101</v>
      </c>
      <c r="H3732" s="0" t="n">
        <v>1</v>
      </c>
      <c r="I3732" s="16" t="n">
        <v>15.5</v>
      </c>
      <c r="J3732" s="16" t="n">
        <v>5.5</v>
      </c>
      <c r="K3732" s="16" t="n">
        <f aca="false">H3732*I3732</f>
        <v>15.5</v>
      </c>
      <c r="L3732" s="16" t="n">
        <f aca="false">H3732*J3732</f>
        <v>5.5</v>
      </c>
      <c r="M3732" s="16" t="n">
        <f aca="false">K3732-L3732</f>
        <v>10</v>
      </c>
      <c r="N3732" s="17" t="n">
        <f aca="false">IFERROR(M3732/K3732,0)</f>
        <v>0.645161290322581</v>
      </c>
    </row>
    <row r="3733" customFormat="false" ht="15" hidden="false" customHeight="false" outlineLevel="0" collapsed="false">
      <c r="A3733" s="15" t="n">
        <v>46178</v>
      </c>
      <c r="B3733" s="14" t="s">
        <v>81</v>
      </c>
      <c r="C3733" s="14" t="s">
        <v>82</v>
      </c>
      <c r="D3733" s="14" t="s">
        <v>83</v>
      </c>
      <c r="E3733" s="14" t="s">
        <v>56</v>
      </c>
      <c r="F3733" s="14" t="s">
        <v>67</v>
      </c>
      <c r="G3733" s="14" t="s">
        <v>68</v>
      </c>
      <c r="H3733" s="0" t="n">
        <v>1</v>
      </c>
      <c r="I3733" s="16" t="n">
        <v>37.4</v>
      </c>
      <c r="J3733" s="16" t="n">
        <v>15</v>
      </c>
      <c r="K3733" s="16" t="n">
        <f aca="false">H3733*I3733</f>
        <v>37.4</v>
      </c>
      <c r="L3733" s="16" t="n">
        <f aca="false">H3733*J3733</f>
        <v>15</v>
      </c>
      <c r="M3733" s="16" t="n">
        <f aca="false">K3733-L3733</f>
        <v>22.4</v>
      </c>
      <c r="N3733" s="17" t="n">
        <f aca="false">IFERROR(M3733/K3733,0)</f>
        <v>0.598930481283422</v>
      </c>
    </row>
    <row r="3734" customFormat="false" ht="15" hidden="false" customHeight="false" outlineLevel="0" collapsed="false">
      <c r="A3734" s="15" t="n">
        <v>46178</v>
      </c>
      <c r="B3734" s="14" t="s">
        <v>81</v>
      </c>
      <c r="C3734" s="14" t="s">
        <v>82</v>
      </c>
      <c r="D3734" s="14" t="s">
        <v>83</v>
      </c>
      <c r="E3734" s="14" t="s">
        <v>76</v>
      </c>
      <c r="F3734" s="14" t="s">
        <v>77</v>
      </c>
      <c r="G3734" s="14" t="s">
        <v>78</v>
      </c>
      <c r="H3734" s="0" t="n">
        <v>1</v>
      </c>
      <c r="I3734" s="16" t="n">
        <v>41.04</v>
      </c>
      <c r="J3734" s="16" t="n">
        <v>15</v>
      </c>
      <c r="K3734" s="16" t="n">
        <f aca="false">H3734*I3734</f>
        <v>41.04</v>
      </c>
      <c r="L3734" s="16" t="n">
        <f aca="false">H3734*J3734</f>
        <v>15</v>
      </c>
      <c r="M3734" s="16" t="n">
        <f aca="false">K3734-L3734</f>
        <v>26.04</v>
      </c>
      <c r="N3734" s="17" t="n">
        <f aca="false">IFERROR(M3734/K3734,0)</f>
        <v>0.634502923976608</v>
      </c>
    </row>
    <row r="3735" customFormat="false" ht="15" hidden="false" customHeight="false" outlineLevel="0" collapsed="false">
      <c r="A3735" s="15" t="n">
        <v>46178</v>
      </c>
      <c r="B3735" s="14" t="s">
        <v>88</v>
      </c>
      <c r="C3735" s="14" t="s">
        <v>89</v>
      </c>
      <c r="D3735" s="14" t="s">
        <v>44</v>
      </c>
      <c r="E3735" s="14" t="s">
        <v>76</v>
      </c>
      <c r="F3735" s="14" t="s">
        <v>77</v>
      </c>
      <c r="G3735" s="14" t="s">
        <v>78</v>
      </c>
      <c r="H3735" s="0" t="n">
        <v>8</v>
      </c>
      <c r="I3735" s="16" t="n">
        <v>41.18</v>
      </c>
      <c r="J3735" s="16" t="n">
        <v>15</v>
      </c>
      <c r="K3735" s="16" t="n">
        <f aca="false">H3735*I3735</f>
        <v>329.44</v>
      </c>
      <c r="L3735" s="16" t="n">
        <f aca="false">H3735*J3735</f>
        <v>120</v>
      </c>
      <c r="M3735" s="16" t="n">
        <f aca="false">K3735-L3735</f>
        <v>209.44</v>
      </c>
      <c r="N3735" s="17" t="n">
        <f aca="false">IFERROR(M3735/K3735,0)</f>
        <v>0.635745507527926</v>
      </c>
    </row>
    <row r="3736" customFormat="false" ht="15" hidden="false" customHeight="false" outlineLevel="0" collapsed="false">
      <c r="A3736" s="15" t="n">
        <v>46178</v>
      </c>
      <c r="B3736" s="14" t="s">
        <v>88</v>
      </c>
      <c r="C3736" s="14" t="s">
        <v>89</v>
      </c>
      <c r="D3736" s="14" t="s">
        <v>44</v>
      </c>
      <c r="E3736" s="14" t="s">
        <v>56</v>
      </c>
      <c r="F3736" s="14" t="s">
        <v>57</v>
      </c>
      <c r="G3736" s="14" t="s">
        <v>58</v>
      </c>
      <c r="H3736" s="0" t="n">
        <v>7</v>
      </c>
      <c r="I3736" s="16" t="n">
        <v>26.72</v>
      </c>
      <c r="J3736" s="16" t="n">
        <v>10</v>
      </c>
      <c r="K3736" s="16" t="n">
        <f aca="false">H3736*I3736</f>
        <v>187.04</v>
      </c>
      <c r="L3736" s="16" t="n">
        <f aca="false">H3736*J3736</f>
        <v>70</v>
      </c>
      <c r="M3736" s="16" t="n">
        <f aca="false">K3736-L3736</f>
        <v>117.04</v>
      </c>
      <c r="N3736" s="17" t="n">
        <f aca="false">IFERROR(M3736/K3736,0)</f>
        <v>0.625748502994012</v>
      </c>
    </row>
    <row r="3737" customFormat="false" ht="15" hidden="false" customHeight="false" outlineLevel="0" collapsed="false">
      <c r="A3737" s="15" t="n">
        <v>46178</v>
      </c>
      <c r="B3737" s="14" t="s">
        <v>88</v>
      </c>
      <c r="C3737" s="14" t="s">
        <v>89</v>
      </c>
      <c r="D3737" s="14" t="s">
        <v>44</v>
      </c>
      <c r="E3737" s="14" t="s">
        <v>76</v>
      </c>
      <c r="F3737" s="14" t="s">
        <v>100</v>
      </c>
      <c r="G3737" s="14" t="s">
        <v>101</v>
      </c>
      <c r="H3737" s="0" t="n">
        <v>2</v>
      </c>
      <c r="I3737" s="16" t="n">
        <v>15.86</v>
      </c>
      <c r="J3737" s="16" t="n">
        <v>5.5</v>
      </c>
      <c r="K3737" s="16" t="n">
        <f aca="false">H3737*I3737</f>
        <v>31.72</v>
      </c>
      <c r="L3737" s="16" t="n">
        <f aca="false">H3737*J3737</f>
        <v>11</v>
      </c>
      <c r="M3737" s="16" t="n">
        <f aca="false">K3737-L3737</f>
        <v>20.72</v>
      </c>
      <c r="N3737" s="17" t="n">
        <f aca="false">IFERROR(M3737/K3737,0)</f>
        <v>0.653215636822194</v>
      </c>
    </row>
    <row r="3738" customFormat="false" ht="15" hidden="false" customHeight="false" outlineLevel="0" collapsed="false">
      <c r="A3738" s="15" t="n">
        <v>46178</v>
      </c>
      <c r="B3738" s="14" t="s">
        <v>88</v>
      </c>
      <c r="C3738" s="14" t="s">
        <v>89</v>
      </c>
      <c r="D3738" s="14" t="s">
        <v>44</v>
      </c>
      <c r="E3738" s="14" t="s">
        <v>76</v>
      </c>
      <c r="F3738" s="14" t="s">
        <v>77</v>
      </c>
      <c r="G3738" s="14" t="s">
        <v>78</v>
      </c>
      <c r="H3738" s="0" t="n">
        <v>7</v>
      </c>
      <c r="I3738" s="16" t="n">
        <v>40.59</v>
      </c>
      <c r="J3738" s="16" t="n">
        <v>15</v>
      </c>
      <c r="K3738" s="16" t="n">
        <f aca="false">H3738*I3738</f>
        <v>284.13</v>
      </c>
      <c r="L3738" s="16" t="n">
        <f aca="false">H3738*J3738</f>
        <v>105</v>
      </c>
      <c r="M3738" s="16" t="n">
        <f aca="false">K3738-L3738</f>
        <v>179.13</v>
      </c>
      <c r="N3738" s="17" t="n">
        <f aca="false">IFERROR(M3738/K3738,0)</f>
        <v>0.630450849963045</v>
      </c>
    </row>
    <row r="3739" customFormat="false" ht="15" hidden="false" customHeight="false" outlineLevel="0" collapsed="false">
      <c r="A3739" s="15" t="n">
        <v>46178</v>
      </c>
      <c r="B3739" s="14" t="s">
        <v>88</v>
      </c>
      <c r="C3739" s="14" t="s">
        <v>89</v>
      </c>
      <c r="D3739" s="14" t="s">
        <v>44</v>
      </c>
      <c r="E3739" s="14" t="s">
        <v>56</v>
      </c>
      <c r="F3739" s="14" t="s">
        <v>86</v>
      </c>
      <c r="G3739" s="14" t="s">
        <v>87</v>
      </c>
      <c r="H3739" s="0" t="n">
        <v>3</v>
      </c>
      <c r="I3739" s="16" t="n">
        <v>14.2</v>
      </c>
      <c r="J3739" s="16" t="n">
        <v>5</v>
      </c>
      <c r="K3739" s="16" t="n">
        <f aca="false">H3739*I3739</f>
        <v>42.6</v>
      </c>
      <c r="L3739" s="16" t="n">
        <f aca="false">H3739*J3739</f>
        <v>15</v>
      </c>
      <c r="M3739" s="16" t="n">
        <f aca="false">K3739-L3739</f>
        <v>27.6</v>
      </c>
      <c r="N3739" s="17" t="n">
        <f aca="false">IFERROR(M3739/K3739,0)</f>
        <v>0.647887323943662</v>
      </c>
    </row>
    <row r="3740" customFormat="false" ht="15" hidden="false" customHeight="false" outlineLevel="0" collapsed="false">
      <c r="A3740" s="15" t="n">
        <v>46179</v>
      </c>
      <c r="B3740" s="14" t="s">
        <v>42</v>
      </c>
      <c r="C3740" s="14" t="s">
        <v>43</v>
      </c>
      <c r="D3740" s="14" t="s">
        <v>44</v>
      </c>
      <c r="E3740" s="14" t="s">
        <v>76</v>
      </c>
      <c r="F3740" s="14" t="s">
        <v>79</v>
      </c>
      <c r="G3740" s="14" t="s">
        <v>80</v>
      </c>
      <c r="H3740" s="0" t="n">
        <v>9</v>
      </c>
      <c r="I3740" s="16" t="n">
        <v>28.97</v>
      </c>
      <c r="J3740" s="16" t="n">
        <v>11</v>
      </c>
      <c r="K3740" s="16" t="n">
        <f aca="false">H3740*I3740</f>
        <v>260.73</v>
      </c>
      <c r="L3740" s="16" t="n">
        <f aca="false">H3740*J3740</f>
        <v>99</v>
      </c>
      <c r="M3740" s="16" t="n">
        <f aca="false">K3740-L3740</f>
        <v>161.73</v>
      </c>
      <c r="N3740" s="17" t="n">
        <f aca="false">IFERROR(M3740/K3740,0)</f>
        <v>0.620296858819468</v>
      </c>
    </row>
    <row r="3741" customFormat="false" ht="15" hidden="false" customHeight="false" outlineLevel="0" collapsed="false">
      <c r="A3741" s="15" t="n">
        <v>46179</v>
      </c>
      <c r="B3741" s="14" t="s">
        <v>42</v>
      </c>
      <c r="C3741" s="14" t="s">
        <v>43</v>
      </c>
      <c r="D3741" s="14" t="s">
        <v>44</v>
      </c>
      <c r="E3741" s="14" t="s">
        <v>53</v>
      </c>
      <c r="F3741" s="14" t="s">
        <v>54</v>
      </c>
      <c r="G3741" s="14" t="s">
        <v>55</v>
      </c>
      <c r="H3741" s="0" t="n">
        <v>8</v>
      </c>
      <c r="I3741" s="16" t="n">
        <v>51.08</v>
      </c>
      <c r="J3741" s="16" t="n">
        <v>22</v>
      </c>
      <c r="K3741" s="16" t="n">
        <f aca="false">H3741*I3741</f>
        <v>408.64</v>
      </c>
      <c r="L3741" s="16" t="n">
        <f aca="false">H3741*J3741</f>
        <v>176</v>
      </c>
      <c r="M3741" s="16" t="n">
        <f aca="false">K3741-L3741</f>
        <v>232.64</v>
      </c>
      <c r="N3741" s="17" t="n">
        <f aca="false">IFERROR(M3741/K3741,0)</f>
        <v>0.56930305403289</v>
      </c>
    </row>
    <row r="3742" customFormat="false" ht="15" hidden="false" customHeight="false" outlineLevel="0" collapsed="false">
      <c r="A3742" s="15" t="n">
        <v>46179</v>
      </c>
      <c r="B3742" s="14" t="s">
        <v>50</v>
      </c>
      <c r="C3742" s="14" t="s">
        <v>51</v>
      </c>
      <c r="D3742" s="14" t="s">
        <v>52</v>
      </c>
      <c r="E3742" s="14" t="s">
        <v>76</v>
      </c>
      <c r="F3742" s="14" t="s">
        <v>77</v>
      </c>
      <c r="G3742" s="14" t="s">
        <v>78</v>
      </c>
      <c r="H3742" s="0" t="n">
        <v>12</v>
      </c>
      <c r="I3742" s="16" t="n">
        <v>40</v>
      </c>
      <c r="J3742" s="16" t="n">
        <v>15</v>
      </c>
      <c r="K3742" s="16" t="n">
        <f aca="false">H3742*I3742</f>
        <v>480</v>
      </c>
      <c r="L3742" s="16" t="n">
        <f aca="false">H3742*J3742</f>
        <v>180</v>
      </c>
      <c r="M3742" s="16" t="n">
        <f aca="false">K3742-L3742</f>
        <v>300</v>
      </c>
      <c r="N3742" s="17" t="n">
        <f aca="false">IFERROR(M3742/K3742,0)</f>
        <v>0.625</v>
      </c>
    </row>
    <row r="3743" customFormat="false" ht="15" hidden="false" customHeight="false" outlineLevel="0" collapsed="false">
      <c r="A3743" s="15" t="n">
        <v>46179</v>
      </c>
      <c r="B3743" s="14" t="s">
        <v>50</v>
      </c>
      <c r="C3743" s="14" t="s">
        <v>51</v>
      </c>
      <c r="D3743" s="14" t="s">
        <v>52</v>
      </c>
      <c r="E3743" s="14" t="s">
        <v>56</v>
      </c>
      <c r="F3743" s="14" t="s">
        <v>98</v>
      </c>
      <c r="G3743" s="14" t="s">
        <v>99</v>
      </c>
      <c r="H3743" s="0" t="n">
        <v>10</v>
      </c>
      <c r="I3743" s="16" t="n">
        <v>21.34</v>
      </c>
      <c r="J3743" s="16" t="n">
        <v>8</v>
      </c>
      <c r="K3743" s="16" t="n">
        <f aca="false">H3743*I3743</f>
        <v>213.4</v>
      </c>
      <c r="L3743" s="16" t="n">
        <f aca="false">H3743*J3743</f>
        <v>80</v>
      </c>
      <c r="M3743" s="16" t="n">
        <f aca="false">K3743-L3743</f>
        <v>133.4</v>
      </c>
      <c r="N3743" s="17" t="n">
        <f aca="false">IFERROR(M3743/K3743,0)</f>
        <v>0.625117150890347</v>
      </c>
    </row>
    <row r="3744" customFormat="false" ht="15" hidden="false" customHeight="false" outlineLevel="0" collapsed="false">
      <c r="A3744" s="15" t="n">
        <v>46179</v>
      </c>
      <c r="B3744" s="14" t="s">
        <v>50</v>
      </c>
      <c r="C3744" s="14" t="s">
        <v>51</v>
      </c>
      <c r="D3744" s="14" t="s">
        <v>52</v>
      </c>
      <c r="E3744" s="14" t="s">
        <v>45</v>
      </c>
      <c r="F3744" s="14" t="s">
        <v>72</v>
      </c>
      <c r="G3744" s="14" t="s">
        <v>73</v>
      </c>
      <c r="H3744" s="0" t="n">
        <v>4</v>
      </c>
      <c r="I3744" s="16" t="n">
        <v>49.5</v>
      </c>
      <c r="J3744" s="16" t="n">
        <v>21</v>
      </c>
      <c r="K3744" s="16" t="n">
        <f aca="false">H3744*I3744</f>
        <v>198</v>
      </c>
      <c r="L3744" s="16" t="n">
        <f aca="false">H3744*J3744</f>
        <v>84</v>
      </c>
      <c r="M3744" s="16" t="n">
        <f aca="false">K3744-L3744</f>
        <v>114</v>
      </c>
      <c r="N3744" s="17" t="n">
        <f aca="false">IFERROR(M3744/K3744,0)</f>
        <v>0.575757575757576</v>
      </c>
    </row>
    <row r="3745" customFormat="false" ht="15" hidden="false" customHeight="false" outlineLevel="0" collapsed="false">
      <c r="A3745" s="15" t="n">
        <v>46179</v>
      </c>
      <c r="B3745" s="14" t="s">
        <v>59</v>
      </c>
      <c r="C3745" s="14" t="s">
        <v>60</v>
      </c>
      <c r="D3745" s="14" t="s">
        <v>61</v>
      </c>
      <c r="E3745" s="14" t="s">
        <v>64</v>
      </c>
      <c r="F3745" s="14" t="s">
        <v>90</v>
      </c>
      <c r="G3745" s="14" t="s">
        <v>91</v>
      </c>
      <c r="H3745" s="0" t="n">
        <v>1</v>
      </c>
      <c r="I3745" s="16" t="n">
        <v>11.66</v>
      </c>
      <c r="J3745" s="16" t="n">
        <v>3.5</v>
      </c>
      <c r="K3745" s="16" t="n">
        <f aca="false">H3745*I3745</f>
        <v>11.66</v>
      </c>
      <c r="L3745" s="16" t="n">
        <f aca="false">H3745*J3745</f>
        <v>3.5</v>
      </c>
      <c r="M3745" s="16" t="n">
        <f aca="false">K3745-L3745</f>
        <v>8.16</v>
      </c>
      <c r="N3745" s="17" t="n">
        <f aca="false">IFERROR(M3745/K3745,0)</f>
        <v>0.699828473413379</v>
      </c>
    </row>
    <row r="3746" customFormat="false" ht="15" hidden="false" customHeight="false" outlineLevel="0" collapsed="false">
      <c r="A3746" s="15" t="n">
        <v>46179</v>
      </c>
      <c r="B3746" s="14" t="s">
        <v>59</v>
      </c>
      <c r="C3746" s="14" t="s">
        <v>60</v>
      </c>
      <c r="D3746" s="14" t="s">
        <v>61</v>
      </c>
      <c r="E3746" s="14" t="s">
        <v>53</v>
      </c>
      <c r="F3746" s="14" t="s">
        <v>54</v>
      </c>
      <c r="G3746" s="14" t="s">
        <v>55</v>
      </c>
      <c r="H3746" s="0" t="n">
        <v>7</v>
      </c>
      <c r="I3746" s="16" t="n">
        <v>53.07</v>
      </c>
      <c r="J3746" s="16" t="n">
        <v>22</v>
      </c>
      <c r="K3746" s="16" t="n">
        <f aca="false">H3746*I3746</f>
        <v>371.49</v>
      </c>
      <c r="L3746" s="16" t="n">
        <f aca="false">H3746*J3746</f>
        <v>154</v>
      </c>
      <c r="M3746" s="16" t="n">
        <f aca="false">K3746-L3746</f>
        <v>217.49</v>
      </c>
      <c r="N3746" s="17" t="n">
        <f aca="false">IFERROR(M3746/K3746,0)</f>
        <v>0.585453175051818</v>
      </c>
    </row>
    <row r="3747" customFormat="false" ht="15" hidden="false" customHeight="false" outlineLevel="0" collapsed="false">
      <c r="A3747" s="15" t="n">
        <v>46179</v>
      </c>
      <c r="B3747" s="14" t="s">
        <v>69</v>
      </c>
      <c r="C3747" s="14" t="s">
        <v>70</v>
      </c>
      <c r="D3747" s="14" t="s">
        <v>71</v>
      </c>
      <c r="E3747" s="14" t="s">
        <v>56</v>
      </c>
      <c r="F3747" s="14" t="s">
        <v>86</v>
      </c>
      <c r="G3747" s="14" t="s">
        <v>87</v>
      </c>
      <c r="H3747" s="0" t="n">
        <v>6</v>
      </c>
      <c r="I3747" s="16" t="n">
        <v>14.6</v>
      </c>
      <c r="J3747" s="16" t="n">
        <v>5</v>
      </c>
      <c r="K3747" s="16" t="n">
        <f aca="false">H3747*I3747</f>
        <v>87.6</v>
      </c>
      <c r="L3747" s="16" t="n">
        <f aca="false">H3747*J3747</f>
        <v>30</v>
      </c>
      <c r="M3747" s="16" t="n">
        <f aca="false">K3747-L3747</f>
        <v>57.6</v>
      </c>
      <c r="N3747" s="17" t="n">
        <f aca="false">IFERROR(M3747/K3747,0)</f>
        <v>0.657534246575342</v>
      </c>
    </row>
    <row r="3748" customFormat="false" ht="15" hidden="false" customHeight="false" outlineLevel="0" collapsed="false">
      <c r="A3748" s="15" t="n">
        <v>46179</v>
      </c>
      <c r="B3748" s="14" t="s">
        <v>69</v>
      </c>
      <c r="C3748" s="14" t="s">
        <v>70</v>
      </c>
      <c r="D3748" s="14" t="s">
        <v>71</v>
      </c>
      <c r="E3748" s="14" t="s">
        <v>56</v>
      </c>
      <c r="F3748" s="14" t="s">
        <v>67</v>
      </c>
      <c r="G3748" s="14" t="s">
        <v>68</v>
      </c>
      <c r="H3748" s="0" t="n">
        <v>4</v>
      </c>
      <c r="I3748" s="16" t="n">
        <v>37.69</v>
      </c>
      <c r="J3748" s="16" t="n">
        <v>15</v>
      </c>
      <c r="K3748" s="16" t="n">
        <f aca="false">H3748*I3748</f>
        <v>150.76</v>
      </c>
      <c r="L3748" s="16" t="n">
        <f aca="false">H3748*J3748</f>
        <v>60</v>
      </c>
      <c r="M3748" s="16" t="n">
        <f aca="false">K3748-L3748</f>
        <v>90.76</v>
      </c>
      <c r="N3748" s="17" t="n">
        <f aca="false">IFERROR(M3748/K3748,0)</f>
        <v>0.602016449986734</v>
      </c>
    </row>
    <row r="3749" customFormat="false" ht="15" hidden="false" customHeight="false" outlineLevel="0" collapsed="false">
      <c r="A3749" s="15" t="n">
        <v>46179</v>
      </c>
      <c r="B3749" s="14" t="s">
        <v>69</v>
      </c>
      <c r="C3749" s="14" t="s">
        <v>70</v>
      </c>
      <c r="D3749" s="14" t="s">
        <v>71</v>
      </c>
      <c r="E3749" s="14" t="s">
        <v>56</v>
      </c>
      <c r="F3749" s="14" t="s">
        <v>86</v>
      </c>
      <c r="G3749" s="14" t="s">
        <v>87</v>
      </c>
      <c r="H3749" s="0" t="n">
        <v>1</v>
      </c>
      <c r="I3749" s="16" t="n">
        <v>14.8</v>
      </c>
      <c r="J3749" s="16" t="n">
        <v>5</v>
      </c>
      <c r="K3749" s="16" t="n">
        <f aca="false">H3749*I3749</f>
        <v>14.8</v>
      </c>
      <c r="L3749" s="16" t="n">
        <f aca="false">H3749*J3749</f>
        <v>5</v>
      </c>
      <c r="M3749" s="16" t="n">
        <f aca="false">K3749-L3749</f>
        <v>9.8</v>
      </c>
      <c r="N3749" s="17" t="n">
        <f aca="false">IFERROR(M3749/K3749,0)</f>
        <v>0.662162162162162</v>
      </c>
    </row>
    <row r="3750" customFormat="false" ht="15" hidden="false" customHeight="false" outlineLevel="0" collapsed="false">
      <c r="A3750" s="15" t="n">
        <v>46179</v>
      </c>
      <c r="B3750" s="14" t="s">
        <v>81</v>
      </c>
      <c r="C3750" s="14" t="s">
        <v>82</v>
      </c>
      <c r="D3750" s="14" t="s">
        <v>83</v>
      </c>
      <c r="E3750" s="14" t="s">
        <v>45</v>
      </c>
      <c r="F3750" s="14" t="s">
        <v>46</v>
      </c>
      <c r="G3750" s="14" t="s">
        <v>47</v>
      </c>
      <c r="H3750" s="0" t="n">
        <v>6</v>
      </c>
      <c r="I3750" s="16" t="n">
        <v>44.59</v>
      </c>
      <c r="J3750" s="16" t="n">
        <v>18</v>
      </c>
      <c r="K3750" s="16" t="n">
        <f aca="false">H3750*I3750</f>
        <v>267.54</v>
      </c>
      <c r="L3750" s="16" t="n">
        <f aca="false">H3750*J3750</f>
        <v>108</v>
      </c>
      <c r="M3750" s="16" t="n">
        <f aca="false">K3750-L3750</f>
        <v>159.54</v>
      </c>
      <c r="N3750" s="17" t="n">
        <f aca="false">IFERROR(M3750/K3750,0)</f>
        <v>0.596322045301637</v>
      </c>
    </row>
    <row r="3751" customFormat="false" ht="15" hidden="false" customHeight="false" outlineLevel="0" collapsed="false">
      <c r="A3751" s="15" t="n">
        <v>46179</v>
      </c>
      <c r="B3751" s="14" t="s">
        <v>81</v>
      </c>
      <c r="C3751" s="14" t="s">
        <v>82</v>
      </c>
      <c r="D3751" s="14" t="s">
        <v>83</v>
      </c>
      <c r="E3751" s="14" t="s">
        <v>45</v>
      </c>
      <c r="F3751" s="14" t="s">
        <v>62</v>
      </c>
      <c r="G3751" s="14" t="s">
        <v>63</v>
      </c>
      <c r="H3751" s="0" t="n">
        <v>6</v>
      </c>
      <c r="I3751" s="16" t="n">
        <v>17.05</v>
      </c>
      <c r="J3751" s="16" t="n">
        <v>6.5</v>
      </c>
      <c r="K3751" s="16" t="n">
        <f aca="false">H3751*I3751</f>
        <v>102.3</v>
      </c>
      <c r="L3751" s="16" t="n">
        <f aca="false">H3751*J3751</f>
        <v>39</v>
      </c>
      <c r="M3751" s="16" t="n">
        <f aca="false">K3751-L3751</f>
        <v>63.3</v>
      </c>
      <c r="N3751" s="17" t="n">
        <f aca="false">IFERROR(M3751/K3751,0)</f>
        <v>0.618768328445748</v>
      </c>
    </row>
    <row r="3752" customFormat="false" ht="15" hidden="false" customHeight="false" outlineLevel="0" collapsed="false">
      <c r="A3752" s="15" t="n">
        <v>46179</v>
      </c>
      <c r="B3752" s="14" t="s">
        <v>81</v>
      </c>
      <c r="C3752" s="14" t="s">
        <v>82</v>
      </c>
      <c r="D3752" s="14" t="s">
        <v>83</v>
      </c>
      <c r="E3752" s="14" t="s">
        <v>56</v>
      </c>
      <c r="F3752" s="14" t="s">
        <v>86</v>
      </c>
      <c r="G3752" s="14" t="s">
        <v>87</v>
      </c>
      <c r="H3752" s="0" t="n">
        <v>6</v>
      </c>
      <c r="I3752" s="16" t="n">
        <v>14.51</v>
      </c>
      <c r="J3752" s="16" t="n">
        <v>5</v>
      </c>
      <c r="K3752" s="16" t="n">
        <f aca="false">H3752*I3752</f>
        <v>87.06</v>
      </c>
      <c r="L3752" s="16" t="n">
        <f aca="false">H3752*J3752</f>
        <v>30</v>
      </c>
      <c r="M3752" s="16" t="n">
        <f aca="false">K3752-L3752</f>
        <v>57.06</v>
      </c>
      <c r="N3752" s="17" t="n">
        <f aca="false">IFERROR(M3752/K3752,0)</f>
        <v>0.655410062026189</v>
      </c>
    </row>
    <row r="3753" customFormat="false" ht="15" hidden="false" customHeight="false" outlineLevel="0" collapsed="false">
      <c r="A3753" s="15" t="n">
        <v>46179</v>
      </c>
      <c r="B3753" s="14" t="s">
        <v>81</v>
      </c>
      <c r="C3753" s="14" t="s">
        <v>82</v>
      </c>
      <c r="D3753" s="14" t="s">
        <v>83</v>
      </c>
      <c r="E3753" s="14" t="s">
        <v>76</v>
      </c>
      <c r="F3753" s="14" t="s">
        <v>77</v>
      </c>
      <c r="G3753" s="14" t="s">
        <v>78</v>
      </c>
      <c r="H3753" s="0" t="n">
        <v>8</v>
      </c>
      <c r="I3753" s="16" t="n">
        <v>40.86</v>
      </c>
      <c r="J3753" s="16" t="n">
        <v>15</v>
      </c>
      <c r="K3753" s="16" t="n">
        <f aca="false">H3753*I3753</f>
        <v>326.88</v>
      </c>
      <c r="L3753" s="16" t="n">
        <f aca="false">H3753*J3753</f>
        <v>120</v>
      </c>
      <c r="M3753" s="16" t="n">
        <f aca="false">K3753-L3753</f>
        <v>206.88</v>
      </c>
      <c r="N3753" s="17" t="n">
        <f aca="false">IFERROR(M3753/K3753,0)</f>
        <v>0.632892804698972</v>
      </c>
    </row>
    <row r="3754" customFormat="false" ht="15" hidden="false" customHeight="false" outlineLevel="0" collapsed="false">
      <c r="A3754" s="15" t="n">
        <v>46179</v>
      </c>
      <c r="B3754" s="14" t="s">
        <v>88</v>
      </c>
      <c r="C3754" s="14" t="s">
        <v>89</v>
      </c>
      <c r="D3754" s="14" t="s">
        <v>44</v>
      </c>
      <c r="E3754" s="14" t="s">
        <v>56</v>
      </c>
      <c r="F3754" s="14" t="s">
        <v>57</v>
      </c>
      <c r="G3754" s="14" t="s">
        <v>58</v>
      </c>
      <c r="H3754" s="0" t="n">
        <v>9</v>
      </c>
      <c r="I3754" s="16" t="n">
        <v>25.58</v>
      </c>
      <c r="J3754" s="16" t="n">
        <v>10</v>
      </c>
      <c r="K3754" s="16" t="n">
        <f aca="false">H3754*I3754</f>
        <v>230.22</v>
      </c>
      <c r="L3754" s="16" t="n">
        <f aca="false">H3754*J3754</f>
        <v>90</v>
      </c>
      <c r="M3754" s="16" t="n">
        <f aca="false">K3754-L3754</f>
        <v>140.22</v>
      </c>
      <c r="N3754" s="17" t="n">
        <f aca="false">IFERROR(M3754/K3754,0)</f>
        <v>0.609069585613761</v>
      </c>
    </row>
    <row r="3755" customFormat="false" ht="15" hidden="false" customHeight="false" outlineLevel="0" collapsed="false">
      <c r="A3755" s="15" t="n">
        <v>46179</v>
      </c>
      <c r="B3755" s="14" t="s">
        <v>88</v>
      </c>
      <c r="C3755" s="14" t="s">
        <v>89</v>
      </c>
      <c r="D3755" s="14" t="s">
        <v>44</v>
      </c>
      <c r="E3755" s="14" t="s">
        <v>45</v>
      </c>
      <c r="F3755" s="14" t="s">
        <v>62</v>
      </c>
      <c r="G3755" s="14" t="s">
        <v>63</v>
      </c>
      <c r="H3755" s="0" t="n">
        <v>1</v>
      </c>
      <c r="I3755" s="16" t="n">
        <v>17.37</v>
      </c>
      <c r="J3755" s="16" t="n">
        <v>6.5</v>
      </c>
      <c r="K3755" s="16" t="n">
        <f aca="false">H3755*I3755</f>
        <v>17.37</v>
      </c>
      <c r="L3755" s="16" t="n">
        <f aca="false">H3755*J3755</f>
        <v>6.5</v>
      </c>
      <c r="M3755" s="16" t="n">
        <f aca="false">K3755-L3755</f>
        <v>10.87</v>
      </c>
      <c r="N3755" s="17" t="n">
        <f aca="false">IFERROR(M3755/K3755,0)</f>
        <v>0.625791594703512</v>
      </c>
    </row>
    <row r="3756" customFormat="false" ht="15" hidden="false" customHeight="false" outlineLevel="0" collapsed="false">
      <c r="A3756" s="15" t="n">
        <v>46180</v>
      </c>
      <c r="B3756" s="14" t="s">
        <v>42</v>
      </c>
      <c r="C3756" s="14" t="s">
        <v>43</v>
      </c>
      <c r="D3756" s="14" t="s">
        <v>44</v>
      </c>
      <c r="E3756" s="14" t="s">
        <v>45</v>
      </c>
      <c r="F3756" s="14" t="s">
        <v>62</v>
      </c>
      <c r="G3756" s="14" t="s">
        <v>63</v>
      </c>
      <c r="H3756" s="0" t="n">
        <v>6</v>
      </c>
      <c r="I3756" s="16" t="n">
        <v>17.72</v>
      </c>
      <c r="J3756" s="16" t="n">
        <v>6.5</v>
      </c>
      <c r="K3756" s="16" t="n">
        <f aca="false">H3756*I3756</f>
        <v>106.32</v>
      </c>
      <c r="L3756" s="16" t="n">
        <f aca="false">H3756*J3756</f>
        <v>39</v>
      </c>
      <c r="M3756" s="16" t="n">
        <f aca="false">K3756-L3756</f>
        <v>67.32</v>
      </c>
      <c r="N3756" s="17" t="n">
        <f aca="false">IFERROR(M3756/K3756,0)</f>
        <v>0.633182844243792</v>
      </c>
    </row>
    <row r="3757" customFormat="false" ht="15" hidden="false" customHeight="false" outlineLevel="0" collapsed="false">
      <c r="A3757" s="15" t="n">
        <v>46180</v>
      </c>
      <c r="B3757" s="14" t="s">
        <v>42</v>
      </c>
      <c r="C3757" s="14" t="s">
        <v>43</v>
      </c>
      <c r="D3757" s="14" t="s">
        <v>44</v>
      </c>
      <c r="E3757" s="14" t="s">
        <v>76</v>
      </c>
      <c r="F3757" s="14" t="s">
        <v>102</v>
      </c>
      <c r="G3757" s="14" t="s">
        <v>103</v>
      </c>
      <c r="H3757" s="0" t="n">
        <v>4</v>
      </c>
      <c r="I3757" s="16" t="n">
        <v>22.56</v>
      </c>
      <c r="J3757" s="16" t="n">
        <v>8.5</v>
      </c>
      <c r="K3757" s="16" t="n">
        <f aca="false">H3757*I3757</f>
        <v>90.24</v>
      </c>
      <c r="L3757" s="16" t="n">
        <f aca="false">H3757*J3757</f>
        <v>34</v>
      </c>
      <c r="M3757" s="16" t="n">
        <f aca="false">K3757-L3757</f>
        <v>56.24</v>
      </c>
      <c r="N3757" s="17" t="n">
        <f aca="false">IFERROR(M3757/K3757,0)</f>
        <v>0.62322695035461</v>
      </c>
    </row>
    <row r="3758" customFormat="false" ht="15" hidden="false" customHeight="false" outlineLevel="0" collapsed="false">
      <c r="A3758" s="15" t="n">
        <v>46180</v>
      </c>
      <c r="B3758" s="14" t="s">
        <v>42</v>
      </c>
      <c r="C3758" s="14" t="s">
        <v>43</v>
      </c>
      <c r="D3758" s="14" t="s">
        <v>44</v>
      </c>
      <c r="E3758" s="14" t="s">
        <v>53</v>
      </c>
      <c r="F3758" s="14" t="s">
        <v>92</v>
      </c>
      <c r="G3758" s="14" t="s">
        <v>93</v>
      </c>
      <c r="H3758" s="0" t="n">
        <v>15</v>
      </c>
      <c r="I3758" s="16" t="n">
        <v>115.6</v>
      </c>
      <c r="J3758" s="16" t="n">
        <v>52</v>
      </c>
      <c r="K3758" s="16" t="n">
        <f aca="false">H3758*I3758</f>
        <v>1734</v>
      </c>
      <c r="L3758" s="16" t="n">
        <f aca="false">H3758*J3758</f>
        <v>780</v>
      </c>
      <c r="M3758" s="16" t="n">
        <f aca="false">K3758-L3758</f>
        <v>954</v>
      </c>
      <c r="N3758" s="17" t="n">
        <f aca="false">IFERROR(M3758/K3758,0)</f>
        <v>0.550173010380623</v>
      </c>
    </row>
    <row r="3759" customFormat="false" ht="15" hidden="false" customHeight="false" outlineLevel="0" collapsed="false">
      <c r="A3759" s="15" t="n">
        <v>46180</v>
      </c>
      <c r="B3759" s="14" t="s">
        <v>42</v>
      </c>
      <c r="C3759" s="14" t="s">
        <v>43</v>
      </c>
      <c r="D3759" s="14" t="s">
        <v>44</v>
      </c>
      <c r="E3759" s="14" t="s">
        <v>53</v>
      </c>
      <c r="F3759" s="14" t="s">
        <v>92</v>
      </c>
      <c r="G3759" s="14" t="s">
        <v>93</v>
      </c>
      <c r="H3759" s="0" t="n">
        <v>11</v>
      </c>
      <c r="I3759" s="16" t="n">
        <v>116.41</v>
      </c>
      <c r="J3759" s="16" t="n">
        <v>52</v>
      </c>
      <c r="K3759" s="16" t="n">
        <f aca="false">H3759*I3759</f>
        <v>1280.51</v>
      </c>
      <c r="L3759" s="16" t="n">
        <f aca="false">H3759*J3759</f>
        <v>572</v>
      </c>
      <c r="M3759" s="16" t="n">
        <f aca="false">K3759-L3759</f>
        <v>708.51</v>
      </c>
      <c r="N3759" s="17" t="n">
        <f aca="false">IFERROR(M3759/K3759,0)</f>
        <v>0.55330298084357</v>
      </c>
    </row>
    <row r="3760" customFormat="false" ht="15" hidden="false" customHeight="false" outlineLevel="0" collapsed="false">
      <c r="A3760" s="15" t="n">
        <v>46180</v>
      </c>
      <c r="B3760" s="14" t="s">
        <v>42</v>
      </c>
      <c r="C3760" s="14" t="s">
        <v>43</v>
      </c>
      <c r="D3760" s="14" t="s">
        <v>44</v>
      </c>
      <c r="E3760" s="14" t="s">
        <v>45</v>
      </c>
      <c r="F3760" s="14" t="s">
        <v>48</v>
      </c>
      <c r="G3760" s="14" t="s">
        <v>49</v>
      </c>
      <c r="H3760" s="0" t="n">
        <v>5</v>
      </c>
      <c r="I3760" s="16" t="n">
        <v>65.16</v>
      </c>
      <c r="J3760" s="16" t="n">
        <v>27.5</v>
      </c>
      <c r="K3760" s="16" t="n">
        <f aca="false">H3760*I3760</f>
        <v>325.8</v>
      </c>
      <c r="L3760" s="16" t="n">
        <f aca="false">H3760*J3760</f>
        <v>137.5</v>
      </c>
      <c r="M3760" s="16" t="n">
        <f aca="false">K3760-L3760</f>
        <v>188.3</v>
      </c>
      <c r="N3760" s="17" t="n">
        <f aca="false">IFERROR(M3760/K3760,0)</f>
        <v>0.577961939840393</v>
      </c>
    </row>
    <row r="3761" customFormat="false" ht="15" hidden="false" customHeight="false" outlineLevel="0" collapsed="false">
      <c r="A3761" s="15" t="n">
        <v>46180</v>
      </c>
      <c r="B3761" s="14" t="s">
        <v>50</v>
      </c>
      <c r="C3761" s="14" t="s">
        <v>51</v>
      </c>
      <c r="D3761" s="14" t="s">
        <v>52</v>
      </c>
      <c r="E3761" s="14" t="s">
        <v>45</v>
      </c>
      <c r="F3761" s="14" t="s">
        <v>48</v>
      </c>
      <c r="G3761" s="14" t="s">
        <v>49</v>
      </c>
      <c r="H3761" s="0" t="n">
        <v>10</v>
      </c>
      <c r="I3761" s="16" t="n">
        <v>65.83</v>
      </c>
      <c r="J3761" s="16" t="n">
        <v>27.5</v>
      </c>
      <c r="K3761" s="16" t="n">
        <f aca="false">H3761*I3761</f>
        <v>658.3</v>
      </c>
      <c r="L3761" s="16" t="n">
        <f aca="false">H3761*J3761</f>
        <v>275</v>
      </c>
      <c r="M3761" s="16" t="n">
        <f aca="false">K3761-L3761</f>
        <v>383.3</v>
      </c>
      <c r="N3761" s="17" t="n">
        <f aca="false">IFERROR(M3761/K3761,0)</f>
        <v>0.582257329485037</v>
      </c>
    </row>
    <row r="3762" customFormat="false" ht="15" hidden="false" customHeight="false" outlineLevel="0" collapsed="false">
      <c r="A3762" s="15" t="n">
        <v>46180</v>
      </c>
      <c r="B3762" s="14" t="s">
        <v>50</v>
      </c>
      <c r="C3762" s="14" t="s">
        <v>51</v>
      </c>
      <c r="D3762" s="14" t="s">
        <v>52</v>
      </c>
      <c r="E3762" s="14" t="s">
        <v>64</v>
      </c>
      <c r="F3762" s="14" t="s">
        <v>65</v>
      </c>
      <c r="G3762" s="14" t="s">
        <v>66</v>
      </c>
      <c r="H3762" s="0" t="n">
        <v>2</v>
      </c>
      <c r="I3762" s="16" t="n">
        <v>73.42</v>
      </c>
      <c r="J3762" s="16" t="n">
        <v>34</v>
      </c>
      <c r="K3762" s="16" t="n">
        <f aca="false">H3762*I3762</f>
        <v>146.84</v>
      </c>
      <c r="L3762" s="16" t="n">
        <f aca="false">H3762*J3762</f>
        <v>68</v>
      </c>
      <c r="M3762" s="16" t="n">
        <f aca="false">K3762-L3762</f>
        <v>78.84</v>
      </c>
      <c r="N3762" s="17" t="n">
        <f aca="false">IFERROR(M3762/K3762,0)</f>
        <v>0.5369109234541</v>
      </c>
    </row>
    <row r="3763" customFormat="false" ht="15" hidden="false" customHeight="false" outlineLevel="0" collapsed="false">
      <c r="A3763" s="15" t="n">
        <v>46180</v>
      </c>
      <c r="B3763" s="14" t="s">
        <v>50</v>
      </c>
      <c r="C3763" s="14" t="s">
        <v>51</v>
      </c>
      <c r="D3763" s="14" t="s">
        <v>52</v>
      </c>
      <c r="E3763" s="14" t="s">
        <v>64</v>
      </c>
      <c r="F3763" s="14" t="s">
        <v>96</v>
      </c>
      <c r="G3763" s="14" t="s">
        <v>97</v>
      </c>
      <c r="H3763" s="0" t="n">
        <v>3</v>
      </c>
      <c r="I3763" s="16" t="n">
        <v>54.66</v>
      </c>
      <c r="J3763" s="16" t="n">
        <v>24</v>
      </c>
      <c r="K3763" s="16" t="n">
        <f aca="false">H3763*I3763</f>
        <v>163.98</v>
      </c>
      <c r="L3763" s="16" t="n">
        <f aca="false">H3763*J3763</f>
        <v>72</v>
      </c>
      <c r="M3763" s="16" t="n">
        <f aca="false">K3763-L3763</f>
        <v>91.98</v>
      </c>
      <c r="N3763" s="17" t="n">
        <f aca="false">IFERROR(M3763/K3763,0)</f>
        <v>0.560922063666301</v>
      </c>
    </row>
    <row r="3764" customFormat="false" ht="15" hidden="false" customHeight="false" outlineLevel="0" collapsed="false">
      <c r="A3764" s="15" t="n">
        <v>46180</v>
      </c>
      <c r="B3764" s="14" t="s">
        <v>59</v>
      </c>
      <c r="C3764" s="14" t="s">
        <v>60</v>
      </c>
      <c r="D3764" s="14" t="s">
        <v>61</v>
      </c>
      <c r="E3764" s="14" t="s">
        <v>56</v>
      </c>
      <c r="F3764" s="14" t="s">
        <v>67</v>
      </c>
      <c r="G3764" s="14" t="s">
        <v>68</v>
      </c>
      <c r="H3764" s="0" t="n">
        <v>1</v>
      </c>
      <c r="I3764" s="16" t="n">
        <v>35.11</v>
      </c>
      <c r="J3764" s="16" t="n">
        <v>15</v>
      </c>
      <c r="K3764" s="16" t="n">
        <f aca="false">H3764*I3764</f>
        <v>35.11</v>
      </c>
      <c r="L3764" s="16" t="n">
        <f aca="false">H3764*J3764</f>
        <v>15</v>
      </c>
      <c r="M3764" s="16" t="n">
        <f aca="false">K3764-L3764</f>
        <v>20.11</v>
      </c>
      <c r="N3764" s="17" t="n">
        <f aca="false">IFERROR(M3764/K3764,0)</f>
        <v>0.572771290230704</v>
      </c>
    </row>
    <row r="3765" customFormat="false" ht="15" hidden="false" customHeight="false" outlineLevel="0" collapsed="false">
      <c r="A3765" s="15" t="n">
        <v>46180</v>
      </c>
      <c r="B3765" s="14" t="s">
        <v>59</v>
      </c>
      <c r="C3765" s="14" t="s">
        <v>60</v>
      </c>
      <c r="D3765" s="14" t="s">
        <v>61</v>
      </c>
      <c r="E3765" s="14" t="s">
        <v>45</v>
      </c>
      <c r="F3765" s="14" t="s">
        <v>72</v>
      </c>
      <c r="G3765" s="14" t="s">
        <v>73</v>
      </c>
      <c r="H3765" s="0" t="n">
        <v>1</v>
      </c>
      <c r="I3765" s="16" t="n">
        <v>50.39</v>
      </c>
      <c r="J3765" s="16" t="n">
        <v>21</v>
      </c>
      <c r="K3765" s="16" t="n">
        <f aca="false">H3765*I3765</f>
        <v>50.39</v>
      </c>
      <c r="L3765" s="16" t="n">
        <f aca="false">H3765*J3765</f>
        <v>21</v>
      </c>
      <c r="M3765" s="16" t="n">
        <f aca="false">K3765-L3765</f>
        <v>29.39</v>
      </c>
      <c r="N3765" s="17" t="n">
        <f aca="false">IFERROR(M3765/K3765,0)</f>
        <v>0.58325064496924</v>
      </c>
    </row>
    <row r="3766" customFormat="false" ht="15" hidden="false" customHeight="false" outlineLevel="0" collapsed="false">
      <c r="A3766" s="15" t="n">
        <v>46180</v>
      </c>
      <c r="B3766" s="14" t="s">
        <v>59</v>
      </c>
      <c r="C3766" s="14" t="s">
        <v>60</v>
      </c>
      <c r="D3766" s="14" t="s">
        <v>61</v>
      </c>
      <c r="E3766" s="14" t="s">
        <v>76</v>
      </c>
      <c r="F3766" s="14" t="s">
        <v>79</v>
      </c>
      <c r="G3766" s="14" t="s">
        <v>80</v>
      </c>
      <c r="H3766" s="0" t="n">
        <v>6</v>
      </c>
      <c r="I3766" s="16" t="n">
        <v>29.11</v>
      </c>
      <c r="J3766" s="16" t="n">
        <v>11</v>
      </c>
      <c r="K3766" s="16" t="n">
        <f aca="false">H3766*I3766</f>
        <v>174.66</v>
      </c>
      <c r="L3766" s="16" t="n">
        <f aca="false">H3766*J3766</f>
        <v>66</v>
      </c>
      <c r="M3766" s="16" t="n">
        <f aca="false">K3766-L3766</f>
        <v>108.66</v>
      </c>
      <c r="N3766" s="17" t="n">
        <f aca="false">IFERROR(M3766/K3766,0)</f>
        <v>0.622122981793198</v>
      </c>
    </row>
    <row r="3767" customFormat="false" ht="15" hidden="false" customHeight="false" outlineLevel="0" collapsed="false">
      <c r="A3767" s="15" t="n">
        <v>46180</v>
      </c>
      <c r="B3767" s="14" t="s">
        <v>69</v>
      </c>
      <c r="C3767" s="14" t="s">
        <v>70</v>
      </c>
      <c r="D3767" s="14" t="s">
        <v>71</v>
      </c>
      <c r="E3767" s="14" t="s">
        <v>76</v>
      </c>
      <c r="F3767" s="14" t="s">
        <v>79</v>
      </c>
      <c r="G3767" s="14" t="s">
        <v>80</v>
      </c>
      <c r="H3767" s="0" t="n">
        <v>10</v>
      </c>
      <c r="I3767" s="16" t="n">
        <v>28.58</v>
      </c>
      <c r="J3767" s="16" t="n">
        <v>11</v>
      </c>
      <c r="K3767" s="16" t="n">
        <f aca="false">H3767*I3767</f>
        <v>285.8</v>
      </c>
      <c r="L3767" s="16" t="n">
        <f aca="false">H3767*J3767</f>
        <v>110</v>
      </c>
      <c r="M3767" s="16" t="n">
        <f aca="false">K3767-L3767</f>
        <v>175.8</v>
      </c>
      <c r="N3767" s="17" t="n">
        <f aca="false">IFERROR(M3767/K3767,0)</f>
        <v>0.615115465360392</v>
      </c>
    </row>
    <row r="3768" customFormat="false" ht="15" hidden="false" customHeight="false" outlineLevel="0" collapsed="false">
      <c r="A3768" s="15" t="n">
        <v>46180</v>
      </c>
      <c r="B3768" s="14" t="s">
        <v>69</v>
      </c>
      <c r="C3768" s="14" t="s">
        <v>70</v>
      </c>
      <c r="D3768" s="14" t="s">
        <v>71</v>
      </c>
      <c r="E3768" s="14" t="s">
        <v>53</v>
      </c>
      <c r="F3768" s="14" t="s">
        <v>54</v>
      </c>
      <c r="G3768" s="14" t="s">
        <v>55</v>
      </c>
      <c r="H3768" s="0" t="n">
        <v>11</v>
      </c>
      <c r="I3768" s="16" t="n">
        <v>53.43</v>
      </c>
      <c r="J3768" s="16" t="n">
        <v>22</v>
      </c>
      <c r="K3768" s="16" t="n">
        <f aca="false">H3768*I3768</f>
        <v>587.73</v>
      </c>
      <c r="L3768" s="16" t="n">
        <f aca="false">H3768*J3768</f>
        <v>242</v>
      </c>
      <c r="M3768" s="16" t="n">
        <f aca="false">K3768-L3768</f>
        <v>345.73</v>
      </c>
      <c r="N3768" s="17" t="n">
        <f aca="false">IFERROR(M3768/K3768,0)</f>
        <v>0.588246303574771</v>
      </c>
    </row>
    <row r="3769" customFormat="false" ht="15" hidden="false" customHeight="false" outlineLevel="0" collapsed="false">
      <c r="A3769" s="15" t="n">
        <v>46180</v>
      </c>
      <c r="B3769" s="14" t="s">
        <v>81</v>
      </c>
      <c r="C3769" s="14" t="s">
        <v>82</v>
      </c>
      <c r="D3769" s="14" t="s">
        <v>83</v>
      </c>
      <c r="E3769" s="14" t="s">
        <v>45</v>
      </c>
      <c r="F3769" s="14" t="s">
        <v>46</v>
      </c>
      <c r="G3769" s="14" t="s">
        <v>47</v>
      </c>
      <c r="H3769" s="0" t="n">
        <v>4</v>
      </c>
      <c r="I3769" s="16" t="n">
        <v>43.7</v>
      </c>
      <c r="J3769" s="16" t="n">
        <v>18</v>
      </c>
      <c r="K3769" s="16" t="n">
        <f aca="false">H3769*I3769</f>
        <v>174.8</v>
      </c>
      <c r="L3769" s="16" t="n">
        <f aca="false">H3769*J3769</f>
        <v>72</v>
      </c>
      <c r="M3769" s="16" t="n">
        <f aca="false">K3769-L3769</f>
        <v>102.8</v>
      </c>
      <c r="N3769" s="17" t="n">
        <f aca="false">IFERROR(M3769/K3769,0)</f>
        <v>0.588100686498856</v>
      </c>
    </row>
    <row r="3770" customFormat="false" ht="15" hidden="false" customHeight="false" outlineLevel="0" collapsed="false">
      <c r="A3770" s="15" t="n">
        <v>46180</v>
      </c>
      <c r="B3770" s="14" t="s">
        <v>81</v>
      </c>
      <c r="C3770" s="14" t="s">
        <v>82</v>
      </c>
      <c r="D3770" s="14" t="s">
        <v>83</v>
      </c>
      <c r="E3770" s="14" t="s">
        <v>76</v>
      </c>
      <c r="F3770" s="14" t="s">
        <v>79</v>
      </c>
      <c r="G3770" s="14" t="s">
        <v>80</v>
      </c>
      <c r="H3770" s="0" t="n">
        <v>9</v>
      </c>
      <c r="I3770" s="16" t="n">
        <v>28.66</v>
      </c>
      <c r="J3770" s="16" t="n">
        <v>11</v>
      </c>
      <c r="K3770" s="16" t="n">
        <f aca="false">H3770*I3770</f>
        <v>257.94</v>
      </c>
      <c r="L3770" s="16" t="n">
        <f aca="false">H3770*J3770</f>
        <v>99</v>
      </c>
      <c r="M3770" s="16" t="n">
        <f aca="false">K3770-L3770</f>
        <v>158.94</v>
      </c>
      <c r="N3770" s="17" t="n">
        <f aca="false">IFERROR(M3770/K3770,0)</f>
        <v>0.616189811584089</v>
      </c>
    </row>
    <row r="3771" customFormat="false" ht="15" hidden="false" customHeight="false" outlineLevel="0" collapsed="false">
      <c r="A3771" s="15" t="n">
        <v>46180</v>
      </c>
      <c r="B3771" s="14" t="s">
        <v>81</v>
      </c>
      <c r="C3771" s="14" t="s">
        <v>82</v>
      </c>
      <c r="D3771" s="14" t="s">
        <v>83</v>
      </c>
      <c r="E3771" s="14" t="s">
        <v>56</v>
      </c>
      <c r="F3771" s="14" t="s">
        <v>67</v>
      </c>
      <c r="G3771" s="14" t="s">
        <v>68</v>
      </c>
      <c r="H3771" s="0" t="n">
        <v>6</v>
      </c>
      <c r="I3771" s="16" t="n">
        <v>35.45</v>
      </c>
      <c r="J3771" s="16" t="n">
        <v>15</v>
      </c>
      <c r="K3771" s="16" t="n">
        <f aca="false">H3771*I3771</f>
        <v>212.7</v>
      </c>
      <c r="L3771" s="16" t="n">
        <f aca="false">H3771*J3771</f>
        <v>90</v>
      </c>
      <c r="M3771" s="16" t="n">
        <f aca="false">K3771-L3771</f>
        <v>122.7</v>
      </c>
      <c r="N3771" s="17" t="n">
        <f aca="false">IFERROR(M3771/K3771,0)</f>
        <v>0.576868829337095</v>
      </c>
    </row>
    <row r="3772" customFormat="false" ht="15" hidden="false" customHeight="false" outlineLevel="0" collapsed="false">
      <c r="A3772" s="15" t="n">
        <v>46180</v>
      </c>
      <c r="B3772" s="14" t="s">
        <v>88</v>
      </c>
      <c r="C3772" s="14" t="s">
        <v>89</v>
      </c>
      <c r="D3772" s="14" t="s">
        <v>44</v>
      </c>
      <c r="E3772" s="14" t="s">
        <v>53</v>
      </c>
      <c r="F3772" s="14" t="s">
        <v>84</v>
      </c>
      <c r="G3772" s="14" t="s">
        <v>85</v>
      </c>
      <c r="H3772" s="0" t="n">
        <v>12</v>
      </c>
      <c r="I3772" s="16" t="n">
        <v>24.34</v>
      </c>
      <c r="J3772" s="16" t="n">
        <v>9</v>
      </c>
      <c r="K3772" s="16" t="n">
        <f aca="false">H3772*I3772</f>
        <v>292.08</v>
      </c>
      <c r="L3772" s="16" t="n">
        <f aca="false">H3772*J3772</f>
        <v>108</v>
      </c>
      <c r="M3772" s="16" t="n">
        <f aca="false">K3772-L3772</f>
        <v>184.08</v>
      </c>
      <c r="N3772" s="17" t="n">
        <f aca="false">IFERROR(M3772/K3772,0)</f>
        <v>0.630238290879211</v>
      </c>
    </row>
    <row r="3773" customFormat="false" ht="15" hidden="false" customHeight="false" outlineLevel="0" collapsed="false">
      <c r="A3773" s="15" t="n">
        <v>46180</v>
      </c>
      <c r="B3773" s="14" t="s">
        <v>88</v>
      </c>
      <c r="C3773" s="14" t="s">
        <v>89</v>
      </c>
      <c r="D3773" s="14" t="s">
        <v>44</v>
      </c>
      <c r="E3773" s="14" t="s">
        <v>56</v>
      </c>
      <c r="F3773" s="14" t="s">
        <v>86</v>
      </c>
      <c r="G3773" s="14" t="s">
        <v>87</v>
      </c>
      <c r="H3773" s="0" t="n">
        <v>7</v>
      </c>
      <c r="I3773" s="16" t="n">
        <v>13.82</v>
      </c>
      <c r="J3773" s="16" t="n">
        <v>5</v>
      </c>
      <c r="K3773" s="16" t="n">
        <f aca="false">H3773*I3773</f>
        <v>96.74</v>
      </c>
      <c r="L3773" s="16" t="n">
        <f aca="false">H3773*J3773</f>
        <v>35</v>
      </c>
      <c r="M3773" s="16" t="n">
        <f aca="false">K3773-L3773</f>
        <v>61.74</v>
      </c>
      <c r="N3773" s="17" t="n">
        <f aca="false">IFERROR(M3773/K3773,0)</f>
        <v>0.638205499276411</v>
      </c>
    </row>
    <row r="3774" customFormat="false" ht="15" hidden="false" customHeight="false" outlineLevel="0" collapsed="false">
      <c r="A3774" s="15" t="n">
        <v>46180</v>
      </c>
      <c r="B3774" s="14" t="s">
        <v>88</v>
      </c>
      <c r="C3774" s="14" t="s">
        <v>89</v>
      </c>
      <c r="D3774" s="14" t="s">
        <v>44</v>
      </c>
      <c r="E3774" s="14" t="s">
        <v>45</v>
      </c>
      <c r="F3774" s="14" t="s">
        <v>72</v>
      </c>
      <c r="G3774" s="14" t="s">
        <v>73</v>
      </c>
      <c r="H3774" s="0" t="n">
        <v>10</v>
      </c>
      <c r="I3774" s="16" t="n">
        <v>51.68</v>
      </c>
      <c r="J3774" s="16" t="n">
        <v>21</v>
      </c>
      <c r="K3774" s="16" t="n">
        <f aca="false">H3774*I3774</f>
        <v>516.8</v>
      </c>
      <c r="L3774" s="16" t="n">
        <f aca="false">H3774*J3774</f>
        <v>210</v>
      </c>
      <c r="M3774" s="16" t="n">
        <f aca="false">K3774-L3774</f>
        <v>306.8</v>
      </c>
      <c r="N3774" s="17" t="n">
        <f aca="false">IFERROR(M3774/K3774,0)</f>
        <v>0.593653250773994</v>
      </c>
    </row>
    <row r="3775" customFormat="false" ht="15" hidden="false" customHeight="false" outlineLevel="0" collapsed="false">
      <c r="A3775" s="15" t="n">
        <v>46180</v>
      </c>
      <c r="B3775" s="14" t="s">
        <v>88</v>
      </c>
      <c r="C3775" s="14" t="s">
        <v>89</v>
      </c>
      <c r="D3775" s="14" t="s">
        <v>44</v>
      </c>
      <c r="E3775" s="14" t="s">
        <v>45</v>
      </c>
      <c r="F3775" s="14" t="s">
        <v>62</v>
      </c>
      <c r="G3775" s="14" t="s">
        <v>63</v>
      </c>
      <c r="H3775" s="0" t="n">
        <v>2</v>
      </c>
      <c r="I3775" s="16" t="n">
        <v>17.67</v>
      </c>
      <c r="J3775" s="16" t="n">
        <v>6.5</v>
      </c>
      <c r="K3775" s="16" t="n">
        <f aca="false">H3775*I3775</f>
        <v>35.34</v>
      </c>
      <c r="L3775" s="16" t="n">
        <f aca="false">H3775*J3775</f>
        <v>13</v>
      </c>
      <c r="M3775" s="16" t="n">
        <f aca="false">K3775-L3775</f>
        <v>22.34</v>
      </c>
      <c r="N3775" s="17" t="n">
        <f aca="false">IFERROR(M3775/K3775,0)</f>
        <v>0.632144878324845</v>
      </c>
    </row>
    <row r="3776" customFormat="false" ht="15" hidden="false" customHeight="false" outlineLevel="0" collapsed="false">
      <c r="A3776" s="15" t="n">
        <v>46180</v>
      </c>
      <c r="B3776" s="14" t="s">
        <v>88</v>
      </c>
      <c r="C3776" s="14" t="s">
        <v>89</v>
      </c>
      <c r="D3776" s="14" t="s">
        <v>44</v>
      </c>
      <c r="E3776" s="14" t="s">
        <v>76</v>
      </c>
      <c r="F3776" s="14" t="s">
        <v>79</v>
      </c>
      <c r="G3776" s="14" t="s">
        <v>80</v>
      </c>
      <c r="H3776" s="0" t="n">
        <v>11</v>
      </c>
      <c r="I3776" s="16" t="n">
        <v>29.85</v>
      </c>
      <c r="J3776" s="16" t="n">
        <v>11</v>
      </c>
      <c r="K3776" s="16" t="n">
        <f aca="false">H3776*I3776</f>
        <v>328.35</v>
      </c>
      <c r="L3776" s="16" t="n">
        <f aca="false">H3776*J3776</f>
        <v>121</v>
      </c>
      <c r="M3776" s="16" t="n">
        <f aca="false">K3776-L3776</f>
        <v>207.35</v>
      </c>
      <c r="N3776" s="17" t="n">
        <f aca="false">IFERROR(M3776/K3776,0)</f>
        <v>0.631490787269682</v>
      </c>
    </row>
    <row r="3777" customFormat="false" ht="15" hidden="false" customHeight="false" outlineLevel="0" collapsed="false">
      <c r="A3777" s="15" t="n">
        <v>46181</v>
      </c>
      <c r="B3777" s="14" t="s">
        <v>42</v>
      </c>
      <c r="C3777" s="14" t="s">
        <v>43</v>
      </c>
      <c r="D3777" s="14" t="s">
        <v>44</v>
      </c>
      <c r="E3777" s="14" t="s">
        <v>76</v>
      </c>
      <c r="F3777" s="14" t="s">
        <v>79</v>
      </c>
      <c r="G3777" s="14" t="s">
        <v>80</v>
      </c>
      <c r="H3777" s="0" t="n">
        <v>6</v>
      </c>
      <c r="I3777" s="16" t="n">
        <v>28.08</v>
      </c>
      <c r="J3777" s="16" t="n">
        <v>11</v>
      </c>
      <c r="K3777" s="16" t="n">
        <f aca="false">H3777*I3777</f>
        <v>168.48</v>
      </c>
      <c r="L3777" s="16" t="n">
        <f aca="false">H3777*J3777</f>
        <v>66</v>
      </c>
      <c r="M3777" s="16" t="n">
        <f aca="false">K3777-L3777</f>
        <v>102.48</v>
      </c>
      <c r="N3777" s="17" t="n">
        <f aca="false">IFERROR(M3777/K3777,0)</f>
        <v>0.608262108262108</v>
      </c>
    </row>
    <row r="3778" customFormat="false" ht="15" hidden="false" customHeight="false" outlineLevel="0" collapsed="false">
      <c r="A3778" s="15" t="n">
        <v>46181</v>
      </c>
      <c r="B3778" s="14" t="s">
        <v>42</v>
      </c>
      <c r="C3778" s="14" t="s">
        <v>43</v>
      </c>
      <c r="D3778" s="14" t="s">
        <v>44</v>
      </c>
      <c r="E3778" s="14" t="s">
        <v>64</v>
      </c>
      <c r="F3778" s="14" t="s">
        <v>96</v>
      </c>
      <c r="G3778" s="14" t="s">
        <v>97</v>
      </c>
      <c r="H3778" s="0" t="n">
        <v>3</v>
      </c>
      <c r="I3778" s="16" t="n">
        <v>58.7</v>
      </c>
      <c r="J3778" s="16" t="n">
        <v>24</v>
      </c>
      <c r="K3778" s="16" t="n">
        <f aca="false">H3778*I3778</f>
        <v>176.1</v>
      </c>
      <c r="L3778" s="16" t="n">
        <f aca="false">H3778*J3778</f>
        <v>72</v>
      </c>
      <c r="M3778" s="16" t="n">
        <f aca="false">K3778-L3778</f>
        <v>104.1</v>
      </c>
      <c r="N3778" s="17" t="n">
        <f aca="false">IFERROR(M3778/K3778,0)</f>
        <v>0.591141396933561</v>
      </c>
    </row>
    <row r="3779" customFormat="false" ht="15" hidden="false" customHeight="false" outlineLevel="0" collapsed="false">
      <c r="A3779" s="15" t="n">
        <v>46181</v>
      </c>
      <c r="B3779" s="14" t="s">
        <v>42</v>
      </c>
      <c r="C3779" s="14" t="s">
        <v>43</v>
      </c>
      <c r="D3779" s="14" t="s">
        <v>44</v>
      </c>
      <c r="E3779" s="14" t="s">
        <v>76</v>
      </c>
      <c r="F3779" s="14" t="s">
        <v>102</v>
      </c>
      <c r="G3779" s="14" t="s">
        <v>103</v>
      </c>
      <c r="H3779" s="0" t="n">
        <v>4</v>
      </c>
      <c r="I3779" s="16" t="n">
        <v>22.47</v>
      </c>
      <c r="J3779" s="16" t="n">
        <v>8.5</v>
      </c>
      <c r="K3779" s="16" t="n">
        <f aca="false">H3779*I3779</f>
        <v>89.88</v>
      </c>
      <c r="L3779" s="16" t="n">
        <f aca="false">H3779*J3779</f>
        <v>34</v>
      </c>
      <c r="M3779" s="16" t="n">
        <f aca="false">K3779-L3779</f>
        <v>55.88</v>
      </c>
      <c r="N3779" s="17" t="n">
        <f aca="false">IFERROR(M3779/K3779,0)</f>
        <v>0.621717846016911</v>
      </c>
    </row>
    <row r="3780" customFormat="false" ht="15" hidden="false" customHeight="false" outlineLevel="0" collapsed="false">
      <c r="A3780" s="15" t="n">
        <v>46181</v>
      </c>
      <c r="B3780" s="14" t="s">
        <v>42</v>
      </c>
      <c r="C3780" s="14" t="s">
        <v>43</v>
      </c>
      <c r="D3780" s="14" t="s">
        <v>44</v>
      </c>
      <c r="E3780" s="14" t="s">
        <v>64</v>
      </c>
      <c r="F3780" s="14" t="s">
        <v>65</v>
      </c>
      <c r="G3780" s="14" t="s">
        <v>66</v>
      </c>
      <c r="H3780" s="0" t="n">
        <v>11</v>
      </c>
      <c r="I3780" s="16" t="n">
        <v>76.12</v>
      </c>
      <c r="J3780" s="16" t="n">
        <v>34</v>
      </c>
      <c r="K3780" s="16" t="n">
        <f aca="false">H3780*I3780</f>
        <v>837.32</v>
      </c>
      <c r="L3780" s="16" t="n">
        <f aca="false">H3780*J3780</f>
        <v>374</v>
      </c>
      <c r="M3780" s="16" t="n">
        <f aca="false">K3780-L3780</f>
        <v>463.32</v>
      </c>
      <c r="N3780" s="17" t="n">
        <f aca="false">IFERROR(M3780/K3780,0)</f>
        <v>0.553336836573831</v>
      </c>
    </row>
    <row r="3781" customFormat="false" ht="15" hidden="false" customHeight="false" outlineLevel="0" collapsed="false">
      <c r="A3781" s="15" t="n">
        <v>46181</v>
      </c>
      <c r="B3781" s="14" t="s">
        <v>42</v>
      </c>
      <c r="C3781" s="14" t="s">
        <v>43</v>
      </c>
      <c r="D3781" s="14" t="s">
        <v>44</v>
      </c>
      <c r="E3781" s="14" t="s">
        <v>45</v>
      </c>
      <c r="F3781" s="14" t="s">
        <v>72</v>
      </c>
      <c r="G3781" s="14" t="s">
        <v>73</v>
      </c>
      <c r="H3781" s="0" t="n">
        <v>1</v>
      </c>
      <c r="I3781" s="16" t="n">
        <v>48.69</v>
      </c>
      <c r="J3781" s="16" t="n">
        <v>21</v>
      </c>
      <c r="K3781" s="16" t="n">
        <f aca="false">H3781*I3781</f>
        <v>48.69</v>
      </c>
      <c r="L3781" s="16" t="n">
        <f aca="false">H3781*J3781</f>
        <v>21</v>
      </c>
      <c r="M3781" s="16" t="n">
        <f aca="false">K3781-L3781</f>
        <v>27.69</v>
      </c>
      <c r="N3781" s="17" t="n">
        <f aca="false">IFERROR(M3781/K3781,0)</f>
        <v>0.568699938385705</v>
      </c>
    </row>
    <row r="3782" customFormat="false" ht="15" hidden="false" customHeight="false" outlineLevel="0" collapsed="false">
      <c r="A3782" s="15" t="n">
        <v>46181</v>
      </c>
      <c r="B3782" s="14" t="s">
        <v>42</v>
      </c>
      <c r="C3782" s="14" t="s">
        <v>43</v>
      </c>
      <c r="D3782" s="14" t="s">
        <v>44</v>
      </c>
      <c r="E3782" s="14" t="s">
        <v>53</v>
      </c>
      <c r="F3782" s="14" t="s">
        <v>74</v>
      </c>
      <c r="G3782" s="14" t="s">
        <v>75</v>
      </c>
      <c r="H3782" s="0" t="n">
        <v>3</v>
      </c>
      <c r="I3782" s="16" t="n">
        <v>86.17</v>
      </c>
      <c r="J3782" s="16" t="n">
        <v>38</v>
      </c>
      <c r="K3782" s="16" t="n">
        <f aca="false">H3782*I3782</f>
        <v>258.51</v>
      </c>
      <c r="L3782" s="16" t="n">
        <f aca="false">H3782*J3782</f>
        <v>114</v>
      </c>
      <c r="M3782" s="16" t="n">
        <f aca="false">K3782-L3782</f>
        <v>144.51</v>
      </c>
      <c r="N3782" s="17" t="n">
        <f aca="false">IFERROR(M3782/K3782,0)</f>
        <v>0.559011256817918</v>
      </c>
    </row>
    <row r="3783" customFormat="false" ht="15" hidden="false" customHeight="false" outlineLevel="0" collapsed="false">
      <c r="A3783" s="15" t="n">
        <v>46181</v>
      </c>
      <c r="B3783" s="14" t="s">
        <v>50</v>
      </c>
      <c r="C3783" s="14" t="s">
        <v>51</v>
      </c>
      <c r="D3783" s="14" t="s">
        <v>52</v>
      </c>
      <c r="E3783" s="14" t="s">
        <v>64</v>
      </c>
      <c r="F3783" s="14" t="s">
        <v>65</v>
      </c>
      <c r="G3783" s="14" t="s">
        <v>66</v>
      </c>
      <c r="H3783" s="0" t="n">
        <v>5</v>
      </c>
      <c r="I3783" s="16" t="n">
        <v>77.42</v>
      </c>
      <c r="J3783" s="16" t="n">
        <v>34</v>
      </c>
      <c r="K3783" s="16" t="n">
        <f aca="false">H3783*I3783</f>
        <v>387.1</v>
      </c>
      <c r="L3783" s="16" t="n">
        <f aca="false">H3783*J3783</f>
        <v>170</v>
      </c>
      <c r="M3783" s="16" t="n">
        <f aca="false">K3783-L3783</f>
        <v>217.1</v>
      </c>
      <c r="N3783" s="17" t="n">
        <f aca="false">IFERROR(M3783/K3783,0)</f>
        <v>0.560836993025058</v>
      </c>
    </row>
    <row r="3784" customFormat="false" ht="15" hidden="false" customHeight="false" outlineLevel="0" collapsed="false">
      <c r="A3784" s="15" t="n">
        <v>46181</v>
      </c>
      <c r="B3784" s="14" t="s">
        <v>50</v>
      </c>
      <c r="C3784" s="14" t="s">
        <v>51</v>
      </c>
      <c r="D3784" s="14" t="s">
        <v>52</v>
      </c>
      <c r="E3784" s="14" t="s">
        <v>53</v>
      </c>
      <c r="F3784" s="14" t="s">
        <v>92</v>
      </c>
      <c r="G3784" s="14" t="s">
        <v>93</v>
      </c>
      <c r="H3784" s="0" t="n">
        <v>4</v>
      </c>
      <c r="I3784" s="16" t="n">
        <v>114.89</v>
      </c>
      <c r="J3784" s="16" t="n">
        <v>52</v>
      </c>
      <c r="K3784" s="16" t="n">
        <f aca="false">H3784*I3784</f>
        <v>459.56</v>
      </c>
      <c r="L3784" s="16" t="n">
        <f aca="false">H3784*J3784</f>
        <v>208</v>
      </c>
      <c r="M3784" s="16" t="n">
        <f aca="false">K3784-L3784</f>
        <v>251.56</v>
      </c>
      <c r="N3784" s="17" t="n">
        <f aca="false">IFERROR(M3784/K3784,0)</f>
        <v>0.547393158673514</v>
      </c>
    </row>
    <row r="3785" customFormat="false" ht="15" hidden="false" customHeight="false" outlineLevel="0" collapsed="false">
      <c r="A3785" s="15" t="n">
        <v>46181</v>
      </c>
      <c r="B3785" s="14" t="s">
        <v>59</v>
      </c>
      <c r="C3785" s="14" t="s">
        <v>60</v>
      </c>
      <c r="D3785" s="14" t="s">
        <v>61</v>
      </c>
      <c r="E3785" s="14" t="s">
        <v>56</v>
      </c>
      <c r="F3785" s="14" t="s">
        <v>67</v>
      </c>
      <c r="G3785" s="14" t="s">
        <v>68</v>
      </c>
      <c r="H3785" s="0" t="n">
        <v>6</v>
      </c>
      <c r="I3785" s="16" t="n">
        <v>35.33</v>
      </c>
      <c r="J3785" s="16" t="n">
        <v>15</v>
      </c>
      <c r="K3785" s="16" t="n">
        <f aca="false">H3785*I3785</f>
        <v>211.98</v>
      </c>
      <c r="L3785" s="16" t="n">
        <f aca="false">H3785*J3785</f>
        <v>90</v>
      </c>
      <c r="M3785" s="16" t="n">
        <f aca="false">K3785-L3785</f>
        <v>121.98</v>
      </c>
      <c r="N3785" s="17" t="n">
        <f aca="false">IFERROR(M3785/K3785,0)</f>
        <v>0.575431644494764</v>
      </c>
    </row>
    <row r="3786" customFormat="false" ht="15" hidden="false" customHeight="false" outlineLevel="0" collapsed="false">
      <c r="A3786" s="15" t="n">
        <v>46181</v>
      </c>
      <c r="B3786" s="14" t="s">
        <v>59</v>
      </c>
      <c r="C3786" s="14" t="s">
        <v>60</v>
      </c>
      <c r="D3786" s="14" t="s">
        <v>61</v>
      </c>
      <c r="E3786" s="14" t="s">
        <v>53</v>
      </c>
      <c r="F3786" s="14" t="s">
        <v>84</v>
      </c>
      <c r="G3786" s="14" t="s">
        <v>85</v>
      </c>
      <c r="H3786" s="0" t="n">
        <v>2</v>
      </c>
      <c r="I3786" s="16" t="n">
        <v>24.78</v>
      </c>
      <c r="J3786" s="16" t="n">
        <v>9</v>
      </c>
      <c r="K3786" s="16" t="n">
        <f aca="false">H3786*I3786</f>
        <v>49.56</v>
      </c>
      <c r="L3786" s="16" t="n">
        <f aca="false">H3786*J3786</f>
        <v>18</v>
      </c>
      <c r="M3786" s="16" t="n">
        <f aca="false">K3786-L3786</f>
        <v>31.56</v>
      </c>
      <c r="N3786" s="17" t="n">
        <f aca="false">IFERROR(M3786/K3786,0)</f>
        <v>0.63680387409201</v>
      </c>
    </row>
    <row r="3787" customFormat="false" ht="15" hidden="false" customHeight="false" outlineLevel="0" collapsed="false">
      <c r="A3787" s="15" t="n">
        <v>46181</v>
      </c>
      <c r="B3787" s="14" t="s">
        <v>59</v>
      </c>
      <c r="C3787" s="14" t="s">
        <v>60</v>
      </c>
      <c r="D3787" s="14" t="s">
        <v>61</v>
      </c>
      <c r="E3787" s="14" t="s">
        <v>56</v>
      </c>
      <c r="F3787" s="14" t="s">
        <v>67</v>
      </c>
      <c r="G3787" s="14" t="s">
        <v>68</v>
      </c>
      <c r="H3787" s="0" t="n">
        <v>4</v>
      </c>
      <c r="I3787" s="16" t="n">
        <v>35.76</v>
      </c>
      <c r="J3787" s="16" t="n">
        <v>15</v>
      </c>
      <c r="K3787" s="16" t="n">
        <f aca="false">H3787*I3787</f>
        <v>143.04</v>
      </c>
      <c r="L3787" s="16" t="n">
        <f aca="false">H3787*J3787</f>
        <v>60</v>
      </c>
      <c r="M3787" s="16" t="n">
        <f aca="false">K3787-L3787</f>
        <v>83.04</v>
      </c>
      <c r="N3787" s="17" t="n">
        <f aca="false">IFERROR(M3787/K3787,0)</f>
        <v>0.580536912751678</v>
      </c>
    </row>
    <row r="3788" customFormat="false" ht="15" hidden="false" customHeight="false" outlineLevel="0" collapsed="false">
      <c r="A3788" s="15" t="n">
        <v>46181</v>
      </c>
      <c r="B3788" s="14" t="s">
        <v>59</v>
      </c>
      <c r="C3788" s="14" t="s">
        <v>60</v>
      </c>
      <c r="D3788" s="14" t="s">
        <v>61</v>
      </c>
      <c r="E3788" s="14" t="s">
        <v>45</v>
      </c>
      <c r="F3788" s="14" t="s">
        <v>62</v>
      </c>
      <c r="G3788" s="14" t="s">
        <v>63</v>
      </c>
      <c r="H3788" s="0" t="n">
        <v>5</v>
      </c>
      <c r="I3788" s="16" t="n">
        <v>16.63</v>
      </c>
      <c r="J3788" s="16" t="n">
        <v>6.5</v>
      </c>
      <c r="K3788" s="16" t="n">
        <f aca="false">H3788*I3788</f>
        <v>83.15</v>
      </c>
      <c r="L3788" s="16" t="n">
        <f aca="false">H3788*J3788</f>
        <v>32.5</v>
      </c>
      <c r="M3788" s="16" t="n">
        <f aca="false">K3788-L3788</f>
        <v>50.65</v>
      </c>
      <c r="N3788" s="17" t="n">
        <f aca="false">IFERROR(M3788/K3788,0)</f>
        <v>0.609140108238124</v>
      </c>
    </row>
    <row r="3789" customFormat="false" ht="15" hidden="false" customHeight="false" outlineLevel="0" collapsed="false">
      <c r="A3789" s="15" t="n">
        <v>46181</v>
      </c>
      <c r="B3789" s="14" t="s">
        <v>59</v>
      </c>
      <c r="C3789" s="14" t="s">
        <v>60</v>
      </c>
      <c r="D3789" s="14" t="s">
        <v>61</v>
      </c>
      <c r="E3789" s="14" t="s">
        <v>64</v>
      </c>
      <c r="F3789" s="14" t="s">
        <v>94</v>
      </c>
      <c r="G3789" s="14" t="s">
        <v>95</v>
      </c>
      <c r="H3789" s="0" t="n">
        <v>1</v>
      </c>
      <c r="I3789" s="16" t="n">
        <v>98.79</v>
      </c>
      <c r="J3789" s="16" t="n">
        <v>42</v>
      </c>
      <c r="K3789" s="16" t="n">
        <f aca="false">H3789*I3789</f>
        <v>98.79</v>
      </c>
      <c r="L3789" s="16" t="n">
        <f aca="false">H3789*J3789</f>
        <v>42</v>
      </c>
      <c r="M3789" s="16" t="n">
        <f aca="false">K3789-L3789</f>
        <v>56.79</v>
      </c>
      <c r="N3789" s="17" t="n">
        <f aca="false">IFERROR(M3789/K3789,0)</f>
        <v>0.574855754631036</v>
      </c>
    </row>
    <row r="3790" customFormat="false" ht="15" hidden="false" customHeight="false" outlineLevel="0" collapsed="false">
      <c r="A3790" s="15" t="n">
        <v>46181</v>
      </c>
      <c r="B3790" s="14" t="s">
        <v>59</v>
      </c>
      <c r="C3790" s="14" t="s">
        <v>60</v>
      </c>
      <c r="D3790" s="14" t="s">
        <v>61</v>
      </c>
      <c r="E3790" s="14" t="s">
        <v>45</v>
      </c>
      <c r="F3790" s="14" t="s">
        <v>72</v>
      </c>
      <c r="G3790" s="14" t="s">
        <v>73</v>
      </c>
      <c r="H3790" s="0" t="n">
        <v>4</v>
      </c>
      <c r="I3790" s="16" t="n">
        <v>49.02</v>
      </c>
      <c r="J3790" s="16" t="n">
        <v>21</v>
      </c>
      <c r="K3790" s="16" t="n">
        <f aca="false">H3790*I3790</f>
        <v>196.08</v>
      </c>
      <c r="L3790" s="16" t="n">
        <f aca="false">H3790*J3790</f>
        <v>84</v>
      </c>
      <c r="M3790" s="16" t="n">
        <f aca="false">K3790-L3790</f>
        <v>112.08</v>
      </c>
      <c r="N3790" s="17" t="n">
        <f aca="false">IFERROR(M3790/K3790,0)</f>
        <v>0.571603427172583</v>
      </c>
    </row>
    <row r="3791" customFormat="false" ht="15" hidden="false" customHeight="false" outlineLevel="0" collapsed="false">
      <c r="A3791" s="15" t="n">
        <v>46181</v>
      </c>
      <c r="B3791" s="14" t="s">
        <v>69</v>
      </c>
      <c r="C3791" s="14" t="s">
        <v>70</v>
      </c>
      <c r="D3791" s="14" t="s">
        <v>71</v>
      </c>
      <c r="E3791" s="14" t="s">
        <v>53</v>
      </c>
      <c r="F3791" s="14" t="s">
        <v>84</v>
      </c>
      <c r="G3791" s="14" t="s">
        <v>85</v>
      </c>
      <c r="H3791" s="0" t="n">
        <v>4</v>
      </c>
      <c r="I3791" s="16" t="n">
        <v>24.36</v>
      </c>
      <c r="J3791" s="16" t="n">
        <v>9</v>
      </c>
      <c r="K3791" s="16" t="n">
        <f aca="false">H3791*I3791</f>
        <v>97.44</v>
      </c>
      <c r="L3791" s="16" t="n">
        <f aca="false">H3791*J3791</f>
        <v>36</v>
      </c>
      <c r="M3791" s="16" t="n">
        <f aca="false">K3791-L3791</f>
        <v>61.44</v>
      </c>
      <c r="N3791" s="17" t="n">
        <f aca="false">IFERROR(M3791/K3791,0)</f>
        <v>0.630541871921182</v>
      </c>
    </row>
    <row r="3792" customFormat="false" ht="15" hidden="false" customHeight="false" outlineLevel="0" collapsed="false">
      <c r="A3792" s="15" t="n">
        <v>46181</v>
      </c>
      <c r="B3792" s="14" t="s">
        <v>69</v>
      </c>
      <c r="C3792" s="14" t="s">
        <v>70</v>
      </c>
      <c r="D3792" s="14" t="s">
        <v>71</v>
      </c>
      <c r="E3792" s="14" t="s">
        <v>45</v>
      </c>
      <c r="F3792" s="14" t="s">
        <v>72</v>
      </c>
      <c r="G3792" s="14" t="s">
        <v>73</v>
      </c>
      <c r="H3792" s="0" t="n">
        <v>6</v>
      </c>
      <c r="I3792" s="16" t="n">
        <v>50.06</v>
      </c>
      <c r="J3792" s="16" t="n">
        <v>21</v>
      </c>
      <c r="K3792" s="16" t="n">
        <f aca="false">H3792*I3792</f>
        <v>300.36</v>
      </c>
      <c r="L3792" s="16" t="n">
        <f aca="false">H3792*J3792</f>
        <v>126</v>
      </c>
      <c r="M3792" s="16" t="n">
        <f aca="false">K3792-L3792</f>
        <v>174.36</v>
      </c>
      <c r="N3792" s="17" t="n">
        <f aca="false">IFERROR(M3792/K3792,0)</f>
        <v>0.58050339592489</v>
      </c>
    </row>
    <row r="3793" customFormat="false" ht="15" hidden="false" customHeight="false" outlineLevel="0" collapsed="false">
      <c r="A3793" s="15" t="n">
        <v>46181</v>
      </c>
      <c r="B3793" s="14" t="s">
        <v>81</v>
      </c>
      <c r="C3793" s="14" t="s">
        <v>82</v>
      </c>
      <c r="D3793" s="14" t="s">
        <v>83</v>
      </c>
      <c r="E3793" s="14" t="s">
        <v>64</v>
      </c>
      <c r="F3793" s="14" t="s">
        <v>90</v>
      </c>
      <c r="G3793" s="14" t="s">
        <v>91</v>
      </c>
      <c r="H3793" s="0" t="n">
        <v>2</v>
      </c>
      <c r="I3793" s="16" t="n">
        <v>11.92</v>
      </c>
      <c r="J3793" s="16" t="n">
        <v>3.5</v>
      </c>
      <c r="K3793" s="16" t="n">
        <f aca="false">H3793*I3793</f>
        <v>23.84</v>
      </c>
      <c r="L3793" s="16" t="n">
        <f aca="false">H3793*J3793</f>
        <v>7</v>
      </c>
      <c r="M3793" s="16" t="n">
        <f aca="false">K3793-L3793</f>
        <v>16.84</v>
      </c>
      <c r="N3793" s="17" t="n">
        <f aca="false">IFERROR(M3793/K3793,0)</f>
        <v>0.706375838926175</v>
      </c>
    </row>
    <row r="3794" customFormat="false" ht="15" hidden="false" customHeight="false" outlineLevel="0" collapsed="false">
      <c r="A3794" s="15" t="n">
        <v>46181</v>
      </c>
      <c r="B3794" s="14" t="s">
        <v>81</v>
      </c>
      <c r="C3794" s="14" t="s">
        <v>82</v>
      </c>
      <c r="D3794" s="14" t="s">
        <v>83</v>
      </c>
      <c r="E3794" s="14" t="s">
        <v>45</v>
      </c>
      <c r="F3794" s="14" t="s">
        <v>48</v>
      </c>
      <c r="G3794" s="14" t="s">
        <v>49</v>
      </c>
      <c r="H3794" s="0" t="n">
        <v>2</v>
      </c>
      <c r="I3794" s="16" t="n">
        <v>66.04</v>
      </c>
      <c r="J3794" s="16" t="n">
        <v>27.5</v>
      </c>
      <c r="K3794" s="16" t="n">
        <f aca="false">H3794*I3794</f>
        <v>132.08</v>
      </c>
      <c r="L3794" s="16" t="n">
        <f aca="false">H3794*J3794</f>
        <v>55</v>
      </c>
      <c r="M3794" s="16" t="n">
        <f aca="false">K3794-L3794</f>
        <v>77.08</v>
      </c>
      <c r="N3794" s="17" t="n">
        <f aca="false">IFERROR(M3794/K3794,0)</f>
        <v>0.58358570563295</v>
      </c>
    </row>
    <row r="3795" customFormat="false" ht="15" hidden="false" customHeight="false" outlineLevel="0" collapsed="false">
      <c r="A3795" s="15" t="n">
        <v>46181</v>
      </c>
      <c r="B3795" s="14" t="s">
        <v>81</v>
      </c>
      <c r="C3795" s="14" t="s">
        <v>82</v>
      </c>
      <c r="D3795" s="14" t="s">
        <v>83</v>
      </c>
      <c r="E3795" s="14" t="s">
        <v>64</v>
      </c>
      <c r="F3795" s="14" t="s">
        <v>96</v>
      </c>
      <c r="G3795" s="14" t="s">
        <v>97</v>
      </c>
      <c r="H3795" s="0" t="n">
        <v>2</v>
      </c>
      <c r="I3795" s="16" t="n">
        <v>57.25</v>
      </c>
      <c r="J3795" s="16" t="n">
        <v>24</v>
      </c>
      <c r="K3795" s="16" t="n">
        <f aca="false">H3795*I3795</f>
        <v>114.5</v>
      </c>
      <c r="L3795" s="16" t="n">
        <f aca="false">H3795*J3795</f>
        <v>48</v>
      </c>
      <c r="M3795" s="16" t="n">
        <f aca="false">K3795-L3795</f>
        <v>66.5</v>
      </c>
      <c r="N3795" s="17" t="n">
        <f aca="false">IFERROR(M3795/K3795,0)</f>
        <v>0.580786026200873</v>
      </c>
    </row>
    <row r="3796" customFormat="false" ht="15" hidden="false" customHeight="false" outlineLevel="0" collapsed="false">
      <c r="A3796" s="15" t="n">
        <v>46181</v>
      </c>
      <c r="B3796" s="14" t="s">
        <v>88</v>
      </c>
      <c r="C3796" s="14" t="s">
        <v>89</v>
      </c>
      <c r="D3796" s="14" t="s">
        <v>44</v>
      </c>
      <c r="E3796" s="14" t="s">
        <v>56</v>
      </c>
      <c r="F3796" s="14" t="s">
        <v>57</v>
      </c>
      <c r="G3796" s="14" t="s">
        <v>58</v>
      </c>
      <c r="H3796" s="0" t="n">
        <v>3</v>
      </c>
      <c r="I3796" s="16" t="n">
        <v>26.08</v>
      </c>
      <c r="J3796" s="16" t="n">
        <v>10</v>
      </c>
      <c r="K3796" s="16" t="n">
        <f aca="false">H3796*I3796</f>
        <v>78.24</v>
      </c>
      <c r="L3796" s="16" t="n">
        <f aca="false">H3796*J3796</f>
        <v>30</v>
      </c>
      <c r="M3796" s="16" t="n">
        <f aca="false">K3796-L3796</f>
        <v>48.24</v>
      </c>
      <c r="N3796" s="17" t="n">
        <f aca="false">IFERROR(M3796/K3796,0)</f>
        <v>0.616564417177914</v>
      </c>
    </row>
    <row r="3797" customFormat="false" ht="15" hidden="false" customHeight="false" outlineLevel="0" collapsed="false">
      <c r="A3797" s="15" t="n">
        <v>46181</v>
      </c>
      <c r="B3797" s="14" t="s">
        <v>88</v>
      </c>
      <c r="C3797" s="14" t="s">
        <v>89</v>
      </c>
      <c r="D3797" s="14" t="s">
        <v>44</v>
      </c>
      <c r="E3797" s="14" t="s">
        <v>76</v>
      </c>
      <c r="F3797" s="14" t="s">
        <v>100</v>
      </c>
      <c r="G3797" s="14" t="s">
        <v>101</v>
      </c>
      <c r="H3797" s="0" t="n">
        <v>10</v>
      </c>
      <c r="I3797" s="16" t="n">
        <v>15.02</v>
      </c>
      <c r="J3797" s="16" t="n">
        <v>5.5</v>
      </c>
      <c r="K3797" s="16" t="n">
        <f aca="false">H3797*I3797</f>
        <v>150.2</v>
      </c>
      <c r="L3797" s="16" t="n">
        <f aca="false">H3797*J3797</f>
        <v>55</v>
      </c>
      <c r="M3797" s="16" t="n">
        <f aca="false">K3797-L3797</f>
        <v>95.2</v>
      </c>
      <c r="N3797" s="17" t="n">
        <f aca="false">IFERROR(M3797/K3797,0)</f>
        <v>0.633821571238349</v>
      </c>
    </row>
    <row r="3798" customFormat="false" ht="15" hidden="false" customHeight="false" outlineLevel="0" collapsed="false">
      <c r="A3798" s="15" t="n">
        <v>46181</v>
      </c>
      <c r="B3798" s="14" t="s">
        <v>88</v>
      </c>
      <c r="C3798" s="14" t="s">
        <v>89</v>
      </c>
      <c r="D3798" s="14" t="s">
        <v>44</v>
      </c>
      <c r="E3798" s="14" t="s">
        <v>64</v>
      </c>
      <c r="F3798" s="14" t="s">
        <v>96</v>
      </c>
      <c r="G3798" s="14" t="s">
        <v>97</v>
      </c>
      <c r="H3798" s="0" t="n">
        <v>4</v>
      </c>
      <c r="I3798" s="16" t="n">
        <v>58.42</v>
      </c>
      <c r="J3798" s="16" t="n">
        <v>24</v>
      </c>
      <c r="K3798" s="16" t="n">
        <f aca="false">H3798*I3798</f>
        <v>233.68</v>
      </c>
      <c r="L3798" s="16" t="n">
        <f aca="false">H3798*J3798</f>
        <v>96</v>
      </c>
      <c r="M3798" s="16" t="n">
        <f aca="false">K3798-L3798</f>
        <v>137.68</v>
      </c>
      <c r="N3798" s="17" t="n">
        <f aca="false">IFERROR(M3798/K3798,0)</f>
        <v>0.589181787059226</v>
      </c>
    </row>
    <row r="3799" customFormat="false" ht="15" hidden="false" customHeight="false" outlineLevel="0" collapsed="false">
      <c r="A3799" s="15" t="n">
        <v>46181</v>
      </c>
      <c r="B3799" s="14" t="s">
        <v>88</v>
      </c>
      <c r="C3799" s="14" t="s">
        <v>89</v>
      </c>
      <c r="D3799" s="14" t="s">
        <v>44</v>
      </c>
      <c r="E3799" s="14" t="s">
        <v>56</v>
      </c>
      <c r="F3799" s="14" t="s">
        <v>86</v>
      </c>
      <c r="G3799" s="14" t="s">
        <v>87</v>
      </c>
      <c r="H3799" s="0" t="n">
        <v>6</v>
      </c>
      <c r="I3799" s="16" t="n">
        <v>14.29</v>
      </c>
      <c r="J3799" s="16" t="n">
        <v>5</v>
      </c>
      <c r="K3799" s="16" t="n">
        <f aca="false">H3799*I3799</f>
        <v>85.74</v>
      </c>
      <c r="L3799" s="16" t="n">
        <f aca="false">H3799*J3799</f>
        <v>30</v>
      </c>
      <c r="M3799" s="16" t="n">
        <f aca="false">K3799-L3799</f>
        <v>55.74</v>
      </c>
      <c r="N3799" s="17" t="n">
        <f aca="false">IFERROR(M3799/K3799,0)</f>
        <v>0.650104968509447</v>
      </c>
    </row>
    <row r="3800" customFormat="false" ht="15" hidden="false" customHeight="false" outlineLevel="0" collapsed="false">
      <c r="A3800" s="15" t="n">
        <v>46182</v>
      </c>
      <c r="B3800" s="14" t="s">
        <v>42</v>
      </c>
      <c r="C3800" s="14" t="s">
        <v>43</v>
      </c>
      <c r="D3800" s="14" t="s">
        <v>44</v>
      </c>
      <c r="E3800" s="14" t="s">
        <v>53</v>
      </c>
      <c r="F3800" s="14" t="s">
        <v>84</v>
      </c>
      <c r="G3800" s="14" t="s">
        <v>85</v>
      </c>
      <c r="H3800" s="0" t="n">
        <v>2</v>
      </c>
      <c r="I3800" s="16" t="n">
        <v>23.99</v>
      </c>
      <c r="J3800" s="16" t="n">
        <v>9</v>
      </c>
      <c r="K3800" s="16" t="n">
        <f aca="false">H3800*I3800</f>
        <v>47.98</v>
      </c>
      <c r="L3800" s="16" t="n">
        <f aca="false">H3800*J3800</f>
        <v>18</v>
      </c>
      <c r="M3800" s="16" t="n">
        <f aca="false">K3800-L3800</f>
        <v>29.98</v>
      </c>
      <c r="N3800" s="17" t="n">
        <f aca="false">IFERROR(M3800/K3800,0)</f>
        <v>0.624843684868695</v>
      </c>
    </row>
    <row r="3801" customFormat="false" ht="15" hidden="false" customHeight="false" outlineLevel="0" collapsed="false">
      <c r="A3801" s="15" t="n">
        <v>46182</v>
      </c>
      <c r="B3801" s="14" t="s">
        <v>42</v>
      </c>
      <c r="C3801" s="14" t="s">
        <v>43</v>
      </c>
      <c r="D3801" s="14" t="s">
        <v>44</v>
      </c>
      <c r="E3801" s="14" t="s">
        <v>56</v>
      </c>
      <c r="F3801" s="14" t="s">
        <v>57</v>
      </c>
      <c r="G3801" s="14" t="s">
        <v>58</v>
      </c>
      <c r="H3801" s="0" t="n">
        <v>9</v>
      </c>
      <c r="I3801" s="16" t="n">
        <v>26.31</v>
      </c>
      <c r="J3801" s="16" t="n">
        <v>10</v>
      </c>
      <c r="K3801" s="16" t="n">
        <f aca="false">H3801*I3801</f>
        <v>236.79</v>
      </c>
      <c r="L3801" s="16" t="n">
        <f aca="false">H3801*J3801</f>
        <v>90</v>
      </c>
      <c r="M3801" s="16" t="n">
        <f aca="false">K3801-L3801</f>
        <v>146.79</v>
      </c>
      <c r="N3801" s="17" t="n">
        <f aca="false">IFERROR(M3801/K3801,0)</f>
        <v>0.619916381603953</v>
      </c>
    </row>
    <row r="3802" customFormat="false" ht="15" hidden="false" customHeight="false" outlineLevel="0" collapsed="false">
      <c r="A3802" s="15" t="n">
        <v>46182</v>
      </c>
      <c r="B3802" s="14" t="s">
        <v>42</v>
      </c>
      <c r="C3802" s="14" t="s">
        <v>43</v>
      </c>
      <c r="D3802" s="14" t="s">
        <v>44</v>
      </c>
      <c r="E3802" s="14" t="s">
        <v>45</v>
      </c>
      <c r="F3802" s="14" t="s">
        <v>72</v>
      </c>
      <c r="G3802" s="14" t="s">
        <v>73</v>
      </c>
      <c r="H3802" s="0" t="n">
        <v>10</v>
      </c>
      <c r="I3802" s="16" t="n">
        <v>50.75</v>
      </c>
      <c r="J3802" s="16" t="n">
        <v>21</v>
      </c>
      <c r="K3802" s="16" t="n">
        <f aca="false">H3802*I3802</f>
        <v>507.5</v>
      </c>
      <c r="L3802" s="16" t="n">
        <f aca="false">H3802*J3802</f>
        <v>210</v>
      </c>
      <c r="M3802" s="16" t="n">
        <f aca="false">K3802-L3802</f>
        <v>297.5</v>
      </c>
      <c r="N3802" s="17" t="n">
        <f aca="false">IFERROR(M3802/K3802,0)</f>
        <v>0.586206896551724</v>
      </c>
    </row>
    <row r="3803" customFormat="false" ht="15" hidden="false" customHeight="false" outlineLevel="0" collapsed="false">
      <c r="A3803" s="15" t="n">
        <v>46182</v>
      </c>
      <c r="B3803" s="14" t="s">
        <v>42</v>
      </c>
      <c r="C3803" s="14" t="s">
        <v>43</v>
      </c>
      <c r="D3803" s="14" t="s">
        <v>44</v>
      </c>
      <c r="E3803" s="14" t="s">
        <v>64</v>
      </c>
      <c r="F3803" s="14" t="s">
        <v>90</v>
      </c>
      <c r="G3803" s="14" t="s">
        <v>91</v>
      </c>
      <c r="H3803" s="0" t="n">
        <v>5</v>
      </c>
      <c r="I3803" s="16" t="n">
        <v>11.9</v>
      </c>
      <c r="J3803" s="16" t="n">
        <v>3.5</v>
      </c>
      <c r="K3803" s="16" t="n">
        <f aca="false">H3803*I3803</f>
        <v>59.5</v>
      </c>
      <c r="L3803" s="16" t="n">
        <f aca="false">H3803*J3803</f>
        <v>17.5</v>
      </c>
      <c r="M3803" s="16" t="n">
        <f aca="false">K3803-L3803</f>
        <v>42</v>
      </c>
      <c r="N3803" s="17" t="n">
        <f aca="false">IFERROR(M3803/K3803,0)</f>
        <v>0.705882352941177</v>
      </c>
    </row>
    <row r="3804" customFormat="false" ht="15" hidden="false" customHeight="false" outlineLevel="0" collapsed="false">
      <c r="A3804" s="15" t="n">
        <v>46182</v>
      </c>
      <c r="B3804" s="14" t="s">
        <v>50</v>
      </c>
      <c r="C3804" s="14" t="s">
        <v>51</v>
      </c>
      <c r="D3804" s="14" t="s">
        <v>52</v>
      </c>
      <c r="E3804" s="14" t="s">
        <v>53</v>
      </c>
      <c r="F3804" s="14" t="s">
        <v>74</v>
      </c>
      <c r="G3804" s="14" t="s">
        <v>75</v>
      </c>
      <c r="H3804" s="0" t="n">
        <v>9</v>
      </c>
      <c r="I3804" s="16" t="n">
        <v>87.32</v>
      </c>
      <c r="J3804" s="16" t="n">
        <v>38</v>
      </c>
      <c r="K3804" s="16" t="n">
        <f aca="false">H3804*I3804</f>
        <v>785.88</v>
      </c>
      <c r="L3804" s="16" t="n">
        <f aca="false">H3804*J3804</f>
        <v>342</v>
      </c>
      <c r="M3804" s="16" t="n">
        <f aca="false">K3804-L3804</f>
        <v>443.88</v>
      </c>
      <c r="N3804" s="17" t="n">
        <f aca="false">IFERROR(M3804/K3804,0)</f>
        <v>0.56481905634448</v>
      </c>
    </row>
    <row r="3805" customFormat="false" ht="15" hidden="false" customHeight="false" outlineLevel="0" collapsed="false">
      <c r="A3805" s="15" t="n">
        <v>46182</v>
      </c>
      <c r="B3805" s="14" t="s">
        <v>50</v>
      </c>
      <c r="C3805" s="14" t="s">
        <v>51</v>
      </c>
      <c r="D3805" s="14" t="s">
        <v>52</v>
      </c>
      <c r="E3805" s="14" t="s">
        <v>64</v>
      </c>
      <c r="F3805" s="14" t="s">
        <v>96</v>
      </c>
      <c r="G3805" s="14" t="s">
        <v>97</v>
      </c>
      <c r="H3805" s="0" t="n">
        <v>2</v>
      </c>
      <c r="I3805" s="16" t="n">
        <v>57.39</v>
      </c>
      <c r="J3805" s="16" t="n">
        <v>24</v>
      </c>
      <c r="K3805" s="16" t="n">
        <f aca="false">H3805*I3805</f>
        <v>114.78</v>
      </c>
      <c r="L3805" s="16" t="n">
        <f aca="false">H3805*J3805</f>
        <v>48</v>
      </c>
      <c r="M3805" s="16" t="n">
        <f aca="false">K3805-L3805</f>
        <v>66.78</v>
      </c>
      <c r="N3805" s="17" t="n">
        <f aca="false">IFERROR(M3805/K3805,0)</f>
        <v>0.581808677469943</v>
      </c>
    </row>
    <row r="3806" customFormat="false" ht="15" hidden="false" customHeight="false" outlineLevel="0" collapsed="false">
      <c r="A3806" s="15" t="n">
        <v>46182</v>
      </c>
      <c r="B3806" s="14" t="s">
        <v>50</v>
      </c>
      <c r="C3806" s="14" t="s">
        <v>51</v>
      </c>
      <c r="D3806" s="14" t="s">
        <v>52</v>
      </c>
      <c r="E3806" s="14" t="s">
        <v>53</v>
      </c>
      <c r="F3806" s="14" t="s">
        <v>54</v>
      </c>
      <c r="G3806" s="14" t="s">
        <v>55</v>
      </c>
      <c r="H3806" s="0" t="n">
        <v>6</v>
      </c>
      <c r="I3806" s="16" t="n">
        <v>53.37</v>
      </c>
      <c r="J3806" s="16" t="n">
        <v>22</v>
      </c>
      <c r="K3806" s="16" t="n">
        <f aca="false">H3806*I3806</f>
        <v>320.22</v>
      </c>
      <c r="L3806" s="16" t="n">
        <f aca="false">H3806*J3806</f>
        <v>132</v>
      </c>
      <c r="M3806" s="16" t="n">
        <f aca="false">K3806-L3806</f>
        <v>188.22</v>
      </c>
      <c r="N3806" s="17" t="n">
        <f aca="false">IFERROR(M3806/K3806,0)</f>
        <v>0.587783398913247</v>
      </c>
    </row>
    <row r="3807" customFormat="false" ht="15" hidden="false" customHeight="false" outlineLevel="0" collapsed="false">
      <c r="A3807" s="15" t="n">
        <v>46182</v>
      </c>
      <c r="B3807" s="14" t="s">
        <v>50</v>
      </c>
      <c r="C3807" s="14" t="s">
        <v>51</v>
      </c>
      <c r="D3807" s="14" t="s">
        <v>52</v>
      </c>
      <c r="E3807" s="14" t="s">
        <v>76</v>
      </c>
      <c r="F3807" s="14" t="s">
        <v>77</v>
      </c>
      <c r="G3807" s="14" t="s">
        <v>78</v>
      </c>
      <c r="H3807" s="0" t="n">
        <v>3</v>
      </c>
      <c r="I3807" s="16" t="n">
        <v>41.97</v>
      </c>
      <c r="J3807" s="16" t="n">
        <v>15</v>
      </c>
      <c r="K3807" s="16" t="n">
        <f aca="false">H3807*I3807</f>
        <v>125.91</v>
      </c>
      <c r="L3807" s="16" t="n">
        <f aca="false">H3807*J3807</f>
        <v>45</v>
      </c>
      <c r="M3807" s="16" t="n">
        <f aca="false">K3807-L3807</f>
        <v>80.91</v>
      </c>
      <c r="N3807" s="17" t="n">
        <f aca="false">IFERROR(M3807/K3807,0)</f>
        <v>0.642601858470336</v>
      </c>
    </row>
    <row r="3808" customFormat="false" ht="15" hidden="false" customHeight="false" outlineLevel="0" collapsed="false">
      <c r="A3808" s="15" t="n">
        <v>46182</v>
      </c>
      <c r="B3808" s="14" t="s">
        <v>50</v>
      </c>
      <c r="C3808" s="14" t="s">
        <v>51</v>
      </c>
      <c r="D3808" s="14" t="s">
        <v>52</v>
      </c>
      <c r="E3808" s="14" t="s">
        <v>76</v>
      </c>
      <c r="F3808" s="14" t="s">
        <v>79</v>
      </c>
      <c r="G3808" s="14" t="s">
        <v>80</v>
      </c>
      <c r="H3808" s="0" t="n">
        <v>8</v>
      </c>
      <c r="I3808" s="16" t="n">
        <v>28.89</v>
      </c>
      <c r="J3808" s="16" t="n">
        <v>11</v>
      </c>
      <c r="K3808" s="16" t="n">
        <f aca="false">H3808*I3808</f>
        <v>231.12</v>
      </c>
      <c r="L3808" s="16" t="n">
        <f aca="false">H3808*J3808</f>
        <v>88</v>
      </c>
      <c r="M3808" s="16" t="n">
        <f aca="false">K3808-L3808</f>
        <v>143.12</v>
      </c>
      <c r="N3808" s="17" t="n">
        <f aca="false">IFERROR(M3808/K3808,0)</f>
        <v>0.619245413637937</v>
      </c>
    </row>
    <row r="3809" customFormat="false" ht="15" hidden="false" customHeight="false" outlineLevel="0" collapsed="false">
      <c r="A3809" s="15" t="n">
        <v>46182</v>
      </c>
      <c r="B3809" s="14" t="s">
        <v>50</v>
      </c>
      <c r="C3809" s="14" t="s">
        <v>51</v>
      </c>
      <c r="D3809" s="14" t="s">
        <v>52</v>
      </c>
      <c r="E3809" s="14" t="s">
        <v>64</v>
      </c>
      <c r="F3809" s="14" t="s">
        <v>65</v>
      </c>
      <c r="G3809" s="14" t="s">
        <v>66</v>
      </c>
      <c r="H3809" s="0" t="n">
        <v>6</v>
      </c>
      <c r="I3809" s="16" t="n">
        <v>75.24</v>
      </c>
      <c r="J3809" s="16" t="n">
        <v>34</v>
      </c>
      <c r="K3809" s="16" t="n">
        <f aca="false">H3809*I3809</f>
        <v>451.44</v>
      </c>
      <c r="L3809" s="16" t="n">
        <f aca="false">H3809*J3809</f>
        <v>204</v>
      </c>
      <c r="M3809" s="16" t="n">
        <f aca="false">K3809-L3809</f>
        <v>247.44</v>
      </c>
      <c r="N3809" s="17" t="n">
        <f aca="false">IFERROR(M3809/K3809,0)</f>
        <v>0.548112706007443</v>
      </c>
    </row>
    <row r="3810" customFormat="false" ht="15" hidden="false" customHeight="false" outlineLevel="0" collapsed="false">
      <c r="A3810" s="15" t="n">
        <v>46182</v>
      </c>
      <c r="B3810" s="14" t="s">
        <v>59</v>
      </c>
      <c r="C3810" s="14" t="s">
        <v>60</v>
      </c>
      <c r="D3810" s="14" t="s">
        <v>61</v>
      </c>
      <c r="E3810" s="14" t="s">
        <v>45</v>
      </c>
      <c r="F3810" s="14" t="s">
        <v>62</v>
      </c>
      <c r="G3810" s="14" t="s">
        <v>63</v>
      </c>
      <c r="H3810" s="0" t="n">
        <v>2</v>
      </c>
      <c r="I3810" s="16" t="n">
        <v>17.97</v>
      </c>
      <c r="J3810" s="16" t="n">
        <v>6.5</v>
      </c>
      <c r="K3810" s="16" t="n">
        <f aca="false">H3810*I3810</f>
        <v>35.94</v>
      </c>
      <c r="L3810" s="16" t="n">
        <f aca="false">H3810*J3810</f>
        <v>13</v>
      </c>
      <c r="M3810" s="16" t="n">
        <f aca="false">K3810-L3810</f>
        <v>22.94</v>
      </c>
      <c r="N3810" s="17" t="n">
        <f aca="false">IFERROR(M3810/K3810,0)</f>
        <v>0.638286032276016</v>
      </c>
    </row>
    <row r="3811" customFormat="false" ht="15" hidden="false" customHeight="false" outlineLevel="0" collapsed="false">
      <c r="A3811" s="15" t="n">
        <v>46182</v>
      </c>
      <c r="B3811" s="14" t="s">
        <v>59</v>
      </c>
      <c r="C3811" s="14" t="s">
        <v>60</v>
      </c>
      <c r="D3811" s="14" t="s">
        <v>61</v>
      </c>
      <c r="E3811" s="14" t="s">
        <v>53</v>
      </c>
      <c r="F3811" s="14" t="s">
        <v>92</v>
      </c>
      <c r="G3811" s="14" t="s">
        <v>93</v>
      </c>
      <c r="H3811" s="0" t="n">
        <v>8</v>
      </c>
      <c r="I3811" s="16" t="n">
        <v>119.7</v>
      </c>
      <c r="J3811" s="16" t="n">
        <v>52</v>
      </c>
      <c r="K3811" s="16" t="n">
        <f aca="false">H3811*I3811</f>
        <v>957.6</v>
      </c>
      <c r="L3811" s="16" t="n">
        <f aca="false">H3811*J3811</f>
        <v>416</v>
      </c>
      <c r="M3811" s="16" t="n">
        <f aca="false">K3811-L3811</f>
        <v>541.6</v>
      </c>
      <c r="N3811" s="17" t="n">
        <f aca="false">IFERROR(M3811/K3811,0)</f>
        <v>0.565580618212197</v>
      </c>
    </row>
    <row r="3812" customFormat="false" ht="15" hidden="false" customHeight="false" outlineLevel="0" collapsed="false">
      <c r="A3812" s="15" t="n">
        <v>46182</v>
      </c>
      <c r="B3812" s="14" t="s">
        <v>59</v>
      </c>
      <c r="C3812" s="14" t="s">
        <v>60</v>
      </c>
      <c r="D3812" s="14" t="s">
        <v>61</v>
      </c>
      <c r="E3812" s="14" t="s">
        <v>56</v>
      </c>
      <c r="F3812" s="14" t="s">
        <v>98</v>
      </c>
      <c r="G3812" s="14" t="s">
        <v>99</v>
      </c>
      <c r="H3812" s="0" t="n">
        <v>4</v>
      </c>
      <c r="I3812" s="16" t="n">
        <v>20.65</v>
      </c>
      <c r="J3812" s="16" t="n">
        <v>8</v>
      </c>
      <c r="K3812" s="16" t="n">
        <f aca="false">H3812*I3812</f>
        <v>82.6</v>
      </c>
      <c r="L3812" s="16" t="n">
        <f aca="false">H3812*J3812</f>
        <v>32</v>
      </c>
      <c r="M3812" s="16" t="n">
        <f aca="false">K3812-L3812</f>
        <v>50.6</v>
      </c>
      <c r="N3812" s="17" t="n">
        <f aca="false">IFERROR(M3812/K3812,0)</f>
        <v>0.612590799031477</v>
      </c>
    </row>
    <row r="3813" customFormat="false" ht="15" hidden="false" customHeight="false" outlineLevel="0" collapsed="false">
      <c r="A3813" s="15" t="n">
        <v>46182</v>
      </c>
      <c r="B3813" s="14" t="s">
        <v>69</v>
      </c>
      <c r="C3813" s="14" t="s">
        <v>70</v>
      </c>
      <c r="D3813" s="14" t="s">
        <v>71</v>
      </c>
      <c r="E3813" s="14" t="s">
        <v>56</v>
      </c>
      <c r="F3813" s="14" t="s">
        <v>67</v>
      </c>
      <c r="G3813" s="14" t="s">
        <v>68</v>
      </c>
      <c r="H3813" s="0" t="n">
        <v>1</v>
      </c>
      <c r="I3813" s="16" t="n">
        <v>37.86</v>
      </c>
      <c r="J3813" s="16" t="n">
        <v>15</v>
      </c>
      <c r="K3813" s="16" t="n">
        <f aca="false">H3813*I3813</f>
        <v>37.86</v>
      </c>
      <c r="L3813" s="16" t="n">
        <f aca="false">H3813*J3813</f>
        <v>15</v>
      </c>
      <c r="M3813" s="16" t="n">
        <f aca="false">K3813-L3813</f>
        <v>22.86</v>
      </c>
      <c r="N3813" s="17" t="n">
        <f aca="false">IFERROR(M3813/K3813,0)</f>
        <v>0.603803486529319</v>
      </c>
    </row>
    <row r="3814" customFormat="false" ht="15" hidden="false" customHeight="false" outlineLevel="0" collapsed="false">
      <c r="A3814" s="15" t="n">
        <v>46182</v>
      </c>
      <c r="B3814" s="14" t="s">
        <v>69</v>
      </c>
      <c r="C3814" s="14" t="s">
        <v>70</v>
      </c>
      <c r="D3814" s="14" t="s">
        <v>71</v>
      </c>
      <c r="E3814" s="14" t="s">
        <v>53</v>
      </c>
      <c r="F3814" s="14" t="s">
        <v>74</v>
      </c>
      <c r="G3814" s="14" t="s">
        <v>75</v>
      </c>
      <c r="H3814" s="0" t="n">
        <v>7</v>
      </c>
      <c r="I3814" s="16" t="n">
        <v>87.56</v>
      </c>
      <c r="J3814" s="16" t="n">
        <v>38</v>
      </c>
      <c r="K3814" s="16" t="n">
        <f aca="false">H3814*I3814</f>
        <v>612.92</v>
      </c>
      <c r="L3814" s="16" t="n">
        <f aca="false">H3814*J3814</f>
        <v>266</v>
      </c>
      <c r="M3814" s="16" t="n">
        <f aca="false">K3814-L3814</f>
        <v>346.92</v>
      </c>
      <c r="N3814" s="17" t="n">
        <f aca="false">IFERROR(M3814/K3814,0)</f>
        <v>0.566011877569667</v>
      </c>
    </row>
    <row r="3815" customFormat="false" ht="15" hidden="false" customHeight="false" outlineLevel="0" collapsed="false">
      <c r="A3815" s="15" t="n">
        <v>46182</v>
      </c>
      <c r="B3815" s="14" t="s">
        <v>69</v>
      </c>
      <c r="C3815" s="14" t="s">
        <v>70</v>
      </c>
      <c r="D3815" s="14" t="s">
        <v>71</v>
      </c>
      <c r="E3815" s="14" t="s">
        <v>56</v>
      </c>
      <c r="F3815" s="14" t="s">
        <v>86</v>
      </c>
      <c r="G3815" s="14" t="s">
        <v>87</v>
      </c>
      <c r="H3815" s="0" t="n">
        <v>6</v>
      </c>
      <c r="I3815" s="16" t="n">
        <v>14.97</v>
      </c>
      <c r="J3815" s="16" t="n">
        <v>5</v>
      </c>
      <c r="K3815" s="16" t="n">
        <f aca="false">H3815*I3815</f>
        <v>89.82</v>
      </c>
      <c r="L3815" s="16" t="n">
        <f aca="false">H3815*J3815</f>
        <v>30</v>
      </c>
      <c r="M3815" s="16" t="n">
        <f aca="false">K3815-L3815</f>
        <v>59.82</v>
      </c>
      <c r="N3815" s="17" t="n">
        <f aca="false">IFERROR(M3815/K3815,0)</f>
        <v>0.665998663994656</v>
      </c>
    </row>
    <row r="3816" customFormat="false" ht="15" hidden="false" customHeight="false" outlineLevel="0" collapsed="false">
      <c r="A3816" s="15" t="n">
        <v>46182</v>
      </c>
      <c r="B3816" s="14" t="s">
        <v>69</v>
      </c>
      <c r="C3816" s="14" t="s">
        <v>70</v>
      </c>
      <c r="D3816" s="14" t="s">
        <v>71</v>
      </c>
      <c r="E3816" s="14" t="s">
        <v>56</v>
      </c>
      <c r="F3816" s="14" t="s">
        <v>67</v>
      </c>
      <c r="G3816" s="14" t="s">
        <v>68</v>
      </c>
      <c r="H3816" s="0" t="n">
        <v>4</v>
      </c>
      <c r="I3816" s="16" t="n">
        <v>36.93</v>
      </c>
      <c r="J3816" s="16" t="n">
        <v>15</v>
      </c>
      <c r="K3816" s="16" t="n">
        <f aca="false">H3816*I3816</f>
        <v>147.72</v>
      </c>
      <c r="L3816" s="16" t="n">
        <f aca="false">H3816*J3816</f>
        <v>60</v>
      </c>
      <c r="M3816" s="16" t="n">
        <f aca="false">K3816-L3816</f>
        <v>87.72</v>
      </c>
      <c r="N3816" s="17" t="n">
        <f aca="false">IFERROR(M3816/K3816,0)</f>
        <v>0.593826157595451</v>
      </c>
    </row>
    <row r="3817" customFormat="false" ht="15" hidden="false" customHeight="false" outlineLevel="0" collapsed="false">
      <c r="A3817" s="15" t="n">
        <v>46182</v>
      </c>
      <c r="B3817" s="14" t="s">
        <v>69</v>
      </c>
      <c r="C3817" s="14" t="s">
        <v>70</v>
      </c>
      <c r="D3817" s="14" t="s">
        <v>71</v>
      </c>
      <c r="E3817" s="14" t="s">
        <v>76</v>
      </c>
      <c r="F3817" s="14" t="s">
        <v>102</v>
      </c>
      <c r="G3817" s="14" t="s">
        <v>103</v>
      </c>
      <c r="H3817" s="0" t="n">
        <v>2</v>
      </c>
      <c r="I3817" s="16" t="n">
        <v>23.32</v>
      </c>
      <c r="J3817" s="16" t="n">
        <v>8.5</v>
      </c>
      <c r="K3817" s="16" t="n">
        <f aca="false">H3817*I3817</f>
        <v>46.64</v>
      </c>
      <c r="L3817" s="16" t="n">
        <f aca="false">H3817*J3817</f>
        <v>17</v>
      </c>
      <c r="M3817" s="16" t="n">
        <f aca="false">K3817-L3817</f>
        <v>29.64</v>
      </c>
      <c r="N3817" s="17" t="n">
        <f aca="false">IFERROR(M3817/K3817,0)</f>
        <v>0.635506003430532</v>
      </c>
    </row>
    <row r="3818" customFormat="false" ht="15" hidden="false" customHeight="false" outlineLevel="0" collapsed="false">
      <c r="A3818" s="15" t="n">
        <v>46182</v>
      </c>
      <c r="B3818" s="14" t="s">
        <v>69</v>
      </c>
      <c r="C3818" s="14" t="s">
        <v>70</v>
      </c>
      <c r="D3818" s="14" t="s">
        <v>71</v>
      </c>
      <c r="E3818" s="14" t="s">
        <v>76</v>
      </c>
      <c r="F3818" s="14" t="s">
        <v>102</v>
      </c>
      <c r="G3818" s="14" t="s">
        <v>103</v>
      </c>
      <c r="H3818" s="0" t="n">
        <v>8</v>
      </c>
      <c r="I3818" s="16" t="n">
        <v>23.28</v>
      </c>
      <c r="J3818" s="16" t="n">
        <v>8.5</v>
      </c>
      <c r="K3818" s="16" t="n">
        <f aca="false">H3818*I3818</f>
        <v>186.24</v>
      </c>
      <c r="L3818" s="16" t="n">
        <f aca="false">H3818*J3818</f>
        <v>68</v>
      </c>
      <c r="M3818" s="16" t="n">
        <f aca="false">K3818-L3818</f>
        <v>118.24</v>
      </c>
      <c r="N3818" s="17" t="n">
        <f aca="false">IFERROR(M3818/K3818,0)</f>
        <v>0.634879725085911</v>
      </c>
    </row>
    <row r="3819" customFormat="false" ht="15" hidden="false" customHeight="false" outlineLevel="0" collapsed="false">
      <c r="A3819" s="15" t="n">
        <v>46182</v>
      </c>
      <c r="B3819" s="14" t="s">
        <v>81</v>
      </c>
      <c r="C3819" s="14" t="s">
        <v>82</v>
      </c>
      <c r="D3819" s="14" t="s">
        <v>83</v>
      </c>
      <c r="E3819" s="14" t="s">
        <v>64</v>
      </c>
      <c r="F3819" s="14" t="s">
        <v>65</v>
      </c>
      <c r="G3819" s="14" t="s">
        <v>66</v>
      </c>
      <c r="H3819" s="0" t="n">
        <v>6</v>
      </c>
      <c r="I3819" s="16" t="n">
        <v>73.26</v>
      </c>
      <c r="J3819" s="16" t="n">
        <v>34</v>
      </c>
      <c r="K3819" s="16" t="n">
        <f aca="false">H3819*I3819</f>
        <v>439.56</v>
      </c>
      <c r="L3819" s="16" t="n">
        <f aca="false">H3819*J3819</f>
        <v>204</v>
      </c>
      <c r="M3819" s="16" t="n">
        <f aca="false">K3819-L3819</f>
        <v>235.56</v>
      </c>
      <c r="N3819" s="17" t="n">
        <f aca="false">IFERROR(M3819/K3819,0)</f>
        <v>0.535899535899536</v>
      </c>
    </row>
    <row r="3820" customFormat="false" ht="15" hidden="false" customHeight="false" outlineLevel="0" collapsed="false">
      <c r="A3820" s="15" t="n">
        <v>46182</v>
      </c>
      <c r="B3820" s="14" t="s">
        <v>81</v>
      </c>
      <c r="C3820" s="14" t="s">
        <v>82</v>
      </c>
      <c r="D3820" s="14" t="s">
        <v>83</v>
      </c>
      <c r="E3820" s="14" t="s">
        <v>53</v>
      </c>
      <c r="F3820" s="14" t="s">
        <v>54</v>
      </c>
      <c r="G3820" s="14" t="s">
        <v>55</v>
      </c>
      <c r="H3820" s="0" t="n">
        <v>7</v>
      </c>
      <c r="I3820" s="16" t="n">
        <v>52.57</v>
      </c>
      <c r="J3820" s="16" t="n">
        <v>22</v>
      </c>
      <c r="K3820" s="16" t="n">
        <f aca="false">H3820*I3820</f>
        <v>367.99</v>
      </c>
      <c r="L3820" s="16" t="n">
        <f aca="false">H3820*J3820</f>
        <v>154</v>
      </c>
      <c r="M3820" s="16" t="n">
        <f aca="false">K3820-L3820</f>
        <v>213.99</v>
      </c>
      <c r="N3820" s="17" t="n">
        <f aca="false">IFERROR(M3820/K3820,0)</f>
        <v>0.581510367129542</v>
      </c>
    </row>
    <row r="3821" customFormat="false" ht="15" hidden="false" customHeight="false" outlineLevel="0" collapsed="false">
      <c r="A3821" s="15" t="n">
        <v>46182</v>
      </c>
      <c r="B3821" s="14" t="s">
        <v>81</v>
      </c>
      <c r="C3821" s="14" t="s">
        <v>82</v>
      </c>
      <c r="D3821" s="14" t="s">
        <v>83</v>
      </c>
      <c r="E3821" s="14" t="s">
        <v>64</v>
      </c>
      <c r="F3821" s="14" t="s">
        <v>96</v>
      </c>
      <c r="G3821" s="14" t="s">
        <v>97</v>
      </c>
      <c r="H3821" s="0" t="n">
        <v>2</v>
      </c>
      <c r="I3821" s="16" t="n">
        <v>54.4</v>
      </c>
      <c r="J3821" s="16" t="n">
        <v>24</v>
      </c>
      <c r="K3821" s="16" t="n">
        <f aca="false">H3821*I3821</f>
        <v>108.8</v>
      </c>
      <c r="L3821" s="16" t="n">
        <f aca="false">H3821*J3821</f>
        <v>48</v>
      </c>
      <c r="M3821" s="16" t="n">
        <f aca="false">K3821-L3821</f>
        <v>60.8</v>
      </c>
      <c r="N3821" s="17" t="n">
        <f aca="false">IFERROR(M3821/K3821,0)</f>
        <v>0.558823529411765</v>
      </c>
    </row>
    <row r="3822" customFormat="false" ht="15" hidden="false" customHeight="false" outlineLevel="0" collapsed="false">
      <c r="A3822" s="15" t="n">
        <v>46182</v>
      </c>
      <c r="B3822" s="14" t="s">
        <v>81</v>
      </c>
      <c r="C3822" s="14" t="s">
        <v>82</v>
      </c>
      <c r="D3822" s="14" t="s">
        <v>83</v>
      </c>
      <c r="E3822" s="14" t="s">
        <v>56</v>
      </c>
      <c r="F3822" s="14" t="s">
        <v>57</v>
      </c>
      <c r="G3822" s="14" t="s">
        <v>58</v>
      </c>
      <c r="H3822" s="0" t="n">
        <v>4</v>
      </c>
      <c r="I3822" s="16" t="n">
        <v>25.66</v>
      </c>
      <c r="J3822" s="16" t="n">
        <v>10</v>
      </c>
      <c r="K3822" s="16" t="n">
        <f aca="false">H3822*I3822</f>
        <v>102.64</v>
      </c>
      <c r="L3822" s="16" t="n">
        <f aca="false">H3822*J3822</f>
        <v>40</v>
      </c>
      <c r="M3822" s="16" t="n">
        <f aca="false">K3822-L3822</f>
        <v>62.64</v>
      </c>
      <c r="N3822" s="17" t="n">
        <f aca="false">IFERROR(M3822/K3822,0)</f>
        <v>0.610288386593921</v>
      </c>
    </row>
    <row r="3823" customFormat="false" ht="15" hidden="false" customHeight="false" outlineLevel="0" collapsed="false">
      <c r="A3823" s="15" t="n">
        <v>46182</v>
      </c>
      <c r="B3823" s="14" t="s">
        <v>81</v>
      </c>
      <c r="C3823" s="14" t="s">
        <v>82</v>
      </c>
      <c r="D3823" s="14" t="s">
        <v>83</v>
      </c>
      <c r="E3823" s="14" t="s">
        <v>45</v>
      </c>
      <c r="F3823" s="14" t="s">
        <v>48</v>
      </c>
      <c r="G3823" s="14" t="s">
        <v>49</v>
      </c>
      <c r="H3823" s="0" t="n">
        <v>6</v>
      </c>
      <c r="I3823" s="16" t="n">
        <v>65.25</v>
      </c>
      <c r="J3823" s="16" t="n">
        <v>27.5</v>
      </c>
      <c r="K3823" s="16" t="n">
        <f aca="false">H3823*I3823</f>
        <v>391.5</v>
      </c>
      <c r="L3823" s="16" t="n">
        <f aca="false">H3823*J3823</f>
        <v>165</v>
      </c>
      <c r="M3823" s="16" t="n">
        <f aca="false">K3823-L3823</f>
        <v>226.5</v>
      </c>
      <c r="N3823" s="17" t="n">
        <f aca="false">IFERROR(M3823/K3823,0)</f>
        <v>0.578544061302682</v>
      </c>
    </row>
    <row r="3824" customFormat="false" ht="15" hidden="false" customHeight="false" outlineLevel="0" collapsed="false">
      <c r="A3824" s="15" t="n">
        <v>46182</v>
      </c>
      <c r="B3824" s="14" t="s">
        <v>81</v>
      </c>
      <c r="C3824" s="14" t="s">
        <v>82</v>
      </c>
      <c r="D3824" s="14" t="s">
        <v>83</v>
      </c>
      <c r="E3824" s="14" t="s">
        <v>56</v>
      </c>
      <c r="F3824" s="14" t="s">
        <v>57</v>
      </c>
      <c r="G3824" s="14" t="s">
        <v>58</v>
      </c>
      <c r="H3824" s="0" t="n">
        <v>5</v>
      </c>
      <c r="I3824" s="16" t="n">
        <v>26.01</v>
      </c>
      <c r="J3824" s="16" t="n">
        <v>10</v>
      </c>
      <c r="K3824" s="16" t="n">
        <f aca="false">H3824*I3824</f>
        <v>130.05</v>
      </c>
      <c r="L3824" s="16" t="n">
        <f aca="false">H3824*J3824</f>
        <v>50</v>
      </c>
      <c r="M3824" s="16" t="n">
        <f aca="false">K3824-L3824</f>
        <v>80.05</v>
      </c>
      <c r="N3824" s="17" t="n">
        <f aca="false">IFERROR(M3824/K3824,0)</f>
        <v>0.615532487504806</v>
      </c>
    </row>
    <row r="3825" customFormat="false" ht="15" hidden="false" customHeight="false" outlineLevel="0" collapsed="false">
      <c r="A3825" s="15" t="n">
        <v>46182</v>
      </c>
      <c r="B3825" s="14" t="s">
        <v>88</v>
      </c>
      <c r="C3825" s="14" t="s">
        <v>89</v>
      </c>
      <c r="D3825" s="14" t="s">
        <v>44</v>
      </c>
      <c r="E3825" s="14" t="s">
        <v>56</v>
      </c>
      <c r="F3825" s="14" t="s">
        <v>57</v>
      </c>
      <c r="G3825" s="14" t="s">
        <v>58</v>
      </c>
      <c r="H3825" s="0" t="n">
        <v>8</v>
      </c>
      <c r="I3825" s="16" t="n">
        <v>26.39</v>
      </c>
      <c r="J3825" s="16" t="n">
        <v>10</v>
      </c>
      <c r="K3825" s="16" t="n">
        <f aca="false">H3825*I3825</f>
        <v>211.12</v>
      </c>
      <c r="L3825" s="16" t="n">
        <f aca="false">H3825*J3825</f>
        <v>80</v>
      </c>
      <c r="M3825" s="16" t="n">
        <f aca="false">K3825-L3825</f>
        <v>131.12</v>
      </c>
      <c r="N3825" s="17" t="n">
        <f aca="false">IFERROR(M3825/K3825,0)</f>
        <v>0.621068586585828</v>
      </c>
    </row>
    <row r="3826" customFormat="false" ht="15" hidden="false" customHeight="false" outlineLevel="0" collapsed="false">
      <c r="A3826" s="15" t="n">
        <v>46182</v>
      </c>
      <c r="B3826" s="14" t="s">
        <v>88</v>
      </c>
      <c r="C3826" s="14" t="s">
        <v>89</v>
      </c>
      <c r="D3826" s="14" t="s">
        <v>44</v>
      </c>
      <c r="E3826" s="14" t="s">
        <v>53</v>
      </c>
      <c r="F3826" s="14" t="s">
        <v>54</v>
      </c>
      <c r="G3826" s="14" t="s">
        <v>55</v>
      </c>
      <c r="H3826" s="0" t="n">
        <v>8</v>
      </c>
      <c r="I3826" s="16" t="n">
        <v>52.87</v>
      </c>
      <c r="J3826" s="16" t="n">
        <v>22</v>
      </c>
      <c r="K3826" s="16" t="n">
        <f aca="false">H3826*I3826</f>
        <v>422.96</v>
      </c>
      <c r="L3826" s="16" t="n">
        <f aca="false">H3826*J3826</f>
        <v>176</v>
      </c>
      <c r="M3826" s="16" t="n">
        <f aca="false">K3826-L3826</f>
        <v>246.96</v>
      </c>
      <c r="N3826" s="17" t="n">
        <f aca="false">IFERROR(M3826/K3826,0)</f>
        <v>0.583885000945716</v>
      </c>
    </row>
    <row r="3827" customFormat="false" ht="15" hidden="false" customHeight="false" outlineLevel="0" collapsed="false">
      <c r="A3827" s="15" t="n">
        <v>46182</v>
      </c>
      <c r="B3827" s="14" t="s">
        <v>88</v>
      </c>
      <c r="C3827" s="14" t="s">
        <v>89</v>
      </c>
      <c r="D3827" s="14" t="s">
        <v>44</v>
      </c>
      <c r="E3827" s="14" t="s">
        <v>53</v>
      </c>
      <c r="F3827" s="14" t="s">
        <v>84</v>
      </c>
      <c r="G3827" s="14" t="s">
        <v>85</v>
      </c>
      <c r="H3827" s="0" t="n">
        <v>1</v>
      </c>
      <c r="I3827" s="16" t="n">
        <v>24.58</v>
      </c>
      <c r="J3827" s="16" t="n">
        <v>9</v>
      </c>
      <c r="K3827" s="16" t="n">
        <f aca="false">H3827*I3827</f>
        <v>24.58</v>
      </c>
      <c r="L3827" s="16" t="n">
        <f aca="false">H3827*J3827</f>
        <v>9</v>
      </c>
      <c r="M3827" s="16" t="n">
        <f aca="false">K3827-L3827</f>
        <v>15.58</v>
      </c>
      <c r="N3827" s="17" t="n">
        <f aca="false">IFERROR(M3827/K3827,0)</f>
        <v>0.633848657445077</v>
      </c>
    </row>
    <row r="3828" customFormat="false" ht="15" hidden="false" customHeight="false" outlineLevel="0" collapsed="false">
      <c r="A3828" s="15" t="n">
        <v>46182</v>
      </c>
      <c r="B3828" s="14" t="s">
        <v>88</v>
      </c>
      <c r="C3828" s="14" t="s">
        <v>89</v>
      </c>
      <c r="D3828" s="14" t="s">
        <v>44</v>
      </c>
      <c r="E3828" s="14" t="s">
        <v>56</v>
      </c>
      <c r="F3828" s="14" t="s">
        <v>67</v>
      </c>
      <c r="G3828" s="14" t="s">
        <v>68</v>
      </c>
      <c r="H3828" s="0" t="n">
        <v>1</v>
      </c>
      <c r="I3828" s="16" t="n">
        <v>36.17</v>
      </c>
      <c r="J3828" s="16" t="n">
        <v>15</v>
      </c>
      <c r="K3828" s="16" t="n">
        <f aca="false">H3828*I3828</f>
        <v>36.17</v>
      </c>
      <c r="L3828" s="16" t="n">
        <f aca="false">H3828*J3828</f>
        <v>15</v>
      </c>
      <c r="M3828" s="16" t="n">
        <f aca="false">K3828-L3828</f>
        <v>21.17</v>
      </c>
      <c r="N3828" s="17" t="n">
        <f aca="false">IFERROR(M3828/K3828,0)</f>
        <v>0.585291678186342</v>
      </c>
    </row>
    <row r="3829" customFormat="false" ht="15" hidden="false" customHeight="false" outlineLevel="0" collapsed="false">
      <c r="A3829" s="15" t="n">
        <v>46182</v>
      </c>
      <c r="B3829" s="14" t="s">
        <v>88</v>
      </c>
      <c r="C3829" s="14" t="s">
        <v>89</v>
      </c>
      <c r="D3829" s="14" t="s">
        <v>44</v>
      </c>
      <c r="E3829" s="14" t="s">
        <v>53</v>
      </c>
      <c r="F3829" s="14" t="s">
        <v>54</v>
      </c>
      <c r="G3829" s="14" t="s">
        <v>55</v>
      </c>
      <c r="H3829" s="0" t="n">
        <v>8</v>
      </c>
      <c r="I3829" s="16" t="n">
        <v>50.83</v>
      </c>
      <c r="J3829" s="16" t="n">
        <v>22</v>
      </c>
      <c r="K3829" s="16" t="n">
        <f aca="false">H3829*I3829</f>
        <v>406.64</v>
      </c>
      <c r="L3829" s="16" t="n">
        <f aca="false">H3829*J3829</f>
        <v>176</v>
      </c>
      <c r="M3829" s="16" t="n">
        <f aca="false">K3829-L3829</f>
        <v>230.64</v>
      </c>
      <c r="N3829" s="17" t="n">
        <f aca="false">IFERROR(M3829/K3829,0)</f>
        <v>0.567184733425143</v>
      </c>
    </row>
    <row r="3830" customFormat="false" ht="15" hidden="false" customHeight="false" outlineLevel="0" collapsed="false">
      <c r="A3830" s="15" t="n">
        <v>46182</v>
      </c>
      <c r="B3830" s="14" t="s">
        <v>88</v>
      </c>
      <c r="C3830" s="14" t="s">
        <v>89</v>
      </c>
      <c r="D3830" s="14" t="s">
        <v>44</v>
      </c>
      <c r="E3830" s="14" t="s">
        <v>76</v>
      </c>
      <c r="F3830" s="14" t="s">
        <v>79</v>
      </c>
      <c r="G3830" s="14" t="s">
        <v>80</v>
      </c>
      <c r="H3830" s="0" t="n">
        <v>7</v>
      </c>
      <c r="I3830" s="16" t="n">
        <v>29.41</v>
      </c>
      <c r="J3830" s="16" t="n">
        <v>11</v>
      </c>
      <c r="K3830" s="16" t="n">
        <f aca="false">H3830*I3830</f>
        <v>205.87</v>
      </c>
      <c r="L3830" s="16" t="n">
        <f aca="false">H3830*J3830</f>
        <v>77</v>
      </c>
      <c r="M3830" s="16" t="n">
        <f aca="false">K3830-L3830</f>
        <v>128.87</v>
      </c>
      <c r="N3830" s="17" t="n">
        <f aca="false">IFERROR(M3830/K3830,0)</f>
        <v>0.625977558653519</v>
      </c>
    </row>
    <row r="3831" customFormat="false" ht="15" hidden="false" customHeight="false" outlineLevel="0" collapsed="false">
      <c r="A3831" s="15" t="n">
        <v>46183</v>
      </c>
      <c r="B3831" s="14" t="s">
        <v>42</v>
      </c>
      <c r="C3831" s="14" t="s">
        <v>43</v>
      </c>
      <c r="D3831" s="14" t="s">
        <v>44</v>
      </c>
      <c r="E3831" s="14" t="s">
        <v>64</v>
      </c>
      <c r="F3831" s="14" t="s">
        <v>94</v>
      </c>
      <c r="G3831" s="14" t="s">
        <v>95</v>
      </c>
      <c r="H3831" s="0" t="n">
        <v>11</v>
      </c>
      <c r="I3831" s="16" t="n">
        <v>95.59</v>
      </c>
      <c r="J3831" s="16" t="n">
        <v>42</v>
      </c>
      <c r="K3831" s="16" t="n">
        <f aca="false">H3831*I3831</f>
        <v>1051.49</v>
      </c>
      <c r="L3831" s="16" t="n">
        <f aca="false">H3831*J3831</f>
        <v>462</v>
      </c>
      <c r="M3831" s="16" t="n">
        <f aca="false">K3831-L3831</f>
        <v>589.49</v>
      </c>
      <c r="N3831" s="17" t="n">
        <f aca="false">IFERROR(M3831/K3831,0)</f>
        <v>0.560623496181609</v>
      </c>
    </row>
    <row r="3832" customFormat="false" ht="15" hidden="false" customHeight="false" outlineLevel="0" collapsed="false">
      <c r="A3832" s="15" t="n">
        <v>46183</v>
      </c>
      <c r="B3832" s="14" t="s">
        <v>42</v>
      </c>
      <c r="C3832" s="14" t="s">
        <v>43</v>
      </c>
      <c r="D3832" s="14" t="s">
        <v>44</v>
      </c>
      <c r="E3832" s="14" t="s">
        <v>45</v>
      </c>
      <c r="F3832" s="14" t="s">
        <v>48</v>
      </c>
      <c r="G3832" s="14" t="s">
        <v>49</v>
      </c>
      <c r="H3832" s="0" t="n">
        <v>4</v>
      </c>
      <c r="I3832" s="16" t="n">
        <v>64.08</v>
      </c>
      <c r="J3832" s="16" t="n">
        <v>27.5</v>
      </c>
      <c r="K3832" s="16" t="n">
        <f aca="false">H3832*I3832</f>
        <v>256.32</v>
      </c>
      <c r="L3832" s="16" t="n">
        <f aca="false">H3832*J3832</f>
        <v>110</v>
      </c>
      <c r="M3832" s="16" t="n">
        <f aca="false">K3832-L3832</f>
        <v>146.32</v>
      </c>
      <c r="N3832" s="17" t="n">
        <f aca="false">IFERROR(M3832/K3832,0)</f>
        <v>0.570848938826467</v>
      </c>
    </row>
    <row r="3833" customFormat="false" ht="15" hidden="false" customHeight="false" outlineLevel="0" collapsed="false">
      <c r="A3833" s="15" t="n">
        <v>46183</v>
      </c>
      <c r="B3833" s="14" t="s">
        <v>42</v>
      </c>
      <c r="C3833" s="14" t="s">
        <v>43</v>
      </c>
      <c r="D3833" s="14" t="s">
        <v>44</v>
      </c>
      <c r="E3833" s="14" t="s">
        <v>56</v>
      </c>
      <c r="F3833" s="14" t="s">
        <v>86</v>
      </c>
      <c r="G3833" s="14" t="s">
        <v>87</v>
      </c>
      <c r="H3833" s="0" t="n">
        <v>7</v>
      </c>
      <c r="I3833" s="16" t="n">
        <v>14.82</v>
      </c>
      <c r="J3833" s="16" t="n">
        <v>5</v>
      </c>
      <c r="K3833" s="16" t="n">
        <f aca="false">H3833*I3833</f>
        <v>103.74</v>
      </c>
      <c r="L3833" s="16" t="n">
        <f aca="false">H3833*J3833</f>
        <v>35</v>
      </c>
      <c r="M3833" s="16" t="n">
        <f aca="false">K3833-L3833</f>
        <v>68.74</v>
      </c>
      <c r="N3833" s="17" t="n">
        <f aca="false">IFERROR(M3833/K3833,0)</f>
        <v>0.662618083670715</v>
      </c>
    </row>
    <row r="3834" customFormat="false" ht="15" hidden="false" customHeight="false" outlineLevel="0" collapsed="false">
      <c r="A3834" s="15" t="n">
        <v>46183</v>
      </c>
      <c r="B3834" s="14" t="s">
        <v>42</v>
      </c>
      <c r="C3834" s="14" t="s">
        <v>43</v>
      </c>
      <c r="D3834" s="14" t="s">
        <v>44</v>
      </c>
      <c r="E3834" s="14" t="s">
        <v>76</v>
      </c>
      <c r="F3834" s="14" t="s">
        <v>102</v>
      </c>
      <c r="G3834" s="14" t="s">
        <v>103</v>
      </c>
      <c r="H3834" s="0" t="n">
        <v>4</v>
      </c>
      <c r="I3834" s="16" t="n">
        <v>23.87</v>
      </c>
      <c r="J3834" s="16" t="n">
        <v>8.5</v>
      </c>
      <c r="K3834" s="16" t="n">
        <f aca="false">H3834*I3834</f>
        <v>95.48</v>
      </c>
      <c r="L3834" s="16" t="n">
        <f aca="false">H3834*J3834</f>
        <v>34</v>
      </c>
      <c r="M3834" s="16" t="n">
        <f aca="false">K3834-L3834</f>
        <v>61.48</v>
      </c>
      <c r="N3834" s="17" t="n">
        <f aca="false">IFERROR(M3834/K3834,0)</f>
        <v>0.64390448261416</v>
      </c>
    </row>
    <row r="3835" customFormat="false" ht="15" hidden="false" customHeight="false" outlineLevel="0" collapsed="false">
      <c r="A3835" s="15" t="n">
        <v>46183</v>
      </c>
      <c r="B3835" s="14" t="s">
        <v>42</v>
      </c>
      <c r="C3835" s="14" t="s">
        <v>43</v>
      </c>
      <c r="D3835" s="14" t="s">
        <v>44</v>
      </c>
      <c r="E3835" s="14" t="s">
        <v>64</v>
      </c>
      <c r="F3835" s="14" t="s">
        <v>90</v>
      </c>
      <c r="G3835" s="14" t="s">
        <v>91</v>
      </c>
      <c r="H3835" s="0" t="n">
        <v>10</v>
      </c>
      <c r="I3835" s="16" t="n">
        <v>11.23</v>
      </c>
      <c r="J3835" s="16" t="n">
        <v>3.5</v>
      </c>
      <c r="K3835" s="16" t="n">
        <f aca="false">H3835*I3835</f>
        <v>112.3</v>
      </c>
      <c r="L3835" s="16" t="n">
        <f aca="false">H3835*J3835</f>
        <v>35</v>
      </c>
      <c r="M3835" s="16" t="n">
        <f aca="false">K3835-L3835</f>
        <v>77.3</v>
      </c>
      <c r="N3835" s="17" t="n">
        <f aca="false">IFERROR(M3835/K3835,0)</f>
        <v>0.68833481745325</v>
      </c>
    </row>
    <row r="3836" customFormat="false" ht="15" hidden="false" customHeight="false" outlineLevel="0" collapsed="false">
      <c r="A3836" s="15" t="n">
        <v>46183</v>
      </c>
      <c r="B3836" s="14" t="s">
        <v>50</v>
      </c>
      <c r="C3836" s="14" t="s">
        <v>51</v>
      </c>
      <c r="D3836" s="14" t="s">
        <v>52</v>
      </c>
      <c r="E3836" s="14" t="s">
        <v>56</v>
      </c>
      <c r="F3836" s="14" t="s">
        <v>67</v>
      </c>
      <c r="G3836" s="14" t="s">
        <v>68</v>
      </c>
      <c r="H3836" s="0" t="n">
        <v>3</v>
      </c>
      <c r="I3836" s="16" t="n">
        <v>36.9</v>
      </c>
      <c r="J3836" s="16" t="n">
        <v>15</v>
      </c>
      <c r="K3836" s="16" t="n">
        <f aca="false">H3836*I3836</f>
        <v>110.7</v>
      </c>
      <c r="L3836" s="16" t="n">
        <f aca="false">H3836*J3836</f>
        <v>45</v>
      </c>
      <c r="M3836" s="16" t="n">
        <f aca="false">K3836-L3836</f>
        <v>65.7</v>
      </c>
      <c r="N3836" s="17" t="n">
        <f aca="false">IFERROR(M3836/K3836,0)</f>
        <v>0.59349593495935</v>
      </c>
    </row>
    <row r="3837" customFormat="false" ht="15" hidden="false" customHeight="false" outlineLevel="0" collapsed="false">
      <c r="A3837" s="15" t="n">
        <v>46183</v>
      </c>
      <c r="B3837" s="14" t="s">
        <v>50</v>
      </c>
      <c r="C3837" s="14" t="s">
        <v>51</v>
      </c>
      <c r="D3837" s="14" t="s">
        <v>52</v>
      </c>
      <c r="E3837" s="14" t="s">
        <v>53</v>
      </c>
      <c r="F3837" s="14" t="s">
        <v>92</v>
      </c>
      <c r="G3837" s="14" t="s">
        <v>93</v>
      </c>
      <c r="H3837" s="0" t="n">
        <v>10</v>
      </c>
      <c r="I3837" s="16" t="n">
        <v>118.37</v>
      </c>
      <c r="J3837" s="16" t="n">
        <v>52</v>
      </c>
      <c r="K3837" s="16" t="n">
        <f aca="false">H3837*I3837</f>
        <v>1183.7</v>
      </c>
      <c r="L3837" s="16" t="n">
        <f aca="false">H3837*J3837</f>
        <v>520</v>
      </c>
      <c r="M3837" s="16" t="n">
        <f aca="false">K3837-L3837</f>
        <v>663.7</v>
      </c>
      <c r="N3837" s="17" t="n">
        <f aca="false">IFERROR(M3837/K3837,0)</f>
        <v>0.560699501562896</v>
      </c>
    </row>
    <row r="3838" customFormat="false" ht="15" hidden="false" customHeight="false" outlineLevel="0" collapsed="false">
      <c r="A3838" s="15" t="n">
        <v>46183</v>
      </c>
      <c r="B3838" s="14" t="s">
        <v>50</v>
      </c>
      <c r="C3838" s="14" t="s">
        <v>51</v>
      </c>
      <c r="D3838" s="14" t="s">
        <v>52</v>
      </c>
      <c r="E3838" s="14" t="s">
        <v>53</v>
      </c>
      <c r="F3838" s="14" t="s">
        <v>54</v>
      </c>
      <c r="G3838" s="14" t="s">
        <v>55</v>
      </c>
      <c r="H3838" s="0" t="n">
        <v>3</v>
      </c>
      <c r="I3838" s="16" t="n">
        <v>52.1</v>
      </c>
      <c r="J3838" s="16" t="n">
        <v>22</v>
      </c>
      <c r="K3838" s="16" t="n">
        <f aca="false">H3838*I3838</f>
        <v>156.3</v>
      </c>
      <c r="L3838" s="16" t="n">
        <f aca="false">H3838*J3838</f>
        <v>66</v>
      </c>
      <c r="M3838" s="16" t="n">
        <f aca="false">K3838-L3838</f>
        <v>90.3</v>
      </c>
      <c r="N3838" s="17" t="n">
        <f aca="false">IFERROR(M3838/K3838,0)</f>
        <v>0.577735124760077</v>
      </c>
    </row>
    <row r="3839" customFormat="false" ht="15" hidden="false" customHeight="false" outlineLevel="0" collapsed="false">
      <c r="A3839" s="15" t="n">
        <v>46183</v>
      </c>
      <c r="B3839" s="14" t="s">
        <v>50</v>
      </c>
      <c r="C3839" s="14" t="s">
        <v>51</v>
      </c>
      <c r="D3839" s="14" t="s">
        <v>52</v>
      </c>
      <c r="E3839" s="14" t="s">
        <v>53</v>
      </c>
      <c r="F3839" s="14" t="s">
        <v>92</v>
      </c>
      <c r="G3839" s="14" t="s">
        <v>93</v>
      </c>
      <c r="H3839" s="0" t="n">
        <v>3</v>
      </c>
      <c r="I3839" s="16" t="n">
        <v>116.97</v>
      </c>
      <c r="J3839" s="16" t="n">
        <v>52</v>
      </c>
      <c r="K3839" s="16" t="n">
        <f aca="false">H3839*I3839</f>
        <v>350.91</v>
      </c>
      <c r="L3839" s="16" t="n">
        <f aca="false">H3839*J3839</f>
        <v>156</v>
      </c>
      <c r="M3839" s="16" t="n">
        <f aca="false">K3839-L3839</f>
        <v>194.91</v>
      </c>
      <c r="N3839" s="17" t="n">
        <f aca="false">IFERROR(M3839/K3839,0)</f>
        <v>0.555441566213559</v>
      </c>
    </row>
    <row r="3840" customFormat="false" ht="15" hidden="false" customHeight="false" outlineLevel="0" collapsed="false">
      <c r="A3840" s="15" t="n">
        <v>46183</v>
      </c>
      <c r="B3840" s="14" t="s">
        <v>59</v>
      </c>
      <c r="C3840" s="14" t="s">
        <v>60</v>
      </c>
      <c r="D3840" s="14" t="s">
        <v>61</v>
      </c>
      <c r="E3840" s="14" t="s">
        <v>53</v>
      </c>
      <c r="F3840" s="14" t="s">
        <v>92</v>
      </c>
      <c r="G3840" s="14" t="s">
        <v>93</v>
      </c>
      <c r="H3840" s="0" t="n">
        <v>9</v>
      </c>
      <c r="I3840" s="16" t="n">
        <v>112.11</v>
      </c>
      <c r="J3840" s="16" t="n">
        <v>52</v>
      </c>
      <c r="K3840" s="16" t="n">
        <f aca="false">H3840*I3840</f>
        <v>1008.99</v>
      </c>
      <c r="L3840" s="16" t="n">
        <f aca="false">H3840*J3840</f>
        <v>468</v>
      </c>
      <c r="M3840" s="16" t="n">
        <f aca="false">K3840-L3840</f>
        <v>540.99</v>
      </c>
      <c r="N3840" s="17" t="n">
        <f aca="false">IFERROR(M3840/K3840,0)</f>
        <v>0.536169833199536</v>
      </c>
    </row>
    <row r="3841" customFormat="false" ht="15" hidden="false" customHeight="false" outlineLevel="0" collapsed="false">
      <c r="A3841" s="15" t="n">
        <v>46183</v>
      </c>
      <c r="B3841" s="14" t="s">
        <v>59</v>
      </c>
      <c r="C3841" s="14" t="s">
        <v>60</v>
      </c>
      <c r="D3841" s="14" t="s">
        <v>61</v>
      </c>
      <c r="E3841" s="14" t="s">
        <v>76</v>
      </c>
      <c r="F3841" s="14" t="s">
        <v>100</v>
      </c>
      <c r="G3841" s="14" t="s">
        <v>101</v>
      </c>
      <c r="H3841" s="0" t="n">
        <v>3</v>
      </c>
      <c r="I3841" s="16" t="n">
        <v>15.96</v>
      </c>
      <c r="J3841" s="16" t="n">
        <v>5.5</v>
      </c>
      <c r="K3841" s="16" t="n">
        <f aca="false">H3841*I3841</f>
        <v>47.88</v>
      </c>
      <c r="L3841" s="16" t="n">
        <f aca="false">H3841*J3841</f>
        <v>16.5</v>
      </c>
      <c r="M3841" s="16" t="n">
        <f aca="false">K3841-L3841</f>
        <v>31.38</v>
      </c>
      <c r="N3841" s="17" t="n">
        <f aca="false">IFERROR(M3841/K3841,0)</f>
        <v>0.655388471177945</v>
      </c>
    </row>
    <row r="3842" customFormat="false" ht="15" hidden="false" customHeight="false" outlineLevel="0" collapsed="false">
      <c r="A3842" s="15" t="n">
        <v>46183</v>
      </c>
      <c r="B3842" s="14" t="s">
        <v>59</v>
      </c>
      <c r="C3842" s="14" t="s">
        <v>60</v>
      </c>
      <c r="D3842" s="14" t="s">
        <v>61</v>
      </c>
      <c r="E3842" s="14" t="s">
        <v>53</v>
      </c>
      <c r="F3842" s="14" t="s">
        <v>84</v>
      </c>
      <c r="G3842" s="14" t="s">
        <v>85</v>
      </c>
      <c r="H3842" s="0" t="n">
        <v>5</v>
      </c>
      <c r="I3842" s="16" t="n">
        <v>24.74</v>
      </c>
      <c r="J3842" s="16" t="n">
        <v>9</v>
      </c>
      <c r="K3842" s="16" t="n">
        <f aca="false">H3842*I3842</f>
        <v>123.7</v>
      </c>
      <c r="L3842" s="16" t="n">
        <f aca="false">H3842*J3842</f>
        <v>45</v>
      </c>
      <c r="M3842" s="16" t="n">
        <f aca="false">K3842-L3842</f>
        <v>78.7</v>
      </c>
      <c r="N3842" s="17" t="n">
        <f aca="false">IFERROR(M3842/K3842,0)</f>
        <v>0.636216653193209</v>
      </c>
    </row>
    <row r="3843" customFormat="false" ht="15" hidden="false" customHeight="false" outlineLevel="0" collapsed="false">
      <c r="A3843" s="15" t="n">
        <v>46183</v>
      </c>
      <c r="B3843" s="14" t="s">
        <v>59</v>
      </c>
      <c r="C3843" s="14" t="s">
        <v>60</v>
      </c>
      <c r="D3843" s="14" t="s">
        <v>61</v>
      </c>
      <c r="E3843" s="14" t="s">
        <v>53</v>
      </c>
      <c r="F3843" s="14" t="s">
        <v>92</v>
      </c>
      <c r="G3843" s="14" t="s">
        <v>93</v>
      </c>
      <c r="H3843" s="0" t="n">
        <v>7</v>
      </c>
      <c r="I3843" s="16" t="n">
        <v>111.38</v>
      </c>
      <c r="J3843" s="16" t="n">
        <v>52</v>
      </c>
      <c r="K3843" s="16" t="n">
        <f aca="false">H3843*I3843</f>
        <v>779.66</v>
      </c>
      <c r="L3843" s="16" t="n">
        <f aca="false">H3843*J3843</f>
        <v>364</v>
      </c>
      <c r="M3843" s="16" t="n">
        <f aca="false">K3843-L3843</f>
        <v>415.66</v>
      </c>
      <c r="N3843" s="17" t="n">
        <f aca="false">IFERROR(M3843/K3843,0)</f>
        <v>0.533129825821512</v>
      </c>
    </row>
    <row r="3844" customFormat="false" ht="15" hidden="false" customHeight="false" outlineLevel="0" collapsed="false">
      <c r="A3844" s="15" t="n">
        <v>46183</v>
      </c>
      <c r="B3844" s="14" t="s">
        <v>69</v>
      </c>
      <c r="C3844" s="14" t="s">
        <v>70</v>
      </c>
      <c r="D3844" s="14" t="s">
        <v>71</v>
      </c>
      <c r="E3844" s="14" t="s">
        <v>45</v>
      </c>
      <c r="F3844" s="14" t="s">
        <v>72</v>
      </c>
      <c r="G3844" s="14" t="s">
        <v>73</v>
      </c>
      <c r="H3844" s="0" t="n">
        <v>5</v>
      </c>
      <c r="I3844" s="16" t="n">
        <v>49.36</v>
      </c>
      <c r="J3844" s="16" t="n">
        <v>21</v>
      </c>
      <c r="K3844" s="16" t="n">
        <f aca="false">H3844*I3844</f>
        <v>246.8</v>
      </c>
      <c r="L3844" s="16" t="n">
        <f aca="false">H3844*J3844</f>
        <v>105</v>
      </c>
      <c r="M3844" s="16" t="n">
        <f aca="false">K3844-L3844</f>
        <v>141.8</v>
      </c>
      <c r="N3844" s="17" t="n">
        <f aca="false">IFERROR(M3844/K3844,0)</f>
        <v>0.574554294975689</v>
      </c>
    </row>
    <row r="3845" customFormat="false" ht="15" hidden="false" customHeight="false" outlineLevel="0" collapsed="false">
      <c r="A3845" s="15" t="n">
        <v>46183</v>
      </c>
      <c r="B3845" s="14" t="s">
        <v>69</v>
      </c>
      <c r="C3845" s="14" t="s">
        <v>70</v>
      </c>
      <c r="D3845" s="14" t="s">
        <v>71</v>
      </c>
      <c r="E3845" s="14" t="s">
        <v>64</v>
      </c>
      <c r="F3845" s="14" t="s">
        <v>94</v>
      </c>
      <c r="G3845" s="14" t="s">
        <v>95</v>
      </c>
      <c r="H3845" s="0" t="n">
        <v>6</v>
      </c>
      <c r="I3845" s="16" t="n">
        <v>98.6</v>
      </c>
      <c r="J3845" s="16" t="n">
        <v>42</v>
      </c>
      <c r="K3845" s="16" t="n">
        <f aca="false">H3845*I3845</f>
        <v>591.6</v>
      </c>
      <c r="L3845" s="16" t="n">
        <f aca="false">H3845*J3845</f>
        <v>252</v>
      </c>
      <c r="M3845" s="16" t="n">
        <f aca="false">K3845-L3845</f>
        <v>339.6</v>
      </c>
      <c r="N3845" s="17" t="n">
        <f aca="false">IFERROR(M3845/K3845,0)</f>
        <v>0.574036511156187</v>
      </c>
    </row>
    <row r="3846" customFormat="false" ht="15" hidden="false" customHeight="false" outlineLevel="0" collapsed="false">
      <c r="A3846" s="15" t="n">
        <v>46183</v>
      </c>
      <c r="B3846" s="14" t="s">
        <v>69</v>
      </c>
      <c r="C3846" s="14" t="s">
        <v>70</v>
      </c>
      <c r="D3846" s="14" t="s">
        <v>71</v>
      </c>
      <c r="E3846" s="14" t="s">
        <v>56</v>
      </c>
      <c r="F3846" s="14" t="s">
        <v>67</v>
      </c>
      <c r="G3846" s="14" t="s">
        <v>68</v>
      </c>
      <c r="H3846" s="0" t="n">
        <v>1</v>
      </c>
      <c r="I3846" s="16" t="n">
        <v>36.81</v>
      </c>
      <c r="J3846" s="16" t="n">
        <v>15</v>
      </c>
      <c r="K3846" s="16" t="n">
        <f aca="false">H3846*I3846</f>
        <v>36.81</v>
      </c>
      <c r="L3846" s="16" t="n">
        <f aca="false">H3846*J3846</f>
        <v>15</v>
      </c>
      <c r="M3846" s="16" t="n">
        <f aca="false">K3846-L3846</f>
        <v>21.81</v>
      </c>
      <c r="N3846" s="17" t="n">
        <f aca="false">IFERROR(M3846/K3846,0)</f>
        <v>0.592502037489813</v>
      </c>
    </row>
    <row r="3847" customFormat="false" ht="15" hidden="false" customHeight="false" outlineLevel="0" collapsed="false">
      <c r="A3847" s="15" t="n">
        <v>46183</v>
      </c>
      <c r="B3847" s="14" t="s">
        <v>69</v>
      </c>
      <c r="C3847" s="14" t="s">
        <v>70</v>
      </c>
      <c r="D3847" s="14" t="s">
        <v>71</v>
      </c>
      <c r="E3847" s="14" t="s">
        <v>64</v>
      </c>
      <c r="F3847" s="14" t="s">
        <v>94</v>
      </c>
      <c r="G3847" s="14" t="s">
        <v>95</v>
      </c>
      <c r="H3847" s="0" t="n">
        <v>4</v>
      </c>
      <c r="I3847" s="16" t="n">
        <v>92.86</v>
      </c>
      <c r="J3847" s="16" t="n">
        <v>42</v>
      </c>
      <c r="K3847" s="16" t="n">
        <f aca="false">H3847*I3847</f>
        <v>371.44</v>
      </c>
      <c r="L3847" s="16" t="n">
        <f aca="false">H3847*J3847</f>
        <v>168</v>
      </c>
      <c r="M3847" s="16" t="n">
        <f aca="false">K3847-L3847</f>
        <v>203.44</v>
      </c>
      <c r="N3847" s="17" t="n">
        <f aca="false">IFERROR(M3847/K3847,0)</f>
        <v>0.547706224423864</v>
      </c>
    </row>
    <row r="3848" customFormat="false" ht="15" hidden="false" customHeight="false" outlineLevel="0" collapsed="false">
      <c r="A3848" s="15" t="n">
        <v>46183</v>
      </c>
      <c r="B3848" s="14" t="s">
        <v>69</v>
      </c>
      <c r="C3848" s="14" t="s">
        <v>70</v>
      </c>
      <c r="D3848" s="14" t="s">
        <v>71</v>
      </c>
      <c r="E3848" s="14" t="s">
        <v>53</v>
      </c>
      <c r="F3848" s="14" t="s">
        <v>92</v>
      </c>
      <c r="G3848" s="14" t="s">
        <v>93</v>
      </c>
      <c r="H3848" s="0" t="n">
        <v>2</v>
      </c>
      <c r="I3848" s="16" t="n">
        <v>118.83</v>
      </c>
      <c r="J3848" s="16" t="n">
        <v>52</v>
      </c>
      <c r="K3848" s="16" t="n">
        <f aca="false">H3848*I3848</f>
        <v>237.66</v>
      </c>
      <c r="L3848" s="16" t="n">
        <f aca="false">H3848*J3848</f>
        <v>104</v>
      </c>
      <c r="M3848" s="16" t="n">
        <f aca="false">K3848-L3848</f>
        <v>133.66</v>
      </c>
      <c r="N3848" s="17" t="n">
        <f aca="false">IFERROR(M3848/K3848,0)</f>
        <v>0.562400067323067</v>
      </c>
    </row>
    <row r="3849" customFormat="false" ht="15" hidden="false" customHeight="false" outlineLevel="0" collapsed="false">
      <c r="A3849" s="15" t="n">
        <v>46183</v>
      </c>
      <c r="B3849" s="14" t="s">
        <v>69</v>
      </c>
      <c r="C3849" s="14" t="s">
        <v>70</v>
      </c>
      <c r="D3849" s="14" t="s">
        <v>71</v>
      </c>
      <c r="E3849" s="14" t="s">
        <v>56</v>
      </c>
      <c r="F3849" s="14" t="s">
        <v>98</v>
      </c>
      <c r="G3849" s="14" t="s">
        <v>99</v>
      </c>
      <c r="H3849" s="0" t="n">
        <v>2</v>
      </c>
      <c r="I3849" s="16" t="n">
        <v>21.85</v>
      </c>
      <c r="J3849" s="16" t="n">
        <v>8</v>
      </c>
      <c r="K3849" s="16" t="n">
        <f aca="false">H3849*I3849</f>
        <v>43.7</v>
      </c>
      <c r="L3849" s="16" t="n">
        <f aca="false">H3849*J3849</f>
        <v>16</v>
      </c>
      <c r="M3849" s="16" t="n">
        <f aca="false">K3849-L3849</f>
        <v>27.7</v>
      </c>
      <c r="N3849" s="17" t="n">
        <f aca="false">IFERROR(M3849/K3849,0)</f>
        <v>0.633867276887872</v>
      </c>
    </row>
    <row r="3850" customFormat="false" ht="15" hidden="false" customHeight="false" outlineLevel="0" collapsed="false">
      <c r="A3850" s="15" t="n">
        <v>46183</v>
      </c>
      <c r="B3850" s="14" t="s">
        <v>81</v>
      </c>
      <c r="C3850" s="14" t="s">
        <v>82</v>
      </c>
      <c r="D3850" s="14" t="s">
        <v>83</v>
      </c>
      <c r="E3850" s="14" t="s">
        <v>64</v>
      </c>
      <c r="F3850" s="14" t="s">
        <v>96</v>
      </c>
      <c r="G3850" s="14" t="s">
        <v>97</v>
      </c>
      <c r="H3850" s="0" t="n">
        <v>1</v>
      </c>
      <c r="I3850" s="16" t="n">
        <v>55.22</v>
      </c>
      <c r="J3850" s="16" t="n">
        <v>24</v>
      </c>
      <c r="K3850" s="16" t="n">
        <f aca="false">H3850*I3850</f>
        <v>55.22</v>
      </c>
      <c r="L3850" s="16" t="n">
        <f aca="false">H3850*J3850</f>
        <v>24</v>
      </c>
      <c r="M3850" s="16" t="n">
        <f aca="false">K3850-L3850</f>
        <v>31.22</v>
      </c>
      <c r="N3850" s="17" t="n">
        <f aca="false">IFERROR(M3850/K3850,0)</f>
        <v>0.565374864179645</v>
      </c>
    </row>
    <row r="3851" customFormat="false" ht="15" hidden="false" customHeight="false" outlineLevel="0" collapsed="false">
      <c r="A3851" s="15" t="n">
        <v>46183</v>
      </c>
      <c r="B3851" s="14" t="s">
        <v>81</v>
      </c>
      <c r="C3851" s="14" t="s">
        <v>82</v>
      </c>
      <c r="D3851" s="14" t="s">
        <v>83</v>
      </c>
      <c r="E3851" s="14" t="s">
        <v>76</v>
      </c>
      <c r="F3851" s="14" t="s">
        <v>77</v>
      </c>
      <c r="G3851" s="14" t="s">
        <v>78</v>
      </c>
      <c r="H3851" s="0" t="n">
        <v>4</v>
      </c>
      <c r="I3851" s="16" t="n">
        <v>41.31</v>
      </c>
      <c r="J3851" s="16" t="n">
        <v>15</v>
      </c>
      <c r="K3851" s="16" t="n">
        <f aca="false">H3851*I3851</f>
        <v>165.24</v>
      </c>
      <c r="L3851" s="16" t="n">
        <f aca="false">H3851*J3851</f>
        <v>60</v>
      </c>
      <c r="M3851" s="16" t="n">
        <f aca="false">K3851-L3851</f>
        <v>105.24</v>
      </c>
      <c r="N3851" s="17" t="n">
        <f aca="false">IFERROR(M3851/K3851,0)</f>
        <v>0.636891793754539</v>
      </c>
    </row>
    <row r="3852" customFormat="false" ht="15" hidden="false" customHeight="false" outlineLevel="0" collapsed="false">
      <c r="A3852" s="15" t="n">
        <v>46183</v>
      </c>
      <c r="B3852" s="14" t="s">
        <v>81</v>
      </c>
      <c r="C3852" s="14" t="s">
        <v>82</v>
      </c>
      <c r="D3852" s="14" t="s">
        <v>83</v>
      </c>
      <c r="E3852" s="14" t="s">
        <v>45</v>
      </c>
      <c r="F3852" s="14" t="s">
        <v>46</v>
      </c>
      <c r="G3852" s="14" t="s">
        <v>47</v>
      </c>
      <c r="H3852" s="0" t="n">
        <v>3</v>
      </c>
      <c r="I3852" s="16" t="n">
        <v>42.82</v>
      </c>
      <c r="J3852" s="16" t="n">
        <v>18</v>
      </c>
      <c r="K3852" s="16" t="n">
        <f aca="false">H3852*I3852</f>
        <v>128.46</v>
      </c>
      <c r="L3852" s="16" t="n">
        <f aca="false">H3852*J3852</f>
        <v>54</v>
      </c>
      <c r="M3852" s="16" t="n">
        <f aca="false">K3852-L3852</f>
        <v>74.46</v>
      </c>
      <c r="N3852" s="17" t="n">
        <f aca="false">IFERROR(M3852/K3852,0)</f>
        <v>0.579635684259692</v>
      </c>
    </row>
    <row r="3853" customFormat="false" ht="15" hidden="false" customHeight="false" outlineLevel="0" collapsed="false">
      <c r="A3853" s="15" t="n">
        <v>46183</v>
      </c>
      <c r="B3853" s="14" t="s">
        <v>81</v>
      </c>
      <c r="C3853" s="14" t="s">
        <v>82</v>
      </c>
      <c r="D3853" s="14" t="s">
        <v>83</v>
      </c>
      <c r="E3853" s="14" t="s">
        <v>45</v>
      </c>
      <c r="F3853" s="14" t="s">
        <v>46</v>
      </c>
      <c r="G3853" s="14" t="s">
        <v>47</v>
      </c>
      <c r="H3853" s="0" t="n">
        <v>4</v>
      </c>
      <c r="I3853" s="16" t="n">
        <v>43.03</v>
      </c>
      <c r="J3853" s="16" t="n">
        <v>18</v>
      </c>
      <c r="K3853" s="16" t="n">
        <f aca="false">H3853*I3853</f>
        <v>172.12</v>
      </c>
      <c r="L3853" s="16" t="n">
        <f aca="false">H3853*J3853</f>
        <v>72</v>
      </c>
      <c r="M3853" s="16" t="n">
        <f aca="false">K3853-L3853</f>
        <v>100.12</v>
      </c>
      <c r="N3853" s="17" t="n">
        <f aca="false">IFERROR(M3853/K3853,0)</f>
        <v>0.581687194980246</v>
      </c>
    </row>
    <row r="3854" customFormat="false" ht="15" hidden="false" customHeight="false" outlineLevel="0" collapsed="false">
      <c r="A3854" s="15" t="n">
        <v>46183</v>
      </c>
      <c r="B3854" s="14" t="s">
        <v>81</v>
      </c>
      <c r="C3854" s="14" t="s">
        <v>82</v>
      </c>
      <c r="D3854" s="14" t="s">
        <v>83</v>
      </c>
      <c r="E3854" s="14" t="s">
        <v>76</v>
      </c>
      <c r="F3854" s="14" t="s">
        <v>102</v>
      </c>
      <c r="G3854" s="14" t="s">
        <v>103</v>
      </c>
      <c r="H3854" s="0" t="n">
        <v>3</v>
      </c>
      <c r="I3854" s="16" t="n">
        <v>22.29</v>
      </c>
      <c r="J3854" s="16" t="n">
        <v>8.5</v>
      </c>
      <c r="K3854" s="16" t="n">
        <f aca="false">H3854*I3854</f>
        <v>66.87</v>
      </c>
      <c r="L3854" s="16" t="n">
        <f aca="false">H3854*J3854</f>
        <v>25.5</v>
      </c>
      <c r="M3854" s="16" t="n">
        <f aca="false">K3854-L3854</f>
        <v>41.37</v>
      </c>
      <c r="N3854" s="17" t="n">
        <f aca="false">IFERROR(M3854/K3854,0)</f>
        <v>0.61866307761328</v>
      </c>
    </row>
    <row r="3855" customFormat="false" ht="15" hidden="false" customHeight="false" outlineLevel="0" collapsed="false">
      <c r="A3855" s="15" t="n">
        <v>46183</v>
      </c>
      <c r="B3855" s="14" t="s">
        <v>81</v>
      </c>
      <c r="C3855" s="14" t="s">
        <v>82</v>
      </c>
      <c r="D3855" s="14" t="s">
        <v>83</v>
      </c>
      <c r="E3855" s="14" t="s">
        <v>53</v>
      </c>
      <c r="F3855" s="14" t="s">
        <v>92</v>
      </c>
      <c r="G3855" s="14" t="s">
        <v>93</v>
      </c>
      <c r="H3855" s="0" t="n">
        <v>4</v>
      </c>
      <c r="I3855" s="16" t="n">
        <v>118.25</v>
      </c>
      <c r="J3855" s="16" t="n">
        <v>52</v>
      </c>
      <c r="K3855" s="16" t="n">
        <f aca="false">H3855*I3855</f>
        <v>473</v>
      </c>
      <c r="L3855" s="16" t="n">
        <f aca="false">H3855*J3855</f>
        <v>208</v>
      </c>
      <c r="M3855" s="16" t="n">
        <f aca="false">K3855-L3855</f>
        <v>265</v>
      </c>
      <c r="N3855" s="17" t="n">
        <f aca="false">IFERROR(M3855/K3855,0)</f>
        <v>0.560253699788584</v>
      </c>
    </row>
    <row r="3856" customFormat="false" ht="15" hidden="false" customHeight="false" outlineLevel="0" collapsed="false">
      <c r="A3856" s="15" t="n">
        <v>46183</v>
      </c>
      <c r="B3856" s="14" t="s">
        <v>88</v>
      </c>
      <c r="C3856" s="14" t="s">
        <v>89</v>
      </c>
      <c r="D3856" s="14" t="s">
        <v>44</v>
      </c>
      <c r="E3856" s="14" t="s">
        <v>56</v>
      </c>
      <c r="F3856" s="14" t="s">
        <v>98</v>
      </c>
      <c r="G3856" s="14" t="s">
        <v>99</v>
      </c>
      <c r="H3856" s="0" t="n">
        <v>4</v>
      </c>
      <c r="I3856" s="16" t="n">
        <v>21.65</v>
      </c>
      <c r="J3856" s="16" t="n">
        <v>8</v>
      </c>
      <c r="K3856" s="16" t="n">
        <f aca="false">H3856*I3856</f>
        <v>86.6</v>
      </c>
      <c r="L3856" s="16" t="n">
        <f aca="false">H3856*J3856</f>
        <v>32</v>
      </c>
      <c r="M3856" s="16" t="n">
        <f aca="false">K3856-L3856</f>
        <v>54.6</v>
      </c>
      <c r="N3856" s="17" t="n">
        <f aca="false">IFERROR(M3856/K3856,0)</f>
        <v>0.630484988452656</v>
      </c>
    </row>
    <row r="3857" customFormat="false" ht="15" hidden="false" customHeight="false" outlineLevel="0" collapsed="false">
      <c r="A3857" s="15" t="n">
        <v>46183</v>
      </c>
      <c r="B3857" s="14" t="s">
        <v>88</v>
      </c>
      <c r="C3857" s="14" t="s">
        <v>89</v>
      </c>
      <c r="D3857" s="14" t="s">
        <v>44</v>
      </c>
      <c r="E3857" s="14" t="s">
        <v>64</v>
      </c>
      <c r="F3857" s="14" t="s">
        <v>94</v>
      </c>
      <c r="G3857" s="14" t="s">
        <v>95</v>
      </c>
      <c r="H3857" s="0" t="n">
        <v>1</v>
      </c>
      <c r="I3857" s="16" t="n">
        <v>91.21</v>
      </c>
      <c r="J3857" s="16" t="n">
        <v>42</v>
      </c>
      <c r="K3857" s="16" t="n">
        <f aca="false">H3857*I3857</f>
        <v>91.21</v>
      </c>
      <c r="L3857" s="16" t="n">
        <f aca="false">H3857*J3857</f>
        <v>42</v>
      </c>
      <c r="M3857" s="16" t="n">
        <f aca="false">K3857-L3857</f>
        <v>49.21</v>
      </c>
      <c r="N3857" s="17" t="n">
        <f aca="false">IFERROR(M3857/K3857,0)</f>
        <v>0.539524174980814</v>
      </c>
    </row>
    <row r="3858" customFormat="false" ht="15" hidden="false" customHeight="false" outlineLevel="0" collapsed="false">
      <c r="A3858" s="15" t="n">
        <v>46183</v>
      </c>
      <c r="B3858" s="14" t="s">
        <v>88</v>
      </c>
      <c r="C3858" s="14" t="s">
        <v>89</v>
      </c>
      <c r="D3858" s="14" t="s">
        <v>44</v>
      </c>
      <c r="E3858" s="14" t="s">
        <v>56</v>
      </c>
      <c r="F3858" s="14" t="s">
        <v>67</v>
      </c>
      <c r="G3858" s="14" t="s">
        <v>68</v>
      </c>
      <c r="H3858" s="0" t="n">
        <v>3</v>
      </c>
      <c r="I3858" s="16" t="n">
        <v>37.08</v>
      </c>
      <c r="J3858" s="16" t="n">
        <v>15</v>
      </c>
      <c r="K3858" s="16" t="n">
        <f aca="false">H3858*I3858</f>
        <v>111.24</v>
      </c>
      <c r="L3858" s="16" t="n">
        <f aca="false">H3858*J3858</f>
        <v>45</v>
      </c>
      <c r="M3858" s="16" t="n">
        <f aca="false">K3858-L3858</f>
        <v>66.24</v>
      </c>
      <c r="N3858" s="17" t="n">
        <f aca="false">IFERROR(M3858/K3858,0)</f>
        <v>0.595469255663431</v>
      </c>
    </row>
    <row r="3859" customFormat="false" ht="15" hidden="false" customHeight="false" outlineLevel="0" collapsed="false">
      <c r="A3859" s="15" t="n">
        <v>46183</v>
      </c>
      <c r="B3859" s="14" t="s">
        <v>88</v>
      </c>
      <c r="C3859" s="14" t="s">
        <v>89</v>
      </c>
      <c r="D3859" s="14" t="s">
        <v>44</v>
      </c>
      <c r="E3859" s="14" t="s">
        <v>45</v>
      </c>
      <c r="F3859" s="14" t="s">
        <v>46</v>
      </c>
      <c r="G3859" s="14" t="s">
        <v>47</v>
      </c>
      <c r="H3859" s="0" t="n">
        <v>2</v>
      </c>
      <c r="I3859" s="16" t="n">
        <v>41.53</v>
      </c>
      <c r="J3859" s="16" t="n">
        <v>18</v>
      </c>
      <c r="K3859" s="16" t="n">
        <f aca="false">H3859*I3859</f>
        <v>83.06</v>
      </c>
      <c r="L3859" s="16" t="n">
        <f aca="false">H3859*J3859</f>
        <v>36</v>
      </c>
      <c r="M3859" s="16" t="n">
        <f aca="false">K3859-L3859</f>
        <v>47.06</v>
      </c>
      <c r="N3859" s="17" t="n">
        <f aca="false">IFERROR(M3859/K3859,0)</f>
        <v>0.566578377076812</v>
      </c>
    </row>
    <row r="3860" customFormat="false" ht="15" hidden="false" customHeight="false" outlineLevel="0" collapsed="false">
      <c r="A3860" s="15" t="n">
        <v>46183</v>
      </c>
      <c r="B3860" s="14" t="s">
        <v>88</v>
      </c>
      <c r="C3860" s="14" t="s">
        <v>89</v>
      </c>
      <c r="D3860" s="14" t="s">
        <v>44</v>
      </c>
      <c r="E3860" s="14" t="s">
        <v>76</v>
      </c>
      <c r="F3860" s="14" t="s">
        <v>77</v>
      </c>
      <c r="G3860" s="14" t="s">
        <v>78</v>
      </c>
      <c r="H3860" s="0" t="n">
        <v>10</v>
      </c>
      <c r="I3860" s="16" t="n">
        <v>39.93</v>
      </c>
      <c r="J3860" s="16" t="n">
        <v>15</v>
      </c>
      <c r="K3860" s="16" t="n">
        <f aca="false">H3860*I3860</f>
        <v>399.3</v>
      </c>
      <c r="L3860" s="16" t="n">
        <f aca="false">H3860*J3860</f>
        <v>150</v>
      </c>
      <c r="M3860" s="16" t="n">
        <f aca="false">K3860-L3860</f>
        <v>249.3</v>
      </c>
      <c r="N3860" s="17" t="n">
        <f aca="false">IFERROR(M3860/K3860,0)</f>
        <v>0.624342599549211</v>
      </c>
    </row>
    <row r="3861" customFormat="false" ht="15" hidden="false" customHeight="false" outlineLevel="0" collapsed="false">
      <c r="A3861" s="15" t="n">
        <v>46184</v>
      </c>
      <c r="B3861" s="14" t="s">
        <v>42</v>
      </c>
      <c r="C3861" s="14" t="s">
        <v>43</v>
      </c>
      <c r="D3861" s="14" t="s">
        <v>44</v>
      </c>
      <c r="E3861" s="14" t="s">
        <v>45</v>
      </c>
      <c r="F3861" s="14" t="s">
        <v>72</v>
      </c>
      <c r="G3861" s="14" t="s">
        <v>73</v>
      </c>
      <c r="H3861" s="0" t="n">
        <v>1</v>
      </c>
      <c r="I3861" s="16" t="n">
        <v>50.36</v>
      </c>
      <c r="J3861" s="16" t="n">
        <v>21</v>
      </c>
      <c r="K3861" s="16" t="n">
        <f aca="false">H3861*I3861</f>
        <v>50.36</v>
      </c>
      <c r="L3861" s="16" t="n">
        <f aca="false">H3861*J3861</f>
        <v>21</v>
      </c>
      <c r="M3861" s="16" t="n">
        <f aca="false">K3861-L3861</f>
        <v>29.36</v>
      </c>
      <c r="N3861" s="17" t="n">
        <f aca="false">IFERROR(M3861/K3861,0)</f>
        <v>0.583002382843527</v>
      </c>
    </row>
    <row r="3862" customFormat="false" ht="15" hidden="false" customHeight="false" outlineLevel="0" collapsed="false">
      <c r="A3862" s="15" t="n">
        <v>46184</v>
      </c>
      <c r="B3862" s="14" t="s">
        <v>42</v>
      </c>
      <c r="C3862" s="14" t="s">
        <v>43</v>
      </c>
      <c r="D3862" s="14" t="s">
        <v>44</v>
      </c>
      <c r="E3862" s="14" t="s">
        <v>53</v>
      </c>
      <c r="F3862" s="14" t="s">
        <v>84</v>
      </c>
      <c r="G3862" s="14" t="s">
        <v>85</v>
      </c>
      <c r="H3862" s="0" t="n">
        <v>2</v>
      </c>
      <c r="I3862" s="16" t="n">
        <v>23.54</v>
      </c>
      <c r="J3862" s="16" t="n">
        <v>9</v>
      </c>
      <c r="K3862" s="16" t="n">
        <f aca="false">H3862*I3862</f>
        <v>47.08</v>
      </c>
      <c r="L3862" s="16" t="n">
        <f aca="false">H3862*J3862</f>
        <v>18</v>
      </c>
      <c r="M3862" s="16" t="n">
        <f aca="false">K3862-L3862</f>
        <v>29.08</v>
      </c>
      <c r="N3862" s="17" t="n">
        <f aca="false">IFERROR(M3862/K3862,0)</f>
        <v>0.61767204757859</v>
      </c>
    </row>
    <row r="3863" customFormat="false" ht="15" hidden="false" customHeight="false" outlineLevel="0" collapsed="false">
      <c r="A3863" s="15" t="n">
        <v>46184</v>
      </c>
      <c r="B3863" s="14" t="s">
        <v>42</v>
      </c>
      <c r="C3863" s="14" t="s">
        <v>43</v>
      </c>
      <c r="D3863" s="14" t="s">
        <v>44</v>
      </c>
      <c r="E3863" s="14" t="s">
        <v>53</v>
      </c>
      <c r="F3863" s="14" t="s">
        <v>54</v>
      </c>
      <c r="G3863" s="14" t="s">
        <v>55</v>
      </c>
      <c r="H3863" s="0" t="n">
        <v>10</v>
      </c>
      <c r="I3863" s="16" t="n">
        <v>52.37</v>
      </c>
      <c r="J3863" s="16" t="n">
        <v>22</v>
      </c>
      <c r="K3863" s="16" t="n">
        <f aca="false">H3863*I3863</f>
        <v>523.7</v>
      </c>
      <c r="L3863" s="16" t="n">
        <f aca="false">H3863*J3863</f>
        <v>220</v>
      </c>
      <c r="M3863" s="16" t="n">
        <f aca="false">K3863-L3863</f>
        <v>303.7</v>
      </c>
      <c r="N3863" s="17" t="n">
        <f aca="false">IFERROR(M3863/K3863,0)</f>
        <v>0.579912163452358</v>
      </c>
    </row>
    <row r="3864" customFormat="false" ht="15" hidden="false" customHeight="false" outlineLevel="0" collapsed="false">
      <c r="A3864" s="15" t="n">
        <v>46184</v>
      </c>
      <c r="B3864" s="14" t="s">
        <v>42</v>
      </c>
      <c r="C3864" s="14" t="s">
        <v>43</v>
      </c>
      <c r="D3864" s="14" t="s">
        <v>44</v>
      </c>
      <c r="E3864" s="14" t="s">
        <v>53</v>
      </c>
      <c r="F3864" s="14" t="s">
        <v>92</v>
      </c>
      <c r="G3864" s="14" t="s">
        <v>93</v>
      </c>
      <c r="H3864" s="0" t="n">
        <v>12</v>
      </c>
      <c r="I3864" s="16" t="n">
        <v>114.39</v>
      </c>
      <c r="J3864" s="16" t="n">
        <v>52</v>
      </c>
      <c r="K3864" s="16" t="n">
        <f aca="false">H3864*I3864</f>
        <v>1372.68</v>
      </c>
      <c r="L3864" s="16" t="n">
        <f aca="false">H3864*J3864</f>
        <v>624</v>
      </c>
      <c r="M3864" s="16" t="n">
        <f aca="false">K3864-L3864</f>
        <v>748.68</v>
      </c>
      <c r="N3864" s="17" t="n">
        <f aca="false">IFERROR(M3864/K3864,0)</f>
        <v>0.5454148089868</v>
      </c>
    </row>
    <row r="3865" customFormat="false" ht="15" hidden="false" customHeight="false" outlineLevel="0" collapsed="false">
      <c r="A3865" s="15" t="n">
        <v>46184</v>
      </c>
      <c r="B3865" s="14" t="s">
        <v>42</v>
      </c>
      <c r="C3865" s="14" t="s">
        <v>43</v>
      </c>
      <c r="D3865" s="14" t="s">
        <v>44</v>
      </c>
      <c r="E3865" s="14" t="s">
        <v>76</v>
      </c>
      <c r="F3865" s="14" t="s">
        <v>100</v>
      </c>
      <c r="G3865" s="14" t="s">
        <v>101</v>
      </c>
      <c r="H3865" s="0" t="n">
        <v>12</v>
      </c>
      <c r="I3865" s="16" t="n">
        <v>15.41</v>
      </c>
      <c r="J3865" s="16" t="n">
        <v>5.5</v>
      </c>
      <c r="K3865" s="16" t="n">
        <f aca="false">H3865*I3865</f>
        <v>184.92</v>
      </c>
      <c r="L3865" s="16" t="n">
        <f aca="false">H3865*J3865</f>
        <v>66</v>
      </c>
      <c r="M3865" s="16" t="n">
        <f aca="false">K3865-L3865</f>
        <v>118.92</v>
      </c>
      <c r="N3865" s="17" t="n">
        <f aca="false">IFERROR(M3865/K3865,0)</f>
        <v>0.643088903309539</v>
      </c>
    </row>
    <row r="3866" customFormat="false" ht="15" hidden="false" customHeight="false" outlineLevel="0" collapsed="false">
      <c r="A3866" s="15" t="n">
        <v>46184</v>
      </c>
      <c r="B3866" s="14" t="s">
        <v>42</v>
      </c>
      <c r="C3866" s="14" t="s">
        <v>43</v>
      </c>
      <c r="D3866" s="14" t="s">
        <v>44</v>
      </c>
      <c r="E3866" s="14" t="s">
        <v>76</v>
      </c>
      <c r="F3866" s="14" t="s">
        <v>102</v>
      </c>
      <c r="G3866" s="14" t="s">
        <v>103</v>
      </c>
      <c r="H3866" s="0" t="n">
        <v>4</v>
      </c>
      <c r="I3866" s="16" t="n">
        <v>22.35</v>
      </c>
      <c r="J3866" s="16" t="n">
        <v>8.5</v>
      </c>
      <c r="K3866" s="16" t="n">
        <f aca="false">H3866*I3866</f>
        <v>89.4</v>
      </c>
      <c r="L3866" s="16" t="n">
        <f aca="false">H3866*J3866</f>
        <v>34</v>
      </c>
      <c r="M3866" s="16" t="n">
        <f aca="false">K3866-L3866</f>
        <v>55.4</v>
      </c>
      <c r="N3866" s="17" t="n">
        <f aca="false">IFERROR(M3866/K3866,0)</f>
        <v>0.619686800894855</v>
      </c>
    </row>
    <row r="3867" customFormat="false" ht="15" hidden="false" customHeight="false" outlineLevel="0" collapsed="false">
      <c r="A3867" s="15" t="n">
        <v>46184</v>
      </c>
      <c r="B3867" s="14" t="s">
        <v>50</v>
      </c>
      <c r="C3867" s="14" t="s">
        <v>51</v>
      </c>
      <c r="D3867" s="14" t="s">
        <v>52</v>
      </c>
      <c r="E3867" s="14" t="s">
        <v>56</v>
      </c>
      <c r="F3867" s="14" t="s">
        <v>67</v>
      </c>
      <c r="G3867" s="14" t="s">
        <v>68</v>
      </c>
      <c r="H3867" s="0" t="n">
        <v>5</v>
      </c>
      <c r="I3867" s="16" t="n">
        <v>36.61</v>
      </c>
      <c r="J3867" s="16" t="n">
        <v>15</v>
      </c>
      <c r="K3867" s="16" t="n">
        <f aca="false">H3867*I3867</f>
        <v>183.05</v>
      </c>
      <c r="L3867" s="16" t="n">
        <f aca="false">H3867*J3867</f>
        <v>75</v>
      </c>
      <c r="M3867" s="16" t="n">
        <f aca="false">K3867-L3867</f>
        <v>108.05</v>
      </c>
      <c r="N3867" s="17" t="n">
        <f aca="false">IFERROR(M3867/K3867,0)</f>
        <v>0.590275880906856</v>
      </c>
    </row>
    <row r="3868" customFormat="false" ht="15" hidden="false" customHeight="false" outlineLevel="0" collapsed="false">
      <c r="A3868" s="15" t="n">
        <v>46184</v>
      </c>
      <c r="B3868" s="14" t="s">
        <v>50</v>
      </c>
      <c r="C3868" s="14" t="s">
        <v>51</v>
      </c>
      <c r="D3868" s="14" t="s">
        <v>52</v>
      </c>
      <c r="E3868" s="14" t="s">
        <v>76</v>
      </c>
      <c r="F3868" s="14" t="s">
        <v>100</v>
      </c>
      <c r="G3868" s="14" t="s">
        <v>101</v>
      </c>
      <c r="H3868" s="0" t="n">
        <v>8</v>
      </c>
      <c r="I3868" s="16" t="n">
        <v>15.74</v>
      </c>
      <c r="J3868" s="16" t="n">
        <v>5.5</v>
      </c>
      <c r="K3868" s="16" t="n">
        <f aca="false">H3868*I3868</f>
        <v>125.92</v>
      </c>
      <c r="L3868" s="16" t="n">
        <f aca="false">H3868*J3868</f>
        <v>44</v>
      </c>
      <c r="M3868" s="16" t="n">
        <f aca="false">K3868-L3868</f>
        <v>81.92</v>
      </c>
      <c r="N3868" s="17" t="n">
        <f aca="false">IFERROR(M3868/K3868,0)</f>
        <v>0.650571791613723</v>
      </c>
    </row>
    <row r="3869" customFormat="false" ht="15" hidden="false" customHeight="false" outlineLevel="0" collapsed="false">
      <c r="A3869" s="15" t="n">
        <v>46184</v>
      </c>
      <c r="B3869" s="14" t="s">
        <v>50</v>
      </c>
      <c r="C3869" s="14" t="s">
        <v>51</v>
      </c>
      <c r="D3869" s="14" t="s">
        <v>52</v>
      </c>
      <c r="E3869" s="14" t="s">
        <v>76</v>
      </c>
      <c r="F3869" s="14" t="s">
        <v>102</v>
      </c>
      <c r="G3869" s="14" t="s">
        <v>103</v>
      </c>
      <c r="H3869" s="0" t="n">
        <v>4</v>
      </c>
      <c r="I3869" s="16" t="n">
        <v>23.04</v>
      </c>
      <c r="J3869" s="16" t="n">
        <v>8.5</v>
      </c>
      <c r="K3869" s="16" t="n">
        <f aca="false">H3869*I3869</f>
        <v>92.16</v>
      </c>
      <c r="L3869" s="16" t="n">
        <f aca="false">H3869*J3869</f>
        <v>34</v>
      </c>
      <c r="M3869" s="16" t="n">
        <f aca="false">K3869-L3869</f>
        <v>58.16</v>
      </c>
      <c r="N3869" s="17" t="n">
        <f aca="false">IFERROR(M3869/K3869,0)</f>
        <v>0.631076388888889</v>
      </c>
    </row>
    <row r="3870" customFormat="false" ht="15" hidden="false" customHeight="false" outlineLevel="0" collapsed="false">
      <c r="A3870" s="15" t="n">
        <v>46184</v>
      </c>
      <c r="B3870" s="14" t="s">
        <v>50</v>
      </c>
      <c r="C3870" s="14" t="s">
        <v>51</v>
      </c>
      <c r="D3870" s="14" t="s">
        <v>52</v>
      </c>
      <c r="E3870" s="14" t="s">
        <v>76</v>
      </c>
      <c r="F3870" s="14" t="s">
        <v>79</v>
      </c>
      <c r="G3870" s="14" t="s">
        <v>80</v>
      </c>
      <c r="H3870" s="0" t="n">
        <v>3</v>
      </c>
      <c r="I3870" s="16" t="n">
        <v>29.55</v>
      </c>
      <c r="J3870" s="16" t="n">
        <v>11</v>
      </c>
      <c r="K3870" s="16" t="n">
        <f aca="false">H3870*I3870</f>
        <v>88.65</v>
      </c>
      <c r="L3870" s="16" t="n">
        <f aca="false">H3870*J3870</f>
        <v>33</v>
      </c>
      <c r="M3870" s="16" t="n">
        <f aca="false">K3870-L3870</f>
        <v>55.65</v>
      </c>
      <c r="N3870" s="17" t="n">
        <f aca="false">IFERROR(M3870/K3870,0)</f>
        <v>0.627749576988156</v>
      </c>
    </row>
    <row r="3871" customFormat="false" ht="15" hidden="false" customHeight="false" outlineLevel="0" collapsed="false">
      <c r="A3871" s="15" t="n">
        <v>46184</v>
      </c>
      <c r="B3871" s="14" t="s">
        <v>59</v>
      </c>
      <c r="C3871" s="14" t="s">
        <v>60</v>
      </c>
      <c r="D3871" s="14" t="s">
        <v>61</v>
      </c>
      <c r="E3871" s="14" t="s">
        <v>76</v>
      </c>
      <c r="F3871" s="14" t="s">
        <v>79</v>
      </c>
      <c r="G3871" s="14" t="s">
        <v>80</v>
      </c>
      <c r="H3871" s="0" t="n">
        <v>3</v>
      </c>
      <c r="I3871" s="16" t="n">
        <v>29.84</v>
      </c>
      <c r="J3871" s="16" t="n">
        <v>11</v>
      </c>
      <c r="K3871" s="16" t="n">
        <f aca="false">H3871*I3871</f>
        <v>89.52</v>
      </c>
      <c r="L3871" s="16" t="n">
        <f aca="false">H3871*J3871</f>
        <v>33</v>
      </c>
      <c r="M3871" s="16" t="n">
        <f aca="false">K3871-L3871</f>
        <v>56.52</v>
      </c>
      <c r="N3871" s="17" t="n">
        <f aca="false">IFERROR(M3871/K3871,0)</f>
        <v>0.631367292225201</v>
      </c>
    </row>
    <row r="3872" customFormat="false" ht="15" hidden="false" customHeight="false" outlineLevel="0" collapsed="false">
      <c r="A3872" s="15" t="n">
        <v>46184</v>
      </c>
      <c r="B3872" s="14" t="s">
        <v>59</v>
      </c>
      <c r="C3872" s="14" t="s">
        <v>60</v>
      </c>
      <c r="D3872" s="14" t="s">
        <v>61</v>
      </c>
      <c r="E3872" s="14" t="s">
        <v>45</v>
      </c>
      <c r="F3872" s="14" t="s">
        <v>48</v>
      </c>
      <c r="G3872" s="14" t="s">
        <v>49</v>
      </c>
      <c r="H3872" s="0" t="n">
        <v>1</v>
      </c>
      <c r="I3872" s="16" t="n">
        <v>63.41</v>
      </c>
      <c r="J3872" s="16" t="n">
        <v>27.5</v>
      </c>
      <c r="K3872" s="16" t="n">
        <f aca="false">H3872*I3872</f>
        <v>63.41</v>
      </c>
      <c r="L3872" s="16" t="n">
        <f aca="false">H3872*J3872</f>
        <v>27.5</v>
      </c>
      <c r="M3872" s="16" t="n">
        <f aca="false">K3872-L3872</f>
        <v>35.91</v>
      </c>
      <c r="N3872" s="17" t="n">
        <f aca="false">IFERROR(M3872/K3872,0)</f>
        <v>0.566314461441413</v>
      </c>
    </row>
    <row r="3873" customFormat="false" ht="15" hidden="false" customHeight="false" outlineLevel="0" collapsed="false">
      <c r="A3873" s="15" t="n">
        <v>46184</v>
      </c>
      <c r="B3873" s="14" t="s">
        <v>59</v>
      </c>
      <c r="C3873" s="14" t="s">
        <v>60</v>
      </c>
      <c r="D3873" s="14" t="s">
        <v>61</v>
      </c>
      <c r="E3873" s="14" t="s">
        <v>76</v>
      </c>
      <c r="F3873" s="14" t="s">
        <v>102</v>
      </c>
      <c r="G3873" s="14" t="s">
        <v>103</v>
      </c>
      <c r="H3873" s="0" t="n">
        <v>4</v>
      </c>
      <c r="I3873" s="16" t="n">
        <v>23.21</v>
      </c>
      <c r="J3873" s="16" t="n">
        <v>8.5</v>
      </c>
      <c r="K3873" s="16" t="n">
        <f aca="false">H3873*I3873</f>
        <v>92.84</v>
      </c>
      <c r="L3873" s="16" t="n">
        <f aca="false">H3873*J3873</f>
        <v>34</v>
      </c>
      <c r="M3873" s="16" t="n">
        <f aca="false">K3873-L3873</f>
        <v>58.84</v>
      </c>
      <c r="N3873" s="17" t="n">
        <f aca="false">IFERROR(M3873/K3873,0)</f>
        <v>0.63377854373115</v>
      </c>
    </row>
    <row r="3874" customFormat="false" ht="15" hidden="false" customHeight="false" outlineLevel="0" collapsed="false">
      <c r="A3874" s="15" t="n">
        <v>46184</v>
      </c>
      <c r="B3874" s="14" t="s">
        <v>59</v>
      </c>
      <c r="C3874" s="14" t="s">
        <v>60</v>
      </c>
      <c r="D3874" s="14" t="s">
        <v>61</v>
      </c>
      <c r="E3874" s="14" t="s">
        <v>53</v>
      </c>
      <c r="F3874" s="14" t="s">
        <v>74</v>
      </c>
      <c r="G3874" s="14" t="s">
        <v>75</v>
      </c>
      <c r="H3874" s="0" t="n">
        <v>5</v>
      </c>
      <c r="I3874" s="16" t="n">
        <v>82.81</v>
      </c>
      <c r="J3874" s="16" t="n">
        <v>38</v>
      </c>
      <c r="K3874" s="16" t="n">
        <f aca="false">H3874*I3874</f>
        <v>414.05</v>
      </c>
      <c r="L3874" s="16" t="n">
        <f aca="false">H3874*J3874</f>
        <v>190</v>
      </c>
      <c r="M3874" s="16" t="n">
        <f aca="false">K3874-L3874</f>
        <v>224.05</v>
      </c>
      <c r="N3874" s="17" t="n">
        <f aca="false">IFERROR(M3874/K3874,0)</f>
        <v>0.541118222436904</v>
      </c>
    </row>
    <row r="3875" customFormat="false" ht="15" hidden="false" customHeight="false" outlineLevel="0" collapsed="false">
      <c r="A3875" s="15" t="n">
        <v>46184</v>
      </c>
      <c r="B3875" s="14" t="s">
        <v>59</v>
      </c>
      <c r="C3875" s="14" t="s">
        <v>60</v>
      </c>
      <c r="D3875" s="14" t="s">
        <v>61</v>
      </c>
      <c r="E3875" s="14" t="s">
        <v>45</v>
      </c>
      <c r="F3875" s="14" t="s">
        <v>46</v>
      </c>
      <c r="G3875" s="14" t="s">
        <v>47</v>
      </c>
      <c r="H3875" s="0" t="n">
        <v>5</v>
      </c>
      <c r="I3875" s="16" t="n">
        <v>41.65</v>
      </c>
      <c r="J3875" s="16" t="n">
        <v>18</v>
      </c>
      <c r="K3875" s="16" t="n">
        <f aca="false">H3875*I3875</f>
        <v>208.25</v>
      </c>
      <c r="L3875" s="16" t="n">
        <f aca="false">H3875*J3875</f>
        <v>90</v>
      </c>
      <c r="M3875" s="16" t="n">
        <f aca="false">K3875-L3875</f>
        <v>118.25</v>
      </c>
      <c r="N3875" s="17" t="n">
        <f aca="false">IFERROR(M3875/K3875,0)</f>
        <v>0.567827130852341</v>
      </c>
    </row>
    <row r="3876" customFormat="false" ht="15" hidden="false" customHeight="false" outlineLevel="0" collapsed="false">
      <c r="A3876" s="15" t="n">
        <v>46184</v>
      </c>
      <c r="B3876" s="14" t="s">
        <v>69</v>
      </c>
      <c r="C3876" s="14" t="s">
        <v>70</v>
      </c>
      <c r="D3876" s="14" t="s">
        <v>71</v>
      </c>
      <c r="E3876" s="14" t="s">
        <v>76</v>
      </c>
      <c r="F3876" s="14" t="s">
        <v>102</v>
      </c>
      <c r="G3876" s="14" t="s">
        <v>103</v>
      </c>
      <c r="H3876" s="0" t="n">
        <v>8</v>
      </c>
      <c r="I3876" s="16" t="n">
        <v>22.14</v>
      </c>
      <c r="J3876" s="16" t="n">
        <v>8.5</v>
      </c>
      <c r="K3876" s="16" t="n">
        <f aca="false">H3876*I3876</f>
        <v>177.12</v>
      </c>
      <c r="L3876" s="16" t="n">
        <f aca="false">H3876*J3876</f>
        <v>68</v>
      </c>
      <c r="M3876" s="16" t="n">
        <f aca="false">K3876-L3876</f>
        <v>109.12</v>
      </c>
      <c r="N3876" s="17" t="n">
        <f aca="false">IFERROR(M3876/K3876,0)</f>
        <v>0.616079494128275</v>
      </c>
    </row>
    <row r="3877" customFormat="false" ht="15" hidden="false" customHeight="false" outlineLevel="0" collapsed="false">
      <c r="A3877" s="15" t="n">
        <v>46184</v>
      </c>
      <c r="B3877" s="14" t="s">
        <v>69</v>
      </c>
      <c r="C3877" s="14" t="s">
        <v>70</v>
      </c>
      <c r="D3877" s="14" t="s">
        <v>71</v>
      </c>
      <c r="E3877" s="14" t="s">
        <v>53</v>
      </c>
      <c r="F3877" s="14" t="s">
        <v>84</v>
      </c>
      <c r="G3877" s="14" t="s">
        <v>85</v>
      </c>
      <c r="H3877" s="0" t="n">
        <v>3</v>
      </c>
      <c r="I3877" s="16" t="n">
        <v>24.36</v>
      </c>
      <c r="J3877" s="16" t="n">
        <v>9</v>
      </c>
      <c r="K3877" s="16" t="n">
        <f aca="false">H3877*I3877</f>
        <v>73.08</v>
      </c>
      <c r="L3877" s="16" t="n">
        <f aca="false">H3877*J3877</f>
        <v>27</v>
      </c>
      <c r="M3877" s="16" t="n">
        <f aca="false">K3877-L3877</f>
        <v>46.08</v>
      </c>
      <c r="N3877" s="17" t="n">
        <f aca="false">IFERROR(M3877/K3877,0)</f>
        <v>0.630541871921182</v>
      </c>
    </row>
    <row r="3878" customFormat="false" ht="15" hidden="false" customHeight="false" outlineLevel="0" collapsed="false">
      <c r="A3878" s="15" t="n">
        <v>46184</v>
      </c>
      <c r="B3878" s="14" t="s">
        <v>81</v>
      </c>
      <c r="C3878" s="14" t="s">
        <v>82</v>
      </c>
      <c r="D3878" s="14" t="s">
        <v>83</v>
      </c>
      <c r="E3878" s="14" t="s">
        <v>76</v>
      </c>
      <c r="F3878" s="14" t="s">
        <v>102</v>
      </c>
      <c r="G3878" s="14" t="s">
        <v>103</v>
      </c>
      <c r="H3878" s="0" t="n">
        <v>6</v>
      </c>
      <c r="I3878" s="16" t="n">
        <v>22.82</v>
      </c>
      <c r="J3878" s="16" t="n">
        <v>8.5</v>
      </c>
      <c r="K3878" s="16" t="n">
        <f aca="false">H3878*I3878</f>
        <v>136.92</v>
      </c>
      <c r="L3878" s="16" t="n">
        <f aca="false">H3878*J3878</f>
        <v>51</v>
      </c>
      <c r="M3878" s="16" t="n">
        <f aca="false">K3878-L3878</f>
        <v>85.92</v>
      </c>
      <c r="N3878" s="17" t="n">
        <f aca="false">IFERROR(M3878/K3878,0)</f>
        <v>0.627519719544259</v>
      </c>
    </row>
    <row r="3879" customFormat="false" ht="15" hidden="false" customHeight="false" outlineLevel="0" collapsed="false">
      <c r="A3879" s="15" t="n">
        <v>46184</v>
      </c>
      <c r="B3879" s="14" t="s">
        <v>81</v>
      </c>
      <c r="C3879" s="14" t="s">
        <v>82</v>
      </c>
      <c r="D3879" s="14" t="s">
        <v>83</v>
      </c>
      <c r="E3879" s="14" t="s">
        <v>56</v>
      </c>
      <c r="F3879" s="14" t="s">
        <v>57</v>
      </c>
      <c r="G3879" s="14" t="s">
        <v>58</v>
      </c>
      <c r="H3879" s="0" t="n">
        <v>2</v>
      </c>
      <c r="I3879" s="16" t="n">
        <v>25.92</v>
      </c>
      <c r="J3879" s="16" t="n">
        <v>10</v>
      </c>
      <c r="K3879" s="16" t="n">
        <f aca="false">H3879*I3879</f>
        <v>51.84</v>
      </c>
      <c r="L3879" s="16" t="n">
        <f aca="false">H3879*J3879</f>
        <v>20</v>
      </c>
      <c r="M3879" s="16" t="n">
        <f aca="false">K3879-L3879</f>
        <v>31.84</v>
      </c>
      <c r="N3879" s="17" t="n">
        <f aca="false">IFERROR(M3879/K3879,0)</f>
        <v>0.614197530864198</v>
      </c>
    </row>
    <row r="3880" customFormat="false" ht="15" hidden="false" customHeight="false" outlineLevel="0" collapsed="false">
      <c r="A3880" s="15" t="n">
        <v>46184</v>
      </c>
      <c r="B3880" s="14" t="s">
        <v>81</v>
      </c>
      <c r="C3880" s="14" t="s">
        <v>82</v>
      </c>
      <c r="D3880" s="14" t="s">
        <v>83</v>
      </c>
      <c r="E3880" s="14" t="s">
        <v>53</v>
      </c>
      <c r="F3880" s="14" t="s">
        <v>84</v>
      </c>
      <c r="G3880" s="14" t="s">
        <v>85</v>
      </c>
      <c r="H3880" s="0" t="n">
        <v>8</v>
      </c>
      <c r="I3880" s="16" t="n">
        <v>24.8</v>
      </c>
      <c r="J3880" s="16" t="n">
        <v>9</v>
      </c>
      <c r="K3880" s="16" t="n">
        <f aca="false">H3880*I3880</f>
        <v>198.4</v>
      </c>
      <c r="L3880" s="16" t="n">
        <f aca="false">H3880*J3880</f>
        <v>72</v>
      </c>
      <c r="M3880" s="16" t="n">
        <f aca="false">K3880-L3880</f>
        <v>126.4</v>
      </c>
      <c r="N3880" s="17" t="n">
        <f aca="false">IFERROR(M3880/K3880,0)</f>
        <v>0.637096774193548</v>
      </c>
    </row>
    <row r="3881" customFormat="false" ht="15" hidden="false" customHeight="false" outlineLevel="0" collapsed="false">
      <c r="A3881" s="15" t="n">
        <v>46184</v>
      </c>
      <c r="B3881" s="14" t="s">
        <v>81</v>
      </c>
      <c r="C3881" s="14" t="s">
        <v>82</v>
      </c>
      <c r="D3881" s="14" t="s">
        <v>83</v>
      </c>
      <c r="E3881" s="14" t="s">
        <v>64</v>
      </c>
      <c r="F3881" s="14" t="s">
        <v>94</v>
      </c>
      <c r="G3881" s="14" t="s">
        <v>95</v>
      </c>
      <c r="H3881" s="0" t="n">
        <v>6</v>
      </c>
      <c r="I3881" s="16" t="n">
        <v>92.27</v>
      </c>
      <c r="J3881" s="16" t="n">
        <v>42</v>
      </c>
      <c r="K3881" s="16" t="n">
        <f aca="false">H3881*I3881</f>
        <v>553.62</v>
      </c>
      <c r="L3881" s="16" t="n">
        <f aca="false">H3881*J3881</f>
        <v>252</v>
      </c>
      <c r="M3881" s="16" t="n">
        <f aca="false">K3881-L3881</f>
        <v>301.62</v>
      </c>
      <c r="N3881" s="17" t="n">
        <f aca="false">IFERROR(M3881/K3881,0)</f>
        <v>0.544814132437412</v>
      </c>
    </row>
    <row r="3882" customFormat="false" ht="15" hidden="false" customHeight="false" outlineLevel="0" collapsed="false">
      <c r="A3882" s="15" t="n">
        <v>46184</v>
      </c>
      <c r="B3882" s="14" t="s">
        <v>88</v>
      </c>
      <c r="C3882" s="14" t="s">
        <v>89</v>
      </c>
      <c r="D3882" s="14" t="s">
        <v>44</v>
      </c>
      <c r="E3882" s="14" t="s">
        <v>53</v>
      </c>
      <c r="F3882" s="14" t="s">
        <v>92</v>
      </c>
      <c r="G3882" s="14" t="s">
        <v>93</v>
      </c>
      <c r="H3882" s="0" t="n">
        <v>4</v>
      </c>
      <c r="I3882" s="16" t="n">
        <v>119.22</v>
      </c>
      <c r="J3882" s="16" t="n">
        <v>52</v>
      </c>
      <c r="K3882" s="16" t="n">
        <f aca="false">H3882*I3882</f>
        <v>476.88</v>
      </c>
      <c r="L3882" s="16" t="n">
        <f aca="false">H3882*J3882</f>
        <v>208</v>
      </c>
      <c r="M3882" s="16" t="n">
        <f aca="false">K3882-L3882</f>
        <v>268.88</v>
      </c>
      <c r="N3882" s="17" t="n">
        <f aca="false">IFERROR(M3882/K3882,0)</f>
        <v>0.563831571883912</v>
      </c>
    </row>
    <row r="3883" customFormat="false" ht="15" hidden="false" customHeight="false" outlineLevel="0" collapsed="false">
      <c r="A3883" s="15" t="n">
        <v>46184</v>
      </c>
      <c r="B3883" s="14" t="s">
        <v>88</v>
      </c>
      <c r="C3883" s="14" t="s">
        <v>89</v>
      </c>
      <c r="D3883" s="14" t="s">
        <v>44</v>
      </c>
      <c r="E3883" s="14" t="s">
        <v>76</v>
      </c>
      <c r="F3883" s="14" t="s">
        <v>77</v>
      </c>
      <c r="G3883" s="14" t="s">
        <v>78</v>
      </c>
      <c r="H3883" s="0" t="n">
        <v>2</v>
      </c>
      <c r="I3883" s="16" t="n">
        <v>40.41</v>
      </c>
      <c r="J3883" s="16" t="n">
        <v>15</v>
      </c>
      <c r="K3883" s="16" t="n">
        <f aca="false">H3883*I3883</f>
        <v>80.82</v>
      </c>
      <c r="L3883" s="16" t="n">
        <f aca="false">H3883*J3883</f>
        <v>30</v>
      </c>
      <c r="M3883" s="16" t="n">
        <f aca="false">K3883-L3883</f>
        <v>50.82</v>
      </c>
      <c r="N3883" s="17" t="n">
        <f aca="false">IFERROR(M3883/K3883,0)</f>
        <v>0.628804751299183</v>
      </c>
    </row>
    <row r="3884" customFormat="false" ht="15" hidden="false" customHeight="false" outlineLevel="0" collapsed="false">
      <c r="A3884" s="15" t="n">
        <v>46185</v>
      </c>
      <c r="B3884" s="14" t="s">
        <v>42</v>
      </c>
      <c r="C3884" s="14" t="s">
        <v>43</v>
      </c>
      <c r="D3884" s="14" t="s">
        <v>44</v>
      </c>
      <c r="E3884" s="14" t="s">
        <v>56</v>
      </c>
      <c r="F3884" s="14" t="s">
        <v>98</v>
      </c>
      <c r="G3884" s="14" t="s">
        <v>99</v>
      </c>
      <c r="H3884" s="0" t="n">
        <v>4</v>
      </c>
      <c r="I3884" s="16" t="n">
        <v>20.58</v>
      </c>
      <c r="J3884" s="16" t="n">
        <v>8</v>
      </c>
      <c r="K3884" s="16" t="n">
        <f aca="false">H3884*I3884</f>
        <v>82.32</v>
      </c>
      <c r="L3884" s="16" t="n">
        <f aca="false">H3884*J3884</f>
        <v>32</v>
      </c>
      <c r="M3884" s="16" t="n">
        <f aca="false">K3884-L3884</f>
        <v>50.32</v>
      </c>
      <c r="N3884" s="17" t="n">
        <f aca="false">IFERROR(M3884/K3884,0)</f>
        <v>0.611273080660836</v>
      </c>
    </row>
    <row r="3885" customFormat="false" ht="15" hidden="false" customHeight="false" outlineLevel="0" collapsed="false">
      <c r="A3885" s="15" t="n">
        <v>46185</v>
      </c>
      <c r="B3885" s="14" t="s">
        <v>42</v>
      </c>
      <c r="C3885" s="14" t="s">
        <v>43</v>
      </c>
      <c r="D3885" s="14" t="s">
        <v>44</v>
      </c>
      <c r="E3885" s="14" t="s">
        <v>45</v>
      </c>
      <c r="F3885" s="14" t="s">
        <v>62</v>
      </c>
      <c r="G3885" s="14" t="s">
        <v>63</v>
      </c>
      <c r="H3885" s="0" t="n">
        <v>5</v>
      </c>
      <c r="I3885" s="16" t="n">
        <v>17.43</v>
      </c>
      <c r="J3885" s="16" t="n">
        <v>6.5</v>
      </c>
      <c r="K3885" s="16" t="n">
        <f aca="false">H3885*I3885</f>
        <v>87.15</v>
      </c>
      <c r="L3885" s="16" t="n">
        <f aca="false">H3885*J3885</f>
        <v>32.5</v>
      </c>
      <c r="M3885" s="16" t="n">
        <f aca="false">K3885-L3885</f>
        <v>54.65</v>
      </c>
      <c r="N3885" s="17" t="n">
        <f aca="false">IFERROR(M3885/K3885,0)</f>
        <v>0.627079747561675</v>
      </c>
    </row>
    <row r="3886" customFormat="false" ht="15" hidden="false" customHeight="false" outlineLevel="0" collapsed="false">
      <c r="A3886" s="15" t="n">
        <v>46185</v>
      </c>
      <c r="B3886" s="14" t="s">
        <v>42</v>
      </c>
      <c r="C3886" s="14" t="s">
        <v>43</v>
      </c>
      <c r="D3886" s="14" t="s">
        <v>44</v>
      </c>
      <c r="E3886" s="14" t="s">
        <v>45</v>
      </c>
      <c r="F3886" s="14" t="s">
        <v>46</v>
      </c>
      <c r="G3886" s="14" t="s">
        <v>47</v>
      </c>
      <c r="H3886" s="0" t="n">
        <v>2</v>
      </c>
      <c r="I3886" s="16" t="n">
        <v>41.61</v>
      </c>
      <c r="J3886" s="16" t="n">
        <v>18</v>
      </c>
      <c r="K3886" s="16" t="n">
        <f aca="false">H3886*I3886</f>
        <v>83.22</v>
      </c>
      <c r="L3886" s="16" t="n">
        <f aca="false">H3886*J3886</f>
        <v>36</v>
      </c>
      <c r="M3886" s="16" t="n">
        <f aca="false">K3886-L3886</f>
        <v>47.22</v>
      </c>
      <c r="N3886" s="17" t="n">
        <f aca="false">IFERROR(M3886/K3886,0)</f>
        <v>0.567411679884643</v>
      </c>
    </row>
    <row r="3887" customFormat="false" ht="15" hidden="false" customHeight="false" outlineLevel="0" collapsed="false">
      <c r="A3887" s="15" t="n">
        <v>46185</v>
      </c>
      <c r="B3887" s="14" t="s">
        <v>50</v>
      </c>
      <c r="C3887" s="14" t="s">
        <v>51</v>
      </c>
      <c r="D3887" s="14" t="s">
        <v>52</v>
      </c>
      <c r="E3887" s="14" t="s">
        <v>45</v>
      </c>
      <c r="F3887" s="14" t="s">
        <v>62</v>
      </c>
      <c r="G3887" s="14" t="s">
        <v>63</v>
      </c>
      <c r="H3887" s="0" t="n">
        <v>8</v>
      </c>
      <c r="I3887" s="16" t="n">
        <v>16.94</v>
      </c>
      <c r="J3887" s="16" t="n">
        <v>6.5</v>
      </c>
      <c r="K3887" s="16" t="n">
        <f aca="false">H3887*I3887</f>
        <v>135.52</v>
      </c>
      <c r="L3887" s="16" t="n">
        <f aca="false">H3887*J3887</f>
        <v>52</v>
      </c>
      <c r="M3887" s="16" t="n">
        <f aca="false">K3887-L3887</f>
        <v>83.52</v>
      </c>
      <c r="N3887" s="17" t="n">
        <f aca="false">IFERROR(M3887/K3887,0)</f>
        <v>0.61629279811098</v>
      </c>
    </row>
    <row r="3888" customFormat="false" ht="15" hidden="false" customHeight="false" outlineLevel="0" collapsed="false">
      <c r="A3888" s="15" t="n">
        <v>46185</v>
      </c>
      <c r="B3888" s="14" t="s">
        <v>50</v>
      </c>
      <c r="C3888" s="14" t="s">
        <v>51</v>
      </c>
      <c r="D3888" s="14" t="s">
        <v>52</v>
      </c>
      <c r="E3888" s="14" t="s">
        <v>53</v>
      </c>
      <c r="F3888" s="14" t="s">
        <v>54</v>
      </c>
      <c r="G3888" s="14" t="s">
        <v>55</v>
      </c>
      <c r="H3888" s="0" t="n">
        <v>12</v>
      </c>
      <c r="I3888" s="16" t="n">
        <v>52.12</v>
      </c>
      <c r="J3888" s="16" t="n">
        <v>22</v>
      </c>
      <c r="K3888" s="16" t="n">
        <f aca="false">H3888*I3888</f>
        <v>625.44</v>
      </c>
      <c r="L3888" s="16" t="n">
        <f aca="false">H3888*J3888</f>
        <v>264</v>
      </c>
      <c r="M3888" s="16" t="n">
        <f aca="false">K3888-L3888</f>
        <v>361.44</v>
      </c>
      <c r="N3888" s="17" t="n">
        <f aca="false">IFERROR(M3888/K3888,0)</f>
        <v>0.577897160399079</v>
      </c>
    </row>
    <row r="3889" customFormat="false" ht="15" hidden="false" customHeight="false" outlineLevel="0" collapsed="false">
      <c r="A3889" s="15" t="n">
        <v>46185</v>
      </c>
      <c r="B3889" s="14" t="s">
        <v>59</v>
      </c>
      <c r="C3889" s="14" t="s">
        <v>60</v>
      </c>
      <c r="D3889" s="14" t="s">
        <v>61</v>
      </c>
      <c r="E3889" s="14" t="s">
        <v>53</v>
      </c>
      <c r="F3889" s="14" t="s">
        <v>84</v>
      </c>
      <c r="G3889" s="14" t="s">
        <v>85</v>
      </c>
      <c r="H3889" s="0" t="n">
        <v>8</v>
      </c>
      <c r="I3889" s="16" t="n">
        <v>24.04</v>
      </c>
      <c r="J3889" s="16" t="n">
        <v>9</v>
      </c>
      <c r="K3889" s="16" t="n">
        <f aca="false">H3889*I3889</f>
        <v>192.32</v>
      </c>
      <c r="L3889" s="16" t="n">
        <f aca="false">H3889*J3889</f>
        <v>72</v>
      </c>
      <c r="M3889" s="16" t="n">
        <f aca="false">K3889-L3889</f>
        <v>120.32</v>
      </c>
      <c r="N3889" s="17" t="n">
        <f aca="false">IFERROR(M3889/K3889,0)</f>
        <v>0.625623960066556</v>
      </c>
    </row>
    <row r="3890" customFormat="false" ht="15" hidden="false" customHeight="false" outlineLevel="0" collapsed="false">
      <c r="A3890" s="15" t="n">
        <v>46185</v>
      </c>
      <c r="B3890" s="14" t="s">
        <v>59</v>
      </c>
      <c r="C3890" s="14" t="s">
        <v>60</v>
      </c>
      <c r="D3890" s="14" t="s">
        <v>61</v>
      </c>
      <c r="E3890" s="14" t="s">
        <v>45</v>
      </c>
      <c r="F3890" s="14" t="s">
        <v>72</v>
      </c>
      <c r="G3890" s="14" t="s">
        <v>73</v>
      </c>
      <c r="H3890" s="0" t="n">
        <v>3</v>
      </c>
      <c r="I3890" s="16" t="n">
        <v>51.11</v>
      </c>
      <c r="J3890" s="16" t="n">
        <v>21</v>
      </c>
      <c r="K3890" s="16" t="n">
        <f aca="false">H3890*I3890</f>
        <v>153.33</v>
      </c>
      <c r="L3890" s="16" t="n">
        <f aca="false">H3890*J3890</f>
        <v>63</v>
      </c>
      <c r="M3890" s="16" t="n">
        <f aca="false">K3890-L3890</f>
        <v>90.33</v>
      </c>
      <c r="N3890" s="17" t="n">
        <f aca="false">IFERROR(M3890/K3890,0)</f>
        <v>0.589121502641362</v>
      </c>
    </row>
    <row r="3891" customFormat="false" ht="15" hidden="false" customHeight="false" outlineLevel="0" collapsed="false">
      <c r="A3891" s="15" t="n">
        <v>46185</v>
      </c>
      <c r="B3891" s="14" t="s">
        <v>59</v>
      </c>
      <c r="C3891" s="14" t="s">
        <v>60</v>
      </c>
      <c r="D3891" s="14" t="s">
        <v>61</v>
      </c>
      <c r="E3891" s="14" t="s">
        <v>76</v>
      </c>
      <c r="F3891" s="14" t="s">
        <v>100</v>
      </c>
      <c r="G3891" s="14" t="s">
        <v>101</v>
      </c>
      <c r="H3891" s="0" t="n">
        <v>8</v>
      </c>
      <c r="I3891" s="16" t="n">
        <v>15.13</v>
      </c>
      <c r="J3891" s="16" t="n">
        <v>5.5</v>
      </c>
      <c r="K3891" s="16" t="n">
        <f aca="false">H3891*I3891</f>
        <v>121.04</v>
      </c>
      <c r="L3891" s="16" t="n">
        <f aca="false">H3891*J3891</f>
        <v>44</v>
      </c>
      <c r="M3891" s="16" t="n">
        <f aca="false">K3891-L3891</f>
        <v>77.04</v>
      </c>
      <c r="N3891" s="17" t="n">
        <f aca="false">IFERROR(M3891/K3891,0)</f>
        <v>0.636483807005948</v>
      </c>
    </row>
    <row r="3892" customFormat="false" ht="15" hidden="false" customHeight="false" outlineLevel="0" collapsed="false">
      <c r="A3892" s="15" t="n">
        <v>46185</v>
      </c>
      <c r="B3892" s="14" t="s">
        <v>59</v>
      </c>
      <c r="C3892" s="14" t="s">
        <v>60</v>
      </c>
      <c r="D3892" s="14" t="s">
        <v>61</v>
      </c>
      <c r="E3892" s="14" t="s">
        <v>76</v>
      </c>
      <c r="F3892" s="14" t="s">
        <v>102</v>
      </c>
      <c r="G3892" s="14" t="s">
        <v>103</v>
      </c>
      <c r="H3892" s="0" t="n">
        <v>8</v>
      </c>
      <c r="I3892" s="16" t="n">
        <v>22.34</v>
      </c>
      <c r="J3892" s="16" t="n">
        <v>8.5</v>
      </c>
      <c r="K3892" s="16" t="n">
        <f aca="false">H3892*I3892</f>
        <v>178.72</v>
      </c>
      <c r="L3892" s="16" t="n">
        <f aca="false">H3892*J3892</f>
        <v>68</v>
      </c>
      <c r="M3892" s="16" t="n">
        <f aca="false">K3892-L3892</f>
        <v>110.72</v>
      </c>
      <c r="N3892" s="17" t="n">
        <f aca="false">IFERROR(M3892/K3892,0)</f>
        <v>0.619516562220233</v>
      </c>
    </row>
    <row r="3893" customFormat="false" ht="15" hidden="false" customHeight="false" outlineLevel="0" collapsed="false">
      <c r="A3893" s="15" t="n">
        <v>46185</v>
      </c>
      <c r="B3893" s="14" t="s">
        <v>59</v>
      </c>
      <c r="C3893" s="14" t="s">
        <v>60</v>
      </c>
      <c r="D3893" s="14" t="s">
        <v>61</v>
      </c>
      <c r="E3893" s="14" t="s">
        <v>53</v>
      </c>
      <c r="F3893" s="14" t="s">
        <v>74</v>
      </c>
      <c r="G3893" s="14" t="s">
        <v>75</v>
      </c>
      <c r="H3893" s="0" t="n">
        <v>7</v>
      </c>
      <c r="I3893" s="16" t="n">
        <v>82.89</v>
      </c>
      <c r="J3893" s="16" t="n">
        <v>38</v>
      </c>
      <c r="K3893" s="16" t="n">
        <f aca="false">H3893*I3893</f>
        <v>580.23</v>
      </c>
      <c r="L3893" s="16" t="n">
        <f aca="false">H3893*J3893</f>
        <v>266</v>
      </c>
      <c r="M3893" s="16" t="n">
        <f aca="false">K3893-L3893</f>
        <v>314.23</v>
      </c>
      <c r="N3893" s="17" t="n">
        <f aca="false">IFERROR(M3893/K3893,0)</f>
        <v>0.54156110507902</v>
      </c>
    </row>
    <row r="3894" customFormat="false" ht="15" hidden="false" customHeight="false" outlineLevel="0" collapsed="false">
      <c r="A3894" s="15" t="n">
        <v>46185</v>
      </c>
      <c r="B3894" s="14" t="s">
        <v>59</v>
      </c>
      <c r="C3894" s="14" t="s">
        <v>60</v>
      </c>
      <c r="D3894" s="14" t="s">
        <v>61</v>
      </c>
      <c r="E3894" s="14" t="s">
        <v>45</v>
      </c>
      <c r="F3894" s="14" t="s">
        <v>72</v>
      </c>
      <c r="G3894" s="14" t="s">
        <v>73</v>
      </c>
      <c r="H3894" s="0" t="n">
        <v>6</v>
      </c>
      <c r="I3894" s="16" t="n">
        <v>51.58</v>
      </c>
      <c r="J3894" s="16" t="n">
        <v>21</v>
      </c>
      <c r="K3894" s="16" t="n">
        <f aca="false">H3894*I3894</f>
        <v>309.48</v>
      </c>
      <c r="L3894" s="16" t="n">
        <f aca="false">H3894*J3894</f>
        <v>126</v>
      </c>
      <c r="M3894" s="16" t="n">
        <f aca="false">K3894-L3894</f>
        <v>183.48</v>
      </c>
      <c r="N3894" s="17" t="n">
        <f aca="false">IFERROR(M3894/K3894,0)</f>
        <v>0.592865451725475</v>
      </c>
    </row>
    <row r="3895" customFormat="false" ht="15" hidden="false" customHeight="false" outlineLevel="0" collapsed="false">
      <c r="A3895" s="15" t="n">
        <v>46185</v>
      </c>
      <c r="B3895" s="14" t="s">
        <v>69</v>
      </c>
      <c r="C3895" s="14" t="s">
        <v>70</v>
      </c>
      <c r="D3895" s="14" t="s">
        <v>71</v>
      </c>
      <c r="E3895" s="14" t="s">
        <v>53</v>
      </c>
      <c r="F3895" s="14" t="s">
        <v>74</v>
      </c>
      <c r="G3895" s="14" t="s">
        <v>75</v>
      </c>
      <c r="H3895" s="0" t="n">
        <v>8</v>
      </c>
      <c r="I3895" s="16" t="n">
        <v>82.26</v>
      </c>
      <c r="J3895" s="16" t="n">
        <v>38</v>
      </c>
      <c r="K3895" s="16" t="n">
        <f aca="false">H3895*I3895</f>
        <v>658.08</v>
      </c>
      <c r="L3895" s="16" t="n">
        <f aca="false">H3895*J3895</f>
        <v>304</v>
      </c>
      <c r="M3895" s="16" t="n">
        <f aca="false">K3895-L3895</f>
        <v>354.08</v>
      </c>
      <c r="N3895" s="17" t="n">
        <f aca="false">IFERROR(M3895/K3895,0)</f>
        <v>0.538050085096037</v>
      </c>
    </row>
    <row r="3896" customFormat="false" ht="15" hidden="false" customHeight="false" outlineLevel="0" collapsed="false">
      <c r="A3896" s="15" t="n">
        <v>46185</v>
      </c>
      <c r="B3896" s="14" t="s">
        <v>69</v>
      </c>
      <c r="C3896" s="14" t="s">
        <v>70</v>
      </c>
      <c r="D3896" s="14" t="s">
        <v>71</v>
      </c>
      <c r="E3896" s="14" t="s">
        <v>53</v>
      </c>
      <c r="F3896" s="14" t="s">
        <v>84</v>
      </c>
      <c r="G3896" s="14" t="s">
        <v>85</v>
      </c>
      <c r="H3896" s="0" t="n">
        <v>2</v>
      </c>
      <c r="I3896" s="16" t="n">
        <v>24.29</v>
      </c>
      <c r="J3896" s="16" t="n">
        <v>9</v>
      </c>
      <c r="K3896" s="16" t="n">
        <f aca="false">H3896*I3896</f>
        <v>48.58</v>
      </c>
      <c r="L3896" s="16" t="n">
        <f aca="false">H3896*J3896</f>
        <v>18</v>
      </c>
      <c r="M3896" s="16" t="n">
        <f aca="false">K3896-L3896</f>
        <v>30.58</v>
      </c>
      <c r="N3896" s="17" t="n">
        <f aca="false">IFERROR(M3896/K3896,0)</f>
        <v>0.629477151090984</v>
      </c>
    </row>
    <row r="3897" customFormat="false" ht="15" hidden="false" customHeight="false" outlineLevel="0" collapsed="false">
      <c r="A3897" s="15" t="n">
        <v>46185</v>
      </c>
      <c r="B3897" s="14" t="s">
        <v>69</v>
      </c>
      <c r="C3897" s="14" t="s">
        <v>70</v>
      </c>
      <c r="D3897" s="14" t="s">
        <v>71</v>
      </c>
      <c r="E3897" s="14" t="s">
        <v>53</v>
      </c>
      <c r="F3897" s="14" t="s">
        <v>74</v>
      </c>
      <c r="G3897" s="14" t="s">
        <v>75</v>
      </c>
      <c r="H3897" s="0" t="n">
        <v>9</v>
      </c>
      <c r="I3897" s="16" t="n">
        <v>86.77</v>
      </c>
      <c r="J3897" s="16" t="n">
        <v>38</v>
      </c>
      <c r="K3897" s="16" t="n">
        <f aca="false">H3897*I3897</f>
        <v>780.93</v>
      </c>
      <c r="L3897" s="16" t="n">
        <f aca="false">H3897*J3897</f>
        <v>342</v>
      </c>
      <c r="M3897" s="16" t="n">
        <f aca="false">K3897-L3897</f>
        <v>438.93</v>
      </c>
      <c r="N3897" s="17" t="n">
        <f aca="false">IFERROR(M3897/K3897,0)</f>
        <v>0.562060620029964</v>
      </c>
    </row>
    <row r="3898" customFormat="false" ht="15" hidden="false" customHeight="false" outlineLevel="0" collapsed="false">
      <c r="A3898" s="15" t="n">
        <v>46185</v>
      </c>
      <c r="B3898" s="14" t="s">
        <v>69</v>
      </c>
      <c r="C3898" s="14" t="s">
        <v>70</v>
      </c>
      <c r="D3898" s="14" t="s">
        <v>71</v>
      </c>
      <c r="E3898" s="14" t="s">
        <v>53</v>
      </c>
      <c r="F3898" s="14" t="s">
        <v>84</v>
      </c>
      <c r="G3898" s="14" t="s">
        <v>85</v>
      </c>
      <c r="H3898" s="0" t="n">
        <v>4</v>
      </c>
      <c r="I3898" s="16" t="n">
        <v>24.85</v>
      </c>
      <c r="J3898" s="16" t="n">
        <v>9</v>
      </c>
      <c r="K3898" s="16" t="n">
        <f aca="false">H3898*I3898</f>
        <v>99.4</v>
      </c>
      <c r="L3898" s="16" t="n">
        <f aca="false">H3898*J3898</f>
        <v>36</v>
      </c>
      <c r="M3898" s="16" t="n">
        <f aca="false">K3898-L3898</f>
        <v>63.4</v>
      </c>
      <c r="N3898" s="17" t="n">
        <f aca="false">IFERROR(M3898/K3898,0)</f>
        <v>0.637826961770624</v>
      </c>
    </row>
    <row r="3899" customFormat="false" ht="15" hidden="false" customHeight="false" outlineLevel="0" collapsed="false">
      <c r="A3899" s="15" t="n">
        <v>46185</v>
      </c>
      <c r="B3899" s="14" t="s">
        <v>69</v>
      </c>
      <c r="C3899" s="14" t="s">
        <v>70</v>
      </c>
      <c r="D3899" s="14" t="s">
        <v>71</v>
      </c>
      <c r="E3899" s="14" t="s">
        <v>56</v>
      </c>
      <c r="F3899" s="14" t="s">
        <v>86</v>
      </c>
      <c r="G3899" s="14" t="s">
        <v>87</v>
      </c>
      <c r="H3899" s="0" t="n">
        <v>1</v>
      </c>
      <c r="I3899" s="16" t="n">
        <v>14.19</v>
      </c>
      <c r="J3899" s="16" t="n">
        <v>5</v>
      </c>
      <c r="K3899" s="16" t="n">
        <f aca="false">H3899*I3899</f>
        <v>14.19</v>
      </c>
      <c r="L3899" s="16" t="n">
        <f aca="false">H3899*J3899</f>
        <v>5</v>
      </c>
      <c r="M3899" s="16" t="n">
        <f aca="false">K3899-L3899</f>
        <v>9.19</v>
      </c>
      <c r="N3899" s="17" t="n">
        <f aca="false">IFERROR(M3899/K3899,0)</f>
        <v>0.647639182522903</v>
      </c>
    </row>
    <row r="3900" customFormat="false" ht="15" hidden="false" customHeight="false" outlineLevel="0" collapsed="false">
      <c r="A3900" s="15" t="n">
        <v>46185</v>
      </c>
      <c r="B3900" s="14" t="s">
        <v>69</v>
      </c>
      <c r="C3900" s="14" t="s">
        <v>70</v>
      </c>
      <c r="D3900" s="14" t="s">
        <v>71</v>
      </c>
      <c r="E3900" s="14" t="s">
        <v>53</v>
      </c>
      <c r="F3900" s="14" t="s">
        <v>54</v>
      </c>
      <c r="G3900" s="14" t="s">
        <v>55</v>
      </c>
      <c r="H3900" s="0" t="n">
        <v>4</v>
      </c>
      <c r="I3900" s="16" t="n">
        <v>53.86</v>
      </c>
      <c r="J3900" s="16" t="n">
        <v>22</v>
      </c>
      <c r="K3900" s="16" t="n">
        <f aca="false">H3900*I3900</f>
        <v>215.44</v>
      </c>
      <c r="L3900" s="16" t="n">
        <f aca="false">H3900*J3900</f>
        <v>88</v>
      </c>
      <c r="M3900" s="16" t="n">
        <f aca="false">K3900-L3900</f>
        <v>127.44</v>
      </c>
      <c r="N3900" s="17" t="n">
        <f aca="false">IFERROR(M3900/K3900,0)</f>
        <v>0.591533605644263</v>
      </c>
    </row>
    <row r="3901" customFormat="false" ht="15" hidden="false" customHeight="false" outlineLevel="0" collapsed="false">
      <c r="A3901" s="15" t="n">
        <v>46185</v>
      </c>
      <c r="B3901" s="14" t="s">
        <v>81</v>
      </c>
      <c r="C3901" s="14" t="s">
        <v>82</v>
      </c>
      <c r="D3901" s="14" t="s">
        <v>83</v>
      </c>
      <c r="E3901" s="14" t="s">
        <v>45</v>
      </c>
      <c r="F3901" s="14" t="s">
        <v>72</v>
      </c>
      <c r="G3901" s="14" t="s">
        <v>73</v>
      </c>
      <c r="H3901" s="0" t="n">
        <v>4</v>
      </c>
      <c r="I3901" s="16" t="n">
        <v>50.57</v>
      </c>
      <c r="J3901" s="16" t="n">
        <v>21</v>
      </c>
      <c r="K3901" s="16" t="n">
        <f aca="false">H3901*I3901</f>
        <v>202.28</v>
      </c>
      <c r="L3901" s="16" t="n">
        <f aca="false">H3901*J3901</f>
        <v>84</v>
      </c>
      <c r="M3901" s="16" t="n">
        <f aca="false">K3901-L3901</f>
        <v>118.28</v>
      </c>
      <c r="N3901" s="17" t="n">
        <f aca="false">IFERROR(M3901/K3901,0)</f>
        <v>0.584734032034803</v>
      </c>
    </row>
    <row r="3902" customFormat="false" ht="15" hidden="false" customHeight="false" outlineLevel="0" collapsed="false">
      <c r="A3902" s="15" t="n">
        <v>46185</v>
      </c>
      <c r="B3902" s="14" t="s">
        <v>81</v>
      </c>
      <c r="C3902" s="14" t="s">
        <v>82</v>
      </c>
      <c r="D3902" s="14" t="s">
        <v>83</v>
      </c>
      <c r="E3902" s="14" t="s">
        <v>56</v>
      </c>
      <c r="F3902" s="14" t="s">
        <v>98</v>
      </c>
      <c r="G3902" s="14" t="s">
        <v>99</v>
      </c>
      <c r="H3902" s="0" t="n">
        <v>4</v>
      </c>
      <c r="I3902" s="16" t="n">
        <v>20.66</v>
      </c>
      <c r="J3902" s="16" t="n">
        <v>8</v>
      </c>
      <c r="K3902" s="16" t="n">
        <f aca="false">H3902*I3902</f>
        <v>82.64</v>
      </c>
      <c r="L3902" s="16" t="n">
        <f aca="false">H3902*J3902</f>
        <v>32</v>
      </c>
      <c r="M3902" s="16" t="n">
        <f aca="false">K3902-L3902</f>
        <v>50.64</v>
      </c>
      <c r="N3902" s="17" t="n">
        <f aca="false">IFERROR(M3902/K3902,0)</f>
        <v>0.612778315585673</v>
      </c>
    </row>
    <row r="3903" customFormat="false" ht="15" hidden="false" customHeight="false" outlineLevel="0" collapsed="false">
      <c r="A3903" s="15" t="n">
        <v>46185</v>
      </c>
      <c r="B3903" s="14" t="s">
        <v>81</v>
      </c>
      <c r="C3903" s="14" t="s">
        <v>82</v>
      </c>
      <c r="D3903" s="14" t="s">
        <v>83</v>
      </c>
      <c r="E3903" s="14" t="s">
        <v>56</v>
      </c>
      <c r="F3903" s="14" t="s">
        <v>86</v>
      </c>
      <c r="G3903" s="14" t="s">
        <v>87</v>
      </c>
      <c r="H3903" s="0" t="n">
        <v>3</v>
      </c>
      <c r="I3903" s="16" t="n">
        <v>14.88</v>
      </c>
      <c r="J3903" s="16" t="n">
        <v>5</v>
      </c>
      <c r="K3903" s="16" t="n">
        <f aca="false">H3903*I3903</f>
        <v>44.64</v>
      </c>
      <c r="L3903" s="16" t="n">
        <f aca="false">H3903*J3903</f>
        <v>15</v>
      </c>
      <c r="M3903" s="16" t="n">
        <f aca="false">K3903-L3903</f>
        <v>29.64</v>
      </c>
      <c r="N3903" s="17" t="n">
        <f aca="false">IFERROR(M3903/K3903,0)</f>
        <v>0.663978494623656</v>
      </c>
    </row>
    <row r="3904" customFormat="false" ht="15" hidden="false" customHeight="false" outlineLevel="0" collapsed="false">
      <c r="A3904" s="15" t="n">
        <v>46185</v>
      </c>
      <c r="B3904" s="14" t="s">
        <v>88</v>
      </c>
      <c r="C3904" s="14" t="s">
        <v>89</v>
      </c>
      <c r="D3904" s="14" t="s">
        <v>44</v>
      </c>
      <c r="E3904" s="14" t="s">
        <v>76</v>
      </c>
      <c r="F3904" s="14" t="s">
        <v>77</v>
      </c>
      <c r="G3904" s="14" t="s">
        <v>78</v>
      </c>
      <c r="H3904" s="0" t="n">
        <v>5</v>
      </c>
      <c r="I3904" s="16" t="n">
        <v>39.72</v>
      </c>
      <c r="J3904" s="16" t="n">
        <v>15</v>
      </c>
      <c r="K3904" s="16" t="n">
        <f aca="false">H3904*I3904</f>
        <v>198.6</v>
      </c>
      <c r="L3904" s="16" t="n">
        <f aca="false">H3904*J3904</f>
        <v>75</v>
      </c>
      <c r="M3904" s="16" t="n">
        <f aca="false">K3904-L3904</f>
        <v>123.6</v>
      </c>
      <c r="N3904" s="17" t="n">
        <f aca="false">IFERROR(M3904/K3904,0)</f>
        <v>0.622356495468278</v>
      </c>
    </row>
    <row r="3905" customFormat="false" ht="15" hidden="false" customHeight="false" outlineLevel="0" collapsed="false">
      <c r="A3905" s="15" t="n">
        <v>46185</v>
      </c>
      <c r="B3905" s="14" t="s">
        <v>88</v>
      </c>
      <c r="C3905" s="14" t="s">
        <v>89</v>
      </c>
      <c r="D3905" s="14" t="s">
        <v>44</v>
      </c>
      <c r="E3905" s="14" t="s">
        <v>76</v>
      </c>
      <c r="F3905" s="14" t="s">
        <v>102</v>
      </c>
      <c r="G3905" s="14" t="s">
        <v>103</v>
      </c>
      <c r="H3905" s="0" t="n">
        <v>8</v>
      </c>
      <c r="I3905" s="16" t="n">
        <v>22.31</v>
      </c>
      <c r="J3905" s="16" t="n">
        <v>8.5</v>
      </c>
      <c r="K3905" s="16" t="n">
        <f aca="false">H3905*I3905</f>
        <v>178.48</v>
      </c>
      <c r="L3905" s="16" t="n">
        <f aca="false">H3905*J3905</f>
        <v>68</v>
      </c>
      <c r="M3905" s="16" t="n">
        <f aca="false">K3905-L3905</f>
        <v>110.48</v>
      </c>
      <c r="N3905" s="17" t="n">
        <f aca="false">IFERROR(M3905/K3905,0)</f>
        <v>0.619004930524429</v>
      </c>
    </row>
    <row r="3906" customFormat="false" ht="15" hidden="false" customHeight="false" outlineLevel="0" collapsed="false">
      <c r="A3906" s="15" t="n">
        <v>46185</v>
      </c>
      <c r="B3906" s="14" t="s">
        <v>88</v>
      </c>
      <c r="C3906" s="14" t="s">
        <v>89</v>
      </c>
      <c r="D3906" s="14" t="s">
        <v>44</v>
      </c>
      <c r="E3906" s="14" t="s">
        <v>64</v>
      </c>
      <c r="F3906" s="14" t="s">
        <v>90</v>
      </c>
      <c r="G3906" s="14" t="s">
        <v>91</v>
      </c>
      <c r="H3906" s="0" t="n">
        <v>4</v>
      </c>
      <c r="I3906" s="16" t="n">
        <v>11.2</v>
      </c>
      <c r="J3906" s="16" t="n">
        <v>3.5</v>
      </c>
      <c r="K3906" s="16" t="n">
        <f aca="false">H3906*I3906</f>
        <v>44.8</v>
      </c>
      <c r="L3906" s="16" t="n">
        <f aca="false">H3906*J3906</f>
        <v>14</v>
      </c>
      <c r="M3906" s="16" t="n">
        <f aca="false">K3906-L3906</f>
        <v>30.8</v>
      </c>
      <c r="N3906" s="17" t="n">
        <f aca="false">IFERROR(M3906/K3906,0)</f>
        <v>0.6875</v>
      </c>
    </row>
    <row r="3907" customFormat="false" ht="15" hidden="false" customHeight="false" outlineLevel="0" collapsed="false">
      <c r="A3907" s="15" t="n">
        <v>46185</v>
      </c>
      <c r="B3907" s="14" t="s">
        <v>88</v>
      </c>
      <c r="C3907" s="14" t="s">
        <v>89</v>
      </c>
      <c r="D3907" s="14" t="s">
        <v>44</v>
      </c>
      <c r="E3907" s="14" t="s">
        <v>64</v>
      </c>
      <c r="F3907" s="14" t="s">
        <v>94</v>
      </c>
      <c r="G3907" s="14" t="s">
        <v>95</v>
      </c>
      <c r="H3907" s="0" t="n">
        <v>4</v>
      </c>
      <c r="I3907" s="16" t="n">
        <v>98.54</v>
      </c>
      <c r="J3907" s="16" t="n">
        <v>42</v>
      </c>
      <c r="K3907" s="16" t="n">
        <f aca="false">H3907*I3907</f>
        <v>394.16</v>
      </c>
      <c r="L3907" s="16" t="n">
        <f aca="false">H3907*J3907</f>
        <v>168</v>
      </c>
      <c r="M3907" s="16" t="n">
        <f aca="false">K3907-L3907</f>
        <v>226.16</v>
      </c>
      <c r="N3907" s="17" t="n">
        <f aca="false">IFERROR(M3907/K3907,0)</f>
        <v>0.573777146336513</v>
      </c>
    </row>
    <row r="3908" customFormat="false" ht="15" hidden="false" customHeight="false" outlineLevel="0" collapsed="false">
      <c r="A3908" s="15" t="n">
        <v>46186</v>
      </c>
      <c r="B3908" s="14" t="s">
        <v>42</v>
      </c>
      <c r="C3908" s="14" t="s">
        <v>43</v>
      </c>
      <c r="D3908" s="14" t="s">
        <v>44</v>
      </c>
      <c r="E3908" s="14" t="s">
        <v>76</v>
      </c>
      <c r="F3908" s="14" t="s">
        <v>102</v>
      </c>
      <c r="G3908" s="14" t="s">
        <v>103</v>
      </c>
      <c r="H3908" s="0" t="n">
        <v>9</v>
      </c>
      <c r="I3908" s="16" t="n">
        <v>23.19</v>
      </c>
      <c r="J3908" s="16" t="n">
        <v>8.5</v>
      </c>
      <c r="K3908" s="16" t="n">
        <f aca="false">H3908*I3908</f>
        <v>208.71</v>
      </c>
      <c r="L3908" s="16" t="n">
        <f aca="false">H3908*J3908</f>
        <v>76.5</v>
      </c>
      <c r="M3908" s="16" t="n">
        <f aca="false">K3908-L3908</f>
        <v>132.21</v>
      </c>
      <c r="N3908" s="17" t="n">
        <f aca="false">IFERROR(M3908/K3908,0)</f>
        <v>0.633462699439414</v>
      </c>
    </row>
    <row r="3909" customFormat="false" ht="15" hidden="false" customHeight="false" outlineLevel="0" collapsed="false">
      <c r="A3909" s="15" t="n">
        <v>46186</v>
      </c>
      <c r="B3909" s="14" t="s">
        <v>42</v>
      </c>
      <c r="C3909" s="14" t="s">
        <v>43</v>
      </c>
      <c r="D3909" s="14" t="s">
        <v>44</v>
      </c>
      <c r="E3909" s="14" t="s">
        <v>64</v>
      </c>
      <c r="F3909" s="14" t="s">
        <v>65</v>
      </c>
      <c r="G3909" s="14" t="s">
        <v>66</v>
      </c>
      <c r="H3909" s="0" t="n">
        <v>5</v>
      </c>
      <c r="I3909" s="16" t="n">
        <v>78.33</v>
      </c>
      <c r="J3909" s="16" t="n">
        <v>34</v>
      </c>
      <c r="K3909" s="16" t="n">
        <f aca="false">H3909*I3909</f>
        <v>391.65</v>
      </c>
      <c r="L3909" s="16" t="n">
        <f aca="false">H3909*J3909</f>
        <v>170</v>
      </c>
      <c r="M3909" s="16" t="n">
        <f aca="false">K3909-L3909</f>
        <v>221.65</v>
      </c>
      <c r="N3909" s="17" t="n">
        <f aca="false">IFERROR(M3909/K3909,0)</f>
        <v>0.565938976126644</v>
      </c>
    </row>
    <row r="3910" customFormat="false" ht="15" hidden="false" customHeight="false" outlineLevel="0" collapsed="false">
      <c r="A3910" s="15" t="n">
        <v>46186</v>
      </c>
      <c r="B3910" s="14" t="s">
        <v>42</v>
      </c>
      <c r="C3910" s="14" t="s">
        <v>43</v>
      </c>
      <c r="D3910" s="14" t="s">
        <v>44</v>
      </c>
      <c r="E3910" s="14" t="s">
        <v>56</v>
      </c>
      <c r="F3910" s="14" t="s">
        <v>57</v>
      </c>
      <c r="G3910" s="14" t="s">
        <v>58</v>
      </c>
      <c r="H3910" s="0" t="n">
        <v>2</v>
      </c>
      <c r="I3910" s="16" t="n">
        <v>25.24</v>
      </c>
      <c r="J3910" s="16" t="n">
        <v>10</v>
      </c>
      <c r="K3910" s="16" t="n">
        <f aca="false">H3910*I3910</f>
        <v>50.48</v>
      </c>
      <c r="L3910" s="16" t="n">
        <f aca="false">H3910*J3910</f>
        <v>20</v>
      </c>
      <c r="M3910" s="16" t="n">
        <f aca="false">K3910-L3910</f>
        <v>30.48</v>
      </c>
      <c r="N3910" s="17" t="n">
        <f aca="false">IFERROR(M3910/K3910,0)</f>
        <v>0.603803486529319</v>
      </c>
    </row>
    <row r="3911" customFormat="false" ht="15" hidden="false" customHeight="false" outlineLevel="0" collapsed="false">
      <c r="A3911" s="15" t="n">
        <v>46186</v>
      </c>
      <c r="B3911" s="14" t="s">
        <v>42</v>
      </c>
      <c r="C3911" s="14" t="s">
        <v>43</v>
      </c>
      <c r="D3911" s="14" t="s">
        <v>44</v>
      </c>
      <c r="E3911" s="14" t="s">
        <v>53</v>
      </c>
      <c r="F3911" s="14" t="s">
        <v>84</v>
      </c>
      <c r="G3911" s="14" t="s">
        <v>85</v>
      </c>
      <c r="H3911" s="0" t="n">
        <v>4</v>
      </c>
      <c r="I3911" s="16" t="n">
        <v>23.32</v>
      </c>
      <c r="J3911" s="16" t="n">
        <v>9</v>
      </c>
      <c r="K3911" s="16" t="n">
        <f aca="false">H3911*I3911</f>
        <v>93.28</v>
      </c>
      <c r="L3911" s="16" t="n">
        <f aca="false">H3911*J3911</f>
        <v>36</v>
      </c>
      <c r="M3911" s="16" t="n">
        <f aca="false">K3911-L3911</f>
        <v>57.28</v>
      </c>
      <c r="N3911" s="17" t="n">
        <f aca="false">IFERROR(M3911/K3911,0)</f>
        <v>0.614065180102916</v>
      </c>
    </row>
    <row r="3912" customFormat="false" ht="15" hidden="false" customHeight="false" outlineLevel="0" collapsed="false">
      <c r="A3912" s="15" t="n">
        <v>46186</v>
      </c>
      <c r="B3912" s="14" t="s">
        <v>42</v>
      </c>
      <c r="C3912" s="14" t="s">
        <v>43</v>
      </c>
      <c r="D3912" s="14" t="s">
        <v>44</v>
      </c>
      <c r="E3912" s="14" t="s">
        <v>76</v>
      </c>
      <c r="F3912" s="14" t="s">
        <v>77</v>
      </c>
      <c r="G3912" s="14" t="s">
        <v>78</v>
      </c>
      <c r="H3912" s="0" t="n">
        <v>15</v>
      </c>
      <c r="I3912" s="16" t="n">
        <v>41.19</v>
      </c>
      <c r="J3912" s="16" t="n">
        <v>15</v>
      </c>
      <c r="K3912" s="16" t="n">
        <f aca="false">H3912*I3912</f>
        <v>617.85</v>
      </c>
      <c r="L3912" s="16" t="n">
        <f aca="false">H3912*J3912</f>
        <v>225</v>
      </c>
      <c r="M3912" s="16" t="n">
        <f aca="false">K3912-L3912</f>
        <v>392.85</v>
      </c>
      <c r="N3912" s="17" t="n">
        <f aca="false">IFERROR(M3912/K3912,0)</f>
        <v>0.635833940276766</v>
      </c>
    </row>
    <row r="3913" customFormat="false" ht="15" hidden="false" customHeight="false" outlineLevel="0" collapsed="false">
      <c r="A3913" s="15" t="n">
        <v>46186</v>
      </c>
      <c r="B3913" s="14" t="s">
        <v>42</v>
      </c>
      <c r="C3913" s="14" t="s">
        <v>43</v>
      </c>
      <c r="D3913" s="14" t="s">
        <v>44</v>
      </c>
      <c r="E3913" s="14" t="s">
        <v>64</v>
      </c>
      <c r="F3913" s="14" t="s">
        <v>65</v>
      </c>
      <c r="G3913" s="14" t="s">
        <v>66</v>
      </c>
      <c r="H3913" s="0" t="n">
        <v>7</v>
      </c>
      <c r="I3913" s="16" t="n">
        <v>75.78</v>
      </c>
      <c r="J3913" s="16" t="n">
        <v>34</v>
      </c>
      <c r="K3913" s="16" t="n">
        <f aca="false">H3913*I3913</f>
        <v>530.46</v>
      </c>
      <c r="L3913" s="16" t="n">
        <f aca="false">H3913*J3913</f>
        <v>238</v>
      </c>
      <c r="M3913" s="16" t="n">
        <f aca="false">K3913-L3913</f>
        <v>292.46</v>
      </c>
      <c r="N3913" s="17" t="n">
        <f aca="false">IFERROR(M3913/K3913,0)</f>
        <v>0.551332805489575</v>
      </c>
    </row>
    <row r="3914" customFormat="false" ht="15" hidden="false" customHeight="false" outlineLevel="0" collapsed="false">
      <c r="A3914" s="15" t="n">
        <v>46186</v>
      </c>
      <c r="B3914" s="14" t="s">
        <v>50</v>
      </c>
      <c r="C3914" s="14" t="s">
        <v>51</v>
      </c>
      <c r="D3914" s="14" t="s">
        <v>52</v>
      </c>
      <c r="E3914" s="14" t="s">
        <v>53</v>
      </c>
      <c r="F3914" s="14" t="s">
        <v>54</v>
      </c>
      <c r="G3914" s="14" t="s">
        <v>55</v>
      </c>
      <c r="H3914" s="0" t="n">
        <v>6</v>
      </c>
      <c r="I3914" s="16" t="n">
        <v>51.26</v>
      </c>
      <c r="J3914" s="16" t="n">
        <v>22</v>
      </c>
      <c r="K3914" s="16" t="n">
        <f aca="false">H3914*I3914</f>
        <v>307.56</v>
      </c>
      <c r="L3914" s="16" t="n">
        <f aca="false">H3914*J3914</f>
        <v>132</v>
      </c>
      <c r="M3914" s="16" t="n">
        <f aca="false">K3914-L3914</f>
        <v>175.56</v>
      </c>
      <c r="N3914" s="17" t="n">
        <f aca="false">IFERROR(M3914/K3914,0)</f>
        <v>0.570815450643777</v>
      </c>
    </row>
    <row r="3915" customFormat="false" ht="15" hidden="false" customHeight="false" outlineLevel="0" collapsed="false">
      <c r="A3915" s="15" t="n">
        <v>46186</v>
      </c>
      <c r="B3915" s="14" t="s">
        <v>50</v>
      </c>
      <c r="C3915" s="14" t="s">
        <v>51</v>
      </c>
      <c r="D3915" s="14" t="s">
        <v>52</v>
      </c>
      <c r="E3915" s="14" t="s">
        <v>45</v>
      </c>
      <c r="F3915" s="14" t="s">
        <v>62</v>
      </c>
      <c r="G3915" s="14" t="s">
        <v>63</v>
      </c>
      <c r="H3915" s="0" t="n">
        <v>8</v>
      </c>
      <c r="I3915" s="16" t="n">
        <v>17.13</v>
      </c>
      <c r="J3915" s="16" t="n">
        <v>6.5</v>
      </c>
      <c r="K3915" s="16" t="n">
        <f aca="false">H3915*I3915</f>
        <v>137.04</v>
      </c>
      <c r="L3915" s="16" t="n">
        <f aca="false">H3915*J3915</f>
        <v>52</v>
      </c>
      <c r="M3915" s="16" t="n">
        <f aca="false">K3915-L3915</f>
        <v>85.04</v>
      </c>
      <c r="N3915" s="17" t="n">
        <f aca="false">IFERROR(M3915/K3915,0)</f>
        <v>0.620548744892002</v>
      </c>
    </row>
    <row r="3916" customFormat="false" ht="15" hidden="false" customHeight="false" outlineLevel="0" collapsed="false">
      <c r="A3916" s="15" t="n">
        <v>46186</v>
      </c>
      <c r="B3916" s="14" t="s">
        <v>50</v>
      </c>
      <c r="C3916" s="14" t="s">
        <v>51</v>
      </c>
      <c r="D3916" s="14" t="s">
        <v>52</v>
      </c>
      <c r="E3916" s="14" t="s">
        <v>45</v>
      </c>
      <c r="F3916" s="14" t="s">
        <v>62</v>
      </c>
      <c r="G3916" s="14" t="s">
        <v>63</v>
      </c>
      <c r="H3916" s="0" t="n">
        <v>4</v>
      </c>
      <c r="I3916" s="16" t="n">
        <v>16.61</v>
      </c>
      <c r="J3916" s="16" t="n">
        <v>6.5</v>
      </c>
      <c r="K3916" s="16" t="n">
        <f aca="false">H3916*I3916</f>
        <v>66.44</v>
      </c>
      <c r="L3916" s="16" t="n">
        <f aca="false">H3916*J3916</f>
        <v>26</v>
      </c>
      <c r="M3916" s="16" t="n">
        <f aca="false">K3916-L3916</f>
        <v>40.44</v>
      </c>
      <c r="N3916" s="17" t="n">
        <f aca="false">IFERROR(M3916/K3916,0)</f>
        <v>0.608669476219145</v>
      </c>
    </row>
    <row r="3917" customFormat="false" ht="15" hidden="false" customHeight="false" outlineLevel="0" collapsed="false">
      <c r="A3917" s="15" t="n">
        <v>46186</v>
      </c>
      <c r="B3917" s="14" t="s">
        <v>50</v>
      </c>
      <c r="C3917" s="14" t="s">
        <v>51</v>
      </c>
      <c r="D3917" s="14" t="s">
        <v>52</v>
      </c>
      <c r="E3917" s="14" t="s">
        <v>45</v>
      </c>
      <c r="F3917" s="14" t="s">
        <v>46</v>
      </c>
      <c r="G3917" s="14" t="s">
        <v>47</v>
      </c>
      <c r="H3917" s="0" t="n">
        <v>11</v>
      </c>
      <c r="I3917" s="16" t="n">
        <v>43.58</v>
      </c>
      <c r="J3917" s="16" t="n">
        <v>18</v>
      </c>
      <c r="K3917" s="16" t="n">
        <f aca="false">H3917*I3917</f>
        <v>479.38</v>
      </c>
      <c r="L3917" s="16" t="n">
        <f aca="false">H3917*J3917</f>
        <v>198</v>
      </c>
      <c r="M3917" s="16" t="n">
        <f aca="false">K3917-L3917</f>
        <v>281.38</v>
      </c>
      <c r="N3917" s="17" t="n">
        <f aca="false">IFERROR(M3917/K3917,0)</f>
        <v>0.586966498393759</v>
      </c>
    </row>
    <row r="3918" customFormat="false" ht="15" hidden="false" customHeight="false" outlineLevel="0" collapsed="false">
      <c r="A3918" s="15" t="n">
        <v>46186</v>
      </c>
      <c r="B3918" s="14" t="s">
        <v>59</v>
      </c>
      <c r="C3918" s="14" t="s">
        <v>60</v>
      </c>
      <c r="D3918" s="14" t="s">
        <v>61</v>
      </c>
      <c r="E3918" s="14" t="s">
        <v>56</v>
      </c>
      <c r="F3918" s="14" t="s">
        <v>57</v>
      </c>
      <c r="G3918" s="14" t="s">
        <v>58</v>
      </c>
      <c r="H3918" s="0" t="n">
        <v>6</v>
      </c>
      <c r="I3918" s="16" t="n">
        <v>26.32</v>
      </c>
      <c r="J3918" s="16" t="n">
        <v>10</v>
      </c>
      <c r="K3918" s="16" t="n">
        <f aca="false">H3918*I3918</f>
        <v>157.92</v>
      </c>
      <c r="L3918" s="16" t="n">
        <f aca="false">H3918*J3918</f>
        <v>60</v>
      </c>
      <c r="M3918" s="16" t="n">
        <f aca="false">K3918-L3918</f>
        <v>97.92</v>
      </c>
      <c r="N3918" s="17" t="n">
        <f aca="false">IFERROR(M3918/K3918,0)</f>
        <v>0.620060790273556</v>
      </c>
    </row>
    <row r="3919" customFormat="false" ht="15" hidden="false" customHeight="false" outlineLevel="0" collapsed="false">
      <c r="A3919" s="15" t="n">
        <v>46186</v>
      </c>
      <c r="B3919" s="14" t="s">
        <v>59</v>
      </c>
      <c r="C3919" s="14" t="s">
        <v>60</v>
      </c>
      <c r="D3919" s="14" t="s">
        <v>61</v>
      </c>
      <c r="E3919" s="14" t="s">
        <v>76</v>
      </c>
      <c r="F3919" s="14" t="s">
        <v>102</v>
      </c>
      <c r="G3919" s="14" t="s">
        <v>103</v>
      </c>
      <c r="H3919" s="0" t="n">
        <v>4</v>
      </c>
      <c r="I3919" s="16" t="n">
        <v>22.53</v>
      </c>
      <c r="J3919" s="16" t="n">
        <v>8.5</v>
      </c>
      <c r="K3919" s="16" t="n">
        <f aca="false">H3919*I3919</f>
        <v>90.12</v>
      </c>
      <c r="L3919" s="16" t="n">
        <f aca="false">H3919*J3919</f>
        <v>34</v>
      </c>
      <c r="M3919" s="16" t="n">
        <f aca="false">K3919-L3919</f>
        <v>56.12</v>
      </c>
      <c r="N3919" s="17" t="n">
        <f aca="false">IFERROR(M3919/K3919,0)</f>
        <v>0.622725255215269</v>
      </c>
    </row>
    <row r="3920" customFormat="false" ht="15" hidden="false" customHeight="false" outlineLevel="0" collapsed="false">
      <c r="A3920" s="15" t="n">
        <v>46186</v>
      </c>
      <c r="B3920" s="14" t="s">
        <v>59</v>
      </c>
      <c r="C3920" s="14" t="s">
        <v>60</v>
      </c>
      <c r="D3920" s="14" t="s">
        <v>61</v>
      </c>
      <c r="E3920" s="14" t="s">
        <v>56</v>
      </c>
      <c r="F3920" s="14" t="s">
        <v>57</v>
      </c>
      <c r="G3920" s="14" t="s">
        <v>58</v>
      </c>
      <c r="H3920" s="0" t="n">
        <v>1</v>
      </c>
      <c r="I3920" s="16" t="n">
        <v>26.57</v>
      </c>
      <c r="J3920" s="16" t="n">
        <v>10</v>
      </c>
      <c r="K3920" s="16" t="n">
        <f aca="false">H3920*I3920</f>
        <v>26.57</v>
      </c>
      <c r="L3920" s="16" t="n">
        <f aca="false">H3920*J3920</f>
        <v>10</v>
      </c>
      <c r="M3920" s="16" t="n">
        <f aca="false">K3920-L3920</f>
        <v>16.57</v>
      </c>
      <c r="N3920" s="17" t="n">
        <f aca="false">IFERROR(M3920/K3920,0)</f>
        <v>0.623635679337599</v>
      </c>
    </row>
    <row r="3921" customFormat="false" ht="15" hidden="false" customHeight="false" outlineLevel="0" collapsed="false">
      <c r="A3921" s="15" t="n">
        <v>46186</v>
      </c>
      <c r="B3921" s="14" t="s">
        <v>59</v>
      </c>
      <c r="C3921" s="14" t="s">
        <v>60</v>
      </c>
      <c r="D3921" s="14" t="s">
        <v>61</v>
      </c>
      <c r="E3921" s="14" t="s">
        <v>45</v>
      </c>
      <c r="F3921" s="14" t="s">
        <v>62</v>
      </c>
      <c r="G3921" s="14" t="s">
        <v>63</v>
      </c>
      <c r="H3921" s="0" t="n">
        <v>1</v>
      </c>
      <c r="I3921" s="16" t="n">
        <v>16.96</v>
      </c>
      <c r="J3921" s="16" t="n">
        <v>6.5</v>
      </c>
      <c r="K3921" s="16" t="n">
        <f aca="false">H3921*I3921</f>
        <v>16.96</v>
      </c>
      <c r="L3921" s="16" t="n">
        <f aca="false">H3921*J3921</f>
        <v>6.5</v>
      </c>
      <c r="M3921" s="16" t="n">
        <f aca="false">K3921-L3921</f>
        <v>10.46</v>
      </c>
      <c r="N3921" s="17" t="n">
        <f aca="false">IFERROR(M3921/K3921,0)</f>
        <v>0.616745283018868</v>
      </c>
    </row>
    <row r="3922" customFormat="false" ht="15" hidden="false" customHeight="false" outlineLevel="0" collapsed="false">
      <c r="A3922" s="15" t="n">
        <v>46186</v>
      </c>
      <c r="B3922" s="14" t="s">
        <v>59</v>
      </c>
      <c r="C3922" s="14" t="s">
        <v>60</v>
      </c>
      <c r="D3922" s="14" t="s">
        <v>61</v>
      </c>
      <c r="E3922" s="14" t="s">
        <v>76</v>
      </c>
      <c r="F3922" s="14" t="s">
        <v>77</v>
      </c>
      <c r="G3922" s="14" t="s">
        <v>78</v>
      </c>
      <c r="H3922" s="0" t="n">
        <v>9</v>
      </c>
      <c r="I3922" s="16" t="n">
        <v>40.81</v>
      </c>
      <c r="J3922" s="16" t="n">
        <v>15</v>
      </c>
      <c r="K3922" s="16" t="n">
        <f aca="false">H3922*I3922</f>
        <v>367.29</v>
      </c>
      <c r="L3922" s="16" t="n">
        <f aca="false">H3922*J3922</f>
        <v>135</v>
      </c>
      <c r="M3922" s="16" t="n">
        <f aca="false">K3922-L3922</f>
        <v>232.29</v>
      </c>
      <c r="N3922" s="17" t="n">
        <f aca="false">IFERROR(M3922/K3922,0)</f>
        <v>0.632443028669444</v>
      </c>
    </row>
    <row r="3923" customFormat="false" ht="15" hidden="false" customHeight="false" outlineLevel="0" collapsed="false">
      <c r="A3923" s="15" t="n">
        <v>46186</v>
      </c>
      <c r="B3923" s="14" t="s">
        <v>69</v>
      </c>
      <c r="C3923" s="14" t="s">
        <v>70</v>
      </c>
      <c r="D3923" s="14" t="s">
        <v>71</v>
      </c>
      <c r="E3923" s="14" t="s">
        <v>56</v>
      </c>
      <c r="F3923" s="14" t="s">
        <v>67</v>
      </c>
      <c r="G3923" s="14" t="s">
        <v>68</v>
      </c>
      <c r="H3923" s="0" t="n">
        <v>2</v>
      </c>
      <c r="I3923" s="16" t="n">
        <v>36.36</v>
      </c>
      <c r="J3923" s="16" t="n">
        <v>15</v>
      </c>
      <c r="K3923" s="16" t="n">
        <f aca="false">H3923*I3923</f>
        <v>72.72</v>
      </c>
      <c r="L3923" s="16" t="n">
        <f aca="false">H3923*J3923</f>
        <v>30</v>
      </c>
      <c r="M3923" s="16" t="n">
        <f aca="false">K3923-L3923</f>
        <v>42.72</v>
      </c>
      <c r="N3923" s="17" t="n">
        <f aca="false">IFERROR(M3923/K3923,0)</f>
        <v>0.587458745874588</v>
      </c>
    </row>
    <row r="3924" customFormat="false" ht="15" hidden="false" customHeight="false" outlineLevel="0" collapsed="false">
      <c r="A3924" s="15" t="n">
        <v>46186</v>
      </c>
      <c r="B3924" s="14" t="s">
        <v>69</v>
      </c>
      <c r="C3924" s="14" t="s">
        <v>70</v>
      </c>
      <c r="D3924" s="14" t="s">
        <v>71</v>
      </c>
      <c r="E3924" s="14" t="s">
        <v>76</v>
      </c>
      <c r="F3924" s="14" t="s">
        <v>77</v>
      </c>
      <c r="G3924" s="14" t="s">
        <v>78</v>
      </c>
      <c r="H3924" s="0" t="n">
        <v>5</v>
      </c>
      <c r="I3924" s="16" t="n">
        <v>41.57</v>
      </c>
      <c r="J3924" s="16" t="n">
        <v>15</v>
      </c>
      <c r="K3924" s="16" t="n">
        <f aca="false">H3924*I3924</f>
        <v>207.85</v>
      </c>
      <c r="L3924" s="16" t="n">
        <f aca="false">H3924*J3924</f>
        <v>75</v>
      </c>
      <c r="M3924" s="16" t="n">
        <f aca="false">K3924-L3924</f>
        <v>132.85</v>
      </c>
      <c r="N3924" s="17" t="n">
        <f aca="false">IFERROR(M3924/K3924,0)</f>
        <v>0.639162857830166</v>
      </c>
    </row>
    <row r="3925" customFormat="false" ht="15" hidden="false" customHeight="false" outlineLevel="0" collapsed="false">
      <c r="A3925" s="15" t="n">
        <v>46186</v>
      </c>
      <c r="B3925" s="14" t="s">
        <v>69</v>
      </c>
      <c r="C3925" s="14" t="s">
        <v>70</v>
      </c>
      <c r="D3925" s="14" t="s">
        <v>71</v>
      </c>
      <c r="E3925" s="14" t="s">
        <v>56</v>
      </c>
      <c r="F3925" s="14" t="s">
        <v>98</v>
      </c>
      <c r="G3925" s="14" t="s">
        <v>99</v>
      </c>
      <c r="H3925" s="0" t="n">
        <v>1</v>
      </c>
      <c r="I3925" s="16" t="n">
        <v>21.61</v>
      </c>
      <c r="J3925" s="16" t="n">
        <v>8</v>
      </c>
      <c r="K3925" s="16" t="n">
        <f aca="false">H3925*I3925</f>
        <v>21.61</v>
      </c>
      <c r="L3925" s="16" t="n">
        <f aca="false">H3925*J3925</f>
        <v>8</v>
      </c>
      <c r="M3925" s="16" t="n">
        <f aca="false">K3925-L3925</f>
        <v>13.61</v>
      </c>
      <c r="N3925" s="17" t="n">
        <f aca="false">IFERROR(M3925/K3925,0)</f>
        <v>0.6298010180472</v>
      </c>
    </row>
    <row r="3926" customFormat="false" ht="15" hidden="false" customHeight="false" outlineLevel="0" collapsed="false">
      <c r="A3926" s="15" t="n">
        <v>46186</v>
      </c>
      <c r="B3926" s="14" t="s">
        <v>69</v>
      </c>
      <c r="C3926" s="14" t="s">
        <v>70</v>
      </c>
      <c r="D3926" s="14" t="s">
        <v>71</v>
      </c>
      <c r="E3926" s="14" t="s">
        <v>56</v>
      </c>
      <c r="F3926" s="14" t="s">
        <v>86</v>
      </c>
      <c r="G3926" s="14" t="s">
        <v>87</v>
      </c>
      <c r="H3926" s="0" t="n">
        <v>6</v>
      </c>
      <c r="I3926" s="16" t="n">
        <v>14.6</v>
      </c>
      <c r="J3926" s="16" t="n">
        <v>5</v>
      </c>
      <c r="K3926" s="16" t="n">
        <f aca="false">H3926*I3926</f>
        <v>87.6</v>
      </c>
      <c r="L3926" s="16" t="n">
        <f aca="false">H3926*J3926</f>
        <v>30</v>
      </c>
      <c r="M3926" s="16" t="n">
        <f aca="false">K3926-L3926</f>
        <v>57.6</v>
      </c>
      <c r="N3926" s="17" t="n">
        <f aca="false">IFERROR(M3926/K3926,0)</f>
        <v>0.657534246575342</v>
      </c>
    </row>
    <row r="3927" customFormat="false" ht="15" hidden="false" customHeight="false" outlineLevel="0" collapsed="false">
      <c r="A3927" s="15" t="n">
        <v>46186</v>
      </c>
      <c r="B3927" s="14" t="s">
        <v>69</v>
      </c>
      <c r="C3927" s="14" t="s">
        <v>70</v>
      </c>
      <c r="D3927" s="14" t="s">
        <v>71</v>
      </c>
      <c r="E3927" s="14" t="s">
        <v>45</v>
      </c>
      <c r="F3927" s="14" t="s">
        <v>46</v>
      </c>
      <c r="G3927" s="14" t="s">
        <v>47</v>
      </c>
      <c r="H3927" s="0" t="n">
        <v>4</v>
      </c>
      <c r="I3927" s="16" t="n">
        <v>43.12</v>
      </c>
      <c r="J3927" s="16" t="n">
        <v>18</v>
      </c>
      <c r="K3927" s="16" t="n">
        <f aca="false">H3927*I3927</f>
        <v>172.48</v>
      </c>
      <c r="L3927" s="16" t="n">
        <f aca="false">H3927*J3927</f>
        <v>72</v>
      </c>
      <c r="M3927" s="16" t="n">
        <f aca="false">K3927-L3927</f>
        <v>100.48</v>
      </c>
      <c r="N3927" s="17" t="n">
        <f aca="false">IFERROR(M3927/K3927,0)</f>
        <v>0.582560296846011</v>
      </c>
    </row>
    <row r="3928" customFormat="false" ht="15" hidden="false" customHeight="false" outlineLevel="0" collapsed="false">
      <c r="A3928" s="15" t="n">
        <v>46186</v>
      </c>
      <c r="B3928" s="14" t="s">
        <v>69</v>
      </c>
      <c r="C3928" s="14" t="s">
        <v>70</v>
      </c>
      <c r="D3928" s="14" t="s">
        <v>71</v>
      </c>
      <c r="E3928" s="14" t="s">
        <v>56</v>
      </c>
      <c r="F3928" s="14" t="s">
        <v>86</v>
      </c>
      <c r="G3928" s="14" t="s">
        <v>87</v>
      </c>
      <c r="H3928" s="0" t="n">
        <v>1</v>
      </c>
      <c r="I3928" s="16" t="n">
        <v>14.53</v>
      </c>
      <c r="J3928" s="16" t="n">
        <v>5</v>
      </c>
      <c r="K3928" s="16" t="n">
        <f aca="false">H3928*I3928</f>
        <v>14.53</v>
      </c>
      <c r="L3928" s="16" t="n">
        <f aca="false">H3928*J3928</f>
        <v>5</v>
      </c>
      <c r="M3928" s="16" t="n">
        <f aca="false">K3928-L3928</f>
        <v>9.53</v>
      </c>
      <c r="N3928" s="17" t="n">
        <f aca="false">IFERROR(M3928/K3928,0)</f>
        <v>0.655884377150723</v>
      </c>
    </row>
    <row r="3929" customFormat="false" ht="15" hidden="false" customHeight="false" outlineLevel="0" collapsed="false">
      <c r="A3929" s="15" t="n">
        <v>46186</v>
      </c>
      <c r="B3929" s="14" t="s">
        <v>81</v>
      </c>
      <c r="C3929" s="14" t="s">
        <v>82</v>
      </c>
      <c r="D3929" s="14" t="s">
        <v>83</v>
      </c>
      <c r="E3929" s="14" t="s">
        <v>45</v>
      </c>
      <c r="F3929" s="14" t="s">
        <v>72</v>
      </c>
      <c r="G3929" s="14" t="s">
        <v>73</v>
      </c>
      <c r="H3929" s="0" t="n">
        <v>7</v>
      </c>
      <c r="I3929" s="16" t="n">
        <v>48.18</v>
      </c>
      <c r="J3929" s="16" t="n">
        <v>21</v>
      </c>
      <c r="K3929" s="16" t="n">
        <f aca="false">H3929*I3929</f>
        <v>337.26</v>
      </c>
      <c r="L3929" s="16" t="n">
        <f aca="false">H3929*J3929</f>
        <v>147</v>
      </c>
      <c r="M3929" s="16" t="n">
        <f aca="false">K3929-L3929</f>
        <v>190.26</v>
      </c>
      <c r="N3929" s="17" t="n">
        <f aca="false">IFERROR(M3929/K3929,0)</f>
        <v>0.564134495641345</v>
      </c>
    </row>
    <row r="3930" customFormat="false" ht="15" hidden="false" customHeight="false" outlineLevel="0" collapsed="false">
      <c r="A3930" s="15" t="n">
        <v>46186</v>
      </c>
      <c r="B3930" s="14" t="s">
        <v>81</v>
      </c>
      <c r="C3930" s="14" t="s">
        <v>82</v>
      </c>
      <c r="D3930" s="14" t="s">
        <v>83</v>
      </c>
      <c r="E3930" s="14" t="s">
        <v>56</v>
      </c>
      <c r="F3930" s="14" t="s">
        <v>57</v>
      </c>
      <c r="G3930" s="14" t="s">
        <v>58</v>
      </c>
      <c r="H3930" s="0" t="n">
        <v>2</v>
      </c>
      <c r="I3930" s="16" t="n">
        <v>26.15</v>
      </c>
      <c r="J3930" s="16" t="n">
        <v>10</v>
      </c>
      <c r="K3930" s="16" t="n">
        <f aca="false">H3930*I3930</f>
        <v>52.3</v>
      </c>
      <c r="L3930" s="16" t="n">
        <f aca="false">H3930*J3930</f>
        <v>20</v>
      </c>
      <c r="M3930" s="16" t="n">
        <f aca="false">K3930-L3930</f>
        <v>32.3</v>
      </c>
      <c r="N3930" s="17" t="n">
        <f aca="false">IFERROR(M3930/K3930,0)</f>
        <v>0.617590822179732</v>
      </c>
    </row>
    <row r="3931" customFormat="false" ht="15" hidden="false" customHeight="false" outlineLevel="0" collapsed="false">
      <c r="A3931" s="15" t="n">
        <v>46186</v>
      </c>
      <c r="B3931" s="14" t="s">
        <v>81</v>
      </c>
      <c r="C3931" s="14" t="s">
        <v>82</v>
      </c>
      <c r="D3931" s="14" t="s">
        <v>83</v>
      </c>
      <c r="E3931" s="14" t="s">
        <v>45</v>
      </c>
      <c r="F3931" s="14" t="s">
        <v>62</v>
      </c>
      <c r="G3931" s="14" t="s">
        <v>63</v>
      </c>
      <c r="H3931" s="0" t="n">
        <v>6</v>
      </c>
      <c r="I3931" s="16" t="n">
        <v>16.63</v>
      </c>
      <c r="J3931" s="16" t="n">
        <v>6.5</v>
      </c>
      <c r="K3931" s="16" t="n">
        <f aca="false">H3931*I3931</f>
        <v>99.78</v>
      </c>
      <c r="L3931" s="16" t="n">
        <f aca="false">H3931*J3931</f>
        <v>39</v>
      </c>
      <c r="M3931" s="16" t="n">
        <f aca="false">K3931-L3931</f>
        <v>60.78</v>
      </c>
      <c r="N3931" s="17" t="n">
        <f aca="false">IFERROR(M3931/K3931,0)</f>
        <v>0.609140108238124</v>
      </c>
    </row>
    <row r="3932" customFormat="false" ht="15" hidden="false" customHeight="false" outlineLevel="0" collapsed="false">
      <c r="A3932" s="15" t="n">
        <v>46186</v>
      </c>
      <c r="B3932" s="14" t="s">
        <v>88</v>
      </c>
      <c r="C3932" s="14" t="s">
        <v>89</v>
      </c>
      <c r="D3932" s="14" t="s">
        <v>44</v>
      </c>
      <c r="E3932" s="14" t="s">
        <v>53</v>
      </c>
      <c r="F3932" s="14" t="s">
        <v>74</v>
      </c>
      <c r="G3932" s="14" t="s">
        <v>75</v>
      </c>
      <c r="H3932" s="0" t="n">
        <v>7</v>
      </c>
      <c r="I3932" s="16" t="n">
        <v>83</v>
      </c>
      <c r="J3932" s="16" t="n">
        <v>38</v>
      </c>
      <c r="K3932" s="16" t="n">
        <f aca="false">H3932*I3932</f>
        <v>581</v>
      </c>
      <c r="L3932" s="16" t="n">
        <f aca="false">H3932*J3932</f>
        <v>266</v>
      </c>
      <c r="M3932" s="16" t="n">
        <f aca="false">K3932-L3932</f>
        <v>315</v>
      </c>
      <c r="N3932" s="17" t="n">
        <f aca="false">IFERROR(M3932/K3932,0)</f>
        <v>0.542168674698795</v>
      </c>
    </row>
    <row r="3933" customFormat="false" ht="15" hidden="false" customHeight="false" outlineLevel="0" collapsed="false">
      <c r="A3933" s="15" t="n">
        <v>46186</v>
      </c>
      <c r="B3933" s="14" t="s">
        <v>88</v>
      </c>
      <c r="C3933" s="14" t="s">
        <v>89</v>
      </c>
      <c r="D3933" s="14" t="s">
        <v>44</v>
      </c>
      <c r="E3933" s="14" t="s">
        <v>64</v>
      </c>
      <c r="F3933" s="14" t="s">
        <v>90</v>
      </c>
      <c r="G3933" s="14" t="s">
        <v>91</v>
      </c>
      <c r="H3933" s="0" t="n">
        <v>11</v>
      </c>
      <c r="I3933" s="16" t="n">
        <v>11.76</v>
      </c>
      <c r="J3933" s="16" t="n">
        <v>3.5</v>
      </c>
      <c r="K3933" s="16" t="n">
        <f aca="false">H3933*I3933</f>
        <v>129.36</v>
      </c>
      <c r="L3933" s="16" t="n">
        <f aca="false">H3933*J3933</f>
        <v>38.5</v>
      </c>
      <c r="M3933" s="16" t="n">
        <f aca="false">K3933-L3933</f>
        <v>90.86</v>
      </c>
      <c r="N3933" s="17" t="n">
        <f aca="false">IFERROR(M3933/K3933,0)</f>
        <v>0.702380952380952</v>
      </c>
    </row>
    <row r="3934" customFormat="false" ht="15" hidden="false" customHeight="false" outlineLevel="0" collapsed="false">
      <c r="A3934" s="15" t="n">
        <v>46186</v>
      </c>
      <c r="B3934" s="14" t="s">
        <v>88</v>
      </c>
      <c r="C3934" s="14" t="s">
        <v>89</v>
      </c>
      <c r="D3934" s="14" t="s">
        <v>44</v>
      </c>
      <c r="E3934" s="14" t="s">
        <v>53</v>
      </c>
      <c r="F3934" s="14" t="s">
        <v>74</v>
      </c>
      <c r="G3934" s="14" t="s">
        <v>75</v>
      </c>
      <c r="H3934" s="0" t="n">
        <v>3</v>
      </c>
      <c r="I3934" s="16" t="n">
        <v>86.19</v>
      </c>
      <c r="J3934" s="16" t="n">
        <v>38</v>
      </c>
      <c r="K3934" s="16" t="n">
        <f aca="false">H3934*I3934</f>
        <v>258.57</v>
      </c>
      <c r="L3934" s="16" t="n">
        <f aca="false">H3934*J3934</f>
        <v>114</v>
      </c>
      <c r="M3934" s="16" t="n">
        <f aca="false">K3934-L3934</f>
        <v>144.57</v>
      </c>
      <c r="N3934" s="17" t="n">
        <f aca="false">IFERROR(M3934/K3934,0)</f>
        <v>0.559113586262908</v>
      </c>
    </row>
    <row r="3935" customFormat="false" ht="15" hidden="false" customHeight="false" outlineLevel="0" collapsed="false">
      <c r="A3935" s="15" t="n">
        <v>46187</v>
      </c>
      <c r="B3935" s="14" t="s">
        <v>42</v>
      </c>
      <c r="C3935" s="14" t="s">
        <v>43</v>
      </c>
      <c r="D3935" s="14" t="s">
        <v>44</v>
      </c>
      <c r="E3935" s="14" t="s">
        <v>45</v>
      </c>
      <c r="F3935" s="14" t="s">
        <v>48</v>
      </c>
      <c r="G3935" s="14" t="s">
        <v>49</v>
      </c>
      <c r="H3935" s="0" t="n">
        <v>11</v>
      </c>
      <c r="I3935" s="16" t="n">
        <v>64.75</v>
      </c>
      <c r="J3935" s="16" t="n">
        <v>27.5</v>
      </c>
      <c r="K3935" s="16" t="n">
        <f aca="false">H3935*I3935</f>
        <v>712.25</v>
      </c>
      <c r="L3935" s="16" t="n">
        <f aca="false">H3935*J3935</f>
        <v>302.5</v>
      </c>
      <c r="M3935" s="16" t="n">
        <f aca="false">K3935-L3935</f>
        <v>409.75</v>
      </c>
      <c r="N3935" s="17" t="n">
        <f aca="false">IFERROR(M3935/K3935,0)</f>
        <v>0.575289575289575</v>
      </c>
    </row>
    <row r="3936" customFormat="false" ht="15" hidden="false" customHeight="false" outlineLevel="0" collapsed="false">
      <c r="A3936" s="15" t="n">
        <v>46187</v>
      </c>
      <c r="B3936" s="14" t="s">
        <v>42</v>
      </c>
      <c r="C3936" s="14" t="s">
        <v>43</v>
      </c>
      <c r="D3936" s="14" t="s">
        <v>44</v>
      </c>
      <c r="E3936" s="14" t="s">
        <v>53</v>
      </c>
      <c r="F3936" s="14" t="s">
        <v>54</v>
      </c>
      <c r="G3936" s="14" t="s">
        <v>55</v>
      </c>
      <c r="H3936" s="0" t="n">
        <v>2</v>
      </c>
      <c r="I3936" s="16" t="n">
        <v>51.13</v>
      </c>
      <c r="J3936" s="16" t="n">
        <v>22</v>
      </c>
      <c r="K3936" s="16" t="n">
        <f aca="false">H3936*I3936</f>
        <v>102.26</v>
      </c>
      <c r="L3936" s="16" t="n">
        <f aca="false">H3936*J3936</f>
        <v>44</v>
      </c>
      <c r="M3936" s="16" t="n">
        <f aca="false">K3936-L3936</f>
        <v>58.26</v>
      </c>
      <c r="N3936" s="17" t="n">
        <f aca="false">IFERROR(M3936/K3936,0)</f>
        <v>0.569724232348915</v>
      </c>
    </row>
    <row r="3937" customFormat="false" ht="15" hidden="false" customHeight="false" outlineLevel="0" collapsed="false">
      <c r="A3937" s="15" t="n">
        <v>46187</v>
      </c>
      <c r="B3937" s="14" t="s">
        <v>50</v>
      </c>
      <c r="C3937" s="14" t="s">
        <v>51</v>
      </c>
      <c r="D3937" s="14" t="s">
        <v>52</v>
      </c>
      <c r="E3937" s="14" t="s">
        <v>64</v>
      </c>
      <c r="F3937" s="14" t="s">
        <v>96</v>
      </c>
      <c r="G3937" s="14" t="s">
        <v>97</v>
      </c>
      <c r="H3937" s="0" t="n">
        <v>9</v>
      </c>
      <c r="I3937" s="16" t="n">
        <v>57.4</v>
      </c>
      <c r="J3937" s="16" t="n">
        <v>24</v>
      </c>
      <c r="K3937" s="16" t="n">
        <f aca="false">H3937*I3937</f>
        <v>516.6</v>
      </c>
      <c r="L3937" s="16" t="n">
        <f aca="false">H3937*J3937</f>
        <v>216</v>
      </c>
      <c r="M3937" s="16" t="n">
        <f aca="false">K3937-L3937</f>
        <v>300.6</v>
      </c>
      <c r="N3937" s="17" t="n">
        <f aca="false">IFERROR(M3937/K3937,0)</f>
        <v>0.581881533101045</v>
      </c>
    </row>
    <row r="3938" customFormat="false" ht="15" hidden="false" customHeight="false" outlineLevel="0" collapsed="false">
      <c r="A3938" s="15" t="n">
        <v>46187</v>
      </c>
      <c r="B3938" s="14" t="s">
        <v>50</v>
      </c>
      <c r="C3938" s="14" t="s">
        <v>51</v>
      </c>
      <c r="D3938" s="14" t="s">
        <v>52</v>
      </c>
      <c r="E3938" s="14" t="s">
        <v>56</v>
      </c>
      <c r="F3938" s="14" t="s">
        <v>57</v>
      </c>
      <c r="G3938" s="14" t="s">
        <v>58</v>
      </c>
      <c r="H3938" s="0" t="n">
        <v>5</v>
      </c>
      <c r="I3938" s="16" t="n">
        <v>25.27</v>
      </c>
      <c r="J3938" s="16" t="n">
        <v>10</v>
      </c>
      <c r="K3938" s="16" t="n">
        <f aca="false">H3938*I3938</f>
        <v>126.35</v>
      </c>
      <c r="L3938" s="16" t="n">
        <f aca="false">H3938*J3938</f>
        <v>50</v>
      </c>
      <c r="M3938" s="16" t="n">
        <f aca="false">K3938-L3938</f>
        <v>76.35</v>
      </c>
      <c r="N3938" s="17" t="n">
        <f aca="false">IFERROR(M3938/K3938,0)</f>
        <v>0.604273842500989</v>
      </c>
    </row>
    <row r="3939" customFormat="false" ht="15" hidden="false" customHeight="false" outlineLevel="0" collapsed="false">
      <c r="A3939" s="15" t="n">
        <v>46187</v>
      </c>
      <c r="B3939" s="14" t="s">
        <v>59</v>
      </c>
      <c r="C3939" s="14" t="s">
        <v>60</v>
      </c>
      <c r="D3939" s="14" t="s">
        <v>61</v>
      </c>
      <c r="E3939" s="14" t="s">
        <v>53</v>
      </c>
      <c r="F3939" s="14" t="s">
        <v>74</v>
      </c>
      <c r="G3939" s="14" t="s">
        <v>75</v>
      </c>
      <c r="H3939" s="0" t="n">
        <v>7</v>
      </c>
      <c r="I3939" s="16" t="n">
        <v>85.95</v>
      </c>
      <c r="J3939" s="16" t="n">
        <v>38</v>
      </c>
      <c r="K3939" s="16" t="n">
        <f aca="false">H3939*I3939</f>
        <v>601.65</v>
      </c>
      <c r="L3939" s="16" t="n">
        <f aca="false">H3939*J3939</f>
        <v>266</v>
      </c>
      <c r="M3939" s="16" t="n">
        <f aca="false">K3939-L3939</f>
        <v>335.65</v>
      </c>
      <c r="N3939" s="17" t="n">
        <f aca="false">IFERROR(M3939/K3939,0)</f>
        <v>0.557882489819663</v>
      </c>
    </row>
    <row r="3940" customFormat="false" ht="15" hidden="false" customHeight="false" outlineLevel="0" collapsed="false">
      <c r="A3940" s="15" t="n">
        <v>46187</v>
      </c>
      <c r="B3940" s="14" t="s">
        <v>59</v>
      </c>
      <c r="C3940" s="14" t="s">
        <v>60</v>
      </c>
      <c r="D3940" s="14" t="s">
        <v>61</v>
      </c>
      <c r="E3940" s="14" t="s">
        <v>64</v>
      </c>
      <c r="F3940" s="14" t="s">
        <v>90</v>
      </c>
      <c r="G3940" s="14" t="s">
        <v>91</v>
      </c>
      <c r="H3940" s="0" t="n">
        <v>7</v>
      </c>
      <c r="I3940" s="16" t="n">
        <v>11.24</v>
      </c>
      <c r="J3940" s="16" t="n">
        <v>3.5</v>
      </c>
      <c r="K3940" s="16" t="n">
        <f aca="false">H3940*I3940</f>
        <v>78.68</v>
      </c>
      <c r="L3940" s="16" t="n">
        <f aca="false">H3940*J3940</f>
        <v>24.5</v>
      </c>
      <c r="M3940" s="16" t="n">
        <f aca="false">K3940-L3940</f>
        <v>54.18</v>
      </c>
      <c r="N3940" s="17" t="n">
        <f aca="false">IFERROR(M3940/K3940,0)</f>
        <v>0.688612099644128</v>
      </c>
    </row>
    <row r="3941" customFormat="false" ht="15" hidden="false" customHeight="false" outlineLevel="0" collapsed="false">
      <c r="A3941" s="15" t="n">
        <v>46187</v>
      </c>
      <c r="B3941" s="14" t="s">
        <v>59</v>
      </c>
      <c r="C3941" s="14" t="s">
        <v>60</v>
      </c>
      <c r="D3941" s="14" t="s">
        <v>61</v>
      </c>
      <c r="E3941" s="14" t="s">
        <v>45</v>
      </c>
      <c r="F3941" s="14" t="s">
        <v>62</v>
      </c>
      <c r="G3941" s="14" t="s">
        <v>63</v>
      </c>
      <c r="H3941" s="0" t="n">
        <v>9</v>
      </c>
      <c r="I3941" s="16" t="n">
        <v>17.5</v>
      </c>
      <c r="J3941" s="16" t="n">
        <v>6.5</v>
      </c>
      <c r="K3941" s="16" t="n">
        <f aca="false">H3941*I3941</f>
        <v>157.5</v>
      </c>
      <c r="L3941" s="16" t="n">
        <f aca="false">H3941*J3941</f>
        <v>58.5</v>
      </c>
      <c r="M3941" s="16" t="n">
        <f aca="false">K3941-L3941</f>
        <v>99</v>
      </c>
      <c r="N3941" s="17" t="n">
        <f aca="false">IFERROR(M3941/K3941,0)</f>
        <v>0.628571428571429</v>
      </c>
    </row>
    <row r="3942" customFormat="false" ht="15" hidden="false" customHeight="false" outlineLevel="0" collapsed="false">
      <c r="A3942" s="15" t="n">
        <v>46187</v>
      </c>
      <c r="B3942" s="14" t="s">
        <v>59</v>
      </c>
      <c r="C3942" s="14" t="s">
        <v>60</v>
      </c>
      <c r="D3942" s="14" t="s">
        <v>61</v>
      </c>
      <c r="E3942" s="14" t="s">
        <v>76</v>
      </c>
      <c r="F3942" s="14" t="s">
        <v>79</v>
      </c>
      <c r="G3942" s="14" t="s">
        <v>80</v>
      </c>
      <c r="H3942" s="0" t="n">
        <v>4</v>
      </c>
      <c r="I3942" s="16" t="n">
        <v>29.43</v>
      </c>
      <c r="J3942" s="16" t="n">
        <v>11</v>
      </c>
      <c r="K3942" s="16" t="n">
        <f aca="false">H3942*I3942</f>
        <v>117.72</v>
      </c>
      <c r="L3942" s="16" t="n">
        <f aca="false">H3942*J3942</f>
        <v>44</v>
      </c>
      <c r="M3942" s="16" t="n">
        <f aca="false">K3942-L3942</f>
        <v>73.72</v>
      </c>
      <c r="N3942" s="17" t="n">
        <f aca="false">IFERROR(M3942/K3942,0)</f>
        <v>0.626231736323479</v>
      </c>
    </row>
    <row r="3943" customFormat="false" ht="15" hidden="false" customHeight="false" outlineLevel="0" collapsed="false">
      <c r="A3943" s="15" t="n">
        <v>46187</v>
      </c>
      <c r="B3943" s="14" t="s">
        <v>59</v>
      </c>
      <c r="C3943" s="14" t="s">
        <v>60</v>
      </c>
      <c r="D3943" s="14" t="s">
        <v>61</v>
      </c>
      <c r="E3943" s="14" t="s">
        <v>76</v>
      </c>
      <c r="F3943" s="14" t="s">
        <v>77</v>
      </c>
      <c r="G3943" s="14" t="s">
        <v>78</v>
      </c>
      <c r="H3943" s="0" t="n">
        <v>3</v>
      </c>
      <c r="I3943" s="16" t="n">
        <v>38.94</v>
      </c>
      <c r="J3943" s="16" t="n">
        <v>15</v>
      </c>
      <c r="K3943" s="16" t="n">
        <f aca="false">H3943*I3943</f>
        <v>116.82</v>
      </c>
      <c r="L3943" s="16" t="n">
        <f aca="false">H3943*J3943</f>
        <v>45</v>
      </c>
      <c r="M3943" s="16" t="n">
        <f aca="false">K3943-L3943</f>
        <v>71.82</v>
      </c>
      <c r="N3943" s="17" t="n">
        <f aca="false">IFERROR(M3943/K3943,0)</f>
        <v>0.614791987673344</v>
      </c>
    </row>
    <row r="3944" customFormat="false" ht="15" hidden="false" customHeight="false" outlineLevel="0" collapsed="false">
      <c r="A3944" s="15" t="n">
        <v>46187</v>
      </c>
      <c r="B3944" s="14" t="s">
        <v>59</v>
      </c>
      <c r="C3944" s="14" t="s">
        <v>60</v>
      </c>
      <c r="D3944" s="14" t="s">
        <v>61</v>
      </c>
      <c r="E3944" s="14" t="s">
        <v>45</v>
      </c>
      <c r="F3944" s="14" t="s">
        <v>72</v>
      </c>
      <c r="G3944" s="14" t="s">
        <v>73</v>
      </c>
      <c r="H3944" s="0" t="n">
        <v>3</v>
      </c>
      <c r="I3944" s="16" t="n">
        <v>51.68</v>
      </c>
      <c r="J3944" s="16" t="n">
        <v>21</v>
      </c>
      <c r="K3944" s="16" t="n">
        <f aca="false">H3944*I3944</f>
        <v>155.04</v>
      </c>
      <c r="L3944" s="16" t="n">
        <f aca="false">H3944*J3944</f>
        <v>63</v>
      </c>
      <c r="M3944" s="16" t="n">
        <f aca="false">K3944-L3944</f>
        <v>92.04</v>
      </c>
      <c r="N3944" s="17" t="n">
        <f aca="false">IFERROR(M3944/K3944,0)</f>
        <v>0.593653250773994</v>
      </c>
    </row>
    <row r="3945" customFormat="false" ht="15" hidden="false" customHeight="false" outlineLevel="0" collapsed="false">
      <c r="A3945" s="15" t="n">
        <v>46187</v>
      </c>
      <c r="B3945" s="14" t="s">
        <v>69</v>
      </c>
      <c r="C3945" s="14" t="s">
        <v>70</v>
      </c>
      <c r="D3945" s="14" t="s">
        <v>71</v>
      </c>
      <c r="E3945" s="14" t="s">
        <v>56</v>
      </c>
      <c r="F3945" s="14" t="s">
        <v>67</v>
      </c>
      <c r="G3945" s="14" t="s">
        <v>68</v>
      </c>
      <c r="H3945" s="0" t="n">
        <v>3</v>
      </c>
      <c r="I3945" s="16" t="n">
        <v>35.42</v>
      </c>
      <c r="J3945" s="16" t="n">
        <v>15</v>
      </c>
      <c r="K3945" s="16" t="n">
        <f aca="false">H3945*I3945</f>
        <v>106.26</v>
      </c>
      <c r="L3945" s="16" t="n">
        <f aca="false">H3945*J3945</f>
        <v>45</v>
      </c>
      <c r="M3945" s="16" t="n">
        <f aca="false">K3945-L3945</f>
        <v>61.26</v>
      </c>
      <c r="N3945" s="17" t="n">
        <f aca="false">IFERROR(M3945/K3945,0)</f>
        <v>0.576510446075664</v>
      </c>
    </row>
    <row r="3946" customFormat="false" ht="15" hidden="false" customHeight="false" outlineLevel="0" collapsed="false">
      <c r="A3946" s="15" t="n">
        <v>46187</v>
      </c>
      <c r="B3946" s="14" t="s">
        <v>69</v>
      </c>
      <c r="C3946" s="14" t="s">
        <v>70</v>
      </c>
      <c r="D3946" s="14" t="s">
        <v>71</v>
      </c>
      <c r="E3946" s="14" t="s">
        <v>76</v>
      </c>
      <c r="F3946" s="14" t="s">
        <v>100</v>
      </c>
      <c r="G3946" s="14" t="s">
        <v>101</v>
      </c>
      <c r="H3946" s="0" t="n">
        <v>4</v>
      </c>
      <c r="I3946" s="16" t="n">
        <v>14.74</v>
      </c>
      <c r="J3946" s="16" t="n">
        <v>5.5</v>
      </c>
      <c r="K3946" s="16" t="n">
        <f aca="false">H3946*I3946</f>
        <v>58.96</v>
      </c>
      <c r="L3946" s="16" t="n">
        <f aca="false">H3946*J3946</f>
        <v>22</v>
      </c>
      <c r="M3946" s="16" t="n">
        <f aca="false">K3946-L3946</f>
        <v>36.96</v>
      </c>
      <c r="N3946" s="17" t="n">
        <f aca="false">IFERROR(M3946/K3946,0)</f>
        <v>0.626865671641791</v>
      </c>
    </row>
    <row r="3947" customFormat="false" ht="15" hidden="false" customHeight="false" outlineLevel="0" collapsed="false">
      <c r="A3947" s="15" t="n">
        <v>46187</v>
      </c>
      <c r="B3947" s="14" t="s">
        <v>81</v>
      </c>
      <c r="C3947" s="14" t="s">
        <v>82</v>
      </c>
      <c r="D3947" s="14" t="s">
        <v>83</v>
      </c>
      <c r="E3947" s="14" t="s">
        <v>53</v>
      </c>
      <c r="F3947" s="14" t="s">
        <v>92</v>
      </c>
      <c r="G3947" s="14" t="s">
        <v>93</v>
      </c>
      <c r="H3947" s="0" t="n">
        <v>7</v>
      </c>
      <c r="I3947" s="16" t="n">
        <v>117.33</v>
      </c>
      <c r="J3947" s="16" t="n">
        <v>52</v>
      </c>
      <c r="K3947" s="16" t="n">
        <f aca="false">H3947*I3947</f>
        <v>821.31</v>
      </c>
      <c r="L3947" s="16" t="n">
        <f aca="false">H3947*J3947</f>
        <v>364</v>
      </c>
      <c r="M3947" s="16" t="n">
        <f aca="false">K3947-L3947</f>
        <v>457.31</v>
      </c>
      <c r="N3947" s="17" t="n">
        <f aca="false">IFERROR(M3947/K3947,0)</f>
        <v>0.556805591067928</v>
      </c>
    </row>
    <row r="3948" customFormat="false" ht="15" hidden="false" customHeight="false" outlineLevel="0" collapsed="false">
      <c r="A3948" s="15" t="n">
        <v>46187</v>
      </c>
      <c r="B3948" s="14" t="s">
        <v>81</v>
      </c>
      <c r="C3948" s="14" t="s">
        <v>82</v>
      </c>
      <c r="D3948" s="14" t="s">
        <v>83</v>
      </c>
      <c r="E3948" s="14" t="s">
        <v>45</v>
      </c>
      <c r="F3948" s="14" t="s">
        <v>48</v>
      </c>
      <c r="G3948" s="14" t="s">
        <v>49</v>
      </c>
      <c r="H3948" s="0" t="n">
        <v>4</v>
      </c>
      <c r="I3948" s="16" t="n">
        <v>66.45</v>
      </c>
      <c r="J3948" s="16" t="n">
        <v>27.5</v>
      </c>
      <c r="K3948" s="16" t="n">
        <f aca="false">H3948*I3948</f>
        <v>265.8</v>
      </c>
      <c r="L3948" s="16" t="n">
        <f aca="false">H3948*J3948</f>
        <v>110</v>
      </c>
      <c r="M3948" s="16" t="n">
        <f aca="false">K3948-L3948</f>
        <v>155.8</v>
      </c>
      <c r="N3948" s="17" t="n">
        <f aca="false">IFERROR(M3948/K3948,0)</f>
        <v>0.586155003762227</v>
      </c>
    </row>
    <row r="3949" customFormat="false" ht="15" hidden="false" customHeight="false" outlineLevel="0" collapsed="false">
      <c r="A3949" s="15" t="n">
        <v>46187</v>
      </c>
      <c r="B3949" s="14" t="s">
        <v>81</v>
      </c>
      <c r="C3949" s="14" t="s">
        <v>82</v>
      </c>
      <c r="D3949" s="14" t="s">
        <v>83</v>
      </c>
      <c r="E3949" s="14" t="s">
        <v>56</v>
      </c>
      <c r="F3949" s="14" t="s">
        <v>67</v>
      </c>
      <c r="G3949" s="14" t="s">
        <v>68</v>
      </c>
      <c r="H3949" s="0" t="n">
        <v>3</v>
      </c>
      <c r="I3949" s="16" t="n">
        <v>37.33</v>
      </c>
      <c r="J3949" s="16" t="n">
        <v>15</v>
      </c>
      <c r="K3949" s="16" t="n">
        <f aca="false">H3949*I3949</f>
        <v>111.99</v>
      </c>
      <c r="L3949" s="16" t="n">
        <f aca="false">H3949*J3949</f>
        <v>45</v>
      </c>
      <c r="M3949" s="16" t="n">
        <f aca="false">K3949-L3949</f>
        <v>66.99</v>
      </c>
      <c r="N3949" s="17" t="n">
        <f aca="false">IFERROR(M3949/K3949,0)</f>
        <v>0.598178408786499</v>
      </c>
    </row>
    <row r="3950" customFormat="false" ht="15" hidden="false" customHeight="false" outlineLevel="0" collapsed="false">
      <c r="A3950" s="15" t="n">
        <v>46187</v>
      </c>
      <c r="B3950" s="14" t="s">
        <v>81</v>
      </c>
      <c r="C3950" s="14" t="s">
        <v>82</v>
      </c>
      <c r="D3950" s="14" t="s">
        <v>83</v>
      </c>
      <c r="E3950" s="14" t="s">
        <v>56</v>
      </c>
      <c r="F3950" s="14" t="s">
        <v>57</v>
      </c>
      <c r="G3950" s="14" t="s">
        <v>58</v>
      </c>
      <c r="H3950" s="0" t="n">
        <v>1</v>
      </c>
      <c r="I3950" s="16" t="n">
        <v>26.52</v>
      </c>
      <c r="J3950" s="16" t="n">
        <v>10</v>
      </c>
      <c r="K3950" s="16" t="n">
        <f aca="false">H3950*I3950</f>
        <v>26.52</v>
      </c>
      <c r="L3950" s="16" t="n">
        <f aca="false">H3950*J3950</f>
        <v>10</v>
      </c>
      <c r="M3950" s="16" t="n">
        <f aca="false">K3950-L3950</f>
        <v>16.52</v>
      </c>
      <c r="N3950" s="17" t="n">
        <f aca="false">IFERROR(M3950/K3950,0)</f>
        <v>0.622926093514329</v>
      </c>
    </row>
    <row r="3951" customFormat="false" ht="15" hidden="false" customHeight="false" outlineLevel="0" collapsed="false">
      <c r="A3951" s="15" t="n">
        <v>46187</v>
      </c>
      <c r="B3951" s="14" t="s">
        <v>81</v>
      </c>
      <c r="C3951" s="14" t="s">
        <v>82</v>
      </c>
      <c r="D3951" s="14" t="s">
        <v>83</v>
      </c>
      <c r="E3951" s="14" t="s">
        <v>53</v>
      </c>
      <c r="F3951" s="14" t="s">
        <v>84</v>
      </c>
      <c r="G3951" s="14" t="s">
        <v>85</v>
      </c>
      <c r="H3951" s="0" t="n">
        <v>2</v>
      </c>
      <c r="I3951" s="16" t="n">
        <v>23.28</v>
      </c>
      <c r="J3951" s="16" t="n">
        <v>9</v>
      </c>
      <c r="K3951" s="16" t="n">
        <f aca="false">H3951*I3951</f>
        <v>46.56</v>
      </c>
      <c r="L3951" s="16" t="n">
        <f aca="false">H3951*J3951</f>
        <v>18</v>
      </c>
      <c r="M3951" s="16" t="n">
        <f aca="false">K3951-L3951</f>
        <v>28.56</v>
      </c>
      <c r="N3951" s="17" t="n">
        <f aca="false">IFERROR(M3951/K3951,0)</f>
        <v>0.61340206185567</v>
      </c>
    </row>
    <row r="3952" customFormat="false" ht="15" hidden="false" customHeight="false" outlineLevel="0" collapsed="false">
      <c r="A3952" s="15" t="n">
        <v>46187</v>
      </c>
      <c r="B3952" s="14" t="s">
        <v>81</v>
      </c>
      <c r="C3952" s="14" t="s">
        <v>82</v>
      </c>
      <c r="D3952" s="14" t="s">
        <v>83</v>
      </c>
      <c r="E3952" s="14" t="s">
        <v>53</v>
      </c>
      <c r="F3952" s="14" t="s">
        <v>84</v>
      </c>
      <c r="G3952" s="14" t="s">
        <v>85</v>
      </c>
      <c r="H3952" s="0" t="n">
        <v>7</v>
      </c>
      <c r="I3952" s="16" t="n">
        <v>24.1</v>
      </c>
      <c r="J3952" s="16" t="n">
        <v>9</v>
      </c>
      <c r="K3952" s="16" t="n">
        <f aca="false">H3952*I3952</f>
        <v>168.7</v>
      </c>
      <c r="L3952" s="16" t="n">
        <f aca="false">H3952*J3952</f>
        <v>63</v>
      </c>
      <c r="M3952" s="16" t="n">
        <f aca="false">K3952-L3952</f>
        <v>105.7</v>
      </c>
      <c r="N3952" s="17" t="n">
        <f aca="false">IFERROR(M3952/K3952,0)</f>
        <v>0.62655601659751</v>
      </c>
    </row>
    <row r="3953" customFormat="false" ht="15" hidden="false" customHeight="false" outlineLevel="0" collapsed="false">
      <c r="A3953" s="15" t="n">
        <v>46187</v>
      </c>
      <c r="B3953" s="14" t="s">
        <v>88</v>
      </c>
      <c r="C3953" s="14" t="s">
        <v>89</v>
      </c>
      <c r="D3953" s="14" t="s">
        <v>44</v>
      </c>
      <c r="E3953" s="14" t="s">
        <v>76</v>
      </c>
      <c r="F3953" s="14" t="s">
        <v>100</v>
      </c>
      <c r="G3953" s="14" t="s">
        <v>101</v>
      </c>
      <c r="H3953" s="0" t="n">
        <v>8</v>
      </c>
      <c r="I3953" s="16" t="n">
        <v>15.7</v>
      </c>
      <c r="J3953" s="16" t="n">
        <v>5.5</v>
      </c>
      <c r="K3953" s="16" t="n">
        <f aca="false">H3953*I3953</f>
        <v>125.6</v>
      </c>
      <c r="L3953" s="16" t="n">
        <f aca="false">H3953*J3953</f>
        <v>44</v>
      </c>
      <c r="M3953" s="16" t="n">
        <f aca="false">K3953-L3953</f>
        <v>81.6</v>
      </c>
      <c r="N3953" s="17" t="n">
        <f aca="false">IFERROR(M3953/K3953,0)</f>
        <v>0.64968152866242</v>
      </c>
    </row>
    <row r="3954" customFormat="false" ht="15" hidden="false" customHeight="false" outlineLevel="0" collapsed="false">
      <c r="A3954" s="15" t="n">
        <v>46187</v>
      </c>
      <c r="B3954" s="14" t="s">
        <v>88</v>
      </c>
      <c r="C3954" s="14" t="s">
        <v>89</v>
      </c>
      <c r="D3954" s="14" t="s">
        <v>44</v>
      </c>
      <c r="E3954" s="14" t="s">
        <v>53</v>
      </c>
      <c r="F3954" s="14" t="s">
        <v>54</v>
      </c>
      <c r="G3954" s="14" t="s">
        <v>55</v>
      </c>
      <c r="H3954" s="0" t="n">
        <v>2</v>
      </c>
      <c r="I3954" s="16" t="n">
        <v>51.74</v>
      </c>
      <c r="J3954" s="16" t="n">
        <v>22</v>
      </c>
      <c r="K3954" s="16" t="n">
        <f aca="false">H3954*I3954</f>
        <v>103.48</v>
      </c>
      <c r="L3954" s="16" t="n">
        <f aca="false">H3954*J3954</f>
        <v>44</v>
      </c>
      <c r="M3954" s="16" t="n">
        <f aca="false">K3954-L3954</f>
        <v>59.48</v>
      </c>
      <c r="N3954" s="17" t="n">
        <f aca="false">IFERROR(M3954/K3954,0)</f>
        <v>0.574797062234248</v>
      </c>
    </row>
    <row r="3955" customFormat="false" ht="15" hidden="false" customHeight="false" outlineLevel="0" collapsed="false">
      <c r="A3955" s="15" t="n">
        <v>46187</v>
      </c>
      <c r="B3955" s="14" t="s">
        <v>88</v>
      </c>
      <c r="C3955" s="14" t="s">
        <v>89</v>
      </c>
      <c r="D3955" s="14" t="s">
        <v>44</v>
      </c>
      <c r="E3955" s="14" t="s">
        <v>45</v>
      </c>
      <c r="F3955" s="14" t="s">
        <v>62</v>
      </c>
      <c r="G3955" s="14" t="s">
        <v>63</v>
      </c>
      <c r="H3955" s="0" t="n">
        <v>1</v>
      </c>
      <c r="I3955" s="16" t="n">
        <v>16.76</v>
      </c>
      <c r="J3955" s="16" t="n">
        <v>6.5</v>
      </c>
      <c r="K3955" s="16" t="n">
        <f aca="false">H3955*I3955</f>
        <v>16.76</v>
      </c>
      <c r="L3955" s="16" t="n">
        <f aca="false">H3955*J3955</f>
        <v>6.5</v>
      </c>
      <c r="M3955" s="16" t="n">
        <f aca="false">K3955-L3955</f>
        <v>10.26</v>
      </c>
      <c r="N3955" s="17" t="n">
        <f aca="false">IFERROR(M3955/K3955,0)</f>
        <v>0.612171837708831</v>
      </c>
    </row>
    <row r="3956" customFormat="false" ht="15" hidden="false" customHeight="false" outlineLevel="0" collapsed="false">
      <c r="A3956" s="15" t="n">
        <v>46187</v>
      </c>
      <c r="B3956" s="14" t="s">
        <v>88</v>
      </c>
      <c r="C3956" s="14" t="s">
        <v>89</v>
      </c>
      <c r="D3956" s="14" t="s">
        <v>44</v>
      </c>
      <c r="E3956" s="14" t="s">
        <v>64</v>
      </c>
      <c r="F3956" s="14" t="s">
        <v>65</v>
      </c>
      <c r="G3956" s="14" t="s">
        <v>66</v>
      </c>
      <c r="H3956" s="0" t="n">
        <v>10</v>
      </c>
      <c r="I3956" s="16" t="n">
        <v>73.46</v>
      </c>
      <c r="J3956" s="16" t="n">
        <v>34</v>
      </c>
      <c r="K3956" s="16" t="n">
        <f aca="false">H3956*I3956</f>
        <v>734.6</v>
      </c>
      <c r="L3956" s="16" t="n">
        <f aca="false">H3956*J3956</f>
        <v>340</v>
      </c>
      <c r="M3956" s="16" t="n">
        <f aca="false">K3956-L3956</f>
        <v>394.6</v>
      </c>
      <c r="N3956" s="17" t="n">
        <f aca="false">IFERROR(M3956/K3956,0)</f>
        <v>0.53716308194936</v>
      </c>
    </row>
    <row r="3957" customFormat="false" ht="15" hidden="false" customHeight="false" outlineLevel="0" collapsed="false">
      <c r="A3957" s="15" t="n">
        <v>46187</v>
      </c>
      <c r="B3957" s="14" t="s">
        <v>88</v>
      </c>
      <c r="C3957" s="14" t="s">
        <v>89</v>
      </c>
      <c r="D3957" s="14" t="s">
        <v>44</v>
      </c>
      <c r="E3957" s="14" t="s">
        <v>56</v>
      </c>
      <c r="F3957" s="14" t="s">
        <v>86</v>
      </c>
      <c r="G3957" s="14" t="s">
        <v>87</v>
      </c>
      <c r="H3957" s="0" t="n">
        <v>10</v>
      </c>
      <c r="I3957" s="16" t="n">
        <v>14.08</v>
      </c>
      <c r="J3957" s="16" t="n">
        <v>5</v>
      </c>
      <c r="K3957" s="16" t="n">
        <f aca="false">H3957*I3957</f>
        <v>140.8</v>
      </c>
      <c r="L3957" s="16" t="n">
        <f aca="false">H3957*J3957</f>
        <v>50</v>
      </c>
      <c r="M3957" s="16" t="n">
        <f aca="false">K3957-L3957</f>
        <v>90.8</v>
      </c>
      <c r="N3957" s="17" t="n">
        <f aca="false">IFERROR(M3957/K3957,0)</f>
        <v>0.644886363636364</v>
      </c>
    </row>
    <row r="3958" customFormat="false" ht="15" hidden="false" customHeight="false" outlineLevel="0" collapsed="false">
      <c r="A3958" s="15" t="n">
        <v>46187</v>
      </c>
      <c r="B3958" s="14" t="s">
        <v>88</v>
      </c>
      <c r="C3958" s="14" t="s">
        <v>89</v>
      </c>
      <c r="D3958" s="14" t="s">
        <v>44</v>
      </c>
      <c r="E3958" s="14" t="s">
        <v>64</v>
      </c>
      <c r="F3958" s="14" t="s">
        <v>94</v>
      </c>
      <c r="G3958" s="14" t="s">
        <v>95</v>
      </c>
      <c r="H3958" s="0" t="n">
        <v>1</v>
      </c>
      <c r="I3958" s="16" t="n">
        <v>92.4</v>
      </c>
      <c r="J3958" s="16" t="n">
        <v>42</v>
      </c>
      <c r="K3958" s="16" t="n">
        <f aca="false">H3958*I3958</f>
        <v>92.4</v>
      </c>
      <c r="L3958" s="16" t="n">
        <f aca="false">H3958*J3958</f>
        <v>42</v>
      </c>
      <c r="M3958" s="16" t="n">
        <f aca="false">K3958-L3958</f>
        <v>50.4</v>
      </c>
      <c r="N3958" s="17" t="n">
        <f aca="false">IFERROR(M3958/K3958,0)</f>
        <v>0.545454545454546</v>
      </c>
    </row>
    <row r="3959" customFormat="false" ht="15" hidden="false" customHeight="false" outlineLevel="0" collapsed="false">
      <c r="A3959" s="15" t="n">
        <v>46188</v>
      </c>
      <c r="B3959" s="14" t="s">
        <v>42</v>
      </c>
      <c r="C3959" s="14" t="s">
        <v>43</v>
      </c>
      <c r="D3959" s="14" t="s">
        <v>44</v>
      </c>
      <c r="E3959" s="14" t="s">
        <v>45</v>
      </c>
      <c r="F3959" s="14" t="s">
        <v>72</v>
      </c>
      <c r="G3959" s="14" t="s">
        <v>73</v>
      </c>
      <c r="H3959" s="0" t="n">
        <v>2</v>
      </c>
      <c r="I3959" s="16" t="n">
        <v>49.63</v>
      </c>
      <c r="J3959" s="16" t="n">
        <v>21</v>
      </c>
      <c r="K3959" s="16" t="n">
        <f aca="false">H3959*I3959</f>
        <v>99.26</v>
      </c>
      <c r="L3959" s="16" t="n">
        <f aca="false">H3959*J3959</f>
        <v>42</v>
      </c>
      <c r="M3959" s="16" t="n">
        <f aca="false">K3959-L3959</f>
        <v>57.26</v>
      </c>
      <c r="N3959" s="17" t="n">
        <f aca="false">IFERROR(M3959/K3959,0)</f>
        <v>0.576868829337095</v>
      </c>
    </row>
    <row r="3960" customFormat="false" ht="15" hidden="false" customHeight="false" outlineLevel="0" collapsed="false">
      <c r="A3960" s="15" t="n">
        <v>46188</v>
      </c>
      <c r="B3960" s="14" t="s">
        <v>42</v>
      </c>
      <c r="C3960" s="14" t="s">
        <v>43</v>
      </c>
      <c r="D3960" s="14" t="s">
        <v>44</v>
      </c>
      <c r="E3960" s="14" t="s">
        <v>56</v>
      </c>
      <c r="F3960" s="14" t="s">
        <v>98</v>
      </c>
      <c r="G3960" s="14" t="s">
        <v>99</v>
      </c>
      <c r="H3960" s="0" t="n">
        <v>9</v>
      </c>
      <c r="I3960" s="16" t="n">
        <v>20.64</v>
      </c>
      <c r="J3960" s="16" t="n">
        <v>8</v>
      </c>
      <c r="K3960" s="16" t="n">
        <f aca="false">H3960*I3960</f>
        <v>185.76</v>
      </c>
      <c r="L3960" s="16" t="n">
        <f aca="false">H3960*J3960</f>
        <v>72</v>
      </c>
      <c r="M3960" s="16" t="n">
        <f aca="false">K3960-L3960</f>
        <v>113.76</v>
      </c>
      <c r="N3960" s="17" t="n">
        <f aca="false">IFERROR(M3960/K3960,0)</f>
        <v>0.612403100775194</v>
      </c>
    </row>
    <row r="3961" customFormat="false" ht="15" hidden="false" customHeight="false" outlineLevel="0" collapsed="false">
      <c r="A3961" s="15" t="n">
        <v>46188</v>
      </c>
      <c r="B3961" s="14" t="s">
        <v>42</v>
      </c>
      <c r="C3961" s="14" t="s">
        <v>43</v>
      </c>
      <c r="D3961" s="14" t="s">
        <v>44</v>
      </c>
      <c r="E3961" s="14" t="s">
        <v>53</v>
      </c>
      <c r="F3961" s="14" t="s">
        <v>92</v>
      </c>
      <c r="G3961" s="14" t="s">
        <v>93</v>
      </c>
      <c r="H3961" s="0" t="n">
        <v>3</v>
      </c>
      <c r="I3961" s="16" t="n">
        <v>113.69</v>
      </c>
      <c r="J3961" s="16" t="n">
        <v>52</v>
      </c>
      <c r="K3961" s="16" t="n">
        <f aca="false">H3961*I3961</f>
        <v>341.07</v>
      </c>
      <c r="L3961" s="16" t="n">
        <f aca="false">H3961*J3961</f>
        <v>156</v>
      </c>
      <c r="M3961" s="16" t="n">
        <f aca="false">K3961-L3961</f>
        <v>185.07</v>
      </c>
      <c r="N3961" s="17" t="n">
        <f aca="false">IFERROR(M3961/K3961,0)</f>
        <v>0.542615885302137</v>
      </c>
    </row>
    <row r="3962" customFormat="false" ht="15" hidden="false" customHeight="false" outlineLevel="0" collapsed="false">
      <c r="A3962" s="15" t="n">
        <v>46188</v>
      </c>
      <c r="B3962" s="14" t="s">
        <v>42</v>
      </c>
      <c r="C3962" s="14" t="s">
        <v>43</v>
      </c>
      <c r="D3962" s="14" t="s">
        <v>44</v>
      </c>
      <c r="E3962" s="14" t="s">
        <v>76</v>
      </c>
      <c r="F3962" s="14" t="s">
        <v>77</v>
      </c>
      <c r="G3962" s="14" t="s">
        <v>78</v>
      </c>
      <c r="H3962" s="0" t="n">
        <v>1</v>
      </c>
      <c r="I3962" s="16" t="n">
        <v>39.39</v>
      </c>
      <c r="J3962" s="16" t="n">
        <v>15</v>
      </c>
      <c r="K3962" s="16" t="n">
        <f aca="false">H3962*I3962</f>
        <v>39.39</v>
      </c>
      <c r="L3962" s="16" t="n">
        <f aca="false">H3962*J3962</f>
        <v>15</v>
      </c>
      <c r="M3962" s="16" t="n">
        <f aca="false">K3962-L3962</f>
        <v>24.39</v>
      </c>
      <c r="N3962" s="17" t="n">
        <f aca="false">IFERROR(M3962/K3962,0)</f>
        <v>0.619192688499619</v>
      </c>
    </row>
    <row r="3963" customFormat="false" ht="15" hidden="false" customHeight="false" outlineLevel="0" collapsed="false">
      <c r="A3963" s="15" t="n">
        <v>46188</v>
      </c>
      <c r="B3963" s="14" t="s">
        <v>42</v>
      </c>
      <c r="C3963" s="14" t="s">
        <v>43</v>
      </c>
      <c r="D3963" s="14" t="s">
        <v>44</v>
      </c>
      <c r="E3963" s="14" t="s">
        <v>76</v>
      </c>
      <c r="F3963" s="14" t="s">
        <v>79</v>
      </c>
      <c r="G3963" s="14" t="s">
        <v>80</v>
      </c>
      <c r="H3963" s="0" t="n">
        <v>6</v>
      </c>
      <c r="I3963" s="16" t="n">
        <v>27.74</v>
      </c>
      <c r="J3963" s="16" t="n">
        <v>11</v>
      </c>
      <c r="K3963" s="16" t="n">
        <f aca="false">H3963*I3963</f>
        <v>166.44</v>
      </c>
      <c r="L3963" s="16" t="n">
        <f aca="false">H3963*J3963</f>
        <v>66</v>
      </c>
      <c r="M3963" s="16" t="n">
        <f aca="false">K3963-L3963</f>
        <v>100.44</v>
      </c>
      <c r="N3963" s="17" t="n">
        <f aca="false">IFERROR(M3963/K3963,0)</f>
        <v>0.603460706560923</v>
      </c>
    </row>
    <row r="3964" customFormat="false" ht="15" hidden="false" customHeight="false" outlineLevel="0" collapsed="false">
      <c r="A3964" s="15" t="n">
        <v>46188</v>
      </c>
      <c r="B3964" s="14" t="s">
        <v>42</v>
      </c>
      <c r="C3964" s="14" t="s">
        <v>43</v>
      </c>
      <c r="D3964" s="14" t="s">
        <v>44</v>
      </c>
      <c r="E3964" s="14" t="s">
        <v>45</v>
      </c>
      <c r="F3964" s="14" t="s">
        <v>46</v>
      </c>
      <c r="G3964" s="14" t="s">
        <v>47</v>
      </c>
      <c r="H3964" s="0" t="n">
        <v>9</v>
      </c>
      <c r="I3964" s="16" t="n">
        <v>44.84</v>
      </c>
      <c r="J3964" s="16" t="n">
        <v>18</v>
      </c>
      <c r="K3964" s="16" t="n">
        <f aca="false">H3964*I3964</f>
        <v>403.56</v>
      </c>
      <c r="L3964" s="16" t="n">
        <f aca="false">H3964*J3964</f>
        <v>162</v>
      </c>
      <c r="M3964" s="16" t="n">
        <f aca="false">K3964-L3964</f>
        <v>241.56</v>
      </c>
      <c r="N3964" s="17" t="n">
        <f aca="false">IFERROR(M3964/K3964,0)</f>
        <v>0.5985727029438</v>
      </c>
    </row>
    <row r="3965" customFormat="false" ht="15" hidden="false" customHeight="false" outlineLevel="0" collapsed="false">
      <c r="A3965" s="15" t="n">
        <v>46188</v>
      </c>
      <c r="B3965" s="14" t="s">
        <v>50</v>
      </c>
      <c r="C3965" s="14" t="s">
        <v>51</v>
      </c>
      <c r="D3965" s="14" t="s">
        <v>52</v>
      </c>
      <c r="E3965" s="14" t="s">
        <v>64</v>
      </c>
      <c r="F3965" s="14" t="s">
        <v>94</v>
      </c>
      <c r="G3965" s="14" t="s">
        <v>95</v>
      </c>
      <c r="H3965" s="0" t="n">
        <v>8</v>
      </c>
      <c r="I3965" s="16" t="n">
        <v>98.15</v>
      </c>
      <c r="J3965" s="16" t="n">
        <v>42</v>
      </c>
      <c r="K3965" s="16" t="n">
        <f aca="false">H3965*I3965</f>
        <v>785.2</v>
      </c>
      <c r="L3965" s="16" t="n">
        <f aca="false">H3965*J3965</f>
        <v>336</v>
      </c>
      <c r="M3965" s="16" t="n">
        <f aca="false">K3965-L3965</f>
        <v>449.2</v>
      </c>
      <c r="N3965" s="17" t="n">
        <f aca="false">IFERROR(M3965/K3965,0)</f>
        <v>0.572083545593479</v>
      </c>
    </row>
    <row r="3966" customFormat="false" ht="15" hidden="false" customHeight="false" outlineLevel="0" collapsed="false">
      <c r="A3966" s="15" t="n">
        <v>46188</v>
      </c>
      <c r="B3966" s="14" t="s">
        <v>50</v>
      </c>
      <c r="C3966" s="14" t="s">
        <v>51</v>
      </c>
      <c r="D3966" s="14" t="s">
        <v>52</v>
      </c>
      <c r="E3966" s="14" t="s">
        <v>76</v>
      </c>
      <c r="F3966" s="14" t="s">
        <v>79</v>
      </c>
      <c r="G3966" s="14" t="s">
        <v>80</v>
      </c>
      <c r="H3966" s="0" t="n">
        <v>8</v>
      </c>
      <c r="I3966" s="16" t="n">
        <v>28.66</v>
      </c>
      <c r="J3966" s="16" t="n">
        <v>11</v>
      </c>
      <c r="K3966" s="16" t="n">
        <f aca="false">H3966*I3966</f>
        <v>229.28</v>
      </c>
      <c r="L3966" s="16" t="n">
        <f aca="false">H3966*J3966</f>
        <v>88</v>
      </c>
      <c r="M3966" s="16" t="n">
        <f aca="false">K3966-L3966</f>
        <v>141.28</v>
      </c>
      <c r="N3966" s="17" t="n">
        <f aca="false">IFERROR(M3966/K3966,0)</f>
        <v>0.616189811584089</v>
      </c>
    </row>
    <row r="3967" customFormat="false" ht="15" hidden="false" customHeight="false" outlineLevel="0" collapsed="false">
      <c r="A3967" s="15" t="n">
        <v>46188</v>
      </c>
      <c r="B3967" s="14" t="s">
        <v>50</v>
      </c>
      <c r="C3967" s="14" t="s">
        <v>51</v>
      </c>
      <c r="D3967" s="14" t="s">
        <v>52</v>
      </c>
      <c r="E3967" s="14" t="s">
        <v>76</v>
      </c>
      <c r="F3967" s="14" t="s">
        <v>102</v>
      </c>
      <c r="G3967" s="14" t="s">
        <v>103</v>
      </c>
      <c r="H3967" s="0" t="n">
        <v>7</v>
      </c>
      <c r="I3967" s="16" t="n">
        <v>22.9</v>
      </c>
      <c r="J3967" s="16" t="n">
        <v>8.5</v>
      </c>
      <c r="K3967" s="16" t="n">
        <f aca="false">H3967*I3967</f>
        <v>160.3</v>
      </c>
      <c r="L3967" s="16" t="n">
        <f aca="false">H3967*J3967</f>
        <v>59.5</v>
      </c>
      <c r="M3967" s="16" t="n">
        <f aca="false">K3967-L3967</f>
        <v>100.8</v>
      </c>
      <c r="N3967" s="17" t="n">
        <f aca="false">IFERROR(M3967/K3967,0)</f>
        <v>0.62882096069869</v>
      </c>
    </row>
    <row r="3968" customFormat="false" ht="15" hidden="false" customHeight="false" outlineLevel="0" collapsed="false">
      <c r="A3968" s="15" t="n">
        <v>46188</v>
      </c>
      <c r="B3968" s="14" t="s">
        <v>50</v>
      </c>
      <c r="C3968" s="14" t="s">
        <v>51</v>
      </c>
      <c r="D3968" s="14" t="s">
        <v>52</v>
      </c>
      <c r="E3968" s="14" t="s">
        <v>53</v>
      </c>
      <c r="F3968" s="14" t="s">
        <v>54</v>
      </c>
      <c r="G3968" s="14" t="s">
        <v>55</v>
      </c>
      <c r="H3968" s="0" t="n">
        <v>7</v>
      </c>
      <c r="I3968" s="16" t="n">
        <v>52.71</v>
      </c>
      <c r="J3968" s="16" t="n">
        <v>22</v>
      </c>
      <c r="K3968" s="16" t="n">
        <f aca="false">H3968*I3968</f>
        <v>368.97</v>
      </c>
      <c r="L3968" s="16" t="n">
        <f aca="false">H3968*J3968</f>
        <v>154</v>
      </c>
      <c r="M3968" s="16" t="n">
        <f aca="false">K3968-L3968</f>
        <v>214.97</v>
      </c>
      <c r="N3968" s="17" t="n">
        <f aca="false">IFERROR(M3968/K3968,0)</f>
        <v>0.582621893378866</v>
      </c>
    </row>
    <row r="3969" customFormat="false" ht="15" hidden="false" customHeight="false" outlineLevel="0" collapsed="false">
      <c r="A3969" s="15" t="n">
        <v>46188</v>
      </c>
      <c r="B3969" s="14" t="s">
        <v>50</v>
      </c>
      <c r="C3969" s="14" t="s">
        <v>51</v>
      </c>
      <c r="D3969" s="14" t="s">
        <v>52</v>
      </c>
      <c r="E3969" s="14" t="s">
        <v>45</v>
      </c>
      <c r="F3969" s="14" t="s">
        <v>62</v>
      </c>
      <c r="G3969" s="14" t="s">
        <v>63</v>
      </c>
      <c r="H3969" s="0" t="n">
        <v>5</v>
      </c>
      <c r="I3969" s="16" t="n">
        <v>17.22</v>
      </c>
      <c r="J3969" s="16" t="n">
        <v>6.5</v>
      </c>
      <c r="K3969" s="16" t="n">
        <f aca="false">H3969*I3969</f>
        <v>86.1</v>
      </c>
      <c r="L3969" s="16" t="n">
        <f aca="false">H3969*J3969</f>
        <v>32.5</v>
      </c>
      <c r="M3969" s="16" t="n">
        <f aca="false">K3969-L3969</f>
        <v>53.6</v>
      </c>
      <c r="N3969" s="17" t="n">
        <f aca="false">IFERROR(M3969/K3969,0)</f>
        <v>0.62253193960511</v>
      </c>
    </row>
    <row r="3970" customFormat="false" ht="15" hidden="false" customHeight="false" outlineLevel="0" collapsed="false">
      <c r="A3970" s="15" t="n">
        <v>46188</v>
      </c>
      <c r="B3970" s="14" t="s">
        <v>50</v>
      </c>
      <c r="C3970" s="14" t="s">
        <v>51</v>
      </c>
      <c r="D3970" s="14" t="s">
        <v>52</v>
      </c>
      <c r="E3970" s="14" t="s">
        <v>45</v>
      </c>
      <c r="F3970" s="14" t="s">
        <v>48</v>
      </c>
      <c r="G3970" s="14" t="s">
        <v>49</v>
      </c>
      <c r="H3970" s="0" t="n">
        <v>1</v>
      </c>
      <c r="I3970" s="16" t="n">
        <v>65.58</v>
      </c>
      <c r="J3970" s="16" t="n">
        <v>27.5</v>
      </c>
      <c r="K3970" s="16" t="n">
        <f aca="false">H3970*I3970</f>
        <v>65.58</v>
      </c>
      <c r="L3970" s="16" t="n">
        <f aca="false">H3970*J3970</f>
        <v>27.5</v>
      </c>
      <c r="M3970" s="16" t="n">
        <f aca="false">K3970-L3970</f>
        <v>38.08</v>
      </c>
      <c r="N3970" s="17" t="n">
        <f aca="false">IFERROR(M3970/K3970,0)</f>
        <v>0.5806648368405</v>
      </c>
    </row>
    <row r="3971" customFormat="false" ht="15" hidden="false" customHeight="false" outlineLevel="0" collapsed="false">
      <c r="A3971" s="15" t="n">
        <v>46188</v>
      </c>
      <c r="B3971" s="14" t="s">
        <v>59</v>
      </c>
      <c r="C3971" s="14" t="s">
        <v>60</v>
      </c>
      <c r="D3971" s="14" t="s">
        <v>61</v>
      </c>
      <c r="E3971" s="14" t="s">
        <v>56</v>
      </c>
      <c r="F3971" s="14" t="s">
        <v>98</v>
      </c>
      <c r="G3971" s="14" t="s">
        <v>99</v>
      </c>
      <c r="H3971" s="0" t="n">
        <v>1</v>
      </c>
      <c r="I3971" s="16" t="n">
        <v>20.6</v>
      </c>
      <c r="J3971" s="16" t="n">
        <v>8</v>
      </c>
      <c r="K3971" s="16" t="n">
        <f aca="false">H3971*I3971</f>
        <v>20.6</v>
      </c>
      <c r="L3971" s="16" t="n">
        <f aca="false">H3971*J3971</f>
        <v>8</v>
      </c>
      <c r="M3971" s="16" t="n">
        <f aca="false">K3971-L3971</f>
        <v>12.6</v>
      </c>
      <c r="N3971" s="17" t="n">
        <f aca="false">IFERROR(M3971/K3971,0)</f>
        <v>0.611650485436893</v>
      </c>
    </row>
    <row r="3972" customFormat="false" ht="15" hidden="false" customHeight="false" outlineLevel="0" collapsed="false">
      <c r="A3972" s="15" t="n">
        <v>46188</v>
      </c>
      <c r="B3972" s="14" t="s">
        <v>59</v>
      </c>
      <c r="C3972" s="14" t="s">
        <v>60</v>
      </c>
      <c r="D3972" s="14" t="s">
        <v>61</v>
      </c>
      <c r="E3972" s="14" t="s">
        <v>64</v>
      </c>
      <c r="F3972" s="14" t="s">
        <v>96</v>
      </c>
      <c r="G3972" s="14" t="s">
        <v>97</v>
      </c>
      <c r="H3972" s="0" t="n">
        <v>2</v>
      </c>
      <c r="I3972" s="16" t="n">
        <v>56.4</v>
      </c>
      <c r="J3972" s="16" t="n">
        <v>24</v>
      </c>
      <c r="K3972" s="16" t="n">
        <f aca="false">H3972*I3972</f>
        <v>112.8</v>
      </c>
      <c r="L3972" s="16" t="n">
        <f aca="false">H3972*J3972</f>
        <v>48</v>
      </c>
      <c r="M3972" s="16" t="n">
        <f aca="false">K3972-L3972</f>
        <v>64.8</v>
      </c>
      <c r="N3972" s="17" t="n">
        <f aca="false">IFERROR(M3972/K3972,0)</f>
        <v>0.574468085106383</v>
      </c>
    </row>
    <row r="3973" customFormat="false" ht="15" hidden="false" customHeight="false" outlineLevel="0" collapsed="false">
      <c r="A3973" s="15" t="n">
        <v>46188</v>
      </c>
      <c r="B3973" s="14" t="s">
        <v>69</v>
      </c>
      <c r="C3973" s="14" t="s">
        <v>70</v>
      </c>
      <c r="D3973" s="14" t="s">
        <v>71</v>
      </c>
      <c r="E3973" s="14" t="s">
        <v>45</v>
      </c>
      <c r="F3973" s="14" t="s">
        <v>72</v>
      </c>
      <c r="G3973" s="14" t="s">
        <v>73</v>
      </c>
      <c r="H3973" s="0" t="n">
        <v>2</v>
      </c>
      <c r="I3973" s="16" t="n">
        <v>49.6</v>
      </c>
      <c r="J3973" s="16" t="n">
        <v>21</v>
      </c>
      <c r="K3973" s="16" t="n">
        <f aca="false">H3973*I3973</f>
        <v>99.2</v>
      </c>
      <c r="L3973" s="16" t="n">
        <f aca="false">H3973*J3973</f>
        <v>42</v>
      </c>
      <c r="M3973" s="16" t="n">
        <f aca="false">K3973-L3973</f>
        <v>57.2</v>
      </c>
      <c r="N3973" s="17" t="n">
        <f aca="false">IFERROR(M3973/K3973,0)</f>
        <v>0.576612903225807</v>
      </c>
    </row>
    <row r="3974" customFormat="false" ht="15" hidden="false" customHeight="false" outlineLevel="0" collapsed="false">
      <c r="A3974" s="15" t="n">
        <v>46188</v>
      </c>
      <c r="B3974" s="14" t="s">
        <v>69</v>
      </c>
      <c r="C3974" s="14" t="s">
        <v>70</v>
      </c>
      <c r="D3974" s="14" t="s">
        <v>71</v>
      </c>
      <c r="E3974" s="14" t="s">
        <v>45</v>
      </c>
      <c r="F3974" s="14" t="s">
        <v>48</v>
      </c>
      <c r="G3974" s="14" t="s">
        <v>49</v>
      </c>
      <c r="H3974" s="0" t="n">
        <v>2</v>
      </c>
      <c r="I3974" s="16" t="n">
        <v>66.98</v>
      </c>
      <c r="J3974" s="16" t="n">
        <v>27.5</v>
      </c>
      <c r="K3974" s="16" t="n">
        <f aca="false">H3974*I3974</f>
        <v>133.96</v>
      </c>
      <c r="L3974" s="16" t="n">
        <f aca="false">H3974*J3974</f>
        <v>55</v>
      </c>
      <c r="M3974" s="16" t="n">
        <f aca="false">K3974-L3974</f>
        <v>78.96</v>
      </c>
      <c r="N3974" s="17" t="n">
        <f aca="false">IFERROR(M3974/K3974,0)</f>
        <v>0.589429680501642</v>
      </c>
    </row>
    <row r="3975" customFormat="false" ht="15" hidden="false" customHeight="false" outlineLevel="0" collapsed="false">
      <c r="A3975" s="15" t="n">
        <v>46188</v>
      </c>
      <c r="B3975" s="14" t="s">
        <v>69</v>
      </c>
      <c r="C3975" s="14" t="s">
        <v>70</v>
      </c>
      <c r="D3975" s="14" t="s">
        <v>71</v>
      </c>
      <c r="E3975" s="14" t="s">
        <v>76</v>
      </c>
      <c r="F3975" s="14" t="s">
        <v>100</v>
      </c>
      <c r="G3975" s="14" t="s">
        <v>101</v>
      </c>
      <c r="H3975" s="0" t="n">
        <v>2</v>
      </c>
      <c r="I3975" s="16" t="n">
        <v>14.91</v>
      </c>
      <c r="J3975" s="16" t="n">
        <v>5.5</v>
      </c>
      <c r="K3975" s="16" t="n">
        <f aca="false">H3975*I3975</f>
        <v>29.82</v>
      </c>
      <c r="L3975" s="16" t="n">
        <f aca="false">H3975*J3975</f>
        <v>11</v>
      </c>
      <c r="M3975" s="16" t="n">
        <f aca="false">K3975-L3975</f>
        <v>18.82</v>
      </c>
      <c r="N3975" s="17" t="n">
        <f aca="false">IFERROR(M3975/K3975,0)</f>
        <v>0.631120053655265</v>
      </c>
    </row>
    <row r="3976" customFormat="false" ht="15" hidden="false" customHeight="false" outlineLevel="0" collapsed="false">
      <c r="A3976" s="15" t="n">
        <v>46188</v>
      </c>
      <c r="B3976" s="14" t="s">
        <v>69</v>
      </c>
      <c r="C3976" s="14" t="s">
        <v>70</v>
      </c>
      <c r="D3976" s="14" t="s">
        <v>71</v>
      </c>
      <c r="E3976" s="14" t="s">
        <v>45</v>
      </c>
      <c r="F3976" s="14" t="s">
        <v>48</v>
      </c>
      <c r="G3976" s="14" t="s">
        <v>49</v>
      </c>
      <c r="H3976" s="0" t="n">
        <v>5</v>
      </c>
      <c r="I3976" s="16" t="n">
        <v>66.39</v>
      </c>
      <c r="J3976" s="16" t="n">
        <v>27.5</v>
      </c>
      <c r="K3976" s="16" t="n">
        <f aca="false">H3976*I3976</f>
        <v>331.95</v>
      </c>
      <c r="L3976" s="16" t="n">
        <f aca="false">H3976*J3976</f>
        <v>137.5</v>
      </c>
      <c r="M3976" s="16" t="n">
        <f aca="false">K3976-L3976</f>
        <v>194.45</v>
      </c>
      <c r="N3976" s="17" t="n">
        <f aca="false">IFERROR(M3976/K3976,0)</f>
        <v>0.585780991113119</v>
      </c>
    </row>
    <row r="3977" customFormat="false" ht="15" hidden="false" customHeight="false" outlineLevel="0" collapsed="false">
      <c r="A3977" s="15" t="n">
        <v>46188</v>
      </c>
      <c r="B3977" s="14" t="s">
        <v>81</v>
      </c>
      <c r="C3977" s="14" t="s">
        <v>82</v>
      </c>
      <c r="D3977" s="14" t="s">
        <v>83</v>
      </c>
      <c r="E3977" s="14" t="s">
        <v>45</v>
      </c>
      <c r="F3977" s="14" t="s">
        <v>62</v>
      </c>
      <c r="G3977" s="14" t="s">
        <v>63</v>
      </c>
      <c r="H3977" s="0" t="n">
        <v>1</v>
      </c>
      <c r="I3977" s="16" t="n">
        <v>17.15</v>
      </c>
      <c r="J3977" s="16" t="n">
        <v>6.5</v>
      </c>
      <c r="K3977" s="16" t="n">
        <f aca="false">H3977*I3977</f>
        <v>17.15</v>
      </c>
      <c r="L3977" s="16" t="n">
        <f aca="false">H3977*J3977</f>
        <v>6.5</v>
      </c>
      <c r="M3977" s="16" t="n">
        <f aca="false">K3977-L3977</f>
        <v>10.65</v>
      </c>
      <c r="N3977" s="17" t="n">
        <f aca="false">IFERROR(M3977/K3977,0)</f>
        <v>0.620991253644315</v>
      </c>
    </row>
    <row r="3978" customFormat="false" ht="15" hidden="false" customHeight="false" outlineLevel="0" collapsed="false">
      <c r="A3978" s="15" t="n">
        <v>46188</v>
      </c>
      <c r="B3978" s="14" t="s">
        <v>81</v>
      </c>
      <c r="C3978" s="14" t="s">
        <v>82</v>
      </c>
      <c r="D3978" s="14" t="s">
        <v>83</v>
      </c>
      <c r="E3978" s="14" t="s">
        <v>45</v>
      </c>
      <c r="F3978" s="14" t="s">
        <v>62</v>
      </c>
      <c r="G3978" s="14" t="s">
        <v>63</v>
      </c>
      <c r="H3978" s="0" t="n">
        <v>1</v>
      </c>
      <c r="I3978" s="16" t="n">
        <v>17.23</v>
      </c>
      <c r="J3978" s="16" t="n">
        <v>6.5</v>
      </c>
      <c r="K3978" s="16" t="n">
        <f aca="false">H3978*I3978</f>
        <v>17.23</v>
      </c>
      <c r="L3978" s="16" t="n">
        <f aca="false">H3978*J3978</f>
        <v>6.5</v>
      </c>
      <c r="M3978" s="16" t="n">
        <f aca="false">K3978-L3978</f>
        <v>10.73</v>
      </c>
      <c r="N3978" s="17" t="n">
        <f aca="false">IFERROR(M3978/K3978,0)</f>
        <v>0.622751015670342</v>
      </c>
    </row>
    <row r="3979" customFormat="false" ht="15" hidden="false" customHeight="false" outlineLevel="0" collapsed="false">
      <c r="A3979" s="15" t="n">
        <v>46188</v>
      </c>
      <c r="B3979" s="14" t="s">
        <v>81</v>
      </c>
      <c r="C3979" s="14" t="s">
        <v>82</v>
      </c>
      <c r="D3979" s="14" t="s">
        <v>83</v>
      </c>
      <c r="E3979" s="14" t="s">
        <v>53</v>
      </c>
      <c r="F3979" s="14" t="s">
        <v>92</v>
      </c>
      <c r="G3979" s="14" t="s">
        <v>93</v>
      </c>
      <c r="H3979" s="0" t="n">
        <v>2</v>
      </c>
      <c r="I3979" s="16" t="n">
        <v>119.7</v>
      </c>
      <c r="J3979" s="16" t="n">
        <v>52</v>
      </c>
      <c r="K3979" s="16" t="n">
        <f aca="false">H3979*I3979</f>
        <v>239.4</v>
      </c>
      <c r="L3979" s="16" t="n">
        <f aca="false">H3979*J3979</f>
        <v>104</v>
      </c>
      <c r="M3979" s="16" t="n">
        <f aca="false">K3979-L3979</f>
        <v>135.4</v>
      </c>
      <c r="N3979" s="17" t="n">
        <f aca="false">IFERROR(M3979/K3979,0)</f>
        <v>0.565580618212197</v>
      </c>
    </row>
    <row r="3980" customFormat="false" ht="15" hidden="false" customHeight="false" outlineLevel="0" collapsed="false">
      <c r="A3980" s="15" t="n">
        <v>46188</v>
      </c>
      <c r="B3980" s="14" t="s">
        <v>81</v>
      </c>
      <c r="C3980" s="14" t="s">
        <v>82</v>
      </c>
      <c r="D3980" s="14" t="s">
        <v>83</v>
      </c>
      <c r="E3980" s="14" t="s">
        <v>76</v>
      </c>
      <c r="F3980" s="14" t="s">
        <v>102</v>
      </c>
      <c r="G3980" s="14" t="s">
        <v>103</v>
      </c>
      <c r="H3980" s="0" t="n">
        <v>4</v>
      </c>
      <c r="I3980" s="16" t="n">
        <v>23.02</v>
      </c>
      <c r="J3980" s="16" t="n">
        <v>8.5</v>
      </c>
      <c r="K3980" s="16" t="n">
        <f aca="false">H3980*I3980</f>
        <v>92.08</v>
      </c>
      <c r="L3980" s="16" t="n">
        <f aca="false">H3980*J3980</f>
        <v>34</v>
      </c>
      <c r="M3980" s="16" t="n">
        <f aca="false">K3980-L3980</f>
        <v>58.08</v>
      </c>
      <c r="N3980" s="17" t="n">
        <f aca="false">IFERROR(M3980/K3980,0)</f>
        <v>0.630755864465682</v>
      </c>
    </row>
    <row r="3981" customFormat="false" ht="15" hidden="false" customHeight="false" outlineLevel="0" collapsed="false">
      <c r="A3981" s="15" t="n">
        <v>46188</v>
      </c>
      <c r="B3981" s="14" t="s">
        <v>81</v>
      </c>
      <c r="C3981" s="14" t="s">
        <v>82</v>
      </c>
      <c r="D3981" s="14" t="s">
        <v>83</v>
      </c>
      <c r="E3981" s="14" t="s">
        <v>53</v>
      </c>
      <c r="F3981" s="14" t="s">
        <v>84</v>
      </c>
      <c r="G3981" s="14" t="s">
        <v>85</v>
      </c>
      <c r="H3981" s="0" t="n">
        <v>3</v>
      </c>
      <c r="I3981" s="16" t="n">
        <v>23.23</v>
      </c>
      <c r="J3981" s="16" t="n">
        <v>9</v>
      </c>
      <c r="K3981" s="16" t="n">
        <f aca="false">H3981*I3981</f>
        <v>69.69</v>
      </c>
      <c r="L3981" s="16" t="n">
        <f aca="false">H3981*J3981</f>
        <v>27</v>
      </c>
      <c r="M3981" s="16" t="n">
        <f aca="false">K3981-L3981</f>
        <v>42.69</v>
      </c>
      <c r="N3981" s="17" t="n">
        <f aca="false">IFERROR(M3981/K3981,0)</f>
        <v>0.612569952647439</v>
      </c>
    </row>
    <row r="3982" customFormat="false" ht="15" hidden="false" customHeight="false" outlineLevel="0" collapsed="false">
      <c r="A3982" s="15" t="n">
        <v>46188</v>
      </c>
      <c r="B3982" s="14" t="s">
        <v>88</v>
      </c>
      <c r="C3982" s="14" t="s">
        <v>89</v>
      </c>
      <c r="D3982" s="14" t="s">
        <v>44</v>
      </c>
      <c r="E3982" s="14" t="s">
        <v>45</v>
      </c>
      <c r="F3982" s="14" t="s">
        <v>48</v>
      </c>
      <c r="G3982" s="14" t="s">
        <v>49</v>
      </c>
      <c r="H3982" s="0" t="n">
        <v>7</v>
      </c>
      <c r="I3982" s="16" t="n">
        <v>63.55</v>
      </c>
      <c r="J3982" s="16" t="n">
        <v>27.5</v>
      </c>
      <c r="K3982" s="16" t="n">
        <f aca="false">H3982*I3982</f>
        <v>444.85</v>
      </c>
      <c r="L3982" s="16" t="n">
        <f aca="false">H3982*J3982</f>
        <v>192.5</v>
      </c>
      <c r="M3982" s="16" t="n">
        <f aca="false">K3982-L3982</f>
        <v>252.35</v>
      </c>
      <c r="N3982" s="17" t="n">
        <f aca="false">IFERROR(M3982/K3982,0)</f>
        <v>0.56726986624705</v>
      </c>
    </row>
    <row r="3983" customFormat="false" ht="15" hidden="false" customHeight="false" outlineLevel="0" collapsed="false">
      <c r="A3983" s="15" t="n">
        <v>46188</v>
      </c>
      <c r="B3983" s="14" t="s">
        <v>88</v>
      </c>
      <c r="C3983" s="14" t="s">
        <v>89</v>
      </c>
      <c r="D3983" s="14" t="s">
        <v>44</v>
      </c>
      <c r="E3983" s="14" t="s">
        <v>56</v>
      </c>
      <c r="F3983" s="14" t="s">
        <v>67</v>
      </c>
      <c r="G3983" s="14" t="s">
        <v>68</v>
      </c>
      <c r="H3983" s="0" t="n">
        <v>8</v>
      </c>
      <c r="I3983" s="16" t="n">
        <v>36.25</v>
      </c>
      <c r="J3983" s="16" t="n">
        <v>15</v>
      </c>
      <c r="K3983" s="16" t="n">
        <f aca="false">H3983*I3983</f>
        <v>290</v>
      </c>
      <c r="L3983" s="16" t="n">
        <f aca="false">H3983*J3983</f>
        <v>120</v>
      </c>
      <c r="M3983" s="16" t="n">
        <f aca="false">K3983-L3983</f>
        <v>170</v>
      </c>
      <c r="N3983" s="17" t="n">
        <f aca="false">IFERROR(M3983/K3983,0)</f>
        <v>0.586206896551724</v>
      </c>
    </row>
    <row r="3984" customFormat="false" ht="15" hidden="false" customHeight="false" outlineLevel="0" collapsed="false">
      <c r="A3984" s="15" t="n">
        <v>46188</v>
      </c>
      <c r="B3984" s="14" t="s">
        <v>88</v>
      </c>
      <c r="C3984" s="14" t="s">
        <v>89</v>
      </c>
      <c r="D3984" s="14" t="s">
        <v>44</v>
      </c>
      <c r="E3984" s="14" t="s">
        <v>64</v>
      </c>
      <c r="F3984" s="14" t="s">
        <v>94</v>
      </c>
      <c r="G3984" s="14" t="s">
        <v>95</v>
      </c>
      <c r="H3984" s="0" t="n">
        <v>9</v>
      </c>
      <c r="I3984" s="16" t="n">
        <v>91.32</v>
      </c>
      <c r="J3984" s="16" t="n">
        <v>42</v>
      </c>
      <c r="K3984" s="16" t="n">
        <f aca="false">H3984*I3984</f>
        <v>821.88</v>
      </c>
      <c r="L3984" s="16" t="n">
        <f aca="false">H3984*J3984</f>
        <v>378</v>
      </c>
      <c r="M3984" s="16" t="n">
        <f aca="false">K3984-L3984</f>
        <v>443.88</v>
      </c>
      <c r="N3984" s="17" t="n">
        <f aca="false">IFERROR(M3984/K3984,0)</f>
        <v>0.540078843626807</v>
      </c>
    </row>
    <row r="3985" customFormat="false" ht="15" hidden="false" customHeight="false" outlineLevel="0" collapsed="false">
      <c r="A3985" s="15" t="n">
        <v>46189</v>
      </c>
      <c r="B3985" s="14" t="s">
        <v>42</v>
      </c>
      <c r="C3985" s="14" t="s">
        <v>43</v>
      </c>
      <c r="D3985" s="14" t="s">
        <v>44</v>
      </c>
      <c r="E3985" s="14" t="s">
        <v>56</v>
      </c>
      <c r="F3985" s="14" t="s">
        <v>98</v>
      </c>
      <c r="G3985" s="14" t="s">
        <v>99</v>
      </c>
      <c r="H3985" s="0" t="n">
        <v>7</v>
      </c>
      <c r="I3985" s="16" t="n">
        <v>20.59</v>
      </c>
      <c r="J3985" s="16" t="n">
        <v>8</v>
      </c>
      <c r="K3985" s="16" t="n">
        <f aca="false">H3985*I3985</f>
        <v>144.13</v>
      </c>
      <c r="L3985" s="16" t="n">
        <f aca="false">H3985*J3985</f>
        <v>56</v>
      </c>
      <c r="M3985" s="16" t="n">
        <f aca="false">K3985-L3985</f>
        <v>88.13</v>
      </c>
      <c r="N3985" s="17" t="n">
        <f aca="false">IFERROR(M3985/K3985,0)</f>
        <v>0.611461874696455</v>
      </c>
    </row>
    <row r="3986" customFormat="false" ht="15" hidden="false" customHeight="false" outlineLevel="0" collapsed="false">
      <c r="A3986" s="15" t="n">
        <v>46189</v>
      </c>
      <c r="B3986" s="14" t="s">
        <v>42</v>
      </c>
      <c r="C3986" s="14" t="s">
        <v>43</v>
      </c>
      <c r="D3986" s="14" t="s">
        <v>44</v>
      </c>
      <c r="E3986" s="14" t="s">
        <v>53</v>
      </c>
      <c r="F3986" s="14" t="s">
        <v>84</v>
      </c>
      <c r="G3986" s="14" t="s">
        <v>85</v>
      </c>
      <c r="H3986" s="0" t="n">
        <v>5</v>
      </c>
      <c r="I3986" s="16" t="n">
        <v>24.65</v>
      </c>
      <c r="J3986" s="16" t="n">
        <v>9</v>
      </c>
      <c r="K3986" s="16" t="n">
        <f aca="false">H3986*I3986</f>
        <v>123.25</v>
      </c>
      <c r="L3986" s="16" t="n">
        <f aca="false">H3986*J3986</f>
        <v>45</v>
      </c>
      <c r="M3986" s="16" t="n">
        <f aca="false">K3986-L3986</f>
        <v>78.25</v>
      </c>
      <c r="N3986" s="17" t="n">
        <f aca="false">IFERROR(M3986/K3986,0)</f>
        <v>0.634888438133874</v>
      </c>
    </row>
    <row r="3987" customFormat="false" ht="15" hidden="false" customHeight="false" outlineLevel="0" collapsed="false">
      <c r="A3987" s="15" t="n">
        <v>46189</v>
      </c>
      <c r="B3987" s="14" t="s">
        <v>50</v>
      </c>
      <c r="C3987" s="14" t="s">
        <v>51</v>
      </c>
      <c r="D3987" s="14" t="s">
        <v>52</v>
      </c>
      <c r="E3987" s="14" t="s">
        <v>76</v>
      </c>
      <c r="F3987" s="14" t="s">
        <v>100</v>
      </c>
      <c r="G3987" s="14" t="s">
        <v>101</v>
      </c>
      <c r="H3987" s="0" t="n">
        <v>9</v>
      </c>
      <c r="I3987" s="16" t="n">
        <v>15.28</v>
      </c>
      <c r="J3987" s="16" t="n">
        <v>5.5</v>
      </c>
      <c r="K3987" s="16" t="n">
        <f aca="false">H3987*I3987</f>
        <v>137.52</v>
      </c>
      <c r="L3987" s="16" t="n">
        <f aca="false">H3987*J3987</f>
        <v>49.5</v>
      </c>
      <c r="M3987" s="16" t="n">
        <f aca="false">K3987-L3987</f>
        <v>88.02</v>
      </c>
      <c r="N3987" s="17" t="n">
        <f aca="false">IFERROR(M3987/K3987,0)</f>
        <v>0.640052356020942</v>
      </c>
    </row>
    <row r="3988" customFormat="false" ht="15" hidden="false" customHeight="false" outlineLevel="0" collapsed="false">
      <c r="A3988" s="15" t="n">
        <v>46189</v>
      </c>
      <c r="B3988" s="14" t="s">
        <v>50</v>
      </c>
      <c r="C3988" s="14" t="s">
        <v>51</v>
      </c>
      <c r="D3988" s="14" t="s">
        <v>52</v>
      </c>
      <c r="E3988" s="14" t="s">
        <v>53</v>
      </c>
      <c r="F3988" s="14" t="s">
        <v>74</v>
      </c>
      <c r="G3988" s="14" t="s">
        <v>75</v>
      </c>
      <c r="H3988" s="0" t="n">
        <v>9</v>
      </c>
      <c r="I3988" s="16" t="n">
        <v>86.05</v>
      </c>
      <c r="J3988" s="16" t="n">
        <v>38</v>
      </c>
      <c r="K3988" s="16" t="n">
        <f aca="false">H3988*I3988</f>
        <v>774.45</v>
      </c>
      <c r="L3988" s="16" t="n">
        <f aca="false">H3988*J3988</f>
        <v>342</v>
      </c>
      <c r="M3988" s="16" t="n">
        <f aca="false">K3988-L3988</f>
        <v>432.45</v>
      </c>
      <c r="N3988" s="17" t="n">
        <f aca="false">IFERROR(M3988/K3988,0)</f>
        <v>0.558396281231842</v>
      </c>
    </row>
    <row r="3989" customFormat="false" ht="15" hidden="false" customHeight="false" outlineLevel="0" collapsed="false">
      <c r="A3989" s="15" t="n">
        <v>46189</v>
      </c>
      <c r="B3989" s="14" t="s">
        <v>50</v>
      </c>
      <c r="C3989" s="14" t="s">
        <v>51</v>
      </c>
      <c r="D3989" s="14" t="s">
        <v>52</v>
      </c>
      <c r="E3989" s="14" t="s">
        <v>56</v>
      </c>
      <c r="F3989" s="14" t="s">
        <v>86</v>
      </c>
      <c r="G3989" s="14" t="s">
        <v>87</v>
      </c>
      <c r="H3989" s="0" t="n">
        <v>3</v>
      </c>
      <c r="I3989" s="16" t="n">
        <v>14.64</v>
      </c>
      <c r="J3989" s="16" t="n">
        <v>5</v>
      </c>
      <c r="K3989" s="16" t="n">
        <f aca="false">H3989*I3989</f>
        <v>43.92</v>
      </c>
      <c r="L3989" s="16" t="n">
        <f aca="false">H3989*J3989</f>
        <v>15</v>
      </c>
      <c r="M3989" s="16" t="n">
        <f aca="false">K3989-L3989</f>
        <v>28.92</v>
      </c>
      <c r="N3989" s="17" t="n">
        <f aca="false">IFERROR(M3989/K3989,0)</f>
        <v>0.658469945355191</v>
      </c>
    </row>
    <row r="3990" customFormat="false" ht="15" hidden="false" customHeight="false" outlineLevel="0" collapsed="false">
      <c r="A3990" s="15" t="n">
        <v>46189</v>
      </c>
      <c r="B3990" s="14" t="s">
        <v>50</v>
      </c>
      <c r="C3990" s="14" t="s">
        <v>51</v>
      </c>
      <c r="D3990" s="14" t="s">
        <v>52</v>
      </c>
      <c r="E3990" s="14" t="s">
        <v>64</v>
      </c>
      <c r="F3990" s="14" t="s">
        <v>65</v>
      </c>
      <c r="G3990" s="14" t="s">
        <v>66</v>
      </c>
      <c r="H3990" s="0" t="n">
        <v>1</v>
      </c>
      <c r="I3990" s="16" t="n">
        <v>73.04</v>
      </c>
      <c r="J3990" s="16" t="n">
        <v>34</v>
      </c>
      <c r="K3990" s="16" t="n">
        <f aca="false">H3990*I3990</f>
        <v>73.04</v>
      </c>
      <c r="L3990" s="16" t="n">
        <f aca="false">H3990*J3990</f>
        <v>34</v>
      </c>
      <c r="M3990" s="16" t="n">
        <f aca="false">K3990-L3990</f>
        <v>39.04</v>
      </c>
      <c r="N3990" s="17" t="n">
        <f aca="false">IFERROR(M3990/K3990,0)</f>
        <v>0.534501642935378</v>
      </c>
    </row>
    <row r="3991" customFormat="false" ht="15" hidden="false" customHeight="false" outlineLevel="0" collapsed="false">
      <c r="A3991" s="15" t="n">
        <v>46189</v>
      </c>
      <c r="B3991" s="14" t="s">
        <v>50</v>
      </c>
      <c r="C3991" s="14" t="s">
        <v>51</v>
      </c>
      <c r="D3991" s="14" t="s">
        <v>52</v>
      </c>
      <c r="E3991" s="14" t="s">
        <v>76</v>
      </c>
      <c r="F3991" s="14" t="s">
        <v>100</v>
      </c>
      <c r="G3991" s="14" t="s">
        <v>101</v>
      </c>
      <c r="H3991" s="0" t="n">
        <v>9</v>
      </c>
      <c r="I3991" s="16" t="n">
        <v>15.26</v>
      </c>
      <c r="J3991" s="16" t="n">
        <v>5.5</v>
      </c>
      <c r="K3991" s="16" t="n">
        <f aca="false">H3991*I3991</f>
        <v>137.34</v>
      </c>
      <c r="L3991" s="16" t="n">
        <f aca="false">H3991*J3991</f>
        <v>49.5</v>
      </c>
      <c r="M3991" s="16" t="n">
        <f aca="false">K3991-L3991</f>
        <v>87.84</v>
      </c>
      <c r="N3991" s="17" t="n">
        <f aca="false">IFERROR(M3991/K3991,0)</f>
        <v>0.639580602883355</v>
      </c>
    </row>
    <row r="3992" customFormat="false" ht="15" hidden="false" customHeight="false" outlineLevel="0" collapsed="false">
      <c r="A3992" s="15" t="n">
        <v>46189</v>
      </c>
      <c r="B3992" s="14" t="s">
        <v>59</v>
      </c>
      <c r="C3992" s="14" t="s">
        <v>60</v>
      </c>
      <c r="D3992" s="14" t="s">
        <v>61</v>
      </c>
      <c r="E3992" s="14" t="s">
        <v>76</v>
      </c>
      <c r="F3992" s="14" t="s">
        <v>79</v>
      </c>
      <c r="G3992" s="14" t="s">
        <v>80</v>
      </c>
      <c r="H3992" s="0" t="n">
        <v>2</v>
      </c>
      <c r="I3992" s="16" t="n">
        <v>29.51</v>
      </c>
      <c r="J3992" s="16" t="n">
        <v>11</v>
      </c>
      <c r="K3992" s="16" t="n">
        <f aca="false">H3992*I3992</f>
        <v>59.02</v>
      </c>
      <c r="L3992" s="16" t="n">
        <f aca="false">H3992*J3992</f>
        <v>22</v>
      </c>
      <c r="M3992" s="16" t="n">
        <f aca="false">K3992-L3992</f>
        <v>37.02</v>
      </c>
      <c r="N3992" s="17" t="n">
        <f aca="false">IFERROR(M3992/K3992,0)</f>
        <v>0.627245001694341</v>
      </c>
    </row>
    <row r="3993" customFormat="false" ht="15" hidden="false" customHeight="false" outlineLevel="0" collapsed="false">
      <c r="A3993" s="15" t="n">
        <v>46189</v>
      </c>
      <c r="B3993" s="14" t="s">
        <v>59</v>
      </c>
      <c r="C3993" s="14" t="s">
        <v>60</v>
      </c>
      <c r="D3993" s="14" t="s">
        <v>61</v>
      </c>
      <c r="E3993" s="14" t="s">
        <v>45</v>
      </c>
      <c r="F3993" s="14" t="s">
        <v>72</v>
      </c>
      <c r="G3993" s="14" t="s">
        <v>73</v>
      </c>
      <c r="H3993" s="0" t="n">
        <v>7</v>
      </c>
      <c r="I3993" s="16" t="n">
        <v>50.61</v>
      </c>
      <c r="J3993" s="16" t="n">
        <v>21</v>
      </c>
      <c r="K3993" s="16" t="n">
        <f aca="false">H3993*I3993</f>
        <v>354.27</v>
      </c>
      <c r="L3993" s="16" t="n">
        <f aca="false">H3993*J3993</f>
        <v>147</v>
      </c>
      <c r="M3993" s="16" t="n">
        <f aca="false">K3993-L3993</f>
        <v>207.27</v>
      </c>
      <c r="N3993" s="17" t="n">
        <f aca="false">IFERROR(M3993/K3993,0)</f>
        <v>0.5850622406639</v>
      </c>
    </row>
    <row r="3994" customFormat="false" ht="15" hidden="false" customHeight="false" outlineLevel="0" collapsed="false">
      <c r="A3994" s="15" t="n">
        <v>46189</v>
      </c>
      <c r="B3994" s="14" t="s">
        <v>59</v>
      </c>
      <c r="C3994" s="14" t="s">
        <v>60</v>
      </c>
      <c r="D3994" s="14" t="s">
        <v>61</v>
      </c>
      <c r="E3994" s="14" t="s">
        <v>45</v>
      </c>
      <c r="F3994" s="14" t="s">
        <v>46</v>
      </c>
      <c r="G3994" s="14" t="s">
        <v>47</v>
      </c>
      <c r="H3994" s="0" t="n">
        <v>1</v>
      </c>
      <c r="I3994" s="16" t="n">
        <v>41.47</v>
      </c>
      <c r="J3994" s="16" t="n">
        <v>18</v>
      </c>
      <c r="K3994" s="16" t="n">
        <f aca="false">H3994*I3994</f>
        <v>41.47</v>
      </c>
      <c r="L3994" s="16" t="n">
        <f aca="false">H3994*J3994</f>
        <v>18</v>
      </c>
      <c r="M3994" s="16" t="n">
        <f aca="false">K3994-L3994</f>
        <v>23.47</v>
      </c>
      <c r="N3994" s="17" t="n">
        <f aca="false">IFERROR(M3994/K3994,0)</f>
        <v>0.565951290089221</v>
      </c>
    </row>
    <row r="3995" customFormat="false" ht="15" hidden="false" customHeight="false" outlineLevel="0" collapsed="false">
      <c r="A3995" s="15" t="n">
        <v>46189</v>
      </c>
      <c r="B3995" s="14" t="s">
        <v>59</v>
      </c>
      <c r="C3995" s="14" t="s">
        <v>60</v>
      </c>
      <c r="D3995" s="14" t="s">
        <v>61</v>
      </c>
      <c r="E3995" s="14" t="s">
        <v>76</v>
      </c>
      <c r="F3995" s="14" t="s">
        <v>77</v>
      </c>
      <c r="G3995" s="14" t="s">
        <v>78</v>
      </c>
      <c r="H3995" s="0" t="n">
        <v>2</v>
      </c>
      <c r="I3995" s="16" t="n">
        <v>41.4</v>
      </c>
      <c r="J3995" s="16" t="n">
        <v>15</v>
      </c>
      <c r="K3995" s="16" t="n">
        <f aca="false">H3995*I3995</f>
        <v>82.8</v>
      </c>
      <c r="L3995" s="16" t="n">
        <f aca="false">H3995*J3995</f>
        <v>30</v>
      </c>
      <c r="M3995" s="16" t="n">
        <f aca="false">K3995-L3995</f>
        <v>52.8</v>
      </c>
      <c r="N3995" s="17" t="n">
        <f aca="false">IFERROR(M3995/K3995,0)</f>
        <v>0.63768115942029</v>
      </c>
    </row>
    <row r="3996" customFormat="false" ht="15" hidden="false" customHeight="false" outlineLevel="0" collapsed="false">
      <c r="A3996" s="15" t="n">
        <v>46189</v>
      </c>
      <c r="B3996" s="14" t="s">
        <v>69</v>
      </c>
      <c r="C3996" s="14" t="s">
        <v>70</v>
      </c>
      <c r="D3996" s="14" t="s">
        <v>71</v>
      </c>
      <c r="E3996" s="14" t="s">
        <v>76</v>
      </c>
      <c r="F3996" s="14" t="s">
        <v>79</v>
      </c>
      <c r="G3996" s="14" t="s">
        <v>80</v>
      </c>
      <c r="H3996" s="0" t="n">
        <v>6</v>
      </c>
      <c r="I3996" s="16" t="n">
        <v>28.2</v>
      </c>
      <c r="J3996" s="16" t="n">
        <v>11</v>
      </c>
      <c r="K3996" s="16" t="n">
        <f aca="false">H3996*I3996</f>
        <v>169.2</v>
      </c>
      <c r="L3996" s="16" t="n">
        <f aca="false">H3996*J3996</f>
        <v>66</v>
      </c>
      <c r="M3996" s="16" t="n">
        <f aca="false">K3996-L3996</f>
        <v>103.2</v>
      </c>
      <c r="N3996" s="17" t="n">
        <f aca="false">IFERROR(M3996/K3996,0)</f>
        <v>0.609929078014184</v>
      </c>
    </row>
    <row r="3997" customFormat="false" ht="15" hidden="false" customHeight="false" outlineLevel="0" collapsed="false">
      <c r="A3997" s="15" t="n">
        <v>46189</v>
      </c>
      <c r="B3997" s="14" t="s">
        <v>69</v>
      </c>
      <c r="C3997" s="14" t="s">
        <v>70</v>
      </c>
      <c r="D3997" s="14" t="s">
        <v>71</v>
      </c>
      <c r="E3997" s="14" t="s">
        <v>45</v>
      </c>
      <c r="F3997" s="14" t="s">
        <v>46</v>
      </c>
      <c r="G3997" s="14" t="s">
        <v>47</v>
      </c>
      <c r="H3997" s="0" t="n">
        <v>2</v>
      </c>
      <c r="I3997" s="16" t="n">
        <v>41.55</v>
      </c>
      <c r="J3997" s="16" t="n">
        <v>18</v>
      </c>
      <c r="K3997" s="16" t="n">
        <f aca="false">H3997*I3997</f>
        <v>83.1</v>
      </c>
      <c r="L3997" s="16" t="n">
        <f aca="false">H3997*J3997</f>
        <v>36</v>
      </c>
      <c r="M3997" s="16" t="n">
        <f aca="false">K3997-L3997</f>
        <v>47.1</v>
      </c>
      <c r="N3997" s="17" t="n">
        <f aca="false">IFERROR(M3997/K3997,0)</f>
        <v>0.566787003610108</v>
      </c>
    </row>
    <row r="3998" customFormat="false" ht="15" hidden="false" customHeight="false" outlineLevel="0" collapsed="false">
      <c r="A3998" s="15" t="n">
        <v>46189</v>
      </c>
      <c r="B3998" s="14" t="s">
        <v>69</v>
      </c>
      <c r="C3998" s="14" t="s">
        <v>70</v>
      </c>
      <c r="D3998" s="14" t="s">
        <v>71</v>
      </c>
      <c r="E3998" s="14" t="s">
        <v>56</v>
      </c>
      <c r="F3998" s="14" t="s">
        <v>98</v>
      </c>
      <c r="G3998" s="14" t="s">
        <v>99</v>
      </c>
      <c r="H3998" s="0" t="n">
        <v>4</v>
      </c>
      <c r="I3998" s="16" t="n">
        <v>21.38</v>
      </c>
      <c r="J3998" s="16" t="n">
        <v>8</v>
      </c>
      <c r="K3998" s="16" t="n">
        <f aca="false">H3998*I3998</f>
        <v>85.52</v>
      </c>
      <c r="L3998" s="16" t="n">
        <f aca="false">H3998*J3998</f>
        <v>32</v>
      </c>
      <c r="M3998" s="16" t="n">
        <f aca="false">K3998-L3998</f>
        <v>53.52</v>
      </c>
      <c r="N3998" s="17" t="n">
        <f aca="false">IFERROR(M3998/K3998,0)</f>
        <v>0.625818521983162</v>
      </c>
    </row>
    <row r="3999" customFormat="false" ht="15" hidden="false" customHeight="false" outlineLevel="0" collapsed="false">
      <c r="A3999" s="15" t="n">
        <v>46189</v>
      </c>
      <c r="B3999" s="14" t="s">
        <v>69</v>
      </c>
      <c r="C3999" s="14" t="s">
        <v>70</v>
      </c>
      <c r="D3999" s="14" t="s">
        <v>71</v>
      </c>
      <c r="E3999" s="14" t="s">
        <v>56</v>
      </c>
      <c r="F3999" s="14" t="s">
        <v>57</v>
      </c>
      <c r="G3999" s="14" t="s">
        <v>58</v>
      </c>
      <c r="H3999" s="0" t="n">
        <v>6</v>
      </c>
      <c r="I3999" s="16" t="n">
        <v>26.53</v>
      </c>
      <c r="J3999" s="16" t="n">
        <v>10</v>
      </c>
      <c r="K3999" s="16" t="n">
        <f aca="false">H3999*I3999</f>
        <v>159.18</v>
      </c>
      <c r="L3999" s="16" t="n">
        <f aca="false">H3999*J3999</f>
        <v>60</v>
      </c>
      <c r="M3999" s="16" t="n">
        <f aca="false">K3999-L3999</f>
        <v>99.18</v>
      </c>
      <c r="N3999" s="17" t="n">
        <f aca="false">IFERROR(M3999/K3999,0)</f>
        <v>0.623068224651338</v>
      </c>
    </row>
    <row r="4000" customFormat="false" ht="15" hidden="false" customHeight="false" outlineLevel="0" collapsed="false">
      <c r="A4000" s="15" t="n">
        <v>46189</v>
      </c>
      <c r="B4000" s="14" t="s">
        <v>69</v>
      </c>
      <c r="C4000" s="14" t="s">
        <v>70</v>
      </c>
      <c r="D4000" s="14" t="s">
        <v>71</v>
      </c>
      <c r="E4000" s="14" t="s">
        <v>56</v>
      </c>
      <c r="F4000" s="14" t="s">
        <v>57</v>
      </c>
      <c r="G4000" s="14" t="s">
        <v>58</v>
      </c>
      <c r="H4000" s="0" t="n">
        <v>3</v>
      </c>
      <c r="I4000" s="16" t="n">
        <v>26.24</v>
      </c>
      <c r="J4000" s="16" t="n">
        <v>10</v>
      </c>
      <c r="K4000" s="16" t="n">
        <f aca="false">H4000*I4000</f>
        <v>78.72</v>
      </c>
      <c r="L4000" s="16" t="n">
        <f aca="false">H4000*J4000</f>
        <v>30</v>
      </c>
      <c r="M4000" s="16" t="n">
        <f aca="false">K4000-L4000</f>
        <v>48.72</v>
      </c>
      <c r="N4000" s="17" t="n">
        <f aca="false">IFERROR(M4000/K4000,0)</f>
        <v>0.61890243902439</v>
      </c>
    </row>
    <row r="4001" customFormat="false" ht="15" hidden="false" customHeight="false" outlineLevel="0" collapsed="false">
      <c r="A4001" s="15" t="n">
        <v>46189</v>
      </c>
      <c r="B4001" s="14" t="s">
        <v>69</v>
      </c>
      <c r="C4001" s="14" t="s">
        <v>70</v>
      </c>
      <c r="D4001" s="14" t="s">
        <v>71</v>
      </c>
      <c r="E4001" s="14" t="s">
        <v>53</v>
      </c>
      <c r="F4001" s="14" t="s">
        <v>84</v>
      </c>
      <c r="G4001" s="14" t="s">
        <v>85</v>
      </c>
      <c r="H4001" s="0" t="n">
        <v>9</v>
      </c>
      <c r="I4001" s="16" t="n">
        <v>24.37</v>
      </c>
      <c r="J4001" s="16" t="n">
        <v>9</v>
      </c>
      <c r="K4001" s="16" t="n">
        <f aca="false">H4001*I4001</f>
        <v>219.33</v>
      </c>
      <c r="L4001" s="16" t="n">
        <f aca="false">H4001*J4001</f>
        <v>81</v>
      </c>
      <c r="M4001" s="16" t="n">
        <f aca="false">K4001-L4001</f>
        <v>138.33</v>
      </c>
      <c r="N4001" s="17" t="n">
        <f aca="false">IFERROR(M4001/K4001,0)</f>
        <v>0.630693475584735</v>
      </c>
    </row>
    <row r="4002" customFormat="false" ht="15" hidden="false" customHeight="false" outlineLevel="0" collapsed="false">
      <c r="A4002" s="15" t="n">
        <v>46189</v>
      </c>
      <c r="B4002" s="14" t="s">
        <v>81</v>
      </c>
      <c r="C4002" s="14" t="s">
        <v>82</v>
      </c>
      <c r="D4002" s="14" t="s">
        <v>83</v>
      </c>
      <c r="E4002" s="14" t="s">
        <v>64</v>
      </c>
      <c r="F4002" s="14" t="s">
        <v>94</v>
      </c>
      <c r="G4002" s="14" t="s">
        <v>95</v>
      </c>
      <c r="H4002" s="0" t="n">
        <v>2</v>
      </c>
      <c r="I4002" s="16" t="n">
        <v>94.33</v>
      </c>
      <c r="J4002" s="16" t="n">
        <v>42</v>
      </c>
      <c r="K4002" s="16" t="n">
        <f aca="false">H4002*I4002</f>
        <v>188.66</v>
      </c>
      <c r="L4002" s="16" t="n">
        <f aca="false">H4002*J4002</f>
        <v>84</v>
      </c>
      <c r="M4002" s="16" t="n">
        <f aca="false">K4002-L4002</f>
        <v>104.66</v>
      </c>
      <c r="N4002" s="17" t="n">
        <f aca="false">IFERROR(M4002/K4002,0)</f>
        <v>0.554754584967667</v>
      </c>
    </row>
    <row r="4003" customFormat="false" ht="15" hidden="false" customHeight="false" outlineLevel="0" collapsed="false">
      <c r="A4003" s="15" t="n">
        <v>46189</v>
      </c>
      <c r="B4003" s="14" t="s">
        <v>81</v>
      </c>
      <c r="C4003" s="14" t="s">
        <v>82</v>
      </c>
      <c r="D4003" s="14" t="s">
        <v>83</v>
      </c>
      <c r="E4003" s="14" t="s">
        <v>64</v>
      </c>
      <c r="F4003" s="14" t="s">
        <v>65</v>
      </c>
      <c r="G4003" s="14" t="s">
        <v>66</v>
      </c>
      <c r="H4003" s="0" t="n">
        <v>2</v>
      </c>
      <c r="I4003" s="16" t="n">
        <v>74.05</v>
      </c>
      <c r="J4003" s="16" t="n">
        <v>34</v>
      </c>
      <c r="K4003" s="16" t="n">
        <f aca="false">H4003*I4003</f>
        <v>148.1</v>
      </c>
      <c r="L4003" s="16" t="n">
        <f aca="false">H4003*J4003</f>
        <v>68</v>
      </c>
      <c r="M4003" s="16" t="n">
        <f aca="false">K4003-L4003</f>
        <v>80.1</v>
      </c>
      <c r="N4003" s="17" t="n">
        <f aca="false">IFERROR(M4003/K4003,0)</f>
        <v>0.540850776502363</v>
      </c>
    </row>
    <row r="4004" customFormat="false" ht="15" hidden="false" customHeight="false" outlineLevel="0" collapsed="false">
      <c r="A4004" s="15" t="n">
        <v>46189</v>
      </c>
      <c r="B4004" s="14" t="s">
        <v>81</v>
      </c>
      <c r="C4004" s="14" t="s">
        <v>82</v>
      </c>
      <c r="D4004" s="14" t="s">
        <v>83</v>
      </c>
      <c r="E4004" s="14" t="s">
        <v>76</v>
      </c>
      <c r="F4004" s="14" t="s">
        <v>79</v>
      </c>
      <c r="G4004" s="14" t="s">
        <v>80</v>
      </c>
      <c r="H4004" s="0" t="n">
        <v>7</v>
      </c>
      <c r="I4004" s="16" t="n">
        <v>28.75</v>
      </c>
      <c r="J4004" s="16" t="n">
        <v>11</v>
      </c>
      <c r="K4004" s="16" t="n">
        <f aca="false">H4004*I4004</f>
        <v>201.25</v>
      </c>
      <c r="L4004" s="16" t="n">
        <f aca="false">H4004*J4004</f>
        <v>77</v>
      </c>
      <c r="M4004" s="16" t="n">
        <f aca="false">K4004-L4004</f>
        <v>124.25</v>
      </c>
      <c r="N4004" s="17" t="n">
        <f aca="false">IFERROR(M4004/K4004,0)</f>
        <v>0.617391304347826</v>
      </c>
    </row>
    <row r="4005" customFormat="false" ht="15" hidden="false" customHeight="false" outlineLevel="0" collapsed="false">
      <c r="A4005" s="15" t="n">
        <v>46189</v>
      </c>
      <c r="B4005" s="14" t="s">
        <v>81</v>
      </c>
      <c r="C4005" s="14" t="s">
        <v>82</v>
      </c>
      <c r="D4005" s="14" t="s">
        <v>83</v>
      </c>
      <c r="E4005" s="14" t="s">
        <v>76</v>
      </c>
      <c r="F4005" s="14" t="s">
        <v>77</v>
      </c>
      <c r="G4005" s="14" t="s">
        <v>78</v>
      </c>
      <c r="H4005" s="0" t="n">
        <v>3</v>
      </c>
      <c r="I4005" s="16" t="n">
        <v>41.43</v>
      </c>
      <c r="J4005" s="16" t="n">
        <v>15</v>
      </c>
      <c r="K4005" s="16" t="n">
        <f aca="false">H4005*I4005</f>
        <v>124.29</v>
      </c>
      <c r="L4005" s="16" t="n">
        <f aca="false">H4005*J4005</f>
        <v>45</v>
      </c>
      <c r="M4005" s="16" t="n">
        <f aca="false">K4005-L4005</f>
        <v>79.29</v>
      </c>
      <c r="N4005" s="17" t="n">
        <f aca="false">IFERROR(M4005/K4005,0)</f>
        <v>0.637943519188994</v>
      </c>
    </row>
    <row r="4006" customFormat="false" ht="15" hidden="false" customHeight="false" outlineLevel="0" collapsed="false">
      <c r="A4006" s="15" t="n">
        <v>46189</v>
      </c>
      <c r="B4006" s="14" t="s">
        <v>81</v>
      </c>
      <c r="C4006" s="14" t="s">
        <v>82</v>
      </c>
      <c r="D4006" s="14" t="s">
        <v>83</v>
      </c>
      <c r="E4006" s="14" t="s">
        <v>76</v>
      </c>
      <c r="F4006" s="14" t="s">
        <v>100</v>
      </c>
      <c r="G4006" s="14" t="s">
        <v>101</v>
      </c>
      <c r="H4006" s="0" t="n">
        <v>3</v>
      </c>
      <c r="I4006" s="16" t="n">
        <v>14.99</v>
      </c>
      <c r="J4006" s="16" t="n">
        <v>5.5</v>
      </c>
      <c r="K4006" s="16" t="n">
        <f aca="false">H4006*I4006</f>
        <v>44.97</v>
      </c>
      <c r="L4006" s="16" t="n">
        <f aca="false">H4006*J4006</f>
        <v>16.5</v>
      </c>
      <c r="M4006" s="16" t="n">
        <f aca="false">K4006-L4006</f>
        <v>28.47</v>
      </c>
      <c r="N4006" s="17" t="n">
        <f aca="false">IFERROR(M4006/K4006,0)</f>
        <v>0.633088725817211</v>
      </c>
    </row>
    <row r="4007" customFormat="false" ht="15" hidden="false" customHeight="false" outlineLevel="0" collapsed="false">
      <c r="A4007" s="15" t="n">
        <v>46189</v>
      </c>
      <c r="B4007" s="14" t="s">
        <v>88</v>
      </c>
      <c r="C4007" s="14" t="s">
        <v>89</v>
      </c>
      <c r="D4007" s="14" t="s">
        <v>44</v>
      </c>
      <c r="E4007" s="14" t="s">
        <v>56</v>
      </c>
      <c r="F4007" s="14" t="s">
        <v>67</v>
      </c>
      <c r="G4007" s="14" t="s">
        <v>68</v>
      </c>
      <c r="H4007" s="0" t="n">
        <v>2</v>
      </c>
      <c r="I4007" s="16" t="n">
        <v>37.99</v>
      </c>
      <c r="J4007" s="16" t="n">
        <v>15</v>
      </c>
      <c r="K4007" s="16" t="n">
        <f aca="false">H4007*I4007</f>
        <v>75.98</v>
      </c>
      <c r="L4007" s="16" t="n">
        <f aca="false">H4007*J4007</f>
        <v>30</v>
      </c>
      <c r="M4007" s="16" t="n">
        <f aca="false">K4007-L4007</f>
        <v>45.98</v>
      </c>
      <c r="N4007" s="17" t="n">
        <f aca="false">IFERROR(M4007/K4007,0)</f>
        <v>0.605159252434851</v>
      </c>
    </row>
    <row r="4008" customFormat="false" ht="15" hidden="false" customHeight="false" outlineLevel="0" collapsed="false">
      <c r="A4008" s="15" t="n">
        <v>46189</v>
      </c>
      <c r="B4008" s="14" t="s">
        <v>88</v>
      </c>
      <c r="C4008" s="14" t="s">
        <v>89</v>
      </c>
      <c r="D4008" s="14" t="s">
        <v>44</v>
      </c>
      <c r="E4008" s="14" t="s">
        <v>64</v>
      </c>
      <c r="F4008" s="14" t="s">
        <v>65</v>
      </c>
      <c r="G4008" s="14" t="s">
        <v>66</v>
      </c>
      <c r="H4008" s="0" t="n">
        <v>2</v>
      </c>
      <c r="I4008" s="16" t="n">
        <v>77.18</v>
      </c>
      <c r="J4008" s="16" t="n">
        <v>34</v>
      </c>
      <c r="K4008" s="16" t="n">
        <f aca="false">H4008*I4008</f>
        <v>154.36</v>
      </c>
      <c r="L4008" s="16" t="n">
        <f aca="false">H4008*J4008</f>
        <v>68</v>
      </c>
      <c r="M4008" s="16" t="n">
        <f aca="false">K4008-L4008</f>
        <v>86.36</v>
      </c>
      <c r="N4008" s="17" t="n">
        <f aca="false">IFERROR(M4008/K4008,0)</f>
        <v>0.559471365638767</v>
      </c>
    </row>
    <row r="4009" customFormat="false" ht="15" hidden="false" customHeight="false" outlineLevel="0" collapsed="false">
      <c r="A4009" s="15" t="n">
        <v>46189</v>
      </c>
      <c r="B4009" s="14" t="s">
        <v>88</v>
      </c>
      <c r="C4009" s="14" t="s">
        <v>89</v>
      </c>
      <c r="D4009" s="14" t="s">
        <v>44</v>
      </c>
      <c r="E4009" s="14" t="s">
        <v>76</v>
      </c>
      <c r="F4009" s="14" t="s">
        <v>77</v>
      </c>
      <c r="G4009" s="14" t="s">
        <v>78</v>
      </c>
      <c r="H4009" s="0" t="n">
        <v>8</v>
      </c>
      <c r="I4009" s="16" t="n">
        <v>41.49</v>
      </c>
      <c r="J4009" s="16" t="n">
        <v>15</v>
      </c>
      <c r="K4009" s="16" t="n">
        <f aca="false">H4009*I4009</f>
        <v>331.92</v>
      </c>
      <c r="L4009" s="16" t="n">
        <f aca="false">H4009*J4009</f>
        <v>120</v>
      </c>
      <c r="M4009" s="16" t="n">
        <f aca="false">K4009-L4009</f>
        <v>211.92</v>
      </c>
      <c r="N4009" s="17" t="n">
        <f aca="false">IFERROR(M4009/K4009,0)</f>
        <v>0.638467100506146</v>
      </c>
    </row>
    <row r="4010" customFormat="false" ht="15" hidden="false" customHeight="false" outlineLevel="0" collapsed="false">
      <c r="A4010" s="15" t="n">
        <v>46189</v>
      </c>
      <c r="B4010" s="14" t="s">
        <v>88</v>
      </c>
      <c r="C4010" s="14" t="s">
        <v>89</v>
      </c>
      <c r="D4010" s="14" t="s">
        <v>44</v>
      </c>
      <c r="E4010" s="14" t="s">
        <v>53</v>
      </c>
      <c r="F4010" s="14" t="s">
        <v>74</v>
      </c>
      <c r="G4010" s="14" t="s">
        <v>75</v>
      </c>
      <c r="H4010" s="0" t="n">
        <v>5</v>
      </c>
      <c r="I4010" s="16" t="n">
        <v>85.21</v>
      </c>
      <c r="J4010" s="16" t="n">
        <v>38</v>
      </c>
      <c r="K4010" s="16" t="n">
        <f aca="false">H4010*I4010</f>
        <v>426.05</v>
      </c>
      <c r="L4010" s="16" t="n">
        <f aca="false">H4010*J4010</f>
        <v>190</v>
      </c>
      <c r="M4010" s="16" t="n">
        <f aca="false">K4010-L4010</f>
        <v>236.05</v>
      </c>
      <c r="N4010" s="17" t="n">
        <f aca="false">IFERROR(M4010/K4010,0)</f>
        <v>0.554042952705082</v>
      </c>
    </row>
    <row r="4011" customFormat="false" ht="15" hidden="false" customHeight="false" outlineLevel="0" collapsed="false">
      <c r="A4011" s="15" t="n">
        <v>46189</v>
      </c>
      <c r="B4011" s="14" t="s">
        <v>88</v>
      </c>
      <c r="C4011" s="14" t="s">
        <v>89</v>
      </c>
      <c r="D4011" s="14" t="s">
        <v>44</v>
      </c>
      <c r="E4011" s="14" t="s">
        <v>56</v>
      </c>
      <c r="F4011" s="14" t="s">
        <v>57</v>
      </c>
      <c r="G4011" s="14" t="s">
        <v>58</v>
      </c>
      <c r="H4011" s="0" t="n">
        <v>3</v>
      </c>
      <c r="I4011" s="16" t="n">
        <v>25.07</v>
      </c>
      <c r="J4011" s="16" t="n">
        <v>10</v>
      </c>
      <c r="K4011" s="16" t="n">
        <f aca="false">H4011*I4011</f>
        <v>75.21</v>
      </c>
      <c r="L4011" s="16" t="n">
        <f aca="false">H4011*J4011</f>
        <v>30</v>
      </c>
      <c r="M4011" s="16" t="n">
        <f aca="false">K4011-L4011</f>
        <v>45.21</v>
      </c>
      <c r="N4011" s="17" t="n">
        <f aca="false">IFERROR(M4011/K4011,0)</f>
        <v>0.601116872756282</v>
      </c>
    </row>
    <row r="4012" customFormat="false" ht="15" hidden="false" customHeight="false" outlineLevel="0" collapsed="false">
      <c r="A4012" s="15" t="n">
        <v>46189</v>
      </c>
      <c r="B4012" s="14" t="s">
        <v>88</v>
      </c>
      <c r="C4012" s="14" t="s">
        <v>89</v>
      </c>
      <c r="D4012" s="14" t="s">
        <v>44</v>
      </c>
      <c r="E4012" s="14" t="s">
        <v>64</v>
      </c>
      <c r="F4012" s="14" t="s">
        <v>65</v>
      </c>
      <c r="G4012" s="14" t="s">
        <v>66</v>
      </c>
      <c r="H4012" s="0" t="n">
        <v>3</v>
      </c>
      <c r="I4012" s="16" t="n">
        <v>76.86</v>
      </c>
      <c r="J4012" s="16" t="n">
        <v>34</v>
      </c>
      <c r="K4012" s="16" t="n">
        <f aca="false">H4012*I4012</f>
        <v>230.58</v>
      </c>
      <c r="L4012" s="16" t="n">
        <f aca="false">H4012*J4012</f>
        <v>102</v>
      </c>
      <c r="M4012" s="16" t="n">
        <f aca="false">K4012-L4012</f>
        <v>128.58</v>
      </c>
      <c r="N4012" s="17" t="n">
        <f aca="false">IFERROR(M4012/K4012,0)</f>
        <v>0.557637262555295</v>
      </c>
    </row>
    <row r="4013" customFormat="false" ht="15" hidden="false" customHeight="false" outlineLevel="0" collapsed="false">
      <c r="A4013" s="15" t="n">
        <v>46190</v>
      </c>
      <c r="B4013" s="14" t="s">
        <v>42</v>
      </c>
      <c r="C4013" s="14" t="s">
        <v>43</v>
      </c>
      <c r="D4013" s="14" t="s">
        <v>44</v>
      </c>
      <c r="E4013" s="14" t="s">
        <v>76</v>
      </c>
      <c r="F4013" s="14" t="s">
        <v>79</v>
      </c>
      <c r="G4013" s="14" t="s">
        <v>80</v>
      </c>
      <c r="H4013" s="0" t="n">
        <v>3</v>
      </c>
      <c r="I4013" s="16" t="n">
        <v>28.16</v>
      </c>
      <c r="J4013" s="16" t="n">
        <v>11</v>
      </c>
      <c r="K4013" s="16" t="n">
        <f aca="false">H4013*I4013</f>
        <v>84.48</v>
      </c>
      <c r="L4013" s="16" t="n">
        <f aca="false">H4013*J4013</f>
        <v>33</v>
      </c>
      <c r="M4013" s="16" t="n">
        <f aca="false">K4013-L4013</f>
        <v>51.48</v>
      </c>
      <c r="N4013" s="17" t="n">
        <f aca="false">IFERROR(M4013/K4013,0)</f>
        <v>0.609375</v>
      </c>
    </row>
    <row r="4014" customFormat="false" ht="15" hidden="false" customHeight="false" outlineLevel="0" collapsed="false">
      <c r="A4014" s="15" t="n">
        <v>46190</v>
      </c>
      <c r="B4014" s="14" t="s">
        <v>42</v>
      </c>
      <c r="C4014" s="14" t="s">
        <v>43</v>
      </c>
      <c r="D4014" s="14" t="s">
        <v>44</v>
      </c>
      <c r="E4014" s="14" t="s">
        <v>56</v>
      </c>
      <c r="F4014" s="14" t="s">
        <v>57</v>
      </c>
      <c r="G4014" s="14" t="s">
        <v>58</v>
      </c>
      <c r="H4014" s="0" t="n">
        <v>4</v>
      </c>
      <c r="I4014" s="16" t="n">
        <v>26.78</v>
      </c>
      <c r="J4014" s="16" t="n">
        <v>10</v>
      </c>
      <c r="K4014" s="16" t="n">
        <f aca="false">H4014*I4014</f>
        <v>107.12</v>
      </c>
      <c r="L4014" s="16" t="n">
        <f aca="false">H4014*J4014</f>
        <v>40</v>
      </c>
      <c r="M4014" s="16" t="n">
        <f aca="false">K4014-L4014</f>
        <v>67.12</v>
      </c>
      <c r="N4014" s="17" t="n">
        <f aca="false">IFERROR(M4014/K4014,0)</f>
        <v>0.626587005227782</v>
      </c>
    </row>
    <row r="4015" customFormat="false" ht="15" hidden="false" customHeight="false" outlineLevel="0" collapsed="false">
      <c r="A4015" s="15" t="n">
        <v>46190</v>
      </c>
      <c r="B4015" s="14" t="s">
        <v>50</v>
      </c>
      <c r="C4015" s="14" t="s">
        <v>51</v>
      </c>
      <c r="D4015" s="14" t="s">
        <v>52</v>
      </c>
      <c r="E4015" s="14" t="s">
        <v>64</v>
      </c>
      <c r="F4015" s="14" t="s">
        <v>65</v>
      </c>
      <c r="G4015" s="14" t="s">
        <v>66</v>
      </c>
      <c r="H4015" s="0" t="n">
        <v>6</v>
      </c>
      <c r="I4015" s="16" t="n">
        <v>78.54</v>
      </c>
      <c r="J4015" s="16" t="n">
        <v>34</v>
      </c>
      <c r="K4015" s="16" t="n">
        <f aca="false">H4015*I4015</f>
        <v>471.24</v>
      </c>
      <c r="L4015" s="16" t="n">
        <f aca="false">H4015*J4015</f>
        <v>204</v>
      </c>
      <c r="M4015" s="16" t="n">
        <f aca="false">K4015-L4015</f>
        <v>267.24</v>
      </c>
      <c r="N4015" s="17" t="n">
        <f aca="false">IFERROR(M4015/K4015,0)</f>
        <v>0.567099567099567</v>
      </c>
    </row>
    <row r="4016" customFormat="false" ht="15" hidden="false" customHeight="false" outlineLevel="0" collapsed="false">
      <c r="A4016" s="15" t="n">
        <v>46190</v>
      </c>
      <c r="B4016" s="14" t="s">
        <v>50</v>
      </c>
      <c r="C4016" s="14" t="s">
        <v>51</v>
      </c>
      <c r="D4016" s="14" t="s">
        <v>52</v>
      </c>
      <c r="E4016" s="14" t="s">
        <v>56</v>
      </c>
      <c r="F4016" s="14" t="s">
        <v>98</v>
      </c>
      <c r="G4016" s="14" t="s">
        <v>99</v>
      </c>
      <c r="H4016" s="0" t="n">
        <v>2</v>
      </c>
      <c r="I4016" s="16" t="n">
        <v>21.95</v>
      </c>
      <c r="J4016" s="16" t="n">
        <v>8</v>
      </c>
      <c r="K4016" s="16" t="n">
        <f aca="false">H4016*I4016</f>
        <v>43.9</v>
      </c>
      <c r="L4016" s="16" t="n">
        <f aca="false">H4016*J4016</f>
        <v>16</v>
      </c>
      <c r="M4016" s="16" t="n">
        <f aca="false">K4016-L4016</f>
        <v>27.9</v>
      </c>
      <c r="N4016" s="17" t="n">
        <f aca="false">IFERROR(M4016/K4016,0)</f>
        <v>0.635535307517084</v>
      </c>
    </row>
    <row r="4017" customFormat="false" ht="15" hidden="false" customHeight="false" outlineLevel="0" collapsed="false">
      <c r="A4017" s="15" t="n">
        <v>46190</v>
      </c>
      <c r="B4017" s="14" t="s">
        <v>59</v>
      </c>
      <c r="C4017" s="14" t="s">
        <v>60</v>
      </c>
      <c r="D4017" s="14" t="s">
        <v>61</v>
      </c>
      <c r="E4017" s="14" t="s">
        <v>76</v>
      </c>
      <c r="F4017" s="14" t="s">
        <v>102</v>
      </c>
      <c r="G4017" s="14" t="s">
        <v>103</v>
      </c>
      <c r="H4017" s="0" t="n">
        <v>3</v>
      </c>
      <c r="I4017" s="16" t="n">
        <v>22.39</v>
      </c>
      <c r="J4017" s="16" t="n">
        <v>8.5</v>
      </c>
      <c r="K4017" s="16" t="n">
        <f aca="false">H4017*I4017</f>
        <v>67.17</v>
      </c>
      <c r="L4017" s="16" t="n">
        <f aca="false">H4017*J4017</f>
        <v>25.5</v>
      </c>
      <c r="M4017" s="16" t="n">
        <f aca="false">K4017-L4017</f>
        <v>41.67</v>
      </c>
      <c r="N4017" s="17" t="n">
        <f aca="false">IFERROR(M4017/K4017,0)</f>
        <v>0.620366234926306</v>
      </c>
    </row>
    <row r="4018" customFormat="false" ht="15" hidden="false" customHeight="false" outlineLevel="0" collapsed="false">
      <c r="A4018" s="15" t="n">
        <v>46190</v>
      </c>
      <c r="B4018" s="14" t="s">
        <v>59</v>
      </c>
      <c r="C4018" s="14" t="s">
        <v>60</v>
      </c>
      <c r="D4018" s="14" t="s">
        <v>61</v>
      </c>
      <c r="E4018" s="14" t="s">
        <v>45</v>
      </c>
      <c r="F4018" s="14" t="s">
        <v>72</v>
      </c>
      <c r="G4018" s="14" t="s">
        <v>73</v>
      </c>
      <c r="H4018" s="0" t="n">
        <v>5</v>
      </c>
      <c r="I4018" s="16" t="n">
        <v>50.01</v>
      </c>
      <c r="J4018" s="16" t="n">
        <v>21</v>
      </c>
      <c r="K4018" s="16" t="n">
        <f aca="false">H4018*I4018</f>
        <v>250.05</v>
      </c>
      <c r="L4018" s="16" t="n">
        <f aca="false">H4018*J4018</f>
        <v>105</v>
      </c>
      <c r="M4018" s="16" t="n">
        <f aca="false">K4018-L4018</f>
        <v>145.05</v>
      </c>
      <c r="N4018" s="17" t="n">
        <f aca="false">IFERROR(M4018/K4018,0)</f>
        <v>0.580083983203359</v>
      </c>
    </row>
    <row r="4019" customFormat="false" ht="15" hidden="false" customHeight="false" outlineLevel="0" collapsed="false">
      <c r="A4019" s="15" t="n">
        <v>46190</v>
      </c>
      <c r="B4019" s="14" t="s">
        <v>59</v>
      </c>
      <c r="C4019" s="14" t="s">
        <v>60</v>
      </c>
      <c r="D4019" s="14" t="s">
        <v>61</v>
      </c>
      <c r="E4019" s="14" t="s">
        <v>53</v>
      </c>
      <c r="F4019" s="14" t="s">
        <v>84</v>
      </c>
      <c r="G4019" s="14" t="s">
        <v>85</v>
      </c>
      <c r="H4019" s="0" t="n">
        <v>7</v>
      </c>
      <c r="I4019" s="16" t="n">
        <v>23.88</v>
      </c>
      <c r="J4019" s="16" t="n">
        <v>9</v>
      </c>
      <c r="K4019" s="16" t="n">
        <f aca="false">H4019*I4019</f>
        <v>167.16</v>
      </c>
      <c r="L4019" s="16" t="n">
        <f aca="false">H4019*J4019</f>
        <v>63</v>
      </c>
      <c r="M4019" s="16" t="n">
        <f aca="false">K4019-L4019</f>
        <v>104.16</v>
      </c>
      <c r="N4019" s="17" t="n">
        <f aca="false">IFERROR(M4019/K4019,0)</f>
        <v>0.623115577889447</v>
      </c>
    </row>
    <row r="4020" customFormat="false" ht="15" hidden="false" customHeight="false" outlineLevel="0" collapsed="false">
      <c r="A4020" s="15" t="n">
        <v>46190</v>
      </c>
      <c r="B4020" s="14" t="s">
        <v>59</v>
      </c>
      <c r="C4020" s="14" t="s">
        <v>60</v>
      </c>
      <c r="D4020" s="14" t="s">
        <v>61</v>
      </c>
      <c r="E4020" s="14" t="s">
        <v>45</v>
      </c>
      <c r="F4020" s="14" t="s">
        <v>62</v>
      </c>
      <c r="G4020" s="14" t="s">
        <v>63</v>
      </c>
      <c r="H4020" s="0" t="n">
        <v>1</v>
      </c>
      <c r="I4020" s="16" t="n">
        <v>17.73</v>
      </c>
      <c r="J4020" s="16" t="n">
        <v>6.5</v>
      </c>
      <c r="K4020" s="16" t="n">
        <f aca="false">H4020*I4020</f>
        <v>17.73</v>
      </c>
      <c r="L4020" s="16" t="n">
        <f aca="false">H4020*J4020</f>
        <v>6.5</v>
      </c>
      <c r="M4020" s="16" t="n">
        <f aca="false">K4020-L4020</f>
        <v>11.23</v>
      </c>
      <c r="N4020" s="17" t="n">
        <f aca="false">IFERROR(M4020/K4020,0)</f>
        <v>0.633389734912578</v>
      </c>
    </row>
    <row r="4021" customFormat="false" ht="15" hidden="false" customHeight="false" outlineLevel="0" collapsed="false">
      <c r="A4021" s="15" t="n">
        <v>46190</v>
      </c>
      <c r="B4021" s="14" t="s">
        <v>59</v>
      </c>
      <c r="C4021" s="14" t="s">
        <v>60</v>
      </c>
      <c r="D4021" s="14" t="s">
        <v>61</v>
      </c>
      <c r="E4021" s="14" t="s">
        <v>76</v>
      </c>
      <c r="F4021" s="14" t="s">
        <v>79</v>
      </c>
      <c r="G4021" s="14" t="s">
        <v>80</v>
      </c>
      <c r="H4021" s="0" t="n">
        <v>7</v>
      </c>
      <c r="I4021" s="16" t="n">
        <v>28.74</v>
      </c>
      <c r="J4021" s="16" t="n">
        <v>11</v>
      </c>
      <c r="K4021" s="16" t="n">
        <f aca="false">H4021*I4021</f>
        <v>201.18</v>
      </c>
      <c r="L4021" s="16" t="n">
        <f aca="false">H4021*J4021</f>
        <v>77</v>
      </c>
      <c r="M4021" s="16" t="n">
        <f aca="false">K4021-L4021</f>
        <v>124.18</v>
      </c>
      <c r="N4021" s="17" t="n">
        <f aca="false">IFERROR(M4021/K4021,0)</f>
        <v>0.617258176757133</v>
      </c>
    </row>
    <row r="4022" customFormat="false" ht="15" hidden="false" customHeight="false" outlineLevel="0" collapsed="false">
      <c r="A4022" s="15" t="n">
        <v>46190</v>
      </c>
      <c r="B4022" s="14" t="s">
        <v>69</v>
      </c>
      <c r="C4022" s="14" t="s">
        <v>70</v>
      </c>
      <c r="D4022" s="14" t="s">
        <v>71</v>
      </c>
      <c r="E4022" s="14" t="s">
        <v>45</v>
      </c>
      <c r="F4022" s="14" t="s">
        <v>62</v>
      </c>
      <c r="G4022" s="14" t="s">
        <v>63</v>
      </c>
      <c r="H4022" s="0" t="n">
        <v>3</v>
      </c>
      <c r="I4022" s="16" t="n">
        <v>17.11</v>
      </c>
      <c r="J4022" s="16" t="n">
        <v>6.5</v>
      </c>
      <c r="K4022" s="16" t="n">
        <f aca="false">H4022*I4022</f>
        <v>51.33</v>
      </c>
      <c r="L4022" s="16" t="n">
        <f aca="false">H4022*J4022</f>
        <v>19.5</v>
      </c>
      <c r="M4022" s="16" t="n">
        <f aca="false">K4022-L4022</f>
        <v>31.83</v>
      </c>
      <c r="N4022" s="17" t="n">
        <f aca="false">IFERROR(M4022/K4022,0)</f>
        <v>0.62010520163647</v>
      </c>
    </row>
    <row r="4023" customFormat="false" ht="15" hidden="false" customHeight="false" outlineLevel="0" collapsed="false">
      <c r="A4023" s="15" t="n">
        <v>46190</v>
      </c>
      <c r="B4023" s="14" t="s">
        <v>69</v>
      </c>
      <c r="C4023" s="14" t="s">
        <v>70</v>
      </c>
      <c r="D4023" s="14" t="s">
        <v>71</v>
      </c>
      <c r="E4023" s="14" t="s">
        <v>45</v>
      </c>
      <c r="F4023" s="14" t="s">
        <v>46</v>
      </c>
      <c r="G4023" s="14" t="s">
        <v>47</v>
      </c>
      <c r="H4023" s="0" t="n">
        <v>6</v>
      </c>
      <c r="I4023" s="16" t="n">
        <v>41.73</v>
      </c>
      <c r="J4023" s="16" t="n">
        <v>18</v>
      </c>
      <c r="K4023" s="16" t="n">
        <f aca="false">H4023*I4023</f>
        <v>250.38</v>
      </c>
      <c r="L4023" s="16" t="n">
        <f aca="false">H4023*J4023</f>
        <v>108</v>
      </c>
      <c r="M4023" s="16" t="n">
        <f aca="false">K4023-L4023</f>
        <v>142.38</v>
      </c>
      <c r="N4023" s="17" t="n">
        <f aca="false">IFERROR(M4023/K4023,0)</f>
        <v>0.568655643421999</v>
      </c>
    </row>
    <row r="4024" customFormat="false" ht="15" hidden="false" customHeight="false" outlineLevel="0" collapsed="false">
      <c r="A4024" s="15" t="n">
        <v>46190</v>
      </c>
      <c r="B4024" s="14" t="s">
        <v>69</v>
      </c>
      <c r="C4024" s="14" t="s">
        <v>70</v>
      </c>
      <c r="D4024" s="14" t="s">
        <v>71</v>
      </c>
      <c r="E4024" s="14" t="s">
        <v>45</v>
      </c>
      <c r="F4024" s="14" t="s">
        <v>62</v>
      </c>
      <c r="G4024" s="14" t="s">
        <v>63</v>
      </c>
      <c r="H4024" s="0" t="n">
        <v>6</v>
      </c>
      <c r="I4024" s="16" t="n">
        <v>17.53</v>
      </c>
      <c r="J4024" s="16" t="n">
        <v>6.5</v>
      </c>
      <c r="K4024" s="16" t="n">
        <f aca="false">H4024*I4024</f>
        <v>105.18</v>
      </c>
      <c r="L4024" s="16" t="n">
        <f aca="false">H4024*J4024</f>
        <v>39</v>
      </c>
      <c r="M4024" s="16" t="n">
        <f aca="false">K4024-L4024</f>
        <v>66.18</v>
      </c>
      <c r="N4024" s="17" t="n">
        <f aca="false">IFERROR(M4024/K4024,0)</f>
        <v>0.629207073588135</v>
      </c>
    </row>
    <row r="4025" customFormat="false" ht="15" hidden="false" customHeight="false" outlineLevel="0" collapsed="false">
      <c r="A4025" s="15" t="n">
        <v>46190</v>
      </c>
      <c r="B4025" s="14" t="s">
        <v>69</v>
      </c>
      <c r="C4025" s="14" t="s">
        <v>70</v>
      </c>
      <c r="D4025" s="14" t="s">
        <v>71</v>
      </c>
      <c r="E4025" s="14" t="s">
        <v>56</v>
      </c>
      <c r="F4025" s="14" t="s">
        <v>67</v>
      </c>
      <c r="G4025" s="14" t="s">
        <v>68</v>
      </c>
      <c r="H4025" s="0" t="n">
        <v>2</v>
      </c>
      <c r="I4025" s="16" t="n">
        <v>36.78</v>
      </c>
      <c r="J4025" s="16" t="n">
        <v>15</v>
      </c>
      <c r="K4025" s="16" t="n">
        <f aca="false">H4025*I4025</f>
        <v>73.56</v>
      </c>
      <c r="L4025" s="16" t="n">
        <f aca="false">H4025*J4025</f>
        <v>30</v>
      </c>
      <c r="M4025" s="16" t="n">
        <f aca="false">K4025-L4025</f>
        <v>43.56</v>
      </c>
      <c r="N4025" s="17" t="n">
        <f aca="false">IFERROR(M4025/K4025,0)</f>
        <v>0.592169657422512</v>
      </c>
    </row>
    <row r="4026" customFormat="false" ht="15" hidden="false" customHeight="false" outlineLevel="0" collapsed="false">
      <c r="A4026" s="15" t="n">
        <v>46190</v>
      </c>
      <c r="B4026" s="14" t="s">
        <v>69</v>
      </c>
      <c r="C4026" s="14" t="s">
        <v>70</v>
      </c>
      <c r="D4026" s="14" t="s">
        <v>71</v>
      </c>
      <c r="E4026" s="14" t="s">
        <v>64</v>
      </c>
      <c r="F4026" s="14" t="s">
        <v>96</v>
      </c>
      <c r="G4026" s="14" t="s">
        <v>97</v>
      </c>
      <c r="H4026" s="0" t="n">
        <v>7</v>
      </c>
      <c r="I4026" s="16" t="n">
        <v>57.71</v>
      </c>
      <c r="J4026" s="16" t="n">
        <v>24</v>
      </c>
      <c r="K4026" s="16" t="n">
        <f aca="false">H4026*I4026</f>
        <v>403.97</v>
      </c>
      <c r="L4026" s="16" t="n">
        <f aca="false">H4026*J4026</f>
        <v>168</v>
      </c>
      <c r="M4026" s="16" t="n">
        <f aca="false">K4026-L4026</f>
        <v>235.97</v>
      </c>
      <c r="N4026" s="17" t="n">
        <f aca="false">IFERROR(M4026/K4026,0)</f>
        <v>0.584127534222838</v>
      </c>
    </row>
    <row r="4027" customFormat="false" ht="15" hidden="false" customHeight="false" outlineLevel="0" collapsed="false">
      <c r="A4027" s="15" t="n">
        <v>46190</v>
      </c>
      <c r="B4027" s="14" t="s">
        <v>81</v>
      </c>
      <c r="C4027" s="14" t="s">
        <v>82</v>
      </c>
      <c r="D4027" s="14" t="s">
        <v>83</v>
      </c>
      <c r="E4027" s="14" t="s">
        <v>56</v>
      </c>
      <c r="F4027" s="14" t="s">
        <v>57</v>
      </c>
      <c r="G4027" s="14" t="s">
        <v>58</v>
      </c>
      <c r="H4027" s="0" t="n">
        <v>1</v>
      </c>
      <c r="I4027" s="16" t="n">
        <v>25.42</v>
      </c>
      <c r="J4027" s="16" t="n">
        <v>10</v>
      </c>
      <c r="K4027" s="16" t="n">
        <f aca="false">H4027*I4027</f>
        <v>25.42</v>
      </c>
      <c r="L4027" s="16" t="n">
        <f aca="false">H4027*J4027</f>
        <v>10</v>
      </c>
      <c r="M4027" s="16" t="n">
        <f aca="false">K4027-L4027</f>
        <v>15.42</v>
      </c>
      <c r="N4027" s="17" t="n">
        <f aca="false">IFERROR(M4027/K4027,0)</f>
        <v>0.6066089693155</v>
      </c>
    </row>
    <row r="4028" customFormat="false" ht="15" hidden="false" customHeight="false" outlineLevel="0" collapsed="false">
      <c r="A4028" s="15" t="n">
        <v>46190</v>
      </c>
      <c r="B4028" s="14" t="s">
        <v>81</v>
      </c>
      <c r="C4028" s="14" t="s">
        <v>82</v>
      </c>
      <c r="D4028" s="14" t="s">
        <v>83</v>
      </c>
      <c r="E4028" s="14" t="s">
        <v>56</v>
      </c>
      <c r="F4028" s="14" t="s">
        <v>67</v>
      </c>
      <c r="G4028" s="14" t="s">
        <v>68</v>
      </c>
      <c r="H4028" s="0" t="n">
        <v>3</v>
      </c>
      <c r="I4028" s="16" t="n">
        <v>37.13</v>
      </c>
      <c r="J4028" s="16" t="n">
        <v>15</v>
      </c>
      <c r="K4028" s="16" t="n">
        <f aca="false">H4028*I4028</f>
        <v>111.39</v>
      </c>
      <c r="L4028" s="16" t="n">
        <f aca="false">H4028*J4028</f>
        <v>45</v>
      </c>
      <c r="M4028" s="16" t="n">
        <f aca="false">K4028-L4028</f>
        <v>66.39</v>
      </c>
      <c r="N4028" s="17" t="n">
        <f aca="false">IFERROR(M4028/K4028,0)</f>
        <v>0.596014004847832</v>
      </c>
    </row>
    <row r="4029" customFormat="false" ht="15" hidden="false" customHeight="false" outlineLevel="0" collapsed="false">
      <c r="A4029" s="15" t="n">
        <v>46190</v>
      </c>
      <c r="B4029" s="14" t="s">
        <v>81</v>
      </c>
      <c r="C4029" s="14" t="s">
        <v>82</v>
      </c>
      <c r="D4029" s="14" t="s">
        <v>83</v>
      </c>
      <c r="E4029" s="14" t="s">
        <v>76</v>
      </c>
      <c r="F4029" s="14" t="s">
        <v>79</v>
      </c>
      <c r="G4029" s="14" t="s">
        <v>80</v>
      </c>
      <c r="H4029" s="0" t="n">
        <v>6</v>
      </c>
      <c r="I4029" s="16" t="n">
        <v>27.87</v>
      </c>
      <c r="J4029" s="16" t="n">
        <v>11</v>
      </c>
      <c r="K4029" s="16" t="n">
        <f aca="false">H4029*I4029</f>
        <v>167.22</v>
      </c>
      <c r="L4029" s="16" t="n">
        <f aca="false">H4029*J4029</f>
        <v>66</v>
      </c>
      <c r="M4029" s="16" t="n">
        <f aca="false">K4029-L4029</f>
        <v>101.22</v>
      </c>
      <c r="N4029" s="17" t="n">
        <f aca="false">IFERROR(M4029/K4029,0)</f>
        <v>0.605310369573018</v>
      </c>
    </row>
    <row r="4030" customFormat="false" ht="15" hidden="false" customHeight="false" outlineLevel="0" collapsed="false">
      <c r="A4030" s="15" t="n">
        <v>46190</v>
      </c>
      <c r="B4030" s="14" t="s">
        <v>81</v>
      </c>
      <c r="C4030" s="14" t="s">
        <v>82</v>
      </c>
      <c r="D4030" s="14" t="s">
        <v>83</v>
      </c>
      <c r="E4030" s="14" t="s">
        <v>64</v>
      </c>
      <c r="F4030" s="14" t="s">
        <v>65</v>
      </c>
      <c r="G4030" s="14" t="s">
        <v>66</v>
      </c>
      <c r="H4030" s="0" t="n">
        <v>6</v>
      </c>
      <c r="I4030" s="16" t="n">
        <v>78.37</v>
      </c>
      <c r="J4030" s="16" t="n">
        <v>34</v>
      </c>
      <c r="K4030" s="16" t="n">
        <f aca="false">H4030*I4030</f>
        <v>470.22</v>
      </c>
      <c r="L4030" s="16" t="n">
        <f aca="false">H4030*J4030</f>
        <v>204</v>
      </c>
      <c r="M4030" s="16" t="n">
        <f aca="false">K4030-L4030</f>
        <v>266.22</v>
      </c>
      <c r="N4030" s="17" t="n">
        <f aca="false">IFERROR(M4030/K4030,0)</f>
        <v>0.566160520607375</v>
      </c>
    </row>
    <row r="4031" customFormat="false" ht="15" hidden="false" customHeight="false" outlineLevel="0" collapsed="false">
      <c r="A4031" s="15" t="n">
        <v>46190</v>
      </c>
      <c r="B4031" s="14" t="s">
        <v>81</v>
      </c>
      <c r="C4031" s="14" t="s">
        <v>82</v>
      </c>
      <c r="D4031" s="14" t="s">
        <v>83</v>
      </c>
      <c r="E4031" s="14" t="s">
        <v>53</v>
      </c>
      <c r="F4031" s="14" t="s">
        <v>54</v>
      </c>
      <c r="G4031" s="14" t="s">
        <v>55</v>
      </c>
      <c r="H4031" s="0" t="n">
        <v>8</v>
      </c>
      <c r="I4031" s="16" t="n">
        <v>51.85</v>
      </c>
      <c r="J4031" s="16" t="n">
        <v>22</v>
      </c>
      <c r="K4031" s="16" t="n">
        <f aca="false">H4031*I4031</f>
        <v>414.8</v>
      </c>
      <c r="L4031" s="16" t="n">
        <f aca="false">H4031*J4031</f>
        <v>176</v>
      </c>
      <c r="M4031" s="16" t="n">
        <f aca="false">K4031-L4031</f>
        <v>238.8</v>
      </c>
      <c r="N4031" s="17" t="n">
        <f aca="false">IFERROR(M4031/K4031,0)</f>
        <v>0.575699132111861</v>
      </c>
    </row>
    <row r="4032" customFormat="false" ht="15" hidden="false" customHeight="false" outlineLevel="0" collapsed="false">
      <c r="A4032" s="15" t="n">
        <v>46190</v>
      </c>
      <c r="B4032" s="14" t="s">
        <v>88</v>
      </c>
      <c r="C4032" s="14" t="s">
        <v>89</v>
      </c>
      <c r="D4032" s="14" t="s">
        <v>44</v>
      </c>
      <c r="E4032" s="14" t="s">
        <v>56</v>
      </c>
      <c r="F4032" s="14" t="s">
        <v>86</v>
      </c>
      <c r="G4032" s="14" t="s">
        <v>87</v>
      </c>
      <c r="H4032" s="0" t="n">
        <v>6</v>
      </c>
      <c r="I4032" s="16" t="n">
        <v>14.67</v>
      </c>
      <c r="J4032" s="16" t="n">
        <v>5</v>
      </c>
      <c r="K4032" s="16" t="n">
        <f aca="false">H4032*I4032</f>
        <v>88.02</v>
      </c>
      <c r="L4032" s="16" t="n">
        <f aca="false">H4032*J4032</f>
        <v>30</v>
      </c>
      <c r="M4032" s="16" t="n">
        <f aca="false">K4032-L4032</f>
        <v>58.02</v>
      </c>
      <c r="N4032" s="17" t="n">
        <f aca="false">IFERROR(M4032/K4032,0)</f>
        <v>0.659168370824813</v>
      </c>
    </row>
    <row r="4033" customFormat="false" ht="15" hidden="false" customHeight="false" outlineLevel="0" collapsed="false">
      <c r="A4033" s="15" t="n">
        <v>46190</v>
      </c>
      <c r="B4033" s="14" t="s">
        <v>88</v>
      </c>
      <c r="C4033" s="14" t="s">
        <v>89</v>
      </c>
      <c r="D4033" s="14" t="s">
        <v>44</v>
      </c>
      <c r="E4033" s="14" t="s">
        <v>76</v>
      </c>
      <c r="F4033" s="14" t="s">
        <v>79</v>
      </c>
      <c r="G4033" s="14" t="s">
        <v>80</v>
      </c>
      <c r="H4033" s="0" t="n">
        <v>10</v>
      </c>
      <c r="I4033" s="16" t="n">
        <v>28.99</v>
      </c>
      <c r="J4033" s="16" t="n">
        <v>11</v>
      </c>
      <c r="K4033" s="16" t="n">
        <f aca="false">H4033*I4033</f>
        <v>289.9</v>
      </c>
      <c r="L4033" s="16" t="n">
        <f aca="false">H4033*J4033</f>
        <v>110</v>
      </c>
      <c r="M4033" s="16" t="n">
        <f aca="false">K4033-L4033</f>
        <v>179.9</v>
      </c>
      <c r="N4033" s="17" t="n">
        <f aca="false">IFERROR(M4033/K4033,0)</f>
        <v>0.620558813383926</v>
      </c>
    </row>
    <row r="4034" customFormat="false" ht="15" hidden="false" customHeight="false" outlineLevel="0" collapsed="false">
      <c r="A4034" s="15" t="n">
        <v>46190</v>
      </c>
      <c r="B4034" s="14" t="s">
        <v>88</v>
      </c>
      <c r="C4034" s="14" t="s">
        <v>89</v>
      </c>
      <c r="D4034" s="14" t="s">
        <v>44</v>
      </c>
      <c r="E4034" s="14" t="s">
        <v>64</v>
      </c>
      <c r="F4034" s="14" t="s">
        <v>96</v>
      </c>
      <c r="G4034" s="14" t="s">
        <v>97</v>
      </c>
      <c r="H4034" s="0" t="n">
        <v>6</v>
      </c>
      <c r="I4034" s="16" t="n">
        <v>57.3</v>
      </c>
      <c r="J4034" s="16" t="n">
        <v>24</v>
      </c>
      <c r="K4034" s="16" t="n">
        <f aca="false">H4034*I4034</f>
        <v>343.8</v>
      </c>
      <c r="L4034" s="16" t="n">
        <f aca="false">H4034*J4034</f>
        <v>144</v>
      </c>
      <c r="M4034" s="16" t="n">
        <f aca="false">K4034-L4034</f>
        <v>199.8</v>
      </c>
      <c r="N4034" s="17" t="n">
        <f aca="false">IFERROR(M4034/K4034,0)</f>
        <v>0.581151832460733</v>
      </c>
    </row>
    <row r="4035" customFormat="false" ht="15" hidden="false" customHeight="false" outlineLevel="0" collapsed="false">
      <c r="A4035" s="15" t="n">
        <v>46190</v>
      </c>
      <c r="B4035" s="14" t="s">
        <v>88</v>
      </c>
      <c r="C4035" s="14" t="s">
        <v>89</v>
      </c>
      <c r="D4035" s="14" t="s">
        <v>44</v>
      </c>
      <c r="E4035" s="14" t="s">
        <v>56</v>
      </c>
      <c r="F4035" s="14" t="s">
        <v>57</v>
      </c>
      <c r="G4035" s="14" t="s">
        <v>58</v>
      </c>
      <c r="H4035" s="0" t="n">
        <v>5</v>
      </c>
      <c r="I4035" s="16" t="n">
        <v>26.64</v>
      </c>
      <c r="J4035" s="16" t="n">
        <v>10</v>
      </c>
      <c r="K4035" s="16" t="n">
        <f aca="false">H4035*I4035</f>
        <v>133.2</v>
      </c>
      <c r="L4035" s="16" t="n">
        <f aca="false">H4035*J4035</f>
        <v>50</v>
      </c>
      <c r="M4035" s="16" t="n">
        <f aca="false">K4035-L4035</f>
        <v>83.2</v>
      </c>
      <c r="N4035" s="17" t="n">
        <f aca="false">IFERROR(M4035/K4035,0)</f>
        <v>0.624624624624625</v>
      </c>
    </row>
    <row r="4036" customFormat="false" ht="15" hidden="false" customHeight="false" outlineLevel="0" collapsed="false">
      <c r="A4036" s="15" t="n">
        <v>46190</v>
      </c>
      <c r="B4036" s="14" t="s">
        <v>88</v>
      </c>
      <c r="C4036" s="14" t="s">
        <v>89</v>
      </c>
      <c r="D4036" s="14" t="s">
        <v>44</v>
      </c>
      <c r="E4036" s="14" t="s">
        <v>64</v>
      </c>
      <c r="F4036" s="14" t="s">
        <v>90</v>
      </c>
      <c r="G4036" s="14" t="s">
        <v>91</v>
      </c>
      <c r="H4036" s="0" t="n">
        <v>4</v>
      </c>
      <c r="I4036" s="16" t="n">
        <v>11.73</v>
      </c>
      <c r="J4036" s="16" t="n">
        <v>3.5</v>
      </c>
      <c r="K4036" s="16" t="n">
        <f aca="false">H4036*I4036</f>
        <v>46.92</v>
      </c>
      <c r="L4036" s="16" t="n">
        <f aca="false">H4036*J4036</f>
        <v>14</v>
      </c>
      <c r="M4036" s="16" t="n">
        <f aca="false">K4036-L4036</f>
        <v>32.92</v>
      </c>
      <c r="N4036" s="17" t="n">
        <f aca="false">IFERROR(M4036/K4036,0)</f>
        <v>0.701619778346121</v>
      </c>
    </row>
    <row r="4037" customFormat="false" ht="15" hidden="false" customHeight="false" outlineLevel="0" collapsed="false">
      <c r="A4037" s="15" t="n">
        <v>46190</v>
      </c>
      <c r="B4037" s="14" t="s">
        <v>88</v>
      </c>
      <c r="C4037" s="14" t="s">
        <v>89</v>
      </c>
      <c r="D4037" s="14" t="s">
        <v>44</v>
      </c>
      <c r="E4037" s="14" t="s">
        <v>56</v>
      </c>
      <c r="F4037" s="14" t="s">
        <v>57</v>
      </c>
      <c r="G4037" s="14" t="s">
        <v>58</v>
      </c>
      <c r="H4037" s="0" t="n">
        <v>1</v>
      </c>
      <c r="I4037" s="16" t="n">
        <v>25.41</v>
      </c>
      <c r="J4037" s="16" t="n">
        <v>10</v>
      </c>
      <c r="K4037" s="16" t="n">
        <f aca="false">H4037*I4037</f>
        <v>25.41</v>
      </c>
      <c r="L4037" s="16" t="n">
        <f aca="false">H4037*J4037</f>
        <v>10</v>
      </c>
      <c r="M4037" s="16" t="n">
        <f aca="false">K4037-L4037</f>
        <v>15.41</v>
      </c>
      <c r="N4037" s="17" t="n">
        <f aca="false">IFERROR(M4037/K4037,0)</f>
        <v>0.606454151908697</v>
      </c>
    </row>
    <row r="4038" customFormat="false" ht="15" hidden="false" customHeight="false" outlineLevel="0" collapsed="false">
      <c r="A4038" s="15" t="n">
        <v>46191</v>
      </c>
      <c r="B4038" s="14" t="s">
        <v>42</v>
      </c>
      <c r="C4038" s="14" t="s">
        <v>43</v>
      </c>
      <c r="D4038" s="14" t="s">
        <v>44</v>
      </c>
      <c r="E4038" s="14" t="s">
        <v>76</v>
      </c>
      <c r="F4038" s="14" t="s">
        <v>77</v>
      </c>
      <c r="G4038" s="14" t="s">
        <v>78</v>
      </c>
      <c r="H4038" s="0" t="n">
        <v>3</v>
      </c>
      <c r="I4038" s="16" t="n">
        <v>40.13</v>
      </c>
      <c r="J4038" s="16" t="n">
        <v>15</v>
      </c>
      <c r="K4038" s="16" t="n">
        <f aca="false">H4038*I4038</f>
        <v>120.39</v>
      </c>
      <c r="L4038" s="16" t="n">
        <f aca="false">H4038*J4038</f>
        <v>45</v>
      </c>
      <c r="M4038" s="16" t="n">
        <f aca="false">K4038-L4038</f>
        <v>75.39</v>
      </c>
      <c r="N4038" s="17" t="n">
        <f aca="false">IFERROR(M4038/K4038,0)</f>
        <v>0.626214801893845</v>
      </c>
    </row>
    <row r="4039" customFormat="false" ht="15" hidden="false" customHeight="false" outlineLevel="0" collapsed="false">
      <c r="A4039" s="15" t="n">
        <v>46191</v>
      </c>
      <c r="B4039" s="14" t="s">
        <v>42</v>
      </c>
      <c r="C4039" s="14" t="s">
        <v>43</v>
      </c>
      <c r="D4039" s="14" t="s">
        <v>44</v>
      </c>
      <c r="E4039" s="14" t="s">
        <v>53</v>
      </c>
      <c r="F4039" s="14" t="s">
        <v>92</v>
      </c>
      <c r="G4039" s="14" t="s">
        <v>93</v>
      </c>
      <c r="H4039" s="0" t="n">
        <v>3</v>
      </c>
      <c r="I4039" s="16" t="n">
        <v>114.1</v>
      </c>
      <c r="J4039" s="16" t="n">
        <v>52</v>
      </c>
      <c r="K4039" s="16" t="n">
        <f aca="false">H4039*I4039</f>
        <v>342.3</v>
      </c>
      <c r="L4039" s="16" t="n">
        <f aca="false">H4039*J4039</f>
        <v>156</v>
      </c>
      <c r="M4039" s="16" t="n">
        <f aca="false">K4039-L4039</f>
        <v>186.3</v>
      </c>
      <c r="N4039" s="17" t="n">
        <f aca="false">IFERROR(M4039/K4039,0)</f>
        <v>0.544259421560035</v>
      </c>
    </row>
    <row r="4040" customFormat="false" ht="15" hidden="false" customHeight="false" outlineLevel="0" collapsed="false">
      <c r="A4040" s="15" t="n">
        <v>46191</v>
      </c>
      <c r="B4040" s="14" t="s">
        <v>42</v>
      </c>
      <c r="C4040" s="14" t="s">
        <v>43</v>
      </c>
      <c r="D4040" s="14" t="s">
        <v>44</v>
      </c>
      <c r="E4040" s="14" t="s">
        <v>53</v>
      </c>
      <c r="F4040" s="14" t="s">
        <v>92</v>
      </c>
      <c r="G4040" s="14" t="s">
        <v>93</v>
      </c>
      <c r="H4040" s="0" t="n">
        <v>7</v>
      </c>
      <c r="I4040" s="16" t="n">
        <v>118.32</v>
      </c>
      <c r="J4040" s="16" t="n">
        <v>52</v>
      </c>
      <c r="K4040" s="16" t="n">
        <f aca="false">H4040*I4040</f>
        <v>828.24</v>
      </c>
      <c r="L4040" s="16" t="n">
        <f aca="false">H4040*J4040</f>
        <v>364</v>
      </c>
      <c r="M4040" s="16" t="n">
        <f aca="false">K4040-L4040</f>
        <v>464.24</v>
      </c>
      <c r="N4040" s="17" t="n">
        <f aca="false">IFERROR(M4040/K4040,0)</f>
        <v>0.560513860716701</v>
      </c>
    </row>
    <row r="4041" customFormat="false" ht="15" hidden="false" customHeight="false" outlineLevel="0" collapsed="false">
      <c r="A4041" s="15" t="n">
        <v>46191</v>
      </c>
      <c r="B4041" s="14" t="s">
        <v>42</v>
      </c>
      <c r="C4041" s="14" t="s">
        <v>43</v>
      </c>
      <c r="D4041" s="14" t="s">
        <v>44</v>
      </c>
      <c r="E4041" s="14" t="s">
        <v>64</v>
      </c>
      <c r="F4041" s="14" t="s">
        <v>94</v>
      </c>
      <c r="G4041" s="14" t="s">
        <v>95</v>
      </c>
      <c r="H4041" s="0" t="n">
        <v>4</v>
      </c>
      <c r="I4041" s="16" t="n">
        <v>91.08</v>
      </c>
      <c r="J4041" s="16" t="n">
        <v>42</v>
      </c>
      <c r="K4041" s="16" t="n">
        <f aca="false">H4041*I4041</f>
        <v>364.32</v>
      </c>
      <c r="L4041" s="16" t="n">
        <f aca="false">H4041*J4041</f>
        <v>168</v>
      </c>
      <c r="M4041" s="16" t="n">
        <f aca="false">K4041-L4041</f>
        <v>196.32</v>
      </c>
      <c r="N4041" s="17" t="n">
        <f aca="false">IFERROR(M4041/K4041,0)</f>
        <v>0.538866930171278</v>
      </c>
    </row>
    <row r="4042" customFormat="false" ht="15" hidden="false" customHeight="false" outlineLevel="0" collapsed="false">
      <c r="A4042" s="15" t="n">
        <v>46191</v>
      </c>
      <c r="B4042" s="14" t="s">
        <v>42</v>
      </c>
      <c r="C4042" s="14" t="s">
        <v>43</v>
      </c>
      <c r="D4042" s="14" t="s">
        <v>44</v>
      </c>
      <c r="E4042" s="14" t="s">
        <v>56</v>
      </c>
      <c r="F4042" s="14" t="s">
        <v>86</v>
      </c>
      <c r="G4042" s="14" t="s">
        <v>87</v>
      </c>
      <c r="H4042" s="0" t="n">
        <v>6</v>
      </c>
      <c r="I4042" s="16" t="n">
        <v>14.44</v>
      </c>
      <c r="J4042" s="16" t="n">
        <v>5</v>
      </c>
      <c r="K4042" s="16" t="n">
        <f aca="false">H4042*I4042</f>
        <v>86.64</v>
      </c>
      <c r="L4042" s="16" t="n">
        <f aca="false">H4042*J4042</f>
        <v>30</v>
      </c>
      <c r="M4042" s="16" t="n">
        <f aca="false">K4042-L4042</f>
        <v>56.64</v>
      </c>
      <c r="N4042" s="17" t="n">
        <f aca="false">IFERROR(M4042/K4042,0)</f>
        <v>0.653739612188366</v>
      </c>
    </row>
    <row r="4043" customFormat="false" ht="15" hidden="false" customHeight="false" outlineLevel="0" collapsed="false">
      <c r="A4043" s="15" t="n">
        <v>46191</v>
      </c>
      <c r="B4043" s="14" t="s">
        <v>42</v>
      </c>
      <c r="C4043" s="14" t="s">
        <v>43</v>
      </c>
      <c r="D4043" s="14" t="s">
        <v>44</v>
      </c>
      <c r="E4043" s="14" t="s">
        <v>56</v>
      </c>
      <c r="F4043" s="14" t="s">
        <v>86</v>
      </c>
      <c r="G4043" s="14" t="s">
        <v>87</v>
      </c>
      <c r="H4043" s="0" t="n">
        <v>1</v>
      </c>
      <c r="I4043" s="16" t="n">
        <v>14.86</v>
      </c>
      <c r="J4043" s="16" t="n">
        <v>5</v>
      </c>
      <c r="K4043" s="16" t="n">
        <f aca="false">H4043*I4043</f>
        <v>14.86</v>
      </c>
      <c r="L4043" s="16" t="n">
        <f aca="false">H4043*J4043</f>
        <v>5</v>
      </c>
      <c r="M4043" s="16" t="n">
        <f aca="false">K4043-L4043</f>
        <v>9.86</v>
      </c>
      <c r="N4043" s="17" t="n">
        <f aca="false">IFERROR(M4043/K4043,0)</f>
        <v>0.663526244952894</v>
      </c>
    </row>
    <row r="4044" customFormat="false" ht="15" hidden="false" customHeight="false" outlineLevel="0" collapsed="false">
      <c r="A4044" s="15" t="n">
        <v>46191</v>
      </c>
      <c r="B4044" s="14" t="s">
        <v>50</v>
      </c>
      <c r="C4044" s="14" t="s">
        <v>51</v>
      </c>
      <c r="D4044" s="14" t="s">
        <v>52</v>
      </c>
      <c r="E4044" s="14" t="s">
        <v>76</v>
      </c>
      <c r="F4044" s="14" t="s">
        <v>100</v>
      </c>
      <c r="G4044" s="14" t="s">
        <v>101</v>
      </c>
      <c r="H4044" s="0" t="n">
        <v>11</v>
      </c>
      <c r="I4044" s="16" t="n">
        <v>14.91</v>
      </c>
      <c r="J4044" s="16" t="n">
        <v>5.5</v>
      </c>
      <c r="K4044" s="16" t="n">
        <f aca="false">H4044*I4044</f>
        <v>164.01</v>
      </c>
      <c r="L4044" s="16" t="n">
        <f aca="false">H4044*J4044</f>
        <v>60.5</v>
      </c>
      <c r="M4044" s="16" t="n">
        <f aca="false">K4044-L4044</f>
        <v>103.51</v>
      </c>
      <c r="N4044" s="17" t="n">
        <f aca="false">IFERROR(M4044/K4044,0)</f>
        <v>0.631120053655265</v>
      </c>
    </row>
    <row r="4045" customFormat="false" ht="15" hidden="false" customHeight="false" outlineLevel="0" collapsed="false">
      <c r="A4045" s="15" t="n">
        <v>46191</v>
      </c>
      <c r="B4045" s="14" t="s">
        <v>50</v>
      </c>
      <c r="C4045" s="14" t="s">
        <v>51</v>
      </c>
      <c r="D4045" s="14" t="s">
        <v>52</v>
      </c>
      <c r="E4045" s="14" t="s">
        <v>56</v>
      </c>
      <c r="F4045" s="14" t="s">
        <v>57</v>
      </c>
      <c r="G4045" s="14" t="s">
        <v>58</v>
      </c>
      <c r="H4045" s="0" t="n">
        <v>2</v>
      </c>
      <c r="I4045" s="16" t="n">
        <v>25.76</v>
      </c>
      <c r="J4045" s="16" t="n">
        <v>10</v>
      </c>
      <c r="K4045" s="16" t="n">
        <f aca="false">H4045*I4045</f>
        <v>51.52</v>
      </c>
      <c r="L4045" s="16" t="n">
        <f aca="false">H4045*J4045</f>
        <v>20</v>
      </c>
      <c r="M4045" s="16" t="n">
        <f aca="false">K4045-L4045</f>
        <v>31.52</v>
      </c>
      <c r="N4045" s="17" t="n">
        <f aca="false">IFERROR(M4045/K4045,0)</f>
        <v>0.611801242236025</v>
      </c>
    </row>
    <row r="4046" customFormat="false" ht="15" hidden="false" customHeight="false" outlineLevel="0" collapsed="false">
      <c r="A4046" s="15" t="n">
        <v>46191</v>
      </c>
      <c r="B4046" s="14" t="s">
        <v>50</v>
      </c>
      <c r="C4046" s="14" t="s">
        <v>51</v>
      </c>
      <c r="D4046" s="14" t="s">
        <v>52</v>
      </c>
      <c r="E4046" s="14" t="s">
        <v>56</v>
      </c>
      <c r="F4046" s="14" t="s">
        <v>98</v>
      </c>
      <c r="G4046" s="14" t="s">
        <v>99</v>
      </c>
      <c r="H4046" s="0" t="n">
        <v>2</v>
      </c>
      <c r="I4046" s="16" t="n">
        <v>20.77</v>
      </c>
      <c r="J4046" s="16" t="n">
        <v>8</v>
      </c>
      <c r="K4046" s="16" t="n">
        <f aca="false">H4046*I4046</f>
        <v>41.54</v>
      </c>
      <c r="L4046" s="16" t="n">
        <f aca="false">H4046*J4046</f>
        <v>16</v>
      </c>
      <c r="M4046" s="16" t="n">
        <f aca="false">K4046-L4046</f>
        <v>25.54</v>
      </c>
      <c r="N4046" s="17" t="n">
        <f aca="false">IFERROR(M4046/K4046,0)</f>
        <v>0.614829080404429</v>
      </c>
    </row>
    <row r="4047" customFormat="false" ht="15" hidden="false" customHeight="false" outlineLevel="0" collapsed="false">
      <c r="A4047" s="15" t="n">
        <v>46191</v>
      </c>
      <c r="B4047" s="14" t="s">
        <v>59</v>
      </c>
      <c r="C4047" s="14" t="s">
        <v>60</v>
      </c>
      <c r="D4047" s="14" t="s">
        <v>61</v>
      </c>
      <c r="E4047" s="14" t="s">
        <v>45</v>
      </c>
      <c r="F4047" s="14" t="s">
        <v>62</v>
      </c>
      <c r="G4047" s="14" t="s">
        <v>63</v>
      </c>
      <c r="H4047" s="0" t="n">
        <v>5</v>
      </c>
      <c r="I4047" s="16" t="n">
        <v>17.51</v>
      </c>
      <c r="J4047" s="16" t="n">
        <v>6.5</v>
      </c>
      <c r="K4047" s="16" t="n">
        <f aca="false">H4047*I4047</f>
        <v>87.55</v>
      </c>
      <c r="L4047" s="16" t="n">
        <f aca="false">H4047*J4047</f>
        <v>32.5</v>
      </c>
      <c r="M4047" s="16" t="n">
        <f aca="false">K4047-L4047</f>
        <v>55.05</v>
      </c>
      <c r="N4047" s="17" t="n">
        <f aca="false">IFERROR(M4047/K4047,0)</f>
        <v>0.628783552255854</v>
      </c>
    </row>
    <row r="4048" customFormat="false" ht="15" hidden="false" customHeight="false" outlineLevel="0" collapsed="false">
      <c r="A4048" s="15" t="n">
        <v>46191</v>
      </c>
      <c r="B4048" s="14" t="s">
        <v>59</v>
      </c>
      <c r="C4048" s="14" t="s">
        <v>60</v>
      </c>
      <c r="D4048" s="14" t="s">
        <v>61</v>
      </c>
      <c r="E4048" s="14" t="s">
        <v>56</v>
      </c>
      <c r="F4048" s="14" t="s">
        <v>86</v>
      </c>
      <c r="G4048" s="14" t="s">
        <v>87</v>
      </c>
      <c r="H4048" s="0" t="n">
        <v>3</v>
      </c>
      <c r="I4048" s="16" t="n">
        <v>14.66</v>
      </c>
      <c r="J4048" s="16" t="n">
        <v>5</v>
      </c>
      <c r="K4048" s="16" t="n">
        <f aca="false">H4048*I4048</f>
        <v>43.98</v>
      </c>
      <c r="L4048" s="16" t="n">
        <f aca="false">H4048*J4048</f>
        <v>15</v>
      </c>
      <c r="M4048" s="16" t="n">
        <f aca="false">K4048-L4048</f>
        <v>28.98</v>
      </c>
      <c r="N4048" s="17" t="n">
        <f aca="false">IFERROR(M4048/K4048,0)</f>
        <v>0.65893587994543</v>
      </c>
    </row>
    <row r="4049" customFormat="false" ht="15" hidden="false" customHeight="false" outlineLevel="0" collapsed="false">
      <c r="A4049" s="15" t="n">
        <v>46191</v>
      </c>
      <c r="B4049" s="14" t="s">
        <v>59</v>
      </c>
      <c r="C4049" s="14" t="s">
        <v>60</v>
      </c>
      <c r="D4049" s="14" t="s">
        <v>61</v>
      </c>
      <c r="E4049" s="14" t="s">
        <v>45</v>
      </c>
      <c r="F4049" s="14" t="s">
        <v>62</v>
      </c>
      <c r="G4049" s="14" t="s">
        <v>63</v>
      </c>
      <c r="H4049" s="0" t="n">
        <v>3</v>
      </c>
      <c r="I4049" s="16" t="n">
        <v>17.24</v>
      </c>
      <c r="J4049" s="16" t="n">
        <v>6.5</v>
      </c>
      <c r="K4049" s="16" t="n">
        <f aca="false">H4049*I4049</f>
        <v>51.72</v>
      </c>
      <c r="L4049" s="16" t="n">
        <f aca="false">H4049*J4049</f>
        <v>19.5</v>
      </c>
      <c r="M4049" s="16" t="n">
        <f aca="false">K4049-L4049</f>
        <v>32.22</v>
      </c>
      <c r="N4049" s="17" t="n">
        <f aca="false">IFERROR(M4049/K4049,0)</f>
        <v>0.622969837587007</v>
      </c>
    </row>
    <row r="4050" customFormat="false" ht="15" hidden="false" customHeight="false" outlineLevel="0" collapsed="false">
      <c r="A4050" s="15" t="n">
        <v>46191</v>
      </c>
      <c r="B4050" s="14" t="s">
        <v>69</v>
      </c>
      <c r="C4050" s="14" t="s">
        <v>70</v>
      </c>
      <c r="D4050" s="14" t="s">
        <v>71</v>
      </c>
      <c r="E4050" s="14" t="s">
        <v>45</v>
      </c>
      <c r="F4050" s="14" t="s">
        <v>46</v>
      </c>
      <c r="G4050" s="14" t="s">
        <v>47</v>
      </c>
      <c r="H4050" s="0" t="n">
        <v>2</v>
      </c>
      <c r="I4050" s="16" t="n">
        <v>44.93</v>
      </c>
      <c r="J4050" s="16" t="n">
        <v>18</v>
      </c>
      <c r="K4050" s="16" t="n">
        <f aca="false">H4050*I4050</f>
        <v>89.86</v>
      </c>
      <c r="L4050" s="16" t="n">
        <f aca="false">H4050*J4050</f>
        <v>36</v>
      </c>
      <c r="M4050" s="16" t="n">
        <f aca="false">K4050-L4050</f>
        <v>53.86</v>
      </c>
      <c r="N4050" s="17" t="n">
        <f aca="false">IFERROR(M4050/K4050,0)</f>
        <v>0.599376808368573</v>
      </c>
    </row>
    <row r="4051" customFormat="false" ht="15" hidden="false" customHeight="false" outlineLevel="0" collapsed="false">
      <c r="A4051" s="15" t="n">
        <v>46191</v>
      </c>
      <c r="B4051" s="14" t="s">
        <v>69</v>
      </c>
      <c r="C4051" s="14" t="s">
        <v>70</v>
      </c>
      <c r="D4051" s="14" t="s">
        <v>71</v>
      </c>
      <c r="E4051" s="14" t="s">
        <v>45</v>
      </c>
      <c r="F4051" s="14" t="s">
        <v>46</v>
      </c>
      <c r="G4051" s="14" t="s">
        <v>47</v>
      </c>
      <c r="H4051" s="0" t="n">
        <v>5</v>
      </c>
      <c r="I4051" s="16" t="n">
        <v>43.4</v>
      </c>
      <c r="J4051" s="16" t="n">
        <v>18</v>
      </c>
      <c r="K4051" s="16" t="n">
        <f aca="false">H4051*I4051</f>
        <v>217</v>
      </c>
      <c r="L4051" s="16" t="n">
        <f aca="false">H4051*J4051</f>
        <v>90</v>
      </c>
      <c r="M4051" s="16" t="n">
        <f aca="false">K4051-L4051</f>
        <v>127</v>
      </c>
      <c r="N4051" s="17" t="n">
        <f aca="false">IFERROR(M4051/K4051,0)</f>
        <v>0.585253456221198</v>
      </c>
    </row>
    <row r="4052" customFormat="false" ht="15" hidden="false" customHeight="false" outlineLevel="0" collapsed="false">
      <c r="A4052" s="15" t="n">
        <v>46191</v>
      </c>
      <c r="B4052" s="14" t="s">
        <v>69</v>
      </c>
      <c r="C4052" s="14" t="s">
        <v>70</v>
      </c>
      <c r="D4052" s="14" t="s">
        <v>71</v>
      </c>
      <c r="E4052" s="14" t="s">
        <v>45</v>
      </c>
      <c r="F4052" s="14" t="s">
        <v>72</v>
      </c>
      <c r="G4052" s="14" t="s">
        <v>73</v>
      </c>
      <c r="H4052" s="0" t="n">
        <v>5</v>
      </c>
      <c r="I4052" s="16" t="n">
        <v>51.08</v>
      </c>
      <c r="J4052" s="16" t="n">
        <v>21</v>
      </c>
      <c r="K4052" s="16" t="n">
        <f aca="false">H4052*I4052</f>
        <v>255.4</v>
      </c>
      <c r="L4052" s="16" t="n">
        <f aca="false">H4052*J4052</f>
        <v>105</v>
      </c>
      <c r="M4052" s="16" t="n">
        <f aca="false">K4052-L4052</f>
        <v>150.4</v>
      </c>
      <c r="N4052" s="17" t="n">
        <f aca="false">IFERROR(M4052/K4052,0)</f>
        <v>0.588880187940486</v>
      </c>
    </row>
    <row r="4053" customFormat="false" ht="15" hidden="false" customHeight="false" outlineLevel="0" collapsed="false">
      <c r="A4053" s="15" t="n">
        <v>46191</v>
      </c>
      <c r="B4053" s="14" t="s">
        <v>69</v>
      </c>
      <c r="C4053" s="14" t="s">
        <v>70</v>
      </c>
      <c r="D4053" s="14" t="s">
        <v>71</v>
      </c>
      <c r="E4053" s="14" t="s">
        <v>45</v>
      </c>
      <c r="F4053" s="14" t="s">
        <v>62</v>
      </c>
      <c r="G4053" s="14" t="s">
        <v>63</v>
      </c>
      <c r="H4053" s="0" t="n">
        <v>5</v>
      </c>
      <c r="I4053" s="16" t="n">
        <v>17.87</v>
      </c>
      <c r="J4053" s="16" t="n">
        <v>6.5</v>
      </c>
      <c r="K4053" s="16" t="n">
        <f aca="false">H4053*I4053</f>
        <v>89.35</v>
      </c>
      <c r="L4053" s="16" t="n">
        <f aca="false">H4053*J4053</f>
        <v>32.5</v>
      </c>
      <c r="M4053" s="16" t="n">
        <f aca="false">K4053-L4053</f>
        <v>56.85</v>
      </c>
      <c r="N4053" s="17" t="n">
        <f aca="false">IFERROR(M4053/K4053,0)</f>
        <v>0.636261891438165</v>
      </c>
    </row>
    <row r="4054" customFormat="false" ht="15" hidden="false" customHeight="false" outlineLevel="0" collapsed="false">
      <c r="A4054" s="15" t="n">
        <v>46191</v>
      </c>
      <c r="B4054" s="14" t="s">
        <v>69</v>
      </c>
      <c r="C4054" s="14" t="s">
        <v>70</v>
      </c>
      <c r="D4054" s="14" t="s">
        <v>71</v>
      </c>
      <c r="E4054" s="14" t="s">
        <v>76</v>
      </c>
      <c r="F4054" s="14" t="s">
        <v>102</v>
      </c>
      <c r="G4054" s="14" t="s">
        <v>103</v>
      </c>
      <c r="H4054" s="0" t="n">
        <v>8</v>
      </c>
      <c r="I4054" s="16" t="n">
        <v>22.36</v>
      </c>
      <c r="J4054" s="16" t="n">
        <v>8.5</v>
      </c>
      <c r="K4054" s="16" t="n">
        <f aca="false">H4054*I4054</f>
        <v>178.88</v>
      </c>
      <c r="L4054" s="16" t="n">
        <f aca="false">H4054*J4054</f>
        <v>68</v>
      </c>
      <c r="M4054" s="16" t="n">
        <f aca="false">K4054-L4054</f>
        <v>110.88</v>
      </c>
      <c r="N4054" s="17" t="n">
        <f aca="false">IFERROR(M4054/K4054,0)</f>
        <v>0.619856887298748</v>
      </c>
    </row>
    <row r="4055" customFormat="false" ht="15" hidden="false" customHeight="false" outlineLevel="0" collapsed="false">
      <c r="A4055" s="15" t="n">
        <v>46191</v>
      </c>
      <c r="B4055" s="14" t="s">
        <v>81</v>
      </c>
      <c r="C4055" s="14" t="s">
        <v>82</v>
      </c>
      <c r="D4055" s="14" t="s">
        <v>83</v>
      </c>
      <c r="E4055" s="14" t="s">
        <v>56</v>
      </c>
      <c r="F4055" s="14" t="s">
        <v>98</v>
      </c>
      <c r="G4055" s="14" t="s">
        <v>99</v>
      </c>
      <c r="H4055" s="0" t="n">
        <v>5</v>
      </c>
      <c r="I4055" s="16" t="n">
        <v>20.8</v>
      </c>
      <c r="J4055" s="16" t="n">
        <v>8</v>
      </c>
      <c r="K4055" s="16" t="n">
        <f aca="false">H4055*I4055</f>
        <v>104</v>
      </c>
      <c r="L4055" s="16" t="n">
        <f aca="false">H4055*J4055</f>
        <v>40</v>
      </c>
      <c r="M4055" s="16" t="n">
        <f aca="false">K4055-L4055</f>
        <v>64</v>
      </c>
      <c r="N4055" s="17" t="n">
        <f aca="false">IFERROR(M4055/K4055,0)</f>
        <v>0.615384615384615</v>
      </c>
    </row>
    <row r="4056" customFormat="false" ht="15" hidden="false" customHeight="false" outlineLevel="0" collapsed="false">
      <c r="A4056" s="15" t="n">
        <v>46191</v>
      </c>
      <c r="B4056" s="14" t="s">
        <v>81</v>
      </c>
      <c r="C4056" s="14" t="s">
        <v>82</v>
      </c>
      <c r="D4056" s="14" t="s">
        <v>83</v>
      </c>
      <c r="E4056" s="14" t="s">
        <v>45</v>
      </c>
      <c r="F4056" s="14" t="s">
        <v>62</v>
      </c>
      <c r="G4056" s="14" t="s">
        <v>63</v>
      </c>
      <c r="H4056" s="0" t="n">
        <v>4</v>
      </c>
      <c r="I4056" s="16" t="n">
        <v>16.95</v>
      </c>
      <c r="J4056" s="16" t="n">
        <v>6.5</v>
      </c>
      <c r="K4056" s="16" t="n">
        <f aca="false">H4056*I4056</f>
        <v>67.8</v>
      </c>
      <c r="L4056" s="16" t="n">
        <f aca="false">H4056*J4056</f>
        <v>26</v>
      </c>
      <c r="M4056" s="16" t="n">
        <f aca="false">K4056-L4056</f>
        <v>41.8</v>
      </c>
      <c r="N4056" s="17" t="n">
        <f aca="false">IFERROR(M4056/K4056,0)</f>
        <v>0.616519174041298</v>
      </c>
    </row>
    <row r="4057" customFormat="false" ht="15" hidden="false" customHeight="false" outlineLevel="0" collapsed="false">
      <c r="A4057" s="15" t="n">
        <v>46191</v>
      </c>
      <c r="B4057" s="14" t="s">
        <v>88</v>
      </c>
      <c r="C4057" s="14" t="s">
        <v>89</v>
      </c>
      <c r="D4057" s="14" t="s">
        <v>44</v>
      </c>
      <c r="E4057" s="14" t="s">
        <v>64</v>
      </c>
      <c r="F4057" s="14" t="s">
        <v>90</v>
      </c>
      <c r="G4057" s="14" t="s">
        <v>91</v>
      </c>
      <c r="H4057" s="0" t="n">
        <v>2</v>
      </c>
      <c r="I4057" s="16" t="n">
        <v>11.49</v>
      </c>
      <c r="J4057" s="16" t="n">
        <v>3.5</v>
      </c>
      <c r="K4057" s="16" t="n">
        <f aca="false">H4057*I4057</f>
        <v>22.98</v>
      </c>
      <c r="L4057" s="16" t="n">
        <f aca="false">H4057*J4057</f>
        <v>7</v>
      </c>
      <c r="M4057" s="16" t="n">
        <f aca="false">K4057-L4057</f>
        <v>15.98</v>
      </c>
      <c r="N4057" s="17" t="n">
        <f aca="false">IFERROR(M4057/K4057,0)</f>
        <v>0.69538729329852</v>
      </c>
    </row>
    <row r="4058" customFormat="false" ht="15" hidden="false" customHeight="false" outlineLevel="0" collapsed="false">
      <c r="A4058" s="15" t="n">
        <v>46191</v>
      </c>
      <c r="B4058" s="14" t="s">
        <v>88</v>
      </c>
      <c r="C4058" s="14" t="s">
        <v>89</v>
      </c>
      <c r="D4058" s="14" t="s">
        <v>44</v>
      </c>
      <c r="E4058" s="14" t="s">
        <v>64</v>
      </c>
      <c r="F4058" s="14" t="s">
        <v>65</v>
      </c>
      <c r="G4058" s="14" t="s">
        <v>66</v>
      </c>
      <c r="H4058" s="0" t="n">
        <v>3</v>
      </c>
      <c r="I4058" s="16" t="n">
        <v>77.11</v>
      </c>
      <c r="J4058" s="16" t="n">
        <v>34</v>
      </c>
      <c r="K4058" s="16" t="n">
        <f aca="false">H4058*I4058</f>
        <v>231.33</v>
      </c>
      <c r="L4058" s="16" t="n">
        <f aca="false">H4058*J4058</f>
        <v>102</v>
      </c>
      <c r="M4058" s="16" t="n">
        <f aca="false">K4058-L4058</f>
        <v>129.33</v>
      </c>
      <c r="N4058" s="17" t="n">
        <f aca="false">IFERROR(M4058/K4058,0)</f>
        <v>0.559071456361043</v>
      </c>
    </row>
    <row r="4059" customFormat="false" ht="15" hidden="false" customHeight="false" outlineLevel="0" collapsed="false">
      <c r="A4059" s="15" t="n">
        <v>46191</v>
      </c>
      <c r="B4059" s="14" t="s">
        <v>88</v>
      </c>
      <c r="C4059" s="14" t="s">
        <v>89</v>
      </c>
      <c r="D4059" s="14" t="s">
        <v>44</v>
      </c>
      <c r="E4059" s="14" t="s">
        <v>56</v>
      </c>
      <c r="F4059" s="14" t="s">
        <v>98</v>
      </c>
      <c r="G4059" s="14" t="s">
        <v>99</v>
      </c>
      <c r="H4059" s="0" t="n">
        <v>1</v>
      </c>
      <c r="I4059" s="16" t="n">
        <v>21.76</v>
      </c>
      <c r="J4059" s="16" t="n">
        <v>8</v>
      </c>
      <c r="K4059" s="16" t="n">
        <f aca="false">H4059*I4059</f>
        <v>21.76</v>
      </c>
      <c r="L4059" s="16" t="n">
        <f aca="false">H4059*J4059</f>
        <v>8</v>
      </c>
      <c r="M4059" s="16" t="n">
        <f aca="false">K4059-L4059</f>
        <v>13.76</v>
      </c>
      <c r="N4059" s="17" t="n">
        <f aca="false">IFERROR(M4059/K4059,0)</f>
        <v>0.632352941176471</v>
      </c>
    </row>
    <row r="4060" customFormat="false" ht="15" hidden="false" customHeight="false" outlineLevel="0" collapsed="false">
      <c r="A4060" s="15" t="n">
        <v>46191</v>
      </c>
      <c r="B4060" s="14" t="s">
        <v>88</v>
      </c>
      <c r="C4060" s="14" t="s">
        <v>89</v>
      </c>
      <c r="D4060" s="14" t="s">
        <v>44</v>
      </c>
      <c r="E4060" s="14" t="s">
        <v>64</v>
      </c>
      <c r="F4060" s="14" t="s">
        <v>96</v>
      </c>
      <c r="G4060" s="14" t="s">
        <v>97</v>
      </c>
      <c r="H4060" s="0" t="n">
        <v>2</v>
      </c>
      <c r="I4060" s="16" t="n">
        <v>55.56</v>
      </c>
      <c r="J4060" s="16" t="n">
        <v>24</v>
      </c>
      <c r="K4060" s="16" t="n">
        <f aca="false">H4060*I4060</f>
        <v>111.12</v>
      </c>
      <c r="L4060" s="16" t="n">
        <f aca="false">H4060*J4060</f>
        <v>48</v>
      </c>
      <c r="M4060" s="16" t="n">
        <f aca="false">K4060-L4060</f>
        <v>63.12</v>
      </c>
      <c r="N4060" s="17" t="n">
        <f aca="false">IFERROR(M4060/K4060,0)</f>
        <v>0.568034557235421</v>
      </c>
    </row>
    <row r="4061" customFormat="false" ht="15" hidden="false" customHeight="false" outlineLevel="0" collapsed="false">
      <c r="A4061" s="15" t="n">
        <v>46191</v>
      </c>
      <c r="B4061" s="14" t="s">
        <v>88</v>
      </c>
      <c r="C4061" s="14" t="s">
        <v>89</v>
      </c>
      <c r="D4061" s="14" t="s">
        <v>44</v>
      </c>
      <c r="E4061" s="14" t="s">
        <v>64</v>
      </c>
      <c r="F4061" s="14" t="s">
        <v>94</v>
      </c>
      <c r="G4061" s="14" t="s">
        <v>95</v>
      </c>
      <c r="H4061" s="0" t="n">
        <v>8</v>
      </c>
      <c r="I4061" s="16" t="n">
        <v>95.17</v>
      </c>
      <c r="J4061" s="16" t="n">
        <v>42</v>
      </c>
      <c r="K4061" s="16" t="n">
        <f aca="false">H4061*I4061</f>
        <v>761.36</v>
      </c>
      <c r="L4061" s="16" t="n">
        <f aca="false">H4061*J4061</f>
        <v>336</v>
      </c>
      <c r="M4061" s="16" t="n">
        <f aca="false">K4061-L4061</f>
        <v>425.36</v>
      </c>
      <c r="N4061" s="17" t="n">
        <f aca="false">IFERROR(M4061/K4061,0)</f>
        <v>0.558684459388463</v>
      </c>
    </row>
    <row r="4062" customFormat="false" ht="15" hidden="false" customHeight="false" outlineLevel="0" collapsed="false">
      <c r="A4062" s="15" t="n">
        <v>46191</v>
      </c>
      <c r="B4062" s="14" t="s">
        <v>88</v>
      </c>
      <c r="C4062" s="14" t="s">
        <v>89</v>
      </c>
      <c r="D4062" s="14" t="s">
        <v>44</v>
      </c>
      <c r="E4062" s="14" t="s">
        <v>45</v>
      </c>
      <c r="F4062" s="14" t="s">
        <v>62</v>
      </c>
      <c r="G4062" s="14" t="s">
        <v>63</v>
      </c>
      <c r="H4062" s="0" t="n">
        <v>6</v>
      </c>
      <c r="I4062" s="16" t="n">
        <v>17.46</v>
      </c>
      <c r="J4062" s="16" t="n">
        <v>6.5</v>
      </c>
      <c r="K4062" s="16" t="n">
        <f aca="false">H4062*I4062</f>
        <v>104.76</v>
      </c>
      <c r="L4062" s="16" t="n">
        <f aca="false">H4062*J4062</f>
        <v>39</v>
      </c>
      <c r="M4062" s="16" t="n">
        <f aca="false">K4062-L4062</f>
        <v>65.76</v>
      </c>
      <c r="N4062" s="17" t="n">
        <f aca="false">IFERROR(M4062/K4062,0)</f>
        <v>0.627720504009164</v>
      </c>
    </row>
    <row r="4063" customFormat="false" ht="15" hidden="false" customHeight="false" outlineLevel="0" collapsed="false">
      <c r="A4063" s="15" t="n">
        <v>46192</v>
      </c>
      <c r="B4063" s="14" t="s">
        <v>42</v>
      </c>
      <c r="C4063" s="14" t="s">
        <v>43</v>
      </c>
      <c r="D4063" s="14" t="s">
        <v>44</v>
      </c>
      <c r="E4063" s="14" t="s">
        <v>64</v>
      </c>
      <c r="F4063" s="14" t="s">
        <v>94</v>
      </c>
      <c r="G4063" s="14" t="s">
        <v>95</v>
      </c>
      <c r="H4063" s="0" t="n">
        <v>10</v>
      </c>
      <c r="I4063" s="16" t="n">
        <v>95.96</v>
      </c>
      <c r="J4063" s="16" t="n">
        <v>42</v>
      </c>
      <c r="K4063" s="16" t="n">
        <f aca="false">H4063*I4063</f>
        <v>959.6</v>
      </c>
      <c r="L4063" s="16" t="n">
        <f aca="false">H4063*J4063</f>
        <v>420</v>
      </c>
      <c r="M4063" s="16" t="n">
        <f aca="false">K4063-L4063</f>
        <v>539.6</v>
      </c>
      <c r="N4063" s="17" t="n">
        <f aca="false">IFERROR(M4063/K4063,0)</f>
        <v>0.562317632346811</v>
      </c>
    </row>
    <row r="4064" customFormat="false" ht="15" hidden="false" customHeight="false" outlineLevel="0" collapsed="false">
      <c r="A4064" s="15" t="n">
        <v>46192</v>
      </c>
      <c r="B4064" s="14" t="s">
        <v>42</v>
      </c>
      <c r="C4064" s="14" t="s">
        <v>43</v>
      </c>
      <c r="D4064" s="14" t="s">
        <v>44</v>
      </c>
      <c r="E4064" s="14" t="s">
        <v>56</v>
      </c>
      <c r="F4064" s="14" t="s">
        <v>86</v>
      </c>
      <c r="G4064" s="14" t="s">
        <v>87</v>
      </c>
      <c r="H4064" s="0" t="n">
        <v>9</v>
      </c>
      <c r="I4064" s="16" t="n">
        <v>14.64</v>
      </c>
      <c r="J4064" s="16" t="n">
        <v>5</v>
      </c>
      <c r="K4064" s="16" t="n">
        <f aca="false">H4064*I4064</f>
        <v>131.76</v>
      </c>
      <c r="L4064" s="16" t="n">
        <f aca="false">H4064*J4064</f>
        <v>45</v>
      </c>
      <c r="M4064" s="16" t="n">
        <f aca="false">K4064-L4064</f>
        <v>86.76</v>
      </c>
      <c r="N4064" s="17" t="n">
        <f aca="false">IFERROR(M4064/K4064,0)</f>
        <v>0.658469945355191</v>
      </c>
    </row>
    <row r="4065" customFormat="false" ht="15" hidden="false" customHeight="false" outlineLevel="0" collapsed="false">
      <c r="A4065" s="15" t="n">
        <v>46192</v>
      </c>
      <c r="B4065" s="14" t="s">
        <v>42</v>
      </c>
      <c r="C4065" s="14" t="s">
        <v>43</v>
      </c>
      <c r="D4065" s="14" t="s">
        <v>44</v>
      </c>
      <c r="E4065" s="14" t="s">
        <v>56</v>
      </c>
      <c r="F4065" s="14" t="s">
        <v>57</v>
      </c>
      <c r="G4065" s="14" t="s">
        <v>58</v>
      </c>
      <c r="H4065" s="0" t="n">
        <v>6</v>
      </c>
      <c r="I4065" s="16" t="n">
        <v>26.85</v>
      </c>
      <c r="J4065" s="16" t="n">
        <v>10</v>
      </c>
      <c r="K4065" s="16" t="n">
        <f aca="false">H4065*I4065</f>
        <v>161.1</v>
      </c>
      <c r="L4065" s="16" t="n">
        <f aca="false">H4065*J4065</f>
        <v>60</v>
      </c>
      <c r="M4065" s="16" t="n">
        <f aca="false">K4065-L4065</f>
        <v>101.1</v>
      </c>
      <c r="N4065" s="17" t="n">
        <f aca="false">IFERROR(M4065/K4065,0)</f>
        <v>0.62756052141527</v>
      </c>
    </row>
    <row r="4066" customFormat="false" ht="15" hidden="false" customHeight="false" outlineLevel="0" collapsed="false">
      <c r="A4066" s="15" t="n">
        <v>46192</v>
      </c>
      <c r="B4066" s="14" t="s">
        <v>42</v>
      </c>
      <c r="C4066" s="14" t="s">
        <v>43</v>
      </c>
      <c r="D4066" s="14" t="s">
        <v>44</v>
      </c>
      <c r="E4066" s="14" t="s">
        <v>64</v>
      </c>
      <c r="F4066" s="14" t="s">
        <v>94</v>
      </c>
      <c r="G4066" s="14" t="s">
        <v>95</v>
      </c>
      <c r="H4066" s="0" t="n">
        <v>3</v>
      </c>
      <c r="I4066" s="16" t="n">
        <v>93.67</v>
      </c>
      <c r="J4066" s="16" t="n">
        <v>42</v>
      </c>
      <c r="K4066" s="16" t="n">
        <f aca="false">H4066*I4066</f>
        <v>281.01</v>
      </c>
      <c r="L4066" s="16" t="n">
        <f aca="false">H4066*J4066</f>
        <v>126</v>
      </c>
      <c r="M4066" s="16" t="n">
        <f aca="false">K4066-L4066</f>
        <v>155.01</v>
      </c>
      <c r="N4066" s="17" t="n">
        <f aca="false">IFERROR(M4066/K4066,0)</f>
        <v>0.551617380164407</v>
      </c>
    </row>
    <row r="4067" customFormat="false" ht="15" hidden="false" customHeight="false" outlineLevel="0" collapsed="false">
      <c r="A4067" s="15" t="n">
        <v>46192</v>
      </c>
      <c r="B4067" s="14" t="s">
        <v>42</v>
      </c>
      <c r="C4067" s="14" t="s">
        <v>43</v>
      </c>
      <c r="D4067" s="14" t="s">
        <v>44</v>
      </c>
      <c r="E4067" s="14" t="s">
        <v>56</v>
      </c>
      <c r="F4067" s="14" t="s">
        <v>67</v>
      </c>
      <c r="G4067" s="14" t="s">
        <v>68</v>
      </c>
      <c r="H4067" s="0" t="n">
        <v>7</v>
      </c>
      <c r="I4067" s="16" t="n">
        <v>37.4</v>
      </c>
      <c r="J4067" s="16" t="n">
        <v>15</v>
      </c>
      <c r="K4067" s="16" t="n">
        <f aca="false">H4067*I4067</f>
        <v>261.8</v>
      </c>
      <c r="L4067" s="16" t="n">
        <f aca="false">H4067*J4067</f>
        <v>105</v>
      </c>
      <c r="M4067" s="16" t="n">
        <f aca="false">K4067-L4067</f>
        <v>156.8</v>
      </c>
      <c r="N4067" s="17" t="n">
        <f aca="false">IFERROR(M4067/K4067,0)</f>
        <v>0.598930481283423</v>
      </c>
    </row>
    <row r="4068" customFormat="false" ht="15" hidden="false" customHeight="false" outlineLevel="0" collapsed="false">
      <c r="A4068" s="15" t="n">
        <v>46192</v>
      </c>
      <c r="B4068" s="14" t="s">
        <v>50</v>
      </c>
      <c r="C4068" s="14" t="s">
        <v>51</v>
      </c>
      <c r="D4068" s="14" t="s">
        <v>52</v>
      </c>
      <c r="E4068" s="14" t="s">
        <v>45</v>
      </c>
      <c r="F4068" s="14" t="s">
        <v>48</v>
      </c>
      <c r="G4068" s="14" t="s">
        <v>49</v>
      </c>
      <c r="H4068" s="0" t="n">
        <v>3</v>
      </c>
      <c r="I4068" s="16" t="n">
        <v>66.49</v>
      </c>
      <c r="J4068" s="16" t="n">
        <v>27.5</v>
      </c>
      <c r="K4068" s="16" t="n">
        <f aca="false">H4068*I4068</f>
        <v>199.47</v>
      </c>
      <c r="L4068" s="16" t="n">
        <f aca="false">H4068*J4068</f>
        <v>82.5</v>
      </c>
      <c r="M4068" s="16" t="n">
        <f aca="false">K4068-L4068</f>
        <v>116.97</v>
      </c>
      <c r="N4068" s="17" t="n">
        <f aca="false">IFERROR(M4068/K4068,0)</f>
        <v>0.586403970521883</v>
      </c>
    </row>
    <row r="4069" customFormat="false" ht="15" hidden="false" customHeight="false" outlineLevel="0" collapsed="false">
      <c r="A4069" s="15" t="n">
        <v>46192</v>
      </c>
      <c r="B4069" s="14" t="s">
        <v>50</v>
      </c>
      <c r="C4069" s="14" t="s">
        <v>51</v>
      </c>
      <c r="D4069" s="14" t="s">
        <v>52</v>
      </c>
      <c r="E4069" s="14" t="s">
        <v>53</v>
      </c>
      <c r="F4069" s="14" t="s">
        <v>74</v>
      </c>
      <c r="G4069" s="14" t="s">
        <v>75</v>
      </c>
      <c r="H4069" s="0" t="n">
        <v>12</v>
      </c>
      <c r="I4069" s="16" t="n">
        <v>88.96</v>
      </c>
      <c r="J4069" s="16" t="n">
        <v>38</v>
      </c>
      <c r="K4069" s="16" t="n">
        <f aca="false">H4069*I4069</f>
        <v>1067.52</v>
      </c>
      <c r="L4069" s="16" t="n">
        <f aca="false">H4069*J4069</f>
        <v>456</v>
      </c>
      <c r="M4069" s="16" t="n">
        <f aca="false">K4069-L4069</f>
        <v>611.52</v>
      </c>
      <c r="N4069" s="17" t="n">
        <f aca="false">IFERROR(M4069/K4069,0)</f>
        <v>0.572841726618705</v>
      </c>
    </row>
    <row r="4070" customFormat="false" ht="15" hidden="false" customHeight="false" outlineLevel="0" collapsed="false">
      <c r="A4070" s="15" t="n">
        <v>46192</v>
      </c>
      <c r="B4070" s="14" t="s">
        <v>59</v>
      </c>
      <c r="C4070" s="14" t="s">
        <v>60</v>
      </c>
      <c r="D4070" s="14" t="s">
        <v>61</v>
      </c>
      <c r="E4070" s="14" t="s">
        <v>64</v>
      </c>
      <c r="F4070" s="14" t="s">
        <v>65</v>
      </c>
      <c r="G4070" s="14" t="s">
        <v>66</v>
      </c>
      <c r="H4070" s="0" t="n">
        <v>6</v>
      </c>
      <c r="I4070" s="16" t="n">
        <v>73.4</v>
      </c>
      <c r="J4070" s="16" t="n">
        <v>34</v>
      </c>
      <c r="K4070" s="16" t="n">
        <f aca="false">H4070*I4070</f>
        <v>440.4</v>
      </c>
      <c r="L4070" s="16" t="n">
        <f aca="false">H4070*J4070</f>
        <v>204</v>
      </c>
      <c r="M4070" s="16" t="n">
        <f aca="false">K4070-L4070</f>
        <v>236.4</v>
      </c>
      <c r="N4070" s="17" t="n">
        <f aca="false">IFERROR(M4070/K4070,0)</f>
        <v>0.536784741144414</v>
      </c>
    </row>
    <row r="4071" customFormat="false" ht="15" hidden="false" customHeight="false" outlineLevel="0" collapsed="false">
      <c r="A4071" s="15" t="n">
        <v>46192</v>
      </c>
      <c r="B4071" s="14" t="s">
        <v>59</v>
      </c>
      <c r="C4071" s="14" t="s">
        <v>60</v>
      </c>
      <c r="D4071" s="14" t="s">
        <v>61</v>
      </c>
      <c r="E4071" s="14" t="s">
        <v>64</v>
      </c>
      <c r="F4071" s="14" t="s">
        <v>65</v>
      </c>
      <c r="G4071" s="14" t="s">
        <v>66</v>
      </c>
      <c r="H4071" s="0" t="n">
        <v>7</v>
      </c>
      <c r="I4071" s="16" t="n">
        <v>77</v>
      </c>
      <c r="J4071" s="16" t="n">
        <v>34</v>
      </c>
      <c r="K4071" s="16" t="n">
        <f aca="false">H4071*I4071</f>
        <v>539</v>
      </c>
      <c r="L4071" s="16" t="n">
        <f aca="false">H4071*J4071</f>
        <v>238</v>
      </c>
      <c r="M4071" s="16" t="n">
        <f aca="false">K4071-L4071</f>
        <v>301</v>
      </c>
      <c r="N4071" s="17" t="n">
        <f aca="false">IFERROR(M4071/K4071,0)</f>
        <v>0.558441558441558</v>
      </c>
    </row>
    <row r="4072" customFormat="false" ht="15" hidden="false" customHeight="false" outlineLevel="0" collapsed="false">
      <c r="A4072" s="15" t="n">
        <v>46192</v>
      </c>
      <c r="B4072" s="14" t="s">
        <v>59</v>
      </c>
      <c r="C4072" s="14" t="s">
        <v>60</v>
      </c>
      <c r="D4072" s="14" t="s">
        <v>61</v>
      </c>
      <c r="E4072" s="14" t="s">
        <v>45</v>
      </c>
      <c r="F4072" s="14" t="s">
        <v>62</v>
      </c>
      <c r="G4072" s="14" t="s">
        <v>63</v>
      </c>
      <c r="H4072" s="0" t="n">
        <v>6</v>
      </c>
      <c r="I4072" s="16" t="n">
        <v>16.86</v>
      </c>
      <c r="J4072" s="16" t="n">
        <v>6.5</v>
      </c>
      <c r="K4072" s="16" t="n">
        <f aca="false">H4072*I4072</f>
        <v>101.16</v>
      </c>
      <c r="L4072" s="16" t="n">
        <f aca="false">H4072*J4072</f>
        <v>39</v>
      </c>
      <c r="M4072" s="16" t="n">
        <f aca="false">K4072-L4072</f>
        <v>62.16</v>
      </c>
      <c r="N4072" s="17" t="n">
        <f aca="false">IFERROR(M4072/K4072,0)</f>
        <v>0.614472123368921</v>
      </c>
    </row>
    <row r="4073" customFormat="false" ht="15" hidden="false" customHeight="false" outlineLevel="0" collapsed="false">
      <c r="A4073" s="15" t="n">
        <v>46192</v>
      </c>
      <c r="B4073" s="14" t="s">
        <v>69</v>
      </c>
      <c r="C4073" s="14" t="s">
        <v>70</v>
      </c>
      <c r="D4073" s="14" t="s">
        <v>71</v>
      </c>
      <c r="E4073" s="14" t="s">
        <v>53</v>
      </c>
      <c r="F4073" s="14" t="s">
        <v>84</v>
      </c>
      <c r="G4073" s="14" t="s">
        <v>85</v>
      </c>
      <c r="H4073" s="0" t="n">
        <v>3</v>
      </c>
      <c r="I4073" s="16" t="n">
        <v>23.2</v>
      </c>
      <c r="J4073" s="16" t="n">
        <v>9</v>
      </c>
      <c r="K4073" s="16" t="n">
        <f aca="false">H4073*I4073</f>
        <v>69.6</v>
      </c>
      <c r="L4073" s="16" t="n">
        <f aca="false">H4073*J4073</f>
        <v>27</v>
      </c>
      <c r="M4073" s="16" t="n">
        <f aca="false">K4073-L4073</f>
        <v>42.6</v>
      </c>
      <c r="N4073" s="17" t="n">
        <f aca="false">IFERROR(M4073/K4073,0)</f>
        <v>0.612068965517241</v>
      </c>
    </row>
    <row r="4074" customFormat="false" ht="15" hidden="false" customHeight="false" outlineLevel="0" collapsed="false">
      <c r="A4074" s="15" t="n">
        <v>46192</v>
      </c>
      <c r="B4074" s="14" t="s">
        <v>69</v>
      </c>
      <c r="C4074" s="14" t="s">
        <v>70</v>
      </c>
      <c r="D4074" s="14" t="s">
        <v>71</v>
      </c>
      <c r="E4074" s="14" t="s">
        <v>56</v>
      </c>
      <c r="F4074" s="14" t="s">
        <v>67</v>
      </c>
      <c r="G4074" s="14" t="s">
        <v>68</v>
      </c>
      <c r="H4074" s="0" t="n">
        <v>5</v>
      </c>
      <c r="I4074" s="16" t="n">
        <v>36.09</v>
      </c>
      <c r="J4074" s="16" t="n">
        <v>15</v>
      </c>
      <c r="K4074" s="16" t="n">
        <f aca="false">H4074*I4074</f>
        <v>180.45</v>
      </c>
      <c r="L4074" s="16" t="n">
        <f aca="false">H4074*J4074</f>
        <v>75</v>
      </c>
      <c r="M4074" s="16" t="n">
        <f aca="false">K4074-L4074</f>
        <v>105.45</v>
      </c>
      <c r="N4074" s="17" t="n">
        <f aca="false">IFERROR(M4074/K4074,0)</f>
        <v>0.584372402327515</v>
      </c>
    </row>
    <row r="4075" customFormat="false" ht="15" hidden="false" customHeight="false" outlineLevel="0" collapsed="false">
      <c r="A4075" s="15" t="n">
        <v>46192</v>
      </c>
      <c r="B4075" s="14" t="s">
        <v>69</v>
      </c>
      <c r="C4075" s="14" t="s">
        <v>70</v>
      </c>
      <c r="D4075" s="14" t="s">
        <v>71</v>
      </c>
      <c r="E4075" s="14" t="s">
        <v>45</v>
      </c>
      <c r="F4075" s="14" t="s">
        <v>72</v>
      </c>
      <c r="G4075" s="14" t="s">
        <v>73</v>
      </c>
      <c r="H4075" s="0" t="n">
        <v>6</v>
      </c>
      <c r="I4075" s="16" t="n">
        <v>47.87</v>
      </c>
      <c r="J4075" s="16" t="n">
        <v>21</v>
      </c>
      <c r="K4075" s="16" t="n">
        <f aca="false">H4075*I4075</f>
        <v>287.22</v>
      </c>
      <c r="L4075" s="16" t="n">
        <f aca="false">H4075*J4075</f>
        <v>126</v>
      </c>
      <c r="M4075" s="16" t="n">
        <f aca="false">K4075-L4075</f>
        <v>161.22</v>
      </c>
      <c r="N4075" s="17" t="n">
        <f aca="false">IFERROR(M4075/K4075,0)</f>
        <v>0.561311886358889</v>
      </c>
    </row>
    <row r="4076" customFormat="false" ht="15" hidden="false" customHeight="false" outlineLevel="0" collapsed="false">
      <c r="A4076" s="15" t="n">
        <v>46192</v>
      </c>
      <c r="B4076" s="14" t="s">
        <v>69</v>
      </c>
      <c r="C4076" s="14" t="s">
        <v>70</v>
      </c>
      <c r="D4076" s="14" t="s">
        <v>71</v>
      </c>
      <c r="E4076" s="14" t="s">
        <v>45</v>
      </c>
      <c r="F4076" s="14" t="s">
        <v>46</v>
      </c>
      <c r="G4076" s="14" t="s">
        <v>47</v>
      </c>
      <c r="H4076" s="0" t="n">
        <v>2</v>
      </c>
      <c r="I4076" s="16" t="n">
        <v>42.48</v>
      </c>
      <c r="J4076" s="16" t="n">
        <v>18</v>
      </c>
      <c r="K4076" s="16" t="n">
        <f aca="false">H4076*I4076</f>
        <v>84.96</v>
      </c>
      <c r="L4076" s="16" t="n">
        <f aca="false">H4076*J4076</f>
        <v>36</v>
      </c>
      <c r="M4076" s="16" t="n">
        <f aca="false">K4076-L4076</f>
        <v>48.96</v>
      </c>
      <c r="N4076" s="17" t="n">
        <f aca="false">IFERROR(M4076/K4076,0)</f>
        <v>0.576271186440678</v>
      </c>
    </row>
    <row r="4077" customFormat="false" ht="15" hidden="false" customHeight="false" outlineLevel="0" collapsed="false">
      <c r="A4077" s="15" t="n">
        <v>46192</v>
      </c>
      <c r="B4077" s="14" t="s">
        <v>81</v>
      </c>
      <c r="C4077" s="14" t="s">
        <v>82</v>
      </c>
      <c r="D4077" s="14" t="s">
        <v>83</v>
      </c>
      <c r="E4077" s="14" t="s">
        <v>76</v>
      </c>
      <c r="F4077" s="14" t="s">
        <v>77</v>
      </c>
      <c r="G4077" s="14" t="s">
        <v>78</v>
      </c>
      <c r="H4077" s="0" t="n">
        <v>1</v>
      </c>
      <c r="I4077" s="16" t="n">
        <v>39.63</v>
      </c>
      <c r="J4077" s="16" t="n">
        <v>15</v>
      </c>
      <c r="K4077" s="16" t="n">
        <f aca="false">H4077*I4077</f>
        <v>39.63</v>
      </c>
      <c r="L4077" s="16" t="n">
        <f aca="false">H4077*J4077</f>
        <v>15</v>
      </c>
      <c r="M4077" s="16" t="n">
        <f aca="false">K4077-L4077</f>
        <v>24.63</v>
      </c>
      <c r="N4077" s="17" t="n">
        <f aca="false">IFERROR(M4077/K4077,0)</f>
        <v>0.621498864496594</v>
      </c>
    </row>
    <row r="4078" customFormat="false" ht="15" hidden="false" customHeight="false" outlineLevel="0" collapsed="false">
      <c r="A4078" s="15" t="n">
        <v>46192</v>
      </c>
      <c r="B4078" s="14" t="s">
        <v>81</v>
      </c>
      <c r="C4078" s="14" t="s">
        <v>82</v>
      </c>
      <c r="D4078" s="14" t="s">
        <v>83</v>
      </c>
      <c r="E4078" s="14" t="s">
        <v>64</v>
      </c>
      <c r="F4078" s="14" t="s">
        <v>90</v>
      </c>
      <c r="G4078" s="14" t="s">
        <v>91</v>
      </c>
      <c r="H4078" s="0" t="n">
        <v>4</v>
      </c>
      <c r="I4078" s="16" t="n">
        <v>11.79</v>
      </c>
      <c r="J4078" s="16" t="n">
        <v>3.5</v>
      </c>
      <c r="K4078" s="16" t="n">
        <f aca="false">H4078*I4078</f>
        <v>47.16</v>
      </c>
      <c r="L4078" s="16" t="n">
        <f aca="false">H4078*J4078</f>
        <v>14</v>
      </c>
      <c r="M4078" s="16" t="n">
        <f aca="false">K4078-L4078</f>
        <v>33.16</v>
      </c>
      <c r="N4078" s="17" t="n">
        <f aca="false">IFERROR(M4078/K4078,0)</f>
        <v>0.703138252756573</v>
      </c>
    </row>
    <row r="4079" customFormat="false" ht="15" hidden="false" customHeight="false" outlineLevel="0" collapsed="false">
      <c r="A4079" s="15" t="n">
        <v>46192</v>
      </c>
      <c r="B4079" s="14" t="s">
        <v>81</v>
      </c>
      <c r="C4079" s="14" t="s">
        <v>82</v>
      </c>
      <c r="D4079" s="14" t="s">
        <v>83</v>
      </c>
      <c r="E4079" s="14" t="s">
        <v>56</v>
      </c>
      <c r="F4079" s="14" t="s">
        <v>57</v>
      </c>
      <c r="G4079" s="14" t="s">
        <v>58</v>
      </c>
      <c r="H4079" s="0" t="n">
        <v>5</v>
      </c>
      <c r="I4079" s="16" t="n">
        <v>25.91</v>
      </c>
      <c r="J4079" s="16" t="n">
        <v>10</v>
      </c>
      <c r="K4079" s="16" t="n">
        <f aca="false">H4079*I4079</f>
        <v>129.55</v>
      </c>
      <c r="L4079" s="16" t="n">
        <f aca="false">H4079*J4079</f>
        <v>50</v>
      </c>
      <c r="M4079" s="16" t="n">
        <f aca="false">K4079-L4079</f>
        <v>79.55</v>
      </c>
      <c r="N4079" s="17" t="n">
        <f aca="false">IFERROR(M4079/K4079,0)</f>
        <v>0.614048629872636</v>
      </c>
    </row>
    <row r="4080" customFormat="false" ht="15" hidden="false" customHeight="false" outlineLevel="0" collapsed="false">
      <c r="A4080" s="15" t="n">
        <v>46192</v>
      </c>
      <c r="B4080" s="14" t="s">
        <v>81</v>
      </c>
      <c r="C4080" s="14" t="s">
        <v>82</v>
      </c>
      <c r="D4080" s="14" t="s">
        <v>83</v>
      </c>
      <c r="E4080" s="14" t="s">
        <v>45</v>
      </c>
      <c r="F4080" s="14" t="s">
        <v>46</v>
      </c>
      <c r="G4080" s="14" t="s">
        <v>47</v>
      </c>
      <c r="H4080" s="0" t="n">
        <v>5</v>
      </c>
      <c r="I4080" s="16" t="n">
        <v>42.34</v>
      </c>
      <c r="J4080" s="16" t="n">
        <v>18</v>
      </c>
      <c r="K4080" s="16" t="n">
        <f aca="false">H4080*I4080</f>
        <v>211.7</v>
      </c>
      <c r="L4080" s="16" t="n">
        <f aca="false">H4080*J4080</f>
        <v>90</v>
      </c>
      <c r="M4080" s="16" t="n">
        <f aca="false">K4080-L4080</f>
        <v>121.7</v>
      </c>
      <c r="N4080" s="17" t="n">
        <f aca="false">IFERROR(M4080/K4080,0)</f>
        <v>0.574870099196977</v>
      </c>
    </row>
    <row r="4081" customFormat="false" ht="15" hidden="false" customHeight="false" outlineLevel="0" collapsed="false">
      <c r="A4081" s="15" t="n">
        <v>46192</v>
      </c>
      <c r="B4081" s="14" t="s">
        <v>81</v>
      </c>
      <c r="C4081" s="14" t="s">
        <v>82</v>
      </c>
      <c r="D4081" s="14" t="s">
        <v>83</v>
      </c>
      <c r="E4081" s="14" t="s">
        <v>45</v>
      </c>
      <c r="F4081" s="14" t="s">
        <v>46</v>
      </c>
      <c r="G4081" s="14" t="s">
        <v>47</v>
      </c>
      <c r="H4081" s="0" t="n">
        <v>4</v>
      </c>
      <c r="I4081" s="16" t="n">
        <v>42.92</v>
      </c>
      <c r="J4081" s="16" t="n">
        <v>18</v>
      </c>
      <c r="K4081" s="16" t="n">
        <f aca="false">H4081*I4081</f>
        <v>171.68</v>
      </c>
      <c r="L4081" s="16" t="n">
        <f aca="false">H4081*J4081</f>
        <v>72</v>
      </c>
      <c r="M4081" s="16" t="n">
        <f aca="false">K4081-L4081</f>
        <v>99.68</v>
      </c>
      <c r="N4081" s="17" t="n">
        <f aca="false">IFERROR(M4081/K4081,0)</f>
        <v>0.580615097856477</v>
      </c>
    </row>
    <row r="4082" customFormat="false" ht="15" hidden="false" customHeight="false" outlineLevel="0" collapsed="false">
      <c r="A4082" s="15" t="n">
        <v>46192</v>
      </c>
      <c r="B4082" s="14" t="s">
        <v>81</v>
      </c>
      <c r="C4082" s="14" t="s">
        <v>82</v>
      </c>
      <c r="D4082" s="14" t="s">
        <v>83</v>
      </c>
      <c r="E4082" s="14" t="s">
        <v>76</v>
      </c>
      <c r="F4082" s="14" t="s">
        <v>100</v>
      </c>
      <c r="G4082" s="14" t="s">
        <v>101</v>
      </c>
      <c r="H4082" s="0" t="n">
        <v>7</v>
      </c>
      <c r="I4082" s="16" t="n">
        <v>15.16</v>
      </c>
      <c r="J4082" s="16" t="n">
        <v>5.5</v>
      </c>
      <c r="K4082" s="16" t="n">
        <f aca="false">H4082*I4082</f>
        <v>106.12</v>
      </c>
      <c r="L4082" s="16" t="n">
        <f aca="false">H4082*J4082</f>
        <v>38.5</v>
      </c>
      <c r="M4082" s="16" t="n">
        <f aca="false">K4082-L4082</f>
        <v>67.62</v>
      </c>
      <c r="N4082" s="17" t="n">
        <f aca="false">IFERROR(M4082/K4082,0)</f>
        <v>0.637203166226913</v>
      </c>
    </row>
    <row r="4083" customFormat="false" ht="15" hidden="false" customHeight="false" outlineLevel="0" collapsed="false">
      <c r="A4083" s="15" t="n">
        <v>46192</v>
      </c>
      <c r="B4083" s="14" t="s">
        <v>88</v>
      </c>
      <c r="C4083" s="14" t="s">
        <v>89</v>
      </c>
      <c r="D4083" s="14" t="s">
        <v>44</v>
      </c>
      <c r="E4083" s="14" t="s">
        <v>56</v>
      </c>
      <c r="F4083" s="14" t="s">
        <v>57</v>
      </c>
      <c r="G4083" s="14" t="s">
        <v>58</v>
      </c>
      <c r="H4083" s="0" t="n">
        <v>5</v>
      </c>
      <c r="I4083" s="16" t="n">
        <v>26.5</v>
      </c>
      <c r="J4083" s="16" t="n">
        <v>10</v>
      </c>
      <c r="K4083" s="16" t="n">
        <f aca="false">H4083*I4083</f>
        <v>132.5</v>
      </c>
      <c r="L4083" s="16" t="n">
        <f aca="false">H4083*J4083</f>
        <v>50</v>
      </c>
      <c r="M4083" s="16" t="n">
        <f aca="false">K4083-L4083</f>
        <v>82.5</v>
      </c>
      <c r="N4083" s="17" t="n">
        <f aca="false">IFERROR(M4083/K4083,0)</f>
        <v>0.622641509433962</v>
      </c>
    </row>
    <row r="4084" customFormat="false" ht="15" hidden="false" customHeight="false" outlineLevel="0" collapsed="false">
      <c r="A4084" s="15" t="n">
        <v>46192</v>
      </c>
      <c r="B4084" s="14" t="s">
        <v>88</v>
      </c>
      <c r="C4084" s="14" t="s">
        <v>89</v>
      </c>
      <c r="D4084" s="14" t="s">
        <v>44</v>
      </c>
      <c r="E4084" s="14" t="s">
        <v>53</v>
      </c>
      <c r="F4084" s="14" t="s">
        <v>54</v>
      </c>
      <c r="G4084" s="14" t="s">
        <v>55</v>
      </c>
      <c r="H4084" s="0" t="n">
        <v>1</v>
      </c>
      <c r="I4084" s="16" t="n">
        <v>52.47</v>
      </c>
      <c r="J4084" s="16" t="n">
        <v>22</v>
      </c>
      <c r="K4084" s="16" t="n">
        <f aca="false">H4084*I4084</f>
        <v>52.47</v>
      </c>
      <c r="L4084" s="16" t="n">
        <f aca="false">H4084*J4084</f>
        <v>22</v>
      </c>
      <c r="M4084" s="16" t="n">
        <f aca="false">K4084-L4084</f>
        <v>30.47</v>
      </c>
      <c r="N4084" s="17" t="n">
        <f aca="false">IFERROR(M4084/K4084,0)</f>
        <v>0.580712788259958</v>
      </c>
    </row>
    <row r="4085" customFormat="false" ht="15" hidden="false" customHeight="false" outlineLevel="0" collapsed="false">
      <c r="A4085" s="15" t="n">
        <v>46193</v>
      </c>
      <c r="B4085" s="14" t="s">
        <v>42</v>
      </c>
      <c r="C4085" s="14" t="s">
        <v>43</v>
      </c>
      <c r="D4085" s="14" t="s">
        <v>44</v>
      </c>
      <c r="E4085" s="14" t="s">
        <v>76</v>
      </c>
      <c r="F4085" s="14" t="s">
        <v>102</v>
      </c>
      <c r="G4085" s="14" t="s">
        <v>103</v>
      </c>
      <c r="H4085" s="0" t="n">
        <v>13</v>
      </c>
      <c r="I4085" s="16" t="n">
        <v>23.76</v>
      </c>
      <c r="J4085" s="16" t="n">
        <v>8.5</v>
      </c>
      <c r="K4085" s="16" t="n">
        <f aca="false">H4085*I4085</f>
        <v>308.88</v>
      </c>
      <c r="L4085" s="16" t="n">
        <f aca="false">H4085*J4085</f>
        <v>110.5</v>
      </c>
      <c r="M4085" s="16" t="n">
        <f aca="false">K4085-L4085</f>
        <v>198.38</v>
      </c>
      <c r="N4085" s="17" t="n">
        <f aca="false">IFERROR(M4085/K4085,0)</f>
        <v>0.642255892255892</v>
      </c>
    </row>
    <row r="4086" customFormat="false" ht="15" hidden="false" customHeight="false" outlineLevel="0" collapsed="false">
      <c r="A4086" s="15" t="n">
        <v>46193</v>
      </c>
      <c r="B4086" s="14" t="s">
        <v>42</v>
      </c>
      <c r="C4086" s="14" t="s">
        <v>43</v>
      </c>
      <c r="D4086" s="14" t="s">
        <v>44</v>
      </c>
      <c r="E4086" s="14" t="s">
        <v>53</v>
      </c>
      <c r="F4086" s="14" t="s">
        <v>54</v>
      </c>
      <c r="G4086" s="14" t="s">
        <v>55</v>
      </c>
      <c r="H4086" s="0" t="n">
        <v>15</v>
      </c>
      <c r="I4086" s="16" t="n">
        <v>52.08</v>
      </c>
      <c r="J4086" s="16" t="n">
        <v>22</v>
      </c>
      <c r="K4086" s="16" t="n">
        <f aca="false">H4086*I4086</f>
        <v>781.2</v>
      </c>
      <c r="L4086" s="16" t="n">
        <f aca="false">H4086*J4086</f>
        <v>330</v>
      </c>
      <c r="M4086" s="16" t="n">
        <f aca="false">K4086-L4086</f>
        <v>451.2</v>
      </c>
      <c r="N4086" s="17" t="n">
        <f aca="false">IFERROR(M4086/K4086,0)</f>
        <v>0.577572964669739</v>
      </c>
    </row>
    <row r="4087" customFormat="false" ht="15" hidden="false" customHeight="false" outlineLevel="0" collapsed="false">
      <c r="A4087" s="15" t="n">
        <v>46193</v>
      </c>
      <c r="B4087" s="14" t="s">
        <v>42</v>
      </c>
      <c r="C4087" s="14" t="s">
        <v>43</v>
      </c>
      <c r="D4087" s="14" t="s">
        <v>44</v>
      </c>
      <c r="E4087" s="14" t="s">
        <v>76</v>
      </c>
      <c r="F4087" s="14" t="s">
        <v>79</v>
      </c>
      <c r="G4087" s="14" t="s">
        <v>80</v>
      </c>
      <c r="H4087" s="0" t="n">
        <v>4</v>
      </c>
      <c r="I4087" s="16" t="n">
        <v>28.55</v>
      </c>
      <c r="J4087" s="16" t="n">
        <v>11</v>
      </c>
      <c r="K4087" s="16" t="n">
        <f aca="false">H4087*I4087</f>
        <v>114.2</v>
      </c>
      <c r="L4087" s="16" t="n">
        <f aca="false">H4087*J4087</f>
        <v>44</v>
      </c>
      <c r="M4087" s="16" t="n">
        <f aca="false">K4087-L4087</f>
        <v>70.2</v>
      </c>
      <c r="N4087" s="17" t="n">
        <f aca="false">IFERROR(M4087/K4087,0)</f>
        <v>0.614711033274956</v>
      </c>
    </row>
    <row r="4088" customFormat="false" ht="15" hidden="false" customHeight="false" outlineLevel="0" collapsed="false">
      <c r="A4088" s="15" t="n">
        <v>46193</v>
      </c>
      <c r="B4088" s="14" t="s">
        <v>50</v>
      </c>
      <c r="C4088" s="14" t="s">
        <v>51</v>
      </c>
      <c r="D4088" s="14" t="s">
        <v>52</v>
      </c>
      <c r="E4088" s="14" t="s">
        <v>56</v>
      </c>
      <c r="F4088" s="14" t="s">
        <v>67</v>
      </c>
      <c r="G4088" s="14" t="s">
        <v>68</v>
      </c>
      <c r="H4088" s="0" t="n">
        <v>5</v>
      </c>
      <c r="I4088" s="16" t="n">
        <v>37.77</v>
      </c>
      <c r="J4088" s="16" t="n">
        <v>15</v>
      </c>
      <c r="K4088" s="16" t="n">
        <f aca="false">H4088*I4088</f>
        <v>188.85</v>
      </c>
      <c r="L4088" s="16" t="n">
        <f aca="false">H4088*J4088</f>
        <v>75</v>
      </c>
      <c r="M4088" s="16" t="n">
        <f aca="false">K4088-L4088</f>
        <v>113.85</v>
      </c>
      <c r="N4088" s="17" t="n">
        <f aca="false">IFERROR(M4088/K4088,0)</f>
        <v>0.60285941223193</v>
      </c>
    </row>
    <row r="4089" customFormat="false" ht="15" hidden="false" customHeight="false" outlineLevel="0" collapsed="false">
      <c r="A4089" s="15" t="n">
        <v>46193</v>
      </c>
      <c r="B4089" s="14" t="s">
        <v>50</v>
      </c>
      <c r="C4089" s="14" t="s">
        <v>51</v>
      </c>
      <c r="D4089" s="14" t="s">
        <v>52</v>
      </c>
      <c r="E4089" s="14" t="s">
        <v>45</v>
      </c>
      <c r="F4089" s="14" t="s">
        <v>72</v>
      </c>
      <c r="G4089" s="14" t="s">
        <v>73</v>
      </c>
      <c r="H4089" s="0" t="n">
        <v>4</v>
      </c>
      <c r="I4089" s="16" t="n">
        <v>51.4</v>
      </c>
      <c r="J4089" s="16" t="n">
        <v>21</v>
      </c>
      <c r="K4089" s="16" t="n">
        <f aca="false">H4089*I4089</f>
        <v>205.6</v>
      </c>
      <c r="L4089" s="16" t="n">
        <f aca="false">H4089*J4089</f>
        <v>84</v>
      </c>
      <c r="M4089" s="16" t="n">
        <f aca="false">K4089-L4089</f>
        <v>121.6</v>
      </c>
      <c r="N4089" s="17" t="n">
        <f aca="false">IFERROR(M4089/K4089,0)</f>
        <v>0.591439688715953</v>
      </c>
    </row>
    <row r="4090" customFormat="false" ht="15" hidden="false" customHeight="false" outlineLevel="0" collapsed="false">
      <c r="A4090" s="15" t="n">
        <v>46193</v>
      </c>
      <c r="B4090" s="14" t="s">
        <v>50</v>
      </c>
      <c r="C4090" s="14" t="s">
        <v>51</v>
      </c>
      <c r="D4090" s="14" t="s">
        <v>52</v>
      </c>
      <c r="E4090" s="14" t="s">
        <v>45</v>
      </c>
      <c r="F4090" s="14" t="s">
        <v>62</v>
      </c>
      <c r="G4090" s="14" t="s">
        <v>63</v>
      </c>
      <c r="H4090" s="0" t="n">
        <v>4</v>
      </c>
      <c r="I4090" s="16" t="n">
        <v>16.98</v>
      </c>
      <c r="J4090" s="16" t="n">
        <v>6.5</v>
      </c>
      <c r="K4090" s="16" t="n">
        <f aca="false">H4090*I4090</f>
        <v>67.92</v>
      </c>
      <c r="L4090" s="16" t="n">
        <f aca="false">H4090*J4090</f>
        <v>26</v>
      </c>
      <c r="M4090" s="16" t="n">
        <f aca="false">K4090-L4090</f>
        <v>41.92</v>
      </c>
      <c r="N4090" s="17" t="n">
        <f aca="false">IFERROR(M4090/K4090,0)</f>
        <v>0.617196702002356</v>
      </c>
    </row>
    <row r="4091" customFormat="false" ht="15" hidden="false" customHeight="false" outlineLevel="0" collapsed="false">
      <c r="A4091" s="15" t="n">
        <v>46193</v>
      </c>
      <c r="B4091" s="14" t="s">
        <v>50</v>
      </c>
      <c r="C4091" s="14" t="s">
        <v>51</v>
      </c>
      <c r="D4091" s="14" t="s">
        <v>52</v>
      </c>
      <c r="E4091" s="14" t="s">
        <v>64</v>
      </c>
      <c r="F4091" s="14" t="s">
        <v>90</v>
      </c>
      <c r="G4091" s="14" t="s">
        <v>91</v>
      </c>
      <c r="H4091" s="0" t="n">
        <v>12</v>
      </c>
      <c r="I4091" s="16" t="n">
        <v>11.71</v>
      </c>
      <c r="J4091" s="16" t="n">
        <v>3.5</v>
      </c>
      <c r="K4091" s="16" t="n">
        <f aca="false">H4091*I4091</f>
        <v>140.52</v>
      </c>
      <c r="L4091" s="16" t="n">
        <f aca="false">H4091*J4091</f>
        <v>42</v>
      </c>
      <c r="M4091" s="16" t="n">
        <f aca="false">K4091-L4091</f>
        <v>98.52</v>
      </c>
      <c r="N4091" s="17" t="n">
        <f aca="false">IFERROR(M4091/K4091,0)</f>
        <v>0.701110162254483</v>
      </c>
    </row>
    <row r="4092" customFormat="false" ht="15" hidden="false" customHeight="false" outlineLevel="0" collapsed="false">
      <c r="A4092" s="15" t="n">
        <v>46193</v>
      </c>
      <c r="B4092" s="14" t="s">
        <v>59</v>
      </c>
      <c r="C4092" s="14" t="s">
        <v>60</v>
      </c>
      <c r="D4092" s="14" t="s">
        <v>61</v>
      </c>
      <c r="E4092" s="14" t="s">
        <v>76</v>
      </c>
      <c r="F4092" s="14" t="s">
        <v>100</v>
      </c>
      <c r="G4092" s="14" t="s">
        <v>101</v>
      </c>
      <c r="H4092" s="0" t="n">
        <v>4</v>
      </c>
      <c r="I4092" s="16" t="n">
        <v>15.7</v>
      </c>
      <c r="J4092" s="16" t="n">
        <v>5.5</v>
      </c>
      <c r="K4092" s="16" t="n">
        <f aca="false">H4092*I4092</f>
        <v>62.8</v>
      </c>
      <c r="L4092" s="16" t="n">
        <f aca="false">H4092*J4092</f>
        <v>22</v>
      </c>
      <c r="M4092" s="16" t="n">
        <f aca="false">K4092-L4092</f>
        <v>40.8</v>
      </c>
      <c r="N4092" s="17" t="n">
        <f aca="false">IFERROR(M4092/K4092,0)</f>
        <v>0.64968152866242</v>
      </c>
    </row>
    <row r="4093" customFormat="false" ht="15" hidden="false" customHeight="false" outlineLevel="0" collapsed="false">
      <c r="A4093" s="15" t="n">
        <v>46193</v>
      </c>
      <c r="B4093" s="14" t="s">
        <v>59</v>
      </c>
      <c r="C4093" s="14" t="s">
        <v>60</v>
      </c>
      <c r="D4093" s="14" t="s">
        <v>61</v>
      </c>
      <c r="E4093" s="14" t="s">
        <v>56</v>
      </c>
      <c r="F4093" s="14" t="s">
        <v>98</v>
      </c>
      <c r="G4093" s="14" t="s">
        <v>99</v>
      </c>
      <c r="H4093" s="0" t="n">
        <v>7</v>
      </c>
      <c r="I4093" s="16" t="n">
        <v>20.29</v>
      </c>
      <c r="J4093" s="16" t="n">
        <v>8</v>
      </c>
      <c r="K4093" s="16" t="n">
        <f aca="false">H4093*I4093</f>
        <v>142.03</v>
      </c>
      <c r="L4093" s="16" t="n">
        <f aca="false">H4093*J4093</f>
        <v>56</v>
      </c>
      <c r="M4093" s="16" t="n">
        <f aca="false">K4093-L4093</f>
        <v>86.03</v>
      </c>
      <c r="N4093" s="17" t="n">
        <f aca="false">IFERROR(M4093/K4093,0)</f>
        <v>0.6057171020207</v>
      </c>
    </row>
    <row r="4094" customFormat="false" ht="15" hidden="false" customHeight="false" outlineLevel="0" collapsed="false">
      <c r="A4094" s="15" t="n">
        <v>46193</v>
      </c>
      <c r="B4094" s="14" t="s">
        <v>59</v>
      </c>
      <c r="C4094" s="14" t="s">
        <v>60</v>
      </c>
      <c r="D4094" s="14" t="s">
        <v>61</v>
      </c>
      <c r="E4094" s="14" t="s">
        <v>45</v>
      </c>
      <c r="F4094" s="14" t="s">
        <v>62</v>
      </c>
      <c r="G4094" s="14" t="s">
        <v>63</v>
      </c>
      <c r="H4094" s="0" t="n">
        <v>5</v>
      </c>
      <c r="I4094" s="16" t="n">
        <v>17.58</v>
      </c>
      <c r="J4094" s="16" t="n">
        <v>6.5</v>
      </c>
      <c r="K4094" s="16" t="n">
        <f aca="false">H4094*I4094</f>
        <v>87.9</v>
      </c>
      <c r="L4094" s="16" t="n">
        <f aca="false">H4094*J4094</f>
        <v>32.5</v>
      </c>
      <c r="M4094" s="16" t="n">
        <f aca="false">K4094-L4094</f>
        <v>55.4</v>
      </c>
      <c r="N4094" s="17" t="n">
        <f aca="false">IFERROR(M4094/K4094,0)</f>
        <v>0.630261660978385</v>
      </c>
    </row>
    <row r="4095" customFormat="false" ht="15" hidden="false" customHeight="false" outlineLevel="0" collapsed="false">
      <c r="A4095" s="15" t="n">
        <v>46193</v>
      </c>
      <c r="B4095" s="14" t="s">
        <v>59</v>
      </c>
      <c r="C4095" s="14" t="s">
        <v>60</v>
      </c>
      <c r="D4095" s="14" t="s">
        <v>61</v>
      </c>
      <c r="E4095" s="14" t="s">
        <v>45</v>
      </c>
      <c r="F4095" s="14" t="s">
        <v>48</v>
      </c>
      <c r="G4095" s="14" t="s">
        <v>49</v>
      </c>
      <c r="H4095" s="0" t="n">
        <v>6</v>
      </c>
      <c r="I4095" s="16" t="n">
        <v>67.51</v>
      </c>
      <c r="J4095" s="16" t="n">
        <v>27.5</v>
      </c>
      <c r="K4095" s="16" t="n">
        <f aca="false">H4095*I4095</f>
        <v>405.06</v>
      </c>
      <c r="L4095" s="16" t="n">
        <f aca="false">H4095*J4095</f>
        <v>165</v>
      </c>
      <c r="M4095" s="16" t="n">
        <f aca="false">K4095-L4095</f>
        <v>240.06</v>
      </c>
      <c r="N4095" s="17" t="n">
        <f aca="false">IFERROR(M4095/K4095,0)</f>
        <v>0.59265294030514</v>
      </c>
    </row>
    <row r="4096" customFormat="false" ht="15" hidden="false" customHeight="false" outlineLevel="0" collapsed="false">
      <c r="A4096" s="15" t="n">
        <v>46193</v>
      </c>
      <c r="B4096" s="14" t="s">
        <v>59</v>
      </c>
      <c r="C4096" s="14" t="s">
        <v>60</v>
      </c>
      <c r="D4096" s="14" t="s">
        <v>61</v>
      </c>
      <c r="E4096" s="14" t="s">
        <v>56</v>
      </c>
      <c r="F4096" s="14" t="s">
        <v>67</v>
      </c>
      <c r="G4096" s="14" t="s">
        <v>68</v>
      </c>
      <c r="H4096" s="0" t="n">
        <v>7</v>
      </c>
      <c r="I4096" s="16" t="n">
        <v>37.98</v>
      </c>
      <c r="J4096" s="16" t="n">
        <v>15</v>
      </c>
      <c r="K4096" s="16" t="n">
        <f aca="false">H4096*I4096</f>
        <v>265.86</v>
      </c>
      <c r="L4096" s="16" t="n">
        <f aca="false">H4096*J4096</f>
        <v>105</v>
      </c>
      <c r="M4096" s="16" t="n">
        <f aca="false">K4096-L4096</f>
        <v>160.86</v>
      </c>
      <c r="N4096" s="17" t="n">
        <f aca="false">IFERROR(M4096/K4096,0)</f>
        <v>0.605055292259084</v>
      </c>
    </row>
    <row r="4097" customFormat="false" ht="15" hidden="false" customHeight="false" outlineLevel="0" collapsed="false">
      <c r="A4097" s="15" t="n">
        <v>46193</v>
      </c>
      <c r="B4097" s="14" t="s">
        <v>69</v>
      </c>
      <c r="C4097" s="14" t="s">
        <v>70</v>
      </c>
      <c r="D4097" s="14" t="s">
        <v>71</v>
      </c>
      <c r="E4097" s="14" t="s">
        <v>56</v>
      </c>
      <c r="F4097" s="14" t="s">
        <v>98</v>
      </c>
      <c r="G4097" s="14" t="s">
        <v>99</v>
      </c>
      <c r="H4097" s="0" t="n">
        <v>2</v>
      </c>
      <c r="I4097" s="16" t="n">
        <v>21.08</v>
      </c>
      <c r="J4097" s="16" t="n">
        <v>8</v>
      </c>
      <c r="K4097" s="16" t="n">
        <f aca="false">H4097*I4097</f>
        <v>42.16</v>
      </c>
      <c r="L4097" s="16" t="n">
        <f aca="false">H4097*J4097</f>
        <v>16</v>
      </c>
      <c r="M4097" s="16" t="n">
        <f aca="false">K4097-L4097</f>
        <v>26.16</v>
      </c>
      <c r="N4097" s="17" t="n">
        <f aca="false">IFERROR(M4097/K4097,0)</f>
        <v>0.620493358633776</v>
      </c>
    </row>
    <row r="4098" customFormat="false" ht="15" hidden="false" customHeight="false" outlineLevel="0" collapsed="false">
      <c r="A4098" s="15" t="n">
        <v>46193</v>
      </c>
      <c r="B4098" s="14" t="s">
        <v>69</v>
      </c>
      <c r="C4098" s="14" t="s">
        <v>70</v>
      </c>
      <c r="D4098" s="14" t="s">
        <v>71</v>
      </c>
      <c r="E4098" s="14" t="s">
        <v>56</v>
      </c>
      <c r="F4098" s="14" t="s">
        <v>57</v>
      </c>
      <c r="G4098" s="14" t="s">
        <v>58</v>
      </c>
      <c r="H4098" s="0" t="n">
        <v>8</v>
      </c>
      <c r="I4098" s="16" t="n">
        <v>26.38</v>
      </c>
      <c r="J4098" s="16" t="n">
        <v>10</v>
      </c>
      <c r="K4098" s="16" t="n">
        <f aca="false">H4098*I4098</f>
        <v>211.04</v>
      </c>
      <c r="L4098" s="16" t="n">
        <f aca="false">H4098*J4098</f>
        <v>80</v>
      </c>
      <c r="M4098" s="16" t="n">
        <f aca="false">K4098-L4098</f>
        <v>131.04</v>
      </c>
      <c r="N4098" s="17" t="n">
        <f aca="false">IFERROR(M4098/K4098,0)</f>
        <v>0.620924943138742</v>
      </c>
    </row>
    <row r="4099" customFormat="false" ht="15" hidden="false" customHeight="false" outlineLevel="0" collapsed="false">
      <c r="A4099" s="15" t="n">
        <v>46193</v>
      </c>
      <c r="B4099" s="14" t="s">
        <v>81</v>
      </c>
      <c r="C4099" s="14" t="s">
        <v>82</v>
      </c>
      <c r="D4099" s="14" t="s">
        <v>83</v>
      </c>
      <c r="E4099" s="14" t="s">
        <v>53</v>
      </c>
      <c r="F4099" s="14" t="s">
        <v>54</v>
      </c>
      <c r="G4099" s="14" t="s">
        <v>55</v>
      </c>
      <c r="H4099" s="0" t="n">
        <v>2</v>
      </c>
      <c r="I4099" s="16" t="n">
        <v>51.36</v>
      </c>
      <c r="J4099" s="16" t="n">
        <v>22</v>
      </c>
      <c r="K4099" s="16" t="n">
        <f aca="false">H4099*I4099</f>
        <v>102.72</v>
      </c>
      <c r="L4099" s="16" t="n">
        <f aca="false">H4099*J4099</f>
        <v>44</v>
      </c>
      <c r="M4099" s="16" t="n">
        <f aca="false">K4099-L4099</f>
        <v>58.72</v>
      </c>
      <c r="N4099" s="17" t="n">
        <f aca="false">IFERROR(M4099/K4099,0)</f>
        <v>0.571651090342679</v>
      </c>
    </row>
    <row r="4100" customFormat="false" ht="15" hidden="false" customHeight="false" outlineLevel="0" collapsed="false">
      <c r="A4100" s="15" t="n">
        <v>46193</v>
      </c>
      <c r="B4100" s="14" t="s">
        <v>81</v>
      </c>
      <c r="C4100" s="14" t="s">
        <v>82</v>
      </c>
      <c r="D4100" s="14" t="s">
        <v>83</v>
      </c>
      <c r="E4100" s="14" t="s">
        <v>56</v>
      </c>
      <c r="F4100" s="14" t="s">
        <v>67</v>
      </c>
      <c r="G4100" s="14" t="s">
        <v>68</v>
      </c>
      <c r="H4100" s="0" t="n">
        <v>7</v>
      </c>
      <c r="I4100" s="16" t="n">
        <v>37.79</v>
      </c>
      <c r="J4100" s="16" t="n">
        <v>15</v>
      </c>
      <c r="K4100" s="16" t="n">
        <f aca="false">H4100*I4100</f>
        <v>264.53</v>
      </c>
      <c r="L4100" s="16" t="n">
        <f aca="false">H4100*J4100</f>
        <v>105</v>
      </c>
      <c r="M4100" s="16" t="n">
        <f aca="false">K4100-L4100</f>
        <v>159.53</v>
      </c>
      <c r="N4100" s="17" t="n">
        <f aca="false">IFERROR(M4100/K4100,0)</f>
        <v>0.603069595130987</v>
      </c>
    </row>
    <row r="4101" customFormat="false" ht="15" hidden="false" customHeight="false" outlineLevel="0" collapsed="false">
      <c r="A4101" s="15" t="n">
        <v>46193</v>
      </c>
      <c r="B4101" s="14" t="s">
        <v>81</v>
      </c>
      <c r="C4101" s="14" t="s">
        <v>82</v>
      </c>
      <c r="D4101" s="14" t="s">
        <v>83</v>
      </c>
      <c r="E4101" s="14" t="s">
        <v>45</v>
      </c>
      <c r="F4101" s="14" t="s">
        <v>46</v>
      </c>
      <c r="G4101" s="14" t="s">
        <v>47</v>
      </c>
      <c r="H4101" s="0" t="n">
        <v>7</v>
      </c>
      <c r="I4101" s="16" t="n">
        <v>41.89</v>
      </c>
      <c r="J4101" s="16" t="n">
        <v>18</v>
      </c>
      <c r="K4101" s="16" t="n">
        <f aca="false">H4101*I4101</f>
        <v>293.23</v>
      </c>
      <c r="L4101" s="16" t="n">
        <f aca="false">H4101*J4101</f>
        <v>126</v>
      </c>
      <c r="M4101" s="16" t="n">
        <f aca="false">K4101-L4101</f>
        <v>167.23</v>
      </c>
      <c r="N4101" s="17" t="n">
        <f aca="false">IFERROR(M4101/K4101,0)</f>
        <v>0.570303174982096</v>
      </c>
    </row>
    <row r="4102" customFormat="false" ht="15" hidden="false" customHeight="false" outlineLevel="0" collapsed="false">
      <c r="A4102" s="15" t="n">
        <v>46193</v>
      </c>
      <c r="B4102" s="14" t="s">
        <v>81</v>
      </c>
      <c r="C4102" s="14" t="s">
        <v>82</v>
      </c>
      <c r="D4102" s="14" t="s">
        <v>83</v>
      </c>
      <c r="E4102" s="14" t="s">
        <v>64</v>
      </c>
      <c r="F4102" s="14" t="s">
        <v>94</v>
      </c>
      <c r="G4102" s="14" t="s">
        <v>95</v>
      </c>
      <c r="H4102" s="0" t="n">
        <v>3</v>
      </c>
      <c r="I4102" s="16" t="n">
        <v>96.14</v>
      </c>
      <c r="J4102" s="16" t="n">
        <v>42</v>
      </c>
      <c r="K4102" s="16" t="n">
        <f aca="false">H4102*I4102</f>
        <v>288.42</v>
      </c>
      <c r="L4102" s="16" t="n">
        <f aca="false">H4102*J4102</f>
        <v>126</v>
      </c>
      <c r="M4102" s="16" t="n">
        <f aca="false">K4102-L4102</f>
        <v>162.42</v>
      </c>
      <c r="N4102" s="17" t="n">
        <f aca="false">IFERROR(M4102/K4102,0)</f>
        <v>0.563137091741211</v>
      </c>
    </row>
    <row r="4103" customFormat="false" ht="15" hidden="false" customHeight="false" outlineLevel="0" collapsed="false">
      <c r="A4103" s="15" t="n">
        <v>46193</v>
      </c>
      <c r="B4103" s="14" t="s">
        <v>81</v>
      </c>
      <c r="C4103" s="14" t="s">
        <v>82</v>
      </c>
      <c r="D4103" s="14" t="s">
        <v>83</v>
      </c>
      <c r="E4103" s="14" t="s">
        <v>64</v>
      </c>
      <c r="F4103" s="14" t="s">
        <v>65</v>
      </c>
      <c r="G4103" s="14" t="s">
        <v>66</v>
      </c>
      <c r="H4103" s="0" t="n">
        <v>3</v>
      </c>
      <c r="I4103" s="16" t="n">
        <v>77.3</v>
      </c>
      <c r="J4103" s="16" t="n">
        <v>34</v>
      </c>
      <c r="K4103" s="16" t="n">
        <f aca="false">H4103*I4103</f>
        <v>231.9</v>
      </c>
      <c r="L4103" s="16" t="n">
        <f aca="false">H4103*J4103</f>
        <v>102</v>
      </c>
      <c r="M4103" s="16" t="n">
        <f aca="false">K4103-L4103</f>
        <v>129.9</v>
      </c>
      <c r="N4103" s="17" t="n">
        <f aca="false">IFERROR(M4103/K4103,0)</f>
        <v>0.560155239327296</v>
      </c>
    </row>
    <row r="4104" customFormat="false" ht="15" hidden="false" customHeight="false" outlineLevel="0" collapsed="false">
      <c r="A4104" s="15" t="n">
        <v>46193</v>
      </c>
      <c r="B4104" s="14" t="s">
        <v>81</v>
      </c>
      <c r="C4104" s="14" t="s">
        <v>82</v>
      </c>
      <c r="D4104" s="14" t="s">
        <v>83</v>
      </c>
      <c r="E4104" s="14" t="s">
        <v>53</v>
      </c>
      <c r="F4104" s="14" t="s">
        <v>74</v>
      </c>
      <c r="G4104" s="14" t="s">
        <v>75</v>
      </c>
      <c r="H4104" s="0" t="n">
        <v>5</v>
      </c>
      <c r="I4104" s="16" t="n">
        <v>85.64</v>
      </c>
      <c r="J4104" s="16" t="n">
        <v>38</v>
      </c>
      <c r="K4104" s="16" t="n">
        <f aca="false">H4104*I4104</f>
        <v>428.2</v>
      </c>
      <c r="L4104" s="16" t="n">
        <f aca="false">H4104*J4104</f>
        <v>190</v>
      </c>
      <c r="M4104" s="16" t="n">
        <f aca="false">K4104-L4104</f>
        <v>238.2</v>
      </c>
      <c r="N4104" s="17" t="n">
        <f aca="false">IFERROR(M4104/K4104,0)</f>
        <v>0.556282111163008</v>
      </c>
    </row>
    <row r="4105" customFormat="false" ht="15" hidden="false" customHeight="false" outlineLevel="0" collapsed="false">
      <c r="A4105" s="15" t="n">
        <v>46193</v>
      </c>
      <c r="B4105" s="14" t="s">
        <v>88</v>
      </c>
      <c r="C4105" s="14" t="s">
        <v>89</v>
      </c>
      <c r="D4105" s="14" t="s">
        <v>44</v>
      </c>
      <c r="E4105" s="14" t="s">
        <v>64</v>
      </c>
      <c r="F4105" s="14" t="s">
        <v>94</v>
      </c>
      <c r="G4105" s="14" t="s">
        <v>95</v>
      </c>
      <c r="H4105" s="0" t="n">
        <v>6</v>
      </c>
      <c r="I4105" s="16" t="n">
        <v>94.49</v>
      </c>
      <c r="J4105" s="16" t="n">
        <v>42</v>
      </c>
      <c r="K4105" s="16" t="n">
        <f aca="false">H4105*I4105</f>
        <v>566.94</v>
      </c>
      <c r="L4105" s="16" t="n">
        <f aca="false">H4105*J4105</f>
        <v>252</v>
      </c>
      <c r="M4105" s="16" t="n">
        <f aca="false">K4105-L4105</f>
        <v>314.94</v>
      </c>
      <c r="N4105" s="17" t="n">
        <f aca="false">IFERROR(M4105/K4105,0)</f>
        <v>0.555508519420044</v>
      </c>
    </row>
    <row r="4106" customFormat="false" ht="15" hidden="false" customHeight="false" outlineLevel="0" collapsed="false">
      <c r="A4106" s="15" t="n">
        <v>46193</v>
      </c>
      <c r="B4106" s="14" t="s">
        <v>88</v>
      </c>
      <c r="C4106" s="14" t="s">
        <v>89</v>
      </c>
      <c r="D4106" s="14" t="s">
        <v>44</v>
      </c>
      <c r="E4106" s="14" t="s">
        <v>56</v>
      </c>
      <c r="F4106" s="14" t="s">
        <v>57</v>
      </c>
      <c r="G4106" s="14" t="s">
        <v>58</v>
      </c>
      <c r="H4106" s="0" t="n">
        <v>1</v>
      </c>
      <c r="I4106" s="16" t="n">
        <v>25.84</v>
      </c>
      <c r="J4106" s="16" t="n">
        <v>10</v>
      </c>
      <c r="K4106" s="16" t="n">
        <f aca="false">H4106*I4106</f>
        <v>25.84</v>
      </c>
      <c r="L4106" s="16" t="n">
        <f aca="false">H4106*J4106</f>
        <v>10</v>
      </c>
      <c r="M4106" s="16" t="n">
        <f aca="false">K4106-L4106</f>
        <v>15.84</v>
      </c>
      <c r="N4106" s="17" t="n">
        <f aca="false">IFERROR(M4106/K4106,0)</f>
        <v>0.613003095975232</v>
      </c>
    </row>
    <row r="4107" customFormat="false" ht="15" hidden="false" customHeight="false" outlineLevel="0" collapsed="false">
      <c r="A4107" s="15" t="n">
        <v>46193</v>
      </c>
      <c r="B4107" s="14" t="s">
        <v>88</v>
      </c>
      <c r="C4107" s="14" t="s">
        <v>89</v>
      </c>
      <c r="D4107" s="14" t="s">
        <v>44</v>
      </c>
      <c r="E4107" s="14" t="s">
        <v>76</v>
      </c>
      <c r="F4107" s="14" t="s">
        <v>77</v>
      </c>
      <c r="G4107" s="14" t="s">
        <v>78</v>
      </c>
      <c r="H4107" s="0" t="n">
        <v>9</v>
      </c>
      <c r="I4107" s="16" t="n">
        <v>41.94</v>
      </c>
      <c r="J4107" s="16" t="n">
        <v>15</v>
      </c>
      <c r="K4107" s="16" t="n">
        <f aca="false">H4107*I4107</f>
        <v>377.46</v>
      </c>
      <c r="L4107" s="16" t="n">
        <f aca="false">H4107*J4107</f>
        <v>135</v>
      </c>
      <c r="M4107" s="16" t="n">
        <f aca="false">K4107-L4107</f>
        <v>242.46</v>
      </c>
      <c r="N4107" s="17" t="n">
        <f aca="false">IFERROR(M4107/K4107,0)</f>
        <v>0.642346208869814</v>
      </c>
    </row>
    <row r="4108" customFormat="false" ht="15" hidden="false" customHeight="false" outlineLevel="0" collapsed="false">
      <c r="A4108" s="15" t="n">
        <v>46194</v>
      </c>
      <c r="B4108" s="14" t="s">
        <v>42</v>
      </c>
      <c r="C4108" s="14" t="s">
        <v>43</v>
      </c>
      <c r="D4108" s="14" t="s">
        <v>44</v>
      </c>
      <c r="E4108" s="14" t="s">
        <v>53</v>
      </c>
      <c r="F4108" s="14" t="s">
        <v>92</v>
      </c>
      <c r="G4108" s="14" t="s">
        <v>93</v>
      </c>
      <c r="H4108" s="0" t="n">
        <v>6</v>
      </c>
      <c r="I4108" s="16" t="n">
        <v>111.58</v>
      </c>
      <c r="J4108" s="16" t="n">
        <v>52</v>
      </c>
      <c r="K4108" s="16" t="n">
        <f aca="false">H4108*I4108</f>
        <v>669.48</v>
      </c>
      <c r="L4108" s="16" t="n">
        <f aca="false">H4108*J4108</f>
        <v>312</v>
      </c>
      <c r="M4108" s="16" t="n">
        <f aca="false">K4108-L4108</f>
        <v>357.48</v>
      </c>
      <c r="N4108" s="17" t="n">
        <f aca="false">IFERROR(M4108/K4108,0)</f>
        <v>0.53396666069188</v>
      </c>
    </row>
    <row r="4109" customFormat="false" ht="15" hidden="false" customHeight="false" outlineLevel="0" collapsed="false">
      <c r="A4109" s="15" t="n">
        <v>46194</v>
      </c>
      <c r="B4109" s="14" t="s">
        <v>42</v>
      </c>
      <c r="C4109" s="14" t="s">
        <v>43</v>
      </c>
      <c r="D4109" s="14" t="s">
        <v>44</v>
      </c>
      <c r="E4109" s="14" t="s">
        <v>56</v>
      </c>
      <c r="F4109" s="14" t="s">
        <v>86</v>
      </c>
      <c r="G4109" s="14" t="s">
        <v>87</v>
      </c>
      <c r="H4109" s="0" t="n">
        <v>9</v>
      </c>
      <c r="I4109" s="16" t="n">
        <v>14.85</v>
      </c>
      <c r="J4109" s="16" t="n">
        <v>5</v>
      </c>
      <c r="K4109" s="16" t="n">
        <f aca="false">H4109*I4109</f>
        <v>133.65</v>
      </c>
      <c r="L4109" s="16" t="n">
        <f aca="false">H4109*J4109</f>
        <v>45</v>
      </c>
      <c r="M4109" s="16" t="n">
        <f aca="false">K4109-L4109</f>
        <v>88.65</v>
      </c>
      <c r="N4109" s="17" t="n">
        <f aca="false">IFERROR(M4109/K4109,0)</f>
        <v>0.663299663299663</v>
      </c>
    </row>
    <row r="4110" customFormat="false" ht="15" hidden="false" customHeight="false" outlineLevel="0" collapsed="false">
      <c r="A4110" s="15" t="n">
        <v>46194</v>
      </c>
      <c r="B4110" s="14" t="s">
        <v>42</v>
      </c>
      <c r="C4110" s="14" t="s">
        <v>43</v>
      </c>
      <c r="D4110" s="14" t="s">
        <v>44</v>
      </c>
      <c r="E4110" s="14" t="s">
        <v>76</v>
      </c>
      <c r="F4110" s="14" t="s">
        <v>102</v>
      </c>
      <c r="G4110" s="14" t="s">
        <v>103</v>
      </c>
      <c r="H4110" s="0" t="n">
        <v>2</v>
      </c>
      <c r="I4110" s="16" t="n">
        <v>22.14</v>
      </c>
      <c r="J4110" s="16" t="n">
        <v>8.5</v>
      </c>
      <c r="K4110" s="16" t="n">
        <f aca="false">H4110*I4110</f>
        <v>44.28</v>
      </c>
      <c r="L4110" s="16" t="n">
        <f aca="false">H4110*J4110</f>
        <v>17</v>
      </c>
      <c r="M4110" s="16" t="n">
        <f aca="false">K4110-L4110</f>
        <v>27.28</v>
      </c>
      <c r="N4110" s="17" t="n">
        <f aca="false">IFERROR(M4110/K4110,0)</f>
        <v>0.616079494128275</v>
      </c>
    </row>
    <row r="4111" customFormat="false" ht="15" hidden="false" customHeight="false" outlineLevel="0" collapsed="false">
      <c r="A4111" s="15" t="n">
        <v>46194</v>
      </c>
      <c r="B4111" s="14" t="s">
        <v>42</v>
      </c>
      <c r="C4111" s="14" t="s">
        <v>43</v>
      </c>
      <c r="D4111" s="14" t="s">
        <v>44</v>
      </c>
      <c r="E4111" s="14" t="s">
        <v>64</v>
      </c>
      <c r="F4111" s="14" t="s">
        <v>94</v>
      </c>
      <c r="G4111" s="14" t="s">
        <v>95</v>
      </c>
      <c r="H4111" s="0" t="n">
        <v>9</v>
      </c>
      <c r="I4111" s="16" t="n">
        <v>96.25</v>
      </c>
      <c r="J4111" s="16" t="n">
        <v>42</v>
      </c>
      <c r="K4111" s="16" t="n">
        <f aca="false">H4111*I4111</f>
        <v>866.25</v>
      </c>
      <c r="L4111" s="16" t="n">
        <f aca="false">H4111*J4111</f>
        <v>378</v>
      </c>
      <c r="M4111" s="16" t="n">
        <f aca="false">K4111-L4111</f>
        <v>488.25</v>
      </c>
      <c r="N4111" s="17" t="n">
        <f aca="false">IFERROR(M4111/K4111,0)</f>
        <v>0.563636363636364</v>
      </c>
    </row>
    <row r="4112" customFormat="false" ht="15" hidden="false" customHeight="false" outlineLevel="0" collapsed="false">
      <c r="A4112" s="15" t="n">
        <v>46194</v>
      </c>
      <c r="B4112" s="14" t="s">
        <v>42</v>
      </c>
      <c r="C4112" s="14" t="s">
        <v>43</v>
      </c>
      <c r="D4112" s="14" t="s">
        <v>44</v>
      </c>
      <c r="E4112" s="14" t="s">
        <v>76</v>
      </c>
      <c r="F4112" s="14" t="s">
        <v>100</v>
      </c>
      <c r="G4112" s="14" t="s">
        <v>101</v>
      </c>
      <c r="H4112" s="0" t="n">
        <v>11</v>
      </c>
      <c r="I4112" s="16" t="n">
        <v>15.67</v>
      </c>
      <c r="J4112" s="16" t="n">
        <v>5.5</v>
      </c>
      <c r="K4112" s="16" t="n">
        <f aca="false">H4112*I4112</f>
        <v>172.37</v>
      </c>
      <c r="L4112" s="16" t="n">
        <f aca="false">H4112*J4112</f>
        <v>60.5</v>
      </c>
      <c r="M4112" s="16" t="n">
        <f aca="false">K4112-L4112</f>
        <v>111.87</v>
      </c>
      <c r="N4112" s="17" t="n">
        <f aca="false">IFERROR(M4112/K4112,0)</f>
        <v>0.649010848755584</v>
      </c>
    </row>
    <row r="4113" customFormat="false" ht="15" hidden="false" customHeight="false" outlineLevel="0" collapsed="false">
      <c r="A4113" s="15" t="n">
        <v>46194</v>
      </c>
      <c r="B4113" s="14" t="s">
        <v>42</v>
      </c>
      <c r="C4113" s="14" t="s">
        <v>43</v>
      </c>
      <c r="D4113" s="14" t="s">
        <v>44</v>
      </c>
      <c r="E4113" s="14" t="s">
        <v>53</v>
      </c>
      <c r="F4113" s="14" t="s">
        <v>74</v>
      </c>
      <c r="G4113" s="14" t="s">
        <v>75</v>
      </c>
      <c r="H4113" s="0" t="n">
        <v>4</v>
      </c>
      <c r="I4113" s="16" t="n">
        <v>82.88</v>
      </c>
      <c r="J4113" s="16" t="n">
        <v>38</v>
      </c>
      <c r="K4113" s="16" t="n">
        <f aca="false">H4113*I4113</f>
        <v>331.52</v>
      </c>
      <c r="L4113" s="16" t="n">
        <f aca="false">H4113*J4113</f>
        <v>152</v>
      </c>
      <c r="M4113" s="16" t="n">
        <f aca="false">K4113-L4113</f>
        <v>179.52</v>
      </c>
      <c r="N4113" s="17" t="n">
        <f aca="false">IFERROR(M4113/K4113,0)</f>
        <v>0.541505791505792</v>
      </c>
    </row>
    <row r="4114" customFormat="false" ht="15" hidden="false" customHeight="false" outlineLevel="0" collapsed="false">
      <c r="A4114" s="15" t="n">
        <v>46194</v>
      </c>
      <c r="B4114" s="14" t="s">
        <v>50</v>
      </c>
      <c r="C4114" s="14" t="s">
        <v>51</v>
      </c>
      <c r="D4114" s="14" t="s">
        <v>52</v>
      </c>
      <c r="E4114" s="14" t="s">
        <v>53</v>
      </c>
      <c r="F4114" s="14" t="s">
        <v>84</v>
      </c>
      <c r="G4114" s="14" t="s">
        <v>85</v>
      </c>
      <c r="H4114" s="0" t="n">
        <v>9</v>
      </c>
      <c r="I4114" s="16" t="n">
        <v>24.54</v>
      </c>
      <c r="J4114" s="16" t="n">
        <v>9</v>
      </c>
      <c r="K4114" s="16" t="n">
        <f aca="false">H4114*I4114</f>
        <v>220.86</v>
      </c>
      <c r="L4114" s="16" t="n">
        <f aca="false">H4114*J4114</f>
        <v>81</v>
      </c>
      <c r="M4114" s="16" t="n">
        <f aca="false">K4114-L4114</f>
        <v>139.86</v>
      </c>
      <c r="N4114" s="17" t="n">
        <f aca="false">IFERROR(M4114/K4114,0)</f>
        <v>0.633251833740831</v>
      </c>
    </row>
    <row r="4115" customFormat="false" ht="15" hidden="false" customHeight="false" outlineLevel="0" collapsed="false">
      <c r="A4115" s="15" t="n">
        <v>46194</v>
      </c>
      <c r="B4115" s="14" t="s">
        <v>50</v>
      </c>
      <c r="C4115" s="14" t="s">
        <v>51</v>
      </c>
      <c r="D4115" s="14" t="s">
        <v>52</v>
      </c>
      <c r="E4115" s="14" t="s">
        <v>56</v>
      </c>
      <c r="F4115" s="14" t="s">
        <v>57</v>
      </c>
      <c r="G4115" s="14" t="s">
        <v>58</v>
      </c>
      <c r="H4115" s="0" t="n">
        <v>3</v>
      </c>
      <c r="I4115" s="16" t="n">
        <v>25.81</v>
      </c>
      <c r="J4115" s="16" t="n">
        <v>10</v>
      </c>
      <c r="K4115" s="16" t="n">
        <f aca="false">H4115*I4115</f>
        <v>77.43</v>
      </c>
      <c r="L4115" s="16" t="n">
        <f aca="false">H4115*J4115</f>
        <v>30</v>
      </c>
      <c r="M4115" s="16" t="n">
        <f aca="false">K4115-L4115</f>
        <v>47.43</v>
      </c>
      <c r="N4115" s="17" t="n">
        <f aca="false">IFERROR(M4115/K4115,0)</f>
        <v>0.612553273924835</v>
      </c>
    </row>
    <row r="4116" customFormat="false" ht="15" hidden="false" customHeight="false" outlineLevel="0" collapsed="false">
      <c r="A4116" s="15" t="n">
        <v>46194</v>
      </c>
      <c r="B4116" s="14" t="s">
        <v>50</v>
      </c>
      <c r="C4116" s="14" t="s">
        <v>51</v>
      </c>
      <c r="D4116" s="14" t="s">
        <v>52</v>
      </c>
      <c r="E4116" s="14" t="s">
        <v>64</v>
      </c>
      <c r="F4116" s="14" t="s">
        <v>96</v>
      </c>
      <c r="G4116" s="14" t="s">
        <v>97</v>
      </c>
      <c r="H4116" s="0" t="n">
        <v>6</v>
      </c>
      <c r="I4116" s="16" t="n">
        <v>57.42</v>
      </c>
      <c r="J4116" s="16" t="n">
        <v>24</v>
      </c>
      <c r="K4116" s="16" t="n">
        <f aca="false">H4116*I4116</f>
        <v>344.52</v>
      </c>
      <c r="L4116" s="16" t="n">
        <f aca="false">H4116*J4116</f>
        <v>144</v>
      </c>
      <c r="M4116" s="16" t="n">
        <f aca="false">K4116-L4116</f>
        <v>200.52</v>
      </c>
      <c r="N4116" s="17" t="n">
        <f aca="false">IFERROR(M4116/K4116,0)</f>
        <v>0.582027168234065</v>
      </c>
    </row>
    <row r="4117" customFormat="false" ht="15" hidden="false" customHeight="false" outlineLevel="0" collapsed="false">
      <c r="A4117" s="15" t="n">
        <v>46194</v>
      </c>
      <c r="B4117" s="14" t="s">
        <v>59</v>
      </c>
      <c r="C4117" s="14" t="s">
        <v>60</v>
      </c>
      <c r="D4117" s="14" t="s">
        <v>61</v>
      </c>
      <c r="E4117" s="14" t="s">
        <v>64</v>
      </c>
      <c r="F4117" s="14" t="s">
        <v>96</v>
      </c>
      <c r="G4117" s="14" t="s">
        <v>97</v>
      </c>
      <c r="H4117" s="0" t="n">
        <v>1</v>
      </c>
      <c r="I4117" s="16" t="n">
        <v>55.18</v>
      </c>
      <c r="J4117" s="16" t="n">
        <v>24</v>
      </c>
      <c r="K4117" s="16" t="n">
        <f aca="false">H4117*I4117</f>
        <v>55.18</v>
      </c>
      <c r="L4117" s="16" t="n">
        <f aca="false">H4117*J4117</f>
        <v>24</v>
      </c>
      <c r="M4117" s="16" t="n">
        <f aca="false">K4117-L4117</f>
        <v>31.18</v>
      </c>
      <c r="N4117" s="17" t="n">
        <f aca="false">IFERROR(M4117/K4117,0)</f>
        <v>0.565059804276912</v>
      </c>
    </row>
    <row r="4118" customFormat="false" ht="15" hidden="false" customHeight="false" outlineLevel="0" collapsed="false">
      <c r="A4118" s="15" t="n">
        <v>46194</v>
      </c>
      <c r="B4118" s="14" t="s">
        <v>59</v>
      </c>
      <c r="C4118" s="14" t="s">
        <v>60</v>
      </c>
      <c r="D4118" s="14" t="s">
        <v>61</v>
      </c>
      <c r="E4118" s="14" t="s">
        <v>56</v>
      </c>
      <c r="F4118" s="14" t="s">
        <v>57</v>
      </c>
      <c r="G4118" s="14" t="s">
        <v>58</v>
      </c>
      <c r="H4118" s="0" t="n">
        <v>3</v>
      </c>
      <c r="I4118" s="16" t="n">
        <v>26.61</v>
      </c>
      <c r="J4118" s="16" t="n">
        <v>10</v>
      </c>
      <c r="K4118" s="16" t="n">
        <f aca="false">H4118*I4118</f>
        <v>79.83</v>
      </c>
      <c r="L4118" s="16" t="n">
        <f aca="false">H4118*J4118</f>
        <v>30</v>
      </c>
      <c r="M4118" s="16" t="n">
        <f aca="false">K4118-L4118</f>
        <v>49.83</v>
      </c>
      <c r="N4118" s="17" t="n">
        <f aca="false">IFERROR(M4118/K4118,0)</f>
        <v>0.624201428034574</v>
      </c>
    </row>
    <row r="4119" customFormat="false" ht="15" hidden="false" customHeight="false" outlineLevel="0" collapsed="false">
      <c r="A4119" s="15" t="n">
        <v>46194</v>
      </c>
      <c r="B4119" s="14" t="s">
        <v>59</v>
      </c>
      <c r="C4119" s="14" t="s">
        <v>60</v>
      </c>
      <c r="D4119" s="14" t="s">
        <v>61</v>
      </c>
      <c r="E4119" s="14" t="s">
        <v>64</v>
      </c>
      <c r="F4119" s="14" t="s">
        <v>94</v>
      </c>
      <c r="G4119" s="14" t="s">
        <v>95</v>
      </c>
      <c r="H4119" s="0" t="n">
        <v>1</v>
      </c>
      <c r="I4119" s="16" t="n">
        <v>96.27</v>
      </c>
      <c r="J4119" s="16" t="n">
        <v>42</v>
      </c>
      <c r="K4119" s="16" t="n">
        <f aca="false">H4119*I4119</f>
        <v>96.27</v>
      </c>
      <c r="L4119" s="16" t="n">
        <f aca="false">H4119*J4119</f>
        <v>42</v>
      </c>
      <c r="M4119" s="16" t="n">
        <f aca="false">K4119-L4119</f>
        <v>54.27</v>
      </c>
      <c r="N4119" s="17" t="n">
        <f aca="false">IFERROR(M4119/K4119,0)</f>
        <v>0.563727017762543</v>
      </c>
    </row>
    <row r="4120" customFormat="false" ht="15" hidden="false" customHeight="false" outlineLevel="0" collapsed="false">
      <c r="A4120" s="15" t="n">
        <v>46194</v>
      </c>
      <c r="B4120" s="14" t="s">
        <v>69</v>
      </c>
      <c r="C4120" s="14" t="s">
        <v>70</v>
      </c>
      <c r="D4120" s="14" t="s">
        <v>71</v>
      </c>
      <c r="E4120" s="14" t="s">
        <v>45</v>
      </c>
      <c r="F4120" s="14" t="s">
        <v>72</v>
      </c>
      <c r="G4120" s="14" t="s">
        <v>73</v>
      </c>
      <c r="H4120" s="0" t="n">
        <v>4</v>
      </c>
      <c r="I4120" s="16" t="n">
        <v>51.28</v>
      </c>
      <c r="J4120" s="16" t="n">
        <v>21</v>
      </c>
      <c r="K4120" s="16" t="n">
        <f aca="false">H4120*I4120</f>
        <v>205.12</v>
      </c>
      <c r="L4120" s="16" t="n">
        <f aca="false">H4120*J4120</f>
        <v>84</v>
      </c>
      <c r="M4120" s="16" t="n">
        <f aca="false">K4120-L4120</f>
        <v>121.12</v>
      </c>
      <c r="N4120" s="17" t="n">
        <f aca="false">IFERROR(M4120/K4120,0)</f>
        <v>0.590483619344774</v>
      </c>
    </row>
    <row r="4121" customFormat="false" ht="15" hidden="false" customHeight="false" outlineLevel="0" collapsed="false">
      <c r="A4121" s="15" t="n">
        <v>46194</v>
      </c>
      <c r="B4121" s="14" t="s">
        <v>69</v>
      </c>
      <c r="C4121" s="14" t="s">
        <v>70</v>
      </c>
      <c r="D4121" s="14" t="s">
        <v>71</v>
      </c>
      <c r="E4121" s="14" t="s">
        <v>76</v>
      </c>
      <c r="F4121" s="14" t="s">
        <v>102</v>
      </c>
      <c r="G4121" s="14" t="s">
        <v>103</v>
      </c>
      <c r="H4121" s="0" t="n">
        <v>5</v>
      </c>
      <c r="I4121" s="16" t="n">
        <v>22.14</v>
      </c>
      <c r="J4121" s="16" t="n">
        <v>8.5</v>
      </c>
      <c r="K4121" s="16" t="n">
        <f aca="false">H4121*I4121</f>
        <v>110.7</v>
      </c>
      <c r="L4121" s="16" t="n">
        <f aca="false">H4121*J4121</f>
        <v>42.5</v>
      </c>
      <c r="M4121" s="16" t="n">
        <f aca="false">K4121-L4121</f>
        <v>68.2</v>
      </c>
      <c r="N4121" s="17" t="n">
        <f aca="false">IFERROR(M4121/K4121,0)</f>
        <v>0.616079494128275</v>
      </c>
    </row>
    <row r="4122" customFormat="false" ht="15" hidden="false" customHeight="false" outlineLevel="0" collapsed="false">
      <c r="A4122" s="15" t="n">
        <v>46194</v>
      </c>
      <c r="B4122" s="14" t="s">
        <v>81</v>
      </c>
      <c r="C4122" s="14" t="s">
        <v>82</v>
      </c>
      <c r="D4122" s="14" t="s">
        <v>83</v>
      </c>
      <c r="E4122" s="14" t="s">
        <v>53</v>
      </c>
      <c r="F4122" s="14" t="s">
        <v>92</v>
      </c>
      <c r="G4122" s="14" t="s">
        <v>93</v>
      </c>
      <c r="H4122" s="0" t="n">
        <v>4</v>
      </c>
      <c r="I4122" s="16" t="n">
        <v>112.96</v>
      </c>
      <c r="J4122" s="16" t="n">
        <v>52</v>
      </c>
      <c r="K4122" s="16" t="n">
        <f aca="false">H4122*I4122</f>
        <v>451.84</v>
      </c>
      <c r="L4122" s="16" t="n">
        <f aca="false">H4122*J4122</f>
        <v>208</v>
      </c>
      <c r="M4122" s="16" t="n">
        <f aca="false">K4122-L4122</f>
        <v>243.84</v>
      </c>
      <c r="N4122" s="17" t="n">
        <f aca="false">IFERROR(M4122/K4122,0)</f>
        <v>0.539660056657224</v>
      </c>
    </row>
    <row r="4123" customFormat="false" ht="15" hidden="false" customHeight="false" outlineLevel="0" collapsed="false">
      <c r="A4123" s="15" t="n">
        <v>46194</v>
      </c>
      <c r="B4123" s="14" t="s">
        <v>81</v>
      </c>
      <c r="C4123" s="14" t="s">
        <v>82</v>
      </c>
      <c r="D4123" s="14" t="s">
        <v>83</v>
      </c>
      <c r="E4123" s="14" t="s">
        <v>53</v>
      </c>
      <c r="F4123" s="14" t="s">
        <v>92</v>
      </c>
      <c r="G4123" s="14" t="s">
        <v>93</v>
      </c>
      <c r="H4123" s="0" t="n">
        <v>5</v>
      </c>
      <c r="I4123" s="16" t="n">
        <v>118.86</v>
      </c>
      <c r="J4123" s="16" t="n">
        <v>52</v>
      </c>
      <c r="K4123" s="16" t="n">
        <f aca="false">H4123*I4123</f>
        <v>594.3</v>
      </c>
      <c r="L4123" s="16" t="n">
        <f aca="false">H4123*J4123</f>
        <v>260</v>
      </c>
      <c r="M4123" s="16" t="n">
        <f aca="false">K4123-L4123</f>
        <v>334.3</v>
      </c>
      <c r="N4123" s="17" t="n">
        <f aca="false">IFERROR(M4123/K4123,0)</f>
        <v>0.562510516574121</v>
      </c>
    </row>
    <row r="4124" customFormat="false" ht="15" hidden="false" customHeight="false" outlineLevel="0" collapsed="false">
      <c r="A4124" s="15" t="n">
        <v>46194</v>
      </c>
      <c r="B4124" s="14" t="s">
        <v>81</v>
      </c>
      <c r="C4124" s="14" t="s">
        <v>82</v>
      </c>
      <c r="D4124" s="14" t="s">
        <v>83</v>
      </c>
      <c r="E4124" s="14" t="s">
        <v>45</v>
      </c>
      <c r="F4124" s="14" t="s">
        <v>48</v>
      </c>
      <c r="G4124" s="14" t="s">
        <v>49</v>
      </c>
      <c r="H4124" s="0" t="n">
        <v>2</v>
      </c>
      <c r="I4124" s="16" t="n">
        <v>65.36</v>
      </c>
      <c r="J4124" s="16" t="n">
        <v>27.5</v>
      </c>
      <c r="K4124" s="16" t="n">
        <f aca="false">H4124*I4124</f>
        <v>130.72</v>
      </c>
      <c r="L4124" s="16" t="n">
        <f aca="false">H4124*J4124</f>
        <v>55</v>
      </c>
      <c r="M4124" s="16" t="n">
        <f aca="false">K4124-L4124</f>
        <v>75.72</v>
      </c>
      <c r="N4124" s="17" t="n">
        <f aca="false">IFERROR(M4124/K4124,0)</f>
        <v>0.579253365973072</v>
      </c>
    </row>
    <row r="4125" customFormat="false" ht="15" hidden="false" customHeight="false" outlineLevel="0" collapsed="false">
      <c r="A4125" s="15" t="n">
        <v>46194</v>
      </c>
      <c r="B4125" s="14" t="s">
        <v>81</v>
      </c>
      <c r="C4125" s="14" t="s">
        <v>82</v>
      </c>
      <c r="D4125" s="14" t="s">
        <v>83</v>
      </c>
      <c r="E4125" s="14" t="s">
        <v>64</v>
      </c>
      <c r="F4125" s="14" t="s">
        <v>90</v>
      </c>
      <c r="G4125" s="14" t="s">
        <v>91</v>
      </c>
      <c r="H4125" s="0" t="n">
        <v>8</v>
      </c>
      <c r="I4125" s="16" t="n">
        <v>11.52</v>
      </c>
      <c r="J4125" s="16" t="n">
        <v>3.5</v>
      </c>
      <c r="K4125" s="16" t="n">
        <f aca="false">H4125*I4125</f>
        <v>92.16</v>
      </c>
      <c r="L4125" s="16" t="n">
        <f aca="false">H4125*J4125</f>
        <v>28</v>
      </c>
      <c r="M4125" s="16" t="n">
        <f aca="false">K4125-L4125</f>
        <v>64.16</v>
      </c>
      <c r="N4125" s="17" t="n">
        <f aca="false">IFERROR(M4125/K4125,0)</f>
        <v>0.696180555555556</v>
      </c>
    </row>
    <row r="4126" customFormat="false" ht="15" hidden="false" customHeight="false" outlineLevel="0" collapsed="false">
      <c r="A4126" s="15" t="n">
        <v>46194</v>
      </c>
      <c r="B4126" s="14" t="s">
        <v>81</v>
      </c>
      <c r="C4126" s="14" t="s">
        <v>82</v>
      </c>
      <c r="D4126" s="14" t="s">
        <v>83</v>
      </c>
      <c r="E4126" s="14" t="s">
        <v>56</v>
      </c>
      <c r="F4126" s="14" t="s">
        <v>98</v>
      </c>
      <c r="G4126" s="14" t="s">
        <v>99</v>
      </c>
      <c r="H4126" s="0" t="n">
        <v>6</v>
      </c>
      <c r="I4126" s="16" t="n">
        <v>20.85</v>
      </c>
      <c r="J4126" s="16" t="n">
        <v>8</v>
      </c>
      <c r="K4126" s="16" t="n">
        <f aca="false">H4126*I4126</f>
        <v>125.1</v>
      </c>
      <c r="L4126" s="16" t="n">
        <f aca="false">H4126*J4126</f>
        <v>48</v>
      </c>
      <c r="M4126" s="16" t="n">
        <f aca="false">K4126-L4126</f>
        <v>77.1</v>
      </c>
      <c r="N4126" s="17" t="n">
        <f aca="false">IFERROR(M4126/K4126,0)</f>
        <v>0.616306954436451</v>
      </c>
    </row>
    <row r="4127" customFormat="false" ht="15" hidden="false" customHeight="false" outlineLevel="0" collapsed="false">
      <c r="A4127" s="15" t="n">
        <v>46194</v>
      </c>
      <c r="B4127" s="14" t="s">
        <v>81</v>
      </c>
      <c r="C4127" s="14" t="s">
        <v>82</v>
      </c>
      <c r="D4127" s="14" t="s">
        <v>83</v>
      </c>
      <c r="E4127" s="14" t="s">
        <v>53</v>
      </c>
      <c r="F4127" s="14" t="s">
        <v>92</v>
      </c>
      <c r="G4127" s="14" t="s">
        <v>93</v>
      </c>
      <c r="H4127" s="0" t="n">
        <v>6</v>
      </c>
      <c r="I4127" s="16" t="n">
        <v>112.84</v>
      </c>
      <c r="J4127" s="16" t="n">
        <v>52</v>
      </c>
      <c r="K4127" s="16" t="n">
        <f aca="false">H4127*I4127</f>
        <v>677.04</v>
      </c>
      <c r="L4127" s="16" t="n">
        <f aca="false">H4127*J4127</f>
        <v>312</v>
      </c>
      <c r="M4127" s="16" t="n">
        <f aca="false">K4127-L4127</f>
        <v>365.04</v>
      </c>
      <c r="N4127" s="17" t="n">
        <f aca="false">IFERROR(M4127/K4127,0)</f>
        <v>0.539170506912442</v>
      </c>
    </row>
    <row r="4128" customFormat="false" ht="15" hidden="false" customHeight="false" outlineLevel="0" collapsed="false">
      <c r="A4128" s="15" t="n">
        <v>46194</v>
      </c>
      <c r="B4128" s="14" t="s">
        <v>88</v>
      </c>
      <c r="C4128" s="14" t="s">
        <v>89</v>
      </c>
      <c r="D4128" s="14" t="s">
        <v>44</v>
      </c>
      <c r="E4128" s="14" t="s">
        <v>76</v>
      </c>
      <c r="F4128" s="14" t="s">
        <v>102</v>
      </c>
      <c r="G4128" s="14" t="s">
        <v>103</v>
      </c>
      <c r="H4128" s="0" t="n">
        <v>11</v>
      </c>
      <c r="I4128" s="16" t="n">
        <v>22.18</v>
      </c>
      <c r="J4128" s="16" t="n">
        <v>8.5</v>
      </c>
      <c r="K4128" s="16" t="n">
        <f aca="false">H4128*I4128</f>
        <v>243.98</v>
      </c>
      <c r="L4128" s="16" t="n">
        <f aca="false">H4128*J4128</f>
        <v>93.5</v>
      </c>
      <c r="M4128" s="16" t="n">
        <f aca="false">K4128-L4128</f>
        <v>150.48</v>
      </c>
      <c r="N4128" s="17" t="n">
        <f aca="false">IFERROR(M4128/K4128,0)</f>
        <v>0.616771866546438</v>
      </c>
    </row>
    <row r="4129" customFormat="false" ht="15" hidden="false" customHeight="false" outlineLevel="0" collapsed="false">
      <c r="A4129" s="15" t="n">
        <v>46194</v>
      </c>
      <c r="B4129" s="14" t="s">
        <v>88</v>
      </c>
      <c r="C4129" s="14" t="s">
        <v>89</v>
      </c>
      <c r="D4129" s="14" t="s">
        <v>44</v>
      </c>
      <c r="E4129" s="14" t="s">
        <v>56</v>
      </c>
      <c r="F4129" s="14" t="s">
        <v>86</v>
      </c>
      <c r="G4129" s="14" t="s">
        <v>87</v>
      </c>
      <c r="H4129" s="0" t="n">
        <v>7</v>
      </c>
      <c r="I4129" s="16" t="n">
        <v>14.63</v>
      </c>
      <c r="J4129" s="16" t="n">
        <v>5</v>
      </c>
      <c r="K4129" s="16" t="n">
        <f aca="false">H4129*I4129</f>
        <v>102.41</v>
      </c>
      <c r="L4129" s="16" t="n">
        <f aca="false">H4129*J4129</f>
        <v>35</v>
      </c>
      <c r="M4129" s="16" t="n">
        <f aca="false">K4129-L4129</f>
        <v>67.41</v>
      </c>
      <c r="N4129" s="17" t="n">
        <f aca="false">IFERROR(M4129/K4129,0)</f>
        <v>0.658236500341764</v>
      </c>
    </row>
    <row r="4130" customFormat="false" ht="15" hidden="false" customHeight="false" outlineLevel="0" collapsed="false">
      <c r="A4130" s="15" t="n">
        <v>46194</v>
      </c>
      <c r="B4130" s="14" t="s">
        <v>88</v>
      </c>
      <c r="C4130" s="14" t="s">
        <v>89</v>
      </c>
      <c r="D4130" s="14" t="s">
        <v>44</v>
      </c>
      <c r="E4130" s="14" t="s">
        <v>64</v>
      </c>
      <c r="F4130" s="14" t="s">
        <v>96</v>
      </c>
      <c r="G4130" s="14" t="s">
        <v>97</v>
      </c>
      <c r="H4130" s="0" t="n">
        <v>11</v>
      </c>
      <c r="I4130" s="16" t="n">
        <v>57.61</v>
      </c>
      <c r="J4130" s="16" t="n">
        <v>24</v>
      </c>
      <c r="K4130" s="16" t="n">
        <f aca="false">H4130*I4130</f>
        <v>633.71</v>
      </c>
      <c r="L4130" s="16" t="n">
        <f aca="false">H4130*J4130</f>
        <v>264</v>
      </c>
      <c r="M4130" s="16" t="n">
        <f aca="false">K4130-L4130</f>
        <v>369.71</v>
      </c>
      <c r="N4130" s="17" t="n">
        <f aca="false">IFERROR(M4130/K4130,0)</f>
        <v>0.583405658739802</v>
      </c>
    </row>
    <row r="4131" customFormat="false" ht="15" hidden="false" customHeight="false" outlineLevel="0" collapsed="false">
      <c r="A4131" s="15" t="n">
        <v>46194</v>
      </c>
      <c r="B4131" s="14" t="s">
        <v>88</v>
      </c>
      <c r="C4131" s="14" t="s">
        <v>89</v>
      </c>
      <c r="D4131" s="14" t="s">
        <v>44</v>
      </c>
      <c r="E4131" s="14" t="s">
        <v>56</v>
      </c>
      <c r="F4131" s="14" t="s">
        <v>98</v>
      </c>
      <c r="G4131" s="14" t="s">
        <v>99</v>
      </c>
      <c r="H4131" s="0" t="n">
        <v>1</v>
      </c>
      <c r="I4131" s="16" t="n">
        <v>21.37</v>
      </c>
      <c r="J4131" s="16" t="n">
        <v>8</v>
      </c>
      <c r="K4131" s="16" t="n">
        <f aca="false">H4131*I4131</f>
        <v>21.37</v>
      </c>
      <c r="L4131" s="16" t="n">
        <f aca="false">H4131*J4131</f>
        <v>8</v>
      </c>
      <c r="M4131" s="16" t="n">
        <f aca="false">K4131-L4131</f>
        <v>13.37</v>
      </c>
      <c r="N4131" s="17" t="n">
        <f aca="false">IFERROR(M4131/K4131,0)</f>
        <v>0.625643425362658</v>
      </c>
    </row>
    <row r="4132" customFormat="false" ht="15" hidden="false" customHeight="false" outlineLevel="0" collapsed="false">
      <c r="A4132" s="15" t="n">
        <v>46195</v>
      </c>
      <c r="B4132" s="14" t="s">
        <v>42</v>
      </c>
      <c r="C4132" s="14" t="s">
        <v>43</v>
      </c>
      <c r="D4132" s="14" t="s">
        <v>44</v>
      </c>
      <c r="E4132" s="14" t="s">
        <v>53</v>
      </c>
      <c r="F4132" s="14" t="s">
        <v>74</v>
      </c>
      <c r="G4132" s="14" t="s">
        <v>75</v>
      </c>
      <c r="H4132" s="0" t="n">
        <v>5</v>
      </c>
      <c r="I4132" s="16" t="n">
        <v>85.7</v>
      </c>
      <c r="J4132" s="16" t="n">
        <v>38</v>
      </c>
      <c r="K4132" s="16" t="n">
        <f aca="false">H4132*I4132</f>
        <v>428.5</v>
      </c>
      <c r="L4132" s="16" t="n">
        <f aca="false">H4132*J4132</f>
        <v>190</v>
      </c>
      <c r="M4132" s="16" t="n">
        <f aca="false">K4132-L4132</f>
        <v>238.5</v>
      </c>
      <c r="N4132" s="17" t="n">
        <f aca="false">IFERROR(M4132/K4132,0)</f>
        <v>0.55659276546091</v>
      </c>
    </row>
    <row r="4133" customFormat="false" ht="15" hidden="false" customHeight="false" outlineLevel="0" collapsed="false">
      <c r="A4133" s="15" t="n">
        <v>46195</v>
      </c>
      <c r="B4133" s="14" t="s">
        <v>42</v>
      </c>
      <c r="C4133" s="14" t="s">
        <v>43</v>
      </c>
      <c r="D4133" s="14" t="s">
        <v>44</v>
      </c>
      <c r="E4133" s="14" t="s">
        <v>56</v>
      </c>
      <c r="F4133" s="14" t="s">
        <v>67</v>
      </c>
      <c r="G4133" s="14" t="s">
        <v>68</v>
      </c>
      <c r="H4133" s="0" t="n">
        <v>9</v>
      </c>
      <c r="I4133" s="16" t="n">
        <v>37.4</v>
      </c>
      <c r="J4133" s="16" t="n">
        <v>15</v>
      </c>
      <c r="K4133" s="16" t="n">
        <f aca="false">H4133*I4133</f>
        <v>336.6</v>
      </c>
      <c r="L4133" s="16" t="n">
        <f aca="false">H4133*J4133</f>
        <v>135</v>
      </c>
      <c r="M4133" s="16" t="n">
        <f aca="false">K4133-L4133</f>
        <v>201.6</v>
      </c>
      <c r="N4133" s="17" t="n">
        <f aca="false">IFERROR(M4133/K4133,0)</f>
        <v>0.598930481283422</v>
      </c>
    </row>
    <row r="4134" customFormat="false" ht="15" hidden="false" customHeight="false" outlineLevel="0" collapsed="false">
      <c r="A4134" s="15" t="n">
        <v>46195</v>
      </c>
      <c r="B4134" s="14" t="s">
        <v>42</v>
      </c>
      <c r="C4134" s="14" t="s">
        <v>43</v>
      </c>
      <c r="D4134" s="14" t="s">
        <v>44</v>
      </c>
      <c r="E4134" s="14" t="s">
        <v>56</v>
      </c>
      <c r="F4134" s="14" t="s">
        <v>57</v>
      </c>
      <c r="G4134" s="14" t="s">
        <v>58</v>
      </c>
      <c r="H4134" s="0" t="n">
        <v>4</v>
      </c>
      <c r="I4134" s="16" t="n">
        <v>26.75</v>
      </c>
      <c r="J4134" s="16" t="n">
        <v>10</v>
      </c>
      <c r="K4134" s="16" t="n">
        <f aca="false">H4134*I4134</f>
        <v>107</v>
      </c>
      <c r="L4134" s="16" t="n">
        <f aca="false">H4134*J4134</f>
        <v>40</v>
      </c>
      <c r="M4134" s="16" t="n">
        <f aca="false">K4134-L4134</f>
        <v>67</v>
      </c>
      <c r="N4134" s="17" t="n">
        <f aca="false">IFERROR(M4134/K4134,0)</f>
        <v>0.626168224299065</v>
      </c>
    </row>
    <row r="4135" customFormat="false" ht="15" hidden="false" customHeight="false" outlineLevel="0" collapsed="false">
      <c r="A4135" s="15" t="n">
        <v>46195</v>
      </c>
      <c r="B4135" s="14" t="s">
        <v>42</v>
      </c>
      <c r="C4135" s="14" t="s">
        <v>43</v>
      </c>
      <c r="D4135" s="14" t="s">
        <v>44</v>
      </c>
      <c r="E4135" s="14" t="s">
        <v>56</v>
      </c>
      <c r="F4135" s="14" t="s">
        <v>98</v>
      </c>
      <c r="G4135" s="14" t="s">
        <v>99</v>
      </c>
      <c r="H4135" s="0" t="n">
        <v>6</v>
      </c>
      <c r="I4135" s="16" t="n">
        <v>21.99</v>
      </c>
      <c r="J4135" s="16" t="n">
        <v>8</v>
      </c>
      <c r="K4135" s="16" t="n">
        <f aca="false">H4135*I4135</f>
        <v>131.94</v>
      </c>
      <c r="L4135" s="16" t="n">
        <f aca="false">H4135*J4135</f>
        <v>48</v>
      </c>
      <c r="M4135" s="16" t="n">
        <f aca="false">K4135-L4135</f>
        <v>83.94</v>
      </c>
      <c r="N4135" s="17" t="n">
        <f aca="false">IFERROR(M4135/K4135,0)</f>
        <v>0.636198271941792</v>
      </c>
    </row>
    <row r="4136" customFormat="false" ht="15" hidden="false" customHeight="false" outlineLevel="0" collapsed="false">
      <c r="A4136" s="15" t="n">
        <v>46195</v>
      </c>
      <c r="B4136" s="14" t="s">
        <v>50</v>
      </c>
      <c r="C4136" s="14" t="s">
        <v>51</v>
      </c>
      <c r="D4136" s="14" t="s">
        <v>52</v>
      </c>
      <c r="E4136" s="14" t="s">
        <v>64</v>
      </c>
      <c r="F4136" s="14" t="s">
        <v>96</v>
      </c>
      <c r="G4136" s="14" t="s">
        <v>97</v>
      </c>
      <c r="H4136" s="0" t="n">
        <v>10</v>
      </c>
      <c r="I4136" s="16" t="n">
        <v>54.77</v>
      </c>
      <c r="J4136" s="16" t="n">
        <v>24</v>
      </c>
      <c r="K4136" s="16" t="n">
        <f aca="false">H4136*I4136</f>
        <v>547.7</v>
      </c>
      <c r="L4136" s="16" t="n">
        <f aca="false">H4136*J4136</f>
        <v>240</v>
      </c>
      <c r="M4136" s="16" t="n">
        <f aca="false">K4136-L4136</f>
        <v>307.7</v>
      </c>
      <c r="N4136" s="17" t="n">
        <f aca="false">IFERROR(M4136/K4136,0)</f>
        <v>0.561803907248494</v>
      </c>
    </row>
    <row r="4137" customFormat="false" ht="15" hidden="false" customHeight="false" outlineLevel="0" collapsed="false">
      <c r="A4137" s="15" t="n">
        <v>46195</v>
      </c>
      <c r="B4137" s="14" t="s">
        <v>50</v>
      </c>
      <c r="C4137" s="14" t="s">
        <v>51</v>
      </c>
      <c r="D4137" s="14" t="s">
        <v>52</v>
      </c>
      <c r="E4137" s="14" t="s">
        <v>64</v>
      </c>
      <c r="F4137" s="14" t="s">
        <v>96</v>
      </c>
      <c r="G4137" s="14" t="s">
        <v>97</v>
      </c>
      <c r="H4137" s="0" t="n">
        <v>6</v>
      </c>
      <c r="I4137" s="16" t="n">
        <v>56.06</v>
      </c>
      <c r="J4137" s="16" t="n">
        <v>24</v>
      </c>
      <c r="K4137" s="16" t="n">
        <f aca="false">H4137*I4137</f>
        <v>336.36</v>
      </c>
      <c r="L4137" s="16" t="n">
        <f aca="false">H4137*J4137</f>
        <v>144</v>
      </c>
      <c r="M4137" s="16" t="n">
        <f aca="false">K4137-L4137</f>
        <v>192.36</v>
      </c>
      <c r="N4137" s="17" t="n">
        <f aca="false">IFERROR(M4137/K4137,0)</f>
        <v>0.571887263646093</v>
      </c>
    </row>
    <row r="4138" customFormat="false" ht="15" hidden="false" customHeight="false" outlineLevel="0" collapsed="false">
      <c r="A4138" s="15" t="n">
        <v>46195</v>
      </c>
      <c r="B4138" s="14" t="s">
        <v>50</v>
      </c>
      <c r="C4138" s="14" t="s">
        <v>51</v>
      </c>
      <c r="D4138" s="14" t="s">
        <v>52</v>
      </c>
      <c r="E4138" s="14" t="s">
        <v>45</v>
      </c>
      <c r="F4138" s="14" t="s">
        <v>48</v>
      </c>
      <c r="G4138" s="14" t="s">
        <v>49</v>
      </c>
      <c r="H4138" s="0" t="n">
        <v>8</v>
      </c>
      <c r="I4138" s="16" t="n">
        <v>66.42</v>
      </c>
      <c r="J4138" s="16" t="n">
        <v>27.5</v>
      </c>
      <c r="K4138" s="16" t="n">
        <f aca="false">H4138*I4138</f>
        <v>531.36</v>
      </c>
      <c r="L4138" s="16" t="n">
        <f aca="false">H4138*J4138</f>
        <v>220</v>
      </c>
      <c r="M4138" s="16" t="n">
        <f aca="false">K4138-L4138</f>
        <v>311.36</v>
      </c>
      <c r="N4138" s="17" t="n">
        <f aca="false">IFERROR(M4138/K4138,0)</f>
        <v>0.585968081903041</v>
      </c>
    </row>
    <row r="4139" customFormat="false" ht="15" hidden="false" customHeight="false" outlineLevel="0" collapsed="false">
      <c r="A4139" s="15" t="n">
        <v>46195</v>
      </c>
      <c r="B4139" s="14" t="s">
        <v>50</v>
      </c>
      <c r="C4139" s="14" t="s">
        <v>51</v>
      </c>
      <c r="D4139" s="14" t="s">
        <v>52</v>
      </c>
      <c r="E4139" s="14" t="s">
        <v>53</v>
      </c>
      <c r="F4139" s="14" t="s">
        <v>92</v>
      </c>
      <c r="G4139" s="14" t="s">
        <v>93</v>
      </c>
      <c r="H4139" s="0" t="n">
        <v>4</v>
      </c>
      <c r="I4139" s="16" t="n">
        <v>119.08</v>
      </c>
      <c r="J4139" s="16" t="n">
        <v>52</v>
      </c>
      <c r="K4139" s="16" t="n">
        <f aca="false">H4139*I4139</f>
        <v>476.32</v>
      </c>
      <c r="L4139" s="16" t="n">
        <f aca="false">H4139*J4139</f>
        <v>208</v>
      </c>
      <c r="M4139" s="16" t="n">
        <f aca="false">K4139-L4139</f>
        <v>268.32</v>
      </c>
      <c r="N4139" s="17" t="n">
        <f aca="false">IFERROR(M4139/K4139,0)</f>
        <v>0.563318777292576</v>
      </c>
    </row>
    <row r="4140" customFormat="false" ht="15" hidden="false" customHeight="false" outlineLevel="0" collapsed="false">
      <c r="A4140" s="15" t="n">
        <v>46195</v>
      </c>
      <c r="B4140" s="14" t="s">
        <v>59</v>
      </c>
      <c r="C4140" s="14" t="s">
        <v>60</v>
      </c>
      <c r="D4140" s="14" t="s">
        <v>61</v>
      </c>
      <c r="E4140" s="14" t="s">
        <v>53</v>
      </c>
      <c r="F4140" s="14" t="s">
        <v>84</v>
      </c>
      <c r="G4140" s="14" t="s">
        <v>85</v>
      </c>
      <c r="H4140" s="0" t="n">
        <v>4</v>
      </c>
      <c r="I4140" s="16" t="n">
        <v>24.04</v>
      </c>
      <c r="J4140" s="16" t="n">
        <v>9</v>
      </c>
      <c r="K4140" s="16" t="n">
        <f aca="false">H4140*I4140</f>
        <v>96.16</v>
      </c>
      <c r="L4140" s="16" t="n">
        <f aca="false">H4140*J4140</f>
        <v>36</v>
      </c>
      <c r="M4140" s="16" t="n">
        <f aca="false">K4140-L4140</f>
        <v>60.16</v>
      </c>
      <c r="N4140" s="17" t="n">
        <f aca="false">IFERROR(M4140/K4140,0)</f>
        <v>0.625623960066556</v>
      </c>
    </row>
    <row r="4141" customFormat="false" ht="15" hidden="false" customHeight="false" outlineLevel="0" collapsed="false">
      <c r="A4141" s="15" t="n">
        <v>46195</v>
      </c>
      <c r="B4141" s="14" t="s">
        <v>59</v>
      </c>
      <c r="C4141" s="14" t="s">
        <v>60</v>
      </c>
      <c r="D4141" s="14" t="s">
        <v>61</v>
      </c>
      <c r="E4141" s="14" t="s">
        <v>53</v>
      </c>
      <c r="F4141" s="14" t="s">
        <v>74</v>
      </c>
      <c r="G4141" s="14" t="s">
        <v>75</v>
      </c>
      <c r="H4141" s="0" t="n">
        <v>4</v>
      </c>
      <c r="I4141" s="16" t="n">
        <v>88.83</v>
      </c>
      <c r="J4141" s="16" t="n">
        <v>38</v>
      </c>
      <c r="K4141" s="16" t="n">
        <f aca="false">H4141*I4141</f>
        <v>355.32</v>
      </c>
      <c r="L4141" s="16" t="n">
        <f aca="false">H4141*J4141</f>
        <v>152</v>
      </c>
      <c r="M4141" s="16" t="n">
        <f aca="false">K4141-L4141</f>
        <v>203.32</v>
      </c>
      <c r="N4141" s="17" t="n">
        <f aca="false">IFERROR(M4141/K4141,0)</f>
        <v>0.572216593493189</v>
      </c>
    </row>
    <row r="4142" customFormat="false" ht="15" hidden="false" customHeight="false" outlineLevel="0" collapsed="false">
      <c r="A4142" s="15" t="n">
        <v>46195</v>
      </c>
      <c r="B4142" s="14" t="s">
        <v>59</v>
      </c>
      <c r="C4142" s="14" t="s">
        <v>60</v>
      </c>
      <c r="D4142" s="14" t="s">
        <v>61</v>
      </c>
      <c r="E4142" s="14" t="s">
        <v>56</v>
      </c>
      <c r="F4142" s="14" t="s">
        <v>57</v>
      </c>
      <c r="G4142" s="14" t="s">
        <v>58</v>
      </c>
      <c r="H4142" s="0" t="n">
        <v>1</v>
      </c>
      <c r="I4142" s="16" t="n">
        <v>25.69</v>
      </c>
      <c r="J4142" s="16" t="n">
        <v>10</v>
      </c>
      <c r="K4142" s="16" t="n">
        <f aca="false">H4142*I4142</f>
        <v>25.69</v>
      </c>
      <c r="L4142" s="16" t="n">
        <f aca="false">H4142*J4142</f>
        <v>10</v>
      </c>
      <c r="M4142" s="16" t="n">
        <f aca="false">K4142-L4142</f>
        <v>15.69</v>
      </c>
      <c r="N4142" s="17" t="n">
        <f aca="false">IFERROR(M4142/K4142,0)</f>
        <v>0.610743479953289</v>
      </c>
    </row>
    <row r="4143" customFormat="false" ht="15" hidden="false" customHeight="false" outlineLevel="0" collapsed="false">
      <c r="A4143" s="15" t="n">
        <v>46195</v>
      </c>
      <c r="B4143" s="14" t="s">
        <v>59</v>
      </c>
      <c r="C4143" s="14" t="s">
        <v>60</v>
      </c>
      <c r="D4143" s="14" t="s">
        <v>61</v>
      </c>
      <c r="E4143" s="14" t="s">
        <v>53</v>
      </c>
      <c r="F4143" s="14" t="s">
        <v>54</v>
      </c>
      <c r="G4143" s="14" t="s">
        <v>55</v>
      </c>
      <c r="H4143" s="0" t="n">
        <v>4</v>
      </c>
      <c r="I4143" s="16" t="n">
        <v>52.88</v>
      </c>
      <c r="J4143" s="16" t="n">
        <v>22</v>
      </c>
      <c r="K4143" s="16" t="n">
        <f aca="false">H4143*I4143</f>
        <v>211.52</v>
      </c>
      <c r="L4143" s="16" t="n">
        <f aca="false">H4143*J4143</f>
        <v>88</v>
      </c>
      <c r="M4143" s="16" t="n">
        <f aca="false">K4143-L4143</f>
        <v>123.52</v>
      </c>
      <c r="N4143" s="17" t="n">
        <f aca="false">IFERROR(M4143/K4143,0)</f>
        <v>0.583963691376702</v>
      </c>
    </row>
    <row r="4144" customFormat="false" ht="15" hidden="false" customHeight="false" outlineLevel="0" collapsed="false">
      <c r="A4144" s="15" t="n">
        <v>46195</v>
      </c>
      <c r="B4144" s="14" t="s">
        <v>59</v>
      </c>
      <c r="C4144" s="14" t="s">
        <v>60</v>
      </c>
      <c r="D4144" s="14" t="s">
        <v>61</v>
      </c>
      <c r="E4144" s="14" t="s">
        <v>56</v>
      </c>
      <c r="F4144" s="14" t="s">
        <v>98</v>
      </c>
      <c r="G4144" s="14" t="s">
        <v>99</v>
      </c>
      <c r="H4144" s="0" t="n">
        <v>3</v>
      </c>
      <c r="I4144" s="16" t="n">
        <v>20.54</v>
      </c>
      <c r="J4144" s="16" t="n">
        <v>8</v>
      </c>
      <c r="K4144" s="16" t="n">
        <f aca="false">H4144*I4144</f>
        <v>61.62</v>
      </c>
      <c r="L4144" s="16" t="n">
        <f aca="false">H4144*J4144</f>
        <v>24</v>
      </c>
      <c r="M4144" s="16" t="n">
        <f aca="false">K4144-L4144</f>
        <v>37.62</v>
      </c>
      <c r="N4144" s="17" t="n">
        <f aca="false">IFERROR(M4144/K4144,0)</f>
        <v>0.610516066212269</v>
      </c>
    </row>
    <row r="4145" customFormat="false" ht="15" hidden="false" customHeight="false" outlineLevel="0" collapsed="false">
      <c r="A4145" s="15" t="n">
        <v>46195</v>
      </c>
      <c r="B4145" s="14" t="s">
        <v>59</v>
      </c>
      <c r="C4145" s="14" t="s">
        <v>60</v>
      </c>
      <c r="D4145" s="14" t="s">
        <v>61</v>
      </c>
      <c r="E4145" s="14" t="s">
        <v>45</v>
      </c>
      <c r="F4145" s="14" t="s">
        <v>48</v>
      </c>
      <c r="G4145" s="14" t="s">
        <v>49</v>
      </c>
      <c r="H4145" s="0" t="n">
        <v>2</v>
      </c>
      <c r="I4145" s="16" t="n">
        <v>62.64</v>
      </c>
      <c r="J4145" s="16" t="n">
        <v>27.5</v>
      </c>
      <c r="K4145" s="16" t="n">
        <f aca="false">H4145*I4145</f>
        <v>125.28</v>
      </c>
      <c r="L4145" s="16" t="n">
        <f aca="false">H4145*J4145</f>
        <v>55</v>
      </c>
      <c r="M4145" s="16" t="n">
        <f aca="false">K4145-L4145</f>
        <v>70.28</v>
      </c>
      <c r="N4145" s="17" t="n">
        <f aca="false">IFERROR(M4145/K4145,0)</f>
        <v>0.560983397190294</v>
      </c>
    </row>
    <row r="4146" customFormat="false" ht="15" hidden="false" customHeight="false" outlineLevel="0" collapsed="false">
      <c r="A4146" s="15" t="n">
        <v>46195</v>
      </c>
      <c r="B4146" s="14" t="s">
        <v>69</v>
      </c>
      <c r="C4146" s="14" t="s">
        <v>70</v>
      </c>
      <c r="D4146" s="14" t="s">
        <v>71</v>
      </c>
      <c r="E4146" s="14" t="s">
        <v>53</v>
      </c>
      <c r="F4146" s="14" t="s">
        <v>74</v>
      </c>
      <c r="G4146" s="14" t="s">
        <v>75</v>
      </c>
      <c r="H4146" s="0" t="n">
        <v>1</v>
      </c>
      <c r="I4146" s="16" t="n">
        <v>82.33</v>
      </c>
      <c r="J4146" s="16" t="n">
        <v>38</v>
      </c>
      <c r="K4146" s="16" t="n">
        <f aca="false">H4146*I4146</f>
        <v>82.33</v>
      </c>
      <c r="L4146" s="16" t="n">
        <f aca="false">H4146*J4146</f>
        <v>38</v>
      </c>
      <c r="M4146" s="16" t="n">
        <f aca="false">K4146-L4146</f>
        <v>44.33</v>
      </c>
      <c r="N4146" s="17" t="n">
        <f aca="false">IFERROR(M4146/K4146,0)</f>
        <v>0.538442851937325</v>
      </c>
    </row>
    <row r="4147" customFormat="false" ht="15" hidden="false" customHeight="false" outlineLevel="0" collapsed="false">
      <c r="A4147" s="15" t="n">
        <v>46195</v>
      </c>
      <c r="B4147" s="14" t="s">
        <v>69</v>
      </c>
      <c r="C4147" s="14" t="s">
        <v>70</v>
      </c>
      <c r="D4147" s="14" t="s">
        <v>71</v>
      </c>
      <c r="E4147" s="14" t="s">
        <v>56</v>
      </c>
      <c r="F4147" s="14" t="s">
        <v>57</v>
      </c>
      <c r="G4147" s="14" t="s">
        <v>58</v>
      </c>
      <c r="H4147" s="0" t="n">
        <v>6</v>
      </c>
      <c r="I4147" s="16" t="n">
        <v>25.78</v>
      </c>
      <c r="J4147" s="16" t="n">
        <v>10</v>
      </c>
      <c r="K4147" s="16" t="n">
        <f aca="false">H4147*I4147</f>
        <v>154.68</v>
      </c>
      <c r="L4147" s="16" t="n">
        <f aca="false">H4147*J4147</f>
        <v>60</v>
      </c>
      <c r="M4147" s="16" t="n">
        <f aca="false">K4147-L4147</f>
        <v>94.68</v>
      </c>
      <c r="N4147" s="17" t="n">
        <f aca="false">IFERROR(M4147/K4147,0)</f>
        <v>0.612102404965089</v>
      </c>
    </row>
    <row r="4148" customFormat="false" ht="15" hidden="false" customHeight="false" outlineLevel="0" collapsed="false">
      <c r="A4148" s="15" t="n">
        <v>46195</v>
      </c>
      <c r="B4148" s="14" t="s">
        <v>69</v>
      </c>
      <c r="C4148" s="14" t="s">
        <v>70</v>
      </c>
      <c r="D4148" s="14" t="s">
        <v>71</v>
      </c>
      <c r="E4148" s="14" t="s">
        <v>45</v>
      </c>
      <c r="F4148" s="14" t="s">
        <v>48</v>
      </c>
      <c r="G4148" s="14" t="s">
        <v>49</v>
      </c>
      <c r="H4148" s="0" t="n">
        <v>1</v>
      </c>
      <c r="I4148" s="16" t="n">
        <v>65.32</v>
      </c>
      <c r="J4148" s="16" t="n">
        <v>27.5</v>
      </c>
      <c r="K4148" s="16" t="n">
        <f aca="false">H4148*I4148</f>
        <v>65.32</v>
      </c>
      <c r="L4148" s="16" t="n">
        <f aca="false">H4148*J4148</f>
        <v>27.5</v>
      </c>
      <c r="M4148" s="16" t="n">
        <f aca="false">K4148-L4148</f>
        <v>37.82</v>
      </c>
      <c r="N4148" s="17" t="n">
        <f aca="false">IFERROR(M4148/K4148,0)</f>
        <v>0.5789957134109</v>
      </c>
    </row>
    <row r="4149" customFormat="false" ht="15" hidden="false" customHeight="false" outlineLevel="0" collapsed="false">
      <c r="A4149" s="15" t="n">
        <v>46195</v>
      </c>
      <c r="B4149" s="14" t="s">
        <v>81</v>
      </c>
      <c r="C4149" s="14" t="s">
        <v>82</v>
      </c>
      <c r="D4149" s="14" t="s">
        <v>83</v>
      </c>
      <c r="E4149" s="14" t="s">
        <v>56</v>
      </c>
      <c r="F4149" s="14" t="s">
        <v>57</v>
      </c>
      <c r="G4149" s="14" t="s">
        <v>58</v>
      </c>
      <c r="H4149" s="0" t="n">
        <v>5</v>
      </c>
      <c r="I4149" s="16" t="n">
        <v>25.1</v>
      </c>
      <c r="J4149" s="16" t="n">
        <v>10</v>
      </c>
      <c r="K4149" s="16" t="n">
        <f aca="false">H4149*I4149</f>
        <v>125.5</v>
      </c>
      <c r="L4149" s="16" t="n">
        <f aca="false">H4149*J4149</f>
        <v>50</v>
      </c>
      <c r="M4149" s="16" t="n">
        <f aca="false">K4149-L4149</f>
        <v>75.5</v>
      </c>
      <c r="N4149" s="17" t="n">
        <f aca="false">IFERROR(M4149/K4149,0)</f>
        <v>0.601593625498008</v>
      </c>
    </row>
    <row r="4150" customFormat="false" ht="15" hidden="false" customHeight="false" outlineLevel="0" collapsed="false">
      <c r="A4150" s="15" t="n">
        <v>46195</v>
      </c>
      <c r="B4150" s="14" t="s">
        <v>81</v>
      </c>
      <c r="C4150" s="14" t="s">
        <v>82</v>
      </c>
      <c r="D4150" s="14" t="s">
        <v>83</v>
      </c>
      <c r="E4150" s="14" t="s">
        <v>56</v>
      </c>
      <c r="F4150" s="14" t="s">
        <v>98</v>
      </c>
      <c r="G4150" s="14" t="s">
        <v>99</v>
      </c>
      <c r="H4150" s="0" t="n">
        <v>4</v>
      </c>
      <c r="I4150" s="16" t="n">
        <v>20.57</v>
      </c>
      <c r="J4150" s="16" t="n">
        <v>8</v>
      </c>
      <c r="K4150" s="16" t="n">
        <f aca="false">H4150*I4150</f>
        <v>82.28</v>
      </c>
      <c r="L4150" s="16" t="n">
        <f aca="false">H4150*J4150</f>
        <v>32</v>
      </c>
      <c r="M4150" s="16" t="n">
        <f aca="false">K4150-L4150</f>
        <v>50.28</v>
      </c>
      <c r="N4150" s="17" t="n">
        <f aca="false">IFERROR(M4150/K4150,0)</f>
        <v>0.611084103062713</v>
      </c>
    </row>
    <row r="4151" customFormat="false" ht="15" hidden="false" customHeight="false" outlineLevel="0" collapsed="false">
      <c r="A4151" s="15" t="n">
        <v>46195</v>
      </c>
      <c r="B4151" s="14" t="s">
        <v>81</v>
      </c>
      <c r="C4151" s="14" t="s">
        <v>82</v>
      </c>
      <c r="D4151" s="14" t="s">
        <v>83</v>
      </c>
      <c r="E4151" s="14" t="s">
        <v>64</v>
      </c>
      <c r="F4151" s="14" t="s">
        <v>65</v>
      </c>
      <c r="G4151" s="14" t="s">
        <v>66</v>
      </c>
      <c r="H4151" s="0" t="n">
        <v>4</v>
      </c>
      <c r="I4151" s="16" t="n">
        <v>73.07</v>
      </c>
      <c r="J4151" s="16" t="n">
        <v>34</v>
      </c>
      <c r="K4151" s="16" t="n">
        <f aca="false">H4151*I4151</f>
        <v>292.28</v>
      </c>
      <c r="L4151" s="16" t="n">
        <f aca="false">H4151*J4151</f>
        <v>136</v>
      </c>
      <c r="M4151" s="16" t="n">
        <f aca="false">K4151-L4151</f>
        <v>156.28</v>
      </c>
      <c r="N4151" s="17" t="n">
        <f aca="false">IFERROR(M4151/K4151,0)</f>
        <v>0.534692760366772</v>
      </c>
    </row>
    <row r="4152" customFormat="false" ht="15" hidden="false" customHeight="false" outlineLevel="0" collapsed="false">
      <c r="A4152" s="15" t="n">
        <v>46195</v>
      </c>
      <c r="B4152" s="14" t="s">
        <v>81</v>
      </c>
      <c r="C4152" s="14" t="s">
        <v>82</v>
      </c>
      <c r="D4152" s="14" t="s">
        <v>83</v>
      </c>
      <c r="E4152" s="14" t="s">
        <v>53</v>
      </c>
      <c r="F4152" s="14" t="s">
        <v>92</v>
      </c>
      <c r="G4152" s="14" t="s">
        <v>93</v>
      </c>
      <c r="H4152" s="0" t="n">
        <v>6</v>
      </c>
      <c r="I4152" s="16" t="n">
        <v>116.64</v>
      </c>
      <c r="J4152" s="16" t="n">
        <v>52</v>
      </c>
      <c r="K4152" s="16" t="n">
        <f aca="false">H4152*I4152</f>
        <v>699.84</v>
      </c>
      <c r="L4152" s="16" t="n">
        <f aca="false">H4152*J4152</f>
        <v>312</v>
      </c>
      <c r="M4152" s="16" t="n">
        <f aca="false">K4152-L4152</f>
        <v>387.84</v>
      </c>
      <c r="N4152" s="17" t="n">
        <f aca="false">IFERROR(M4152/K4152,0)</f>
        <v>0.554183813443073</v>
      </c>
    </row>
    <row r="4153" customFormat="false" ht="15" hidden="false" customHeight="false" outlineLevel="0" collapsed="false">
      <c r="A4153" s="15" t="n">
        <v>46195</v>
      </c>
      <c r="B4153" s="14" t="s">
        <v>81</v>
      </c>
      <c r="C4153" s="14" t="s">
        <v>82</v>
      </c>
      <c r="D4153" s="14" t="s">
        <v>83</v>
      </c>
      <c r="E4153" s="14" t="s">
        <v>45</v>
      </c>
      <c r="F4153" s="14" t="s">
        <v>48</v>
      </c>
      <c r="G4153" s="14" t="s">
        <v>49</v>
      </c>
      <c r="H4153" s="0" t="n">
        <v>6</v>
      </c>
      <c r="I4153" s="16" t="n">
        <v>64.06</v>
      </c>
      <c r="J4153" s="16" t="n">
        <v>27.5</v>
      </c>
      <c r="K4153" s="16" t="n">
        <f aca="false">H4153*I4153</f>
        <v>384.36</v>
      </c>
      <c r="L4153" s="16" t="n">
        <f aca="false">H4153*J4153</f>
        <v>165</v>
      </c>
      <c r="M4153" s="16" t="n">
        <f aca="false">K4153-L4153</f>
        <v>219.36</v>
      </c>
      <c r="N4153" s="17" t="n">
        <f aca="false">IFERROR(M4153/K4153,0)</f>
        <v>0.570714954729941</v>
      </c>
    </row>
    <row r="4154" customFormat="false" ht="15" hidden="false" customHeight="false" outlineLevel="0" collapsed="false">
      <c r="A4154" s="15" t="n">
        <v>46195</v>
      </c>
      <c r="B4154" s="14" t="s">
        <v>81</v>
      </c>
      <c r="C4154" s="14" t="s">
        <v>82</v>
      </c>
      <c r="D4154" s="14" t="s">
        <v>83</v>
      </c>
      <c r="E4154" s="14" t="s">
        <v>56</v>
      </c>
      <c r="F4154" s="14" t="s">
        <v>86</v>
      </c>
      <c r="G4154" s="14" t="s">
        <v>87</v>
      </c>
      <c r="H4154" s="0" t="n">
        <v>3</v>
      </c>
      <c r="I4154" s="16" t="n">
        <v>14.18</v>
      </c>
      <c r="J4154" s="16" t="n">
        <v>5</v>
      </c>
      <c r="K4154" s="16" t="n">
        <f aca="false">H4154*I4154</f>
        <v>42.54</v>
      </c>
      <c r="L4154" s="16" t="n">
        <f aca="false">H4154*J4154</f>
        <v>15</v>
      </c>
      <c r="M4154" s="16" t="n">
        <f aca="false">K4154-L4154</f>
        <v>27.54</v>
      </c>
      <c r="N4154" s="17" t="n">
        <f aca="false">IFERROR(M4154/K4154,0)</f>
        <v>0.647390691114245</v>
      </c>
    </row>
    <row r="4155" customFormat="false" ht="15" hidden="false" customHeight="false" outlineLevel="0" collapsed="false">
      <c r="A4155" s="15" t="n">
        <v>46195</v>
      </c>
      <c r="B4155" s="14" t="s">
        <v>88</v>
      </c>
      <c r="C4155" s="14" t="s">
        <v>89</v>
      </c>
      <c r="D4155" s="14" t="s">
        <v>44</v>
      </c>
      <c r="E4155" s="14" t="s">
        <v>56</v>
      </c>
      <c r="F4155" s="14" t="s">
        <v>67</v>
      </c>
      <c r="G4155" s="14" t="s">
        <v>68</v>
      </c>
      <c r="H4155" s="0" t="n">
        <v>2</v>
      </c>
      <c r="I4155" s="16" t="n">
        <v>35.07</v>
      </c>
      <c r="J4155" s="16" t="n">
        <v>15</v>
      </c>
      <c r="K4155" s="16" t="n">
        <f aca="false">H4155*I4155</f>
        <v>70.14</v>
      </c>
      <c r="L4155" s="16" t="n">
        <f aca="false">H4155*J4155</f>
        <v>30</v>
      </c>
      <c r="M4155" s="16" t="n">
        <f aca="false">K4155-L4155</f>
        <v>40.14</v>
      </c>
      <c r="N4155" s="17" t="n">
        <f aca="false">IFERROR(M4155/K4155,0)</f>
        <v>0.572284003421728</v>
      </c>
    </row>
    <row r="4156" customFormat="false" ht="15" hidden="false" customHeight="false" outlineLevel="0" collapsed="false">
      <c r="A4156" s="15" t="n">
        <v>46195</v>
      </c>
      <c r="B4156" s="14" t="s">
        <v>88</v>
      </c>
      <c r="C4156" s="14" t="s">
        <v>89</v>
      </c>
      <c r="D4156" s="14" t="s">
        <v>44</v>
      </c>
      <c r="E4156" s="14" t="s">
        <v>53</v>
      </c>
      <c r="F4156" s="14" t="s">
        <v>74</v>
      </c>
      <c r="G4156" s="14" t="s">
        <v>75</v>
      </c>
      <c r="H4156" s="0" t="n">
        <v>11</v>
      </c>
      <c r="I4156" s="16" t="n">
        <v>87.83</v>
      </c>
      <c r="J4156" s="16" t="n">
        <v>38</v>
      </c>
      <c r="K4156" s="16" t="n">
        <f aca="false">H4156*I4156</f>
        <v>966.13</v>
      </c>
      <c r="L4156" s="16" t="n">
        <f aca="false">H4156*J4156</f>
        <v>418</v>
      </c>
      <c r="M4156" s="16" t="n">
        <f aca="false">K4156-L4156</f>
        <v>548.13</v>
      </c>
      <c r="N4156" s="17" t="n">
        <f aca="false">IFERROR(M4156/K4156,0)</f>
        <v>0.567346009336218</v>
      </c>
    </row>
    <row r="4157" customFormat="false" ht="15" hidden="false" customHeight="false" outlineLevel="0" collapsed="false">
      <c r="A4157" s="15" t="n">
        <v>46195</v>
      </c>
      <c r="B4157" s="14" t="s">
        <v>88</v>
      </c>
      <c r="C4157" s="14" t="s">
        <v>89</v>
      </c>
      <c r="D4157" s="14" t="s">
        <v>44</v>
      </c>
      <c r="E4157" s="14" t="s">
        <v>64</v>
      </c>
      <c r="F4157" s="14" t="s">
        <v>96</v>
      </c>
      <c r="G4157" s="14" t="s">
        <v>97</v>
      </c>
      <c r="H4157" s="0" t="n">
        <v>1</v>
      </c>
      <c r="I4157" s="16" t="n">
        <v>56.03</v>
      </c>
      <c r="J4157" s="16" t="n">
        <v>24</v>
      </c>
      <c r="K4157" s="16" t="n">
        <f aca="false">H4157*I4157</f>
        <v>56.03</v>
      </c>
      <c r="L4157" s="16" t="n">
        <f aca="false">H4157*J4157</f>
        <v>24</v>
      </c>
      <c r="M4157" s="16" t="n">
        <f aca="false">K4157-L4157</f>
        <v>32.03</v>
      </c>
      <c r="N4157" s="17" t="n">
        <f aca="false">IFERROR(M4157/K4157,0)</f>
        <v>0.571658040335535</v>
      </c>
    </row>
    <row r="4158" customFormat="false" ht="15" hidden="false" customHeight="false" outlineLevel="0" collapsed="false">
      <c r="A4158" s="15" t="n">
        <v>46195</v>
      </c>
      <c r="B4158" s="14" t="s">
        <v>88</v>
      </c>
      <c r="C4158" s="14" t="s">
        <v>89</v>
      </c>
      <c r="D4158" s="14" t="s">
        <v>44</v>
      </c>
      <c r="E4158" s="14" t="s">
        <v>76</v>
      </c>
      <c r="F4158" s="14" t="s">
        <v>102</v>
      </c>
      <c r="G4158" s="14" t="s">
        <v>103</v>
      </c>
      <c r="H4158" s="0" t="n">
        <v>8</v>
      </c>
      <c r="I4158" s="16" t="n">
        <v>22.92</v>
      </c>
      <c r="J4158" s="16" t="n">
        <v>8.5</v>
      </c>
      <c r="K4158" s="16" t="n">
        <f aca="false">H4158*I4158</f>
        <v>183.36</v>
      </c>
      <c r="L4158" s="16" t="n">
        <f aca="false">H4158*J4158</f>
        <v>68</v>
      </c>
      <c r="M4158" s="16" t="n">
        <f aca="false">K4158-L4158</f>
        <v>115.36</v>
      </c>
      <c r="N4158" s="17" t="n">
        <f aca="false">IFERROR(M4158/K4158,0)</f>
        <v>0.629144851657941</v>
      </c>
    </row>
    <row r="4159" customFormat="false" ht="15" hidden="false" customHeight="false" outlineLevel="0" collapsed="false">
      <c r="A4159" s="15" t="n">
        <v>46195</v>
      </c>
      <c r="B4159" s="14" t="s">
        <v>88</v>
      </c>
      <c r="C4159" s="14" t="s">
        <v>89</v>
      </c>
      <c r="D4159" s="14" t="s">
        <v>44</v>
      </c>
      <c r="E4159" s="14" t="s">
        <v>45</v>
      </c>
      <c r="F4159" s="14" t="s">
        <v>46</v>
      </c>
      <c r="G4159" s="14" t="s">
        <v>47</v>
      </c>
      <c r="H4159" s="0" t="n">
        <v>1</v>
      </c>
      <c r="I4159" s="16" t="n">
        <v>44.65</v>
      </c>
      <c r="J4159" s="16" t="n">
        <v>18</v>
      </c>
      <c r="K4159" s="16" t="n">
        <f aca="false">H4159*I4159</f>
        <v>44.65</v>
      </c>
      <c r="L4159" s="16" t="n">
        <f aca="false">H4159*J4159</f>
        <v>18</v>
      </c>
      <c r="M4159" s="16" t="n">
        <f aca="false">K4159-L4159</f>
        <v>26.65</v>
      </c>
      <c r="N4159" s="17" t="n">
        <f aca="false">IFERROR(M4159/K4159,0)</f>
        <v>0.596864501679731</v>
      </c>
    </row>
    <row r="4160" customFormat="false" ht="15" hidden="false" customHeight="false" outlineLevel="0" collapsed="false">
      <c r="A4160" s="15" t="n">
        <v>46196</v>
      </c>
      <c r="B4160" s="14" t="s">
        <v>42</v>
      </c>
      <c r="C4160" s="14" t="s">
        <v>43</v>
      </c>
      <c r="D4160" s="14" t="s">
        <v>44</v>
      </c>
      <c r="E4160" s="14" t="s">
        <v>64</v>
      </c>
      <c r="F4160" s="14" t="s">
        <v>90</v>
      </c>
      <c r="G4160" s="14" t="s">
        <v>91</v>
      </c>
      <c r="H4160" s="0" t="n">
        <v>10</v>
      </c>
      <c r="I4160" s="16" t="n">
        <v>11.45</v>
      </c>
      <c r="J4160" s="16" t="n">
        <v>3.5</v>
      </c>
      <c r="K4160" s="16" t="n">
        <f aca="false">H4160*I4160</f>
        <v>114.5</v>
      </c>
      <c r="L4160" s="16" t="n">
        <f aca="false">H4160*J4160</f>
        <v>35</v>
      </c>
      <c r="M4160" s="16" t="n">
        <f aca="false">K4160-L4160</f>
        <v>79.5</v>
      </c>
      <c r="N4160" s="17" t="n">
        <f aca="false">IFERROR(M4160/K4160,0)</f>
        <v>0.694323144104803</v>
      </c>
    </row>
    <row r="4161" customFormat="false" ht="15" hidden="false" customHeight="false" outlineLevel="0" collapsed="false">
      <c r="A4161" s="15" t="n">
        <v>46196</v>
      </c>
      <c r="B4161" s="14" t="s">
        <v>42</v>
      </c>
      <c r="C4161" s="14" t="s">
        <v>43</v>
      </c>
      <c r="D4161" s="14" t="s">
        <v>44</v>
      </c>
      <c r="E4161" s="14" t="s">
        <v>45</v>
      </c>
      <c r="F4161" s="14" t="s">
        <v>48</v>
      </c>
      <c r="G4161" s="14" t="s">
        <v>49</v>
      </c>
      <c r="H4161" s="0" t="n">
        <v>1</v>
      </c>
      <c r="I4161" s="16" t="n">
        <v>67.48</v>
      </c>
      <c r="J4161" s="16" t="n">
        <v>27.5</v>
      </c>
      <c r="K4161" s="16" t="n">
        <f aca="false">H4161*I4161</f>
        <v>67.48</v>
      </c>
      <c r="L4161" s="16" t="n">
        <f aca="false">H4161*J4161</f>
        <v>27.5</v>
      </c>
      <c r="M4161" s="16" t="n">
        <f aca="false">K4161-L4161</f>
        <v>39.98</v>
      </c>
      <c r="N4161" s="17" t="n">
        <f aca="false">IFERROR(M4161/K4161,0)</f>
        <v>0.592471843509188</v>
      </c>
    </row>
    <row r="4162" customFormat="false" ht="15" hidden="false" customHeight="false" outlineLevel="0" collapsed="false">
      <c r="A4162" s="15" t="n">
        <v>46196</v>
      </c>
      <c r="B4162" s="14" t="s">
        <v>50</v>
      </c>
      <c r="C4162" s="14" t="s">
        <v>51</v>
      </c>
      <c r="D4162" s="14" t="s">
        <v>52</v>
      </c>
      <c r="E4162" s="14" t="s">
        <v>76</v>
      </c>
      <c r="F4162" s="14" t="s">
        <v>102</v>
      </c>
      <c r="G4162" s="14" t="s">
        <v>103</v>
      </c>
      <c r="H4162" s="0" t="n">
        <v>3</v>
      </c>
      <c r="I4162" s="16" t="n">
        <v>23.44</v>
      </c>
      <c r="J4162" s="16" t="n">
        <v>8.5</v>
      </c>
      <c r="K4162" s="16" t="n">
        <f aca="false">H4162*I4162</f>
        <v>70.32</v>
      </c>
      <c r="L4162" s="16" t="n">
        <f aca="false">H4162*J4162</f>
        <v>25.5</v>
      </c>
      <c r="M4162" s="16" t="n">
        <f aca="false">K4162-L4162</f>
        <v>44.82</v>
      </c>
      <c r="N4162" s="17" t="n">
        <f aca="false">IFERROR(M4162/K4162,0)</f>
        <v>0.637372013651877</v>
      </c>
    </row>
    <row r="4163" customFormat="false" ht="15" hidden="false" customHeight="false" outlineLevel="0" collapsed="false">
      <c r="A4163" s="15" t="n">
        <v>46196</v>
      </c>
      <c r="B4163" s="14" t="s">
        <v>50</v>
      </c>
      <c r="C4163" s="14" t="s">
        <v>51</v>
      </c>
      <c r="D4163" s="14" t="s">
        <v>52</v>
      </c>
      <c r="E4163" s="14" t="s">
        <v>53</v>
      </c>
      <c r="F4163" s="14" t="s">
        <v>92</v>
      </c>
      <c r="G4163" s="14" t="s">
        <v>93</v>
      </c>
      <c r="H4163" s="0" t="n">
        <v>1</v>
      </c>
      <c r="I4163" s="16" t="n">
        <v>118.15</v>
      </c>
      <c r="J4163" s="16" t="n">
        <v>52</v>
      </c>
      <c r="K4163" s="16" t="n">
        <f aca="false">H4163*I4163</f>
        <v>118.15</v>
      </c>
      <c r="L4163" s="16" t="n">
        <f aca="false">H4163*J4163</f>
        <v>52</v>
      </c>
      <c r="M4163" s="16" t="n">
        <f aca="false">K4163-L4163</f>
        <v>66.15</v>
      </c>
      <c r="N4163" s="17" t="n">
        <f aca="false">IFERROR(M4163/K4163,0)</f>
        <v>0.559881506559458</v>
      </c>
    </row>
    <row r="4164" customFormat="false" ht="15" hidden="false" customHeight="false" outlineLevel="0" collapsed="false">
      <c r="A4164" s="15" t="n">
        <v>46196</v>
      </c>
      <c r="B4164" s="14" t="s">
        <v>50</v>
      </c>
      <c r="C4164" s="14" t="s">
        <v>51</v>
      </c>
      <c r="D4164" s="14" t="s">
        <v>52</v>
      </c>
      <c r="E4164" s="14" t="s">
        <v>56</v>
      </c>
      <c r="F4164" s="14" t="s">
        <v>67</v>
      </c>
      <c r="G4164" s="14" t="s">
        <v>68</v>
      </c>
      <c r="H4164" s="0" t="n">
        <v>2</v>
      </c>
      <c r="I4164" s="16" t="n">
        <v>36.17</v>
      </c>
      <c r="J4164" s="16" t="n">
        <v>15</v>
      </c>
      <c r="K4164" s="16" t="n">
        <f aca="false">H4164*I4164</f>
        <v>72.34</v>
      </c>
      <c r="L4164" s="16" t="n">
        <f aca="false">H4164*J4164</f>
        <v>30</v>
      </c>
      <c r="M4164" s="16" t="n">
        <f aca="false">K4164-L4164</f>
        <v>42.34</v>
      </c>
      <c r="N4164" s="17" t="n">
        <f aca="false">IFERROR(M4164/K4164,0)</f>
        <v>0.585291678186342</v>
      </c>
    </row>
    <row r="4165" customFormat="false" ht="15" hidden="false" customHeight="false" outlineLevel="0" collapsed="false">
      <c r="A4165" s="15" t="n">
        <v>46196</v>
      </c>
      <c r="B4165" s="14" t="s">
        <v>50</v>
      </c>
      <c r="C4165" s="14" t="s">
        <v>51</v>
      </c>
      <c r="D4165" s="14" t="s">
        <v>52</v>
      </c>
      <c r="E4165" s="14" t="s">
        <v>56</v>
      </c>
      <c r="F4165" s="14" t="s">
        <v>67</v>
      </c>
      <c r="G4165" s="14" t="s">
        <v>68</v>
      </c>
      <c r="H4165" s="0" t="n">
        <v>9</v>
      </c>
      <c r="I4165" s="16" t="n">
        <v>35.09</v>
      </c>
      <c r="J4165" s="16" t="n">
        <v>15</v>
      </c>
      <c r="K4165" s="16" t="n">
        <f aca="false">H4165*I4165</f>
        <v>315.81</v>
      </c>
      <c r="L4165" s="16" t="n">
        <f aca="false">H4165*J4165</f>
        <v>135</v>
      </c>
      <c r="M4165" s="16" t="n">
        <f aca="false">K4165-L4165</f>
        <v>180.81</v>
      </c>
      <c r="N4165" s="17" t="n">
        <f aca="false">IFERROR(M4165/K4165,0)</f>
        <v>0.57252778569393</v>
      </c>
    </row>
    <row r="4166" customFormat="false" ht="15" hidden="false" customHeight="false" outlineLevel="0" collapsed="false">
      <c r="A4166" s="15" t="n">
        <v>46196</v>
      </c>
      <c r="B4166" s="14" t="s">
        <v>50</v>
      </c>
      <c r="C4166" s="14" t="s">
        <v>51</v>
      </c>
      <c r="D4166" s="14" t="s">
        <v>52</v>
      </c>
      <c r="E4166" s="14" t="s">
        <v>56</v>
      </c>
      <c r="F4166" s="14" t="s">
        <v>98</v>
      </c>
      <c r="G4166" s="14" t="s">
        <v>99</v>
      </c>
      <c r="H4166" s="0" t="n">
        <v>7</v>
      </c>
      <c r="I4166" s="16" t="n">
        <v>21.6</v>
      </c>
      <c r="J4166" s="16" t="n">
        <v>8</v>
      </c>
      <c r="K4166" s="16" t="n">
        <f aca="false">H4166*I4166</f>
        <v>151.2</v>
      </c>
      <c r="L4166" s="16" t="n">
        <f aca="false">H4166*J4166</f>
        <v>56</v>
      </c>
      <c r="M4166" s="16" t="n">
        <f aca="false">K4166-L4166</f>
        <v>95.2</v>
      </c>
      <c r="N4166" s="17" t="n">
        <f aca="false">IFERROR(M4166/K4166,0)</f>
        <v>0.62962962962963</v>
      </c>
    </row>
    <row r="4167" customFormat="false" ht="15" hidden="false" customHeight="false" outlineLevel="0" collapsed="false">
      <c r="A4167" s="15" t="n">
        <v>46196</v>
      </c>
      <c r="B4167" s="14" t="s">
        <v>59</v>
      </c>
      <c r="C4167" s="14" t="s">
        <v>60</v>
      </c>
      <c r="D4167" s="14" t="s">
        <v>61</v>
      </c>
      <c r="E4167" s="14" t="s">
        <v>64</v>
      </c>
      <c r="F4167" s="14" t="s">
        <v>90</v>
      </c>
      <c r="G4167" s="14" t="s">
        <v>91</v>
      </c>
      <c r="H4167" s="0" t="n">
        <v>4</v>
      </c>
      <c r="I4167" s="16" t="n">
        <v>11.32</v>
      </c>
      <c r="J4167" s="16" t="n">
        <v>3.5</v>
      </c>
      <c r="K4167" s="16" t="n">
        <f aca="false">H4167*I4167</f>
        <v>45.28</v>
      </c>
      <c r="L4167" s="16" t="n">
        <f aca="false">H4167*J4167</f>
        <v>14</v>
      </c>
      <c r="M4167" s="16" t="n">
        <f aca="false">K4167-L4167</f>
        <v>31.28</v>
      </c>
      <c r="N4167" s="17" t="n">
        <f aca="false">IFERROR(M4167/K4167,0)</f>
        <v>0.690812720848057</v>
      </c>
    </row>
    <row r="4168" customFormat="false" ht="15" hidden="false" customHeight="false" outlineLevel="0" collapsed="false">
      <c r="A4168" s="15" t="n">
        <v>46196</v>
      </c>
      <c r="B4168" s="14" t="s">
        <v>59</v>
      </c>
      <c r="C4168" s="14" t="s">
        <v>60</v>
      </c>
      <c r="D4168" s="14" t="s">
        <v>61</v>
      </c>
      <c r="E4168" s="14" t="s">
        <v>53</v>
      </c>
      <c r="F4168" s="14" t="s">
        <v>84</v>
      </c>
      <c r="G4168" s="14" t="s">
        <v>85</v>
      </c>
      <c r="H4168" s="0" t="n">
        <v>8</v>
      </c>
      <c r="I4168" s="16" t="n">
        <v>23.32</v>
      </c>
      <c r="J4168" s="16" t="n">
        <v>9</v>
      </c>
      <c r="K4168" s="16" t="n">
        <f aca="false">H4168*I4168</f>
        <v>186.56</v>
      </c>
      <c r="L4168" s="16" t="n">
        <f aca="false">H4168*J4168</f>
        <v>72</v>
      </c>
      <c r="M4168" s="16" t="n">
        <f aca="false">K4168-L4168</f>
        <v>114.56</v>
      </c>
      <c r="N4168" s="17" t="n">
        <f aca="false">IFERROR(M4168/K4168,0)</f>
        <v>0.614065180102916</v>
      </c>
    </row>
    <row r="4169" customFormat="false" ht="15" hidden="false" customHeight="false" outlineLevel="0" collapsed="false">
      <c r="A4169" s="15" t="n">
        <v>46196</v>
      </c>
      <c r="B4169" s="14" t="s">
        <v>59</v>
      </c>
      <c r="C4169" s="14" t="s">
        <v>60</v>
      </c>
      <c r="D4169" s="14" t="s">
        <v>61</v>
      </c>
      <c r="E4169" s="14" t="s">
        <v>56</v>
      </c>
      <c r="F4169" s="14" t="s">
        <v>57</v>
      </c>
      <c r="G4169" s="14" t="s">
        <v>58</v>
      </c>
      <c r="H4169" s="0" t="n">
        <v>1</v>
      </c>
      <c r="I4169" s="16" t="n">
        <v>25.98</v>
      </c>
      <c r="J4169" s="16" t="n">
        <v>10</v>
      </c>
      <c r="K4169" s="16" t="n">
        <f aca="false">H4169*I4169</f>
        <v>25.98</v>
      </c>
      <c r="L4169" s="16" t="n">
        <f aca="false">H4169*J4169</f>
        <v>10</v>
      </c>
      <c r="M4169" s="16" t="n">
        <f aca="false">K4169-L4169</f>
        <v>15.98</v>
      </c>
      <c r="N4169" s="17" t="n">
        <f aca="false">IFERROR(M4169/K4169,0)</f>
        <v>0.615088529638183</v>
      </c>
    </row>
    <row r="4170" customFormat="false" ht="15" hidden="false" customHeight="false" outlineLevel="0" collapsed="false">
      <c r="A4170" s="15" t="n">
        <v>46196</v>
      </c>
      <c r="B4170" s="14" t="s">
        <v>69</v>
      </c>
      <c r="C4170" s="14" t="s">
        <v>70</v>
      </c>
      <c r="D4170" s="14" t="s">
        <v>71</v>
      </c>
      <c r="E4170" s="14" t="s">
        <v>64</v>
      </c>
      <c r="F4170" s="14" t="s">
        <v>65</v>
      </c>
      <c r="G4170" s="14" t="s">
        <v>66</v>
      </c>
      <c r="H4170" s="0" t="n">
        <v>7</v>
      </c>
      <c r="I4170" s="16" t="n">
        <v>76.02</v>
      </c>
      <c r="J4170" s="16" t="n">
        <v>34</v>
      </c>
      <c r="K4170" s="16" t="n">
        <f aca="false">H4170*I4170</f>
        <v>532.14</v>
      </c>
      <c r="L4170" s="16" t="n">
        <f aca="false">H4170*J4170</f>
        <v>238</v>
      </c>
      <c r="M4170" s="16" t="n">
        <f aca="false">K4170-L4170</f>
        <v>294.14</v>
      </c>
      <c r="N4170" s="17" t="n">
        <f aca="false">IFERROR(M4170/K4170,0)</f>
        <v>0.552749276506183</v>
      </c>
    </row>
    <row r="4171" customFormat="false" ht="15" hidden="false" customHeight="false" outlineLevel="0" collapsed="false">
      <c r="A4171" s="15" t="n">
        <v>46196</v>
      </c>
      <c r="B4171" s="14" t="s">
        <v>69</v>
      </c>
      <c r="C4171" s="14" t="s">
        <v>70</v>
      </c>
      <c r="D4171" s="14" t="s">
        <v>71</v>
      </c>
      <c r="E4171" s="14" t="s">
        <v>64</v>
      </c>
      <c r="F4171" s="14" t="s">
        <v>65</v>
      </c>
      <c r="G4171" s="14" t="s">
        <v>66</v>
      </c>
      <c r="H4171" s="0" t="n">
        <v>5</v>
      </c>
      <c r="I4171" s="16" t="n">
        <v>72.87</v>
      </c>
      <c r="J4171" s="16" t="n">
        <v>34</v>
      </c>
      <c r="K4171" s="16" t="n">
        <f aca="false">H4171*I4171</f>
        <v>364.35</v>
      </c>
      <c r="L4171" s="16" t="n">
        <f aca="false">H4171*J4171</f>
        <v>170</v>
      </c>
      <c r="M4171" s="16" t="n">
        <f aca="false">K4171-L4171</f>
        <v>194.35</v>
      </c>
      <c r="N4171" s="17" t="n">
        <f aca="false">IFERROR(M4171/K4171,0)</f>
        <v>0.533415671744202</v>
      </c>
    </row>
    <row r="4172" customFormat="false" ht="15" hidden="false" customHeight="false" outlineLevel="0" collapsed="false">
      <c r="A4172" s="15" t="n">
        <v>46196</v>
      </c>
      <c r="B4172" s="14" t="s">
        <v>69</v>
      </c>
      <c r="C4172" s="14" t="s">
        <v>70</v>
      </c>
      <c r="D4172" s="14" t="s">
        <v>71</v>
      </c>
      <c r="E4172" s="14" t="s">
        <v>56</v>
      </c>
      <c r="F4172" s="14" t="s">
        <v>57</v>
      </c>
      <c r="G4172" s="14" t="s">
        <v>58</v>
      </c>
      <c r="H4172" s="0" t="n">
        <v>2</v>
      </c>
      <c r="I4172" s="16" t="n">
        <v>25.62</v>
      </c>
      <c r="J4172" s="16" t="n">
        <v>10</v>
      </c>
      <c r="K4172" s="16" t="n">
        <f aca="false">H4172*I4172</f>
        <v>51.24</v>
      </c>
      <c r="L4172" s="16" t="n">
        <f aca="false">H4172*J4172</f>
        <v>20</v>
      </c>
      <c r="M4172" s="16" t="n">
        <f aca="false">K4172-L4172</f>
        <v>31.24</v>
      </c>
      <c r="N4172" s="17" t="n">
        <f aca="false">IFERROR(M4172/K4172,0)</f>
        <v>0.60967993754879</v>
      </c>
    </row>
    <row r="4173" customFormat="false" ht="15" hidden="false" customHeight="false" outlineLevel="0" collapsed="false">
      <c r="A4173" s="15" t="n">
        <v>46196</v>
      </c>
      <c r="B4173" s="14" t="s">
        <v>69</v>
      </c>
      <c r="C4173" s="14" t="s">
        <v>70</v>
      </c>
      <c r="D4173" s="14" t="s">
        <v>71</v>
      </c>
      <c r="E4173" s="14" t="s">
        <v>45</v>
      </c>
      <c r="F4173" s="14" t="s">
        <v>72</v>
      </c>
      <c r="G4173" s="14" t="s">
        <v>73</v>
      </c>
      <c r="H4173" s="0" t="n">
        <v>6</v>
      </c>
      <c r="I4173" s="16" t="n">
        <v>47.94</v>
      </c>
      <c r="J4173" s="16" t="n">
        <v>21</v>
      </c>
      <c r="K4173" s="16" t="n">
        <f aca="false">H4173*I4173</f>
        <v>287.64</v>
      </c>
      <c r="L4173" s="16" t="n">
        <f aca="false">H4173*J4173</f>
        <v>126</v>
      </c>
      <c r="M4173" s="16" t="n">
        <f aca="false">K4173-L4173</f>
        <v>161.64</v>
      </c>
      <c r="N4173" s="17" t="n">
        <f aca="false">IFERROR(M4173/K4173,0)</f>
        <v>0.561952440550688</v>
      </c>
    </row>
    <row r="4174" customFormat="false" ht="15" hidden="false" customHeight="false" outlineLevel="0" collapsed="false">
      <c r="A4174" s="15" t="n">
        <v>46196</v>
      </c>
      <c r="B4174" s="14" t="s">
        <v>69</v>
      </c>
      <c r="C4174" s="14" t="s">
        <v>70</v>
      </c>
      <c r="D4174" s="14" t="s">
        <v>71</v>
      </c>
      <c r="E4174" s="14" t="s">
        <v>56</v>
      </c>
      <c r="F4174" s="14" t="s">
        <v>86</v>
      </c>
      <c r="G4174" s="14" t="s">
        <v>87</v>
      </c>
      <c r="H4174" s="0" t="n">
        <v>2</v>
      </c>
      <c r="I4174" s="16" t="n">
        <v>13.83</v>
      </c>
      <c r="J4174" s="16" t="n">
        <v>5</v>
      </c>
      <c r="K4174" s="16" t="n">
        <f aca="false">H4174*I4174</f>
        <v>27.66</v>
      </c>
      <c r="L4174" s="16" t="n">
        <f aca="false">H4174*J4174</f>
        <v>10</v>
      </c>
      <c r="M4174" s="16" t="n">
        <f aca="false">K4174-L4174</f>
        <v>17.66</v>
      </c>
      <c r="N4174" s="17" t="n">
        <f aca="false">IFERROR(M4174/K4174,0)</f>
        <v>0.638467100506146</v>
      </c>
    </row>
    <row r="4175" customFormat="false" ht="15" hidden="false" customHeight="false" outlineLevel="0" collapsed="false">
      <c r="A4175" s="15" t="n">
        <v>46196</v>
      </c>
      <c r="B4175" s="14" t="s">
        <v>69</v>
      </c>
      <c r="C4175" s="14" t="s">
        <v>70</v>
      </c>
      <c r="D4175" s="14" t="s">
        <v>71</v>
      </c>
      <c r="E4175" s="14" t="s">
        <v>45</v>
      </c>
      <c r="F4175" s="14" t="s">
        <v>62</v>
      </c>
      <c r="G4175" s="14" t="s">
        <v>63</v>
      </c>
      <c r="H4175" s="0" t="n">
        <v>6</v>
      </c>
      <c r="I4175" s="16" t="n">
        <v>17.83</v>
      </c>
      <c r="J4175" s="16" t="n">
        <v>6.5</v>
      </c>
      <c r="K4175" s="16" t="n">
        <f aca="false">H4175*I4175</f>
        <v>106.98</v>
      </c>
      <c r="L4175" s="16" t="n">
        <f aca="false">H4175*J4175</f>
        <v>39</v>
      </c>
      <c r="M4175" s="16" t="n">
        <f aca="false">K4175-L4175</f>
        <v>67.98</v>
      </c>
      <c r="N4175" s="17" t="n">
        <f aca="false">IFERROR(M4175/K4175,0)</f>
        <v>0.635445877734156</v>
      </c>
    </row>
    <row r="4176" customFormat="false" ht="15" hidden="false" customHeight="false" outlineLevel="0" collapsed="false">
      <c r="A4176" s="15" t="n">
        <v>46196</v>
      </c>
      <c r="B4176" s="14" t="s">
        <v>81</v>
      </c>
      <c r="C4176" s="14" t="s">
        <v>82</v>
      </c>
      <c r="D4176" s="14" t="s">
        <v>83</v>
      </c>
      <c r="E4176" s="14" t="s">
        <v>64</v>
      </c>
      <c r="F4176" s="14" t="s">
        <v>96</v>
      </c>
      <c r="G4176" s="14" t="s">
        <v>97</v>
      </c>
      <c r="H4176" s="0" t="n">
        <v>6</v>
      </c>
      <c r="I4176" s="16" t="n">
        <v>54.35</v>
      </c>
      <c r="J4176" s="16" t="n">
        <v>24</v>
      </c>
      <c r="K4176" s="16" t="n">
        <f aca="false">H4176*I4176</f>
        <v>326.1</v>
      </c>
      <c r="L4176" s="16" t="n">
        <f aca="false">H4176*J4176</f>
        <v>144</v>
      </c>
      <c r="M4176" s="16" t="n">
        <f aca="false">K4176-L4176</f>
        <v>182.1</v>
      </c>
      <c r="N4176" s="17" t="n">
        <f aca="false">IFERROR(M4176/K4176,0)</f>
        <v>0.558417663293468</v>
      </c>
    </row>
    <row r="4177" customFormat="false" ht="15" hidden="false" customHeight="false" outlineLevel="0" collapsed="false">
      <c r="A4177" s="15" t="n">
        <v>46196</v>
      </c>
      <c r="B4177" s="14" t="s">
        <v>81</v>
      </c>
      <c r="C4177" s="14" t="s">
        <v>82</v>
      </c>
      <c r="D4177" s="14" t="s">
        <v>83</v>
      </c>
      <c r="E4177" s="14" t="s">
        <v>45</v>
      </c>
      <c r="F4177" s="14" t="s">
        <v>48</v>
      </c>
      <c r="G4177" s="14" t="s">
        <v>49</v>
      </c>
      <c r="H4177" s="0" t="n">
        <v>4</v>
      </c>
      <c r="I4177" s="16" t="n">
        <v>67.64</v>
      </c>
      <c r="J4177" s="16" t="n">
        <v>27.5</v>
      </c>
      <c r="K4177" s="16" t="n">
        <f aca="false">H4177*I4177</f>
        <v>270.56</v>
      </c>
      <c r="L4177" s="16" t="n">
        <f aca="false">H4177*J4177</f>
        <v>110</v>
      </c>
      <c r="M4177" s="16" t="n">
        <f aca="false">K4177-L4177</f>
        <v>160.56</v>
      </c>
      <c r="N4177" s="17" t="n">
        <f aca="false">IFERROR(M4177/K4177,0)</f>
        <v>0.593435836782969</v>
      </c>
    </row>
    <row r="4178" customFormat="false" ht="15" hidden="false" customHeight="false" outlineLevel="0" collapsed="false">
      <c r="A4178" s="15" t="n">
        <v>46196</v>
      </c>
      <c r="B4178" s="14" t="s">
        <v>81</v>
      </c>
      <c r="C4178" s="14" t="s">
        <v>82</v>
      </c>
      <c r="D4178" s="14" t="s">
        <v>83</v>
      </c>
      <c r="E4178" s="14" t="s">
        <v>45</v>
      </c>
      <c r="F4178" s="14" t="s">
        <v>72</v>
      </c>
      <c r="G4178" s="14" t="s">
        <v>73</v>
      </c>
      <c r="H4178" s="0" t="n">
        <v>4</v>
      </c>
      <c r="I4178" s="16" t="n">
        <v>49.24</v>
      </c>
      <c r="J4178" s="16" t="n">
        <v>21</v>
      </c>
      <c r="K4178" s="16" t="n">
        <f aca="false">H4178*I4178</f>
        <v>196.96</v>
      </c>
      <c r="L4178" s="16" t="n">
        <f aca="false">H4178*J4178</f>
        <v>84</v>
      </c>
      <c r="M4178" s="16" t="n">
        <f aca="false">K4178-L4178</f>
        <v>112.96</v>
      </c>
      <c r="N4178" s="17" t="n">
        <f aca="false">IFERROR(M4178/K4178,0)</f>
        <v>0.573517465475223</v>
      </c>
    </row>
    <row r="4179" customFormat="false" ht="15" hidden="false" customHeight="false" outlineLevel="0" collapsed="false">
      <c r="A4179" s="15" t="n">
        <v>46196</v>
      </c>
      <c r="B4179" s="14" t="s">
        <v>81</v>
      </c>
      <c r="C4179" s="14" t="s">
        <v>82</v>
      </c>
      <c r="D4179" s="14" t="s">
        <v>83</v>
      </c>
      <c r="E4179" s="14" t="s">
        <v>76</v>
      </c>
      <c r="F4179" s="14" t="s">
        <v>79</v>
      </c>
      <c r="G4179" s="14" t="s">
        <v>80</v>
      </c>
      <c r="H4179" s="0" t="n">
        <v>7</v>
      </c>
      <c r="I4179" s="16" t="n">
        <v>28.77</v>
      </c>
      <c r="J4179" s="16" t="n">
        <v>11</v>
      </c>
      <c r="K4179" s="16" t="n">
        <f aca="false">H4179*I4179</f>
        <v>201.39</v>
      </c>
      <c r="L4179" s="16" t="n">
        <f aca="false">H4179*J4179</f>
        <v>77</v>
      </c>
      <c r="M4179" s="16" t="n">
        <f aca="false">K4179-L4179</f>
        <v>124.39</v>
      </c>
      <c r="N4179" s="17" t="n">
        <f aca="false">IFERROR(M4179/K4179,0)</f>
        <v>0.617657281890859</v>
      </c>
    </row>
    <row r="4180" customFormat="false" ht="15" hidden="false" customHeight="false" outlineLevel="0" collapsed="false">
      <c r="A4180" s="15" t="n">
        <v>46196</v>
      </c>
      <c r="B4180" s="14" t="s">
        <v>88</v>
      </c>
      <c r="C4180" s="14" t="s">
        <v>89</v>
      </c>
      <c r="D4180" s="14" t="s">
        <v>44</v>
      </c>
      <c r="E4180" s="14" t="s">
        <v>45</v>
      </c>
      <c r="F4180" s="14" t="s">
        <v>62</v>
      </c>
      <c r="G4180" s="14" t="s">
        <v>63</v>
      </c>
      <c r="H4180" s="0" t="n">
        <v>8</v>
      </c>
      <c r="I4180" s="16" t="n">
        <v>16.99</v>
      </c>
      <c r="J4180" s="16" t="n">
        <v>6.5</v>
      </c>
      <c r="K4180" s="16" t="n">
        <f aca="false">H4180*I4180</f>
        <v>135.92</v>
      </c>
      <c r="L4180" s="16" t="n">
        <f aca="false">H4180*J4180</f>
        <v>52</v>
      </c>
      <c r="M4180" s="16" t="n">
        <f aca="false">K4180-L4180</f>
        <v>83.92</v>
      </c>
      <c r="N4180" s="17" t="n">
        <f aca="false">IFERROR(M4180/K4180,0)</f>
        <v>0.617422012948793</v>
      </c>
    </row>
    <row r="4181" customFormat="false" ht="15" hidden="false" customHeight="false" outlineLevel="0" collapsed="false">
      <c r="A4181" s="15" t="n">
        <v>46196</v>
      </c>
      <c r="B4181" s="14" t="s">
        <v>88</v>
      </c>
      <c r="C4181" s="14" t="s">
        <v>89</v>
      </c>
      <c r="D4181" s="14" t="s">
        <v>44</v>
      </c>
      <c r="E4181" s="14" t="s">
        <v>56</v>
      </c>
      <c r="F4181" s="14" t="s">
        <v>86</v>
      </c>
      <c r="G4181" s="14" t="s">
        <v>87</v>
      </c>
      <c r="H4181" s="0" t="n">
        <v>2</v>
      </c>
      <c r="I4181" s="16" t="n">
        <v>13.92</v>
      </c>
      <c r="J4181" s="16" t="n">
        <v>5</v>
      </c>
      <c r="K4181" s="16" t="n">
        <f aca="false">H4181*I4181</f>
        <v>27.84</v>
      </c>
      <c r="L4181" s="16" t="n">
        <f aca="false">H4181*J4181</f>
        <v>10</v>
      </c>
      <c r="M4181" s="16" t="n">
        <f aca="false">K4181-L4181</f>
        <v>17.84</v>
      </c>
      <c r="N4181" s="17" t="n">
        <f aca="false">IFERROR(M4181/K4181,0)</f>
        <v>0.640804597701149</v>
      </c>
    </row>
    <row r="4182" customFormat="false" ht="15" hidden="false" customHeight="false" outlineLevel="0" collapsed="false">
      <c r="A4182" s="15" t="n">
        <v>46196</v>
      </c>
      <c r="B4182" s="14" t="s">
        <v>88</v>
      </c>
      <c r="C4182" s="14" t="s">
        <v>89</v>
      </c>
      <c r="D4182" s="14" t="s">
        <v>44</v>
      </c>
      <c r="E4182" s="14" t="s">
        <v>56</v>
      </c>
      <c r="F4182" s="14" t="s">
        <v>86</v>
      </c>
      <c r="G4182" s="14" t="s">
        <v>87</v>
      </c>
      <c r="H4182" s="0" t="n">
        <v>5</v>
      </c>
      <c r="I4182" s="16" t="n">
        <v>13.91</v>
      </c>
      <c r="J4182" s="16" t="n">
        <v>5</v>
      </c>
      <c r="K4182" s="16" t="n">
        <f aca="false">H4182*I4182</f>
        <v>69.55</v>
      </c>
      <c r="L4182" s="16" t="n">
        <f aca="false">H4182*J4182</f>
        <v>25</v>
      </c>
      <c r="M4182" s="16" t="n">
        <f aca="false">K4182-L4182</f>
        <v>44.55</v>
      </c>
      <c r="N4182" s="17" t="n">
        <f aca="false">IFERROR(M4182/K4182,0)</f>
        <v>0.640546369518332</v>
      </c>
    </row>
    <row r="4183" customFormat="false" ht="15" hidden="false" customHeight="false" outlineLevel="0" collapsed="false">
      <c r="A4183" s="15" t="n">
        <v>46196</v>
      </c>
      <c r="B4183" s="14" t="s">
        <v>88</v>
      </c>
      <c r="C4183" s="14" t="s">
        <v>89</v>
      </c>
      <c r="D4183" s="14" t="s">
        <v>44</v>
      </c>
      <c r="E4183" s="14" t="s">
        <v>56</v>
      </c>
      <c r="F4183" s="14" t="s">
        <v>57</v>
      </c>
      <c r="G4183" s="14" t="s">
        <v>58</v>
      </c>
      <c r="H4183" s="0" t="n">
        <v>3</v>
      </c>
      <c r="I4183" s="16" t="n">
        <v>25.78</v>
      </c>
      <c r="J4183" s="16" t="n">
        <v>10</v>
      </c>
      <c r="K4183" s="16" t="n">
        <f aca="false">H4183*I4183</f>
        <v>77.34</v>
      </c>
      <c r="L4183" s="16" t="n">
        <f aca="false">H4183*J4183</f>
        <v>30</v>
      </c>
      <c r="M4183" s="16" t="n">
        <f aca="false">K4183-L4183</f>
        <v>47.34</v>
      </c>
      <c r="N4183" s="17" t="n">
        <f aca="false">IFERROR(M4183/K4183,0)</f>
        <v>0.612102404965089</v>
      </c>
    </row>
    <row r="4184" customFormat="false" ht="15" hidden="false" customHeight="false" outlineLevel="0" collapsed="false">
      <c r="A4184" s="15" t="n">
        <v>46197</v>
      </c>
      <c r="B4184" s="14" t="s">
        <v>42</v>
      </c>
      <c r="C4184" s="14" t="s">
        <v>43</v>
      </c>
      <c r="D4184" s="14" t="s">
        <v>44</v>
      </c>
      <c r="E4184" s="14" t="s">
        <v>53</v>
      </c>
      <c r="F4184" s="14" t="s">
        <v>54</v>
      </c>
      <c r="G4184" s="14" t="s">
        <v>55</v>
      </c>
      <c r="H4184" s="0" t="n">
        <v>14</v>
      </c>
      <c r="I4184" s="16" t="n">
        <v>52.07</v>
      </c>
      <c r="J4184" s="16" t="n">
        <v>22</v>
      </c>
      <c r="K4184" s="16" t="n">
        <f aca="false">H4184*I4184</f>
        <v>728.98</v>
      </c>
      <c r="L4184" s="16" t="n">
        <f aca="false">H4184*J4184</f>
        <v>308</v>
      </c>
      <c r="M4184" s="16" t="n">
        <f aca="false">K4184-L4184</f>
        <v>420.98</v>
      </c>
      <c r="N4184" s="17" t="n">
        <f aca="false">IFERROR(M4184/K4184,0)</f>
        <v>0.577491837910505</v>
      </c>
    </row>
    <row r="4185" customFormat="false" ht="15" hidden="false" customHeight="false" outlineLevel="0" collapsed="false">
      <c r="A4185" s="15" t="n">
        <v>46197</v>
      </c>
      <c r="B4185" s="14" t="s">
        <v>42</v>
      </c>
      <c r="C4185" s="14" t="s">
        <v>43</v>
      </c>
      <c r="D4185" s="14" t="s">
        <v>44</v>
      </c>
      <c r="E4185" s="14" t="s">
        <v>56</v>
      </c>
      <c r="F4185" s="14" t="s">
        <v>98</v>
      </c>
      <c r="G4185" s="14" t="s">
        <v>99</v>
      </c>
      <c r="H4185" s="0" t="n">
        <v>10</v>
      </c>
      <c r="I4185" s="16" t="n">
        <v>20.33</v>
      </c>
      <c r="J4185" s="16" t="n">
        <v>8</v>
      </c>
      <c r="K4185" s="16" t="n">
        <f aca="false">H4185*I4185</f>
        <v>203.3</v>
      </c>
      <c r="L4185" s="16" t="n">
        <f aca="false">H4185*J4185</f>
        <v>80</v>
      </c>
      <c r="M4185" s="16" t="n">
        <f aca="false">K4185-L4185</f>
        <v>123.3</v>
      </c>
      <c r="N4185" s="17" t="n">
        <f aca="false">IFERROR(M4185/K4185,0)</f>
        <v>0.606492867683227</v>
      </c>
    </row>
    <row r="4186" customFormat="false" ht="15" hidden="false" customHeight="false" outlineLevel="0" collapsed="false">
      <c r="A4186" s="15" t="n">
        <v>46197</v>
      </c>
      <c r="B4186" s="14" t="s">
        <v>42</v>
      </c>
      <c r="C4186" s="14" t="s">
        <v>43</v>
      </c>
      <c r="D4186" s="14" t="s">
        <v>44</v>
      </c>
      <c r="E4186" s="14" t="s">
        <v>76</v>
      </c>
      <c r="F4186" s="14" t="s">
        <v>102</v>
      </c>
      <c r="G4186" s="14" t="s">
        <v>103</v>
      </c>
      <c r="H4186" s="0" t="n">
        <v>7</v>
      </c>
      <c r="I4186" s="16" t="n">
        <v>23.84</v>
      </c>
      <c r="J4186" s="16" t="n">
        <v>8.5</v>
      </c>
      <c r="K4186" s="16" t="n">
        <f aca="false">H4186*I4186</f>
        <v>166.88</v>
      </c>
      <c r="L4186" s="16" t="n">
        <f aca="false">H4186*J4186</f>
        <v>59.5</v>
      </c>
      <c r="M4186" s="16" t="n">
        <f aca="false">K4186-L4186</f>
        <v>107.38</v>
      </c>
      <c r="N4186" s="17" t="n">
        <f aca="false">IFERROR(M4186/K4186,0)</f>
        <v>0.643456375838926</v>
      </c>
    </row>
    <row r="4187" customFormat="false" ht="15" hidden="false" customHeight="false" outlineLevel="0" collapsed="false">
      <c r="A4187" s="15" t="n">
        <v>46197</v>
      </c>
      <c r="B4187" s="14" t="s">
        <v>50</v>
      </c>
      <c r="C4187" s="14" t="s">
        <v>51</v>
      </c>
      <c r="D4187" s="14" t="s">
        <v>52</v>
      </c>
      <c r="E4187" s="14" t="s">
        <v>56</v>
      </c>
      <c r="F4187" s="14" t="s">
        <v>67</v>
      </c>
      <c r="G4187" s="14" t="s">
        <v>68</v>
      </c>
      <c r="H4187" s="0" t="n">
        <v>5</v>
      </c>
      <c r="I4187" s="16" t="n">
        <v>36.09</v>
      </c>
      <c r="J4187" s="16" t="n">
        <v>15</v>
      </c>
      <c r="K4187" s="16" t="n">
        <f aca="false">H4187*I4187</f>
        <v>180.45</v>
      </c>
      <c r="L4187" s="16" t="n">
        <f aca="false">H4187*J4187</f>
        <v>75</v>
      </c>
      <c r="M4187" s="16" t="n">
        <f aca="false">K4187-L4187</f>
        <v>105.45</v>
      </c>
      <c r="N4187" s="17" t="n">
        <f aca="false">IFERROR(M4187/K4187,0)</f>
        <v>0.584372402327515</v>
      </c>
    </row>
    <row r="4188" customFormat="false" ht="15" hidden="false" customHeight="false" outlineLevel="0" collapsed="false">
      <c r="A4188" s="15" t="n">
        <v>46197</v>
      </c>
      <c r="B4188" s="14" t="s">
        <v>50</v>
      </c>
      <c r="C4188" s="14" t="s">
        <v>51</v>
      </c>
      <c r="D4188" s="14" t="s">
        <v>52</v>
      </c>
      <c r="E4188" s="14" t="s">
        <v>45</v>
      </c>
      <c r="F4188" s="14" t="s">
        <v>46</v>
      </c>
      <c r="G4188" s="14" t="s">
        <v>47</v>
      </c>
      <c r="H4188" s="0" t="n">
        <v>8</v>
      </c>
      <c r="I4188" s="16" t="n">
        <v>44.21</v>
      </c>
      <c r="J4188" s="16" t="n">
        <v>18</v>
      </c>
      <c r="K4188" s="16" t="n">
        <f aca="false">H4188*I4188</f>
        <v>353.68</v>
      </c>
      <c r="L4188" s="16" t="n">
        <f aca="false">H4188*J4188</f>
        <v>144</v>
      </c>
      <c r="M4188" s="16" t="n">
        <f aca="false">K4188-L4188</f>
        <v>209.68</v>
      </c>
      <c r="N4188" s="17" t="n">
        <f aca="false">IFERROR(M4188/K4188,0)</f>
        <v>0.592852295860665</v>
      </c>
    </row>
    <row r="4189" customFormat="false" ht="15" hidden="false" customHeight="false" outlineLevel="0" collapsed="false">
      <c r="A4189" s="15" t="n">
        <v>46197</v>
      </c>
      <c r="B4189" s="14" t="s">
        <v>59</v>
      </c>
      <c r="C4189" s="14" t="s">
        <v>60</v>
      </c>
      <c r="D4189" s="14" t="s">
        <v>61</v>
      </c>
      <c r="E4189" s="14" t="s">
        <v>45</v>
      </c>
      <c r="F4189" s="14" t="s">
        <v>62</v>
      </c>
      <c r="G4189" s="14" t="s">
        <v>63</v>
      </c>
      <c r="H4189" s="0" t="n">
        <v>3</v>
      </c>
      <c r="I4189" s="16" t="n">
        <v>17.78</v>
      </c>
      <c r="J4189" s="16" t="n">
        <v>6.5</v>
      </c>
      <c r="K4189" s="16" t="n">
        <f aca="false">H4189*I4189</f>
        <v>53.34</v>
      </c>
      <c r="L4189" s="16" t="n">
        <f aca="false">H4189*J4189</f>
        <v>19.5</v>
      </c>
      <c r="M4189" s="16" t="n">
        <f aca="false">K4189-L4189</f>
        <v>33.84</v>
      </c>
      <c r="N4189" s="17" t="n">
        <f aca="false">IFERROR(M4189/K4189,0)</f>
        <v>0.634420697412824</v>
      </c>
    </row>
    <row r="4190" customFormat="false" ht="15" hidden="false" customHeight="false" outlineLevel="0" collapsed="false">
      <c r="A4190" s="15" t="n">
        <v>46197</v>
      </c>
      <c r="B4190" s="14" t="s">
        <v>59</v>
      </c>
      <c r="C4190" s="14" t="s">
        <v>60</v>
      </c>
      <c r="D4190" s="14" t="s">
        <v>61</v>
      </c>
      <c r="E4190" s="14" t="s">
        <v>76</v>
      </c>
      <c r="F4190" s="14" t="s">
        <v>100</v>
      </c>
      <c r="G4190" s="14" t="s">
        <v>101</v>
      </c>
      <c r="H4190" s="0" t="n">
        <v>1</v>
      </c>
      <c r="I4190" s="16" t="n">
        <v>15.63</v>
      </c>
      <c r="J4190" s="16" t="n">
        <v>5.5</v>
      </c>
      <c r="K4190" s="16" t="n">
        <f aca="false">H4190*I4190</f>
        <v>15.63</v>
      </c>
      <c r="L4190" s="16" t="n">
        <f aca="false">H4190*J4190</f>
        <v>5.5</v>
      </c>
      <c r="M4190" s="16" t="n">
        <f aca="false">K4190-L4190</f>
        <v>10.13</v>
      </c>
      <c r="N4190" s="17" t="n">
        <f aca="false">IFERROR(M4190/K4190,0)</f>
        <v>0.648112603966731</v>
      </c>
    </row>
    <row r="4191" customFormat="false" ht="15" hidden="false" customHeight="false" outlineLevel="0" collapsed="false">
      <c r="A4191" s="15" t="n">
        <v>46197</v>
      </c>
      <c r="B4191" s="14" t="s">
        <v>59</v>
      </c>
      <c r="C4191" s="14" t="s">
        <v>60</v>
      </c>
      <c r="D4191" s="14" t="s">
        <v>61</v>
      </c>
      <c r="E4191" s="14" t="s">
        <v>45</v>
      </c>
      <c r="F4191" s="14" t="s">
        <v>48</v>
      </c>
      <c r="G4191" s="14" t="s">
        <v>49</v>
      </c>
      <c r="H4191" s="0" t="n">
        <v>2</v>
      </c>
      <c r="I4191" s="16" t="n">
        <v>66</v>
      </c>
      <c r="J4191" s="16" t="n">
        <v>27.5</v>
      </c>
      <c r="K4191" s="16" t="n">
        <f aca="false">H4191*I4191</f>
        <v>132</v>
      </c>
      <c r="L4191" s="16" t="n">
        <f aca="false">H4191*J4191</f>
        <v>55</v>
      </c>
      <c r="M4191" s="16" t="n">
        <f aca="false">K4191-L4191</f>
        <v>77</v>
      </c>
      <c r="N4191" s="17" t="n">
        <f aca="false">IFERROR(M4191/K4191,0)</f>
        <v>0.583333333333333</v>
      </c>
    </row>
    <row r="4192" customFormat="false" ht="15" hidden="false" customHeight="false" outlineLevel="0" collapsed="false">
      <c r="A4192" s="15" t="n">
        <v>46197</v>
      </c>
      <c r="B4192" s="14" t="s">
        <v>69</v>
      </c>
      <c r="C4192" s="14" t="s">
        <v>70</v>
      </c>
      <c r="D4192" s="14" t="s">
        <v>71</v>
      </c>
      <c r="E4192" s="14" t="s">
        <v>76</v>
      </c>
      <c r="F4192" s="14" t="s">
        <v>100</v>
      </c>
      <c r="G4192" s="14" t="s">
        <v>101</v>
      </c>
      <c r="H4192" s="0" t="n">
        <v>5</v>
      </c>
      <c r="I4192" s="16" t="n">
        <v>15.94</v>
      </c>
      <c r="J4192" s="16" t="n">
        <v>5.5</v>
      </c>
      <c r="K4192" s="16" t="n">
        <f aca="false">H4192*I4192</f>
        <v>79.7</v>
      </c>
      <c r="L4192" s="16" t="n">
        <f aca="false">H4192*J4192</f>
        <v>27.5</v>
      </c>
      <c r="M4192" s="16" t="n">
        <f aca="false">K4192-L4192</f>
        <v>52.2</v>
      </c>
      <c r="N4192" s="17" t="n">
        <f aca="false">IFERROR(M4192/K4192,0)</f>
        <v>0.65495608531995</v>
      </c>
    </row>
    <row r="4193" customFormat="false" ht="15" hidden="false" customHeight="false" outlineLevel="0" collapsed="false">
      <c r="A4193" s="15" t="n">
        <v>46197</v>
      </c>
      <c r="B4193" s="14" t="s">
        <v>69</v>
      </c>
      <c r="C4193" s="14" t="s">
        <v>70</v>
      </c>
      <c r="D4193" s="14" t="s">
        <v>71</v>
      </c>
      <c r="E4193" s="14" t="s">
        <v>64</v>
      </c>
      <c r="F4193" s="14" t="s">
        <v>96</v>
      </c>
      <c r="G4193" s="14" t="s">
        <v>97</v>
      </c>
      <c r="H4193" s="0" t="n">
        <v>4</v>
      </c>
      <c r="I4193" s="16" t="n">
        <v>58.18</v>
      </c>
      <c r="J4193" s="16" t="n">
        <v>24</v>
      </c>
      <c r="K4193" s="16" t="n">
        <f aca="false">H4193*I4193</f>
        <v>232.72</v>
      </c>
      <c r="L4193" s="16" t="n">
        <f aca="false">H4193*J4193</f>
        <v>96</v>
      </c>
      <c r="M4193" s="16" t="n">
        <f aca="false">K4193-L4193</f>
        <v>136.72</v>
      </c>
      <c r="N4193" s="17" t="n">
        <f aca="false">IFERROR(M4193/K4193,0)</f>
        <v>0.587487108972155</v>
      </c>
    </row>
    <row r="4194" customFormat="false" ht="15" hidden="false" customHeight="false" outlineLevel="0" collapsed="false">
      <c r="A4194" s="15" t="n">
        <v>46197</v>
      </c>
      <c r="B4194" s="14" t="s">
        <v>69</v>
      </c>
      <c r="C4194" s="14" t="s">
        <v>70</v>
      </c>
      <c r="D4194" s="14" t="s">
        <v>71</v>
      </c>
      <c r="E4194" s="14" t="s">
        <v>76</v>
      </c>
      <c r="F4194" s="14" t="s">
        <v>100</v>
      </c>
      <c r="G4194" s="14" t="s">
        <v>101</v>
      </c>
      <c r="H4194" s="0" t="n">
        <v>3</v>
      </c>
      <c r="I4194" s="16" t="n">
        <v>15.36</v>
      </c>
      <c r="J4194" s="16" t="n">
        <v>5.5</v>
      </c>
      <c r="K4194" s="16" t="n">
        <f aca="false">H4194*I4194</f>
        <v>46.08</v>
      </c>
      <c r="L4194" s="16" t="n">
        <f aca="false">H4194*J4194</f>
        <v>16.5</v>
      </c>
      <c r="M4194" s="16" t="n">
        <f aca="false">K4194-L4194</f>
        <v>29.58</v>
      </c>
      <c r="N4194" s="17" t="n">
        <f aca="false">IFERROR(M4194/K4194,0)</f>
        <v>0.641927083333333</v>
      </c>
    </row>
    <row r="4195" customFormat="false" ht="15" hidden="false" customHeight="false" outlineLevel="0" collapsed="false">
      <c r="A4195" s="15" t="n">
        <v>46197</v>
      </c>
      <c r="B4195" s="14" t="s">
        <v>81</v>
      </c>
      <c r="C4195" s="14" t="s">
        <v>82</v>
      </c>
      <c r="D4195" s="14" t="s">
        <v>83</v>
      </c>
      <c r="E4195" s="14" t="s">
        <v>56</v>
      </c>
      <c r="F4195" s="14" t="s">
        <v>67</v>
      </c>
      <c r="G4195" s="14" t="s">
        <v>68</v>
      </c>
      <c r="H4195" s="0" t="n">
        <v>4</v>
      </c>
      <c r="I4195" s="16" t="n">
        <v>34.98</v>
      </c>
      <c r="J4195" s="16" t="n">
        <v>15</v>
      </c>
      <c r="K4195" s="16" t="n">
        <f aca="false">H4195*I4195</f>
        <v>139.92</v>
      </c>
      <c r="L4195" s="16" t="n">
        <f aca="false">H4195*J4195</f>
        <v>60</v>
      </c>
      <c r="M4195" s="16" t="n">
        <f aca="false">K4195-L4195</f>
        <v>79.92</v>
      </c>
      <c r="N4195" s="17" t="n">
        <f aca="false">IFERROR(M4195/K4195,0)</f>
        <v>0.571183533447684</v>
      </c>
    </row>
    <row r="4196" customFormat="false" ht="15" hidden="false" customHeight="false" outlineLevel="0" collapsed="false">
      <c r="A4196" s="15" t="n">
        <v>46197</v>
      </c>
      <c r="B4196" s="14" t="s">
        <v>81</v>
      </c>
      <c r="C4196" s="14" t="s">
        <v>82</v>
      </c>
      <c r="D4196" s="14" t="s">
        <v>83</v>
      </c>
      <c r="E4196" s="14" t="s">
        <v>45</v>
      </c>
      <c r="F4196" s="14" t="s">
        <v>72</v>
      </c>
      <c r="G4196" s="14" t="s">
        <v>73</v>
      </c>
      <c r="H4196" s="0" t="n">
        <v>2</v>
      </c>
      <c r="I4196" s="16" t="n">
        <v>48.51</v>
      </c>
      <c r="J4196" s="16" t="n">
        <v>21</v>
      </c>
      <c r="K4196" s="16" t="n">
        <f aca="false">H4196*I4196</f>
        <v>97.02</v>
      </c>
      <c r="L4196" s="16" t="n">
        <f aca="false">H4196*J4196</f>
        <v>42</v>
      </c>
      <c r="M4196" s="16" t="n">
        <f aca="false">K4196-L4196</f>
        <v>55.02</v>
      </c>
      <c r="N4196" s="17" t="n">
        <f aca="false">IFERROR(M4196/K4196,0)</f>
        <v>0.567099567099567</v>
      </c>
    </row>
    <row r="4197" customFormat="false" ht="15" hidden="false" customHeight="false" outlineLevel="0" collapsed="false">
      <c r="A4197" s="15" t="n">
        <v>46197</v>
      </c>
      <c r="B4197" s="14" t="s">
        <v>81</v>
      </c>
      <c r="C4197" s="14" t="s">
        <v>82</v>
      </c>
      <c r="D4197" s="14" t="s">
        <v>83</v>
      </c>
      <c r="E4197" s="14" t="s">
        <v>76</v>
      </c>
      <c r="F4197" s="14" t="s">
        <v>100</v>
      </c>
      <c r="G4197" s="14" t="s">
        <v>101</v>
      </c>
      <c r="H4197" s="0" t="n">
        <v>3</v>
      </c>
      <c r="I4197" s="16" t="n">
        <v>14.84</v>
      </c>
      <c r="J4197" s="16" t="n">
        <v>5.5</v>
      </c>
      <c r="K4197" s="16" t="n">
        <f aca="false">H4197*I4197</f>
        <v>44.52</v>
      </c>
      <c r="L4197" s="16" t="n">
        <f aca="false">H4197*J4197</f>
        <v>16.5</v>
      </c>
      <c r="M4197" s="16" t="n">
        <f aca="false">K4197-L4197</f>
        <v>28.02</v>
      </c>
      <c r="N4197" s="17" t="n">
        <f aca="false">IFERROR(M4197/K4197,0)</f>
        <v>0.629380053908356</v>
      </c>
    </row>
    <row r="4198" customFormat="false" ht="15" hidden="false" customHeight="false" outlineLevel="0" collapsed="false">
      <c r="A4198" s="15" t="n">
        <v>46197</v>
      </c>
      <c r="B4198" s="14" t="s">
        <v>81</v>
      </c>
      <c r="C4198" s="14" t="s">
        <v>82</v>
      </c>
      <c r="D4198" s="14" t="s">
        <v>83</v>
      </c>
      <c r="E4198" s="14" t="s">
        <v>64</v>
      </c>
      <c r="F4198" s="14" t="s">
        <v>65</v>
      </c>
      <c r="G4198" s="14" t="s">
        <v>66</v>
      </c>
      <c r="H4198" s="0" t="n">
        <v>6</v>
      </c>
      <c r="I4198" s="16" t="n">
        <v>78.63</v>
      </c>
      <c r="J4198" s="16" t="n">
        <v>34</v>
      </c>
      <c r="K4198" s="16" t="n">
        <f aca="false">H4198*I4198</f>
        <v>471.78</v>
      </c>
      <c r="L4198" s="16" t="n">
        <f aca="false">H4198*J4198</f>
        <v>204</v>
      </c>
      <c r="M4198" s="16" t="n">
        <f aca="false">K4198-L4198</f>
        <v>267.78</v>
      </c>
      <c r="N4198" s="17" t="n">
        <f aca="false">IFERROR(M4198/K4198,0)</f>
        <v>0.56759506549663</v>
      </c>
    </row>
    <row r="4199" customFormat="false" ht="15" hidden="false" customHeight="false" outlineLevel="0" collapsed="false">
      <c r="A4199" s="15" t="n">
        <v>46197</v>
      </c>
      <c r="B4199" s="14" t="s">
        <v>81</v>
      </c>
      <c r="C4199" s="14" t="s">
        <v>82</v>
      </c>
      <c r="D4199" s="14" t="s">
        <v>83</v>
      </c>
      <c r="E4199" s="14" t="s">
        <v>56</v>
      </c>
      <c r="F4199" s="14" t="s">
        <v>67</v>
      </c>
      <c r="G4199" s="14" t="s">
        <v>68</v>
      </c>
      <c r="H4199" s="0" t="n">
        <v>1</v>
      </c>
      <c r="I4199" s="16" t="n">
        <v>36.42</v>
      </c>
      <c r="J4199" s="16" t="n">
        <v>15</v>
      </c>
      <c r="K4199" s="16" t="n">
        <f aca="false">H4199*I4199</f>
        <v>36.42</v>
      </c>
      <c r="L4199" s="16" t="n">
        <f aca="false">H4199*J4199</f>
        <v>15</v>
      </c>
      <c r="M4199" s="16" t="n">
        <f aca="false">K4199-L4199</f>
        <v>21.42</v>
      </c>
      <c r="N4199" s="17" t="n">
        <f aca="false">IFERROR(M4199/K4199,0)</f>
        <v>0.588138385502471</v>
      </c>
    </row>
    <row r="4200" customFormat="false" ht="15" hidden="false" customHeight="false" outlineLevel="0" collapsed="false">
      <c r="A4200" s="15" t="n">
        <v>46197</v>
      </c>
      <c r="B4200" s="14" t="s">
        <v>81</v>
      </c>
      <c r="C4200" s="14" t="s">
        <v>82</v>
      </c>
      <c r="D4200" s="14" t="s">
        <v>83</v>
      </c>
      <c r="E4200" s="14" t="s">
        <v>45</v>
      </c>
      <c r="F4200" s="14" t="s">
        <v>46</v>
      </c>
      <c r="G4200" s="14" t="s">
        <v>47</v>
      </c>
      <c r="H4200" s="0" t="n">
        <v>1</v>
      </c>
      <c r="I4200" s="16" t="n">
        <v>41.73</v>
      </c>
      <c r="J4200" s="16" t="n">
        <v>18</v>
      </c>
      <c r="K4200" s="16" t="n">
        <f aca="false">H4200*I4200</f>
        <v>41.73</v>
      </c>
      <c r="L4200" s="16" t="n">
        <f aca="false">H4200*J4200</f>
        <v>18</v>
      </c>
      <c r="M4200" s="16" t="n">
        <f aca="false">K4200-L4200</f>
        <v>23.73</v>
      </c>
      <c r="N4200" s="17" t="n">
        <f aca="false">IFERROR(M4200/K4200,0)</f>
        <v>0.568655643421999</v>
      </c>
    </row>
    <row r="4201" customFormat="false" ht="15" hidden="false" customHeight="false" outlineLevel="0" collapsed="false">
      <c r="A4201" s="15" t="n">
        <v>46197</v>
      </c>
      <c r="B4201" s="14" t="s">
        <v>88</v>
      </c>
      <c r="C4201" s="14" t="s">
        <v>89</v>
      </c>
      <c r="D4201" s="14" t="s">
        <v>44</v>
      </c>
      <c r="E4201" s="14" t="s">
        <v>76</v>
      </c>
      <c r="F4201" s="14" t="s">
        <v>79</v>
      </c>
      <c r="G4201" s="14" t="s">
        <v>80</v>
      </c>
      <c r="H4201" s="0" t="n">
        <v>4</v>
      </c>
      <c r="I4201" s="16" t="n">
        <v>29.63</v>
      </c>
      <c r="J4201" s="16" t="n">
        <v>11</v>
      </c>
      <c r="K4201" s="16" t="n">
        <f aca="false">H4201*I4201</f>
        <v>118.52</v>
      </c>
      <c r="L4201" s="16" t="n">
        <f aca="false">H4201*J4201</f>
        <v>44</v>
      </c>
      <c r="M4201" s="16" t="n">
        <f aca="false">K4201-L4201</f>
        <v>74.52</v>
      </c>
      <c r="N4201" s="17" t="n">
        <f aca="false">IFERROR(M4201/K4201,0)</f>
        <v>0.628754640566993</v>
      </c>
    </row>
    <row r="4202" customFormat="false" ht="15" hidden="false" customHeight="false" outlineLevel="0" collapsed="false">
      <c r="A4202" s="15" t="n">
        <v>46197</v>
      </c>
      <c r="B4202" s="14" t="s">
        <v>88</v>
      </c>
      <c r="C4202" s="14" t="s">
        <v>89</v>
      </c>
      <c r="D4202" s="14" t="s">
        <v>44</v>
      </c>
      <c r="E4202" s="14" t="s">
        <v>45</v>
      </c>
      <c r="F4202" s="14" t="s">
        <v>48</v>
      </c>
      <c r="G4202" s="14" t="s">
        <v>49</v>
      </c>
      <c r="H4202" s="0" t="n">
        <v>6</v>
      </c>
      <c r="I4202" s="16" t="n">
        <v>63.57</v>
      </c>
      <c r="J4202" s="16" t="n">
        <v>27.5</v>
      </c>
      <c r="K4202" s="16" t="n">
        <f aca="false">H4202*I4202</f>
        <v>381.42</v>
      </c>
      <c r="L4202" s="16" t="n">
        <f aca="false">H4202*J4202</f>
        <v>165</v>
      </c>
      <c r="M4202" s="16" t="n">
        <f aca="false">K4202-L4202</f>
        <v>216.42</v>
      </c>
      <c r="N4202" s="17" t="n">
        <f aca="false">IFERROR(M4202/K4202,0)</f>
        <v>0.567406009123801</v>
      </c>
    </row>
    <row r="4203" customFormat="false" ht="15" hidden="false" customHeight="false" outlineLevel="0" collapsed="false">
      <c r="A4203" s="15" t="n">
        <v>46197</v>
      </c>
      <c r="B4203" s="14" t="s">
        <v>88</v>
      </c>
      <c r="C4203" s="14" t="s">
        <v>89</v>
      </c>
      <c r="D4203" s="14" t="s">
        <v>44</v>
      </c>
      <c r="E4203" s="14" t="s">
        <v>45</v>
      </c>
      <c r="F4203" s="14" t="s">
        <v>48</v>
      </c>
      <c r="G4203" s="14" t="s">
        <v>49</v>
      </c>
      <c r="H4203" s="0" t="n">
        <v>6</v>
      </c>
      <c r="I4203" s="16" t="n">
        <v>63.8</v>
      </c>
      <c r="J4203" s="16" t="n">
        <v>27.5</v>
      </c>
      <c r="K4203" s="16" t="n">
        <f aca="false">H4203*I4203</f>
        <v>382.8</v>
      </c>
      <c r="L4203" s="16" t="n">
        <f aca="false">H4203*J4203</f>
        <v>165</v>
      </c>
      <c r="M4203" s="16" t="n">
        <f aca="false">K4203-L4203</f>
        <v>217.8</v>
      </c>
      <c r="N4203" s="17" t="n">
        <f aca="false">IFERROR(M4203/K4203,0)</f>
        <v>0.568965517241379</v>
      </c>
    </row>
    <row r="4204" customFormat="false" ht="15" hidden="false" customHeight="false" outlineLevel="0" collapsed="false">
      <c r="A4204" s="15" t="n">
        <v>46197</v>
      </c>
      <c r="B4204" s="14" t="s">
        <v>88</v>
      </c>
      <c r="C4204" s="14" t="s">
        <v>89</v>
      </c>
      <c r="D4204" s="14" t="s">
        <v>44</v>
      </c>
      <c r="E4204" s="14" t="s">
        <v>64</v>
      </c>
      <c r="F4204" s="14" t="s">
        <v>65</v>
      </c>
      <c r="G4204" s="14" t="s">
        <v>66</v>
      </c>
      <c r="H4204" s="0" t="n">
        <v>3</v>
      </c>
      <c r="I4204" s="16" t="n">
        <v>73.94</v>
      </c>
      <c r="J4204" s="16" t="n">
        <v>34</v>
      </c>
      <c r="K4204" s="16" t="n">
        <f aca="false">H4204*I4204</f>
        <v>221.82</v>
      </c>
      <c r="L4204" s="16" t="n">
        <f aca="false">H4204*J4204</f>
        <v>102</v>
      </c>
      <c r="M4204" s="16" t="n">
        <f aca="false">K4204-L4204</f>
        <v>119.82</v>
      </c>
      <c r="N4204" s="17" t="n">
        <f aca="false">IFERROR(M4204/K4204,0)</f>
        <v>0.540167703543414</v>
      </c>
    </row>
    <row r="4205" customFormat="false" ht="15" hidden="false" customHeight="false" outlineLevel="0" collapsed="false">
      <c r="A4205" s="15" t="n">
        <v>46197</v>
      </c>
      <c r="B4205" s="14" t="s">
        <v>88</v>
      </c>
      <c r="C4205" s="14" t="s">
        <v>89</v>
      </c>
      <c r="D4205" s="14" t="s">
        <v>44</v>
      </c>
      <c r="E4205" s="14" t="s">
        <v>45</v>
      </c>
      <c r="F4205" s="14" t="s">
        <v>72</v>
      </c>
      <c r="G4205" s="14" t="s">
        <v>73</v>
      </c>
      <c r="H4205" s="0" t="n">
        <v>2</v>
      </c>
      <c r="I4205" s="16" t="n">
        <v>51.21</v>
      </c>
      <c r="J4205" s="16" t="n">
        <v>21</v>
      </c>
      <c r="K4205" s="16" t="n">
        <f aca="false">H4205*I4205</f>
        <v>102.42</v>
      </c>
      <c r="L4205" s="16" t="n">
        <f aca="false">H4205*J4205</f>
        <v>42</v>
      </c>
      <c r="M4205" s="16" t="n">
        <f aca="false">K4205-L4205</f>
        <v>60.42</v>
      </c>
      <c r="N4205" s="17" t="n">
        <f aca="false">IFERROR(M4205/K4205,0)</f>
        <v>0.589923842999414</v>
      </c>
    </row>
    <row r="4206" customFormat="false" ht="15" hidden="false" customHeight="false" outlineLevel="0" collapsed="false">
      <c r="A4206" s="15" t="n">
        <v>46197</v>
      </c>
      <c r="B4206" s="14" t="s">
        <v>88</v>
      </c>
      <c r="C4206" s="14" t="s">
        <v>89</v>
      </c>
      <c r="D4206" s="14" t="s">
        <v>44</v>
      </c>
      <c r="E4206" s="14" t="s">
        <v>56</v>
      </c>
      <c r="F4206" s="14" t="s">
        <v>67</v>
      </c>
      <c r="G4206" s="14" t="s">
        <v>68</v>
      </c>
      <c r="H4206" s="0" t="n">
        <v>1</v>
      </c>
      <c r="I4206" s="16" t="n">
        <v>34.97</v>
      </c>
      <c r="J4206" s="16" t="n">
        <v>15</v>
      </c>
      <c r="K4206" s="16" t="n">
        <f aca="false">H4206*I4206</f>
        <v>34.97</v>
      </c>
      <c r="L4206" s="16" t="n">
        <f aca="false">H4206*J4206</f>
        <v>15</v>
      </c>
      <c r="M4206" s="16" t="n">
        <f aca="false">K4206-L4206</f>
        <v>19.97</v>
      </c>
      <c r="N4206" s="17" t="n">
        <f aca="false">IFERROR(M4206/K4206,0)</f>
        <v>0.571060909350872</v>
      </c>
    </row>
    <row r="4207" customFormat="false" ht="15" hidden="false" customHeight="false" outlineLevel="0" collapsed="false">
      <c r="A4207" s="15" t="n">
        <v>46198</v>
      </c>
      <c r="B4207" s="14" t="s">
        <v>42</v>
      </c>
      <c r="C4207" s="14" t="s">
        <v>43</v>
      </c>
      <c r="D4207" s="14" t="s">
        <v>44</v>
      </c>
      <c r="E4207" s="14" t="s">
        <v>76</v>
      </c>
      <c r="F4207" s="14" t="s">
        <v>79</v>
      </c>
      <c r="G4207" s="14" t="s">
        <v>80</v>
      </c>
      <c r="H4207" s="0" t="n">
        <v>7</v>
      </c>
      <c r="I4207" s="16" t="n">
        <v>28.95</v>
      </c>
      <c r="J4207" s="16" t="n">
        <v>11</v>
      </c>
      <c r="K4207" s="16" t="n">
        <f aca="false">H4207*I4207</f>
        <v>202.65</v>
      </c>
      <c r="L4207" s="16" t="n">
        <f aca="false">H4207*J4207</f>
        <v>77</v>
      </c>
      <c r="M4207" s="16" t="n">
        <f aca="false">K4207-L4207</f>
        <v>125.65</v>
      </c>
      <c r="N4207" s="17" t="n">
        <f aca="false">IFERROR(M4207/K4207,0)</f>
        <v>0.620034542314335</v>
      </c>
    </row>
    <row r="4208" customFormat="false" ht="15" hidden="false" customHeight="false" outlineLevel="0" collapsed="false">
      <c r="A4208" s="15" t="n">
        <v>46198</v>
      </c>
      <c r="B4208" s="14" t="s">
        <v>42</v>
      </c>
      <c r="C4208" s="14" t="s">
        <v>43</v>
      </c>
      <c r="D4208" s="14" t="s">
        <v>44</v>
      </c>
      <c r="E4208" s="14" t="s">
        <v>76</v>
      </c>
      <c r="F4208" s="14" t="s">
        <v>102</v>
      </c>
      <c r="G4208" s="14" t="s">
        <v>103</v>
      </c>
      <c r="H4208" s="0" t="n">
        <v>6</v>
      </c>
      <c r="I4208" s="16" t="n">
        <v>23.64</v>
      </c>
      <c r="J4208" s="16" t="n">
        <v>8.5</v>
      </c>
      <c r="K4208" s="16" t="n">
        <f aca="false">H4208*I4208</f>
        <v>141.84</v>
      </c>
      <c r="L4208" s="16" t="n">
        <f aca="false">H4208*J4208</f>
        <v>51</v>
      </c>
      <c r="M4208" s="16" t="n">
        <f aca="false">K4208-L4208</f>
        <v>90.84</v>
      </c>
      <c r="N4208" s="17" t="n">
        <f aca="false">IFERROR(M4208/K4208,0)</f>
        <v>0.640439932318105</v>
      </c>
    </row>
    <row r="4209" customFormat="false" ht="15" hidden="false" customHeight="false" outlineLevel="0" collapsed="false">
      <c r="A4209" s="15" t="n">
        <v>46198</v>
      </c>
      <c r="B4209" s="14" t="s">
        <v>42</v>
      </c>
      <c r="C4209" s="14" t="s">
        <v>43</v>
      </c>
      <c r="D4209" s="14" t="s">
        <v>44</v>
      </c>
      <c r="E4209" s="14" t="s">
        <v>53</v>
      </c>
      <c r="F4209" s="14" t="s">
        <v>84</v>
      </c>
      <c r="G4209" s="14" t="s">
        <v>85</v>
      </c>
      <c r="H4209" s="0" t="n">
        <v>12</v>
      </c>
      <c r="I4209" s="16" t="n">
        <v>24.19</v>
      </c>
      <c r="J4209" s="16" t="n">
        <v>9</v>
      </c>
      <c r="K4209" s="16" t="n">
        <f aca="false">H4209*I4209</f>
        <v>290.28</v>
      </c>
      <c r="L4209" s="16" t="n">
        <f aca="false">H4209*J4209</f>
        <v>108</v>
      </c>
      <c r="M4209" s="16" t="n">
        <f aca="false">K4209-L4209</f>
        <v>182.28</v>
      </c>
      <c r="N4209" s="17" t="n">
        <f aca="false">IFERROR(M4209/K4209,0)</f>
        <v>0.627945431996693</v>
      </c>
    </row>
    <row r="4210" customFormat="false" ht="15" hidden="false" customHeight="false" outlineLevel="0" collapsed="false">
      <c r="A4210" s="15" t="n">
        <v>46198</v>
      </c>
      <c r="B4210" s="14" t="s">
        <v>42</v>
      </c>
      <c r="C4210" s="14" t="s">
        <v>43</v>
      </c>
      <c r="D4210" s="14" t="s">
        <v>44</v>
      </c>
      <c r="E4210" s="14" t="s">
        <v>56</v>
      </c>
      <c r="F4210" s="14" t="s">
        <v>86</v>
      </c>
      <c r="G4210" s="14" t="s">
        <v>87</v>
      </c>
      <c r="H4210" s="0" t="n">
        <v>9</v>
      </c>
      <c r="I4210" s="16" t="n">
        <v>14.21</v>
      </c>
      <c r="J4210" s="16" t="n">
        <v>5</v>
      </c>
      <c r="K4210" s="16" t="n">
        <f aca="false">H4210*I4210</f>
        <v>127.89</v>
      </c>
      <c r="L4210" s="16" t="n">
        <f aca="false">H4210*J4210</f>
        <v>45</v>
      </c>
      <c r="M4210" s="16" t="n">
        <f aca="false">K4210-L4210</f>
        <v>82.89</v>
      </c>
      <c r="N4210" s="17" t="n">
        <f aca="false">IFERROR(M4210/K4210,0)</f>
        <v>0.648135116115412</v>
      </c>
    </row>
    <row r="4211" customFormat="false" ht="15" hidden="false" customHeight="false" outlineLevel="0" collapsed="false">
      <c r="A4211" s="15" t="n">
        <v>46198</v>
      </c>
      <c r="B4211" s="14" t="s">
        <v>42</v>
      </c>
      <c r="C4211" s="14" t="s">
        <v>43</v>
      </c>
      <c r="D4211" s="14" t="s">
        <v>44</v>
      </c>
      <c r="E4211" s="14" t="s">
        <v>56</v>
      </c>
      <c r="F4211" s="14" t="s">
        <v>67</v>
      </c>
      <c r="G4211" s="14" t="s">
        <v>68</v>
      </c>
      <c r="H4211" s="0" t="n">
        <v>6</v>
      </c>
      <c r="I4211" s="16" t="n">
        <v>37.87</v>
      </c>
      <c r="J4211" s="16" t="n">
        <v>15</v>
      </c>
      <c r="K4211" s="16" t="n">
        <f aca="false">H4211*I4211</f>
        <v>227.22</v>
      </c>
      <c r="L4211" s="16" t="n">
        <f aca="false">H4211*J4211</f>
        <v>90</v>
      </c>
      <c r="M4211" s="16" t="n">
        <f aca="false">K4211-L4211</f>
        <v>137.22</v>
      </c>
      <c r="N4211" s="17" t="n">
        <f aca="false">IFERROR(M4211/K4211,0)</f>
        <v>0.60390810668075</v>
      </c>
    </row>
    <row r="4212" customFormat="false" ht="15" hidden="false" customHeight="false" outlineLevel="0" collapsed="false">
      <c r="A4212" s="15" t="n">
        <v>46198</v>
      </c>
      <c r="B4212" s="14" t="s">
        <v>50</v>
      </c>
      <c r="C4212" s="14" t="s">
        <v>51</v>
      </c>
      <c r="D4212" s="14" t="s">
        <v>52</v>
      </c>
      <c r="E4212" s="14" t="s">
        <v>64</v>
      </c>
      <c r="F4212" s="14" t="s">
        <v>65</v>
      </c>
      <c r="G4212" s="14" t="s">
        <v>66</v>
      </c>
      <c r="H4212" s="0" t="n">
        <v>4</v>
      </c>
      <c r="I4212" s="16" t="n">
        <v>78.86</v>
      </c>
      <c r="J4212" s="16" t="n">
        <v>34</v>
      </c>
      <c r="K4212" s="16" t="n">
        <f aca="false">H4212*I4212</f>
        <v>315.44</v>
      </c>
      <c r="L4212" s="16" t="n">
        <f aca="false">H4212*J4212</f>
        <v>136</v>
      </c>
      <c r="M4212" s="16" t="n">
        <f aca="false">K4212-L4212</f>
        <v>179.44</v>
      </c>
      <c r="N4212" s="17" t="n">
        <f aca="false">IFERROR(M4212/K4212,0)</f>
        <v>0.568856200862288</v>
      </c>
    </row>
    <row r="4213" customFormat="false" ht="15" hidden="false" customHeight="false" outlineLevel="0" collapsed="false">
      <c r="A4213" s="15" t="n">
        <v>46198</v>
      </c>
      <c r="B4213" s="14" t="s">
        <v>50</v>
      </c>
      <c r="C4213" s="14" t="s">
        <v>51</v>
      </c>
      <c r="D4213" s="14" t="s">
        <v>52</v>
      </c>
      <c r="E4213" s="14" t="s">
        <v>53</v>
      </c>
      <c r="F4213" s="14" t="s">
        <v>92</v>
      </c>
      <c r="G4213" s="14" t="s">
        <v>93</v>
      </c>
      <c r="H4213" s="0" t="n">
        <v>3</v>
      </c>
      <c r="I4213" s="16" t="n">
        <v>112.45</v>
      </c>
      <c r="J4213" s="16" t="n">
        <v>52</v>
      </c>
      <c r="K4213" s="16" t="n">
        <f aca="false">H4213*I4213</f>
        <v>337.35</v>
      </c>
      <c r="L4213" s="16" t="n">
        <f aca="false">H4213*J4213</f>
        <v>156</v>
      </c>
      <c r="M4213" s="16" t="n">
        <f aca="false">K4213-L4213</f>
        <v>181.35</v>
      </c>
      <c r="N4213" s="17" t="n">
        <f aca="false">IFERROR(M4213/K4213,0)</f>
        <v>0.53757225433526</v>
      </c>
    </row>
    <row r="4214" customFormat="false" ht="15" hidden="false" customHeight="false" outlineLevel="0" collapsed="false">
      <c r="A4214" s="15" t="n">
        <v>46198</v>
      </c>
      <c r="B4214" s="14" t="s">
        <v>59</v>
      </c>
      <c r="C4214" s="14" t="s">
        <v>60</v>
      </c>
      <c r="D4214" s="14" t="s">
        <v>61</v>
      </c>
      <c r="E4214" s="14" t="s">
        <v>45</v>
      </c>
      <c r="F4214" s="14" t="s">
        <v>46</v>
      </c>
      <c r="G4214" s="14" t="s">
        <v>47</v>
      </c>
      <c r="H4214" s="0" t="n">
        <v>5</v>
      </c>
      <c r="I4214" s="16" t="n">
        <v>41.56</v>
      </c>
      <c r="J4214" s="16" t="n">
        <v>18</v>
      </c>
      <c r="K4214" s="16" t="n">
        <f aca="false">H4214*I4214</f>
        <v>207.8</v>
      </c>
      <c r="L4214" s="16" t="n">
        <f aca="false">H4214*J4214</f>
        <v>90</v>
      </c>
      <c r="M4214" s="16" t="n">
        <f aca="false">K4214-L4214</f>
        <v>117.8</v>
      </c>
      <c r="N4214" s="17" t="n">
        <f aca="false">IFERROR(M4214/K4214,0)</f>
        <v>0.566891241578441</v>
      </c>
    </row>
    <row r="4215" customFormat="false" ht="15" hidden="false" customHeight="false" outlineLevel="0" collapsed="false">
      <c r="A4215" s="15" t="n">
        <v>46198</v>
      </c>
      <c r="B4215" s="14" t="s">
        <v>59</v>
      </c>
      <c r="C4215" s="14" t="s">
        <v>60</v>
      </c>
      <c r="D4215" s="14" t="s">
        <v>61</v>
      </c>
      <c r="E4215" s="14" t="s">
        <v>76</v>
      </c>
      <c r="F4215" s="14" t="s">
        <v>100</v>
      </c>
      <c r="G4215" s="14" t="s">
        <v>101</v>
      </c>
      <c r="H4215" s="0" t="n">
        <v>4</v>
      </c>
      <c r="I4215" s="16" t="n">
        <v>15.6</v>
      </c>
      <c r="J4215" s="16" t="n">
        <v>5.5</v>
      </c>
      <c r="K4215" s="16" t="n">
        <f aca="false">H4215*I4215</f>
        <v>62.4</v>
      </c>
      <c r="L4215" s="16" t="n">
        <f aca="false">H4215*J4215</f>
        <v>22</v>
      </c>
      <c r="M4215" s="16" t="n">
        <f aca="false">K4215-L4215</f>
        <v>40.4</v>
      </c>
      <c r="N4215" s="17" t="n">
        <f aca="false">IFERROR(M4215/K4215,0)</f>
        <v>0.647435897435898</v>
      </c>
    </row>
    <row r="4216" customFormat="false" ht="15" hidden="false" customHeight="false" outlineLevel="0" collapsed="false">
      <c r="A4216" s="15" t="n">
        <v>46198</v>
      </c>
      <c r="B4216" s="14" t="s">
        <v>69</v>
      </c>
      <c r="C4216" s="14" t="s">
        <v>70</v>
      </c>
      <c r="D4216" s="14" t="s">
        <v>71</v>
      </c>
      <c r="E4216" s="14" t="s">
        <v>64</v>
      </c>
      <c r="F4216" s="14" t="s">
        <v>94</v>
      </c>
      <c r="G4216" s="14" t="s">
        <v>95</v>
      </c>
      <c r="H4216" s="0" t="n">
        <v>4</v>
      </c>
      <c r="I4216" s="16" t="n">
        <v>98.77</v>
      </c>
      <c r="J4216" s="16" t="n">
        <v>42</v>
      </c>
      <c r="K4216" s="16" t="n">
        <f aca="false">H4216*I4216</f>
        <v>395.08</v>
      </c>
      <c r="L4216" s="16" t="n">
        <f aca="false">H4216*J4216</f>
        <v>168</v>
      </c>
      <c r="M4216" s="16" t="n">
        <f aca="false">K4216-L4216</f>
        <v>227.08</v>
      </c>
      <c r="N4216" s="17" t="n">
        <f aca="false">IFERROR(M4216/K4216,0)</f>
        <v>0.574769666902906</v>
      </c>
    </row>
    <row r="4217" customFormat="false" ht="15" hidden="false" customHeight="false" outlineLevel="0" collapsed="false">
      <c r="A4217" s="15" t="n">
        <v>46198</v>
      </c>
      <c r="B4217" s="14" t="s">
        <v>69</v>
      </c>
      <c r="C4217" s="14" t="s">
        <v>70</v>
      </c>
      <c r="D4217" s="14" t="s">
        <v>71</v>
      </c>
      <c r="E4217" s="14" t="s">
        <v>76</v>
      </c>
      <c r="F4217" s="14" t="s">
        <v>100</v>
      </c>
      <c r="G4217" s="14" t="s">
        <v>101</v>
      </c>
      <c r="H4217" s="0" t="n">
        <v>5</v>
      </c>
      <c r="I4217" s="16" t="n">
        <v>15.39</v>
      </c>
      <c r="J4217" s="16" t="n">
        <v>5.5</v>
      </c>
      <c r="K4217" s="16" t="n">
        <f aca="false">H4217*I4217</f>
        <v>76.95</v>
      </c>
      <c r="L4217" s="16" t="n">
        <f aca="false">H4217*J4217</f>
        <v>27.5</v>
      </c>
      <c r="M4217" s="16" t="n">
        <f aca="false">K4217-L4217</f>
        <v>49.45</v>
      </c>
      <c r="N4217" s="17" t="n">
        <f aca="false">IFERROR(M4217/K4217,0)</f>
        <v>0.642625081221573</v>
      </c>
    </row>
    <row r="4218" customFormat="false" ht="15" hidden="false" customHeight="false" outlineLevel="0" collapsed="false">
      <c r="A4218" s="15" t="n">
        <v>46198</v>
      </c>
      <c r="B4218" s="14" t="s">
        <v>81</v>
      </c>
      <c r="C4218" s="14" t="s">
        <v>82</v>
      </c>
      <c r="D4218" s="14" t="s">
        <v>83</v>
      </c>
      <c r="E4218" s="14" t="s">
        <v>76</v>
      </c>
      <c r="F4218" s="14" t="s">
        <v>77</v>
      </c>
      <c r="G4218" s="14" t="s">
        <v>78</v>
      </c>
      <c r="H4218" s="0" t="n">
        <v>6</v>
      </c>
      <c r="I4218" s="16" t="n">
        <v>40.42</v>
      </c>
      <c r="J4218" s="16" t="n">
        <v>15</v>
      </c>
      <c r="K4218" s="16" t="n">
        <f aca="false">H4218*I4218</f>
        <v>242.52</v>
      </c>
      <c r="L4218" s="16" t="n">
        <f aca="false">H4218*J4218</f>
        <v>90</v>
      </c>
      <c r="M4218" s="16" t="n">
        <f aca="false">K4218-L4218</f>
        <v>152.52</v>
      </c>
      <c r="N4218" s="17" t="n">
        <f aca="false">IFERROR(M4218/K4218,0)</f>
        <v>0.62889658584859</v>
      </c>
    </row>
    <row r="4219" customFormat="false" ht="15" hidden="false" customHeight="false" outlineLevel="0" collapsed="false">
      <c r="A4219" s="15" t="n">
        <v>46198</v>
      </c>
      <c r="B4219" s="14" t="s">
        <v>81</v>
      </c>
      <c r="C4219" s="14" t="s">
        <v>82</v>
      </c>
      <c r="D4219" s="14" t="s">
        <v>83</v>
      </c>
      <c r="E4219" s="14" t="s">
        <v>64</v>
      </c>
      <c r="F4219" s="14" t="s">
        <v>94</v>
      </c>
      <c r="G4219" s="14" t="s">
        <v>95</v>
      </c>
      <c r="H4219" s="0" t="n">
        <v>6</v>
      </c>
      <c r="I4219" s="16" t="n">
        <v>91.39</v>
      </c>
      <c r="J4219" s="16" t="n">
        <v>42</v>
      </c>
      <c r="K4219" s="16" t="n">
        <f aca="false">H4219*I4219</f>
        <v>548.34</v>
      </c>
      <c r="L4219" s="16" t="n">
        <f aca="false">H4219*J4219</f>
        <v>252</v>
      </c>
      <c r="M4219" s="16" t="n">
        <f aca="false">K4219-L4219</f>
        <v>296.34</v>
      </c>
      <c r="N4219" s="17" t="n">
        <f aca="false">IFERROR(M4219/K4219,0)</f>
        <v>0.540431119378488</v>
      </c>
    </row>
    <row r="4220" customFormat="false" ht="15" hidden="false" customHeight="false" outlineLevel="0" collapsed="false">
      <c r="A4220" s="15" t="n">
        <v>46198</v>
      </c>
      <c r="B4220" s="14" t="s">
        <v>81</v>
      </c>
      <c r="C4220" s="14" t="s">
        <v>82</v>
      </c>
      <c r="D4220" s="14" t="s">
        <v>83</v>
      </c>
      <c r="E4220" s="14" t="s">
        <v>64</v>
      </c>
      <c r="F4220" s="14" t="s">
        <v>90</v>
      </c>
      <c r="G4220" s="14" t="s">
        <v>91</v>
      </c>
      <c r="H4220" s="0" t="n">
        <v>3</v>
      </c>
      <c r="I4220" s="16" t="n">
        <v>11.6</v>
      </c>
      <c r="J4220" s="16" t="n">
        <v>3.5</v>
      </c>
      <c r="K4220" s="16" t="n">
        <f aca="false">H4220*I4220</f>
        <v>34.8</v>
      </c>
      <c r="L4220" s="16" t="n">
        <f aca="false">H4220*J4220</f>
        <v>10.5</v>
      </c>
      <c r="M4220" s="16" t="n">
        <f aca="false">K4220-L4220</f>
        <v>24.3</v>
      </c>
      <c r="N4220" s="17" t="n">
        <f aca="false">IFERROR(M4220/K4220,0)</f>
        <v>0.698275862068966</v>
      </c>
    </row>
    <row r="4221" customFormat="false" ht="15" hidden="false" customHeight="false" outlineLevel="0" collapsed="false">
      <c r="A4221" s="15" t="n">
        <v>46198</v>
      </c>
      <c r="B4221" s="14" t="s">
        <v>88</v>
      </c>
      <c r="C4221" s="14" t="s">
        <v>89</v>
      </c>
      <c r="D4221" s="14" t="s">
        <v>44</v>
      </c>
      <c r="E4221" s="14" t="s">
        <v>76</v>
      </c>
      <c r="F4221" s="14" t="s">
        <v>102</v>
      </c>
      <c r="G4221" s="14" t="s">
        <v>103</v>
      </c>
      <c r="H4221" s="0" t="n">
        <v>5</v>
      </c>
      <c r="I4221" s="16" t="n">
        <v>23.13</v>
      </c>
      <c r="J4221" s="16" t="n">
        <v>8.5</v>
      </c>
      <c r="K4221" s="16" t="n">
        <f aca="false">H4221*I4221</f>
        <v>115.65</v>
      </c>
      <c r="L4221" s="16" t="n">
        <f aca="false">H4221*J4221</f>
        <v>42.5</v>
      </c>
      <c r="M4221" s="16" t="n">
        <f aca="false">K4221-L4221</f>
        <v>73.15</v>
      </c>
      <c r="N4221" s="17" t="n">
        <f aca="false">IFERROR(M4221/K4221,0)</f>
        <v>0.632511889321228</v>
      </c>
    </row>
    <row r="4222" customFormat="false" ht="15" hidden="false" customHeight="false" outlineLevel="0" collapsed="false">
      <c r="A4222" s="15" t="n">
        <v>46198</v>
      </c>
      <c r="B4222" s="14" t="s">
        <v>88</v>
      </c>
      <c r="C4222" s="14" t="s">
        <v>89</v>
      </c>
      <c r="D4222" s="14" t="s">
        <v>44</v>
      </c>
      <c r="E4222" s="14" t="s">
        <v>53</v>
      </c>
      <c r="F4222" s="14" t="s">
        <v>92</v>
      </c>
      <c r="G4222" s="14" t="s">
        <v>93</v>
      </c>
      <c r="H4222" s="0" t="n">
        <v>5</v>
      </c>
      <c r="I4222" s="16" t="n">
        <v>114.07</v>
      </c>
      <c r="J4222" s="16" t="n">
        <v>52</v>
      </c>
      <c r="K4222" s="16" t="n">
        <f aca="false">H4222*I4222</f>
        <v>570.35</v>
      </c>
      <c r="L4222" s="16" t="n">
        <f aca="false">H4222*J4222</f>
        <v>260</v>
      </c>
      <c r="M4222" s="16" t="n">
        <f aca="false">K4222-L4222</f>
        <v>310.35</v>
      </c>
      <c r="N4222" s="17" t="n">
        <f aca="false">IFERROR(M4222/K4222,0)</f>
        <v>0.544139563425967</v>
      </c>
    </row>
    <row r="4223" customFormat="false" ht="15" hidden="false" customHeight="false" outlineLevel="0" collapsed="false">
      <c r="A4223" s="15" t="n">
        <v>46198</v>
      </c>
      <c r="B4223" s="14" t="s">
        <v>88</v>
      </c>
      <c r="C4223" s="14" t="s">
        <v>89</v>
      </c>
      <c r="D4223" s="14" t="s">
        <v>44</v>
      </c>
      <c r="E4223" s="14" t="s">
        <v>76</v>
      </c>
      <c r="F4223" s="14" t="s">
        <v>100</v>
      </c>
      <c r="G4223" s="14" t="s">
        <v>101</v>
      </c>
      <c r="H4223" s="0" t="n">
        <v>4</v>
      </c>
      <c r="I4223" s="16" t="n">
        <v>15.41</v>
      </c>
      <c r="J4223" s="16" t="n">
        <v>5.5</v>
      </c>
      <c r="K4223" s="16" t="n">
        <f aca="false">H4223*I4223</f>
        <v>61.64</v>
      </c>
      <c r="L4223" s="16" t="n">
        <f aca="false">H4223*J4223</f>
        <v>22</v>
      </c>
      <c r="M4223" s="16" t="n">
        <f aca="false">K4223-L4223</f>
        <v>39.64</v>
      </c>
      <c r="N4223" s="17" t="n">
        <f aca="false">IFERROR(M4223/K4223,0)</f>
        <v>0.643088903309539</v>
      </c>
    </row>
    <row r="4224" customFormat="false" ht="15" hidden="false" customHeight="false" outlineLevel="0" collapsed="false">
      <c r="A4224" s="15" t="n">
        <v>46199</v>
      </c>
      <c r="B4224" s="14" t="s">
        <v>42</v>
      </c>
      <c r="C4224" s="14" t="s">
        <v>43</v>
      </c>
      <c r="D4224" s="14" t="s">
        <v>44</v>
      </c>
      <c r="E4224" s="14" t="s">
        <v>76</v>
      </c>
      <c r="F4224" s="14" t="s">
        <v>79</v>
      </c>
      <c r="G4224" s="14" t="s">
        <v>80</v>
      </c>
      <c r="H4224" s="0" t="n">
        <v>12</v>
      </c>
      <c r="I4224" s="16" t="n">
        <v>29.56</v>
      </c>
      <c r="J4224" s="16" t="n">
        <v>11</v>
      </c>
      <c r="K4224" s="16" t="n">
        <f aca="false">H4224*I4224</f>
        <v>354.72</v>
      </c>
      <c r="L4224" s="16" t="n">
        <f aca="false">H4224*J4224</f>
        <v>132</v>
      </c>
      <c r="M4224" s="16" t="n">
        <f aca="false">K4224-L4224</f>
        <v>222.72</v>
      </c>
      <c r="N4224" s="17" t="n">
        <f aca="false">IFERROR(M4224/K4224,0)</f>
        <v>0.62787550744249</v>
      </c>
    </row>
    <row r="4225" customFormat="false" ht="15" hidden="false" customHeight="false" outlineLevel="0" collapsed="false">
      <c r="A4225" s="15" t="n">
        <v>46199</v>
      </c>
      <c r="B4225" s="14" t="s">
        <v>42</v>
      </c>
      <c r="C4225" s="14" t="s">
        <v>43</v>
      </c>
      <c r="D4225" s="14" t="s">
        <v>44</v>
      </c>
      <c r="E4225" s="14" t="s">
        <v>76</v>
      </c>
      <c r="F4225" s="14" t="s">
        <v>79</v>
      </c>
      <c r="G4225" s="14" t="s">
        <v>80</v>
      </c>
      <c r="H4225" s="0" t="n">
        <v>10</v>
      </c>
      <c r="I4225" s="16" t="n">
        <v>28.46</v>
      </c>
      <c r="J4225" s="16" t="n">
        <v>11</v>
      </c>
      <c r="K4225" s="16" t="n">
        <f aca="false">H4225*I4225</f>
        <v>284.6</v>
      </c>
      <c r="L4225" s="16" t="n">
        <f aca="false">H4225*J4225</f>
        <v>110</v>
      </c>
      <c r="M4225" s="16" t="n">
        <f aca="false">K4225-L4225</f>
        <v>174.6</v>
      </c>
      <c r="N4225" s="17" t="n">
        <f aca="false">IFERROR(M4225/K4225,0)</f>
        <v>0.613492621222769</v>
      </c>
    </row>
    <row r="4226" customFormat="false" ht="15" hidden="false" customHeight="false" outlineLevel="0" collapsed="false">
      <c r="A4226" s="15" t="n">
        <v>46199</v>
      </c>
      <c r="B4226" s="14" t="s">
        <v>42</v>
      </c>
      <c r="C4226" s="14" t="s">
        <v>43</v>
      </c>
      <c r="D4226" s="14" t="s">
        <v>44</v>
      </c>
      <c r="E4226" s="14" t="s">
        <v>56</v>
      </c>
      <c r="F4226" s="14" t="s">
        <v>67</v>
      </c>
      <c r="G4226" s="14" t="s">
        <v>68</v>
      </c>
      <c r="H4226" s="0" t="n">
        <v>7</v>
      </c>
      <c r="I4226" s="16" t="n">
        <v>35.2</v>
      </c>
      <c r="J4226" s="16" t="n">
        <v>15</v>
      </c>
      <c r="K4226" s="16" t="n">
        <f aca="false">H4226*I4226</f>
        <v>246.4</v>
      </c>
      <c r="L4226" s="16" t="n">
        <f aca="false">H4226*J4226</f>
        <v>105</v>
      </c>
      <c r="M4226" s="16" t="n">
        <f aca="false">K4226-L4226</f>
        <v>141.4</v>
      </c>
      <c r="N4226" s="17" t="n">
        <f aca="false">IFERROR(M4226/K4226,0)</f>
        <v>0.573863636363637</v>
      </c>
    </row>
    <row r="4227" customFormat="false" ht="15" hidden="false" customHeight="false" outlineLevel="0" collapsed="false">
      <c r="A4227" s="15" t="n">
        <v>46199</v>
      </c>
      <c r="B4227" s="14" t="s">
        <v>42</v>
      </c>
      <c r="C4227" s="14" t="s">
        <v>43</v>
      </c>
      <c r="D4227" s="14" t="s">
        <v>44</v>
      </c>
      <c r="E4227" s="14" t="s">
        <v>64</v>
      </c>
      <c r="F4227" s="14" t="s">
        <v>96</v>
      </c>
      <c r="G4227" s="14" t="s">
        <v>97</v>
      </c>
      <c r="H4227" s="0" t="n">
        <v>5</v>
      </c>
      <c r="I4227" s="16" t="n">
        <v>56.94</v>
      </c>
      <c r="J4227" s="16" t="n">
        <v>24</v>
      </c>
      <c r="K4227" s="16" t="n">
        <f aca="false">H4227*I4227</f>
        <v>284.7</v>
      </c>
      <c r="L4227" s="16" t="n">
        <f aca="false">H4227*J4227</f>
        <v>120</v>
      </c>
      <c r="M4227" s="16" t="n">
        <f aca="false">K4227-L4227</f>
        <v>164.7</v>
      </c>
      <c r="N4227" s="17" t="n">
        <f aca="false">IFERROR(M4227/K4227,0)</f>
        <v>0.578503688092729</v>
      </c>
    </row>
    <row r="4228" customFormat="false" ht="15" hidden="false" customHeight="false" outlineLevel="0" collapsed="false">
      <c r="A4228" s="15" t="n">
        <v>46199</v>
      </c>
      <c r="B4228" s="14" t="s">
        <v>50</v>
      </c>
      <c r="C4228" s="14" t="s">
        <v>51</v>
      </c>
      <c r="D4228" s="14" t="s">
        <v>52</v>
      </c>
      <c r="E4228" s="14" t="s">
        <v>56</v>
      </c>
      <c r="F4228" s="14" t="s">
        <v>98</v>
      </c>
      <c r="G4228" s="14" t="s">
        <v>99</v>
      </c>
      <c r="H4228" s="0" t="n">
        <v>7</v>
      </c>
      <c r="I4228" s="16" t="n">
        <v>21.83</v>
      </c>
      <c r="J4228" s="16" t="n">
        <v>8</v>
      </c>
      <c r="K4228" s="16" t="n">
        <f aca="false">H4228*I4228</f>
        <v>152.81</v>
      </c>
      <c r="L4228" s="16" t="n">
        <f aca="false">H4228*J4228</f>
        <v>56</v>
      </c>
      <c r="M4228" s="16" t="n">
        <f aca="false">K4228-L4228</f>
        <v>96.81</v>
      </c>
      <c r="N4228" s="17" t="n">
        <f aca="false">IFERROR(M4228/K4228,0)</f>
        <v>0.633531836921668</v>
      </c>
    </row>
    <row r="4229" customFormat="false" ht="15" hidden="false" customHeight="false" outlineLevel="0" collapsed="false">
      <c r="A4229" s="15" t="n">
        <v>46199</v>
      </c>
      <c r="B4229" s="14" t="s">
        <v>50</v>
      </c>
      <c r="C4229" s="14" t="s">
        <v>51</v>
      </c>
      <c r="D4229" s="14" t="s">
        <v>52</v>
      </c>
      <c r="E4229" s="14" t="s">
        <v>76</v>
      </c>
      <c r="F4229" s="14" t="s">
        <v>79</v>
      </c>
      <c r="G4229" s="14" t="s">
        <v>80</v>
      </c>
      <c r="H4229" s="0" t="n">
        <v>1</v>
      </c>
      <c r="I4229" s="16" t="n">
        <v>28.78</v>
      </c>
      <c r="J4229" s="16" t="n">
        <v>11</v>
      </c>
      <c r="K4229" s="16" t="n">
        <f aca="false">H4229*I4229</f>
        <v>28.78</v>
      </c>
      <c r="L4229" s="16" t="n">
        <f aca="false">H4229*J4229</f>
        <v>11</v>
      </c>
      <c r="M4229" s="16" t="n">
        <f aca="false">K4229-L4229</f>
        <v>17.78</v>
      </c>
      <c r="N4229" s="17" t="n">
        <f aca="false">IFERROR(M4229/K4229,0)</f>
        <v>0.617790132036136</v>
      </c>
    </row>
    <row r="4230" customFormat="false" ht="15" hidden="false" customHeight="false" outlineLevel="0" collapsed="false">
      <c r="A4230" s="15" t="n">
        <v>46199</v>
      </c>
      <c r="B4230" s="14" t="s">
        <v>59</v>
      </c>
      <c r="C4230" s="14" t="s">
        <v>60</v>
      </c>
      <c r="D4230" s="14" t="s">
        <v>61</v>
      </c>
      <c r="E4230" s="14" t="s">
        <v>45</v>
      </c>
      <c r="F4230" s="14" t="s">
        <v>48</v>
      </c>
      <c r="G4230" s="14" t="s">
        <v>49</v>
      </c>
      <c r="H4230" s="0" t="n">
        <v>3</v>
      </c>
      <c r="I4230" s="16" t="n">
        <v>63.1</v>
      </c>
      <c r="J4230" s="16" t="n">
        <v>27.5</v>
      </c>
      <c r="K4230" s="16" t="n">
        <f aca="false">H4230*I4230</f>
        <v>189.3</v>
      </c>
      <c r="L4230" s="16" t="n">
        <f aca="false">H4230*J4230</f>
        <v>82.5</v>
      </c>
      <c r="M4230" s="16" t="n">
        <f aca="false">K4230-L4230</f>
        <v>106.8</v>
      </c>
      <c r="N4230" s="17" t="n">
        <f aca="false">IFERROR(M4230/K4230,0)</f>
        <v>0.564183835182251</v>
      </c>
    </row>
    <row r="4231" customFormat="false" ht="15" hidden="false" customHeight="false" outlineLevel="0" collapsed="false">
      <c r="A4231" s="15" t="n">
        <v>46199</v>
      </c>
      <c r="B4231" s="14" t="s">
        <v>59</v>
      </c>
      <c r="C4231" s="14" t="s">
        <v>60</v>
      </c>
      <c r="D4231" s="14" t="s">
        <v>61</v>
      </c>
      <c r="E4231" s="14" t="s">
        <v>45</v>
      </c>
      <c r="F4231" s="14" t="s">
        <v>48</v>
      </c>
      <c r="G4231" s="14" t="s">
        <v>49</v>
      </c>
      <c r="H4231" s="0" t="n">
        <v>7</v>
      </c>
      <c r="I4231" s="16" t="n">
        <v>66.8</v>
      </c>
      <c r="J4231" s="16" t="n">
        <v>27.5</v>
      </c>
      <c r="K4231" s="16" t="n">
        <f aca="false">H4231*I4231</f>
        <v>467.6</v>
      </c>
      <c r="L4231" s="16" t="n">
        <f aca="false">H4231*J4231</f>
        <v>192.5</v>
      </c>
      <c r="M4231" s="16" t="n">
        <f aca="false">K4231-L4231</f>
        <v>275.1</v>
      </c>
      <c r="N4231" s="17" t="n">
        <f aca="false">IFERROR(M4231/K4231,0)</f>
        <v>0.588323353293413</v>
      </c>
    </row>
    <row r="4232" customFormat="false" ht="15" hidden="false" customHeight="false" outlineLevel="0" collapsed="false">
      <c r="A4232" s="15" t="n">
        <v>46199</v>
      </c>
      <c r="B4232" s="14" t="s">
        <v>59</v>
      </c>
      <c r="C4232" s="14" t="s">
        <v>60</v>
      </c>
      <c r="D4232" s="14" t="s">
        <v>61</v>
      </c>
      <c r="E4232" s="14" t="s">
        <v>64</v>
      </c>
      <c r="F4232" s="14" t="s">
        <v>65</v>
      </c>
      <c r="G4232" s="14" t="s">
        <v>66</v>
      </c>
      <c r="H4232" s="0" t="n">
        <v>1</v>
      </c>
      <c r="I4232" s="16" t="n">
        <v>73.58</v>
      </c>
      <c r="J4232" s="16" t="n">
        <v>34</v>
      </c>
      <c r="K4232" s="16" t="n">
        <f aca="false">H4232*I4232</f>
        <v>73.58</v>
      </c>
      <c r="L4232" s="16" t="n">
        <f aca="false">H4232*J4232</f>
        <v>34</v>
      </c>
      <c r="M4232" s="16" t="n">
        <f aca="false">K4232-L4232</f>
        <v>39.58</v>
      </c>
      <c r="N4232" s="17" t="n">
        <f aca="false">IFERROR(M4232/K4232,0)</f>
        <v>0.537917912476216</v>
      </c>
    </row>
    <row r="4233" customFormat="false" ht="15" hidden="false" customHeight="false" outlineLevel="0" collapsed="false">
      <c r="A4233" s="15" t="n">
        <v>46199</v>
      </c>
      <c r="B4233" s="14" t="s">
        <v>59</v>
      </c>
      <c r="C4233" s="14" t="s">
        <v>60</v>
      </c>
      <c r="D4233" s="14" t="s">
        <v>61</v>
      </c>
      <c r="E4233" s="14" t="s">
        <v>76</v>
      </c>
      <c r="F4233" s="14" t="s">
        <v>100</v>
      </c>
      <c r="G4233" s="14" t="s">
        <v>101</v>
      </c>
      <c r="H4233" s="0" t="n">
        <v>7</v>
      </c>
      <c r="I4233" s="16" t="n">
        <v>14.79</v>
      </c>
      <c r="J4233" s="16" t="n">
        <v>5.5</v>
      </c>
      <c r="K4233" s="16" t="n">
        <f aca="false">H4233*I4233</f>
        <v>103.53</v>
      </c>
      <c r="L4233" s="16" t="n">
        <f aca="false">H4233*J4233</f>
        <v>38.5</v>
      </c>
      <c r="M4233" s="16" t="n">
        <f aca="false">K4233-L4233</f>
        <v>65.03</v>
      </c>
      <c r="N4233" s="17" t="n">
        <f aca="false">IFERROR(M4233/K4233,0)</f>
        <v>0.628127112914131</v>
      </c>
    </row>
    <row r="4234" customFormat="false" ht="15" hidden="false" customHeight="false" outlineLevel="0" collapsed="false">
      <c r="A4234" s="15" t="n">
        <v>46199</v>
      </c>
      <c r="B4234" s="14" t="s">
        <v>69</v>
      </c>
      <c r="C4234" s="14" t="s">
        <v>70</v>
      </c>
      <c r="D4234" s="14" t="s">
        <v>71</v>
      </c>
      <c r="E4234" s="14" t="s">
        <v>53</v>
      </c>
      <c r="F4234" s="14" t="s">
        <v>74</v>
      </c>
      <c r="G4234" s="14" t="s">
        <v>75</v>
      </c>
      <c r="H4234" s="0" t="n">
        <v>8</v>
      </c>
      <c r="I4234" s="16" t="n">
        <v>86.99</v>
      </c>
      <c r="J4234" s="16" t="n">
        <v>38</v>
      </c>
      <c r="K4234" s="16" t="n">
        <f aca="false">H4234*I4234</f>
        <v>695.92</v>
      </c>
      <c r="L4234" s="16" t="n">
        <f aca="false">H4234*J4234</f>
        <v>304</v>
      </c>
      <c r="M4234" s="16" t="n">
        <f aca="false">K4234-L4234</f>
        <v>391.92</v>
      </c>
      <c r="N4234" s="17" t="n">
        <f aca="false">IFERROR(M4234/K4234,0)</f>
        <v>0.563168180250603</v>
      </c>
    </row>
    <row r="4235" customFormat="false" ht="15" hidden="false" customHeight="false" outlineLevel="0" collapsed="false">
      <c r="A4235" s="15" t="n">
        <v>46199</v>
      </c>
      <c r="B4235" s="14" t="s">
        <v>69</v>
      </c>
      <c r="C4235" s="14" t="s">
        <v>70</v>
      </c>
      <c r="D4235" s="14" t="s">
        <v>71</v>
      </c>
      <c r="E4235" s="14" t="s">
        <v>76</v>
      </c>
      <c r="F4235" s="14" t="s">
        <v>77</v>
      </c>
      <c r="G4235" s="14" t="s">
        <v>78</v>
      </c>
      <c r="H4235" s="0" t="n">
        <v>6</v>
      </c>
      <c r="I4235" s="16" t="n">
        <v>41.39</v>
      </c>
      <c r="J4235" s="16" t="n">
        <v>15</v>
      </c>
      <c r="K4235" s="16" t="n">
        <f aca="false">H4235*I4235</f>
        <v>248.34</v>
      </c>
      <c r="L4235" s="16" t="n">
        <f aca="false">H4235*J4235</f>
        <v>90</v>
      </c>
      <c r="M4235" s="16" t="n">
        <f aca="false">K4235-L4235</f>
        <v>158.34</v>
      </c>
      <c r="N4235" s="17" t="n">
        <f aca="false">IFERROR(M4235/K4235,0)</f>
        <v>0.637593621647741</v>
      </c>
    </row>
    <row r="4236" customFormat="false" ht="15" hidden="false" customHeight="false" outlineLevel="0" collapsed="false">
      <c r="A4236" s="15" t="n">
        <v>46199</v>
      </c>
      <c r="B4236" s="14" t="s">
        <v>69</v>
      </c>
      <c r="C4236" s="14" t="s">
        <v>70</v>
      </c>
      <c r="D4236" s="14" t="s">
        <v>71</v>
      </c>
      <c r="E4236" s="14" t="s">
        <v>76</v>
      </c>
      <c r="F4236" s="14" t="s">
        <v>79</v>
      </c>
      <c r="G4236" s="14" t="s">
        <v>80</v>
      </c>
      <c r="H4236" s="0" t="n">
        <v>3</v>
      </c>
      <c r="I4236" s="16" t="n">
        <v>30</v>
      </c>
      <c r="J4236" s="16" t="n">
        <v>11</v>
      </c>
      <c r="K4236" s="16" t="n">
        <f aca="false">H4236*I4236</f>
        <v>90</v>
      </c>
      <c r="L4236" s="16" t="n">
        <f aca="false">H4236*J4236</f>
        <v>33</v>
      </c>
      <c r="M4236" s="16" t="n">
        <f aca="false">K4236-L4236</f>
        <v>57</v>
      </c>
      <c r="N4236" s="17" t="n">
        <f aca="false">IFERROR(M4236/K4236,0)</f>
        <v>0.633333333333333</v>
      </c>
    </row>
    <row r="4237" customFormat="false" ht="15" hidden="false" customHeight="false" outlineLevel="0" collapsed="false">
      <c r="A4237" s="15" t="n">
        <v>46199</v>
      </c>
      <c r="B4237" s="14" t="s">
        <v>81</v>
      </c>
      <c r="C4237" s="14" t="s">
        <v>82</v>
      </c>
      <c r="D4237" s="14" t="s">
        <v>83</v>
      </c>
      <c r="E4237" s="14" t="s">
        <v>53</v>
      </c>
      <c r="F4237" s="14" t="s">
        <v>54</v>
      </c>
      <c r="G4237" s="14" t="s">
        <v>55</v>
      </c>
      <c r="H4237" s="0" t="n">
        <v>8</v>
      </c>
      <c r="I4237" s="16" t="n">
        <v>54.56</v>
      </c>
      <c r="J4237" s="16" t="n">
        <v>22</v>
      </c>
      <c r="K4237" s="16" t="n">
        <f aca="false">H4237*I4237</f>
        <v>436.48</v>
      </c>
      <c r="L4237" s="16" t="n">
        <f aca="false">H4237*J4237</f>
        <v>176</v>
      </c>
      <c r="M4237" s="16" t="n">
        <f aca="false">K4237-L4237</f>
        <v>260.48</v>
      </c>
      <c r="N4237" s="17" t="n">
        <f aca="false">IFERROR(M4237/K4237,0)</f>
        <v>0.596774193548387</v>
      </c>
    </row>
    <row r="4238" customFormat="false" ht="15" hidden="false" customHeight="false" outlineLevel="0" collapsed="false">
      <c r="A4238" s="15" t="n">
        <v>46199</v>
      </c>
      <c r="B4238" s="14" t="s">
        <v>81</v>
      </c>
      <c r="C4238" s="14" t="s">
        <v>82</v>
      </c>
      <c r="D4238" s="14" t="s">
        <v>83</v>
      </c>
      <c r="E4238" s="14" t="s">
        <v>56</v>
      </c>
      <c r="F4238" s="14" t="s">
        <v>67</v>
      </c>
      <c r="G4238" s="14" t="s">
        <v>68</v>
      </c>
      <c r="H4238" s="0" t="n">
        <v>1</v>
      </c>
      <c r="I4238" s="16" t="n">
        <v>34.99</v>
      </c>
      <c r="J4238" s="16" t="n">
        <v>15</v>
      </c>
      <c r="K4238" s="16" t="n">
        <f aca="false">H4238*I4238</f>
        <v>34.99</v>
      </c>
      <c r="L4238" s="16" t="n">
        <f aca="false">H4238*J4238</f>
        <v>15</v>
      </c>
      <c r="M4238" s="16" t="n">
        <f aca="false">K4238-L4238</f>
        <v>19.99</v>
      </c>
      <c r="N4238" s="17" t="n">
        <f aca="false">IFERROR(M4238/K4238,0)</f>
        <v>0.571306087453558</v>
      </c>
    </row>
    <row r="4239" customFormat="false" ht="15" hidden="false" customHeight="false" outlineLevel="0" collapsed="false">
      <c r="A4239" s="15" t="n">
        <v>46199</v>
      </c>
      <c r="B4239" s="14" t="s">
        <v>88</v>
      </c>
      <c r="C4239" s="14" t="s">
        <v>89</v>
      </c>
      <c r="D4239" s="14" t="s">
        <v>44</v>
      </c>
      <c r="E4239" s="14" t="s">
        <v>45</v>
      </c>
      <c r="F4239" s="14" t="s">
        <v>48</v>
      </c>
      <c r="G4239" s="14" t="s">
        <v>49</v>
      </c>
      <c r="H4239" s="0" t="n">
        <v>6</v>
      </c>
      <c r="I4239" s="16" t="n">
        <v>63.16</v>
      </c>
      <c r="J4239" s="16" t="n">
        <v>27.5</v>
      </c>
      <c r="K4239" s="16" t="n">
        <f aca="false">H4239*I4239</f>
        <v>378.96</v>
      </c>
      <c r="L4239" s="16" t="n">
        <f aca="false">H4239*J4239</f>
        <v>165</v>
      </c>
      <c r="M4239" s="16" t="n">
        <f aca="false">K4239-L4239</f>
        <v>213.96</v>
      </c>
      <c r="N4239" s="17" t="n">
        <f aca="false">IFERROR(M4239/K4239,0)</f>
        <v>0.564597846738442</v>
      </c>
    </row>
    <row r="4240" customFormat="false" ht="15" hidden="false" customHeight="false" outlineLevel="0" collapsed="false">
      <c r="A4240" s="15" t="n">
        <v>46199</v>
      </c>
      <c r="B4240" s="14" t="s">
        <v>88</v>
      </c>
      <c r="C4240" s="14" t="s">
        <v>89</v>
      </c>
      <c r="D4240" s="14" t="s">
        <v>44</v>
      </c>
      <c r="E4240" s="14" t="s">
        <v>53</v>
      </c>
      <c r="F4240" s="14" t="s">
        <v>54</v>
      </c>
      <c r="G4240" s="14" t="s">
        <v>55</v>
      </c>
      <c r="H4240" s="0" t="n">
        <v>8</v>
      </c>
      <c r="I4240" s="16" t="n">
        <v>54.85</v>
      </c>
      <c r="J4240" s="16" t="n">
        <v>22</v>
      </c>
      <c r="K4240" s="16" t="n">
        <f aca="false">H4240*I4240</f>
        <v>438.8</v>
      </c>
      <c r="L4240" s="16" t="n">
        <f aca="false">H4240*J4240</f>
        <v>176</v>
      </c>
      <c r="M4240" s="16" t="n">
        <f aca="false">K4240-L4240</f>
        <v>262.8</v>
      </c>
      <c r="N4240" s="17" t="n">
        <f aca="false">IFERROR(M4240/K4240,0)</f>
        <v>0.598906107566089</v>
      </c>
    </row>
    <row r="4241" customFormat="false" ht="15" hidden="false" customHeight="false" outlineLevel="0" collapsed="false">
      <c r="A4241" s="15" t="n">
        <v>46199</v>
      </c>
      <c r="B4241" s="14" t="s">
        <v>88</v>
      </c>
      <c r="C4241" s="14" t="s">
        <v>89</v>
      </c>
      <c r="D4241" s="14" t="s">
        <v>44</v>
      </c>
      <c r="E4241" s="14" t="s">
        <v>56</v>
      </c>
      <c r="F4241" s="14" t="s">
        <v>67</v>
      </c>
      <c r="G4241" s="14" t="s">
        <v>68</v>
      </c>
      <c r="H4241" s="0" t="n">
        <v>8</v>
      </c>
      <c r="I4241" s="16" t="n">
        <v>36.89</v>
      </c>
      <c r="J4241" s="16" t="n">
        <v>15</v>
      </c>
      <c r="K4241" s="16" t="n">
        <f aca="false">H4241*I4241</f>
        <v>295.12</v>
      </c>
      <c r="L4241" s="16" t="n">
        <f aca="false">H4241*J4241</f>
        <v>120</v>
      </c>
      <c r="M4241" s="16" t="n">
        <f aca="false">K4241-L4241</f>
        <v>175.12</v>
      </c>
      <c r="N4241" s="17" t="n">
        <f aca="false">IFERROR(M4241/K4241,0)</f>
        <v>0.593385741393332</v>
      </c>
    </row>
    <row r="4242" customFormat="false" ht="15" hidden="false" customHeight="false" outlineLevel="0" collapsed="false">
      <c r="A4242" s="15" t="n">
        <v>46199</v>
      </c>
      <c r="B4242" s="14" t="s">
        <v>88</v>
      </c>
      <c r="C4242" s="14" t="s">
        <v>89</v>
      </c>
      <c r="D4242" s="14" t="s">
        <v>44</v>
      </c>
      <c r="E4242" s="14" t="s">
        <v>56</v>
      </c>
      <c r="F4242" s="14" t="s">
        <v>67</v>
      </c>
      <c r="G4242" s="14" t="s">
        <v>68</v>
      </c>
      <c r="H4242" s="0" t="n">
        <v>1</v>
      </c>
      <c r="I4242" s="16" t="n">
        <v>36.29</v>
      </c>
      <c r="J4242" s="16" t="n">
        <v>15</v>
      </c>
      <c r="K4242" s="16" t="n">
        <f aca="false">H4242*I4242</f>
        <v>36.29</v>
      </c>
      <c r="L4242" s="16" t="n">
        <f aca="false">H4242*J4242</f>
        <v>15</v>
      </c>
      <c r="M4242" s="16" t="n">
        <f aca="false">K4242-L4242</f>
        <v>21.29</v>
      </c>
      <c r="N4242" s="17" t="n">
        <f aca="false">IFERROR(M4242/K4242,0)</f>
        <v>0.586662992559934</v>
      </c>
    </row>
    <row r="4243" customFormat="false" ht="15" hidden="false" customHeight="false" outlineLevel="0" collapsed="false">
      <c r="A4243" s="15" t="n">
        <v>46199</v>
      </c>
      <c r="B4243" s="14" t="s">
        <v>88</v>
      </c>
      <c r="C4243" s="14" t="s">
        <v>89</v>
      </c>
      <c r="D4243" s="14" t="s">
        <v>44</v>
      </c>
      <c r="E4243" s="14" t="s">
        <v>45</v>
      </c>
      <c r="F4243" s="14" t="s">
        <v>72</v>
      </c>
      <c r="G4243" s="14" t="s">
        <v>73</v>
      </c>
      <c r="H4243" s="0" t="n">
        <v>2</v>
      </c>
      <c r="I4243" s="16" t="n">
        <v>51.02</v>
      </c>
      <c r="J4243" s="16" t="n">
        <v>21</v>
      </c>
      <c r="K4243" s="16" t="n">
        <f aca="false">H4243*I4243</f>
        <v>102.04</v>
      </c>
      <c r="L4243" s="16" t="n">
        <f aca="false">H4243*J4243</f>
        <v>42</v>
      </c>
      <c r="M4243" s="16" t="n">
        <f aca="false">K4243-L4243</f>
        <v>60.04</v>
      </c>
      <c r="N4243" s="17" t="n">
        <f aca="false">IFERROR(M4243/K4243,0)</f>
        <v>0.588396707173657</v>
      </c>
    </row>
    <row r="4244" customFormat="false" ht="15" hidden="false" customHeight="false" outlineLevel="0" collapsed="false">
      <c r="A4244" s="15" t="n">
        <v>46200</v>
      </c>
      <c r="B4244" s="14" t="s">
        <v>42</v>
      </c>
      <c r="C4244" s="14" t="s">
        <v>43</v>
      </c>
      <c r="D4244" s="14" t="s">
        <v>44</v>
      </c>
      <c r="E4244" s="14" t="s">
        <v>53</v>
      </c>
      <c r="F4244" s="14" t="s">
        <v>84</v>
      </c>
      <c r="G4244" s="14" t="s">
        <v>85</v>
      </c>
      <c r="H4244" s="0" t="n">
        <v>2</v>
      </c>
      <c r="I4244" s="16" t="n">
        <v>24.86</v>
      </c>
      <c r="J4244" s="16" t="n">
        <v>9</v>
      </c>
      <c r="K4244" s="16" t="n">
        <f aca="false">H4244*I4244</f>
        <v>49.72</v>
      </c>
      <c r="L4244" s="16" t="n">
        <f aca="false">H4244*J4244</f>
        <v>18</v>
      </c>
      <c r="M4244" s="16" t="n">
        <f aca="false">K4244-L4244</f>
        <v>31.72</v>
      </c>
      <c r="N4244" s="17" t="n">
        <f aca="false">IFERROR(M4244/K4244,0)</f>
        <v>0.637972646822204</v>
      </c>
    </row>
    <row r="4245" customFormat="false" ht="15" hidden="false" customHeight="false" outlineLevel="0" collapsed="false">
      <c r="A4245" s="15" t="n">
        <v>46200</v>
      </c>
      <c r="B4245" s="14" t="s">
        <v>42</v>
      </c>
      <c r="C4245" s="14" t="s">
        <v>43</v>
      </c>
      <c r="D4245" s="14" t="s">
        <v>44</v>
      </c>
      <c r="E4245" s="14" t="s">
        <v>56</v>
      </c>
      <c r="F4245" s="14" t="s">
        <v>67</v>
      </c>
      <c r="G4245" s="14" t="s">
        <v>68</v>
      </c>
      <c r="H4245" s="0" t="n">
        <v>2</v>
      </c>
      <c r="I4245" s="16" t="n">
        <v>37.74</v>
      </c>
      <c r="J4245" s="16" t="n">
        <v>15</v>
      </c>
      <c r="K4245" s="16" t="n">
        <f aca="false">H4245*I4245</f>
        <v>75.48</v>
      </c>
      <c r="L4245" s="16" t="n">
        <f aca="false">H4245*J4245</f>
        <v>30</v>
      </c>
      <c r="M4245" s="16" t="n">
        <f aca="false">K4245-L4245</f>
        <v>45.48</v>
      </c>
      <c r="N4245" s="17" t="n">
        <f aca="false">IFERROR(M4245/K4245,0)</f>
        <v>0.602543720190779</v>
      </c>
    </row>
    <row r="4246" customFormat="false" ht="15" hidden="false" customHeight="false" outlineLevel="0" collapsed="false">
      <c r="A4246" s="15" t="n">
        <v>46200</v>
      </c>
      <c r="B4246" s="14" t="s">
        <v>42</v>
      </c>
      <c r="C4246" s="14" t="s">
        <v>43</v>
      </c>
      <c r="D4246" s="14" t="s">
        <v>44</v>
      </c>
      <c r="E4246" s="14" t="s">
        <v>45</v>
      </c>
      <c r="F4246" s="14" t="s">
        <v>48</v>
      </c>
      <c r="G4246" s="14" t="s">
        <v>49</v>
      </c>
      <c r="H4246" s="0" t="n">
        <v>2</v>
      </c>
      <c r="I4246" s="16" t="n">
        <v>67.91</v>
      </c>
      <c r="J4246" s="16" t="n">
        <v>27.5</v>
      </c>
      <c r="K4246" s="16" t="n">
        <f aca="false">H4246*I4246</f>
        <v>135.82</v>
      </c>
      <c r="L4246" s="16" t="n">
        <f aca="false">H4246*J4246</f>
        <v>55</v>
      </c>
      <c r="M4246" s="16" t="n">
        <f aca="false">K4246-L4246</f>
        <v>80.82</v>
      </c>
      <c r="N4246" s="17" t="n">
        <f aca="false">IFERROR(M4246/K4246,0)</f>
        <v>0.595052275069946</v>
      </c>
    </row>
    <row r="4247" customFormat="false" ht="15" hidden="false" customHeight="false" outlineLevel="0" collapsed="false">
      <c r="A4247" s="15" t="n">
        <v>46200</v>
      </c>
      <c r="B4247" s="14" t="s">
        <v>50</v>
      </c>
      <c r="C4247" s="14" t="s">
        <v>51</v>
      </c>
      <c r="D4247" s="14" t="s">
        <v>52</v>
      </c>
      <c r="E4247" s="14" t="s">
        <v>56</v>
      </c>
      <c r="F4247" s="14" t="s">
        <v>86</v>
      </c>
      <c r="G4247" s="14" t="s">
        <v>87</v>
      </c>
      <c r="H4247" s="0" t="n">
        <v>7</v>
      </c>
      <c r="I4247" s="16" t="n">
        <v>14.73</v>
      </c>
      <c r="J4247" s="16" t="n">
        <v>5</v>
      </c>
      <c r="K4247" s="16" t="n">
        <f aca="false">H4247*I4247</f>
        <v>103.11</v>
      </c>
      <c r="L4247" s="16" t="n">
        <f aca="false">H4247*J4247</f>
        <v>35</v>
      </c>
      <c r="M4247" s="16" t="n">
        <f aca="false">K4247-L4247</f>
        <v>68.11</v>
      </c>
      <c r="N4247" s="17" t="n">
        <f aca="false">IFERROR(M4247/K4247,0)</f>
        <v>0.660556687033265</v>
      </c>
    </row>
    <row r="4248" customFormat="false" ht="15" hidden="false" customHeight="false" outlineLevel="0" collapsed="false">
      <c r="A4248" s="15" t="n">
        <v>46200</v>
      </c>
      <c r="B4248" s="14" t="s">
        <v>50</v>
      </c>
      <c r="C4248" s="14" t="s">
        <v>51</v>
      </c>
      <c r="D4248" s="14" t="s">
        <v>52</v>
      </c>
      <c r="E4248" s="14" t="s">
        <v>45</v>
      </c>
      <c r="F4248" s="14" t="s">
        <v>62</v>
      </c>
      <c r="G4248" s="14" t="s">
        <v>63</v>
      </c>
      <c r="H4248" s="0" t="n">
        <v>3</v>
      </c>
      <c r="I4248" s="16" t="n">
        <v>16.56</v>
      </c>
      <c r="J4248" s="16" t="n">
        <v>6.5</v>
      </c>
      <c r="K4248" s="16" t="n">
        <f aca="false">H4248*I4248</f>
        <v>49.68</v>
      </c>
      <c r="L4248" s="16" t="n">
        <f aca="false">H4248*J4248</f>
        <v>19.5</v>
      </c>
      <c r="M4248" s="16" t="n">
        <f aca="false">K4248-L4248</f>
        <v>30.18</v>
      </c>
      <c r="N4248" s="17" t="n">
        <f aca="false">IFERROR(M4248/K4248,0)</f>
        <v>0.607487922705314</v>
      </c>
    </row>
    <row r="4249" customFormat="false" ht="15" hidden="false" customHeight="false" outlineLevel="0" collapsed="false">
      <c r="A4249" s="15" t="n">
        <v>46200</v>
      </c>
      <c r="B4249" s="14" t="s">
        <v>50</v>
      </c>
      <c r="C4249" s="14" t="s">
        <v>51</v>
      </c>
      <c r="D4249" s="14" t="s">
        <v>52</v>
      </c>
      <c r="E4249" s="14" t="s">
        <v>76</v>
      </c>
      <c r="F4249" s="14" t="s">
        <v>77</v>
      </c>
      <c r="G4249" s="14" t="s">
        <v>78</v>
      </c>
      <c r="H4249" s="0" t="n">
        <v>2</v>
      </c>
      <c r="I4249" s="16" t="n">
        <v>41.59</v>
      </c>
      <c r="J4249" s="16" t="n">
        <v>15</v>
      </c>
      <c r="K4249" s="16" t="n">
        <f aca="false">H4249*I4249</f>
        <v>83.18</v>
      </c>
      <c r="L4249" s="16" t="n">
        <f aca="false">H4249*J4249</f>
        <v>30</v>
      </c>
      <c r="M4249" s="16" t="n">
        <f aca="false">K4249-L4249</f>
        <v>53.18</v>
      </c>
      <c r="N4249" s="17" t="n">
        <f aca="false">IFERROR(M4249/K4249,0)</f>
        <v>0.639336378937245</v>
      </c>
    </row>
    <row r="4250" customFormat="false" ht="15" hidden="false" customHeight="false" outlineLevel="0" collapsed="false">
      <c r="A4250" s="15" t="n">
        <v>46200</v>
      </c>
      <c r="B4250" s="14" t="s">
        <v>50</v>
      </c>
      <c r="C4250" s="14" t="s">
        <v>51</v>
      </c>
      <c r="D4250" s="14" t="s">
        <v>52</v>
      </c>
      <c r="E4250" s="14" t="s">
        <v>64</v>
      </c>
      <c r="F4250" s="14" t="s">
        <v>65</v>
      </c>
      <c r="G4250" s="14" t="s">
        <v>66</v>
      </c>
      <c r="H4250" s="0" t="n">
        <v>8</v>
      </c>
      <c r="I4250" s="16" t="n">
        <v>73.09</v>
      </c>
      <c r="J4250" s="16" t="n">
        <v>34</v>
      </c>
      <c r="K4250" s="16" t="n">
        <f aca="false">H4250*I4250</f>
        <v>584.72</v>
      </c>
      <c r="L4250" s="16" t="n">
        <f aca="false">H4250*J4250</f>
        <v>272</v>
      </c>
      <c r="M4250" s="16" t="n">
        <f aca="false">K4250-L4250</f>
        <v>312.72</v>
      </c>
      <c r="N4250" s="17" t="n">
        <f aca="false">IFERROR(M4250/K4250,0)</f>
        <v>0.534820084826926</v>
      </c>
    </row>
    <row r="4251" customFormat="false" ht="15" hidden="false" customHeight="false" outlineLevel="0" collapsed="false">
      <c r="A4251" s="15" t="n">
        <v>46200</v>
      </c>
      <c r="B4251" s="14" t="s">
        <v>59</v>
      </c>
      <c r="C4251" s="14" t="s">
        <v>60</v>
      </c>
      <c r="D4251" s="14" t="s">
        <v>61</v>
      </c>
      <c r="E4251" s="14" t="s">
        <v>76</v>
      </c>
      <c r="F4251" s="14" t="s">
        <v>79</v>
      </c>
      <c r="G4251" s="14" t="s">
        <v>80</v>
      </c>
      <c r="H4251" s="0" t="n">
        <v>5</v>
      </c>
      <c r="I4251" s="16" t="n">
        <v>29.98</v>
      </c>
      <c r="J4251" s="16" t="n">
        <v>11</v>
      </c>
      <c r="K4251" s="16" t="n">
        <f aca="false">H4251*I4251</f>
        <v>149.9</v>
      </c>
      <c r="L4251" s="16" t="n">
        <f aca="false">H4251*J4251</f>
        <v>55</v>
      </c>
      <c r="M4251" s="16" t="n">
        <f aca="false">K4251-L4251</f>
        <v>94.9</v>
      </c>
      <c r="N4251" s="17" t="n">
        <f aca="false">IFERROR(M4251/K4251,0)</f>
        <v>0.633088725817212</v>
      </c>
    </row>
    <row r="4252" customFormat="false" ht="15" hidden="false" customHeight="false" outlineLevel="0" collapsed="false">
      <c r="A4252" s="15" t="n">
        <v>46200</v>
      </c>
      <c r="B4252" s="14" t="s">
        <v>59</v>
      </c>
      <c r="C4252" s="14" t="s">
        <v>60</v>
      </c>
      <c r="D4252" s="14" t="s">
        <v>61</v>
      </c>
      <c r="E4252" s="14" t="s">
        <v>76</v>
      </c>
      <c r="F4252" s="14" t="s">
        <v>77</v>
      </c>
      <c r="G4252" s="14" t="s">
        <v>78</v>
      </c>
      <c r="H4252" s="0" t="n">
        <v>8</v>
      </c>
      <c r="I4252" s="16" t="n">
        <v>39.8</v>
      </c>
      <c r="J4252" s="16" t="n">
        <v>15</v>
      </c>
      <c r="K4252" s="16" t="n">
        <f aca="false">H4252*I4252</f>
        <v>318.4</v>
      </c>
      <c r="L4252" s="16" t="n">
        <f aca="false">H4252*J4252</f>
        <v>120</v>
      </c>
      <c r="M4252" s="16" t="n">
        <f aca="false">K4252-L4252</f>
        <v>198.4</v>
      </c>
      <c r="N4252" s="17" t="n">
        <f aca="false">IFERROR(M4252/K4252,0)</f>
        <v>0.623115577889447</v>
      </c>
    </row>
    <row r="4253" customFormat="false" ht="15" hidden="false" customHeight="false" outlineLevel="0" collapsed="false">
      <c r="A4253" s="15" t="n">
        <v>46200</v>
      </c>
      <c r="B4253" s="14" t="s">
        <v>59</v>
      </c>
      <c r="C4253" s="14" t="s">
        <v>60</v>
      </c>
      <c r="D4253" s="14" t="s">
        <v>61</v>
      </c>
      <c r="E4253" s="14" t="s">
        <v>53</v>
      </c>
      <c r="F4253" s="14" t="s">
        <v>92</v>
      </c>
      <c r="G4253" s="14" t="s">
        <v>93</v>
      </c>
      <c r="H4253" s="0" t="n">
        <v>9</v>
      </c>
      <c r="I4253" s="16" t="n">
        <v>111.81</v>
      </c>
      <c r="J4253" s="16" t="n">
        <v>52</v>
      </c>
      <c r="K4253" s="16" t="n">
        <f aca="false">H4253*I4253</f>
        <v>1006.29</v>
      </c>
      <c r="L4253" s="16" t="n">
        <f aca="false">H4253*J4253</f>
        <v>468</v>
      </c>
      <c r="M4253" s="16" t="n">
        <f aca="false">K4253-L4253</f>
        <v>538.29</v>
      </c>
      <c r="N4253" s="17" t="n">
        <f aca="false">IFERROR(M4253/K4253,0)</f>
        <v>0.534925319738843</v>
      </c>
    </row>
    <row r="4254" customFormat="false" ht="15" hidden="false" customHeight="false" outlineLevel="0" collapsed="false">
      <c r="A4254" s="15" t="n">
        <v>46200</v>
      </c>
      <c r="B4254" s="14" t="s">
        <v>59</v>
      </c>
      <c r="C4254" s="14" t="s">
        <v>60</v>
      </c>
      <c r="D4254" s="14" t="s">
        <v>61</v>
      </c>
      <c r="E4254" s="14" t="s">
        <v>76</v>
      </c>
      <c r="F4254" s="14" t="s">
        <v>100</v>
      </c>
      <c r="G4254" s="14" t="s">
        <v>101</v>
      </c>
      <c r="H4254" s="0" t="n">
        <v>3</v>
      </c>
      <c r="I4254" s="16" t="n">
        <v>14.76</v>
      </c>
      <c r="J4254" s="16" t="n">
        <v>5.5</v>
      </c>
      <c r="K4254" s="16" t="n">
        <f aca="false">H4254*I4254</f>
        <v>44.28</v>
      </c>
      <c r="L4254" s="16" t="n">
        <f aca="false">H4254*J4254</f>
        <v>16.5</v>
      </c>
      <c r="M4254" s="16" t="n">
        <f aca="false">K4254-L4254</f>
        <v>27.78</v>
      </c>
      <c r="N4254" s="17" t="n">
        <f aca="false">IFERROR(M4254/K4254,0)</f>
        <v>0.627371273712737</v>
      </c>
    </row>
    <row r="4255" customFormat="false" ht="15" hidden="false" customHeight="false" outlineLevel="0" collapsed="false">
      <c r="A4255" s="15" t="n">
        <v>46200</v>
      </c>
      <c r="B4255" s="14" t="s">
        <v>59</v>
      </c>
      <c r="C4255" s="14" t="s">
        <v>60</v>
      </c>
      <c r="D4255" s="14" t="s">
        <v>61</v>
      </c>
      <c r="E4255" s="14" t="s">
        <v>64</v>
      </c>
      <c r="F4255" s="14" t="s">
        <v>90</v>
      </c>
      <c r="G4255" s="14" t="s">
        <v>91</v>
      </c>
      <c r="H4255" s="0" t="n">
        <v>1</v>
      </c>
      <c r="I4255" s="16" t="n">
        <v>11.66</v>
      </c>
      <c r="J4255" s="16" t="n">
        <v>3.5</v>
      </c>
      <c r="K4255" s="16" t="n">
        <f aca="false">H4255*I4255</f>
        <v>11.66</v>
      </c>
      <c r="L4255" s="16" t="n">
        <f aca="false">H4255*J4255</f>
        <v>3.5</v>
      </c>
      <c r="M4255" s="16" t="n">
        <f aca="false">K4255-L4255</f>
        <v>8.16</v>
      </c>
      <c r="N4255" s="17" t="n">
        <f aca="false">IFERROR(M4255/K4255,0)</f>
        <v>0.699828473413379</v>
      </c>
    </row>
    <row r="4256" customFormat="false" ht="15" hidden="false" customHeight="false" outlineLevel="0" collapsed="false">
      <c r="A4256" s="15" t="n">
        <v>46200</v>
      </c>
      <c r="B4256" s="14" t="s">
        <v>59</v>
      </c>
      <c r="C4256" s="14" t="s">
        <v>60</v>
      </c>
      <c r="D4256" s="14" t="s">
        <v>61</v>
      </c>
      <c r="E4256" s="14" t="s">
        <v>64</v>
      </c>
      <c r="F4256" s="14" t="s">
        <v>90</v>
      </c>
      <c r="G4256" s="14" t="s">
        <v>91</v>
      </c>
      <c r="H4256" s="0" t="n">
        <v>1</v>
      </c>
      <c r="I4256" s="16" t="n">
        <v>11.11</v>
      </c>
      <c r="J4256" s="16" t="n">
        <v>3.5</v>
      </c>
      <c r="K4256" s="16" t="n">
        <f aca="false">H4256*I4256</f>
        <v>11.11</v>
      </c>
      <c r="L4256" s="16" t="n">
        <f aca="false">H4256*J4256</f>
        <v>3.5</v>
      </c>
      <c r="M4256" s="16" t="n">
        <f aca="false">K4256-L4256</f>
        <v>7.61</v>
      </c>
      <c r="N4256" s="17" t="n">
        <f aca="false">IFERROR(M4256/K4256,0)</f>
        <v>0.684968496849685</v>
      </c>
    </row>
    <row r="4257" customFormat="false" ht="15" hidden="false" customHeight="false" outlineLevel="0" collapsed="false">
      <c r="A4257" s="15" t="n">
        <v>46200</v>
      </c>
      <c r="B4257" s="14" t="s">
        <v>69</v>
      </c>
      <c r="C4257" s="14" t="s">
        <v>70</v>
      </c>
      <c r="D4257" s="14" t="s">
        <v>71</v>
      </c>
      <c r="E4257" s="14" t="s">
        <v>64</v>
      </c>
      <c r="F4257" s="14" t="s">
        <v>90</v>
      </c>
      <c r="G4257" s="14" t="s">
        <v>91</v>
      </c>
      <c r="H4257" s="0" t="n">
        <v>6</v>
      </c>
      <c r="I4257" s="16" t="n">
        <v>11.08</v>
      </c>
      <c r="J4257" s="16" t="n">
        <v>3.5</v>
      </c>
      <c r="K4257" s="16" t="n">
        <f aca="false">H4257*I4257</f>
        <v>66.48</v>
      </c>
      <c r="L4257" s="16" t="n">
        <f aca="false">H4257*J4257</f>
        <v>21</v>
      </c>
      <c r="M4257" s="16" t="n">
        <f aca="false">K4257-L4257</f>
        <v>45.48</v>
      </c>
      <c r="N4257" s="17" t="n">
        <f aca="false">IFERROR(M4257/K4257,0)</f>
        <v>0.684115523465704</v>
      </c>
    </row>
    <row r="4258" customFormat="false" ht="15" hidden="false" customHeight="false" outlineLevel="0" collapsed="false">
      <c r="A4258" s="15" t="n">
        <v>46200</v>
      </c>
      <c r="B4258" s="14" t="s">
        <v>69</v>
      </c>
      <c r="C4258" s="14" t="s">
        <v>70</v>
      </c>
      <c r="D4258" s="14" t="s">
        <v>71</v>
      </c>
      <c r="E4258" s="14" t="s">
        <v>53</v>
      </c>
      <c r="F4258" s="14" t="s">
        <v>84</v>
      </c>
      <c r="G4258" s="14" t="s">
        <v>85</v>
      </c>
      <c r="H4258" s="0" t="n">
        <v>7</v>
      </c>
      <c r="I4258" s="16" t="n">
        <v>24.39</v>
      </c>
      <c r="J4258" s="16" t="n">
        <v>9</v>
      </c>
      <c r="K4258" s="16" t="n">
        <f aca="false">H4258*I4258</f>
        <v>170.73</v>
      </c>
      <c r="L4258" s="16" t="n">
        <f aca="false">H4258*J4258</f>
        <v>63</v>
      </c>
      <c r="M4258" s="16" t="n">
        <f aca="false">K4258-L4258</f>
        <v>107.73</v>
      </c>
      <c r="N4258" s="17" t="n">
        <f aca="false">IFERROR(M4258/K4258,0)</f>
        <v>0.6309963099631</v>
      </c>
    </row>
    <row r="4259" customFormat="false" ht="15" hidden="false" customHeight="false" outlineLevel="0" collapsed="false">
      <c r="A4259" s="15" t="n">
        <v>46200</v>
      </c>
      <c r="B4259" s="14" t="s">
        <v>69</v>
      </c>
      <c r="C4259" s="14" t="s">
        <v>70</v>
      </c>
      <c r="D4259" s="14" t="s">
        <v>71</v>
      </c>
      <c r="E4259" s="14" t="s">
        <v>53</v>
      </c>
      <c r="F4259" s="14" t="s">
        <v>54</v>
      </c>
      <c r="G4259" s="14" t="s">
        <v>55</v>
      </c>
      <c r="H4259" s="0" t="n">
        <v>6</v>
      </c>
      <c r="I4259" s="16" t="n">
        <v>53.11</v>
      </c>
      <c r="J4259" s="16" t="n">
        <v>22</v>
      </c>
      <c r="K4259" s="16" t="n">
        <f aca="false">H4259*I4259</f>
        <v>318.66</v>
      </c>
      <c r="L4259" s="16" t="n">
        <f aca="false">H4259*J4259</f>
        <v>132</v>
      </c>
      <c r="M4259" s="16" t="n">
        <f aca="false">K4259-L4259</f>
        <v>186.66</v>
      </c>
      <c r="N4259" s="17" t="n">
        <f aca="false">IFERROR(M4259/K4259,0)</f>
        <v>0.585765392581435</v>
      </c>
    </row>
    <row r="4260" customFormat="false" ht="15" hidden="false" customHeight="false" outlineLevel="0" collapsed="false">
      <c r="A4260" s="15" t="n">
        <v>46200</v>
      </c>
      <c r="B4260" s="14" t="s">
        <v>69</v>
      </c>
      <c r="C4260" s="14" t="s">
        <v>70</v>
      </c>
      <c r="D4260" s="14" t="s">
        <v>71</v>
      </c>
      <c r="E4260" s="14" t="s">
        <v>76</v>
      </c>
      <c r="F4260" s="14" t="s">
        <v>102</v>
      </c>
      <c r="G4260" s="14" t="s">
        <v>103</v>
      </c>
      <c r="H4260" s="0" t="n">
        <v>7</v>
      </c>
      <c r="I4260" s="16" t="n">
        <v>23.73</v>
      </c>
      <c r="J4260" s="16" t="n">
        <v>8.5</v>
      </c>
      <c r="K4260" s="16" t="n">
        <f aca="false">H4260*I4260</f>
        <v>166.11</v>
      </c>
      <c r="L4260" s="16" t="n">
        <f aca="false">H4260*J4260</f>
        <v>59.5</v>
      </c>
      <c r="M4260" s="16" t="n">
        <f aca="false">K4260-L4260</f>
        <v>106.61</v>
      </c>
      <c r="N4260" s="17" t="n">
        <f aca="false">IFERROR(M4260/K4260,0)</f>
        <v>0.641803624104509</v>
      </c>
    </row>
    <row r="4261" customFormat="false" ht="15" hidden="false" customHeight="false" outlineLevel="0" collapsed="false">
      <c r="A4261" s="15" t="n">
        <v>46200</v>
      </c>
      <c r="B4261" s="14" t="s">
        <v>69</v>
      </c>
      <c r="C4261" s="14" t="s">
        <v>70</v>
      </c>
      <c r="D4261" s="14" t="s">
        <v>71</v>
      </c>
      <c r="E4261" s="14" t="s">
        <v>45</v>
      </c>
      <c r="F4261" s="14" t="s">
        <v>48</v>
      </c>
      <c r="G4261" s="14" t="s">
        <v>49</v>
      </c>
      <c r="H4261" s="0" t="n">
        <v>7</v>
      </c>
      <c r="I4261" s="16" t="n">
        <v>65.23</v>
      </c>
      <c r="J4261" s="16" t="n">
        <v>27.5</v>
      </c>
      <c r="K4261" s="16" t="n">
        <f aca="false">H4261*I4261</f>
        <v>456.61</v>
      </c>
      <c r="L4261" s="16" t="n">
        <f aca="false">H4261*J4261</f>
        <v>192.5</v>
      </c>
      <c r="M4261" s="16" t="n">
        <f aca="false">K4261-L4261</f>
        <v>264.11</v>
      </c>
      <c r="N4261" s="17" t="n">
        <f aca="false">IFERROR(M4261/K4261,0)</f>
        <v>0.578414839797639</v>
      </c>
    </row>
    <row r="4262" customFormat="false" ht="15" hidden="false" customHeight="false" outlineLevel="0" collapsed="false">
      <c r="A4262" s="15" t="n">
        <v>46200</v>
      </c>
      <c r="B4262" s="14" t="s">
        <v>81</v>
      </c>
      <c r="C4262" s="14" t="s">
        <v>82</v>
      </c>
      <c r="D4262" s="14" t="s">
        <v>83</v>
      </c>
      <c r="E4262" s="14" t="s">
        <v>53</v>
      </c>
      <c r="F4262" s="14" t="s">
        <v>92</v>
      </c>
      <c r="G4262" s="14" t="s">
        <v>93</v>
      </c>
      <c r="H4262" s="0" t="n">
        <v>7</v>
      </c>
      <c r="I4262" s="16" t="n">
        <v>110.48</v>
      </c>
      <c r="J4262" s="16" t="n">
        <v>52</v>
      </c>
      <c r="K4262" s="16" t="n">
        <f aca="false">H4262*I4262</f>
        <v>773.36</v>
      </c>
      <c r="L4262" s="16" t="n">
        <f aca="false">H4262*J4262</f>
        <v>364</v>
      </c>
      <c r="M4262" s="16" t="n">
        <f aca="false">K4262-L4262</f>
        <v>409.36</v>
      </c>
      <c r="N4262" s="17" t="n">
        <f aca="false">IFERROR(M4262/K4262,0)</f>
        <v>0.529326574945692</v>
      </c>
    </row>
    <row r="4263" customFormat="false" ht="15" hidden="false" customHeight="false" outlineLevel="0" collapsed="false">
      <c r="A4263" s="15" t="n">
        <v>46200</v>
      </c>
      <c r="B4263" s="14" t="s">
        <v>81</v>
      </c>
      <c r="C4263" s="14" t="s">
        <v>82</v>
      </c>
      <c r="D4263" s="14" t="s">
        <v>83</v>
      </c>
      <c r="E4263" s="14" t="s">
        <v>53</v>
      </c>
      <c r="F4263" s="14" t="s">
        <v>92</v>
      </c>
      <c r="G4263" s="14" t="s">
        <v>93</v>
      </c>
      <c r="H4263" s="0" t="n">
        <v>1</v>
      </c>
      <c r="I4263" s="16" t="n">
        <v>111.1</v>
      </c>
      <c r="J4263" s="16" t="n">
        <v>52</v>
      </c>
      <c r="K4263" s="16" t="n">
        <f aca="false">H4263*I4263</f>
        <v>111.1</v>
      </c>
      <c r="L4263" s="16" t="n">
        <f aca="false">H4263*J4263</f>
        <v>52</v>
      </c>
      <c r="M4263" s="16" t="n">
        <f aca="false">K4263-L4263</f>
        <v>59.1</v>
      </c>
      <c r="N4263" s="17" t="n">
        <f aca="false">IFERROR(M4263/K4263,0)</f>
        <v>0.531953195319532</v>
      </c>
    </row>
    <row r="4264" customFormat="false" ht="15" hidden="false" customHeight="false" outlineLevel="0" collapsed="false">
      <c r="A4264" s="15" t="n">
        <v>46200</v>
      </c>
      <c r="B4264" s="14" t="s">
        <v>81</v>
      </c>
      <c r="C4264" s="14" t="s">
        <v>82</v>
      </c>
      <c r="D4264" s="14" t="s">
        <v>83</v>
      </c>
      <c r="E4264" s="14" t="s">
        <v>53</v>
      </c>
      <c r="F4264" s="14" t="s">
        <v>84</v>
      </c>
      <c r="G4264" s="14" t="s">
        <v>85</v>
      </c>
      <c r="H4264" s="0" t="n">
        <v>7</v>
      </c>
      <c r="I4264" s="16" t="n">
        <v>23.51</v>
      </c>
      <c r="J4264" s="16" t="n">
        <v>9</v>
      </c>
      <c r="K4264" s="16" t="n">
        <f aca="false">H4264*I4264</f>
        <v>164.57</v>
      </c>
      <c r="L4264" s="16" t="n">
        <f aca="false">H4264*J4264</f>
        <v>63</v>
      </c>
      <c r="M4264" s="16" t="n">
        <f aca="false">K4264-L4264</f>
        <v>101.57</v>
      </c>
      <c r="N4264" s="17" t="n">
        <f aca="false">IFERROR(M4264/K4264,0)</f>
        <v>0.617184176945981</v>
      </c>
    </row>
    <row r="4265" customFormat="false" ht="15" hidden="false" customHeight="false" outlineLevel="0" collapsed="false">
      <c r="A4265" s="15" t="n">
        <v>46200</v>
      </c>
      <c r="B4265" s="14" t="s">
        <v>81</v>
      </c>
      <c r="C4265" s="14" t="s">
        <v>82</v>
      </c>
      <c r="D4265" s="14" t="s">
        <v>83</v>
      </c>
      <c r="E4265" s="14" t="s">
        <v>64</v>
      </c>
      <c r="F4265" s="14" t="s">
        <v>96</v>
      </c>
      <c r="G4265" s="14" t="s">
        <v>97</v>
      </c>
      <c r="H4265" s="0" t="n">
        <v>5</v>
      </c>
      <c r="I4265" s="16" t="n">
        <v>54.78</v>
      </c>
      <c r="J4265" s="16" t="n">
        <v>24</v>
      </c>
      <c r="K4265" s="16" t="n">
        <f aca="false">H4265*I4265</f>
        <v>273.9</v>
      </c>
      <c r="L4265" s="16" t="n">
        <f aca="false">H4265*J4265</f>
        <v>120</v>
      </c>
      <c r="M4265" s="16" t="n">
        <f aca="false">K4265-L4265</f>
        <v>153.9</v>
      </c>
      <c r="N4265" s="17" t="n">
        <f aca="false">IFERROR(M4265/K4265,0)</f>
        <v>0.561883899233297</v>
      </c>
    </row>
    <row r="4266" customFormat="false" ht="15" hidden="false" customHeight="false" outlineLevel="0" collapsed="false">
      <c r="A4266" s="15" t="n">
        <v>46200</v>
      </c>
      <c r="B4266" s="14" t="s">
        <v>81</v>
      </c>
      <c r="C4266" s="14" t="s">
        <v>82</v>
      </c>
      <c r="D4266" s="14" t="s">
        <v>83</v>
      </c>
      <c r="E4266" s="14" t="s">
        <v>56</v>
      </c>
      <c r="F4266" s="14" t="s">
        <v>67</v>
      </c>
      <c r="G4266" s="14" t="s">
        <v>68</v>
      </c>
      <c r="H4266" s="0" t="n">
        <v>3</v>
      </c>
      <c r="I4266" s="16" t="n">
        <v>36.73</v>
      </c>
      <c r="J4266" s="16" t="n">
        <v>15</v>
      </c>
      <c r="K4266" s="16" t="n">
        <f aca="false">H4266*I4266</f>
        <v>110.19</v>
      </c>
      <c r="L4266" s="16" t="n">
        <f aca="false">H4266*J4266</f>
        <v>45</v>
      </c>
      <c r="M4266" s="16" t="n">
        <f aca="false">K4266-L4266</f>
        <v>65.19</v>
      </c>
      <c r="N4266" s="17" t="n">
        <f aca="false">IFERROR(M4266/K4266,0)</f>
        <v>0.591614484072965</v>
      </c>
    </row>
    <row r="4267" customFormat="false" ht="15" hidden="false" customHeight="false" outlineLevel="0" collapsed="false">
      <c r="A4267" s="15" t="n">
        <v>46200</v>
      </c>
      <c r="B4267" s="14" t="s">
        <v>88</v>
      </c>
      <c r="C4267" s="14" t="s">
        <v>89</v>
      </c>
      <c r="D4267" s="14" t="s">
        <v>44</v>
      </c>
      <c r="E4267" s="14" t="s">
        <v>56</v>
      </c>
      <c r="F4267" s="14" t="s">
        <v>86</v>
      </c>
      <c r="G4267" s="14" t="s">
        <v>87</v>
      </c>
      <c r="H4267" s="0" t="n">
        <v>5</v>
      </c>
      <c r="I4267" s="16" t="n">
        <v>14.75</v>
      </c>
      <c r="J4267" s="16" t="n">
        <v>5</v>
      </c>
      <c r="K4267" s="16" t="n">
        <f aca="false">H4267*I4267</f>
        <v>73.75</v>
      </c>
      <c r="L4267" s="16" t="n">
        <f aca="false">H4267*J4267</f>
        <v>25</v>
      </c>
      <c r="M4267" s="16" t="n">
        <f aca="false">K4267-L4267</f>
        <v>48.75</v>
      </c>
      <c r="N4267" s="17" t="n">
        <f aca="false">IFERROR(M4267/K4267,0)</f>
        <v>0.661016949152542</v>
      </c>
    </row>
    <row r="4268" customFormat="false" ht="15" hidden="false" customHeight="false" outlineLevel="0" collapsed="false">
      <c r="A4268" s="15" t="n">
        <v>46200</v>
      </c>
      <c r="B4268" s="14" t="s">
        <v>88</v>
      </c>
      <c r="C4268" s="14" t="s">
        <v>89</v>
      </c>
      <c r="D4268" s="14" t="s">
        <v>44</v>
      </c>
      <c r="E4268" s="14" t="s">
        <v>76</v>
      </c>
      <c r="F4268" s="14" t="s">
        <v>102</v>
      </c>
      <c r="G4268" s="14" t="s">
        <v>103</v>
      </c>
      <c r="H4268" s="0" t="n">
        <v>3</v>
      </c>
      <c r="I4268" s="16" t="n">
        <v>22.21</v>
      </c>
      <c r="J4268" s="16" t="n">
        <v>8.5</v>
      </c>
      <c r="K4268" s="16" t="n">
        <f aca="false">H4268*I4268</f>
        <v>66.63</v>
      </c>
      <c r="L4268" s="16" t="n">
        <f aca="false">H4268*J4268</f>
        <v>25.5</v>
      </c>
      <c r="M4268" s="16" t="n">
        <f aca="false">K4268-L4268</f>
        <v>41.13</v>
      </c>
      <c r="N4268" s="17" t="n">
        <f aca="false">IFERROR(M4268/K4268,0)</f>
        <v>0.617289509230077</v>
      </c>
    </row>
    <row r="4269" customFormat="false" ht="15" hidden="false" customHeight="false" outlineLevel="0" collapsed="false">
      <c r="A4269" s="15" t="n">
        <v>46200</v>
      </c>
      <c r="B4269" s="14" t="s">
        <v>88</v>
      </c>
      <c r="C4269" s="14" t="s">
        <v>89</v>
      </c>
      <c r="D4269" s="14" t="s">
        <v>44</v>
      </c>
      <c r="E4269" s="14" t="s">
        <v>45</v>
      </c>
      <c r="F4269" s="14" t="s">
        <v>48</v>
      </c>
      <c r="G4269" s="14" t="s">
        <v>49</v>
      </c>
      <c r="H4269" s="0" t="n">
        <v>9</v>
      </c>
      <c r="I4269" s="16" t="n">
        <v>67.12</v>
      </c>
      <c r="J4269" s="16" t="n">
        <v>27.5</v>
      </c>
      <c r="K4269" s="16" t="n">
        <f aca="false">H4269*I4269</f>
        <v>604.08</v>
      </c>
      <c r="L4269" s="16" t="n">
        <f aca="false">H4269*J4269</f>
        <v>247.5</v>
      </c>
      <c r="M4269" s="16" t="n">
        <f aca="false">K4269-L4269</f>
        <v>356.58</v>
      </c>
      <c r="N4269" s="17" t="n">
        <f aca="false">IFERROR(M4269/K4269,0)</f>
        <v>0.590286054827175</v>
      </c>
    </row>
    <row r="4270" customFormat="false" ht="15" hidden="false" customHeight="false" outlineLevel="0" collapsed="false">
      <c r="A4270" s="15" t="n">
        <v>46201</v>
      </c>
      <c r="B4270" s="14" t="s">
        <v>42</v>
      </c>
      <c r="C4270" s="14" t="s">
        <v>43</v>
      </c>
      <c r="D4270" s="14" t="s">
        <v>44</v>
      </c>
      <c r="E4270" s="14" t="s">
        <v>76</v>
      </c>
      <c r="F4270" s="14" t="s">
        <v>77</v>
      </c>
      <c r="G4270" s="14" t="s">
        <v>78</v>
      </c>
      <c r="H4270" s="0" t="n">
        <v>2</v>
      </c>
      <c r="I4270" s="16" t="n">
        <v>40.78</v>
      </c>
      <c r="J4270" s="16" t="n">
        <v>15</v>
      </c>
      <c r="K4270" s="16" t="n">
        <f aca="false">H4270*I4270</f>
        <v>81.56</v>
      </c>
      <c r="L4270" s="16" t="n">
        <f aca="false">H4270*J4270</f>
        <v>30</v>
      </c>
      <c r="M4270" s="16" t="n">
        <f aca="false">K4270-L4270</f>
        <v>51.56</v>
      </c>
      <c r="N4270" s="17" t="n">
        <f aca="false">IFERROR(M4270/K4270,0)</f>
        <v>0.632172633643943</v>
      </c>
    </row>
    <row r="4271" customFormat="false" ht="15" hidden="false" customHeight="false" outlineLevel="0" collapsed="false">
      <c r="A4271" s="15" t="n">
        <v>46201</v>
      </c>
      <c r="B4271" s="14" t="s">
        <v>42</v>
      </c>
      <c r="C4271" s="14" t="s">
        <v>43</v>
      </c>
      <c r="D4271" s="14" t="s">
        <v>44</v>
      </c>
      <c r="E4271" s="14" t="s">
        <v>56</v>
      </c>
      <c r="F4271" s="14" t="s">
        <v>57</v>
      </c>
      <c r="G4271" s="14" t="s">
        <v>58</v>
      </c>
      <c r="H4271" s="0" t="n">
        <v>8</v>
      </c>
      <c r="I4271" s="16" t="n">
        <v>25.36</v>
      </c>
      <c r="J4271" s="16" t="n">
        <v>10</v>
      </c>
      <c r="K4271" s="16" t="n">
        <f aca="false">H4271*I4271</f>
        <v>202.88</v>
      </c>
      <c r="L4271" s="16" t="n">
        <f aca="false">H4271*J4271</f>
        <v>80</v>
      </c>
      <c r="M4271" s="16" t="n">
        <f aca="false">K4271-L4271</f>
        <v>122.88</v>
      </c>
      <c r="N4271" s="17" t="n">
        <f aca="false">IFERROR(M4271/K4271,0)</f>
        <v>0.605678233438486</v>
      </c>
    </row>
    <row r="4272" customFormat="false" ht="15" hidden="false" customHeight="false" outlineLevel="0" collapsed="false">
      <c r="A4272" s="15" t="n">
        <v>46201</v>
      </c>
      <c r="B4272" s="14" t="s">
        <v>50</v>
      </c>
      <c r="C4272" s="14" t="s">
        <v>51</v>
      </c>
      <c r="D4272" s="14" t="s">
        <v>52</v>
      </c>
      <c r="E4272" s="14" t="s">
        <v>45</v>
      </c>
      <c r="F4272" s="14" t="s">
        <v>48</v>
      </c>
      <c r="G4272" s="14" t="s">
        <v>49</v>
      </c>
      <c r="H4272" s="0" t="n">
        <v>10</v>
      </c>
      <c r="I4272" s="16" t="n">
        <v>64.7</v>
      </c>
      <c r="J4272" s="16" t="n">
        <v>27.5</v>
      </c>
      <c r="K4272" s="16" t="n">
        <f aca="false">H4272*I4272</f>
        <v>647</v>
      </c>
      <c r="L4272" s="16" t="n">
        <f aca="false">H4272*J4272</f>
        <v>275</v>
      </c>
      <c r="M4272" s="16" t="n">
        <f aca="false">K4272-L4272</f>
        <v>372</v>
      </c>
      <c r="N4272" s="17" t="n">
        <f aca="false">IFERROR(M4272/K4272,0)</f>
        <v>0.574961360123648</v>
      </c>
    </row>
    <row r="4273" customFormat="false" ht="15" hidden="false" customHeight="false" outlineLevel="0" collapsed="false">
      <c r="A4273" s="15" t="n">
        <v>46201</v>
      </c>
      <c r="B4273" s="14" t="s">
        <v>50</v>
      </c>
      <c r="C4273" s="14" t="s">
        <v>51</v>
      </c>
      <c r="D4273" s="14" t="s">
        <v>52</v>
      </c>
      <c r="E4273" s="14" t="s">
        <v>53</v>
      </c>
      <c r="F4273" s="14" t="s">
        <v>54</v>
      </c>
      <c r="G4273" s="14" t="s">
        <v>55</v>
      </c>
      <c r="H4273" s="0" t="n">
        <v>2</v>
      </c>
      <c r="I4273" s="16" t="n">
        <v>51.84</v>
      </c>
      <c r="J4273" s="16" t="n">
        <v>22</v>
      </c>
      <c r="K4273" s="16" t="n">
        <f aca="false">H4273*I4273</f>
        <v>103.68</v>
      </c>
      <c r="L4273" s="16" t="n">
        <f aca="false">H4273*J4273</f>
        <v>44</v>
      </c>
      <c r="M4273" s="16" t="n">
        <f aca="false">K4273-L4273</f>
        <v>59.68</v>
      </c>
      <c r="N4273" s="17" t="n">
        <f aca="false">IFERROR(M4273/K4273,0)</f>
        <v>0.575617283950617</v>
      </c>
    </row>
    <row r="4274" customFormat="false" ht="15" hidden="false" customHeight="false" outlineLevel="0" collapsed="false">
      <c r="A4274" s="15" t="n">
        <v>46201</v>
      </c>
      <c r="B4274" s="14" t="s">
        <v>50</v>
      </c>
      <c r="C4274" s="14" t="s">
        <v>51</v>
      </c>
      <c r="D4274" s="14" t="s">
        <v>52</v>
      </c>
      <c r="E4274" s="14" t="s">
        <v>76</v>
      </c>
      <c r="F4274" s="14" t="s">
        <v>100</v>
      </c>
      <c r="G4274" s="14" t="s">
        <v>101</v>
      </c>
      <c r="H4274" s="0" t="n">
        <v>10</v>
      </c>
      <c r="I4274" s="16" t="n">
        <v>15.69</v>
      </c>
      <c r="J4274" s="16" t="n">
        <v>5.5</v>
      </c>
      <c r="K4274" s="16" t="n">
        <f aca="false">H4274*I4274</f>
        <v>156.9</v>
      </c>
      <c r="L4274" s="16" t="n">
        <f aca="false">H4274*J4274</f>
        <v>55</v>
      </c>
      <c r="M4274" s="16" t="n">
        <f aca="false">K4274-L4274</f>
        <v>101.9</v>
      </c>
      <c r="N4274" s="17" t="n">
        <f aca="false">IFERROR(M4274/K4274,0)</f>
        <v>0.649458253664755</v>
      </c>
    </row>
    <row r="4275" customFormat="false" ht="15" hidden="false" customHeight="false" outlineLevel="0" collapsed="false">
      <c r="A4275" s="15" t="n">
        <v>46201</v>
      </c>
      <c r="B4275" s="14" t="s">
        <v>59</v>
      </c>
      <c r="C4275" s="14" t="s">
        <v>60</v>
      </c>
      <c r="D4275" s="14" t="s">
        <v>61</v>
      </c>
      <c r="E4275" s="14" t="s">
        <v>56</v>
      </c>
      <c r="F4275" s="14" t="s">
        <v>57</v>
      </c>
      <c r="G4275" s="14" t="s">
        <v>58</v>
      </c>
      <c r="H4275" s="0" t="n">
        <v>6</v>
      </c>
      <c r="I4275" s="16" t="n">
        <v>26.69</v>
      </c>
      <c r="J4275" s="16" t="n">
        <v>10</v>
      </c>
      <c r="K4275" s="16" t="n">
        <f aca="false">H4275*I4275</f>
        <v>160.14</v>
      </c>
      <c r="L4275" s="16" t="n">
        <f aca="false">H4275*J4275</f>
        <v>60</v>
      </c>
      <c r="M4275" s="16" t="n">
        <f aca="false">K4275-L4275</f>
        <v>100.14</v>
      </c>
      <c r="N4275" s="17" t="n">
        <f aca="false">IFERROR(M4275/K4275,0)</f>
        <v>0.625327838141626</v>
      </c>
    </row>
    <row r="4276" customFormat="false" ht="15" hidden="false" customHeight="false" outlineLevel="0" collapsed="false">
      <c r="A4276" s="15" t="n">
        <v>46201</v>
      </c>
      <c r="B4276" s="14" t="s">
        <v>59</v>
      </c>
      <c r="C4276" s="14" t="s">
        <v>60</v>
      </c>
      <c r="D4276" s="14" t="s">
        <v>61</v>
      </c>
      <c r="E4276" s="14" t="s">
        <v>53</v>
      </c>
      <c r="F4276" s="14" t="s">
        <v>74</v>
      </c>
      <c r="G4276" s="14" t="s">
        <v>75</v>
      </c>
      <c r="H4276" s="0" t="n">
        <v>4</v>
      </c>
      <c r="I4276" s="16" t="n">
        <v>86.11</v>
      </c>
      <c r="J4276" s="16" t="n">
        <v>38</v>
      </c>
      <c r="K4276" s="16" t="n">
        <f aca="false">H4276*I4276</f>
        <v>344.44</v>
      </c>
      <c r="L4276" s="16" t="n">
        <f aca="false">H4276*J4276</f>
        <v>152</v>
      </c>
      <c r="M4276" s="16" t="n">
        <f aca="false">K4276-L4276</f>
        <v>192.44</v>
      </c>
      <c r="N4276" s="17" t="n">
        <f aca="false">IFERROR(M4276/K4276,0)</f>
        <v>0.558703983277204</v>
      </c>
    </row>
    <row r="4277" customFormat="false" ht="15" hidden="false" customHeight="false" outlineLevel="0" collapsed="false">
      <c r="A4277" s="15" t="n">
        <v>46201</v>
      </c>
      <c r="B4277" s="14" t="s">
        <v>59</v>
      </c>
      <c r="C4277" s="14" t="s">
        <v>60</v>
      </c>
      <c r="D4277" s="14" t="s">
        <v>61</v>
      </c>
      <c r="E4277" s="14" t="s">
        <v>56</v>
      </c>
      <c r="F4277" s="14" t="s">
        <v>57</v>
      </c>
      <c r="G4277" s="14" t="s">
        <v>58</v>
      </c>
      <c r="H4277" s="0" t="n">
        <v>5</v>
      </c>
      <c r="I4277" s="16" t="n">
        <v>25.2</v>
      </c>
      <c r="J4277" s="16" t="n">
        <v>10</v>
      </c>
      <c r="K4277" s="16" t="n">
        <f aca="false">H4277*I4277</f>
        <v>126</v>
      </c>
      <c r="L4277" s="16" t="n">
        <f aca="false">H4277*J4277</f>
        <v>50</v>
      </c>
      <c r="M4277" s="16" t="n">
        <f aca="false">K4277-L4277</f>
        <v>76</v>
      </c>
      <c r="N4277" s="17" t="n">
        <f aca="false">IFERROR(M4277/K4277,0)</f>
        <v>0.603174603174603</v>
      </c>
    </row>
    <row r="4278" customFormat="false" ht="15" hidden="false" customHeight="false" outlineLevel="0" collapsed="false">
      <c r="A4278" s="15" t="n">
        <v>46201</v>
      </c>
      <c r="B4278" s="14" t="s">
        <v>59</v>
      </c>
      <c r="C4278" s="14" t="s">
        <v>60</v>
      </c>
      <c r="D4278" s="14" t="s">
        <v>61</v>
      </c>
      <c r="E4278" s="14" t="s">
        <v>45</v>
      </c>
      <c r="F4278" s="14" t="s">
        <v>62</v>
      </c>
      <c r="G4278" s="14" t="s">
        <v>63</v>
      </c>
      <c r="H4278" s="0" t="n">
        <v>4</v>
      </c>
      <c r="I4278" s="16" t="n">
        <v>17.16</v>
      </c>
      <c r="J4278" s="16" t="n">
        <v>6.5</v>
      </c>
      <c r="K4278" s="16" t="n">
        <f aca="false">H4278*I4278</f>
        <v>68.64</v>
      </c>
      <c r="L4278" s="16" t="n">
        <f aca="false">H4278*J4278</f>
        <v>26</v>
      </c>
      <c r="M4278" s="16" t="n">
        <f aca="false">K4278-L4278</f>
        <v>42.64</v>
      </c>
      <c r="N4278" s="17" t="n">
        <f aca="false">IFERROR(M4278/K4278,0)</f>
        <v>0.621212121212121</v>
      </c>
    </row>
    <row r="4279" customFormat="false" ht="15" hidden="false" customHeight="false" outlineLevel="0" collapsed="false">
      <c r="A4279" s="15" t="n">
        <v>46201</v>
      </c>
      <c r="B4279" s="14" t="s">
        <v>59</v>
      </c>
      <c r="C4279" s="14" t="s">
        <v>60</v>
      </c>
      <c r="D4279" s="14" t="s">
        <v>61</v>
      </c>
      <c r="E4279" s="14" t="s">
        <v>53</v>
      </c>
      <c r="F4279" s="14" t="s">
        <v>74</v>
      </c>
      <c r="G4279" s="14" t="s">
        <v>75</v>
      </c>
      <c r="H4279" s="0" t="n">
        <v>4</v>
      </c>
      <c r="I4279" s="16" t="n">
        <v>85.14</v>
      </c>
      <c r="J4279" s="16" t="n">
        <v>38</v>
      </c>
      <c r="K4279" s="16" t="n">
        <f aca="false">H4279*I4279</f>
        <v>340.56</v>
      </c>
      <c r="L4279" s="16" t="n">
        <f aca="false">H4279*J4279</f>
        <v>152</v>
      </c>
      <c r="M4279" s="16" t="n">
        <f aca="false">K4279-L4279</f>
        <v>188.56</v>
      </c>
      <c r="N4279" s="17" t="n">
        <f aca="false">IFERROR(M4279/K4279,0)</f>
        <v>0.553676297862344</v>
      </c>
    </row>
    <row r="4280" customFormat="false" ht="15" hidden="false" customHeight="false" outlineLevel="0" collapsed="false">
      <c r="A4280" s="15" t="n">
        <v>46201</v>
      </c>
      <c r="B4280" s="14" t="s">
        <v>59</v>
      </c>
      <c r="C4280" s="14" t="s">
        <v>60</v>
      </c>
      <c r="D4280" s="14" t="s">
        <v>61</v>
      </c>
      <c r="E4280" s="14" t="s">
        <v>76</v>
      </c>
      <c r="F4280" s="14" t="s">
        <v>77</v>
      </c>
      <c r="G4280" s="14" t="s">
        <v>78</v>
      </c>
      <c r="H4280" s="0" t="n">
        <v>3</v>
      </c>
      <c r="I4280" s="16" t="n">
        <v>39.5</v>
      </c>
      <c r="J4280" s="16" t="n">
        <v>15</v>
      </c>
      <c r="K4280" s="16" t="n">
        <f aca="false">H4280*I4280</f>
        <v>118.5</v>
      </c>
      <c r="L4280" s="16" t="n">
        <f aca="false">H4280*J4280</f>
        <v>45</v>
      </c>
      <c r="M4280" s="16" t="n">
        <f aca="false">K4280-L4280</f>
        <v>73.5</v>
      </c>
      <c r="N4280" s="17" t="n">
        <f aca="false">IFERROR(M4280/K4280,0)</f>
        <v>0.620253164556962</v>
      </c>
    </row>
    <row r="4281" customFormat="false" ht="15" hidden="false" customHeight="false" outlineLevel="0" collapsed="false">
      <c r="A4281" s="15" t="n">
        <v>46201</v>
      </c>
      <c r="B4281" s="14" t="s">
        <v>69</v>
      </c>
      <c r="C4281" s="14" t="s">
        <v>70</v>
      </c>
      <c r="D4281" s="14" t="s">
        <v>71</v>
      </c>
      <c r="E4281" s="14" t="s">
        <v>45</v>
      </c>
      <c r="F4281" s="14" t="s">
        <v>62</v>
      </c>
      <c r="G4281" s="14" t="s">
        <v>63</v>
      </c>
      <c r="H4281" s="0" t="n">
        <v>1</v>
      </c>
      <c r="I4281" s="16" t="n">
        <v>17.87</v>
      </c>
      <c r="J4281" s="16" t="n">
        <v>6.5</v>
      </c>
      <c r="K4281" s="16" t="n">
        <f aca="false">H4281*I4281</f>
        <v>17.87</v>
      </c>
      <c r="L4281" s="16" t="n">
        <f aca="false">H4281*J4281</f>
        <v>6.5</v>
      </c>
      <c r="M4281" s="16" t="n">
        <f aca="false">K4281-L4281</f>
        <v>11.37</v>
      </c>
      <c r="N4281" s="17" t="n">
        <f aca="false">IFERROR(M4281/K4281,0)</f>
        <v>0.636261891438165</v>
      </c>
    </row>
    <row r="4282" customFormat="false" ht="15" hidden="false" customHeight="false" outlineLevel="0" collapsed="false">
      <c r="A4282" s="15" t="n">
        <v>46201</v>
      </c>
      <c r="B4282" s="14" t="s">
        <v>69</v>
      </c>
      <c r="C4282" s="14" t="s">
        <v>70</v>
      </c>
      <c r="D4282" s="14" t="s">
        <v>71</v>
      </c>
      <c r="E4282" s="14" t="s">
        <v>45</v>
      </c>
      <c r="F4282" s="14" t="s">
        <v>48</v>
      </c>
      <c r="G4282" s="14" t="s">
        <v>49</v>
      </c>
      <c r="H4282" s="0" t="n">
        <v>6</v>
      </c>
      <c r="I4282" s="16" t="n">
        <v>67.14</v>
      </c>
      <c r="J4282" s="16" t="n">
        <v>27.5</v>
      </c>
      <c r="K4282" s="16" t="n">
        <f aca="false">H4282*I4282</f>
        <v>402.84</v>
      </c>
      <c r="L4282" s="16" t="n">
        <f aca="false">H4282*J4282</f>
        <v>165</v>
      </c>
      <c r="M4282" s="16" t="n">
        <f aca="false">K4282-L4282</f>
        <v>237.84</v>
      </c>
      <c r="N4282" s="17" t="n">
        <f aca="false">IFERROR(M4282/K4282,0)</f>
        <v>0.590408102472446</v>
      </c>
    </row>
    <row r="4283" customFormat="false" ht="15" hidden="false" customHeight="false" outlineLevel="0" collapsed="false">
      <c r="A4283" s="15" t="n">
        <v>46201</v>
      </c>
      <c r="B4283" s="14" t="s">
        <v>69</v>
      </c>
      <c r="C4283" s="14" t="s">
        <v>70</v>
      </c>
      <c r="D4283" s="14" t="s">
        <v>71</v>
      </c>
      <c r="E4283" s="14" t="s">
        <v>53</v>
      </c>
      <c r="F4283" s="14" t="s">
        <v>74</v>
      </c>
      <c r="G4283" s="14" t="s">
        <v>75</v>
      </c>
      <c r="H4283" s="0" t="n">
        <v>4</v>
      </c>
      <c r="I4283" s="16" t="n">
        <v>83.23</v>
      </c>
      <c r="J4283" s="16" t="n">
        <v>38</v>
      </c>
      <c r="K4283" s="16" t="n">
        <f aca="false">H4283*I4283</f>
        <v>332.92</v>
      </c>
      <c r="L4283" s="16" t="n">
        <f aca="false">H4283*J4283</f>
        <v>152</v>
      </c>
      <c r="M4283" s="16" t="n">
        <f aca="false">K4283-L4283</f>
        <v>180.92</v>
      </c>
      <c r="N4283" s="17" t="n">
        <f aca="false">IFERROR(M4283/K4283,0)</f>
        <v>0.5434338579839</v>
      </c>
    </row>
    <row r="4284" customFormat="false" ht="15" hidden="false" customHeight="false" outlineLevel="0" collapsed="false">
      <c r="A4284" s="15" t="n">
        <v>46201</v>
      </c>
      <c r="B4284" s="14" t="s">
        <v>69</v>
      </c>
      <c r="C4284" s="14" t="s">
        <v>70</v>
      </c>
      <c r="D4284" s="14" t="s">
        <v>71</v>
      </c>
      <c r="E4284" s="14" t="s">
        <v>53</v>
      </c>
      <c r="F4284" s="14" t="s">
        <v>74</v>
      </c>
      <c r="G4284" s="14" t="s">
        <v>75</v>
      </c>
      <c r="H4284" s="0" t="n">
        <v>4</v>
      </c>
      <c r="I4284" s="16" t="n">
        <v>82.36</v>
      </c>
      <c r="J4284" s="16" t="n">
        <v>38</v>
      </c>
      <c r="K4284" s="16" t="n">
        <f aca="false">H4284*I4284</f>
        <v>329.44</v>
      </c>
      <c r="L4284" s="16" t="n">
        <f aca="false">H4284*J4284</f>
        <v>152</v>
      </c>
      <c r="M4284" s="16" t="n">
        <f aca="false">K4284-L4284</f>
        <v>177.44</v>
      </c>
      <c r="N4284" s="17" t="n">
        <f aca="false">IFERROR(M4284/K4284,0)</f>
        <v>0.53861097620204</v>
      </c>
    </row>
    <row r="4285" customFormat="false" ht="15" hidden="false" customHeight="false" outlineLevel="0" collapsed="false">
      <c r="A4285" s="15" t="n">
        <v>46201</v>
      </c>
      <c r="B4285" s="14" t="s">
        <v>69</v>
      </c>
      <c r="C4285" s="14" t="s">
        <v>70</v>
      </c>
      <c r="D4285" s="14" t="s">
        <v>71</v>
      </c>
      <c r="E4285" s="14" t="s">
        <v>56</v>
      </c>
      <c r="F4285" s="14" t="s">
        <v>98</v>
      </c>
      <c r="G4285" s="14" t="s">
        <v>99</v>
      </c>
      <c r="H4285" s="0" t="n">
        <v>8</v>
      </c>
      <c r="I4285" s="16" t="n">
        <v>21.51</v>
      </c>
      <c r="J4285" s="16" t="n">
        <v>8</v>
      </c>
      <c r="K4285" s="16" t="n">
        <f aca="false">H4285*I4285</f>
        <v>172.08</v>
      </c>
      <c r="L4285" s="16" t="n">
        <f aca="false">H4285*J4285</f>
        <v>64</v>
      </c>
      <c r="M4285" s="16" t="n">
        <f aca="false">K4285-L4285</f>
        <v>108.08</v>
      </c>
      <c r="N4285" s="17" t="n">
        <f aca="false">IFERROR(M4285/K4285,0)</f>
        <v>0.628079962807996</v>
      </c>
    </row>
    <row r="4286" customFormat="false" ht="15" hidden="false" customHeight="false" outlineLevel="0" collapsed="false">
      <c r="A4286" s="15" t="n">
        <v>46201</v>
      </c>
      <c r="B4286" s="14" t="s">
        <v>81</v>
      </c>
      <c r="C4286" s="14" t="s">
        <v>82</v>
      </c>
      <c r="D4286" s="14" t="s">
        <v>83</v>
      </c>
      <c r="E4286" s="14" t="s">
        <v>56</v>
      </c>
      <c r="F4286" s="14" t="s">
        <v>98</v>
      </c>
      <c r="G4286" s="14" t="s">
        <v>99</v>
      </c>
      <c r="H4286" s="0" t="n">
        <v>6</v>
      </c>
      <c r="I4286" s="16" t="n">
        <v>20.43</v>
      </c>
      <c r="J4286" s="16" t="n">
        <v>8</v>
      </c>
      <c r="K4286" s="16" t="n">
        <f aca="false">H4286*I4286</f>
        <v>122.58</v>
      </c>
      <c r="L4286" s="16" t="n">
        <f aca="false">H4286*J4286</f>
        <v>48</v>
      </c>
      <c r="M4286" s="16" t="n">
        <f aca="false">K4286-L4286</f>
        <v>74.58</v>
      </c>
      <c r="N4286" s="17" t="n">
        <f aca="false">IFERROR(M4286/K4286,0)</f>
        <v>0.608418991678904</v>
      </c>
    </row>
    <row r="4287" customFormat="false" ht="15" hidden="false" customHeight="false" outlineLevel="0" collapsed="false">
      <c r="A4287" s="15" t="n">
        <v>46201</v>
      </c>
      <c r="B4287" s="14" t="s">
        <v>81</v>
      </c>
      <c r="C4287" s="14" t="s">
        <v>82</v>
      </c>
      <c r="D4287" s="14" t="s">
        <v>83</v>
      </c>
      <c r="E4287" s="14" t="s">
        <v>45</v>
      </c>
      <c r="F4287" s="14" t="s">
        <v>72</v>
      </c>
      <c r="G4287" s="14" t="s">
        <v>73</v>
      </c>
      <c r="H4287" s="0" t="n">
        <v>4</v>
      </c>
      <c r="I4287" s="16" t="n">
        <v>50.07</v>
      </c>
      <c r="J4287" s="16" t="n">
        <v>21</v>
      </c>
      <c r="K4287" s="16" t="n">
        <f aca="false">H4287*I4287</f>
        <v>200.28</v>
      </c>
      <c r="L4287" s="16" t="n">
        <f aca="false">H4287*J4287</f>
        <v>84</v>
      </c>
      <c r="M4287" s="16" t="n">
        <f aca="false">K4287-L4287</f>
        <v>116.28</v>
      </c>
      <c r="N4287" s="17" t="n">
        <f aca="false">IFERROR(M4287/K4287,0)</f>
        <v>0.580587177950869</v>
      </c>
    </row>
    <row r="4288" customFormat="false" ht="15" hidden="false" customHeight="false" outlineLevel="0" collapsed="false">
      <c r="A4288" s="15" t="n">
        <v>46201</v>
      </c>
      <c r="B4288" s="14" t="s">
        <v>81</v>
      </c>
      <c r="C4288" s="14" t="s">
        <v>82</v>
      </c>
      <c r="D4288" s="14" t="s">
        <v>83</v>
      </c>
      <c r="E4288" s="14" t="s">
        <v>76</v>
      </c>
      <c r="F4288" s="14" t="s">
        <v>79</v>
      </c>
      <c r="G4288" s="14" t="s">
        <v>80</v>
      </c>
      <c r="H4288" s="0" t="n">
        <v>6</v>
      </c>
      <c r="I4288" s="16" t="n">
        <v>28.97</v>
      </c>
      <c r="J4288" s="16" t="n">
        <v>11</v>
      </c>
      <c r="K4288" s="16" t="n">
        <f aca="false">H4288*I4288</f>
        <v>173.82</v>
      </c>
      <c r="L4288" s="16" t="n">
        <f aca="false">H4288*J4288</f>
        <v>66</v>
      </c>
      <c r="M4288" s="16" t="n">
        <f aca="false">K4288-L4288</f>
        <v>107.82</v>
      </c>
      <c r="N4288" s="17" t="n">
        <f aca="false">IFERROR(M4288/K4288,0)</f>
        <v>0.620296858819468</v>
      </c>
    </row>
    <row r="4289" customFormat="false" ht="15" hidden="false" customHeight="false" outlineLevel="0" collapsed="false">
      <c r="A4289" s="15" t="n">
        <v>46201</v>
      </c>
      <c r="B4289" s="14" t="s">
        <v>81</v>
      </c>
      <c r="C4289" s="14" t="s">
        <v>82</v>
      </c>
      <c r="D4289" s="14" t="s">
        <v>83</v>
      </c>
      <c r="E4289" s="14" t="s">
        <v>64</v>
      </c>
      <c r="F4289" s="14" t="s">
        <v>90</v>
      </c>
      <c r="G4289" s="14" t="s">
        <v>91</v>
      </c>
      <c r="H4289" s="0" t="n">
        <v>3</v>
      </c>
      <c r="I4289" s="16" t="n">
        <v>11.72</v>
      </c>
      <c r="J4289" s="16" t="n">
        <v>3.5</v>
      </c>
      <c r="K4289" s="16" t="n">
        <f aca="false">H4289*I4289</f>
        <v>35.16</v>
      </c>
      <c r="L4289" s="16" t="n">
        <f aca="false">H4289*J4289</f>
        <v>10.5</v>
      </c>
      <c r="M4289" s="16" t="n">
        <f aca="false">K4289-L4289</f>
        <v>24.66</v>
      </c>
      <c r="N4289" s="17" t="n">
        <f aca="false">IFERROR(M4289/K4289,0)</f>
        <v>0.701365187713311</v>
      </c>
    </row>
    <row r="4290" customFormat="false" ht="15" hidden="false" customHeight="false" outlineLevel="0" collapsed="false">
      <c r="A4290" s="15" t="n">
        <v>46201</v>
      </c>
      <c r="B4290" s="14" t="s">
        <v>88</v>
      </c>
      <c r="C4290" s="14" t="s">
        <v>89</v>
      </c>
      <c r="D4290" s="14" t="s">
        <v>44</v>
      </c>
      <c r="E4290" s="14" t="s">
        <v>64</v>
      </c>
      <c r="F4290" s="14" t="s">
        <v>65</v>
      </c>
      <c r="G4290" s="14" t="s">
        <v>66</v>
      </c>
      <c r="H4290" s="0" t="n">
        <v>1</v>
      </c>
      <c r="I4290" s="16" t="n">
        <v>77.42</v>
      </c>
      <c r="J4290" s="16" t="n">
        <v>34</v>
      </c>
      <c r="K4290" s="16" t="n">
        <f aca="false">H4290*I4290</f>
        <v>77.42</v>
      </c>
      <c r="L4290" s="16" t="n">
        <f aca="false">H4290*J4290</f>
        <v>34</v>
      </c>
      <c r="M4290" s="16" t="n">
        <f aca="false">K4290-L4290</f>
        <v>43.42</v>
      </c>
      <c r="N4290" s="17" t="n">
        <f aca="false">IFERROR(M4290/K4290,0)</f>
        <v>0.560836993025058</v>
      </c>
    </row>
    <row r="4291" customFormat="false" ht="15" hidden="false" customHeight="false" outlineLevel="0" collapsed="false">
      <c r="A4291" s="15" t="n">
        <v>46201</v>
      </c>
      <c r="B4291" s="14" t="s">
        <v>88</v>
      </c>
      <c r="C4291" s="14" t="s">
        <v>89</v>
      </c>
      <c r="D4291" s="14" t="s">
        <v>44</v>
      </c>
      <c r="E4291" s="14" t="s">
        <v>76</v>
      </c>
      <c r="F4291" s="14" t="s">
        <v>77</v>
      </c>
      <c r="G4291" s="14" t="s">
        <v>78</v>
      </c>
      <c r="H4291" s="0" t="n">
        <v>12</v>
      </c>
      <c r="I4291" s="16" t="n">
        <v>40.44</v>
      </c>
      <c r="J4291" s="16" t="n">
        <v>15</v>
      </c>
      <c r="K4291" s="16" t="n">
        <f aca="false">H4291*I4291</f>
        <v>485.28</v>
      </c>
      <c r="L4291" s="16" t="n">
        <f aca="false">H4291*J4291</f>
        <v>180</v>
      </c>
      <c r="M4291" s="16" t="n">
        <f aca="false">K4291-L4291</f>
        <v>305.28</v>
      </c>
      <c r="N4291" s="17" t="n">
        <f aca="false">IFERROR(M4291/K4291,0)</f>
        <v>0.629080118694362</v>
      </c>
    </row>
    <row r="4292" customFormat="false" ht="15" hidden="false" customHeight="false" outlineLevel="0" collapsed="false">
      <c r="A4292" s="15" t="n">
        <v>46202</v>
      </c>
      <c r="B4292" s="14" t="s">
        <v>42</v>
      </c>
      <c r="C4292" s="14" t="s">
        <v>43</v>
      </c>
      <c r="D4292" s="14" t="s">
        <v>44</v>
      </c>
      <c r="E4292" s="14" t="s">
        <v>53</v>
      </c>
      <c r="F4292" s="14" t="s">
        <v>74</v>
      </c>
      <c r="G4292" s="14" t="s">
        <v>75</v>
      </c>
      <c r="H4292" s="0" t="n">
        <v>12</v>
      </c>
      <c r="I4292" s="16" t="n">
        <v>86.21</v>
      </c>
      <c r="J4292" s="16" t="n">
        <v>38</v>
      </c>
      <c r="K4292" s="16" t="n">
        <f aca="false">H4292*I4292</f>
        <v>1034.52</v>
      </c>
      <c r="L4292" s="16" t="n">
        <f aca="false">H4292*J4292</f>
        <v>456</v>
      </c>
      <c r="M4292" s="16" t="n">
        <f aca="false">K4292-L4292</f>
        <v>578.52</v>
      </c>
      <c r="N4292" s="17" t="n">
        <f aca="false">IFERROR(M4292/K4292,0)</f>
        <v>0.559215868228744</v>
      </c>
    </row>
    <row r="4293" customFormat="false" ht="15" hidden="false" customHeight="false" outlineLevel="0" collapsed="false">
      <c r="A4293" s="15" t="n">
        <v>46202</v>
      </c>
      <c r="B4293" s="14" t="s">
        <v>42</v>
      </c>
      <c r="C4293" s="14" t="s">
        <v>43</v>
      </c>
      <c r="D4293" s="14" t="s">
        <v>44</v>
      </c>
      <c r="E4293" s="14" t="s">
        <v>53</v>
      </c>
      <c r="F4293" s="14" t="s">
        <v>84</v>
      </c>
      <c r="G4293" s="14" t="s">
        <v>85</v>
      </c>
      <c r="H4293" s="0" t="n">
        <v>5</v>
      </c>
      <c r="I4293" s="16" t="n">
        <v>24.61</v>
      </c>
      <c r="J4293" s="16" t="n">
        <v>9</v>
      </c>
      <c r="K4293" s="16" t="n">
        <f aca="false">H4293*I4293</f>
        <v>123.05</v>
      </c>
      <c r="L4293" s="16" t="n">
        <f aca="false">H4293*J4293</f>
        <v>45</v>
      </c>
      <c r="M4293" s="16" t="n">
        <f aca="false">K4293-L4293</f>
        <v>78.05</v>
      </c>
      <c r="N4293" s="17" t="n">
        <f aca="false">IFERROR(M4293/K4293,0)</f>
        <v>0.634295002031694</v>
      </c>
    </row>
    <row r="4294" customFormat="false" ht="15" hidden="false" customHeight="false" outlineLevel="0" collapsed="false">
      <c r="A4294" s="15" t="n">
        <v>46202</v>
      </c>
      <c r="B4294" s="14" t="s">
        <v>42</v>
      </c>
      <c r="C4294" s="14" t="s">
        <v>43</v>
      </c>
      <c r="D4294" s="14" t="s">
        <v>44</v>
      </c>
      <c r="E4294" s="14" t="s">
        <v>76</v>
      </c>
      <c r="F4294" s="14" t="s">
        <v>102</v>
      </c>
      <c r="G4294" s="14" t="s">
        <v>103</v>
      </c>
      <c r="H4294" s="0" t="n">
        <v>7</v>
      </c>
      <c r="I4294" s="16" t="n">
        <v>23.74</v>
      </c>
      <c r="J4294" s="16" t="n">
        <v>8.5</v>
      </c>
      <c r="K4294" s="16" t="n">
        <f aca="false">H4294*I4294</f>
        <v>166.18</v>
      </c>
      <c r="L4294" s="16" t="n">
        <f aca="false">H4294*J4294</f>
        <v>59.5</v>
      </c>
      <c r="M4294" s="16" t="n">
        <f aca="false">K4294-L4294</f>
        <v>106.68</v>
      </c>
      <c r="N4294" s="17" t="n">
        <f aca="false">IFERROR(M4294/K4294,0)</f>
        <v>0.64195450716091</v>
      </c>
    </row>
    <row r="4295" customFormat="false" ht="15" hidden="false" customHeight="false" outlineLevel="0" collapsed="false">
      <c r="A4295" s="15" t="n">
        <v>46202</v>
      </c>
      <c r="B4295" s="14" t="s">
        <v>42</v>
      </c>
      <c r="C4295" s="14" t="s">
        <v>43</v>
      </c>
      <c r="D4295" s="14" t="s">
        <v>44</v>
      </c>
      <c r="E4295" s="14" t="s">
        <v>45</v>
      </c>
      <c r="F4295" s="14" t="s">
        <v>62</v>
      </c>
      <c r="G4295" s="14" t="s">
        <v>63</v>
      </c>
      <c r="H4295" s="0" t="n">
        <v>4</v>
      </c>
      <c r="I4295" s="16" t="n">
        <v>17.6</v>
      </c>
      <c r="J4295" s="16" t="n">
        <v>6.5</v>
      </c>
      <c r="K4295" s="16" t="n">
        <f aca="false">H4295*I4295</f>
        <v>70.4</v>
      </c>
      <c r="L4295" s="16" t="n">
        <f aca="false">H4295*J4295</f>
        <v>26</v>
      </c>
      <c r="M4295" s="16" t="n">
        <f aca="false">K4295-L4295</f>
        <v>44.4</v>
      </c>
      <c r="N4295" s="17" t="n">
        <f aca="false">IFERROR(M4295/K4295,0)</f>
        <v>0.630681818181818</v>
      </c>
    </row>
    <row r="4296" customFormat="false" ht="15" hidden="false" customHeight="false" outlineLevel="0" collapsed="false">
      <c r="A4296" s="15" t="n">
        <v>46202</v>
      </c>
      <c r="B4296" s="14" t="s">
        <v>42</v>
      </c>
      <c r="C4296" s="14" t="s">
        <v>43</v>
      </c>
      <c r="D4296" s="14" t="s">
        <v>44</v>
      </c>
      <c r="E4296" s="14" t="s">
        <v>64</v>
      </c>
      <c r="F4296" s="14" t="s">
        <v>96</v>
      </c>
      <c r="G4296" s="14" t="s">
        <v>97</v>
      </c>
      <c r="H4296" s="0" t="n">
        <v>1</v>
      </c>
      <c r="I4296" s="16" t="n">
        <v>54.53</v>
      </c>
      <c r="J4296" s="16" t="n">
        <v>24</v>
      </c>
      <c r="K4296" s="16" t="n">
        <f aca="false">H4296*I4296</f>
        <v>54.53</v>
      </c>
      <c r="L4296" s="16" t="n">
        <f aca="false">H4296*J4296</f>
        <v>24</v>
      </c>
      <c r="M4296" s="16" t="n">
        <f aca="false">K4296-L4296</f>
        <v>30.53</v>
      </c>
      <c r="N4296" s="17" t="n">
        <f aca="false">IFERROR(M4296/K4296,0)</f>
        <v>0.5598752980011</v>
      </c>
    </row>
    <row r="4297" customFormat="false" ht="15" hidden="false" customHeight="false" outlineLevel="0" collapsed="false">
      <c r="A4297" s="15" t="n">
        <v>46202</v>
      </c>
      <c r="B4297" s="14" t="s">
        <v>42</v>
      </c>
      <c r="C4297" s="14" t="s">
        <v>43</v>
      </c>
      <c r="D4297" s="14" t="s">
        <v>44</v>
      </c>
      <c r="E4297" s="14" t="s">
        <v>56</v>
      </c>
      <c r="F4297" s="14" t="s">
        <v>86</v>
      </c>
      <c r="G4297" s="14" t="s">
        <v>87</v>
      </c>
      <c r="H4297" s="0" t="n">
        <v>6</v>
      </c>
      <c r="I4297" s="16" t="n">
        <v>14.44</v>
      </c>
      <c r="J4297" s="16" t="n">
        <v>5</v>
      </c>
      <c r="K4297" s="16" t="n">
        <f aca="false">H4297*I4297</f>
        <v>86.64</v>
      </c>
      <c r="L4297" s="16" t="n">
        <f aca="false">H4297*J4297</f>
        <v>30</v>
      </c>
      <c r="M4297" s="16" t="n">
        <f aca="false">K4297-L4297</f>
        <v>56.64</v>
      </c>
      <c r="N4297" s="17" t="n">
        <f aca="false">IFERROR(M4297/K4297,0)</f>
        <v>0.653739612188366</v>
      </c>
    </row>
    <row r="4298" customFormat="false" ht="15" hidden="false" customHeight="false" outlineLevel="0" collapsed="false">
      <c r="A4298" s="15" t="n">
        <v>46202</v>
      </c>
      <c r="B4298" s="14" t="s">
        <v>50</v>
      </c>
      <c r="C4298" s="14" t="s">
        <v>51</v>
      </c>
      <c r="D4298" s="14" t="s">
        <v>52</v>
      </c>
      <c r="E4298" s="14" t="s">
        <v>53</v>
      </c>
      <c r="F4298" s="14" t="s">
        <v>54</v>
      </c>
      <c r="G4298" s="14" t="s">
        <v>55</v>
      </c>
      <c r="H4298" s="0" t="n">
        <v>1</v>
      </c>
      <c r="I4298" s="16" t="n">
        <v>51.71</v>
      </c>
      <c r="J4298" s="16" t="n">
        <v>22</v>
      </c>
      <c r="K4298" s="16" t="n">
        <f aca="false">H4298*I4298</f>
        <v>51.71</v>
      </c>
      <c r="L4298" s="16" t="n">
        <f aca="false">H4298*J4298</f>
        <v>22</v>
      </c>
      <c r="M4298" s="16" t="n">
        <f aca="false">K4298-L4298</f>
        <v>29.71</v>
      </c>
      <c r="N4298" s="17" t="n">
        <f aca="false">IFERROR(M4298/K4298,0)</f>
        <v>0.574550377103075</v>
      </c>
    </row>
    <row r="4299" customFormat="false" ht="15" hidden="false" customHeight="false" outlineLevel="0" collapsed="false">
      <c r="A4299" s="15" t="n">
        <v>46202</v>
      </c>
      <c r="B4299" s="14" t="s">
        <v>50</v>
      </c>
      <c r="C4299" s="14" t="s">
        <v>51</v>
      </c>
      <c r="D4299" s="14" t="s">
        <v>52</v>
      </c>
      <c r="E4299" s="14" t="s">
        <v>76</v>
      </c>
      <c r="F4299" s="14" t="s">
        <v>102</v>
      </c>
      <c r="G4299" s="14" t="s">
        <v>103</v>
      </c>
      <c r="H4299" s="0" t="n">
        <v>11</v>
      </c>
      <c r="I4299" s="16" t="n">
        <v>23.98</v>
      </c>
      <c r="J4299" s="16" t="n">
        <v>8.5</v>
      </c>
      <c r="K4299" s="16" t="n">
        <f aca="false">H4299*I4299</f>
        <v>263.78</v>
      </c>
      <c r="L4299" s="16" t="n">
        <f aca="false">H4299*J4299</f>
        <v>93.5</v>
      </c>
      <c r="M4299" s="16" t="n">
        <f aca="false">K4299-L4299</f>
        <v>170.28</v>
      </c>
      <c r="N4299" s="17" t="n">
        <f aca="false">IFERROR(M4299/K4299,0)</f>
        <v>0.645537948290242</v>
      </c>
    </row>
    <row r="4300" customFormat="false" ht="15" hidden="false" customHeight="false" outlineLevel="0" collapsed="false">
      <c r="A4300" s="15" t="n">
        <v>46202</v>
      </c>
      <c r="B4300" s="14" t="s">
        <v>50</v>
      </c>
      <c r="C4300" s="14" t="s">
        <v>51</v>
      </c>
      <c r="D4300" s="14" t="s">
        <v>52</v>
      </c>
      <c r="E4300" s="14" t="s">
        <v>53</v>
      </c>
      <c r="F4300" s="14" t="s">
        <v>54</v>
      </c>
      <c r="G4300" s="14" t="s">
        <v>55</v>
      </c>
      <c r="H4300" s="0" t="n">
        <v>3</v>
      </c>
      <c r="I4300" s="16" t="n">
        <v>50.89</v>
      </c>
      <c r="J4300" s="16" t="n">
        <v>22</v>
      </c>
      <c r="K4300" s="16" t="n">
        <f aca="false">H4300*I4300</f>
        <v>152.67</v>
      </c>
      <c r="L4300" s="16" t="n">
        <f aca="false">H4300*J4300</f>
        <v>66</v>
      </c>
      <c r="M4300" s="16" t="n">
        <f aca="false">K4300-L4300</f>
        <v>86.67</v>
      </c>
      <c r="N4300" s="17" t="n">
        <f aca="false">IFERROR(M4300/K4300,0)</f>
        <v>0.567695028492828</v>
      </c>
    </row>
    <row r="4301" customFormat="false" ht="15" hidden="false" customHeight="false" outlineLevel="0" collapsed="false">
      <c r="A4301" s="15" t="n">
        <v>46202</v>
      </c>
      <c r="B4301" s="14" t="s">
        <v>59</v>
      </c>
      <c r="C4301" s="14" t="s">
        <v>60</v>
      </c>
      <c r="D4301" s="14" t="s">
        <v>61</v>
      </c>
      <c r="E4301" s="14" t="s">
        <v>56</v>
      </c>
      <c r="F4301" s="14" t="s">
        <v>86</v>
      </c>
      <c r="G4301" s="14" t="s">
        <v>87</v>
      </c>
      <c r="H4301" s="0" t="n">
        <v>1</v>
      </c>
      <c r="I4301" s="16" t="n">
        <v>14.61</v>
      </c>
      <c r="J4301" s="16" t="n">
        <v>5</v>
      </c>
      <c r="K4301" s="16" t="n">
        <f aca="false">H4301*I4301</f>
        <v>14.61</v>
      </c>
      <c r="L4301" s="16" t="n">
        <f aca="false">H4301*J4301</f>
        <v>5</v>
      </c>
      <c r="M4301" s="16" t="n">
        <f aca="false">K4301-L4301</f>
        <v>9.61</v>
      </c>
      <c r="N4301" s="17" t="n">
        <f aca="false">IFERROR(M4301/K4301,0)</f>
        <v>0.657768651608487</v>
      </c>
    </row>
    <row r="4302" customFormat="false" ht="15" hidden="false" customHeight="false" outlineLevel="0" collapsed="false">
      <c r="A4302" s="15" t="n">
        <v>46202</v>
      </c>
      <c r="B4302" s="14" t="s">
        <v>59</v>
      </c>
      <c r="C4302" s="14" t="s">
        <v>60</v>
      </c>
      <c r="D4302" s="14" t="s">
        <v>61</v>
      </c>
      <c r="E4302" s="14" t="s">
        <v>45</v>
      </c>
      <c r="F4302" s="14" t="s">
        <v>62</v>
      </c>
      <c r="G4302" s="14" t="s">
        <v>63</v>
      </c>
      <c r="H4302" s="0" t="n">
        <v>1</v>
      </c>
      <c r="I4302" s="16" t="n">
        <v>17.47</v>
      </c>
      <c r="J4302" s="16" t="n">
        <v>6.5</v>
      </c>
      <c r="K4302" s="16" t="n">
        <f aca="false">H4302*I4302</f>
        <v>17.47</v>
      </c>
      <c r="L4302" s="16" t="n">
        <f aca="false">H4302*J4302</f>
        <v>6.5</v>
      </c>
      <c r="M4302" s="16" t="n">
        <f aca="false">K4302-L4302</f>
        <v>10.97</v>
      </c>
      <c r="N4302" s="17" t="n">
        <f aca="false">IFERROR(M4302/K4302,0)</f>
        <v>0.627933600457928</v>
      </c>
    </row>
    <row r="4303" customFormat="false" ht="15" hidden="false" customHeight="false" outlineLevel="0" collapsed="false">
      <c r="A4303" s="15" t="n">
        <v>46202</v>
      </c>
      <c r="B4303" s="14" t="s">
        <v>59</v>
      </c>
      <c r="C4303" s="14" t="s">
        <v>60</v>
      </c>
      <c r="D4303" s="14" t="s">
        <v>61</v>
      </c>
      <c r="E4303" s="14" t="s">
        <v>45</v>
      </c>
      <c r="F4303" s="14" t="s">
        <v>46</v>
      </c>
      <c r="G4303" s="14" t="s">
        <v>47</v>
      </c>
      <c r="H4303" s="0" t="n">
        <v>3</v>
      </c>
      <c r="I4303" s="16" t="n">
        <v>42.19</v>
      </c>
      <c r="J4303" s="16" t="n">
        <v>18</v>
      </c>
      <c r="K4303" s="16" t="n">
        <f aca="false">H4303*I4303</f>
        <v>126.57</v>
      </c>
      <c r="L4303" s="16" t="n">
        <f aca="false">H4303*J4303</f>
        <v>54</v>
      </c>
      <c r="M4303" s="16" t="n">
        <f aca="false">K4303-L4303</f>
        <v>72.57</v>
      </c>
      <c r="N4303" s="17" t="n">
        <f aca="false">IFERROR(M4303/K4303,0)</f>
        <v>0.573358615785731</v>
      </c>
    </row>
    <row r="4304" customFormat="false" ht="15" hidden="false" customHeight="false" outlineLevel="0" collapsed="false">
      <c r="A4304" s="15" t="n">
        <v>46202</v>
      </c>
      <c r="B4304" s="14" t="s">
        <v>59</v>
      </c>
      <c r="C4304" s="14" t="s">
        <v>60</v>
      </c>
      <c r="D4304" s="14" t="s">
        <v>61</v>
      </c>
      <c r="E4304" s="14" t="s">
        <v>53</v>
      </c>
      <c r="F4304" s="14" t="s">
        <v>54</v>
      </c>
      <c r="G4304" s="14" t="s">
        <v>55</v>
      </c>
      <c r="H4304" s="0" t="n">
        <v>9</v>
      </c>
      <c r="I4304" s="16" t="n">
        <v>52.79</v>
      </c>
      <c r="J4304" s="16" t="n">
        <v>22</v>
      </c>
      <c r="K4304" s="16" t="n">
        <f aca="false">H4304*I4304</f>
        <v>475.11</v>
      </c>
      <c r="L4304" s="16" t="n">
        <f aca="false">H4304*J4304</f>
        <v>198</v>
      </c>
      <c r="M4304" s="16" t="n">
        <f aca="false">K4304-L4304</f>
        <v>277.11</v>
      </c>
      <c r="N4304" s="17" t="n">
        <f aca="false">IFERROR(M4304/K4304,0)</f>
        <v>0.583254404243228</v>
      </c>
    </row>
    <row r="4305" customFormat="false" ht="15" hidden="false" customHeight="false" outlineLevel="0" collapsed="false">
      <c r="A4305" s="15" t="n">
        <v>46202</v>
      </c>
      <c r="B4305" s="14" t="s">
        <v>69</v>
      </c>
      <c r="C4305" s="14" t="s">
        <v>70</v>
      </c>
      <c r="D4305" s="14" t="s">
        <v>71</v>
      </c>
      <c r="E4305" s="14" t="s">
        <v>45</v>
      </c>
      <c r="F4305" s="14" t="s">
        <v>62</v>
      </c>
      <c r="G4305" s="14" t="s">
        <v>63</v>
      </c>
      <c r="H4305" s="0" t="n">
        <v>5</v>
      </c>
      <c r="I4305" s="16" t="n">
        <v>17.59</v>
      </c>
      <c r="J4305" s="16" t="n">
        <v>6.5</v>
      </c>
      <c r="K4305" s="16" t="n">
        <f aca="false">H4305*I4305</f>
        <v>87.95</v>
      </c>
      <c r="L4305" s="16" t="n">
        <f aca="false">H4305*J4305</f>
        <v>32.5</v>
      </c>
      <c r="M4305" s="16" t="n">
        <f aca="false">K4305-L4305</f>
        <v>55.45</v>
      </c>
      <c r="N4305" s="17" t="n">
        <f aca="false">IFERROR(M4305/K4305,0)</f>
        <v>0.630471859010802</v>
      </c>
    </row>
    <row r="4306" customFormat="false" ht="15" hidden="false" customHeight="false" outlineLevel="0" collapsed="false">
      <c r="A4306" s="15" t="n">
        <v>46202</v>
      </c>
      <c r="B4306" s="14" t="s">
        <v>69</v>
      </c>
      <c r="C4306" s="14" t="s">
        <v>70</v>
      </c>
      <c r="D4306" s="14" t="s">
        <v>71</v>
      </c>
      <c r="E4306" s="14" t="s">
        <v>45</v>
      </c>
      <c r="F4306" s="14" t="s">
        <v>62</v>
      </c>
      <c r="G4306" s="14" t="s">
        <v>63</v>
      </c>
      <c r="H4306" s="0" t="n">
        <v>2</v>
      </c>
      <c r="I4306" s="16" t="n">
        <v>17.16</v>
      </c>
      <c r="J4306" s="16" t="n">
        <v>6.5</v>
      </c>
      <c r="K4306" s="16" t="n">
        <f aca="false">H4306*I4306</f>
        <v>34.32</v>
      </c>
      <c r="L4306" s="16" t="n">
        <f aca="false">H4306*J4306</f>
        <v>13</v>
      </c>
      <c r="M4306" s="16" t="n">
        <f aca="false">K4306-L4306</f>
        <v>21.32</v>
      </c>
      <c r="N4306" s="17" t="n">
        <f aca="false">IFERROR(M4306/K4306,0)</f>
        <v>0.621212121212121</v>
      </c>
    </row>
    <row r="4307" customFormat="false" ht="15" hidden="false" customHeight="false" outlineLevel="0" collapsed="false">
      <c r="A4307" s="15" t="n">
        <v>46202</v>
      </c>
      <c r="B4307" s="14" t="s">
        <v>69</v>
      </c>
      <c r="C4307" s="14" t="s">
        <v>70</v>
      </c>
      <c r="D4307" s="14" t="s">
        <v>71</v>
      </c>
      <c r="E4307" s="14" t="s">
        <v>45</v>
      </c>
      <c r="F4307" s="14" t="s">
        <v>72</v>
      </c>
      <c r="G4307" s="14" t="s">
        <v>73</v>
      </c>
      <c r="H4307" s="0" t="n">
        <v>4</v>
      </c>
      <c r="I4307" s="16" t="n">
        <v>49.49</v>
      </c>
      <c r="J4307" s="16" t="n">
        <v>21</v>
      </c>
      <c r="K4307" s="16" t="n">
        <f aca="false">H4307*I4307</f>
        <v>197.96</v>
      </c>
      <c r="L4307" s="16" t="n">
        <f aca="false">H4307*J4307</f>
        <v>84</v>
      </c>
      <c r="M4307" s="16" t="n">
        <f aca="false">K4307-L4307</f>
        <v>113.96</v>
      </c>
      <c r="N4307" s="17" t="n">
        <f aca="false">IFERROR(M4307/K4307,0)</f>
        <v>0.575671852899576</v>
      </c>
    </row>
    <row r="4308" customFormat="false" ht="15" hidden="false" customHeight="false" outlineLevel="0" collapsed="false">
      <c r="A4308" s="15" t="n">
        <v>46202</v>
      </c>
      <c r="B4308" s="14" t="s">
        <v>81</v>
      </c>
      <c r="C4308" s="14" t="s">
        <v>82</v>
      </c>
      <c r="D4308" s="14" t="s">
        <v>83</v>
      </c>
      <c r="E4308" s="14" t="s">
        <v>45</v>
      </c>
      <c r="F4308" s="14" t="s">
        <v>46</v>
      </c>
      <c r="G4308" s="14" t="s">
        <v>47</v>
      </c>
      <c r="H4308" s="0" t="n">
        <v>3</v>
      </c>
      <c r="I4308" s="16" t="n">
        <v>44.77</v>
      </c>
      <c r="J4308" s="16" t="n">
        <v>18</v>
      </c>
      <c r="K4308" s="16" t="n">
        <f aca="false">H4308*I4308</f>
        <v>134.31</v>
      </c>
      <c r="L4308" s="16" t="n">
        <f aca="false">H4308*J4308</f>
        <v>54</v>
      </c>
      <c r="M4308" s="16" t="n">
        <f aca="false">K4308-L4308</f>
        <v>80.31</v>
      </c>
      <c r="N4308" s="17" t="n">
        <f aca="false">IFERROR(M4308/K4308,0)</f>
        <v>0.597945052490507</v>
      </c>
    </row>
    <row r="4309" customFormat="false" ht="15" hidden="false" customHeight="false" outlineLevel="0" collapsed="false">
      <c r="A4309" s="15" t="n">
        <v>46202</v>
      </c>
      <c r="B4309" s="14" t="s">
        <v>81</v>
      </c>
      <c r="C4309" s="14" t="s">
        <v>82</v>
      </c>
      <c r="D4309" s="14" t="s">
        <v>83</v>
      </c>
      <c r="E4309" s="14" t="s">
        <v>64</v>
      </c>
      <c r="F4309" s="14" t="s">
        <v>90</v>
      </c>
      <c r="G4309" s="14" t="s">
        <v>91</v>
      </c>
      <c r="H4309" s="0" t="n">
        <v>6</v>
      </c>
      <c r="I4309" s="16" t="n">
        <v>11.38</v>
      </c>
      <c r="J4309" s="16" t="n">
        <v>3.5</v>
      </c>
      <c r="K4309" s="16" t="n">
        <f aca="false">H4309*I4309</f>
        <v>68.28</v>
      </c>
      <c r="L4309" s="16" t="n">
        <f aca="false">H4309*J4309</f>
        <v>21</v>
      </c>
      <c r="M4309" s="16" t="n">
        <f aca="false">K4309-L4309</f>
        <v>47.28</v>
      </c>
      <c r="N4309" s="17" t="n">
        <f aca="false">IFERROR(M4309/K4309,0)</f>
        <v>0.692442882249561</v>
      </c>
    </row>
    <row r="4310" customFormat="false" ht="15" hidden="false" customHeight="false" outlineLevel="0" collapsed="false">
      <c r="A4310" s="15" t="n">
        <v>46202</v>
      </c>
      <c r="B4310" s="14" t="s">
        <v>88</v>
      </c>
      <c r="C4310" s="14" t="s">
        <v>89</v>
      </c>
      <c r="D4310" s="14" t="s">
        <v>44</v>
      </c>
      <c r="E4310" s="14" t="s">
        <v>45</v>
      </c>
      <c r="F4310" s="14" t="s">
        <v>62</v>
      </c>
      <c r="G4310" s="14" t="s">
        <v>63</v>
      </c>
      <c r="H4310" s="0" t="n">
        <v>3</v>
      </c>
      <c r="I4310" s="16" t="n">
        <v>17.67</v>
      </c>
      <c r="J4310" s="16" t="n">
        <v>6.5</v>
      </c>
      <c r="K4310" s="16" t="n">
        <f aca="false">H4310*I4310</f>
        <v>53.01</v>
      </c>
      <c r="L4310" s="16" t="n">
        <f aca="false">H4310*J4310</f>
        <v>19.5</v>
      </c>
      <c r="M4310" s="16" t="n">
        <f aca="false">K4310-L4310</f>
        <v>33.51</v>
      </c>
      <c r="N4310" s="17" t="n">
        <f aca="false">IFERROR(M4310/K4310,0)</f>
        <v>0.632144878324845</v>
      </c>
    </row>
    <row r="4311" customFormat="false" ht="15" hidden="false" customHeight="false" outlineLevel="0" collapsed="false">
      <c r="A4311" s="15" t="n">
        <v>46202</v>
      </c>
      <c r="B4311" s="14" t="s">
        <v>88</v>
      </c>
      <c r="C4311" s="14" t="s">
        <v>89</v>
      </c>
      <c r="D4311" s="14" t="s">
        <v>44</v>
      </c>
      <c r="E4311" s="14" t="s">
        <v>45</v>
      </c>
      <c r="F4311" s="14" t="s">
        <v>62</v>
      </c>
      <c r="G4311" s="14" t="s">
        <v>63</v>
      </c>
      <c r="H4311" s="0" t="n">
        <v>2</v>
      </c>
      <c r="I4311" s="16" t="n">
        <v>17.16</v>
      </c>
      <c r="J4311" s="16" t="n">
        <v>6.5</v>
      </c>
      <c r="K4311" s="16" t="n">
        <f aca="false">H4311*I4311</f>
        <v>34.32</v>
      </c>
      <c r="L4311" s="16" t="n">
        <f aca="false">H4311*J4311</f>
        <v>13</v>
      </c>
      <c r="M4311" s="16" t="n">
        <f aca="false">K4311-L4311</f>
        <v>21.32</v>
      </c>
      <c r="N4311" s="17" t="n">
        <f aca="false">IFERROR(M4311/K4311,0)</f>
        <v>0.621212121212121</v>
      </c>
    </row>
    <row r="4312" customFormat="false" ht="15" hidden="false" customHeight="false" outlineLevel="0" collapsed="false">
      <c r="A4312" s="15" t="n">
        <v>46202</v>
      </c>
      <c r="B4312" s="14" t="s">
        <v>88</v>
      </c>
      <c r="C4312" s="14" t="s">
        <v>89</v>
      </c>
      <c r="D4312" s="14" t="s">
        <v>44</v>
      </c>
      <c r="E4312" s="14" t="s">
        <v>45</v>
      </c>
      <c r="F4312" s="14" t="s">
        <v>72</v>
      </c>
      <c r="G4312" s="14" t="s">
        <v>73</v>
      </c>
      <c r="H4312" s="0" t="n">
        <v>5</v>
      </c>
      <c r="I4312" s="16" t="n">
        <v>49.41</v>
      </c>
      <c r="J4312" s="16" t="n">
        <v>21</v>
      </c>
      <c r="K4312" s="16" t="n">
        <f aca="false">H4312*I4312</f>
        <v>247.05</v>
      </c>
      <c r="L4312" s="16" t="n">
        <f aca="false">H4312*J4312</f>
        <v>105</v>
      </c>
      <c r="M4312" s="16" t="n">
        <f aca="false">K4312-L4312</f>
        <v>142.05</v>
      </c>
      <c r="N4312" s="17" t="n">
        <f aca="false">IFERROR(M4312/K4312,0)</f>
        <v>0.57498482088646</v>
      </c>
    </row>
    <row r="4313" customFormat="false" ht="15" hidden="false" customHeight="false" outlineLevel="0" collapsed="false">
      <c r="A4313" s="15" t="n">
        <v>46202</v>
      </c>
      <c r="B4313" s="14" t="s">
        <v>88</v>
      </c>
      <c r="C4313" s="14" t="s">
        <v>89</v>
      </c>
      <c r="D4313" s="14" t="s">
        <v>44</v>
      </c>
      <c r="E4313" s="14" t="s">
        <v>56</v>
      </c>
      <c r="F4313" s="14" t="s">
        <v>98</v>
      </c>
      <c r="G4313" s="14" t="s">
        <v>99</v>
      </c>
      <c r="H4313" s="0" t="n">
        <v>3</v>
      </c>
      <c r="I4313" s="16" t="n">
        <v>21.26</v>
      </c>
      <c r="J4313" s="16" t="n">
        <v>8</v>
      </c>
      <c r="K4313" s="16" t="n">
        <f aca="false">H4313*I4313</f>
        <v>63.78</v>
      </c>
      <c r="L4313" s="16" t="n">
        <f aca="false">H4313*J4313</f>
        <v>24</v>
      </c>
      <c r="M4313" s="16" t="n">
        <f aca="false">K4313-L4313</f>
        <v>39.78</v>
      </c>
      <c r="N4313" s="17" t="n">
        <f aca="false">IFERROR(M4313/K4313,0)</f>
        <v>0.623706491063029</v>
      </c>
    </row>
    <row r="4314" customFormat="false" ht="15" hidden="false" customHeight="false" outlineLevel="0" collapsed="false">
      <c r="A4314" s="15" t="n">
        <v>46202</v>
      </c>
      <c r="B4314" s="14" t="s">
        <v>88</v>
      </c>
      <c r="C4314" s="14" t="s">
        <v>89</v>
      </c>
      <c r="D4314" s="14" t="s">
        <v>44</v>
      </c>
      <c r="E4314" s="14" t="s">
        <v>56</v>
      </c>
      <c r="F4314" s="14" t="s">
        <v>86</v>
      </c>
      <c r="G4314" s="14" t="s">
        <v>87</v>
      </c>
      <c r="H4314" s="0" t="n">
        <v>2</v>
      </c>
      <c r="I4314" s="16" t="n">
        <v>14.93</v>
      </c>
      <c r="J4314" s="16" t="n">
        <v>5</v>
      </c>
      <c r="K4314" s="16" t="n">
        <f aca="false">H4314*I4314</f>
        <v>29.86</v>
      </c>
      <c r="L4314" s="16" t="n">
        <f aca="false">H4314*J4314</f>
        <v>10</v>
      </c>
      <c r="M4314" s="16" t="n">
        <f aca="false">K4314-L4314</f>
        <v>19.86</v>
      </c>
      <c r="N4314" s="17" t="n">
        <f aca="false">IFERROR(M4314/K4314,0)</f>
        <v>0.665103817816477</v>
      </c>
    </row>
    <row r="4315" customFormat="false" ht="15" hidden="false" customHeight="false" outlineLevel="0" collapsed="false">
      <c r="A4315" s="15" t="n">
        <v>46202</v>
      </c>
      <c r="B4315" s="14" t="s">
        <v>88</v>
      </c>
      <c r="C4315" s="14" t="s">
        <v>89</v>
      </c>
      <c r="D4315" s="14" t="s">
        <v>44</v>
      </c>
      <c r="E4315" s="14" t="s">
        <v>45</v>
      </c>
      <c r="F4315" s="14" t="s">
        <v>46</v>
      </c>
      <c r="G4315" s="14" t="s">
        <v>47</v>
      </c>
      <c r="H4315" s="0" t="n">
        <v>4</v>
      </c>
      <c r="I4315" s="16" t="n">
        <v>44.43</v>
      </c>
      <c r="J4315" s="16" t="n">
        <v>18</v>
      </c>
      <c r="K4315" s="16" t="n">
        <f aca="false">H4315*I4315</f>
        <v>177.72</v>
      </c>
      <c r="L4315" s="16" t="n">
        <f aca="false">H4315*J4315</f>
        <v>72</v>
      </c>
      <c r="M4315" s="16" t="n">
        <f aca="false">K4315-L4315</f>
        <v>105.72</v>
      </c>
      <c r="N4315" s="17" t="n">
        <f aca="false">IFERROR(M4315/K4315,0)</f>
        <v>0.594868332207968</v>
      </c>
    </row>
    <row r="4316" customFormat="false" ht="15" hidden="false" customHeight="false" outlineLevel="0" collapsed="false">
      <c r="A4316" s="15" t="n">
        <v>46203</v>
      </c>
      <c r="B4316" s="14" t="s">
        <v>42</v>
      </c>
      <c r="C4316" s="14" t="s">
        <v>43</v>
      </c>
      <c r="D4316" s="14" t="s">
        <v>44</v>
      </c>
      <c r="E4316" s="14" t="s">
        <v>76</v>
      </c>
      <c r="F4316" s="14" t="s">
        <v>79</v>
      </c>
      <c r="G4316" s="14" t="s">
        <v>80</v>
      </c>
      <c r="H4316" s="0" t="n">
        <v>10</v>
      </c>
      <c r="I4316" s="16" t="n">
        <v>28.54</v>
      </c>
      <c r="J4316" s="16" t="n">
        <v>11</v>
      </c>
      <c r="K4316" s="16" t="n">
        <f aca="false">H4316*I4316</f>
        <v>285.4</v>
      </c>
      <c r="L4316" s="16" t="n">
        <f aca="false">H4316*J4316</f>
        <v>110</v>
      </c>
      <c r="M4316" s="16" t="n">
        <f aca="false">K4316-L4316</f>
        <v>175.4</v>
      </c>
      <c r="N4316" s="17" t="n">
        <f aca="false">IFERROR(M4316/K4316,0)</f>
        <v>0.614576033637001</v>
      </c>
    </row>
    <row r="4317" customFormat="false" ht="15" hidden="false" customHeight="false" outlineLevel="0" collapsed="false">
      <c r="A4317" s="15" t="n">
        <v>46203</v>
      </c>
      <c r="B4317" s="14" t="s">
        <v>42</v>
      </c>
      <c r="C4317" s="14" t="s">
        <v>43</v>
      </c>
      <c r="D4317" s="14" t="s">
        <v>44</v>
      </c>
      <c r="E4317" s="14" t="s">
        <v>53</v>
      </c>
      <c r="F4317" s="14" t="s">
        <v>74</v>
      </c>
      <c r="G4317" s="14" t="s">
        <v>75</v>
      </c>
      <c r="H4317" s="0" t="n">
        <v>7</v>
      </c>
      <c r="I4317" s="16" t="n">
        <v>88.56</v>
      </c>
      <c r="J4317" s="16" t="n">
        <v>38</v>
      </c>
      <c r="K4317" s="16" t="n">
        <f aca="false">H4317*I4317</f>
        <v>619.92</v>
      </c>
      <c r="L4317" s="16" t="n">
        <f aca="false">H4317*J4317</f>
        <v>266</v>
      </c>
      <c r="M4317" s="16" t="n">
        <f aca="false">K4317-L4317</f>
        <v>353.92</v>
      </c>
      <c r="N4317" s="17" t="n">
        <f aca="false">IFERROR(M4317/K4317,0)</f>
        <v>0.570912375790425</v>
      </c>
    </row>
    <row r="4318" customFormat="false" ht="15" hidden="false" customHeight="false" outlineLevel="0" collapsed="false">
      <c r="A4318" s="15" t="n">
        <v>46203</v>
      </c>
      <c r="B4318" s="14" t="s">
        <v>42</v>
      </c>
      <c r="C4318" s="14" t="s">
        <v>43</v>
      </c>
      <c r="D4318" s="14" t="s">
        <v>44</v>
      </c>
      <c r="E4318" s="14" t="s">
        <v>64</v>
      </c>
      <c r="F4318" s="14" t="s">
        <v>90</v>
      </c>
      <c r="G4318" s="14" t="s">
        <v>91</v>
      </c>
      <c r="H4318" s="0" t="n">
        <v>1</v>
      </c>
      <c r="I4318" s="16" t="n">
        <v>11.52</v>
      </c>
      <c r="J4318" s="16" t="n">
        <v>3.5</v>
      </c>
      <c r="K4318" s="16" t="n">
        <f aca="false">H4318*I4318</f>
        <v>11.52</v>
      </c>
      <c r="L4318" s="16" t="n">
        <f aca="false">H4318*J4318</f>
        <v>3.5</v>
      </c>
      <c r="M4318" s="16" t="n">
        <f aca="false">K4318-L4318</f>
        <v>8.02</v>
      </c>
      <c r="N4318" s="17" t="n">
        <f aca="false">IFERROR(M4318/K4318,0)</f>
        <v>0.696180555555556</v>
      </c>
    </row>
    <row r="4319" customFormat="false" ht="15" hidden="false" customHeight="false" outlineLevel="0" collapsed="false">
      <c r="A4319" s="15" t="n">
        <v>46203</v>
      </c>
      <c r="B4319" s="14" t="s">
        <v>42</v>
      </c>
      <c r="C4319" s="14" t="s">
        <v>43</v>
      </c>
      <c r="D4319" s="14" t="s">
        <v>44</v>
      </c>
      <c r="E4319" s="14" t="s">
        <v>76</v>
      </c>
      <c r="F4319" s="14" t="s">
        <v>100</v>
      </c>
      <c r="G4319" s="14" t="s">
        <v>101</v>
      </c>
      <c r="H4319" s="0" t="n">
        <v>9</v>
      </c>
      <c r="I4319" s="16" t="n">
        <v>15.96</v>
      </c>
      <c r="J4319" s="16" t="n">
        <v>5.5</v>
      </c>
      <c r="K4319" s="16" t="n">
        <f aca="false">H4319*I4319</f>
        <v>143.64</v>
      </c>
      <c r="L4319" s="16" t="n">
        <f aca="false">H4319*J4319</f>
        <v>49.5</v>
      </c>
      <c r="M4319" s="16" t="n">
        <f aca="false">K4319-L4319</f>
        <v>94.14</v>
      </c>
      <c r="N4319" s="17" t="n">
        <f aca="false">IFERROR(M4319/K4319,0)</f>
        <v>0.655388471177945</v>
      </c>
    </row>
    <row r="4320" customFormat="false" ht="15" hidden="false" customHeight="false" outlineLevel="0" collapsed="false">
      <c r="A4320" s="15" t="n">
        <v>46203</v>
      </c>
      <c r="B4320" s="14" t="s">
        <v>42</v>
      </c>
      <c r="C4320" s="14" t="s">
        <v>43</v>
      </c>
      <c r="D4320" s="14" t="s">
        <v>44</v>
      </c>
      <c r="E4320" s="14" t="s">
        <v>64</v>
      </c>
      <c r="F4320" s="14" t="s">
        <v>90</v>
      </c>
      <c r="G4320" s="14" t="s">
        <v>91</v>
      </c>
      <c r="H4320" s="0" t="n">
        <v>11</v>
      </c>
      <c r="I4320" s="16" t="n">
        <v>11.96</v>
      </c>
      <c r="J4320" s="16" t="n">
        <v>3.5</v>
      </c>
      <c r="K4320" s="16" t="n">
        <f aca="false">H4320*I4320</f>
        <v>131.56</v>
      </c>
      <c r="L4320" s="16" t="n">
        <f aca="false">H4320*J4320</f>
        <v>38.5</v>
      </c>
      <c r="M4320" s="16" t="n">
        <f aca="false">K4320-L4320</f>
        <v>93.06</v>
      </c>
      <c r="N4320" s="17" t="n">
        <f aca="false">IFERROR(M4320/K4320,0)</f>
        <v>0.707357859531773</v>
      </c>
    </row>
    <row r="4321" customFormat="false" ht="15" hidden="false" customHeight="false" outlineLevel="0" collapsed="false">
      <c r="A4321" s="15" t="n">
        <v>46203</v>
      </c>
      <c r="B4321" s="14" t="s">
        <v>42</v>
      </c>
      <c r="C4321" s="14" t="s">
        <v>43</v>
      </c>
      <c r="D4321" s="14" t="s">
        <v>44</v>
      </c>
      <c r="E4321" s="14" t="s">
        <v>45</v>
      </c>
      <c r="F4321" s="14" t="s">
        <v>72</v>
      </c>
      <c r="G4321" s="14" t="s">
        <v>73</v>
      </c>
      <c r="H4321" s="0" t="n">
        <v>5</v>
      </c>
      <c r="I4321" s="16" t="n">
        <v>50.75</v>
      </c>
      <c r="J4321" s="16" t="n">
        <v>21</v>
      </c>
      <c r="K4321" s="16" t="n">
        <f aca="false">H4321*I4321</f>
        <v>253.75</v>
      </c>
      <c r="L4321" s="16" t="n">
        <f aca="false">H4321*J4321</f>
        <v>105</v>
      </c>
      <c r="M4321" s="16" t="n">
        <f aca="false">K4321-L4321</f>
        <v>148.75</v>
      </c>
      <c r="N4321" s="17" t="n">
        <f aca="false">IFERROR(M4321/K4321,0)</f>
        <v>0.586206896551724</v>
      </c>
    </row>
    <row r="4322" customFormat="false" ht="15" hidden="false" customHeight="false" outlineLevel="0" collapsed="false">
      <c r="A4322" s="15" t="n">
        <v>46203</v>
      </c>
      <c r="B4322" s="14" t="s">
        <v>50</v>
      </c>
      <c r="C4322" s="14" t="s">
        <v>51</v>
      </c>
      <c r="D4322" s="14" t="s">
        <v>52</v>
      </c>
      <c r="E4322" s="14" t="s">
        <v>45</v>
      </c>
      <c r="F4322" s="14" t="s">
        <v>72</v>
      </c>
      <c r="G4322" s="14" t="s">
        <v>73</v>
      </c>
      <c r="H4322" s="0" t="n">
        <v>7</v>
      </c>
      <c r="I4322" s="16" t="n">
        <v>49.34</v>
      </c>
      <c r="J4322" s="16" t="n">
        <v>21</v>
      </c>
      <c r="K4322" s="16" t="n">
        <f aca="false">H4322*I4322</f>
        <v>345.38</v>
      </c>
      <c r="L4322" s="16" t="n">
        <f aca="false">H4322*J4322</f>
        <v>147</v>
      </c>
      <c r="M4322" s="16" t="n">
        <f aca="false">K4322-L4322</f>
        <v>198.38</v>
      </c>
      <c r="N4322" s="17" t="n">
        <f aca="false">IFERROR(M4322/K4322,0)</f>
        <v>0.574381840291853</v>
      </c>
    </row>
    <row r="4323" customFormat="false" ht="15" hidden="false" customHeight="false" outlineLevel="0" collapsed="false">
      <c r="A4323" s="15" t="n">
        <v>46203</v>
      </c>
      <c r="B4323" s="14" t="s">
        <v>50</v>
      </c>
      <c r="C4323" s="14" t="s">
        <v>51</v>
      </c>
      <c r="D4323" s="14" t="s">
        <v>52</v>
      </c>
      <c r="E4323" s="14" t="s">
        <v>76</v>
      </c>
      <c r="F4323" s="14" t="s">
        <v>102</v>
      </c>
      <c r="G4323" s="14" t="s">
        <v>103</v>
      </c>
      <c r="H4323" s="0" t="n">
        <v>7</v>
      </c>
      <c r="I4323" s="16" t="n">
        <v>22.66</v>
      </c>
      <c r="J4323" s="16" t="n">
        <v>8.5</v>
      </c>
      <c r="K4323" s="16" t="n">
        <f aca="false">H4323*I4323</f>
        <v>158.62</v>
      </c>
      <c r="L4323" s="16" t="n">
        <f aca="false">H4323*J4323</f>
        <v>59.5</v>
      </c>
      <c r="M4323" s="16" t="n">
        <f aca="false">K4323-L4323</f>
        <v>99.12</v>
      </c>
      <c r="N4323" s="17" t="n">
        <f aca="false">IFERROR(M4323/K4323,0)</f>
        <v>0.624889673433363</v>
      </c>
    </row>
    <row r="4324" customFormat="false" ht="15" hidden="false" customHeight="false" outlineLevel="0" collapsed="false">
      <c r="A4324" s="15" t="n">
        <v>46203</v>
      </c>
      <c r="B4324" s="14" t="s">
        <v>50</v>
      </c>
      <c r="C4324" s="14" t="s">
        <v>51</v>
      </c>
      <c r="D4324" s="14" t="s">
        <v>52</v>
      </c>
      <c r="E4324" s="14" t="s">
        <v>45</v>
      </c>
      <c r="F4324" s="14" t="s">
        <v>72</v>
      </c>
      <c r="G4324" s="14" t="s">
        <v>73</v>
      </c>
      <c r="H4324" s="0" t="n">
        <v>8</v>
      </c>
      <c r="I4324" s="16" t="n">
        <v>49.47</v>
      </c>
      <c r="J4324" s="16" t="n">
        <v>21</v>
      </c>
      <c r="K4324" s="16" t="n">
        <f aca="false">H4324*I4324</f>
        <v>395.76</v>
      </c>
      <c r="L4324" s="16" t="n">
        <f aca="false">H4324*J4324</f>
        <v>168</v>
      </c>
      <c r="M4324" s="16" t="n">
        <f aca="false">K4324-L4324</f>
        <v>227.76</v>
      </c>
      <c r="N4324" s="17" t="n">
        <f aca="false">IFERROR(M4324/K4324,0)</f>
        <v>0.575500303214069</v>
      </c>
    </row>
    <row r="4325" customFormat="false" ht="15" hidden="false" customHeight="false" outlineLevel="0" collapsed="false">
      <c r="A4325" s="15" t="n">
        <v>46203</v>
      </c>
      <c r="B4325" s="14" t="s">
        <v>59</v>
      </c>
      <c r="C4325" s="14" t="s">
        <v>60</v>
      </c>
      <c r="D4325" s="14" t="s">
        <v>61</v>
      </c>
      <c r="E4325" s="14" t="s">
        <v>76</v>
      </c>
      <c r="F4325" s="14" t="s">
        <v>77</v>
      </c>
      <c r="G4325" s="14" t="s">
        <v>78</v>
      </c>
      <c r="H4325" s="0" t="n">
        <v>4</v>
      </c>
      <c r="I4325" s="16" t="n">
        <v>40.55</v>
      </c>
      <c r="J4325" s="16" t="n">
        <v>15</v>
      </c>
      <c r="K4325" s="16" t="n">
        <f aca="false">H4325*I4325</f>
        <v>162.2</v>
      </c>
      <c r="L4325" s="16" t="n">
        <f aca="false">H4325*J4325</f>
        <v>60</v>
      </c>
      <c r="M4325" s="16" t="n">
        <f aca="false">K4325-L4325</f>
        <v>102.2</v>
      </c>
      <c r="N4325" s="17" t="n">
        <f aca="false">IFERROR(M4325/K4325,0)</f>
        <v>0.630086313193588</v>
      </c>
    </row>
    <row r="4326" customFormat="false" ht="15" hidden="false" customHeight="false" outlineLevel="0" collapsed="false">
      <c r="A4326" s="15" t="n">
        <v>46203</v>
      </c>
      <c r="B4326" s="14" t="s">
        <v>59</v>
      </c>
      <c r="C4326" s="14" t="s">
        <v>60</v>
      </c>
      <c r="D4326" s="14" t="s">
        <v>61</v>
      </c>
      <c r="E4326" s="14" t="s">
        <v>76</v>
      </c>
      <c r="F4326" s="14" t="s">
        <v>79</v>
      </c>
      <c r="G4326" s="14" t="s">
        <v>80</v>
      </c>
      <c r="H4326" s="0" t="n">
        <v>5</v>
      </c>
      <c r="I4326" s="16" t="n">
        <v>29.15</v>
      </c>
      <c r="J4326" s="16" t="n">
        <v>11</v>
      </c>
      <c r="K4326" s="16" t="n">
        <f aca="false">H4326*I4326</f>
        <v>145.75</v>
      </c>
      <c r="L4326" s="16" t="n">
        <f aca="false">H4326*J4326</f>
        <v>55</v>
      </c>
      <c r="M4326" s="16" t="n">
        <f aca="false">K4326-L4326</f>
        <v>90.75</v>
      </c>
      <c r="N4326" s="17" t="n">
        <f aca="false">IFERROR(M4326/K4326,0)</f>
        <v>0.622641509433962</v>
      </c>
    </row>
    <row r="4327" customFormat="false" ht="15" hidden="false" customHeight="false" outlineLevel="0" collapsed="false">
      <c r="A4327" s="15" t="n">
        <v>46203</v>
      </c>
      <c r="B4327" s="14" t="s">
        <v>59</v>
      </c>
      <c r="C4327" s="14" t="s">
        <v>60</v>
      </c>
      <c r="D4327" s="14" t="s">
        <v>61</v>
      </c>
      <c r="E4327" s="14" t="s">
        <v>64</v>
      </c>
      <c r="F4327" s="14" t="s">
        <v>96</v>
      </c>
      <c r="G4327" s="14" t="s">
        <v>97</v>
      </c>
      <c r="H4327" s="0" t="n">
        <v>8</v>
      </c>
      <c r="I4327" s="16" t="n">
        <v>55.18</v>
      </c>
      <c r="J4327" s="16" t="n">
        <v>24</v>
      </c>
      <c r="K4327" s="16" t="n">
        <f aca="false">H4327*I4327</f>
        <v>441.44</v>
      </c>
      <c r="L4327" s="16" t="n">
        <f aca="false">H4327*J4327</f>
        <v>192</v>
      </c>
      <c r="M4327" s="16" t="n">
        <f aca="false">K4327-L4327</f>
        <v>249.44</v>
      </c>
      <c r="N4327" s="17" t="n">
        <f aca="false">IFERROR(M4327/K4327,0)</f>
        <v>0.565059804276912</v>
      </c>
    </row>
    <row r="4328" customFormat="false" ht="15" hidden="false" customHeight="false" outlineLevel="0" collapsed="false">
      <c r="A4328" s="15" t="n">
        <v>46203</v>
      </c>
      <c r="B4328" s="14" t="s">
        <v>69</v>
      </c>
      <c r="C4328" s="14" t="s">
        <v>70</v>
      </c>
      <c r="D4328" s="14" t="s">
        <v>71</v>
      </c>
      <c r="E4328" s="14" t="s">
        <v>64</v>
      </c>
      <c r="F4328" s="14" t="s">
        <v>96</v>
      </c>
      <c r="G4328" s="14" t="s">
        <v>97</v>
      </c>
      <c r="H4328" s="0" t="n">
        <v>6</v>
      </c>
      <c r="I4328" s="16" t="n">
        <v>58.44</v>
      </c>
      <c r="J4328" s="16" t="n">
        <v>24</v>
      </c>
      <c r="K4328" s="16" t="n">
        <f aca="false">H4328*I4328</f>
        <v>350.64</v>
      </c>
      <c r="L4328" s="16" t="n">
        <f aca="false">H4328*J4328</f>
        <v>144</v>
      </c>
      <c r="M4328" s="16" t="n">
        <f aca="false">K4328-L4328</f>
        <v>206.64</v>
      </c>
      <c r="N4328" s="17" t="n">
        <f aca="false">IFERROR(M4328/K4328,0)</f>
        <v>0.589322381930185</v>
      </c>
    </row>
    <row r="4329" customFormat="false" ht="15" hidden="false" customHeight="false" outlineLevel="0" collapsed="false">
      <c r="A4329" s="15" t="n">
        <v>46203</v>
      </c>
      <c r="B4329" s="14" t="s">
        <v>69</v>
      </c>
      <c r="C4329" s="14" t="s">
        <v>70</v>
      </c>
      <c r="D4329" s="14" t="s">
        <v>71</v>
      </c>
      <c r="E4329" s="14" t="s">
        <v>45</v>
      </c>
      <c r="F4329" s="14" t="s">
        <v>48</v>
      </c>
      <c r="G4329" s="14" t="s">
        <v>49</v>
      </c>
      <c r="H4329" s="0" t="n">
        <v>4</v>
      </c>
      <c r="I4329" s="16" t="n">
        <v>67.83</v>
      </c>
      <c r="J4329" s="16" t="n">
        <v>27.5</v>
      </c>
      <c r="K4329" s="16" t="n">
        <f aca="false">H4329*I4329</f>
        <v>271.32</v>
      </c>
      <c r="L4329" s="16" t="n">
        <f aca="false">H4329*J4329</f>
        <v>110</v>
      </c>
      <c r="M4329" s="16" t="n">
        <f aca="false">K4329-L4329</f>
        <v>161.32</v>
      </c>
      <c r="N4329" s="17" t="n">
        <f aca="false">IFERROR(M4329/K4329,0)</f>
        <v>0.594574671974053</v>
      </c>
    </row>
    <row r="4330" customFormat="false" ht="15" hidden="false" customHeight="false" outlineLevel="0" collapsed="false">
      <c r="A4330" s="15" t="n">
        <v>46203</v>
      </c>
      <c r="B4330" s="14" t="s">
        <v>69</v>
      </c>
      <c r="C4330" s="14" t="s">
        <v>70</v>
      </c>
      <c r="D4330" s="14" t="s">
        <v>71</v>
      </c>
      <c r="E4330" s="14" t="s">
        <v>76</v>
      </c>
      <c r="F4330" s="14" t="s">
        <v>77</v>
      </c>
      <c r="G4330" s="14" t="s">
        <v>78</v>
      </c>
      <c r="H4330" s="0" t="n">
        <v>7</v>
      </c>
      <c r="I4330" s="16" t="n">
        <v>40.88</v>
      </c>
      <c r="J4330" s="16" t="n">
        <v>15</v>
      </c>
      <c r="K4330" s="16" t="n">
        <f aca="false">H4330*I4330</f>
        <v>286.16</v>
      </c>
      <c r="L4330" s="16" t="n">
        <f aca="false">H4330*J4330</f>
        <v>105</v>
      </c>
      <c r="M4330" s="16" t="n">
        <f aca="false">K4330-L4330</f>
        <v>181.16</v>
      </c>
      <c r="N4330" s="17" t="n">
        <f aca="false">IFERROR(M4330/K4330,0)</f>
        <v>0.63307240704501</v>
      </c>
    </row>
    <row r="4331" customFormat="false" ht="15" hidden="false" customHeight="false" outlineLevel="0" collapsed="false">
      <c r="A4331" s="15" t="n">
        <v>46203</v>
      </c>
      <c r="B4331" s="14" t="s">
        <v>81</v>
      </c>
      <c r="C4331" s="14" t="s">
        <v>82</v>
      </c>
      <c r="D4331" s="14" t="s">
        <v>83</v>
      </c>
      <c r="E4331" s="14" t="s">
        <v>56</v>
      </c>
      <c r="F4331" s="14" t="s">
        <v>67</v>
      </c>
      <c r="G4331" s="14" t="s">
        <v>68</v>
      </c>
      <c r="H4331" s="0" t="n">
        <v>4</v>
      </c>
      <c r="I4331" s="16" t="n">
        <v>37.01</v>
      </c>
      <c r="J4331" s="16" t="n">
        <v>15</v>
      </c>
      <c r="K4331" s="16" t="n">
        <f aca="false">H4331*I4331</f>
        <v>148.04</v>
      </c>
      <c r="L4331" s="16" t="n">
        <f aca="false">H4331*J4331</f>
        <v>60</v>
      </c>
      <c r="M4331" s="16" t="n">
        <f aca="false">K4331-L4331</f>
        <v>88.04</v>
      </c>
      <c r="N4331" s="17" t="n">
        <f aca="false">IFERROR(M4331/K4331,0)</f>
        <v>0.594704134017833</v>
      </c>
    </row>
    <row r="4332" customFormat="false" ht="15" hidden="false" customHeight="false" outlineLevel="0" collapsed="false">
      <c r="A4332" s="15" t="n">
        <v>46203</v>
      </c>
      <c r="B4332" s="14" t="s">
        <v>81</v>
      </c>
      <c r="C4332" s="14" t="s">
        <v>82</v>
      </c>
      <c r="D4332" s="14" t="s">
        <v>83</v>
      </c>
      <c r="E4332" s="14" t="s">
        <v>45</v>
      </c>
      <c r="F4332" s="14" t="s">
        <v>48</v>
      </c>
      <c r="G4332" s="14" t="s">
        <v>49</v>
      </c>
      <c r="H4332" s="0" t="n">
        <v>6</v>
      </c>
      <c r="I4332" s="16" t="n">
        <v>67.72</v>
      </c>
      <c r="J4332" s="16" t="n">
        <v>27.5</v>
      </c>
      <c r="K4332" s="16" t="n">
        <f aca="false">H4332*I4332</f>
        <v>406.32</v>
      </c>
      <c r="L4332" s="16" t="n">
        <f aca="false">H4332*J4332</f>
        <v>165</v>
      </c>
      <c r="M4332" s="16" t="n">
        <f aca="false">K4332-L4332</f>
        <v>241.32</v>
      </c>
      <c r="N4332" s="17" t="n">
        <f aca="false">IFERROR(M4332/K4332,0)</f>
        <v>0.5939161252215</v>
      </c>
    </row>
    <row r="4333" customFormat="false" ht="15" hidden="false" customHeight="false" outlineLevel="0" collapsed="false">
      <c r="A4333" s="15" t="n">
        <v>46203</v>
      </c>
      <c r="B4333" s="14" t="s">
        <v>81</v>
      </c>
      <c r="C4333" s="14" t="s">
        <v>82</v>
      </c>
      <c r="D4333" s="14" t="s">
        <v>83</v>
      </c>
      <c r="E4333" s="14" t="s">
        <v>56</v>
      </c>
      <c r="F4333" s="14" t="s">
        <v>98</v>
      </c>
      <c r="G4333" s="14" t="s">
        <v>99</v>
      </c>
      <c r="H4333" s="0" t="n">
        <v>5</v>
      </c>
      <c r="I4333" s="16" t="n">
        <v>20.5</v>
      </c>
      <c r="J4333" s="16" t="n">
        <v>8</v>
      </c>
      <c r="K4333" s="16" t="n">
        <f aca="false">H4333*I4333</f>
        <v>102.5</v>
      </c>
      <c r="L4333" s="16" t="n">
        <f aca="false">H4333*J4333</f>
        <v>40</v>
      </c>
      <c r="M4333" s="16" t="n">
        <f aca="false">K4333-L4333</f>
        <v>62.5</v>
      </c>
      <c r="N4333" s="17" t="n">
        <f aca="false">IFERROR(M4333/K4333,0)</f>
        <v>0.609756097560976</v>
      </c>
    </row>
    <row r="4334" customFormat="false" ht="15" hidden="false" customHeight="false" outlineLevel="0" collapsed="false">
      <c r="A4334" s="15" t="n">
        <v>46203</v>
      </c>
      <c r="B4334" s="14" t="s">
        <v>81</v>
      </c>
      <c r="C4334" s="14" t="s">
        <v>82</v>
      </c>
      <c r="D4334" s="14" t="s">
        <v>83</v>
      </c>
      <c r="E4334" s="14" t="s">
        <v>53</v>
      </c>
      <c r="F4334" s="14" t="s">
        <v>92</v>
      </c>
      <c r="G4334" s="14" t="s">
        <v>93</v>
      </c>
      <c r="H4334" s="0" t="n">
        <v>2</v>
      </c>
      <c r="I4334" s="16" t="n">
        <v>116.72</v>
      </c>
      <c r="J4334" s="16" t="n">
        <v>52</v>
      </c>
      <c r="K4334" s="16" t="n">
        <f aca="false">H4334*I4334</f>
        <v>233.44</v>
      </c>
      <c r="L4334" s="16" t="n">
        <f aca="false">H4334*J4334</f>
        <v>104</v>
      </c>
      <c r="M4334" s="16" t="n">
        <f aca="false">K4334-L4334</f>
        <v>129.44</v>
      </c>
      <c r="N4334" s="17" t="n">
        <f aca="false">IFERROR(M4334/K4334,0)</f>
        <v>0.554489376285127</v>
      </c>
    </row>
    <row r="4335" customFormat="false" ht="15" hidden="false" customHeight="false" outlineLevel="0" collapsed="false">
      <c r="A4335" s="15" t="n">
        <v>46203</v>
      </c>
      <c r="B4335" s="14" t="s">
        <v>88</v>
      </c>
      <c r="C4335" s="14" t="s">
        <v>89</v>
      </c>
      <c r="D4335" s="14" t="s">
        <v>44</v>
      </c>
      <c r="E4335" s="14" t="s">
        <v>64</v>
      </c>
      <c r="F4335" s="14" t="s">
        <v>94</v>
      </c>
      <c r="G4335" s="14" t="s">
        <v>95</v>
      </c>
      <c r="H4335" s="0" t="n">
        <v>4</v>
      </c>
      <c r="I4335" s="16" t="n">
        <v>92.67</v>
      </c>
      <c r="J4335" s="16" t="n">
        <v>42</v>
      </c>
      <c r="K4335" s="16" t="n">
        <f aca="false">H4335*I4335</f>
        <v>370.68</v>
      </c>
      <c r="L4335" s="16" t="n">
        <f aca="false">H4335*J4335</f>
        <v>168</v>
      </c>
      <c r="M4335" s="16" t="n">
        <f aca="false">K4335-L4335</f>
        <v>202.68</v>
      </c>
      <c r="N4335" s="17" t="n">
        <f aca="false">IFERROR(M4335/K4335,0)</f>
        <v>0.546778892845581</v>
      </c>
    </row>
    <row r="4336" customFormat="false" ht="15" hidden="false" customHeight="false" outlineLevel="0" collapsed="false">
      <c r="A4336" s="15" t="n">
        <v>46203</v>
      </c>
      <c r="B4336" s="14" t="s">
        <v>88</v>
      </c>
      <c r="C4336" s="14" t="s">
        <v>89</v>
      </c>
      <c r="D4336" s="14" t="s">
        <v>44</v>
      </c>
      <c r="E4336" s="14" t="s">
        <v>76</v>
      </c>
      <c r="F4336" s="14" t="s">
        <v>77</v>
      </c>
      <c r="G4336" s="14" t="s">
        <v>78</v>
      </c>
      <c r="H4336" s="0" t="n">
        <v>4</v>
      </c>
      <c r="I4336" s="16" t="n">
        <v>41.06</v>
      </c>
      <c r="J4336" s="16" t="n">
        <v>15</v>
      </c>
      <c r="K4336" s="16" t="n">
        <f aca="false">H4336*I4336</f>
        <v>164.24</v>
      </c>
      <c r="L4336" s="16" t="n">
        <f aca="false">H4336*J4336</f>
        <v>60</v>
      </c>
      <c r="M4336" s="16" t="n">
        <f aca="false">K4336-L4336</f>
        <v>104.24</v>
      </c>
      <c r="N4336" s="17" t="n">
        <f aca="false">IFERROR(M4336/K4336,0)</f>
        <v>0.634680954700438</v>
      </c>
    </row>
    <row r="4337" customFormat="false" ht="15" hidden="false" customHeight="false" outlineLevel="0" collapsed="false">
      <c r="A4337" s="15" t="n">
        <v>46203</v>
      </c>
      <c r="B4337" s="14" t="s">
        <v>88</v>
      </c>
      <c r="C4337" s="14" t="s">
        <v>89</v>
      </c>
      <c r="D4337" s="14" t="s">
        <v>44</v>
      </c>
      <c r="E4337" s="14" t="s">
        <v>76</v>
      </c>
      <c r="F4337" s="14" t="s">
        <v>100</v>
      </c>
      <c r="G4337" s="14" t="s">
        <v>101</v>
      </c>
      <c r="H4337" s="0" t="n">
        <v>4</v>
      </c>
      <c r="I4337" s="16" t="n">
        <v>15.86</v>
      </c>
      <c r="J4337" s="16" t="n">
        <v>5.5</v>
      </c>
      <c r="K4337" s="16" t="n">
        <f aca="false">H4337*I4337</f>
        <v>63.44</v>
      </c>
      <c r="L4337" s="16" t="n">
        <f aca="false">H4337*J4337</f>
        <v>22</v>
      </c>
      <c r="M4337" s="16" t="n">
        <f aca="false">K4337-L4337</f>
        <v>41.44</v>
      </c>
      <c r="N4337" s="17" t="n">
        <f aca="false">IFERROR(M4337/K4337,0)</f>
        <v>0.653215636822194</v>
      </c>
    </row>
    <row r="4338" customFormat="false" ht="15" hidden="false" customHeight="false" outlineLevel="0" collapsed="false">
      <c r="A4338" s="15" t="n">
        <v>46203</v>
      </c>
      <c r="B4338" s="14" t="s">
        <v>88</v>
      </c>
      <c r="C4338" s="14" t="s">
        <v>89</v>
      </c>
      <c r="D4338" s="14" t="s">
        <v>44</v>
      </c>
      <c r="E4338" s="14" t="s">
        <v>45</v>
      </c>
      <c r="F4338" s="14" t="s">
        <v>46</v>
      </c>
      <c r="G4338" s="14" t="s">
        <v>47</v>
      </c>
      <c r="H4338" s="0" t="n">
        <v>4</v>
      </c>
      <c r="I4338" s="16" t="n">
        <v>42.21</v>
      </c>
      <c r="J4338" s="16" t="n">
        <v>18</v>
      </c>
      <c r="K4338" s="16" t="n">
        <f aca="false">H4338*I4338</f>
        <v>168.84</v>
      </c>
      <c r="L4338" s="16" t="n">
        <f aca="false">H4338*J4338</f>
        <v>72</v>
      </c>
      <c r="M4338" s="16" t="n">
        <f aca="false">K4338-L4338</f>
        <v>96.84</v>
      </c>
      <c r="N4338" s="17" t="n">
        <f aca="false">IFERROR(M4338/K4338,0)</f>
        <v>0.573560767590618</v>
      </c>
    </row>
    <row r="4339" customFormat="false" ht="15" hidden="false" customHeight="false" outlineLevel="0" collapsed="false">
      <c r="A4339" s="15" t="n">
        <v>46203</v>
      </c>
      <c r="B4339" s="14" t="s">
        <v>88</v>
      </c>
      <c r="C4339" s="14" t="s">
        <v>89</v>
      </c>
      <c r="D4339" s="14" t="s">
        <v>44</v>
      </c>
      <c r="E4339" s="14" t="s">
        <v>76</v>
      </c>
      <c r="F4339" s="14" t="s">
        <v>77</v>
      </c>
      <c r="G4339" s="14" t="s">
        <v>78</v>
      </c>
      <c r="H4339" s="0" t="n">
        <v>1</v>
      </c>
      <c r="I4339" s="16" t="n">
        <v>41.36</v>
      </c>
      <c r="J4339" s="16" t="n">
        <v>15</v>
      </c>
      <c r="K4339" s="16" t="n">
        <f aca="false">H4339*I4339</f>
        <v>41.36</v>
      </c>
      <c r="L4339" s="16" t="n">
        <f aca="false">H4339*J4339</f>
        <v>15</v>
      </c>
      <c r="M4339" s="16" t="n">
        <f aca="false">K4339-L4339</f>
        <v>26.36</v>
      </c>
      <c r="N4339" s="17" t="n">
        <f aca="false">IFERROR(M4339/K4339,0)</f>
        <v>0.637330754352031</v>
      </c>
    </row>
    <row r="4340" customFormat="false" ht="15" hidden="false" customHeight="false" outlineLevel="0" collapsed="false">
      <c r="A4340" s="15" t="n">
        <v>46203</v>
      </c>
      <c r="B4340" s="14" t="s">
        <v>88</v>
      </c>
      <c r="C4340" s="14" t="s">
        <v>89</v>
      </c>
      <c r="D4340" s="14" t="s">
        <v>44</v>
      </c>
      <c r="E4340" s="14" t="s">
        <v>53</v>
      </c>
      <c r="F4340" s="14" t="s">
        <v>74</v>
      </c>
      <c r="G4340" s="14" t="s">
        <v>75</v>
      </c>
      <c r="H4340" s="0" t="n">
        <v>3</v>
      </c>
      <c r="I4340" s="16" t="n">
        <v>86.91</v>
      </c>
      <c r="J4340" s="16" t="n">
        <v>38</v>
      </c>
      <c r="K4340" s="16" t="n">
        <f aca="false">H4340*I4340</f>
        <v>260.73</v>
      </c>
      <c r="L4340" s="16" t="n">
        <f aca="false">H4340*J4340</f>
        <v>114</v>
      </c>
      <c r="M4340" s="16" t="n">
        <f aca="false">K4340-L4340</f>
        <v>146.73</v>
      </c>
      <c r="N4340" s="17" t="n">
        <f aca="false">IFERROR(M4340/K4340,0)</f>
        <v>0.562766079852721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15" hidden="false" customHeight="false" outlineLevel="0" collapsed="false">
      <c r="A1" s="18" t="s">
        <v>31</v>
      </c>
      <c r="B1" s="18" t="s">
        <v>32</v>
      </c>
      <c r="C1" s="18" t="s">
        <v>104</v>
      </c>
      <c r="D1" s="18" t="s">
        <v>26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105</v>
      </c>
    </row>
    <row r="2" customFormat="false" ht="15" hidden="false" customHeight="false" outlineLevel="0" collapsed="false">
      <c r="A2" s="0" t="s">
        <v>43</v>
      </c>
      <c r="B2" s="0" t="s">
        <v>44</v>
      </c>
      <c r="C2" s="0" t="n">
        <f aca="false">COUNTIFS('Raw Data'!$C:$C,A2)</f>
        <v>726</v>
      </c>
      <c r="D2" s="0" t="n">
        <f aca="false">SUMIFS('Raw Data'!$H:$H,'Raw Data'!$C:$C,A2)</f>
        <v>4633</v>
      </c>
      <c r="E2" s="19" t="n">
        <f aca="false">SUMIFS('Raw Data'!$K:$K,'Raw Data'!$C:$C,A2)</f>
        <v>200129.26</v>
      </c>
      <c r="F2" s="19" t="n">
        <f aca="false">SUMIFS('Raw Data'!$L:$L,'Raw Data'!$C:$C,A2)</f>
        <v>83435.5</v>
      </c>
      <c r="G2" s="19" t="n">
        <f aca="false">E2-F2</f>
        <v>116693.76</v>
      </c>
      <c r="H2" s="17" t="n">
        <f aca="false">IFERROR(G2/E2,0)</f>
        <v>0.583091947674218</v>
      </c>
      <c r="I2" s="19" t="n">
        <f aca="false">IFERROR(E2/C2,0)</f>
        <v>275.660137741047</v>
      </c>
    </row>
    <row r="3" customFormat="false" ht="15" hidden="false" customHeight="false" outlineLevel="0" collapsed="false">
      <c r="A3" s="0" t="s">
        <v>51</v>
      </c>
      <c r="B3" s="0" t="s">
        <v>52</v>
      </c>
      <c r="C3" s="0" t="n">
        <f aca="false">COUNTIFS('Raw Data'!$C:$C,A3)</f>
        <v>686</v>
      </c>
      <c r="D3" s="0" t="n">
        <f aca="false">SUMIFS('Raw Data'!$H:$H,'Raw Data'!$C:$C,A3)</f>
        <v>4089</v>
      </c>
      <c r="E3" s="19" t="n">
        <f aca="false">SUMIFS('Raw Data'!$K:$K,'Raw Data'!$C:$C,A3)</f>
        <v>178963.88</v>
      </c>
      <c r="F3" s="19" t="n">
        <f aca="false">SUMIFS('Raw Data'!$L:$L,'Raw Data'!$C:$C,A3)</f>
        <v>74609</v>
      </c>
      <c r="G3" s="19" t="n">
        <f aca="false">E3-F3</f>
        <v>104354.88</v>
      </c>
      <c r="H3" s="17" t="n">
        <f aca="false">IFERROR(G3/E3,0)</f>
        <v>0.583105820012396</v>
      </c>
      <c r="I3" s="19" t="n">
        <f aca="false">IFERROR(E3/C3,0)</f>
        <v>260.88029154519</v>
      </c>
    </row>
    <row r="4" customFormat="false" ht="15" hidden="false" customHeight="false" outlineLevel="0" collapsed="false">
      <c r="A4" s="0" t="s">
        <v>60</v>
      </c>
      <c r="B4" s="0" t="s">
        <v>61</v>
      </c>
      <c r="C4" s="0" t="n">
        <f aca="false">COUNTIFS('Raw Data'!$C:$C,A4)</f>
        <v>759</v>
      </c>
      <c r="D4" s="0" t="n">
        <f aca="false">SUMIFS('Raw Data'!$H:$H,'Raw Data'!$C:$C,A4)</f>
        <v>3380</v>
      </c>
      <c r="E4" s="19" t="n">
        <f aca="false">SUMIFS('Raw Data'!$K:$K,'Raw Data'!$C:$C,A4)</f>
        <v>153207.04</v>
      </c>
      <c r="F4" s="19" t="n">
        <f aca="false">SUMIFS('Raw Data'!$L:$L,'Raw Data'!$C:$C,A4)</f>
        <v>64274.5</v>
      </c>
      <c r="G4" s="19" t="n">
        <f aca="false">E4-F4</f>
        <v>88932.54</v>
      </c>
      <c r="H4" s="17" t="n">
        <f aca="false">IFERROR(G4/E4,0)</f>
        <v>0.580472933880845</v>
      </c>
      <c r="I4" s="19" t="n">
        <f aca="false">IFERROR(E4/C4,0)</f>
        <v>201.853807641634</v>
      </c>
    </row>
    <row r="5" customFormat="false" ht="15" hidden="false" customHeight="false" outlineLevel="0" collapsed="false">
      <c r="A5" s="0" t="s">
        <v>70</v>
      </c>
      <c r="B5" s="0" t="s">
        <v>71</v>
      </c>
      <c r="C5" s="0" t="n">
        <f aca="false">COUNTIFS('Raw Data'!$C:$C,A5)</f>
        <v>715</v>
      </c>
      <c r="D5" s="0" t="n">
        <f aca="false">SUMIFS('Raw Data'!$H:$H,'Raw Data'!$C:$C,A5)</f>
        <v>3033</v>
      </c>
      <c r="E5" s="19" t="n">
        <f aca="false">SUMIFS('Raw Data'!$K:$K,'Raw Data'!$C:$C,A5)</f>
        <v>133732.81</v>
      </c>
      <c r="F5" s="19" t="n">
        <f aca="false">SUMIFS('Raw Data'!$L:$L,'Raw Data'!$C:$C,A5)</f>
        <v>55702</v>
      </c>
      <c r="G5" s="19" t="n">
        <f aca="false">E5-F5</f>
        <v>78030.81</v>
      </c>
      <c r="H5" s="17" t="n">
        <f aca="false">IFERROR(G5/E5,0)</f>
        <v>0.583482916421183</v>
      </c>
      <c r="I5" s="19" t="n">
        <f aca="false">IFERROR(E5/C5,0)</f>
        <v>187.038895104895</v>
      </c>
    </row>
    <row r="6" customFormat="false" ht="15" hidden="false" customHeight="false" outlineLevel="0" collapsed="false">
      <c r="A6" s="0" t="s">
        <v>82</v>
      </c>
      <c r="B6" s="0" t="s">
        <v>83</v>
      </c>
      <c r="C6" s="0" t="n">
        <f aca="false">COUNTIFS('Raw Data'!$C:$C,A6)</f>
        <v>713</v>
      </c>
      <c r="D6" s="0" t="n">
        <f aca="false">SUMIFS('Raw Data'!$H:$H,'Raw Data'!$C:$C,A6)</f>
        <v>2729</v>
      </c>
      <c r="E6" s="19" t="n">
        <f aca="false">SUMIFS('Raw Data'!$K:$K,'Raw Data'!$C:$C,A6)</f>
        <v>122991.97</v>
      </c>
      <c r="F6" s="19" t="n">
        <f aca="false">SUMIFS('Raw Data'!$L:$L,'Raw Data'!$C:$C,A6)</f>
        <v>51377</v>
      </c>
      <c r="G6" s="19" t="n">
        <f aca="false">E6-F6</f>
        <v>71614.97</v>
      </c>
      <c r="H6" s="17" t="n">
        <f aca="false">IFERROR(G6/E6,0)</f>
        <v>0.582273541923103</v>
      </c>
      <c r="I6" s="19" t="n">
        <f aca="false">IFERROR(E6/C6,0)</f>
        <v>172.499256661992</v>
      </c>
    </row>
    <row r="7" customFormat="false" ht="15" hidden="false" customHeight="false" outlineLevel="0" collapsed="false">
      <c r="A7" s="0" t="s">
        <v>89</v>
      </c>
      <c r="B7" s="0" t="s">
        <v>44</v>
      </c>
      <c r="C7" s="0" t="n">
        <f aca="false">COUNTIFS('Raw Data'!$C:$C,A7)</f>
        <v>740</v>
      </c>
      <c r="D7" s="0" t="n">
        <f aca="false">SUMIFS('Raw Data'!$H:$H,'Raw Data'!$C:$C,A7)</f>
        <v>3955</v>
      </c>
      <c r="E7" s="19" t="n">
        <f aca="false">SUMIFS('Raw Data'!$K:$K,'Raw Data'!$C:$C,A7)</f>
        <v>178323.05</v>
      </c>
      <c r="F7" s="19" t="n">
        <f aca="false">SUMIFS('Raw Data'!$L:$L,'Raw Data'!$C:$C,A7)</f>
        <v>74433</v>
      </c>
      <c r="G7" s="19" t="n">
        <f aca="false">E7-F7</f>
        <v>103890.05</v>
      </c>
      <c r="H7" s="17" t="n">
        <f aca="false">IFERROR(G7/E7,0)</f>
        <v>0.582594622512345</v>
      </c>
      <c r="I7" s="19" t="n">
        <f aca="false">IFERROR(E7/C7,0)</f>
        <v>240.977094594595</v>
      </c>
    </row>
    <row r="9" customFormat="false" ht="15" hidden="false" customHeight="false" outlineLevel="0" collapsed="false">
      <c r="A9" s="20" t="s">
        <v>106</v>
      </c>
      <c r="B9" s="20"/>
      <c r="C9" s="20" t="n">
        <f aca="false">SUM(C2:C7)</f>
        <v>4339</v>
      </c>
      <c r="D9" s="20" t="n">
        <f aca="false">SUM(D2:D7)</f>
        <v>21819</v>
      </c>
      <c r="E9" s="21" t="n">
        <f aca="false">SUM(E2:E7)</f>
        <v>967348.01</v>
      </c>
      <c r="F9" s="21" t="n">
        <f aca="false">SUM(F2:F7)</f>
        <v>403831</v>
      </c>
      <c r="G9" s="21" t="n">
        <f aca="false">SUM(G2:G7)</f>
        <v>563517.01</v>
      </c>
      <c r="H9" s="22" t="n">
        <f aca="false">IFERROR(G9/E9,0)</f>
        <v>0.582538036130348</v>
      </c>
      <c r="I9" s="21" t="n">
        <f aca="false">IFERROR(E9/C9,0)</f>
        <v>222.942615810094</v>
      </c>
    </row>
  </sheetData>
  <conditionalFormatting sqref="H2:H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7"/>
  </cols>
  <sheetData>
    <row r="1" customFormat="false" ht="15" hidden="false" customHeight="false" outlineLevel="0" collapsed="false">
      <c r="A1" s="18" t="s">
        <v>33</v>
      </c>
      <c r="B1" s="18" t="s">
        <v>104</v>
      </c>
      <c r="C1" s="18" t="s">
        <v>26</v>
      </c>
      <c r="D1" s="18" t="s">
        <v>38</v>
      </c>
      <c r="E1" s="18" t="s">
        <v>39</v>
      </c>
      <c r="F1" s="18" t="s">
        <v>40</v>
      </c>
      <c r="G1" s="18" t="s">
        <v>41</v>
      </c>
      <c r="H1" s="18" t="s">
        <v>107</v>
      </c>
    </row>
    <row r="2" customFormat="false" ht="15" hidden="false" customHeight="false" outlineLevel="0" collapsed="false">
      <c r="A2" s="0" t="s">
        <v>45</v>
      </c>
      <c r="B2" s="0" t="n">
        <f aca="false">COUNTIFS('Raw Data'!$E:$E,A2)</f>
        <v>860</v>
      </c>
      <c r="C2" s="0" t="n">
        <f aca="false">SUMIFS('Raw Data'!$H:$H,'Raw Data'!$E:$E,A2)</f>
        <v>4314</v>
      </c>
      <c r="D2" s="19" t="n">
        <f aca="false">SUMIFS('Raw Data'!$K:$K,'Raw Data'!$E:$E,A2)</f>
        <v>185594.66</v>
      </c>
      <c r="E2" s="19" t="n">
        <f aca="false">SUMIFS('Raw Data'!$L:$L,'Raw Data'!$E:$E,A2)</f>
        <v>77131</v>
      </c>
      <c r="F2" s="19" t="n">
        <f aca="false">D2-E2</f>
        <v>108463.66</v>
      </c>
      <c r="G2" s="17" t="n">
        <f aca="false">IFERROR(F2/D2,0)</f>
        <v>0.584411534254272</v>
      </c>
      <c r="H2" s="17" t="n">
        <f aca="false">IFERROR(D2/$D$8,0)</f>
        <v>0.191859246187936</v>
      </c>
    </row>
    <row r="3" customFormat="false" ht="15" hidden="false" customHeight="false" outlineLevel="0" collapsed="false">
      <c r="A3" s="0" t="s">
        <v>53</v>
      </c>
      <c r="B3" s="0" t="n">
        <f aca="false">COUNTIFS('Raw Data'!$E:$E,A3)</f>
        <v>846</v>
      </c>
      <c r="C3" s="0" t="n">
        <f aca="false">SUMIFS('Raw Data'!$H:$H,'Raw Data'!$E:$E,A3)</f>
        <v>4383</v>
      </c>
      <c r="D3" s="19" t="n">
        <f aca="false">SUMIFS('Raw Data'!$K:$K,'Raw Data'!$E:$E,A3)</f>
        <v>294958.92</v>
      </c>
      <c r="E3" s="19" t="n">
        <f aca="false">SUMIFS('Raw Data'!$L:$L,'Raw Data'!$E:$E,A3)</f>
        <v>128043</v>
      </c>
      <c r="F3" s="19" t="n">
        <f aca="false">D3-E3</f>
        <v>166915.92</v>
      </c>
      <c r="G3" s="17" t="n">
        <f aca="false">IFERROR(F3/D3,0)</f>
        <v>0.565895481309736</v>
      </c>
      <c r="H3" s="17" t="n">
        <f aca="false">IFERROR(D3/$D$8,0)</f>
        <v>0.304915001582523</v>
      </c>
    </row>
    <row r="4" customFormat="false" ht="15" hidden="false" customHeight="false" outlineLevel="0" collapsed="false">
      <c r="A4" s="0" t="s">
        <v>76</v>
      </c>
      <c r="B4" s="0" t="n">
        <f aca="false">COUNTIFS('Raw Data'!$E:$E,A4)</f>
        <v>886</v>
      </c>
      <c r="C4" s="0" t="n">
        <f aca="false">SUMIFS('Raw Data'!$H:$H,'Raw Data'!$E:$E,A4)</f>
        <v>4513</v>
      </c>
      <c r="D4" s="19" t="n">
        <f aca="false">SUMIFS('Raw Data'!$K:$K,'Raw Data'!$E:$E,A4)</f>
        <v>122837.71</v>
      </c>
      <c r="E4" s="19" t="n">
        <f aca="false">SUMIFS('Raw Data'!$L:$L,'Raw Data'!$E:$E,A4)</f>
        <v>45605</v>
      </c>
      <c r="F4" s="19" t="n">
        <f aca="false">D4-E4</f>
        <v>77232.71</v>
      </c>
      <c r="G4" s="17" t="n">
        <f aca="false">IFERROR(F4/D4,0)</f>
        <v>0.628737787443286</v>
      </c>
      <c r="H4" s="17" t="n">
        <f aca="false">IFERROR(D4/$D$8,0)</f>
        <v>0.126983989970683</v>
      </c>
    </row>
    <row r="5" customFormat="false" ht="15" hidden="false" customHeight="false" outlineLevel="0" collapsed="false">
      <c r="A5" s="0" t="s">
        <v>64</v>
      </c>
      <c r="B5" s="0" t="n">
        <f aca="false">COUNTIFS('Raw Data'!$E:$E,A5)</f>
        <v>862</v>
      </c>
      <c r="C5" s="0" t="n">
        <f aca="false">SUMIFS('Raw Data'!$H:$H,'Raw Data'!$E:$E,A5)</f>
        <v>4253</v>
      </c>
      <c r="D5" s="19" t="n">
        <f aca="false">SUMIFS('Raw Data'!$K:$K,'Raw Data'!$E:$E,A5)</f>
        <v>256403.95</v>
      </c>
      <c r="E5" s="19" t="n">
        <f aca="false">SUMIFS('Raw Data'!$L:$L,'Raw Data'!$E:$E,A5)</f>
        <v>111216</v>
      </c>
      <c r="F5" s="19" t="n">
        <f aca="false">D5-E5</f>
        <v>145187.95</v>
      </c>
      <c r="G5" s="17" t="n">
        <f aca="false">IFERROR(F5/D5,0)</f>
        <v>0.566246931843289</v>
      </c>
      <c r="H5" s="17" t="n">
        <f aca="false">IFERROR(D5/$D$8,0)</f>
        <v>0.265058642132318</v>
      </c>
    </row>
    <row r="6" customFormat="false" ht="15" hidden="false" customHeight="false" outlineLevel="0" collapsed="false">
      <c r="A6" s="0" t="s">
        <v>56</v>
      </c>
      <c r="B6" s="0" t="n">
        <f aca="false">COUNTIFS('Raw Data'!$E:$E,A6)</f>
        <v>885</v>
      </c>
      <c r="C6" s="0" t="n">
        <f aca="false">SUMIFS('Raw Data'!$H:$H,'Raw Data'!$E:$E,A6)</f>
        <v>4356</v>
      </c>
      <c r="D6" s="19" t="n">
        <f aca="false">SUMIFS('Raw Data'!$K:$K,'Raw Data'!$E:$E,A6)</f>
        <v>107552.77</v>
      </c>
      <c r="E6" s="19" t="n">
        <f aca="false">SUMIFS('Raw Data'!$L:$L,'Raw Data'!$E:$E,A6)</f>
        <v>41836</v>
      </c>
      <c r="F6" s="19" t="n">
        <f aca="false">D6-E6</f>
        <v>65716.77</v>
      </c>
      <c r="G6" s="17" t="n">
        <f aca="false">IFERROR(F6/D6,0)</f>
        <v>0.611018851490296</v>
      </c>
      <c r="H6" s="17" t="n">
        <f aca="false">IFERROR(D6/$D$8,0)</f>
        <v>0.111183120126541</v>
      </c>
    </row>
    <row r="8" customFormat="false" ht="15" hidden="false" customHeight="false" outlineLevel="0" collapsed="false">
      <c r="A8" s="20" t="s">
        <v>106</v>
      </c>
      <c r="B8" s="20" t="n">
        <f aca="false">SUM(B2:B6)</f>
        <v>4339</v>
      </c>
      <c r="C8" s="20" t="n">
        <f aca="false">SUM(C2:C6)</f>
        <v>21819</v>
      </c>
      <c r="D8" s="21" t="n">
        <f aca="false">SUM(D2:D6)</f>
        <v>967348.01</v>
      </c>
      <c r="E8" s="21" t="n">
        <f aca="false">SUM(E2:E6)</f>
        <v>403831</v>
      </c>
      <c r="F8" s="21" t="n">
        <f aca="false">SUM(F2:F6)</f>
        <v>563517.01</v>
      </c>
      <c r="G8" s="22" t="n">
        <f aca="false">IFERROR(F8/D8,0)</f>
        <v>0.582538036130348</v>
      </c>
    </row>
  </sheetData>
  <conditionalFormatting sqref="G2:G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8" t="s">
        <v>108</v>
      </c>
      <c r="B1" s="18" t="s">
        <v>26</v>
      </c>
      <c r="C1" s="18" t="s">
        <v>38</v>
      </c>
      <c r="D1" s="18" t="s">
        <v>39</v>
      </c>
      <c r="E1" s="18" t="s">
        <v>40</v>
      </c>
      <c r="F1" s="18" t="s">
        <v>41</v>
      </c>
    </row>
    <row r="2" customFormat="false" ht="15" hidden="false" customHeight="false" outlineLevel="0" collapsed="false">
      <c r="A2" s="0" t="s">
        <v>109</v>
      </c>
      <c r="B2" s="0" t="n">
        <f aca="false">SUMIFS('Raw Data'!$H:$H,'Raw Data'!$A:$A,"&gt;="&amp;DATE(2026,1,1),'Raw Data'!$A:$A,"&lt;="&amp;DATE(2026,1,31))</f>
        <v>3822</v>
      </c>
      <c r="C2" s="19" t="n">
        <f aca="false">SUMIFS('Raw Data'!$K:$K,'Raw Data'!$A:$A,"&gt;="&amp;DATE(2026,1,1),'Raw Data'!$A:$A,"&lt;="&amp;DATE(2026,1,31))</f>
        <v>174203.1</v>
      </c>
      <c r="D2" s="19" t="n">
        <f aca="false">SUMIFS('Raw Data'!$L:$L,'Raw Data'!$A:$A,"&gt;="&amp;DATE(2026,1,1),'Raw Data'!$A:$A,"&lt;="&amp;DATE(2026,1,31))</f>
        <v>72945</v>
      </c>
      <c r="E2" s="19" t="n">
        <f aca="false">C2-D2</f>
        <v>101258.1</v>
      </c>
      <c r="F2" s="17" t="n">
        <f aca="false">IFERROR(E2/C2,0)</f>
        <v>0.581264627322935</v>
      </c>
    </row>
    <row r="3" customFormat="false" ht="15" hidden="false" customHeight="false" outlineLevel="0" collapsed="false">
      <c r="A3" s="0" t="s">
        <v>110</v>
      </c>
      <c r="B3" s="0" t="n">
        <f aca="false">SUMIFS('Raw Data'!$H:$H,'Raw Data'!$A:$A,"&gt;="&amp;DATE(2026,2,1),'Raw Data'!$A:$A,"&lt;="&amp;DATE(2026,2,28))</f>
        <v>2982</v>
      </c>
      <c r="C3" s="19" t="n">
        <f aca="false">SUMIFS('Raw Data'!$K:$K,'Raw Data'!$A:$A,"&gt;="&amp;DATE(2026,2,1),'Raw Data'!$A:$A,"&lt;="&amp;DATE(2026,2,28))</f>
        <v>127519.09</v>
      </c>
      <c r="D3" s="19" t="n">
        <f aca="false">SUMIFS('Raw Data'!$L:$L,'Raw Data'!$A:$A,"&gt;="&amp;DATE(2026,2,1),'Raw Data'!$A:$A,"&lt;="&amp;DATE(2026,2,28))</f>
        <v>53091.5</v>
      </c>
      <c r="E3" s="19" t="n">
        <f aca="false">C3-D3</f>
        <v>74427.59</v>
      </c>
      <c r="F3" s="17" t="n">
        <f aca="false">IFERROR(E3/C3,0)</f>
        <v>0.583658415379219</v>
      </c>
    </row>
    <row r="4" customFormat="false" ht="15" hidden="false" customHeight="false" outlineLevel="0" collapsed="false">
      <c r="A4" s="0" t="s">
        <v>111</v>
      </c>
      <c r="B4" s="0" t="n">
        <f aca="false">SUMIFS('Raw Data'!$H:$H,'Raw Data'!$A:$A,"&gt;="&amp;DATE(2026,3,1),'Raw Data'!$A:$A,"&lt;="&amp;DATE(2026,3,31))</f>
        <v>3772</v>
      </c>
      <c r="C4" s="19" t="n">
        <f aca="false">SUMIFS('Raw Data'!$K:$K,'Raw Data'!$A:$A,"&gt;="&amp;DATE(2026,3,1),'Raw Data'!$A:$A,"&lt;="&amp;DATE(2026,3,31))</f>
        <v>164568.84</v>
      </c>
      <c r="D4" s="19" t="n">
        <f aca="false">SUMIFS('Raw Data'!$L:$L,'Raw Data'!$A:$A,"&gt;="&amp;DATE(2026,3,1),'Raw Data'!$A:$A,"&lt;="&amp;DATE(2026,3,31))</f>
        <v>68663</v>
      </c>
      <c r="E4" s="19" t="n">
        <f aca="false">C4-D4</f>
        <v>95905.84</v>
      </c>
      <c r="F4" s="17" t="n">
        <f aca="false">IFERROR(E4/C4,0)</f>
        <v>0.582770347047473</v>
      </c>
    </row>
    <row r="5" customFormat="false" ht="15" hidden="false" customHeight="false" outlineLevel="0" collapsed="false">
      <c r="A5" s="0" t="s">
        <v>112</v>
      </c>
      <c r="B5" s="0" t="n">
        <f aca="false">SUMIFS('Raw Data'!$H:$H,'Raw Data'!$A:$A,"&gt;="&amp;DATE(2026,4,1),'Raw Data'!$A:$A,"&lt;="&amp;DATE(2026,4,30))</f>
        <v>3898</v>
      </c>
      <c r="C5" s="19" t="n">
        <f aca="false">SUMIFS('Raw Data'!$K:$K,'Raw Data'!$A:$A,"&gt;="&amp;DATE(2026,4,1),'Raw Data'!$A:$A,"&lt;="&amp;DATE(2026,4,30))</f>
        <v>168323.52</v>
      </c>
      <c r="D5" s="19" t="n">
        <f aca="false">SUMIFS('Raw Data'!$L:$L,'Raw Data'!$A:$A,"&gt;="&amp;DATE(2026,4,1),'Raw Data'!$A:$A,"&lt;="&amp;DATE(2026,4,30))</f>
        <v>70141.5</v>
      </c>
      <c r="E5" s="19" t="n">
        <f aca="false">C5-D5</f>
        <v>98182.02</v>
      </c>
      <c r="F5" s="17" t="n">
        <f aca="false">IFERROR(E5/C5,0)</f>
        <v>0.583293529032663</v>
      </c>
    </row>
    <row r="6" customFormat="false" ht="15" hidden="false" customHeight="false" outlineLevel="0" collapsed="false">
      <c r="A6" s="0" t="s">
        <v>113</v>
      </c>
      <c r="B6" s="0" t="n">
        <f aca="false">SUMIFS('Raw Data'!$H:$H,'Raw Data'!$A:$A,"&gt;="&amp;DATE(2026,5,1),'Raw Data'!$A:$A,"&lt;="&amp;DATE(2026,5,31))</f>
        <v>3793</v>
      </c>
      <c r="C6" s="19" t="n">
        <f aca="false">SUMIFS('Raw Data'!$K:$K,'Raw Data'!$A:$A,"&gt;="&amp;DATE(2026,5,1),'Raw Data'!$A:$A,"&lt;="&amp;DATE(2026,5,31))</f>
        <v>176164.81</v>
      </c>
      <c r="D6" s="19" t="n">
        <f aca="false">SUMIFS('Raw Data'!$L:$L,'Raw Data'!$A:$A,"&gt;="&amp;DATE(2026,5,1),'Raw Data'!$A:$A,"&lt;="&amp;DATE(2026,5,31))</f>
        <v>73877.5</v>
      </c>
      <c r="E6" s="19" t="n">
        <f aca="false">C6-D6</f>
        <v>102287.31</v>
      </c>
      <c r="F6" s="17" t="n">
        <f aca="false">IFERROR(E6/C6,0)</f>
        <v>0.580634180004508</v>
      </c>
    </row>
    <row r="7" customFormat="false" ht="15" hidden="false" customHeight="false" outlineLevel="0" collapsed="false">
      <c r="A7" s="0" t="s">
        <v>114</v>
      </c>
      <c r="B7" s="0" t="n">
        <f aca="false">SUMIFS('Raw Data'!$H:$H,'Raw Data'!$A:$A,"&gt;="&amp;DATE(2026,6,1),'Raw Data'!$A:$A,"&lt;="&amp;DATE(2026,6,30))</f>
        <v>3552</v>
      </c>
      <c r="C7" s="19" t="n">
        <f aca="false">SUMIFS('Raw Data'!$K:$K,'Raw Data'!$A:$A,"&gt;="&amp;DATE(2026,6,1),'Raw Data'!$A:$A,"&lt;="&amp;DATE(2026,6,30))</f>
        <v>156568.65</v>
      </c>
      <c r="D7" s="19" t="n">
        <f aca="false">SUMIFS('Raw Data'!$L:$L,'Raw Data'!$A:$A,"&gt;="&amp;DATE(2026,6,1),'Raw Data'!$A:$A,"&lt;="&amp;DATE(2026,6,30))</f>
        <v>65112.5</v>
      </c>
      <c r="E7" s="19" t="n">
        <f aca="false">C7-D7</f>
        <v>91456.15</v>
      </c>
      <c r="F7" s="17" t="n">
        <f aca="false">IFERROR(E7/C7,0)</f>
        <v>0.584128112492507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2026-09-11T03:20:06Z</dcterms:created>
  <dc:creator>openpyxl</dc:creator>
  <dc:description/>
  <dc:language>en-US</dc:language>
  <cp:lastModifiedBy/>
  <dcterms:modified xsi:type="dcterms:W3CDTF">2026-09-11T03:20:09Z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