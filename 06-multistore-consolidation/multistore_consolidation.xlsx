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Consolidated Master" sheetId="3" state="visible" r:id="rId5"/>
    <sheet name="Raw Store Exports" sheetId="4" state="visible" r:id="rId6"/>
    <sheet name="Store Mapping" sheetId="5" state="visible" r:id="rId7"/>
    <sheet name="Product Master" sheetId="6" state="visible" r:id="rId8"/>
    <sheet name="Calendar" sheetId="7" state="visible" r:id="rId9"/>
    <sheet name="Measures (DAX vs Excel)" sheetId="8" state="visible" r:id="rId10"/>
    <sheet name="Power Query Steps" sheetId="9" state="visible" r:id="rId11"/>
    <sheet name="Refresh Macr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Flags every occurrence after the first with the same Transaction ID as a duplicate. Use Total Revenue (Clean) on the Dashboard, which already excludes flagged rows, not the raw SUM of this column.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Intentionally messy: casing, spacing, and store-naming vary because each store's POS system exports slightly differently — this is what Power Query's combine-and-clean step would normally standardize.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Every raw label variant a store's POS system might export, mapped to one canonical name — the standard way to fix inconsistent source labels without touching the raw data.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DAX column shows what this measure would look like as a real Power Pivot measure in a workbook with a live Data Model. The Excel Formula column is the working equivalent used in this portable workbook.</t>
        </r>
      </text>
    </comment>
  </commentList>
</comments>
</file>

<file path=xl/sharedStrings.xml><?xml version="1.0" encoding="utf-8"?>
<sst xmlns="http://schemas.openxmlformats.org/spreadsheetml/2006/main" count="5216" uniqueCount="1390">
  <si>
    <t xml:space="preserve">Multi-Store Sales Consolidation Pipeline</t>
  </si>
  <si>
    <t xml:space="preserve">Business Problem</t>
  </si>
  <si>
    <t xml:space="preserve">6+ stores each send a weekly sales export from their own point-of-sale system. Each system labels the store slightly differently, formats numbers slightly differently, and occasionally double-submits a row. Combining and standardizing these by hand every week doesn't scale — and errors compound silently if it's not done consistently.</t>
  </si>
  <si>
    <t xml:space="preserve">Excel Skills Demonstrated</t>
  </si>
  <si>
    <t xml:space="preserve">• Data cleaning: TRIM/VALUE to fix inconsistent whitespace and text-formatted numbers</t>
  </si>
  <si>
    <t xml:space="preserve">• A star-schema style model: one fact table (Sales) joined to three dimension tables (Store, Product, Calendar) via INDEX/MATCH — the relational structure Power Pivot's Data Model is built on</t>
  </si>
  <si>
    <t xml:space="preserve">• Duplicate detection and removal (COUNTIFS-based flagging)</t>
  </si>
  <si>
    <t xml:space="preserve">• Store-name standardization via a mapping/lookup table</t>
  </si>
  <si>
    <t xml:space="preserve">• SUMIFS-based measures shown side by side with their DAX equivalents (SUMX, CALCULATE)</t>
  </si>
  <si>
    <t xml:space="preserve">• A documented Power Query step list and a one-click VBA refresh macro, for use in a live Excel copy with real file connections</t>
  </si>
  <si>
    <t xml:space="preserve">A Note on Power Query, Power Pivot, and VBA</t>
  </si>
  <si>
    <t xml:space="preserve">Power Query connections, a Power Pivot Data Model, and VBA macros are all live, interactive Excel features stored as complex binary/XML structures that a portable, from-scratch .xlsx file can't reliably carry — they need to be built inside Excel itself, pointed at real files and refreshed there. So this workbook does the honest thing: it builds the exact same fact + dimension table structure and cleaning logic using plain formulas (fully portable, recalculates anywhere), and separately documents — on the Power Query Steps and Refresh Macro sheets — the literal steps and VBA code you'd use to automate this for real in a live Excel workbook connected to a folder of CSVs.</t>
  </si>
  <si>
    <t xml:space="preserve">Sheet Guide</t>
  </si>
  <si>
    <t xml:space="preserve">Dashboard — KPIs + revenue by store/category — start here.</t>
  </si>
  <si>
    <t xml:space="preserve">Raw Store Exports — 1,241 messy rows simulating 8 weekly CSV batches from 6 stores.</t>
  </si>
  <si>
    <t xml:space="preserve">Store Mapping — Standardizes every raw store label variant to one canonical store.</t>
  </si>
  <si>
    <t xml:space="preserve">Product Master — SKU, Product, Category, Price, Cost — shared with earlier projects.</t>
  </si>
  <si>
    <t xml:space="preserve">Calendar — Date dimension: week, month, quarter — for slicing the consolidated data.</t>
  </si>
  <si>
    <t xml:space="preserve">Consolidated Master — The clean output table: standardized, joined, deduplicated.</t>
  </si>
  <si>
    <t xml:space="preserve">Measures (DAX vs Excel) — Common Power Pivot measures, shown as Excel formulas too.</t>
  </si>
  <si>
    <t xml:space="preserve">Power Query Steps — The M-query recipe to automate this for real, in live Excel.</t>
  </si>
  <si>
    <t xml:space="preserve">Refresh Macro — VBA code for a one-click "Refresh All" button in live Excel.</t>
  </si>
  <si>
    <t xml:space="preserve">Source: synthetic multi-store export data generated for this project (see gen_raw_exports.py), with store-label inconsistencies and duplicate rows intentionally injected. Product master shared with the other projects in this repo for portfolio continuity.</t>
  </si>
  <si>
    <t xml:space="preserve">Multi-Store Sales Consolidation Dashboard</t>
  </si>
  <si>
    <t xml:space="preserve">6 Stores  |  8 Weekly Export Batches  |  1,241 Raw Rows In</t>
  </si>
  <si>
    <t xml:space="preserve">Total Revenue (Clean)</t>
  </si>
  <si>
    <t xml:space="preserve">Clean Transactions</t>
  </si>
  <si>
    <t xml:space="preserve">Duplicate Rows Removed</t>
  </si>
  <si>
    <t xml:space="preserve">Stores Consolidated</t>
  </si>
  <si>
    <t xml:space="preserve">Every number above traces back to Consolidated Master, which stays in sync automatically if Raw Store Exports, Store Mapping, or Product Master change.</t>
  </si>
  <si>
    <t xml:space="preserve">Store</t>
  </si>
  <si>
    <t xml:space="preserve">Revenue</t>
  </si>
  <si>
    <t xml:space="preserve">Category</t>
  </si>
  <si>
    <t xml:space="preserve">Airport Plaza</t>
  </si>
  <si>
    <t xml:space="preserve">Accessories</t>
  </si>
  <si>
    <t xml:space="preserve">Downtown</t>
  </si>
  <si>
    <t xml:space="preserve">Apparel</t>
  </si>
  <si>
    <t xml:space="preserve">Eastgate</t>
  </si>
  <si>
    <t xml:space="preserve">Electronics</t>
  </si>
  <si>
    <t xml:space="preserve">Northpark</t>
  </si>
  <si>
    <t xml:space="preserve">Footwear</t>
  </si>
  <si>
    <t xml:space="preserve">Riverside</t>
  </si>
  <si>
    <t xml:space="preserve">Home Goods</t>
  </si>
  <si>
    <t xml:space="preserve">Westside Mall</t>
  </si>
  <si>
    <t xml:space="preserve">Transaction ID</t>
  </si>
  <si>
    <t xml:space="preserve">Date</t>
  </si>
  <si>
    <t xml:space="preserve">SKU</t>
  </si>
  <si>
    <t xml:space="preserve">Product</t>
  </si>
  <si>
    <t xml:space="preserve">Clean Units</t>
  </si>
  <si>
    <t xml:space="preserve">Unit Price</t>
  </si>
  <si>
    <t xml:space="preserve">Is Duplicate?</t>
  </si>
  <si>
    <t xml:space="preserve">Total Revenue (excl. duplicates)</t>
  </si>
  <si>
    <t xml:space="preserve">Duplicate Rows Found</t>
  </si>
  <si>
    <t xml:space="preserve">Clean Transaction Count</t>
  </si>
  <si>
    <t xml:space="preserve">Store Label (raw)</t>
  </si>
  <si>
    <t xml:space="preserve">Units (raw)</t>
  </si>
  <si>
    <t xml:space="preserve">TXN01054</t>
  </si>
  <si>
    <t xml:space="preserve"> downtown </t>
  </si>
  <si>
    <t xml:space="preserve">ELE-404</t>
  </si>
  <si>
    <t xml:space="preserve">1</t>
  </si>
  <si>
    <t xml:space="preserve">TXN00098</t>
  </si>
  <si>
    <t xml:space="preserve">ACC-304</t>
  </si>
  <si>
    <t xml:space="preserve">6</t>
  </si>
  <si>
    <t xml:space="preserve">TXN00570</t>
  </si>
  <si>
    <t xml:space="preserve">HOM-504</t>
  </si>
  <si>
    <t xml:space="preserve">4</t>
  </si>
  <si>
    <t xml:space="preserve">TXN00369</t>
  </si>
  <si>
    <t xml:space="preserve">NORTHPARK</t>
  </si>
  <si>
    <t xml:space="preserve">HOM-501</t>
  </si>
  <si>
    <t xml:space="preserve">2</t>
  </si>
  <si>
    <t xml:space="preserve">TXN00974</t>
  </si>
  <si>
    <t xml:space="preserve"> Eastgate </t>
  </si>
  <si>
    <t xml:space="preserve">ELE-401</t>
  </si>
  <si>
    <t xml:space="preserve">TXN00623</t>
  </si>
  <si>
    <t xml:space="preserve">ACC-303</t>
  </si>
  <si>
    <t xml:space="preserve"> 1 </t>
  </si>
  <si>
    <t xml:space="preserve">TXN00930</t>
  </si>
  <si>
    <t xml:space="preserve">WESTSIDE MALL</t>
  </si>
  <si>
    <t xml:space="preserve">TXN00449</t>
  </si>
  <si>
    <t xml:space="preserve">ELE-402</t>
  </si>
  <si>
    <t xml:space="preserve">TXN01023</t>
  </si>
  <si>
    <t xml:space="preserve">APP-101</t>
  </si>
  <si>
    <t xml:space="preserve">TXN00639</t>
  </si>
  <si>
    <t xml:space="preserve">westside mall</t>
  </si>
  <si>
    <t xml:space="preserve">HOM-502</t>
  </si>
  <si>
    <t xml:space="preserve">3</t>
  </si>
  <si>
    <t xml:space="preserve">TXN00316</t>
  </si>
  <si>
    <t xml:space="preserve">TXN00819</t>
  </si>
  <si>
    <t xml:space="preserve">FTW-202</t>
  </si>
  <si>
    <t xml:space="preserve">TXN00741</t>
  </si>
  <si>
    <t xml:space="preserve">FTW-204</t>
  </si>
  <si>
    <t xml:space="preserve">TXN01057</t>
  </si>
  <si>
    <t xml:space="preserve">DOWNTOWN STORE</t>
  </si>
  <si>
    <t xml:space="preserve">ACC-302</t>
  </si>
  <si>
    <t xml:space="preserve">TXN00265</t>
  </si>
  <si>
    <t xml:space="preserve">airport plaza</t>
  </si>
  <si>
    <t xml:space="preserve">ACC-301</t>
  </si>
  <si>
    <t xml:space="preserve">5</t>
  </si>
  <si>
    <t xml:space="preserve">TXN01017</t>
  </si>
  <si>
    <t xml:space="preserve"> riverside </t>
  </si>
  <si>
    <t xml:space="preserve">TXN00268</t>
  </si>
  <si>
    <t xml:space="preserve">ELE-403</t>
  </si>
  <si>
    <t xml:space="preserve">TXN00219</t>
  </si>
  <si>
    <t xml:space="preserve">northpark store</t>
  </si>
  <si>
    <t xml:space="preserve">HOM-503</t>
  </si>
  <si>
    <t xml:space="preserve"> 5 </t>
  </si>
  <si>
    <t xml:space="preserve">TXN01016</t>
  </si>
  <si>
    <t xml:space="preserve">APP-102</t>
  </si>
  <si>
    <t xml:space="preserve">TXN00757</t>
  </si>
  <si>
    <t xml:space="preserve"> 2 </t>
  </si>
  <si>
    <t xml:space="preserve">TXN00590</t>
  </si>
  <si>
    <t xml:space="preserve">TXN00261</t>
  </si>
  <si>
    <t xml:space="preserve">AIRPORT PLAZA STORE</t>
  </si>
  <si>
    <t xml:space="preserve">TXN00017</t>
  </si>
  <si>
    <t xml:space="preserve">TXN00846</t>
  </si>
  <si>
    <t xml:space="preserve">TXN00374</t>
  </si>
  <si>
    <t xml:space="preserve">RIVERSIDE STORE</t>
  </si>
  <si>
    <t xml:space="preserve">TXN00113</t>
  </si>
  <si>
    <t xml:space="preserve">TXN01179</t>
  </si>
  <si>
    <t xml:space="preserve">TXN00913</t>
  </si>
  <si>
    <t xml:space="preserve">TXN00019</t>
  </si>
  <si>
    <t xml:space="preserve">TXN00197</t>
  </si>
  <si>
    <t xml:space="preserve">TXN01119</t>
  </si>
  <si>
    <t xml:space="preserve">TXN00179</t>
  </si>
  <si>
    <t xml:space="preserve">EASTGATE STORE</t>
  </si>
  <si>
    <t xml:space="preserve">TXN01091</t>
  </si>
  <si>
    <t xml:space="preserve">FTW-201</t>
  </si>
  <si>
    <t xml:space="preserve">TXN00826</t>
  </si>
  <si>
    <t xml:space="preserve">APP-104</t>
  </si>
  <si>
    <t xml:space="preserve">TXN00114</t>
  </si>
  <si>
    <t xml:space="preserve">TXN00519</t>
  </si>
  <si>
    <t xml:space="preserve">TXN00381</t>
  </si>
  <si>
    <t xml:space="preserve">TXN01135</t>
  </si>
  <si>
    <t xml:space="preserve">TXN00441</t>
  </si>
  <si>
    <t xml:space="preserve">TXN00485</t>
  </si>
  <si>
    <t xml:space="preserve">APP-103</t>
  </si>
  <si>
    <t xml:space="preserve">TXN01125</t>
  </si>
  <si>
    <t xml:space="preserve">TXN00565</t>
  </si>
  <si>
    <t xml:space="preserve">TXN00373</t>
  </si>
  <si>
    <t xml:space="preserve">TXN00615</t>
  </si>
  <si>
    <t xml:space="preserve">TXN00095</t>
  </si>
  <si>
    <t xml:space="preserve">TXN00823</t>
  </si>
  <si>
    <t xml:space="preserve">TXN01133</t>
  </si>
  <si>
    <t xml:space="preserve">TXN00089</t>
  </si>
  <si>
    <t xml:space="preserve">TXN00138</t>
  </si>
  <si>
    <t xml:space="preserve">TXN00502</t>
  </si>
  <si>
    <t xml:space="preserve">TXN00011</t>
  </si>
  <si>
    <t xml:space="preserve">TXN00129</t>
  </si>
  <si>
    <t xml:space="preserve"> 3 </t>
  </si>
  <si>
    <t xml:space="preserve">TXN01108</t>
  </si>
  <si>
    <t xml:space="preserve">TXN00246</t>
  </si>
  <si>
    <t xml:space="preserve"> 6 </t>
  </si>
  <si>
    <t xml:space="preserve">TXN00530</t>
  </si>
  <si>
    <t xml:space="preserve">FTW-203</t>
  </si>
  <si>
    <t xml:space="preserve">TXN00933</t>
  </si>
  <si>
    <t xml:space="preserve">TXN01109</t>
  </si>
  <si>
    <t xml:space="preserve">TXN00853</t>
  </si>
  <si>
    <t xml:space="preserve">TXN00938</t>
  </si>
  <si>
    <t xml:space="preserve">TXN00183</t>
  </si>
  <si>
    <t xml:space="preserve">TXN00936</t>
  </si>
  <si>
    <t xml:space="preserve">TXN00670</t>
  </si>
  <si>
    <t xml:space="preserve">TXN00773</t>
  </si>
  <si>
    <t xml:space="preserve">TXN01142</t>
  </si>
  <si>
    <t xml:space="preserve">TXN00217</t>
  </si>
  <si>
    <t xml:space="preserve">TXN01172</t>
  </si>
  <si>
    <t xml:space="preserve">TXN00075</t>
  </si>
  <si>
    <t xml:space="preserve">TXN00009</t>
  </si>
  <si>
    <t xml:space="preserve">TXN00638</t>
  </si>
  <si>
    <t xml:space="preserve">TXN00748</t>
  </si>
  <si>
    <t xml:space="preserve">TXN00275</t>
  </si>
  <si>
    <t xml:space="preserve">TXN00903</t>
  </si>
  <si>
    <t xml:space="preserve">TXN00904</t>
  </si>
  <si>
    <t xml:space="preserve"> 4 </t>
  </si>
  <si>
    <t xml:space="preserve">TXN01098</t>
  </si>
  <si>
    <t xml:space="preserve">TXN01042</t>
  </si>
  <si>
    <t xml:space="preserve">TXN00857</t>
  </si>
  <si>
    <t xml:space="preserve">TXN00732</t>
  </si>
  <si>
    <t xml:space="preserve">TXN01095</t>
  </si>
  <si>
    <t xml:space="preserve">TXN00227</t>
  </si>
  <si>
    <t xml:space="preserve">TXN00671</t>
  </si>
  <si>
    <t xml:space="preserve">TXN00655</t>
  </si>
  <si>
    <t xml:space="preserve">TXN00907</t>
  </si>
  <si>
    <t xml:space="preserve">TXN00646</t>
  </si>
  <si>
    <t xml:space="preserve">TXN00018</t>
  </si>
  <si>
    <t xml:space="preserve">TXN00205</t>
  </si>
  <si>
    <t xml:space="preserve">TXN00239</t>
  </si>
  <si>
    <t xml:space="preserve">TXN00489</t>
  </si>
  <si>
    <t xml:space="preserve">TXN00213</t>
  </si>
  <si>
    <t xml:space="preserve">TXN01111</t>
  </si>
  <si>
    <t xml:space="preserve">TXN00610</t>
  </si>
  <si>
    <t xml:space="preserve">TXN00842</t>
  </si>
  <si>
    <t xml:space="preserve">TXN00688</t>
  </si>
  <si>
    <t xml:space="preserve">TXN00588</t>
  </si>
  <si>
    <t xml:space="preserve">TXN00008</t>
  </si>
  <si>
    <t xml:space="preserve">TXN00136</t>
  </si>
  <si>
    <t xml:space="preserve">TXN00421</t>
  </si>
  <si>
    <t xml:space="preserve">TXN00157</t>
  </si>
  <si>
    <t xml:space="preserve">TXN01071</t>
  </si>
  <si>
    <t xml:space="preserve">TXN00902</t>
  </si>
  <si>
    <t xml:space="preserve">TXN01089</t>
  </si>
  <si>
    <t xml:space="preserve">TXN01158</t>
  </si>
  <si>
    <t xml:space="preserve">TXN00046</t>
  </si>
  <si>
    <t xml:space="preserve">TXN01145</t>
  </si>
  <si>
    <t xml:space="preserve">TXN00948</t>
  </si>
  <si>
    <t xml:space="preserve">TXN01175</t>
  </si>
  <si>
    <t xml:space="preserve">TXN00169</t>
  </si>
  <si>
    <t xml:space="preserve">TXN01112</t>
  </si>
  <si>
    <t xml:space="preserve">TXN00582</t>
  </si>
  <si>
    <t xml:space="preserve">TXN00126</t>
  </si>
  <si>
    <t xml:space="preserve">TXN01117</t>
  </si>
  <si>
    <t xml:space="preserve">TXN00774</t>
  </si>
  <si>
    <t xml:space="preserve">TXN00760</t>
  </si>
  <si>
    <t xml:space="preserve">TXN00424</t>
  </si>
  <si>
    <t xml:space="preserve">TXN00291</t>
  </si>
  <si>
    <t xml:space="preserve">TXN00160</t>
  </si>
  <si>
    <t xml:space="preserve">TXN00976</t>
  </si>
  <si>
    <t xml:space="preserve">TXN00469</t>
  </si>
  <si>
    <t xml:space="preserve">TXN00898</t>
  </si>
  <si>
    <t xml:space="preserve">TXN00023</t>
  </si>
  <si>
    <t xml:space="preserve">TXN00348</t>
  </si>
  <si>
    <t xml:space="preserve">TXN00597</t>
  </si>
  <si>
    <t xml:space="preserve">TXN00891</t>
  </si>
  <si>
    <t xml:space="preserve">TXN00493</t>
  </si>
  <si>
    <t xml:space="preserve">TXN00206</t>
  </si>
  <si>
    <t xml:space="preserve">TXN00829</t>
  </si>
  <si>
    <t xml:space="preserve">TXN00738</t>
  </si>
  <si>
    <t xml:space="preserve">TXN01129</t>
  </si>
  <si>
    <t xml:space="preserve">TXN01053</t>
  </si>
  <si>
    <t xml:space="preserve">TXN00677</t>
  </si>
  <si>
    <t xml:space="preserve">TXN00125</t>
  </si>
  <si>
    <t xml:space="preserve">TXN00756</t>
  </si>
  <si>
    <t xml:space="preserve">TXN00727</t>
  </si>
  <si>
    <t xml:space="preserve">TXN00201</t>
  </si>
  <si>
    <t xml:space="preserve">TXN00718</t>
  </si>
  <si>
    <t xml:space="preserve">TXN00782</t>
  </si>
  <si>
    <t xml:space="preserve">TXN00115</t>
  </si>
  <si>
    <t xml:space="preserve">TXN00711</t>
  </si>
  <si>
    <t xml:space="preserve">TXN00981</t>
  </si>
  <si>
    <t xml:space="preserve">TXN00723</t>
  </si>
  <si>
    <t xml:space="preserve">TXN00040</t>
  </si>
  <si>
    <t xml:space="preserve">TXN00445</t>
  </si>
  <si>
    <t xml:space="preserve">TXN00400</t>
  </si>
  <si>
    <t xml:space="preserve">TXN00849</t>
  </si>
  <si>
    <t xml:space="preserve">TXN01173</t>
  </si>
  <si>
    <t xml:space="preserve">TXN00198</t>
  </si>
  <si>
    <t xml:space="preserve">TXN00064</t>
  </si>
  <si>
    <t xml:space="preserve">TXN00141</t>
  </si>
  <si>
    <t xml:space="preserve">TXN00096</t>
  </si>
  <si>
    <t xml:space="preserve">TXN00252</t>
  </si>
  <si>
    <t xml:space="preserve">TXN00093</t>
  </si>
  <si>
    <t xml:space="preserve">TXN01177</t>
  </si>
  <si>
    <t xml:space="preserve">TXN00618</t>
  </si>
  <si>
    <t xml:space="preserve">TXN01072</t>
  </si>
  <si>
    <t xml:space="preserve">TXN01073</t>
  </si>
  <si>
    <t xml:space="preserve">TXN00196</t>
  </si>
  <si>
    <t xml:space="preserve">TXN01020</t>
  </si>
  <si>
    <t xml:space="preserve">TXN00787</t>
  </si>
  <si>
    <t xml:space="preserve">TXN00742</t>
  </si>
  <si>
    <t xml:space="preserve">TXN01004</t>
  </si>
  <si>
    <t xml:space="preserve">TXN00116</t>
  </si>
  <si>
    <t xml:space="preserve">TXN00497</t>
  </si>
  <si>
    <t xml:space="preserve">TXN00758</t>
  </si>
  <si>
    <t xml:space="preserve">TXN00832</t>
  </si>
  <si>
    <t xml:space="preserve">TXN00150</t>
  </si>
  <si>
    <t xml:space="preserve">TXN00463</t>
  </si>
  <si>
    <t xml:space="preserve">TXN00033</t>
  </si>
  <si>
    <t xml:space="preserve">TXN00835</t>
  </si>
  <si>
    <t xml:space="preserve">TXN00031</t>
  </si>
  <si>
    <t xml:space="preserve">TXN00342</t>
  </si>
  <si>
    <t xml:space="preserve">TXN01106</t>
  </si>
  <si>
    <t xml:space="preserve">TXN01068</t>
  </si>
  <si>
    <t xml:space="preserve">TXN00055</t>
  </si>
  <si>
    <t xml:space="preserve">TXN00914</t>
  </si>
  <si>
    <t xml:space="preserve">TXN00818</t>
  </si>
  <si>
    <t xml:space="preserve">TXN00700</t>
  </si>
  <si>
    <t xml:space="preserve">TXN00665</t>
  </si>
  <si>
    <t xml:space="preserve">TXN00540</t>
  </si>
  <si>
    <t xml:space="preserve">TXN00527</t>
  </si>
  <si>
    <t xml:space="preserve">TXN00081</t>
  </si>
  <si>
    <t xml:space="preserve">TXN00378</t>
  </si>
  <si>
    <t xml:space="preserve">TXN00802</t>
  </si>
  <si>
    <t xml:space="preserve">TXN00144</t>
  </si>
  <si>
    <t xml:space="preserve">TXN00354</t>
  </si>
  <si>
    <t xml:space="preserve">TXN00168</t>
  </si>
  <si>
    <t xml:space="preserve">TXN00104</t>
  </si>
  <si>
    <t xml:space="preserve">TXN00685</t>
  </si>
  <si>
    <t xml:space="preserve">TXN00865</t>
  </si>
  <si>
    <t xml:space="preserve">TXN00194</t>
  </si>
  <si>
    <t xml:space="preserve">TXN00411</t>
  </si>
  <si>
    <t xml:space="preserve">TXN00637</t>
  </si>
  <si>
    <t xml:space="preserve">TXN01038</t>
  </si>
  <si>
    <t xml:space="preserve">TXN00327</t>
  </si>
  <si>
    <t xml:space="preserve">TXN00404</t>
  </si>
  <si>
    <t xml:space="preserve">TXN00390</t>
  </si>
  <si>
    <t xml:space="preserve">TXN00257</t>
  </si>
  <si>
    <t xml:space="preserve">TXN00964</t>
  </si>
  <si>
    <t xml:space="preserve">TXN00785</t>
  </si>
  <si>
    <t xml:space="preserve">TXN00298</t>
  </si>
  <si>
    <t xml:space="preserve">TXN00417</t>
  </si>
  <si>
    <t xml:space="preserve">TXN00931</t>
  </si>
  <si>
    <t xml:space="preserve">TXN00444</t>
  </si>
  <si>
    <t xml:space="preserve">TXN00121</t>
  </si>
  <si>
    <t xml:space="preserve">TXN00762</t>
  </si>
  <si>
    <t xml:space="preserve">TXN00583</t>
  </si>
  <si>
    <t xml:space="preserve">TXN00408</t>
  </si>
  <si>
    <t xml:space="preserve">TXN00653</t>
  </si>
  <si>
    <t xml:space="preserve">TXN00315</t>
  </si>
  <si>
    <t xml:space="preserve">TXN00822</t>
  </si>
  <si>
    <t xml:space="preserve">TXN00607</t>
  </si>
  <si>
    <t xml:space="preserve">TXN01011</t>
  </si>
  <si>
    <t xml:space="preserve">TXN00725</t>
  </si>
  <si>
    <t xml:space="preserve">TXN00249</t>
  </si>
  <si>
    <t xml:space="preserve">TXN00952</t>
  </si>
  <si>
    <t xml:space="preserve">TXN00409</t>
  </si>
  <si>
    <t xml:space="preserve">TXN00393</t>
  </si>
  <si>
    <t xml:space="preserve">TXN00982</t>
  </si>
  <si>
    <t xml:space="preserve">TXN01012</t>
  </si>
  <si>
    <t xml:space="preserve">TXN00496</t>
  </si>
  <si>
    <t xml:space="preserve">TXN01140</t>
  </si>
  <si>
    <t xml:space="preserve">TXN00538</t>
  </si>
  <si>
    <t xml:space="preserve">TXN01096</t>
  </si>
  <si>
    <t xml:space="preserve">TXN00705</t>
  </si>
  <si>
    <t xml:space="preserve">TXN00918</t>
  </si>
  <si>
    <t xml:space="preserve">TXN00481</t>
  </si>
  <si>
    <t xml:space="preserve">TXN00696</t>
  </si>
  <si>
    <t xml:space="preserve">TXN00769</t>
  </si>
  <si>
    <t xml:space="preserve">TXN00617</t>
  </si>
  <si>
    <t xml:space="preserve">TXN00616</t>
  </si>
  <si>
    <t xml:space="preserve">TXN01170</t>
  </si>
  <si>
    <t xml:space="preserve">TXN00457</t>
  </si>
  <si>
    <t xml:space="preserve">TXN00042</t>
  </si>
  <si>
    <t xml:space="preserve">TXN00878</t>
  </si>
  <si>
    <t xml:space="preserve">TXN01152</t>
  </si>
  <si>
    <t xml:space="preserve">TXN00459</t>
  </si>
  <si>
    <t xml:space="preserve">TXN01065</t>
  </si>
  <si>
    <t xml:space="preserve">TXN00394</t>
  </si>
  <si>
    <t xml:space="preserve">TXN00553</t>
  </si>
  <si>
    <t xml:space="preserve">TXN01026</t>
  </si>
  <si>
    <t xml:space="preserve">TXN00750</t>
  </si>
  <si>
    <t xml:space="preserve">TXN00990</t>
  </si>
  <si>
    <t xml:space="preserve">TXN00223</t>
  </si>
  <si>
    <t xml:space="preserve">TXN00650</t>
  </si>
  <si>
    <t xml:space="preserve">TXN00652</t>
  </si>
  <si>
    <t xml:space="preserve">TXN00571</t>
  </si>
  <si>
    <t xml:space="preserve">TXN00552</t>
  </si>
  <si>
    <t xml:space="preserve">TXN00228</t>
  </si>
  <si>
    <t xml:space="preserve">TXN01015</t>
  </si>
  <si>
    <t xml:space="preserve">TXN00831</t>
  </si>
  <si>
    <t xml:space="preserve">TXN00084</t>
  </si>
  <si>
    <t xml:space="preserve">TXN00480</t>
  </si>
  <si>
    <t xml:space="preserve">TXN00263</t>
  </si>
  <si>
    <t xml:space="preserve">TXN00619</t>
  </si>
  <si>
    <t xml:space="preserve">TXN00604</t>
  </si>
  <si>
    <t xml:space="preserve">TXN00432</t>
  </si>
  <si>
    <t xml:space="preserve">TXN00789</t>
  </si>
  <si>
    <t xml:space="preserve">TXN00241</t>
  </si>
  <si>
    <t xml:space="preserve">TXN00719</t>
  </si>
  <si>
    <t xml:space="preserve">TXN00349</t>
  </si>
  <si>
    <t xml:space="preserve">TXN00137</t>
  </si>
  <si>
    <t xml:space="preserve">TXN00244</t>
  </si>
  <si>
    <t xml:space="preserve">TXN01077</t>
  </si>
  <si>
    <t xml:space="preserve">TXN00879</t>
  </si>
  <si>
    <t xml:space="preserve">TXN00028</t>
  </si>
  <si>
    <t xml:space="preserve">TXN01003</t>
  </si>
  <si>
    <t xml:space="preserve">TXN00140</t>
  </si>
  <si>
    <t xml:space="preserve">TXN00492</t>
  </si>
  <si>
    <t xml:space="preserve">TXN00905</t>
  </si>
  <si>
    <t xml:space="preserve">TXN00425</t>
  </si>
  <si>
    <t xml:space="preserve">TXN00186</t>
  </si>
  <si>
    <t xml:space="preserve">TXN00675</t>
  </si>
  <si>
    <t xml:space="preserve">TXN01169</t>
  </si>
  <si>
    <t xml:space="preserve">TXN00768</t>
  </si>
  <si>
    <t xml:space="preserve">TXN01157</t>
  </si>
  <si>
    <t xml:space="preserve">TXN00536</t>
  </si>
  <si>
    <t xml:space="preserve">TXN00111</t>
  </si>
  <si>
    <t xml:space="preserve">TXN00890</t>
  </si>
  <si>
    <t xml:space="preserve">TXN00515</t>
  </si>
  <si>
    <t xml:space="preserve">TXN00664</t>
  </si>
  <si>
    <t xml:space="preserve">TXN00293</t>
  </si>
  <si>
    <t xml:space="preserve">TXN00258</t>
  </si>
  <si>
    <t xml:space="preserve">TXN00996</t>
  </si>
  <si>
    <t xml:space="preserve">TXN00702</t>
  </si>
  <si>
    <t xml:space="preserve">TXN00133</t>
  </si>
  <si>
    <t xml:space="preserve">TXN01063</t>
  </si>
  <si>
    <t xml:space="preserve">TXN00322</t>
  </si>
  <si>
    <t xml:space="preserve">TXN00088</t>
  </si>
  <si>
    <t xml:space="preserve">TXN00005</t>
  </si>
  <si>
    <t xml:space="preserve">TXN01085</t>
  </si>
  <si>
    <t xml:space="preserve">TXN00627</t>
  </si>
  <si>
    <t xml:space="preserve">TXN00605</t>
  </si>
  <si>
    <t xml:space="preserve">TXN00614</t>
  </si>
  <si>
    <t xml:space="preserve">TXN01126</t>
  </si>
  <si>
    <t xml:space="preserve">TXN00843</t>
  </si>
  <si>
    <t xml:space="preserve">TXN00806</t>
  </si>
  <si>
    <t xml:space="preserve">TXN00968</t>
  </si>
  <si>
    <t xml:space="preserve">TXN00149</t>
  </si>
  <si>
    <t xml:space="preserve">TXN00380</t>
  </si>
  <si>
    <t xml:space="preserve">TXN00596</t>
  </si>
  <si>
    <t xml:space="preserve">TXN00332</t>
  </si>
  <si>
    <t xml:space="preserve">TXN01159</t>
  </si>
  <si>
    <t xml:space="preserve">TXN00251</t>
  </si>
  <si>
    <t xml:space="preserve">TXN00038</t>
  </si>
  <si>
    <t xml:space="preserve">TXN01033</t>
  </si>
  <si>
    <t xml:space="preserve">TXN00683</t>
  </si>
  <si>
    <t xml:space="preserve">TXN01166</t>
  </si>
  <si>
    <t xml:space="preserve">TXN00781</t>
  </si>
  <si>
    <t xml:space="preserve">TXN00841</t>
  </si>
  <si>
    <t xml:space="preserve">TXN00440</t>
  </si>
  <si>
    <t xml:space="preserve">TXN00632</t>
  </si>
  <si>
    <t xml:space="preserve">TXN00836</t>
  </si>
  <si>
    <t xml:space="preserve">TXN00080</t>
  </si>
  <si>
    <t xml:space="preserve">TXN00456</t>
  </si>
  <si>
    <t xml:space="preserve">TXN00259</t>
  </si>
  <si>
    <t xml:space="preserve">TXN01100</t>
  </si>
  <si>
    <t xml:space="preserve">TXN00178</t>
  </si>
  <si>
    <t xml:space="preserve">TXN00753</t>
  </si>
  <si>
    <t xml:space="preserve">TXN00523</t>
  </si>
  <si>
    <t xml:space="preserve">TXN00734</t>
  </si>
  <si>
    <t xml:space="preserve">TXN00881</t>
  </si>
  <si>
    <t xml:space="preserve">TXN00324</t>
  </si>
  <si>
    <t xml:space="preserve">TXN01090</t>
  </si>
  <si>
    <t xml:space="preserve">TXN01099</t>
  </si>
  <si>
    <t xml:space="preserve">TXN00477</t>
  </si>
  <si>
    <t xml:space="preserve">TXN00243</t>
  </si>
  <si>
    <t xml:space="preserve">TXN01005</t>
  </si>
  <si>
    <t xml:space="preserve">TXN00143</t>
  </si>
  <si>
    <t xml:space="preserve">TXN00625</t>
  </si>
  <si>
    <t xml:space="preserve">TXN01144</t>
  </si>
  <si>
    <t xml:space="preserve">TXN01167</t>
  </si>
  <si>
    <t xml:space="preserve">TXN00779</t>
  </si>
  <si>
    <t xml:space="preserve">TXN00969</t>
  </si>
  <si>
    <t xml:space="preserve">TXN00412</t>
  </si>
  <si>
    <t xml:space="preserve">TXN00658</t>
  </si>
  <si>
    <t xml:space="preserve">TXN00830</t>
  </si>
  <si>
    <t xml:space="preserve">TXN00407</t>
  </si>
  <si>
    <t xml:space="preserve">TXN00987</t>
  </si>
  <si>
    <t xml:space="preserve">TXN00669</t>
  </si>
  <si>
    <t xml:space="preserve">TXN00624</t>
  </si>
  <si>
    <t xml:space="preserve">TXN00777</t>
  </si>
  <si>
    <t xml:space="preserve">TXN00908</t>
  </si>
  <si>
    <t xml:space="preserve">TXN00591</t>
  </si>
  <si>
    <t xml:space="preserve">TXN00475</t>
  </si>
  <si>
    <t xml:space="preserve">TXN00922</t>
  </si>
  <si>
    <t xml:space="preserve">TXN00433</t>
  </si>
  <si>
    <t xml:space="preserve">TXN00716</t>
  </si>
  <si>
    <t xml:space="preserve">TXN00971</t>
  </si>
  <si>
    <t xml:space="preserve">TXN01078</t>
  </si>
  <si>
    <t xml:space="preserve">TXN00896</t>
  </si>
  <si>
    <t xml:space="preserve">TXN00864</t>
  </si>
  <si>
    <t xml:space="preserve">TXN00967</t>
  </si>
  <si>
    <t xml:space="preserve">TXN00630</t>
  </si>
  <si>
    <t xml:space="preserve">TXN00423</t>
  </si>
  <si>
    <t xml:space="preserve">TXN00833</t>
  </si>
  <si>
    <t xml:space="preserve">TXN01118</t>
  </si>
  <si>
    <t xml:space="preserve">TXN00314</t>
  </si>
  <si>
    <t xml:space="preserve">TXN00812</t>
  </si>
  <si>
    <t xml:space="preserve">TXN00980</t>
  </si>
  <si>
    <t xml:space="preserve">TXN00281</t>
  </si>
  <si>
    <t xml:space="preserve">TXN00717</t>
  </si>
  <si>
    <t xml:space="preserve">TXN00215</t>
  </si>
  <si>
    <t xml:space="preserve">TXN01046</t>
  </si>
  <si>
    <t xml:space="preserve">TXN00399</t>
  </si>
  <si>
    <t xml:space="preserve">TXN00657</t>
  </si>
  <si>
    <t xml:space="preserve">TXN00182</t>
  </si>
  <si>
    <t xml:space="preserve">TXN00541</t>
  </si>
  <si>
    <t xml:space="preserve">TXN00446</t>
  </si>
  <si>
    <t xml:space="preserve">TXN00260</t>
  </si>
  <si>
    <t xml:space="preserve">TXN00844</t>
  </si>
  <si>
    <t xml:space="preserve">TXN00770</t>
  </si>
  <si>
    <t xml:space="preserve">TXN00232</t>
  </si>
  <si>
    <t xml:space="preserve">TXN00285</t>
  </si>
  <si>
    <t xml:space="preserve">TXN01138</t>
  </si>
  <si>
    <t xml:space="preserve">TXN00954</t>
  </si>
  <si>
    <t xml:space="preserve">TXN00595</t>
  </si>
  <si>
    <t xml:space="preserve">TXN00486</t>
  </si>
  <si>
    <t xml:space="preserve">TXN00815</t>
  </si>
  <si>
    <t xml:space="preserve">TXN01097</t>
  </si>
  <si>
    <t xml:space="preserve">TXN00494</t>
  </si>
  <si>
    <t xml:space="preserve">TXN00119</t>
  </si>
  <si>
    <t xml:space="preserve">TXN00554</t>
  </si>
  <si>
    <t xml:space="preserve">TXN00678</t>
  </si>
  <si>
    <t xml:space="preserve">TXN00025</t>
  </si>
  <si>
    <t xml:space="preserve">TXN00927</t>
  </si>
  <si>
    <t xml:space="preserve">TXN01036</t>
  </si>
  <si>
    <t xml:space="preserve">TXN00900</t>
  </si>
  <si>
    <t xml:space="preserve">TXN00911</t>
  </si>
  <si>
    <t xml:space="preserve">TXN00608</t>
  </si>
  <si>
    <t xml:space="preserve">TXN00654</t>
  </si>
  <si>
    <t xml:space="preserve">TXN01181</t>
  </si>
  <si>
    <t xml:space="preserve">TXN01186</t>
  </si>
  <si>
    <t xml:space="preserve">TXN00024</t>
  </si>
  <si>
    <t xml:space="preserve">TXN01122</t>
  </si>
  <si>
    <t xml:space="preserve">TXN00418</t>
  </si>
  <si>
    <t xml:space="preserve">TXN00901</t>
  </si>
  <si>
    <t xml:space="preserve">TXN00755</t>
  </si>
  <si>
    <t xml:space="preserve">TXN01092</t>
  </si>
  <si>
    <t xml:space="preserve">TXN01146</t>
  </si>
  <si>
    <t xml:space="preserve">TXN00388</t>
  </si>
  <si>
    <t xml:space="preserve">TXN00661</t>
  </si>
  <si>
    <t xml:space="preserve">TXN00872</t>
  </si>
  <si>
    <t xml:space="preserve">TXN00559</t>
  </si>
  <si>
    <t xml:space="preserve">TXN00935</t>
  </si>
  <si>
    <t xml:space="preserve">TXN00642</t>
  </si>
  <si>
    <t xml:space="preserve">TXN01178</t>
  </si>
  <si>
    <t xml:space="preserve">TXN00323</t>
  </si>
  <si>
    <t xml:space="preserve">TXN00139</t>
  </si>
  <si>
    <t xml:space="preserve">TXN01013</t>
  </si>
  <si>
    <t xml:space="preserve">TXN00754</t>
  </si>
  <si>
    <t xml:space="preserve">TXN00057</t>
  </si>
  <si>
    <t xml:space="preserve">TXN00462</t>
  </si>
  <si>
    <t xml:space="preserve">TXN00810</t>
  </si>
  <si>
    <t xml:space="preserve">TXN00086</t>
  </si>
  <si>
    <t xml:space="preserve">TXN01082</t>
  </si>
  <si>
    <t xml:space="preserve">TXN00371</t>
  </si>
  <si>
    <t xml:space="preserve">TXN01007</t>
  </si>
  <si>
    <t xml:space="preserve">TXN00132</t>
  </si>
  <si>
    <t xml:space="preserve">TXN01162</t>
  </si>
  <si>
    <t xml:space="preserve">TXN00166</t>
  </si>
  <si>
    <t xml:space="preserve">TXN01164</t>
  </si>
  <si>
    <t xml:space="preserve">TXN00736</t>
  </si>
  <si>
    <t xml:space="preserve">TXN00422</t>
  </si>
  <si>
    <t xml:space="preserve">TXN00644</t>
  </si>
  <si>
    <t xml:space="preserve">TXN00749</t>
  </si>
  <si>
    <t xml:space="preserve">TXN00703</t>
  </si>
  <si>
    <t xml:space="preserve">TXN00803</t>
  </si>
  <si>
    <t xml:space="preserve">TXN00240</t>
  </si>
  <si>
    <t xml:space="preserve">TXN00159</t>
  </si>
  <si>
    <t xml:space="preserve">TXN00555</t>
  </si>
  <si>
    <t xml:space="preserve">TXN00951</t>
  </si>
  <si>
    <t xml:space="preserve">TXN00621</t>
  </si>
  <si>
    <t xml:space="preserve">TXN00272</t>
  </si>
  <si>
    <t xml:space="preserve">TXN00568</t>
  </si>
  <si>
    <t xml:space="preserve">TXN00333</t>
  </si>
  <si>
    <t xml:space="preserve">TXN00839</t>
  </si>
  <si>
    <t xml:space="preserve">TXN00429</t>
  </si>
  <si>
    <t xml:space="preserve">TXN00840</t>
  </si>
  <si>
    <t xml:space="preserve">TXN00921</t>
  </si>
  <si>
    <t xml:space="preserve">TXN00953</t>
  </si>
  <si>
    <t xml:space="preserve">TXN00334</t>
  </si>
  <si>
    <t xml:space="preserve">TXN00814</t>
  </si>
  <si>
    <t xml:space="preserve">TXN00306</t>
  </si>
  <si>
    <t xml:space="preserve">TXN00478</t>
  </si>
  <si>
    <t xml:space="preserve">TXN00118</t>
  </si>
  <si>
    <t xml:space="preserve">TXN01101</t>
  </si>
  <si>
    <t xml:space="preserve">TXN00525</t>
  </si>
  <si>
    <t xml:space="preserve">TXN00984</t>
  </si>
  <si>
    <t xml:space="preserve">TXN00367</t>
  </si>
  <si>
    <t xml:space="preserve">TXN00743</t>
  </si>
  <si>
    <t xml:space="preserve">TXN00320</t>
  </si>
  <si>
    <t xml:space="preserve">TXN00628</t>
  </si>
  <si>
    <t xml:space="preserve">TXN00883</t>
  </si>
  <si>
    <t xml:space="preserve">TXN00510</t>
  </si>
  <si>
    <t xml:space="preserve">TXN00924</t>
  </si>
  <si>
    <t xml:space="preserve">TXN00176</t>
  </si>
  <si>
    <t xml:space="preserve">TXN00165</t>
  </si>
  <si>
    <t xml:space="preserve">TXN01022</t>
  </si>
  <si>
    <t xml:space="preserve">TXN01087</t>
  </si>
  <si>
    <t xml:space="preserve">TXN00687</t>
  </si>
  <si>
    <t xml:space="preserve">TXN00985</t>
  </si>
  <si>
    <t xml:space="preserve">TXN01151</t>
  </si>
  <si>
    <t xml:space="preserve">TXN00920</t>
  </si>
  <si>
    <t xml:space="preserve">TXN00557</t>
  </si>
  <si>
    <t xml:space="preserve">TXN00358</t>
  </si>
  <si>
    <t xml:space="preserve">TXN00539</t>
  </si>
  <si>
    <t xml:space="preserve">TXN01120</t>
  </si>
  <si>
    <t xml:space="preserve">TXN01190</t>
  </si>
  <si>
    <t xml:space="preserve">TXN00505</t>
  </si>
  <si>
    <t xml:space="preserve">TXN00937</t>
  </si>
  <si>
    <t xml:space="preserve">TXN00784</t>
  </si>
  <si>
    <t xml:space="preserve">TXN00218</t>
  </si>
  <si>
    <t xml:space="preserve">TXN00549</t>
  </si>
  <si>
    <t xml:space="preserve">TXN01066</t>
  </si>
  <si>
    <t xml:space="preserve">TXN00721</t>
  </si>
  <si>
    <t xml:space="preserve">TXN00680</t>
  </si>
  <si>
    <t xml:space="preserve">TXN00917</t>
  </si>
  <si>
    <t xml:space="preserve">TXN00545</t>
  </si>
  <si>
    <t xml:space="preserve">TXN00737</t>
  </si>
  <si>
    <t xml:space="preserve">TXN00692</t>
  </si>
  <si>
    <t xml:space="preserve">TXN00811</t>
  </si>
  <si>
    <t xml:space="preserve">TXN00631</t>
  </si>
  <si>
    <t xml:space="preserve">TXN00146</t>
  </si>
  <si>
    <t xml:space="preserve">TXN00997</t>
  </si>
  <si>
    <t xml:space="preserve">TXN00866</t>
  </si>
  <si>
    <t xml:space="preserve">TXN00296</t>
  </si>
  <si>
    <t xml:space="preserve">TXN01153</t>
  </si>
  <si>
    <t xml:space="preserve">TXN00414</t>
  </si>
  <si>
    <t xml:space="preserve">TXN00620</t>
  </si>
  <si>
    <t xml:space="preserve">TXN00860</t>
  </si>
  <si>
    <t xml:space="preserve">TXN00284</t>
  </si>
  <si>
    <t xml:space="preserve">TXN00154</t>
  </si>
  <si>
    <t xml:space="preserve">TXN00123</t>
  </si>
  <si>
    <t xml:space="preserve">TXN00274</t>
  </si>
  <si>
    <t xml:space="preserve">TXN00278</t>
  </si>
  <si>
    <t xml:space="preserve">TXN01102</t>
  </si>
  <si>
    <t xml:space="preserve">TXN00134</t>
  </si>
  <si>
    <t xml:space="preserve">TXN00331</t>
  </si>
  <si>
    <t xml:space="preserve">TXN00148</t>
  </si>
  <si>
    <t xml:space="preserve">TXN00365</t>
  </si>
  <si>
    <t xml:space="preserve">TXN00867</t>
  </si>
  <si>
    <t xml:space="preserve">TXN00578</t>
  </si>
  <si>
    <t xml:space="preserve">TXN00420</t>
  </si>
  <si>
    <t xml:space="preserve">TXN00676</t>
  </si>
  <si>
    <t xml:space="preserve">TXN00181</t>
  </si>
  <si>
    <t xml:space="preserve">TXN00906</t>
  </si>
  <si>
    <t xml:space="preserve">TXN00542</t>
  </si>
  <si>
    <t xml:space="preserve">TXN00405</t>
  </si>
  <si>
    <t xml:space="preserve">TXN00363</t>
  </si>
  <si>
    <t xml:space="preserve">TXN00873</t>
  </si>
  <si>
    <t xml:space="preserve">TXN01187</t>
  </si>
  <si>
    <t xml:space="preserve">TXN00254</t>
  </si>
  <si>
    <t xml:space="preserve">TXN00351</t>
  </si>
  <si>
    <t xml:space="preserve">TXN00234</t>
  </si>
  <si>
    <t xml:space="preserve">TXN00085</t>
  </si>
  <si>
    <t xml:space="preserve">TXN01056</t>
  </si>
  <si>
    <t xml:space="preserve">TXN00396</t>
  </si>
  <si>
    <t xml:space="preserve">TXN01051</t>
  </si>
  <si>
    <t xml:space="preserve">TXN01064</t>
  </si>
  <si>
    <t xml:space="preserve">TXN00751</t>
  </si>
  <si>
    <t xml:space="preserve">TXN00880</t>
  </si>
  <si>
    <t xml:space="preserve">TXN00526</t>
  </si>
  <si>
    <t xml:space="preserve">TXN00706</t>
  </si>
  <si>
    <t xml:space="preserve">TXN00430</t>
  </si>
  <si>
    <t xml:space="preserve">TXN00579</t>
  </si>
  <si>
    <t xml:space="preserve">TXN00828</t>
  </si>
  <si>
    <t xml:space="preserve">TXN00483</t>
  </si>
  <si>
    <t xml:space="preserve">TXN00817</t>
  </si>
  <si>
    <t xml:space="preserve">TXN00882</t>
  </si>
  <si>
    <t xml:space="preserve">TXN00375</t>
  </si>
  <si>
    <t xml:space="preserve">TXN00491</t>
  </si>
  <si>
    <t xml:space="preserve">TXN00934</t>
  </si>
  <si>
    <t xml:space="preserve">TXN00691</t>
  </si>
  <si>
    <t xml:space="preserve">TXN01040</t>
  </si>
  <si>
    <t xml:space="preserve">TXN00267</t>
  </si>
  <si>
    <t xml:space="preserve">TXN00715</t>
  </si>
  <si>
    <t xml:space="preserve">TXN01168</t>
  </si>
  <si>
    <t xml:space="preserve">TXN00960</t>
  </si>
  <si>
    <t xml:space="preserve">TXN00195</t>
  </si>
  <si>
    <t xml:space="preserve">TXN00326</t>
  </si>
  <si>
    <t xml:space="preserve">TXN00663</t>
  </si>
  <si>
    <t xml:space="preserve">TXN01191</t>
  </si>
  <si>
    <t xml:space="preserve">TXN00077</t>
  </si>
  <si>
    <t xml:space="preserve">TXN00398</t>
  </si>
  <si>
    <t xml:space="preserve">TXN00450</t>
  </si>
  <si>
    <t xml:space="preserve">TXN01124</t>
  </si>
  <si>
    <t xml:space="preserve">TXN00528</t>
  </si>
  <si>
    <t xml:space="preserve">TXN00821</t>
  </si>
  <si>
    <t xml:space="preserve">TXN00253</t>
  </si>
  <si>
    <t xml:space="preserve">TXN00439</t>
  </si>
  <si>
    <t xml:space="preserve">TXN00612</t>
  </si>
  <si>
    <t xml:space="preserve">TXN01147</t>
  </si>
  <si>
    <t xml:space="preserve">TXN01143</t>
  </si>
  <si>
    <t xml:space="preserve">TXN00010</t>
  </si>
  <si>
    <t xml:space="preserve">TXN00599</t>
  </si>
  <si>
    <t xml:space="preserve">TXN00220</t>
  </si>
  <si>
    <t xml:space="preserve">TXN00877</t>
  </si>
  <si>
    <t xml:space="preserve">TXN01060</t>
  </si>
  <si>
    <t xml:space="preserve">TXN00401</t>
  </si>
  <si>
    <t xml:space="preserve">TXN00360</t>
  </si>
  <si>
    <t xml:space="preserve">TXN00270</t>
  </si>
  <si>
    <t xml:space="preserve">TXN01029</t>
  </si>
  <si>
    <t xml:space="preserve">TXN00837</t>
  </si>
  <si>
    <t xml:space="preserve">TXN01093</t>
  </si>
  <si>
    <t xml:space="preserve">TXN01115</t>
  </si>
  <si>
    <t xml:space="preserve">TXN00078</t>
  </si>
  <si>
    <t xml:space="preserve">TXN00051</t>
  </si>
  <si>
    <t xml:space="preserve">TXN00117</t>
  </si>
  <si>
    <t xml:space="preserve">TXN00304</t>
  </si>
  <si>
    <t xml:space="preserve">TXN00580</t>
  </si>
  <si>
    <t xml:space="preserve">TXN00210</t>
  </si>
  <si>
    <t xml:space="preserve">TXN01028</t>
  </si>
  <si>
    <t xml:space="preserve">TXN00455</t>
  </si>
  <si>
    <t xml:space="preserve">TXN00662</t>
  </si>
  <si>
    <t xml:space="preserve">TXN00786</t>
  </si>
  <si>
    <t xml:space="preserve">TXN00643</t>
  </si>
  <si>
    <t xml:space="preserve">TXN00474</t>
  </si>
  <si>
    <t xml:space="preserve">TXN00173</t>
  </si>
  <si>
    <t xml:space="preserve">TXN01121</t>
  </si>
  <si>
    <t xml:space="preserve">TXN00592</t>
  </si>
  <si>
    <t xml:space="preserve">TXN00488</t>
  </si>
  <si>
    <t xml:space="preserve">TXN00746</t>
  </si>
  <si>
    <t xml:space="preserve">TXN01059</t>
  </si>
  <si>
    <t xml:space="preserve">TXN00998</t>
  </si>
  <si>
    <t xml:space="preserve">TXN00339</t>
  </si>
  <si>
    <t xml:space="preserve">TXN00290</t>
  </si>
  <si>
    <t xml:space="preserve">TXN00560</t>
  </si>
  <si>
    <t xml:space="preserve">TXN00516</t>
  </si>
  <si>
    <t xml:space="preserve">TXN00796</t>
  </si>
  <si>
    <t xml:space="preserve">TXN00544</t>
  </si>
  <si>
    <t xml:space="preserve">TXN00531</t>
  </si>
  <si>
    <t xml:space="preserve">TXN00899</t>
  </si>
  <si>
    <t xml:space="preserve">TXN00191</t>
  </si>
  <si>
    <t xml:space="preserve">TXN00107</t>
  </si>
  <si>
    <t xml:space="preserve">TXN00634</t>
  </si>
  <si>
    <t xml:space="preserve">TXN00586</t>
  </si>
  <si>
    <t xml:space="preserve">TXN00780</t>
  </si>
  <si>
    <t xml:space="preserve">TXN00458</t>
  </si>
  <si>
    <t xml:space="preserve">TXN00870</t>
  </si>
  <si>
    <t xml:space="preserve">TXN00145</t>
  </si>
  <si>
    <t xml:space="preserve">TXN00668</t>
  </si>
  <si>
    <t xml:space="preserve">TXN00091</t>
  </si>
  <si>
    <t xml:space="preserve">TXN00416</t>
  </si>
  <si>
    <t xml:space="preserve">TXN01123</t>
  </si>
  <si>
    <t xml:space="preserve">TXN00950</t>
  </si>
  <si>
    <t xml:space="preserve">TXN00101</t>
  </si>
  <si>
    <t xml:space="preserve">TXN00013</t>
  </si>
  <si>
    <t xml:space="preserve">TXN00385</t>
  </si>
  <si>
    <t xml:space="preserve">TXN00015</t>
  </si>
  <si>
    <t xml:space="preserve">TXN00824</t>
  </si>
  <si>
    <t xml:space="preserve">TXN00353</t>
  </si>
  <si>
    <t xml:space="preserve">TXN00752</t>
  </si>
  <si>
    <t xml:space="preserve">TXN00097</t>
  </si>
  <si>
    <t xml:space="preserve">TXN00389</t>
  </si>
  <si>
    <t xml:space="preserve">TXN00250</t>
  </si>
  <si>
    <t xml:space="preserve">TXN00202</t>
  </si>
  <si>
    <t xml:space="preserve">TXN00359</t>
  </si>
  <si>
    <t xml:space="preserve">TXN00561</t>
  </si>
  <si>
    <t xml:space="preserve">TXN00124</t>
  </si>
  <si>
    <t xml:space="preserve">TXN00548</t>
  </si>
  <si>
    <t xml:space="preserve">TXN00297</t>
  </si>
  <si>
    <t xml:space="preserve">TXN00991</t>
  </si>
  <si>
    <t xml:space="preserve">TXN00926</t>
  </si>
  <si>
    <t xml:space="preserve">TXN00212</t>
  </si>
  <si>
    <t xml:space="preserve">TXN00221</t>
  </si>
  <si>
    <t xml:space="preserve">TXN00656</t>
  </si>
  <si>
    <t xml:space="preserve">TXN00722</t>
  </si>
  <si>
    <t xml:space="preserve">TXN01081</t>
  </si>
  <si>
    <t xml:space="preserve">TXN00648</t>
  </si>
  <si>
    <t xml:space="preserve">TXN00415</t>
  </si>
  <si>
    <t xml:space="preserve">TXN00065</t>
  </si>
  <si>
    <t xml:space="preserve">TXN01083</t>
  </si>
  <si>
    <t xml:space="preserve">TXN01021</t>
  </si>
  <si>
    <t xml:space="preserve">TXN00790</t>
  </si>
  <si>
    <t xml:space="preserve">TXN00142</t>
  </si>
  <si>
    <t xml:space="preserve">TXN00120</t>
  </si>
  <si>
    <t xml:space="preserve">TXN00026</t>
  </si>
  <si>
    <t xml:space="preserve">TXN00500</t>
  </si>
  <si>
    <t xml:space="preserve">TXN00279</t>
  </si>
  <si>
    <t xml:space="preserve">TXN01176</t>
  </si>
  <si>
    <t xml:space="preserve">TXN00707</t>
  </si>
  <si>
    <t xml:space="preserve">TXN00876</t>
  </si>
  <si>
    <t xml:space="preserve">TXN00589</t>
  </si>
  <si>
    <t xml:space="preserve">TXN00402</t>
  </si>
  <si>
    <t xml:space="preserve">TXN00694</t>
  </si>
  <si>
    <t xml:space="preserve">TXN01075</t>
  </si>
  <si>
    <t xml:space="preserve">TXN01019</t>
  </si>
  <si>
    <t xml:space="preserve">TXN01183</t>
  </si>
  <si>
    <t xml:space="preserve">TXN01041</t>
  </si>
  <si>
    <t xml:space="preserve">TXN00180</t>
  </si>
  <si>
    <t xml:space="preserve">TXN00248</t>
  </si>
  <si>
    <t xml:space="preserve">TXN01155</t>
  </si>
  <si>
    <t xml:space="preserve">TXN00001</t>
  </si>
  <si>
    <t xml:space="preserve">TXN00695</t>
  </si>
  <si>
    <t xml:space="preserve">TXN00600</t>
  </si>
  <si>
    <t xml:space="preserve">TXN01031</t>
  </si>
  <si>
    <t xml:space="preserve">TXN00495</t>
  </si>
  <si>
    <t xml:space="preserve">TXN00442</t>
  </si>
  <si>
    <t xml:space="preserve">TXN00728</t>
  </si>
  <si>
    <t xml:space="preserve">TXN00801</t>
  </si>
  <si>
    <t xml:space="preserve">TXN00410</t>
  </si>
  <si>
    <t xml:space="preserve">TXN00697</t>
  </si>
  <si>
    <t xml:space="preserve">TXN00909</t>
  </si>
  <si>
    <t xml:space="preserve">TXN00128</t>
  </si>
  <si>
    <t xml:space="preserve">TXN00321</t>
  </si>
  <si>
    <t xml:space="preserve">TXN00641</t>
  </si>
  <si>
    <t xml:space="preserve">TXN00470</t>
  </si>
  <si>
    <t xml:space="preserve">TXN00804</t>
  </si>
  <si>
    <t xml:space="preserve">TXN00838</t>
  </si>
  <si>
    <t xml:space="preserve">TXN00242</t>
  </si>
  <si>
    <t xml:space="preserve">TXN00805</t>
  </si>
  <si>
    <t xml:space="preserve">TXN00307</t>
  </si>
  <si>
    <t xml:space="preserve">TXN00689</t>
  </si>
  <si>
    <t xml:space="preserve">TXN00563</t>
  </si>
  <si>
    <t xml:space="preserve">TXN00305</t>
  </si>
  <si>
    <t xml:space="preserve">TXN01052</t>
  </si>
  <si>
    <t xml:space="preserve">TXN00923</t>
  </si>
  <si>
    <t xml:space="preserve">TXN00059</t>
  </si>
  <si>
    <t xml:space="preserve">TXN00185</t>
  </si>
  <si>
    <t xml:space="preserve">TXN00995</t>
  </si>
  <si>
    <t xml:space="preserve">TXN00299</t>
  </si>
  <si>
    <t xml:space="preserve">TXN00547</t>
  </si>
  <si>
    <t xml:space="preserve">TXN00889</t>
  </si>
  <si>
    <t xml:space="preserve">TXN00681</t>
  </si>
  <si>
    <t xml:space="preserve">TXN00264</t>
  </si>
  <si>
    <t xml:space="preserve">TXN00225</t>
  </si>
  <si>
    <t xml:space="preserve">TXN01035</t>
  </si>
  <si>
    <t xml:space="preserve">TXN00611</t>
  </si>
  <si>
    <t xml:space="preserve">TXN01193</t>
  </si>
  <si>
    <t xml:space="preserve">TXN01074</t>
  </si>
  <si>
    <t xml:space="preserve">TXN00820</t>
  </si>
  <si>
    <t xml:space="preserve">TXN00543</t>
  </si>
  <si>
    <t xml:space="preserve">TXN00383</t>
  </si>
  <si>
    <t xml:space="preserve">TXN00211</t>
  </si>
  <si>
    <t xml:space="preserve">TXN01165</t>
  </si>
  <si>
    <t xml:space="preserve">TXN00012</t>
  </si>
  <si>
    <t xml:space="preserve">TXN00387</t>
  </si>
  <si>
    <t xml:space="preserve">TXN00190</t>
  </si>
  <si>
    <t xml:space="preserve">TXN00286</t>
  </si>
  <si>
    <t xml:space="preserve">TXN00177</t>
  </si>
  <si>
    <t xml:space="preserve">TXN01130</t>
  </si>
  <si>
    <t xml:space="preserve">TXN00230</t>
  </si>
  <si>
    <t xml:space="preserve">TXN00102</t>
  </si>
  <si>
    <t xml:space="preserve">TXN00200</t>
  </si>
  <si>
    <t xml:space="preserve">TXN00686</t>
  </si>
  <si>
    <t xml:space="preserve">TXN00574</t>
  </si>
  <si>
    <t xml:space="preserve">TXN00294</t>
  </si>
  <si>
    <t xml:space="preserve">TXN01141</t>
  </si>
  <si>
    <t xml:space="preserve">TXN00576</t>
  </si>
  <si>
    <t xml:space="preserve">TXN00633</t>
  </si>
  <si>
    <t xml:space="preserve">TXN01174</t>
  </si>
  <si>
    <t xml:space="preserve">TXN00626</t>
  </si>
  <si>
    <t xml:space="preserve">TXN00919</t>
  </si>
  <si>
    <t xml:space="preserve">TXN01062</t>
  </si>
  <si>
    <t xml:space="preserve">TXN00452</t>
  </si>
  <si>
    <t xml:space="preserve">TXN00672</t>
  </si>
  <si>
    <t xml:space="preserve">TXN00537</t>
  </si>
  <si>
    <t xml:space="preserve">TXN00999</t>
  </si>
  <si>
    <t xml:space="preserve">TXN00972</t>
  </si>
  <si>
    <t xml:space="preserve">TXN00035</t>
  </si>
  <si>
    <t xml:space="preserve">TXN00074</t>
  </si>
  <si>
    <t xml:space="preserve">TXN00679</t>
  </si>
  <si>
    <t xml:space="preserve">TXN01037</t>
  </si>
  <si>
    <t xml:space="preserve">TXN00311</t>
  </si>
  <si>
    <t xml:space="preserve">TXN00391</t>
  </si>
  <si>
    <t xml:space="preserve">TXN00158</t>
  </si>
  <si>
    <t xml:space="preserve">TXN00175</t>
  </si>
  <si>
    <t xml:space="preserve">TXN01161</t>
  </si>
  <si>
    <t xml:space="preserve">TXN00043</t>
  </si>
  <si>
    <t xml:space="preserve">TXN00020</t>
  </si>
  <si>
    <t xml:space="preserve">TXN01148</t>
  </si>
  <si>
    <t xml:space="preserve">TXN00572</t>
  </si>
  <si>
    <t xml:space="preserve">TXN00302</t>
  </si>
  <si>
    <t xml:space="preserve">TXN00635</t>
  </si>
  <si>
    <t xml:space="preserve">TXN00673</t>
  </si>
  <si>
    <t xml:space="preserve">TXN00875</t>
  </si>
  <si>
    <t xml:space="preserve">TXN00651</t>
  </si>
  <si>
    <t xml:space="preserve">TXN00094</t>
  </si>
  <si>
    <t xml:space="preserve">TXN00966</t>
  </si>
  <si>
    <t xml:space="preserve">TXN00894</t>
  </si>
  <si>
    <t xml:space="preserve">TXN00313</t>
  </si>
  <si>
    <t xml:space="preserve">TXN00131</t>
  </si>
  <si>
    <t xml:space="preserve">TXN01149</t>
  </si>
  <si>
    <t xml:space="preserve">TXN00044</t>
  </si>
  <si>
    <t xml:space="preserve">TXN00861</t>
  </si>
  <si>
    <t xml:space="preserve">TXN00216</t>
  </si>
  <si>
    <t xml:space="preserve">TXN00514</t>
  </si>
  <si>
    <t xml:space="preserve">TXN00942</t>
  </si>
  <si>
    <t xml:space="preserve">TXN00356</t>
  </si>
  <si>
    <t xml:space="preserve">TXN00482</t>
  </si>
  <si>
    <t xml:space="preserve">TXN00767</t>
  </si>
  <si>
    <t xml:space="preserve">TXN00513</t>
  </si>
  <si>
    <t xml:space="preserve">TXN00233</t>
  </si>
  <si>
    <t xml:space="preserve">TXN00073</t>
  </si>
  <si>
    <t xml:space="preserve">TXN00733</t>
  </si>
  <si>
    <t xml:space="preserve">TXN00406</t>
  </si>
  <si>
    <t xml:space="preserve">TXN00319</t>
  </si>
  <si>
    <t xml:space="preserve">TXN00276</t>
  </si>
  <si>
    <t xml:space="preserve">TXN00473</t>
  </si>
  <si>
    <t xml:space="preserve">TXN00072</t>
  </si>
  <si>
    <t xml:space="preserve">TXN01184</t>
  </si>
  <si>
    <t xml:space="preserve">TXN00103</t>
  </si>
  <si>
    <t xml:space="preserve">TXN00099</t>
  </si>
  <si>
    <t xml:space="preserve">TXN00269</t>
  </si>
  <si>
    <t xml:space="preserve">TXN00436</t>
  </si>
  <si>
    <t xml:space="preserve">TXN00453</t>
  </si>
  <si>
    <t xml:space="preserve">TXN01027</t>
  </si>
  <si>
    <t xml:space="preserve">TXN01094</t>
  </si>
  <si>
    <t xml:space="preserve">TXN00943</t>
  </si>
  <si>
    <t xml:space="preserve">TXN00122</t>
  </si>
  <si>
    <t xml:space="preserve">TXN00701</t>
  </si>
  <si>
    <t xml:space="preserve">TXN00759</t>
  </si>
  <si>
    <t xml:space="preserve">TXN01194</t>
  </si>
  <si>
    <t xml:space="preserve">TXN00256</t>
  </si>
  <si>
    <t xml:space="preserve">TXN00106</t>
  </si>
  <si>
    <t xml:space="preserve">TXN00384</t>
  </si>
  <si>
    <t xml:space="preserve">TXN00855</t>
  </si>
  <si>
    <t xml:space="preserve">TXN01171</t>
  </si>
  <si>
    <t xml:space="preserve">TXN01127</t>
  </si>
  <si>
    <t xml:space="preserve">TXN00851</t>
  </si>
  <si>
    <t xml:space="preserve">TXN00792</t>
  </si>
  <si>
    <t xml:space="preserve">TXN00155</t>
  </si>
  <si>
    <t xml:space="preserve">TXN00986</t>
  </si>
  <si>
    <t xml:space="preserve">TXN00564</t>
  </si>
  <si>
    <t xml:space="preserve">TXN00301</t>
  </si>
  <si>
    <t xml:space="preserve">TXN00581</t>
  </si>
  <si>
    <t xml:space="preserve">TXN01001</t>
  </si>
  <si>
    <t xml:space="preserve">TXN00825</t>
  </si>
  <si>
    <t xml:space="preserve">TXN00209</t>
  </si>
  <si>
    <t xml:space="preserve">TXN00283</t>
  </si>
  <si>
    <t xml:space="preserve">TXN00854</t>
  </si>
  <si>
    <t xml:space="preserve">TXN00277</t>
  </si>
  <si>
    <t xml:space="preserve">TXN00193</t>
  </si>
  <si>
    <t xml:space="preserve">TXN00499</t>
  </si>
  <si>
    <t xml:space="preserve">TXN00468</t>
  </si>
  <si>
    <t xml:space="preserve">TXN00958</t>
  </si>
  <si>
    <t xml:space="preserve">TXN00504</t>
  </si>
  <si>
    <t xml:space="preserve">TXN00163</t>
  </si>
  <si>
    <t xml:space="preserve">TXN00848</t>
  </si>
  <si>
    <t xml:space="preserve">TXN00490</t>
  </si>
  <si>
    <t xml:space="preserve">TXN01009</t>
  </si>
  <si>
    <t xml:space="preserve">TXN00172</t>
  </si>
  <si>
    <t xml:space="preserve">TXN00255</t>
  </si>
  <si>
    <t xml:space="preserve">TXN00061</t>
  </si>
  <si>
    <t xml:space="preserve">TXN00052</t>
  </si>
  <si>
    <t xml:space="preserve">TXN00236</t>
  </si>
  <si>
    <t xml:space="preserve">TXN01079</t>
  </si>
  <si>
    <t xml:space="preserve">TXN00372</t>
  </si>
  <si>
    <t xml:space="preserve">TXN00247</t>
  </si>
  <si>
    <t xml:space="preserve">TXN00340</t>
  </si>
  <si>
    <t xml:space="preserve">TXN00048</t>
  </si>
  <si>
    <t xml:space="preserve">TXN00609</t>
  </si>
  <si>
    <t xml:space="preserve">TXN00337</t>
  </si>
  <si>
    <t xml:space="preserve">TXN00050</t>
  </si>
  <si>
    <t xml:space="preserve">TXN00325</t>
  </si>
  <si>
    <t xml:space="preserve">TXN01192</t>
  </si>
  <si>
    <t xml:space="preserve">TXN00524</t>
  </si>
  <si>
    <t xml:space="preserve">TXN00993</t>
  </si>
  <si>
    <t xml:space="preserve">TXN00613</t>
  </si>
  <si>
    <t xml:space="preserve">TXN00713</t>
  </si>
  <si>
    <t xml:space="preserve">TXN00847</t>
  </si>
  <si>
    <t xml:space="preserve">TXN00869</t>
  </si>
  <si>
    <t xml:space="preserve">TXN00386</t>
  </si>
  <si>
    <t xml:space="preserve">TXN00069</t>
  </si>
  <si>
    <t xml:space="preserve">TXN00060</t>
  </si>
  <si>
    <t xml:space="preserve">TXN01043</t>
  </si>
  <si>
    <t xml:space="preserve">TXN00004</t>
  </si>
  <si>
    <t xml:space="preserve">TXN00988</t>
  </si>
  <si>
    <t xml:space="preserve">TXN01188</t>
  </si>
  <si>
    <t xml:space="preserve">TXN00745</t>
  </si>
  <si>
    <t xml:space="preserve">TXN00666</t>
  </si>
  <si>
    <t xml:space="preserve">TXN00556</t>
  </si>
  <si>
    <t xml:space="preserve">TXN00946</t>
  </si>
  <si>
    <t xml:space="preserve">TXN00487</t>
  </si>
  <si>
    <t xml:space="preserve">TXN00484</t>
  </si>
  <si>
    <t xml:space="preserve">TXN00959</t>
  </si>
  <si>
    <t xml:space="preserve">TXN00021</t>
  </si>
  <si>
    <t xml:space="preserve">TXN00167</t>
  </si>
  <si>
    <t xml:space="preserve">TXN00366</t>
  </si>
  <si>
    <t xml:space="preserve">TXN00949</t>
  </si>
  <si>
    <t xml:space="preserve">TXN00856</t>
  </si>
  <si>
    <t xml:space="preserve">TXN00062</t>
  </si>
  <si>
    <t xml:space="preserve">TXN01103</t>
  </si>
  <si>
    <t xml:space="preserve">TXN00403</t>
  </si>
  <si>
    <t xml:space="preserve">TXN01045</t>
  </si>
  <si>
    <t xml:space="preserve">TXN00262</t>
  </si>
  <si>
    <t xml:space="preserve">TXN01008</t>
  </si>
  <si>
    <t xml:space="preserve">TXN00454</t>
  </si>
  <si>
    <t xml:space="preserve">TXN00735</t>
  </si>
  <si>
    <t xml:space="preserve">TXN00690</t>
  </si>
  <si>
    <t xml:space="preserve">TXN00932</t>
  </si>
  <si>
    <t xml:space="preserve">TXN00602</t>
  </si>
  <si>
    <t xml:space="preserve">TXN01137</t>
  </si>
  <si>
    <t xml:space="preserve">TXN00955</t>
  </si>
  <si>
    <t xml:space="preserve">TXN00047</t>
  </si>
  <si>
    <t xml:space="preserve">TXN00231</t>
  </si>
  <si>
    <t xml:space="preserve">TXN01150</t>
  </si>
  <si>
    <t xml:space="preserve">TXN01076</t>
  </si>
  <si>
    <t xml:space="preserve">TXN00427</t>
  </si>
  <si>
    <t xml:space="preserve">TXN00598</t>
  </si>
  <si>
    <t xml:space="preserve">TXN00800</t>
  </si>
  <si>
    <t xml:space="preserve">TXN00503</t>
  </si>
  <si>
    <t xml:space="preserve">TXN00989</t>
  </si>
  <si>
    <t xml:space="preserve">TXN00053</t>
  </si>
  <si>
    <t xml:space="preserve">TXN00977</t>
  </si>
  <si>
    <t xml:space="preserve">TXN00364</t>
  </si>
  <si>
    <t xml:space="preserve">TXN00147</t>
  </si>
  <si>
    <t xml:space="preserve">TXN00295</t>
  </si>
  <si>
    <t xml:space="preserve">TXN00710</t>
  </si>
  <si>
    <t xml:space="preserve">TXN01084</t>
  </si>
  <si>
    <t xml:space="preserve">TXN00763</t>
  </si>
  <si>
    <t xml:space="preserve">TXN00273</t>
  </si>
  <si>
    <t xml:space="preserve">TXN00975</t>
  </si>
  <si>
    <t xml:space="preserve">TXN00303</t>
  </si>
  <si>
    <t xml:space="preserve">TXN00076</t>
  </si>
  <si>
    <t xml:space="preserve">TXN00740</t>
  </si>
  <si>
    <t xml:space="preserve">TXN00184</t>
  </si>
  <si>
    <t xml:space="preserve">TXN01104</t>
  </si>
  <si>
    <t xml:space="preserve">TXN00606</t>
  </si>
  <si>
    <t xml:space="preserve">TXN00970</t>
  </si>
  <si>
    <t xml:space="preserve">TXN00813</t>
  </si>
  <si>
    <t xml:space="preserve">TXN00330</t>
  </si>
  <si>
    <t xml:space="preserve">TXN00965</t>
  </si>
  <si>
    <t xml:space="preserve">TXN00188</t>
  </si>
  <si>
    <t xml:space="preserve">TXN00438</t>
  </si>
  <si>
    <t xml:space="preserve">TXN00266</t>
  </si>
  <si>
    <t xml:space="preserve">TXN00775</t>
  </si>
  <si>
    <t xml:space="preserve">TXN00868</t>
  </si>
  <si>
    <t xml:space="preserve">TXN00603</t>
  </si>
  <si>
    <t xml:space="preserve">TXN00376</t>
  </si>
  <si>
    <t xml:space="preserve">TXN00534</t>
  </si>
  <si>
    <t xml:space="preserve">TXN00039</t>
  </si>
  <si>
    <t xml:space="preserve">TXN00983</t>
  </si>
  <si>
    <t xml:space="preserve">TXN00022</t>
  </si>
  <si>
    <t xml:space="preserve">TXN00344</t>
  </si>
  <si>
    <t xml:space="preserve">TXN01047</t>
  </si>
  <si>
    <t xml:space="preserve">TXN00771</t>
  </si>
  <si>
    <t xml:space="preserve">TXN00797</t>
  </si>
  <si>
    <t xml:space="preserve">TXN00032</t>
  </si>
  <si>
    <t xml:space="preserve">TXN00171</t>
  </si>
  <si>
    <t xml:space="preserve">TXN00520</t>
  </si>
  <si>
    <t xml:space="preserve">TXN00049</t>
  </si>
  <si>
    <t xml:space="preserve">TXN00764</t>
  </si>
  <si>
    <t xml:space="preserve">TXN00535</t>
  </si>
  <si>
    <t xml:space="preserve">TXN01014</t>
  </si>
  <si>
    <t xml:space="preserve">TXN01128</t>
  </si>
  <si>
    <t xml:space="preserve">TXN00419</t>
  </si>
  <si>
    <t xml:space="preserve">TXN00645</t>
  </si>
  <si>
    <t xml:space="preserve">TXN00939</t>
  </si>
  <si>
    <t xml:space="preserve">TXN01189</t>
  </si>
  <si>
    <t xml:space="preserve">TXN00070</t>
  </si>
  <si>
    <t xml:space="preserve">TXN00577</t>
  </si>
  <si>
    <t xml:space="preserve">TXN00308</t>
  </si>
  <si>
    <t xml:space="preserve">TXN00517</t>
  </si>
  <si>
    <t xml:space="preserve">TXN01069</t>
  </si>
  <si>
    <t xml:space="preserve">TXN01010</t>
  </si>
  <si>
    <t xml:space="preserve">TXN00567</t>
  </si>
  <si>
    <t xml:space="preserve">TXN00071</t>
  </si>
  <si>
    <t xml:space="preserve">TXN01002</t>
  </si>
  <si>
    <t xml:space="preserve">TXN00087</t>
  </si>
  <si>
    <t xml:space="preserve">TXN00036</t>
  </si>
  <si>
    <t xml:space="preserve">TXN00310</t>
  </si>
  <si>
    <t xml:space="preserve">TXN00551</t>
  </si>
  <si>
    <t xml:space="preserve">TXN00003</t>
  </si>
  <si>
    <t xml:space="preserve">TXN00130</t>
  </si>
  <si>
    <t xml:space="preserve">TXN00079</t>
  </si>
  <si>
    <t xml:space="preserve">TXN00034</t>
  </si>
  <si>
    <t xml:space="preserve">TXN01132</t>
  </si>
  <si>
    <t xml:space="preserve">TXN00629</t>
  </si>
  <si>
    <t xml:space="preserve">TXN00587</t>
  </si>
  <si>
    <t xml:space="preserve">TXN01050</t>
  </si>
  <si>
    <t xml:space="preserve">TXN00584</t>
  </si>
  <si>
    <t xml:space="preserve">TXN00397</t>
  </si>
  <si>
    <t xml:space="preserve">TXN00871</t>
  </si>
  <si>
    <t xml:space="preserve">TXN00724</t>
  </si>
  <si>
    <t xml:space="preserve">TXN00940</t>
  </si>
  <si>
    <t xml:space="preserve">TXN00368</t>
  </si>
  <si>
    <t xml:space="preserve">TXN00428</t>
  </si>
  <si>
    <t xml:space="preserve">TXN00649</t>
  </si>
  <si>
    <t xml:space="preserve">TXN00170</t>
  </si>
  <si>
    <t xml:space="preserve">TXN00041</t>
  </si>
  <si>
    <t xml:space="preserve">TXN00345</t>
  </si>
  <si>
    <t xml:space="preserve">TXN00501</t>
  </si>
  <si>
    <t xml:space="preserve">TXN00112</t>
  </si>
  <si>
    <t xml:space="preserve">TXN00809</t>
  </si>
  <si>
    <t xml:space="preserve">TXN00928</t>
  </si>
  <si>
    <t xml:space="preserve">TXN00434</t>
  </si>
  <si>
    <t xml:space="preserve">TXN00280</t>
  </si>
  <si>
    <t xml:space="preserve">TXN01131</t>
  </si>
  <si>
    <t xml:space="preserve">TXN01048</t>
  </si>
  <si>
    <t xml:space="preserve">TXN01088</t>
  </si>
  <si>
    <t xml:space="preserve">TXN00698</t>
  </si>
  <si>
    <t xml:space="preserve">TXN00437</t>
  </si>
  <si>
    <t xml:space="preserve">TXN00054</t>
  </si>
  <si>
    <t xml:space="preserve">TXN00508</t>
  </si>
  <si>
    <t xml:space="preserve">TXN00377</t>
  </si>
  <si>
    <t xml:space="preserve">TXN00888</t>
  </si>
  <si>
    <t xml:space="preserve">TXN00858</t>
  </si>
  <si>
    <t xml:space="preserve">TXN00208</t>
  </si>
  <si>
    <t xml:space="preserve">TXN00916</t>
  </si>
  <si>
    <t xml:space="preserve">TXN00709</t>
  </si>
  <si>
    <t xml:space="preserve">TXN01024</t>
  </si>
  <si>
    <t xml:space="preserve">TXN00300</t>
  </si>
  <si>
    <t xml:space="preserve">TXN00082</t>
  </si>
  <si>
    <t xml:space="preserve">TXN00058</t>
  </si>
  <si>
    <t xml:space="preserve">TXN00382</t>
  </si>
  <si>
    <t xml:space="preserve">TXN00287</t>
  </si>
  <si>
    <t xml:space="preserve">TXN00443</t>
  </si>
  <si>
    <t xml:space="preserve">TXN00151</t>
  </si>
  <si>
    <t xml:space="preserve">TXN01070</t>
  </si>
  <si>
    <t xml:space="preserve">TXN00793</t>
  </si>
  <si>
    <t xml:space="preserve">TXN00834</t>
  </si>
  <si>
    <t xml:space="preserve">TXN00795</t>
  </si>
  <si>
    <t xml:space="preserve">TXN00636</t>
  </si>
  <si>
    <t xml:space="preserve">TXN00472</t>
  </si>
  <si>
    <t xml:space="preserve">TXN00518</t>
  </si>
  <si>
    <t xml:space="preserve">TXN00207</t>
  </si>
  <si>
    <t xml:space="preserve">TXN00929</t>
  </si>
  <si>
    <t xml:space="preserve">TXN00594</t>
  </si>
  <si>
    <t xml:space="preserve">TXN00659</t>
  </si>
  <si>
    <t xml:space="preserve">TXN00392</t>
  </si>
  <si>
    <t xml:space="preserve">TXN01044</t>
  </si>
  <si>
    <t xml:space="preserve">TXN00704</t>
  </si>
  <si>
    <t xml:space="preserve">TXN00963</t>
  </si>
  <si>
    <t xml:space="preserve">TXN01154</t>
  </si>
  <si>
    <t xml:space="preserve">TXN00850</t>
  </si>
  <si>
    <t xml:space="preserve">TXN00944</t>
  </si>
  <si>
    <t xml:space="preserve">TXN00336</t>
  </si>
  <si>
    <t xml:space="preserve">TXN00747</t>
  </si>
  <si>
    <t xml:space="preserve">TXN01034</t>
  </si>
  <si>
    <t xml:space="preserve">TXN00807</t>
  </si>
  <si>
    <t xml:space="preserve">TXN00027</t>
  </si>
  <si>
    <t xml:space="preserve">TXN00962</t>
  </si>
  <si>
    <t xml:space="preserve">TXN00887</t>
  </si>
  <si>
    <t xml:space="preserve">TXN00546</t>
  </si>
  <si>
    <t xml:space="preserve">TXN00640</t>
  </si>
  <si>
    <t xml:space="preserve">TXN00562</t>
  </si>
  <si>
    <t xml:space="preserve">TXN00063</t>
  </si>
  <si>
    <t xml:space="preserve">TXN00161</t>
  </si>
  <si>
    <t xml:space="preserve">TXN00413</t>
  </si>
  <si>
    <t xml:space="preserve">TXN00684</t>
  </si>
  <si>
    <t xml:space="preserve">TXN01080</t>
  </si>
  <si>
    <t xml:space="preserve">TXN00343</t>
  </si>
  <si>
    <t xml:space="preserve">TXN01049</t>
  </si>
  <si>
    <t xml:space="preserve">TXN00471</t>
  </si>
  <si>
    <t xml:space="preserve">TXN00915</t>
  </si>
  <si>
    <t xml:space="preserve">TXN00522</t>
  </si>
  <si>
    <t xml:space="preserve">TXN01185</t>
  </si>
  <si>
    <t xml:space="preserve">TXN00783</t>
  </si>
  <si>
    <t xml:space="preserve">TXN00945</t>
  </si>
  <si>
    <t xml:space="preserve">TXN00479</t>
  </si>
  <si>
    <t xml:space="preserve">TXN00014</t>
  </si>
  <si>
    <t xml:space="preserve">TXN00100</t>
  </si>
  <si>
    <t xml:space="preserve">TXN01182</t>
  </si>
  <si>
    <t xml:space="preserve">TXN00498</t>
  </si>
  <si>
    <t xml:space="preserve">TXN00566</t>
  </si>
  <si>
    <t xml:space="preserve">TXN01105</t>
  </si>
  <si>
    <t xml:space="preserve">TXN00162</t>
  </si>
  <si>
    <t xml:space="preserve">TXN00312</t>
  </si>
  <si>
    <t xml:space="preserve">TXN00910</t>
  </si>
  <si>
    <t xml:space="preserve">TXN00108</t>
  </si>
  <si>
    <t xml:space="preserve">TXN00720</t>
  </si>
  <si>
    <t xml:space="preserve">TXN00558</t>
  </si>
  <si>
    <t xml:space="preserve">TXN00464</t>
  </si>
  <si>
    <t xml:space="preserve">TXN00229</t>
  </si>
  <si>
    <t xml:space="preserve">TXN00361</t>
  </si>
  <si>
    <t xml:space="preserve">TXN00585</t>
  </si>
  <si>
    <t xml:space="preserve">TXN00794</t>
  </si>
  <si>
    <t xml:space="preserve">TXN01061</t>
  </si>
  <si>
    <t xml:space="preserve">TXN00460</t>
  </si>
  <si>
    <t xml:space="preserve">TXN00224</t>
  </si>
  <si>
    <t xml:space="preserve">TXN01160</t>
  </si>
  <si>
    <t xml:space="preserve">TXN00532</t>
  </si>
  <si>
    <t xml:space="preserve">TXN00895</t>
  </si>
  <si>
    <t xml:space="preserve">TXN00852</t>
  </si>
  <si>
    <t xml:space="preserve">TXN00766</t>
  </si>
  <si>
    <t xml:space="preserve">TXN00309</t>
  </si>
  <si>
    <t xml:space="preserve">TXN00885</t>
  </si>
  <si>
    <t xml:space="preserve">TXN00647</t>
  </si>
  <si>
    <t xml:space="preserve">TXN00731</t>
  </si>
  <si>
    <t xml:space="preserve">TXN01006</t>
  </si>
  <si>
    <t xml:space="preserve">TXN01156</t>
  </si>
  <si>
    <t xml:space="preserve">TXN00601</t>
  </si>
  <si>
    <t xml:space="preserve">TXN00451</t>
  </si>
  <si>
    <t xml:space="preserve">TXN00127</t>
  </si>
  <si>
    <t xml:space="preserve">TXN00533</t>
  </si>
  <si>
    <t xml:space="preserve">TXN00379</t>
  </si>
  <si>
    <t xml:space="preserve">TXN00395</t>
  </si>
  <si>
    <t xml:space="preserve">TXN00083</t>
  </si>
  <si>
    <t xml:space="preserve">TXN00467</t>
  </si>
  <si>
    <t xml:space="preserve">TXN01025</t>
  </si>
  <si>
    <t xml:space="preserve">TXN00573</t>
  </si>
  <si>
    <t xml:space="preserve">TXN01058</t>
  </si>
  <si>
    <t xml:space="preserve">TXN01180</t>
  </si>
  <si>
    <t xml:space="preserve">TXN00729</t>
  </si>
  <si>
    <t xml:space="preserve">TXN00105</t>
  </si>
  <si>
    <t xml:space="preserve">TXN00156</t>
  </si>
  <si>
    <t xml:space="preserve">TXN00037</t>
  </si>
  <si>
    <t xml:space="preserve">TXN01067</t>
  </si>
  <si>
    <t xml:space="preserve">TXN00772</t>
  </si>
  <si>
    <t xml:space="preserve">TXN00245</t>
  </si>
  <si>
    <t xml:space="preserve">TXN00192</t>
  </si>
  <si>
    <t xml:space="preserve">TXN00845</t>
  </si>
  <si>
    <t xml:space="preserve">TXN00110</t>
  </si>
  <si>
    <t xml:space="preserve">TXN00912</t>
  </si>
  <si>
    <t xml:space="preserve">TXN00214</t>
  </si>
  <si>
    <t xml:space="preserve">TXN00476</t>
  </si>
  <si>
    <t xml:space="preserve">TXN00448</t>
  </si>
  <si>
    <t xml:space="preserve">TXN00699</t>
  </si>
  <si>
    <t xml:space="preserve">TXN00712</t>
  </si>
  <si>
    <t xml:space="preserve">TXN00174</t>
  </si>
  <si>
    <t xml:space="preserve">TXN01114</t>
  </si>
  <si>
    <t xml:space="preserve">TXN00593</t>
  </si>
  <si>
    <t xml:space="preserve">TXN00045</t>
  </si>
  <si>
    <t xml:space="preserve">TXN00506</t>
  </si>
  <si>
    <t xml:space="preserve">TXN00660</t>
  </si>
  <si>
    <t xml:space="preserve">TXN01136</t>
  </si>
  <si>
    <t xml:space="preserve">TXN00682</t>
  </si>
  <si>
    <t xml:space="preserve">TXN00187</t>
  </si>
  <si>
    <t xml:space="preserve">TXN00362</t>
  </si>
  <si>
    <t xml:space="preserve">TXN00925</t>
  </si>
  <si>
    <t xml:space="preserve">TXN00511</t>
  </si>
  <si>
    <t xml:space="preserve">TXN00189</t>
  </si>
  <si>
    <t xml:space="preserve">TXN00426</t>
  </si>
  <si>
    <t xml:space="preserve">TXN01039</t>
  </si>
  <si>
    <t xml:space="preserve">TXN01018</t>
  </si>
  <si>
    <t xml:space="preserve">TXN00788</t>
  </si>
  <si>
    <t xml:space="preserve">TXN00067</t>
  </si>
  <si>
    <t xml:space="preserve">TXN00352</t>
  </si>
  <si>
    <t xml:space="preserve">TXN00862</t>
  </si>
  <si>
    <t xml:space="preserve">TXN01116</t>
  </si>
  <si>
    <t xml:space="preserve">TXN00509</t>
  </si>
  <si>
    <t xml:space="preserve">TXN01134</t>
  </si>
  <si>
    <t xml:space="preserve">TXN00739</t>
  </si>
  <si>
    <t xml:space="preserve">TXN00346</t>
  </si>
  <si>
    <t xml:space="preserve">TXN00109</t>
  </si>
  <si>
    <t xml:space="preserve">TXN00507</t>
  </si>
  <si>
    <t xml:space="preserve">TXN01030</t>
  </si>
  <si>
    <t xml:space="preserve">TXN00092</t>
  </si>
  <si>
    <t xml:space="preserve">TXN00521</t>
  </si>
  <si>
    <t xml:space="preserve">TXN00730</t>
  </si>
  <si>
    <t xml:space="preserve">TXN00435</t>
  </si>
  <si>
    <t xml:space="preserve">TXN00465</t>
  </si>
  <si>
    <t xml:space="preserve">TXN00238</t>
  </si>
  <si>
    <t xml:space="preserve">TXN00859</t>
  </si>
  <si>
    <t xml:space="preserve">TXN00947</t>
  </si>
  <si>
    <t xml:space="preserve">TXN00827</t>
  </si>
  <si>
    <t xml:space="preserve">TXN00431</t>
  </si>
  <si>
    <t xml:space="preserve">TXN00761</t>
  </si>
  <si>
    <t xml:space="preserve">TXN00447</t>
  </si>
  <si>
    <t xml:space="preserve">TXN00016</t>
  </si>
  <si>
    <t xml:space="preserve">TXN00226</t>
  </si>
  <si>
    <t xml:space="preserve">TXN00007</t>
  </si>
  <si>
    <t xml:space="preserve">TXN00693</t>
  </si>
  <si>
    <t xml:space="preserve">TXN00994</t>
  </si>
  <si>
    <t xml:space="preserve">TXN00886</t>
  </si>
  <si>
    <t xml:space="preserve">TXN00897</t>
  </si>
  <si>
    <t xml:space="preserve">TXN00237</t>
  </si>
  <si>
    <t xml:space="preserve">TXN01086</t>
  </si>
  <si>
    <t xml:space="preserve">TXN00978</t>
  </si>
  <si>
    <t xml:space="preserve">TXN00199</t>
  </si>
  <si>
    <t xml:space="preserve">TXN00529</t>
  </si>
  <si>
    <t xml:space="preserve">TXN00288</t>
  </si>
  <si>
    <t xml:space="preserve">TXN00282</t>
  </si>
  <si>
    <t xml:space="preserve">TXN00575</t>
  </si>
  <si>
    <t xml:space="preserve">TXN01110</t>
  </si>
  <si>
    <t xml:space="preserve">TXN00799</t>
  </si>
  <si>
    <t xml:space="preserve">TXN00708</t>
  </si>
  <si>
    <t xml:space="preserve">TXN00347</t>
  </si>
  <si>
    <t xml:space="preserve">TXN00292</t>
  </si>
  <si>
    <t xml:space="preserve">TXN00338</t>
  </si>
  <si>
    <t xml:space="preserve">TXN00776</t>
  </si>
  <si>
    <t xml:space="preserve">TXN00778</t>
  </si>
  <si>
    <t xml:space="preserve">TXN00068</t>
  </si>
  <si>
    <t xml:space="preserve">TXN00317</t>
  </si>
  <si>
    <t xml:space="preserve">TXN00002</t>
  </si>
  <si>
    <t xml:space="preserve">TXN00135</t>
  </si>
  <si>
    <t xml:space="preserve">TXN01032</t>
  </si>
  <si>
    <t xml:space="preserve">TXN00329</t>
  </si>
  <si>
    <t xml:space="preserve">TXN00328</t>
  </si>
  <si>
    <t xml:space="preserve">TXN00152</t>
  </si>
  <si>
    <t xml:space="preserve">TXN00798</t>
  </si>
  <si>
    <t xml:space="preserve">TXN00289</t>
  </si>
  <si>
    <t xml:space="preserve">TXN00466</t>
  </si>
  <si>
    <t xml:space="preserve">TXN00341</t>
  </si>
  <si>
    <t xml:space="preserve">TXN01000</t>
  </si>
  <si>
    <t xml:space="preserve">TXN00765</t>
  </si>
  <si>
    <t xml:space="preserve">TXN00979</t>
  </si>
  <si>
    <t xml:space="preserve">TXN01139</t>
  </si>
  <si>
    <t xml:space="preserve">TXN00153</t>
  </si>
  <si>
    <t xml:space="preserve">TXN00350</t>
  </si>
  <si>
    <t xml:space="preserve">TXN00892</t>
  </si>
  <si>
    <t xml:space="preserve">TXN00884</t>
  </si>
  <si>
    <t xml:space="preserve">TXN00816</t>
  </si>
  <si>
    <t xml:space="preserve">TXN00808</t>
  </si>
  <si>
    <t xml:space="preserve">TXN00744</t>
  </si>
  <si>
    <t xml:space="preserve">TXN00461</t>
  </si>
  <si>
    <t xml:space="preserve">TXN01107</t>
  </si>
  <si>
    <t xml:space="preserve">TXN00512</t>
  </si>
  <si>
    <t xml:space="preserve">TXN00961</t>
  </si>
  <si>
    <t xml:space="preserve">TXN00164</t>
  </si>
  <si>
    <t xml:space="preserve">TXN00667</t>
  </si>
  <si>
    <t xml:space="preserve">TXN00203</t>
  </si>
  <si>
    <t xml:space="preserve">TXN00874</t>
  </si>
  <si>
    <t xml:space="preserve">TXN00006</t>
  </si>
  <si>
    <t xml:space="preserve">TXN01113</t>
  </si>
  <si>
    <t xml:space="preserve">TXN00957</t>
  </si>
  <si>
    <t xml:space="preserve">TXN00992</t>
  </si>
  <si>
    <t xml:space="preserve">TXN00956</t>
  </si>
  <si>
    <t xml:space="preserve">TXN00222</t>
  </si>
  <si>
    <t xml:space="preserve">TXN00357</t>
  </si>
  <si>
    <t xml:space="preserve">TXN00569</t>
  </si>
  <si>
    <t xml:space="preserve">TXN00370</t>
  </si>
  <si>
    <t xml:space="preserve">TXN00235</t>
  </si>
  <si>
    <t xml:space="preserve">TXN00029</t>
  </si>
  <si>
    <t xml:space="preserve">TXN00030</t>
  </si>
  <si>
    <t xml:space="preserve">TXN00318</t>
  </si>
  <si>
    <t xml:space="preserve">TXN00674</t>
  </si>
  <si>
    <t xml:space="preserve">TXN00863</t>
  </si>
  <si>
    <t xml:space="preserve">TXN00066</t>
  </si>
  <si>
    <t xml:space="preserve">TXN01055</t>
  </si>
  <si>
    <t xml:space="preserve">TXN00726</t>
  </si>
  <si>
    <t xml:space="preserve">TXN00056</t>
  </si>
  <si>
    <t xml:space="preserve">TXN00271</t>
  </si>
  <si>
    <t xml:space="preserve">TXN00550</t>
  </si>
  <si>
    <t xml:space="preserve">TXN00622</t>
  </si>
  <si>
    <t xml:space="preserve">TXN00791</t>
  </si>
  <si>
    <t xml:space="preserve">TXN00355</t>
  </si>
  <si>
    <t xml:space="preserve">TXN00335</t>
  </si>
  <si>
    <t xml:space="preserve">TXN00973</t>
  </si>
  <si>
    <t xml:space="preserve">TXN00893</t>
  </si>
  <si>
    <t xml:space="preserve">TXN00714</t>
  </si>
  <si>
    <t xml:space="preserve">TXN00204</t>
  </si>
  <si>
    <t xml:space="preserve">TXN01163</t>
  </si>
  <si>
    <t xml:space="preserve">TXN00941</t>
  </si>
  <si>
    <t xml:space="preserve">TXN00090</t>
  </si>
  <si>
    <t xml:space="preserve">Raw Store Label</t>
  </si>
  <si>
    <t xml:space="preserve">Store ID</t>
  </si>
  <si>
    <t xml:space="preserve">Standard Store Name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</si>
  <si>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</si>
  <si>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</si>
  <si>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</si>
  <si>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</si>
  <si>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</si>
  <si>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</si>
  <si>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Unit Cost</t>
  </si>
  <si>
    <t xml:space="preserve">Classic Denim Jacket</t>
  </si>
  <si>
    <t xml:space="preserve">Cotton Crew T-Shirt</t>
  </si>
  <si>
    <t xml:space="preserve">Fleece Pullover Hoodie</t>
  </si>
  <si>
    <t xml:space="preserve">Slim Fit Chinos</t>
  </si>
  <si>
    <t xml:space="preserve">Running Sneakers</t>
  </si>
  <si>
    <t xml:space="preserve">Canvas Low-Top</t>
  </si>
  <si>
    <t xml:space="preserve">Leather Ankle Boot</t>
  </si>
  <si>
    <t xml:space="preserve">Slide Sandals</t>
  </si>
  <si>
    <t xml:space="preserve">Leather Belt</t>
  </si>
  <si>
    <t xml:space="preserve">Aviator Sunglasses</t>
  </si>
  <si>
    <t xml:space="preserve">Canvas Tote Bag</t>
  </si>
  <si>
    <t xml:space="preserve">Wool Beanie</t>
  </si>
  <si>
    <t xml:space="preserve">Wireless Earbuds</t>
  </si>
  <si>
    <t xml:space="preserve">Bluetooth Speaker</t>
  </si>
  <si>
    <t xml:space="preserve">Fitness Tracker Band</t>
  </si>
  <si>
    <t xml:space="preserve">Phone Charging Cable</t>
  </si>
  <si>
    <t xml:space="preserve">Ceramic Coffee Mug Set</t>
  </si>
  <si>
    <t xml:space="preserve">Scented Candle</t>
  </si>
  <si>
    <t xml:space="preserve">Cotton Throw Blanket</t>
  </si>
  <si>
    <t xml:space="preserve">Bamboo Cutting Board</t>
  </si>
  <si>
    <t xml:space="preserve">Year</t>
  </si>
  <si>
    <t xml:space="preserve">Month</t>
  </si>
  <si>
    <t xml:space="preserve">Month Name</t>
  </si>
  <si>
    <t xml:space="preserve">Quarter</t>
  </si>
  <si>
    <t xml:space="preserve">Week of Year</t>
  </si>
  <si>
    <t xml:space="preserve">Day of Week</t>
  </si>
  <si>
    <t xml:space="preserve">Measure</t>
  </si>
  <si>
    <t xml:space="preserve">DAX (Power Pivot)</t>
  </si>
  <si>
    <t xml:space="preserve">Excel Formula Equivalent</t>
  </si>
  <si>
    <t xml:space="preserve">Result</t>
  </si>
  <si>
    <t xml:space="preserve">Total Revenue</t>
  </si>
  <si>
    <t xml:space="preserve">Total Revenue := SUMX(Sales, Sales[Units] * RELATED(Product[UnitPrice]))</t>
  </si>
  <si>
    <t xml:space="preserve">Revenue — Downtown</t>
  </si>
  <si>
    <t xml:space="preserve">Downtown Revenue := CALCULATE([Total Revenue], Store[StoreName]="Downtown")</t>
  </si>
  <si>
    <t xml:space="preserve">Revenue — Footwear</t>
  </si>
  <si>
    <t xml:space="preserve">Footwear Revenue := CALCULATE([Total Revenue], Product[Category]="Footwear")</t>
  </si>
  <si>
    <t xml:space="preserve">Total Units Sold</t>
  </si>
  <si>
    <t xml:space="preserve">Total Units := SUM(Sales[Units])</t>
  </si>
  <si>
    <t xml:space="preserve">Avg Revenue per Transaction</t>
  </si>
  <si>
    <t xml:space="preserve">Avg Txn Value := DIVIDE([Total Revenue], COUNTROWS(Sales))</t>
  </si>
  <si>
    <t xml:space="preserve">Stores Reporting</t>
  </si>
  <si>
    <t xml:space="preserve">Store Count := DISTINCTCOUNT(Sales[Store])</t>
  </si>
  <si>
    <t xml:space="preserve">How to automate this for real: Power Query recipe</t>
  </si>
  <si>
    <t xml:space="preserve">In live Excel, this whole pipeline can run itself every time new CSVs land in a folder. Here's the step list — Data &gt; Get Data &gt; From File &gt; From Folder, pointed at the folder your stores drop their weekly exports into:</t>
  </si>
  <si>
    <t xml:space="preserve">1. Get Data &gt; From Folder</t>
  </si>
  <si>
    <t xml:space="preserve">Point Power Query at the shared folder where all store CSVs land.</t>
  </si>
  <si>
    <t xml:space="preserve">2. Combine &amp; Transform</t>
  </si>
  <si>
    <t xml:space="preserve">Power Query stacks every CSV in the folder into one table automatically — new files picked up on next refresh, no formula changes needed.</t>
  </si>
  <si>
    <t xml:space="preserve">3. Promote Headers</t>
  </si>
  <si>
    <t xml:space="preserve">Use the first row of each file as column headers.</t>
  </si>
  <si>
    <t xml:space="preserve">4. Trim &amp; Clean columns</t>
  </si>
  <si>
    <t xml:space="preserve">Transform &gt; Format &gt; Trim / Clean on the Store Label column; Change Type &gt; Whole Number on Units (Power Query auto-parses the stray whitespace this workbook handles with TRIM/VALUE).</t>
  </si>
  <si>
    <t xml:space="preserve">5. Merge with Store Mapping</t>
  </si>
  <si>
    <t xml:space="preserve">Home &gt; Merge Queries, join on the raw Store Label, expand the Standard Store Name column — replaces the INDEX/MATCH used here.</t>
  </si>
  <si>
    <t xml:space="preserve">6. Merge with Product Master</t>
  </si>
  <si>
    <t xml:space="preserve">Merge Queries again on SKU, expand Product/Category/UnitPrice/UnitCost.</t>
  </si>
  <si>
    <t xml:space="preserve">7. Add Custom Column: Revenue</t>
  </si>
  <si>
    <t xml:space="preserve">Add Column &gt; Custom Column: [Clean Units] * [Unit Price].</t>
  </si>
  <si>
    <t xml:space="preserve">8. Remove Duplicates</t>
  </si>
  <si>
    <t xml:space="preserve">Select the Transaction ID column &gt; Remove Rows &gt; Remove Duplicates.</t>
  </si>
  <si>
    <t xml:space="preserve">9. Close &amp; Load To &gt; Data Model</t>
  </si>
  <si>
    <t xml:space="preserve">Loads the cleaned table into Power Pivot, ready for DAX measures and PivotTables.</t>
  </si>
  <si>
    <t xml:space="preserve">10. Refresh All</t>
  </si>
  <si>
    <t xml:space="preserve">Data &gt; Refresh All (or the VBA macro on the next sheet) re-runs every step above against whatever files are currently in the folder.</t>
  </si>
  <si>
    <t xml:space="preserve">One-click refresh: VBA macro</t>
  </si>
  <si>
    <t xml:space="preserve">Paste this into a real Excel workbook's VBA editor (Alt+F11 &gt; Insert &gt; Module) once the Power Query steps above are set up, then assign it to a button (Developer tab &gt; Insert &gt; Button) so anyone can refresh with one click — no need to know Data &gt; Refresh All exists.</t>
  </si>
  <si>
    <t xml:space="preserve">Sub RefreshAllData()</t>
  </si>
  <si>
    <t xml:space="preserve">    ' One-click refresh: pulls in any new CSVs dropped into the export folder,</t>
  </si>
  <si>
    <t xml:space="preserve">    ' re-runs every Power Query step, and recalculates the workbook.</t>
  </si>
  <si>
    <t xml:space="preserve">    Application.ScreenUpdating = False</t>
  </si>
  <si>
    <t xml:space="preserve">    Application.StatusBar = "Refreshing store data..."</t>
  </si>
  <si>
    <t xml:space="preserve">    On Error GoTo ErrorHandler</t>
  </si>
  <si>
    <t xml:space="preserve">    ' Refresh every query and PivotTable connection in the workbook</t>
  </si>
  <si>
    <t xml:space="preserve">    ThisWorkbook.RefreshAll</t>
  </si>
  <si>
    <t xml:space="preserve">    ' Give Power Query a moment to finish before recalculating</t>
  </si>
  <si>
    <t xml:space="preserve">    Application.CalculateFullRebuild</t>
  </si>
  <si>
    <t xml:space="preserve">    Application.StatusBar = "Refresh complete: " &amp; Format(Now, "hh:mm:ss")</t>
  </si>
  <si>
    <t xml:space="preserve">    MsgBox "Store data refreshed successfully.", vbInformation, "Refresh Complete"</t>
  </si>
  <si>
    <t xml:space="preserve">    GoTo CleanExit</t>
  </si>
  <si>
    <t xml:space="preserve">ErrorHandler:</t>
  </si>
  <si>
    <t xml:space="preserve">    MsgBox "Refresh failed: " &amp; Err.Description, vbExclamation, "Refresh Error"</t>
  </si>
  <si>
    <t xml:space="preserve">CleanExit:</t>
  </si>
  <si>
    <t xml:space="preserve">    Application.ScreenUpdating = True</t>
  </si>
  <si>
    <t xml:space="preserve">    Application.StatusBar = False</t>
  </si>
  <si>
    <t xml:space="preserve">End Sub</t>
  </si>
  <si>
    <t xml:space="preserve">Tip: record a blank macro first (Developer &gt; Record Macro) to confirm your security settings allow macros, then replace its body with the code above.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</si>
</sst>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0"/>
    <numFmt numFmtId="168" formatCode="yyyy\-mm\-dd"/>
    <numFmt numFmtId="169" formatCode="\$#,##0.00"/>
    <numFmt numFmtId="170" formatCode="[$$-409]#,##0.00;[RED]\-[$$-409]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1F7A1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  <font>
      <sz val="9"/>
      <name val="Consolas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878787"/>
      <rgbColor rgb="FFC0504D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Dashboard!$B$12:$B$17</c:f>
              <c:strCache>
                <c:ptCount val="6"/>
                <c:pt idx="0">
                  <c:v>Airport Plaza</c:v>
                </c:pt>
                <c:pt idx="1">
                  <c:v>Downtown</c:v>
                </c:pt>
                <c:pt idx="2">
                  <c:v>Eastgate</c:v>
                </c:pt>
                <c:pt idx="3">
                  <c:v>Northpark</c:v>
                </c:pt>
                <c:pt idx="4">
                  <c:v>Riverside</c:v>
                </c:pt>
                <c:pt idx="5">
                  <c:v>Westside Mall</c:v>
                </c:pt>
              </c:strCache>
            </c:strRef>
          </c:cat>
          <c:val>
            <c:numRef>
              <c:f>Dashboard!$C$12:$C$17</c:f>
              <c:numCache>
                <c:formatCode>\$#,##0</c:formatCode>
                <c:ptCount val="6"/>
                <c:pt idx="0">
                  <c:v>29211</c:v>
                </c:pt>
                <c:pt idx="1">
                  <c:v>32760</c:v>
                </c:pt>
                <c:pt idx="2">
                  <c:v>27943</c:v>
                </c:pt>
                <c:pt idx="3">
                  <c:v>32399</c:v>
                </c:pt>
                <c:pt idx="4">
                  <c:v>32503</c:v>
                </c:pt>
                <c:pt idx="5">
                  <c:v>33925</c:v>
                </c:pt>
              </c:numCache>
            </c:numRef>
          </c:val>
        </c:ser>
        <c:gapWidth val="150"/>
        <c:overlap val="0"/>
        <c:axId val="63713848"/>
        <c:axId val="39936130"/>
      </c:barChart>
      <c:catAx>
        <c:axId val="6371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36130"/>
        <c:crosses val="autoZero"/>
        <c:auto val="1"/>
        <c:lblAlgn val="ctr"/>
        <c:lblOffset val="100"/>
        <c:noMultiLvlLbl val="0"/>
      </c:catAx>
      <c:valAx>
        <c:axId val="39936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138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Dashboard!G11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Dashboard!$F$12:$F$16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Footwear</c:v>
                </c:pt>
                <c:pt idx="4">
                  <c:v>Home Goods</c:v>
                </c:pt>
              </c:strCache>
            </c:strRef>
          </c:cat>
          <c:val>
            <c:numRef>
              <c:f>Dashboard!$G$12:$G$16</c:f>
              <c:numCache>
                <c:formatCode>\$#,##0</c:formatCode>
                <c:ptCount val="5"/>
                <c:pt idx="0">
                  <c:v>20422</c:v>
                </c:pt>
                <c:pt idx="1">
                  <c:v>39758</c:v>
                </c:pt>
                <c:pt idx="2">
                  <c:v>49098</c:v>
                </c:pt>
                <c:pt idx="3">
                  <c:v>57772</c:v>
                </c:pt>
                <c:pt idx="4">
                  <c:v>21691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70560</xdr:rowOff>
    </xdr:from>
    <xdr:to>
      <xdr:col>7</xdr:col>
      <xdr:colOff>324720</xdr:colOff>
      <xdr:row>35</xdr:row>
      <xdr:rowOff>71640</xdr:rowOff>
    </xdr:to>
    <xdr:graphicFrame>
      <xdr:nvGraphicFramePr>
        <xdr:cNvPr id="0" name="Chart 1"/>
        <xdr:cNvGraphicFramePr/>
      </xdr:nvGraphicFramePr>
      <xdr:xfrm>
        <a:off x="141120" y="39816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70560</xdr:rowOff>
    </xdr:from>
    <xdr:to>
      <xdr:col>11</xdr:col>
      <xdr:colOff>559080</xdr:colOff>
      <xdr:row>35</xdr:row>
      <xdr:rowOff>71640</xdr:rowOff>
    </xdr:to>
    <xdr:graphicFrame>
      <xdr:nvGraphicFramePr>
        <xdr:cNvPr id="1" name="Chart 2"/>
        <xdr:cNvGraphicFramePr/>
      </xdr:nvGraphicFramePr>
      <xdr:xfrm>
        <a:off x="3524400" y="39816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54.75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.75" hidden="false" customHeight="true" outlineLevel="0" collapsed="false">
      <c r="B8" s="4" t="s">
        <v>4</v>
      </c>
    </row>
    <row r="9" customFormat="false" ht="15.75" hidden="false" customHeight="true" outlineLevel="0" collapsed="false">
      <c r="B9" s="4" t="s">
        <v>5</v>
      </c>
    </row>
    <row r="10" customFormat="false" ht="15.75" hidden="false" customHeight="true" outlineLevel="0" collapsed="false">
      <c r="B10" s="4" t="s">
        <v>6</v>
      </c>
    </row>
    <row r="11" customFormat="false" ht="15.75" hidden="false" customHeight="true" outlineLevel="0" collapsed="false">
      <c r="B11" s="4" t="s">
        <v>7</v>
      </c>
    </row>
    <row r="12" customFormat="false" ht="15.75" hidden="false" customHeight="true" outlineLevel="0" collapsed="false">
      <c r="B12" s="4" t="s">
        <v>8</v>
      </c>
    </row>
    <row r="13" customFormat="false" ht="15.75" hidden="false" customHeight="true" outlineLevel="0" collapsed="false">
      <c r="B13" s="4" t="s">
        <v>9</v>
      </c>
    </row>
    <row r="15" customFormat="false" ht="15" hidden="false" customHeight="false" outlineLevel="0" collapsed="false">
      <c r="B15" s="2" t="s">
        <v>10</v>
      </c>
    </row>
    <row r="16" customFormat="false" ht="90" hidden="false" customHeight="true" outlineLevel="0" collapsed="false">
      <c r="B16" s="3" t="s">
        <v>11</v>
      </c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0" t="s">
        <v>13</v>
      </c>
    </row>
    <row r="20" customFormat="false" ht="15" hidden="false" customHeight="false" outlineLevel="0" collapsed="false">
      <c r="B20" s="0" t="s">
        <v>14</v>
      </c>
    </row>
    <row r="21" customFormat="false" ht="15" hidden="false" customHeight="false" outlineLevel="0" collapsed="false">
      <c r="B21" s="0" t="s">
        <v>15</v>
      </c>
    </row>
    <row r="22" customFormat="false" ht="15" hidden="false" customHeight="false" outlineLevel="0" collapsed="false">
      <c r="B22" s="0" t="s">
        <v>16</v>
      </c>
    </row>
    <row r="23" customFormat="false" ht="15" hidden="false" customHeight="false" outlineLevel="0" collapsed="false">
      <c r="B23" s="0" t="s">
        <v>17</v>
      </c>
    </row>
    <row r="24" customFormat="false" ht="15" hidden="false" customHeight="false" outlineLevel="0" collapsed="false">
      <c r="B24" s="0" t="s">
        <v>18</v>
      </c>
    </row>
    <row r="25" customFormat="false" ht="15" hidden="false" customHeight="false" outlineLevel="0" collapsed="false">
      <c r="B25" s="0" t="s">
        <v>19</v>
      </c>
    </row>
    <row r="26" customFormat="false" ht="15" hidden="false" customHeight="false" outlineLevel="0" collapsed="false">
      <c r="B26" s="0" t="s">
        <v>20</v>
      </c>
    </row>
    <row r="27" customFormat="false" ht="15" hidden="false" customHeight="false" outlineLevel="0" collapsed="false">
      <c r="B27" s="0" t="s">
        <v>21</v>
      </c>
    </row>
    <row r="30" customFormat="false" ht="30" hidden="false" customHeight="true" outlineLevel="0" collapsed="false">
      <c r="B30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2"/>
  </cols>
  <sheetData>
    <row r="2" customFormat="false" ht="24.45" hidden="false" customHeight="false" outlineLevel="0" collapsed="false">
      <c r="B2" s="6" t="s">
        <v>23</v>
      </c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B3" s="7" t="s">
        <v>24</v>
      </c>
      <c r="C3" s="7"/>
      <c r="D3" s="7"/>
      <c r="E3" s="7"/>
      <c r="F3" s="7"/>
      <c r="G3" s="7"/>
      <c r="H3" s="7"/>
      <c r="I3" s="7"/>
      <c r="J3" s="7"/>
    </row>
    <row r="5" customFormat="false" ht="27.75" hidden="false" customHeight="true" outlineLevel="0" collapsed="false">
      <c r="B5" s="8" t="s">
        <v>25</v>
      </c>
      <c r="C5" s="8"/>
      <c r="D5" s="8" t="s">
        <v>26</v>
      </c>
      <c r="E5" s="8"/>
      <c r="F5" s="8" t="s">
        <v>27</v>
      </c>
      <c r="G5" s="8"/>
      <c r="H5" s="8" t="s">
        <v>28</v>
      </c>
      <c r="I5" s="8"/>
    </row>
    <row r="6" customFormat="false" ht="27.75" hidden="false" customHeight="true" outlineLevel="0" collapsed="false">
      <c r="B6" s="9" t="n">
        <f aca="false">'Consolidated Master'!I1244</f>
        <v>188741</v>
      </c>
      <c r="C6" s="9"/>
      <c r="D6" s="10" t="n">
        <f aca="false">'Consolidated Master'!I1246</f>
        <v>1194</v>
      </c>
      <c r="E6" s="10"/>
      <c r="F6" s="10" t="n">
        <f aca="false">'Consolidated Master'!I1245</f>
        <v>47</v>
      </c>
      <c r="G6" s="10"/>
      <c r="H6" s="11" t="n">
        <f aca="false">'Measures (DAX vs Excel)'!D7</f>
        <v>6</v>
      </c>
      <c r="I6" s="11"/>
    </row>
    <row r="9" customFormat="false" ht="18" hidden="false" customHeight="true" outlineLevel="0" collapsed="false">
      <c r="B9" s="12" t="s">
        <v>29</v>
      </c>
      <c r="C9" s="12"/>
      <c r="D9" s="12"/>
      <c r="E9" s="12"/>
      <c r="F9" s="12"/>
      <c r="G9" s="12"/>
      <c r="H9" s="12"/>
      <c r="I9" s="12"/>
      <c r="J9" s="12"/>
    </row>
    <row r="11" customFormat="false" ht="15" hidden="false" customHeight="false" outlineLevel="0" collapsed="false">
      <c r="B11" s="13" t="s">
        <v>30</v>
      </c>
      <c r="C11" s="13" t="s">
        <v>31</v>
      </c>
      <c r="F11" s="13" t="s">
        <v>32</v>
      </c>
      <c r="G11" s="13" t="s">
        <v>31</v>
      </c>
    </row>
    <row r="12" customFormat="false" ht="15" hidden="false" customHeight="false" outlineLevel="0" collapsed="false">
      <c r="B12" s="0" t="s">
        <v>33</v>
      </c>
      <c r="C12" s="14" t="n">
        <f aca="false">SUMIFS('Consolidated Master'!I2:I1242,'Consolidated Master'!C2:C1242,B12,'Consolidated Master'!J2:J1242,"")</f>
        <v>29211</v>
      </c>
      <c r="F12" s="15" t="s">
        <v>34</v>
      </c>
      <c r="G12" s="14" t="n">
        <f aca="false">SUMIFS('Consolidated Master'!I2:I1242,'Consolidated Master'!F2:F1242,F12,'Consolidated Master'!J2:J1242,"")</f>
        <v>20422</v>
      </c>
    </row>
    <row r="13" customFormat="false" ht="15" hidden="false" customHeight="false" outlineLevel="0" collapsed="false">
      <c r="B13" s="0" t="s">
        <v>35</v>
      </c>
      <c r="C13" s="14" t="n">
        <f aca="false">SUMIFS('Consolidated Master'!I2:I1242,'Consolidated Master'!C2:C1242,B13,'Consolidated Master'!J2:J1242,"")</f>
        <v>32760</v>
      </c>
      <c r="F13" s="15" t="s">
        <v>36</v>
      </c>
      <c r="G13" s="14" t="n">
        <f aca="false">SUMIFS('Consolidated Master'!I2:I1242,'Consolidated Master'!F2:F1242,F13,'Consolidated Master'!J2:J1242,"")</f>
        <v>39758</v>
      </c>
    </row>
    <row r="14" customFormat="false" ht="15" hidden="false" customHeight="false" outlineLevel="0" collapsed="false">
      <c r="B14" s="0" t="s">
        <v>37</v>
      </c>
      <c r="C14" s="14" t="n">
        <f aca="false">SUMIFS('Consolidated Master'!I2:I1242,'Consolidated Master'!C2:C1242,B14,'Consolidated Master'!J2:J1242,"")</f>
        <v>27943</v>
      </c>
      <c r="F14" s="15" t="s">
        <v>38</v>
      </c>
      <c r="G14" s="14" t="n">
        <f aca="false">SUMIFS('Consolidated Master'!I2:I1242,'Consolidated Master'!F2:F1242,F14,'Consolidated Master'!J2:J1242,"")</f>
        <v>49098</v>
      </c>
    </row>
    <row r="15" customFormat="false" ht="15" hidden="false" customHeight="false" outlineLevel="0" collapsed="false">
      <c r="B15" s="0" t="s">
        <v>39</v>
      </c>
      <c r="C15" s="14" t="n">
        <f aca="false">SUMIFS('Consolidated Master'!I2:I1242,'Consolidated Master'!C2:C1242,B15,'Consolidated Master'!J2:J1242,"")</f>
        <v>32399</v>
      </c>
      <c r="F15" s="15" t="s">
        <v>40</v>
      </c>
      <c r="G15" s="14" t="n">
        <f aca="false">SUMIFS('Consolidated Master'!I2:I1242,'Consolidated Master'!F2:F1242,F15,'Consolidated Master'!J2:J1242,"")</f>
        <v>57772</v>
      </c>
    </row>
    <row r="16" customFormat="false" ht="15" hidden="false" customHeight="false" outlineLevel="0" collapsed="false">
      <c r="B16" s="0" t="s">
        <v>41</v>
      </c>
      <c r="C16" s="14" t="n">
        <f aca="false">SUMIFS('Consolidated Master'!I2:I1242,'Consolidated Master'!C2:C1242,B16,'Consolidated Master'!J2:J1242,"")</f>
        <v>32503</v>
      </c>
      <c r="F16" s="15" t="s">
        <v>42</v>
      </c>
      <c r="G16" s="14" t="n">
        <f aca="false">SUMIFS('Consolidated Master'!I2:I1242,'Consolidated Master'!F2:F1242,F16,'Consolidated Master'!J2:J1242,"")</f>
        <v>21691</v>
      </c>
    </row>
    <row r="17" customFormat="false" ht="15" hidden="false" customHeight="false" outlineLevel="0" collapsed="false">
      <c r="B17" s="0" t="s">
        <v>43</v>
      </c>
      <c r="C17" s="14" t="n">
        <f aca="false">SUMIFS('Consolidated Master'!I2:I1242,'Consolidated Master'!C2:C1242,B17,'Consolidated Master'!J2:J1242,"")</f>
        <v>33925</v>
      </c>
    </row>
  </sheetData>
  <mergeCells count="11">
    <mergeCell ref="B2:J2"/>
    <mergeCell ref="B3:J3"/>
    <mergeCell ref="B5:C5"/>
    <mergeCell ref="D5:E5"/>
    <mergeCell ref="F5:G5"/>
    <mergeCell ref="H5:I5"/>
    <mergeCell ref="B6:C6"/>
    <mergeCell ref="D6:E6"/>
    <mergeCell ref="F6:G6"/>
    <mergeCell ref="H6:I6"/>
    <mergeCell ref="B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9" min="7" style="0" width="11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6" t="s">
        <v>44</v>
      </c>
      <c r="B1" s="16" t="s">
        <v>45</v>
      </c>
      <c r="C1" s="16" t="s">
        <v>30</v>
      </c>
      <c r="D1" s="16" t="s">
        <v>46</v>
      </c>
      <c r="E1" s="16" t="s">
        <v>47</v>
      </c>
      <c r="F1" s="16" t="s">
        <v>32</v>
      </c>
      <c r="G1" s="16" t="s">
        <v>48</v>
      </c>
      <c r="H1" s="16" t="s">
        <v>49</v>
      </c>
      <c r="I1" s="16" t="s">
        <v>31</v>
      </c>
      <c r="J1" s="16" t="s">
        <v>50</v>
      </c>
    </row>
    <row r="2" customFormat="false" ht="15" hidden="false" customHeight="false" outlineLevel="0" collapsed="false">
      <c r="A2" s="0" t="str">
        <f aca="false">'Raw Store Exports'!A2</f>
        <v>TXN01054</v>
      </c>
      <c r="B2" s="17" t="n">
        <f aca="false">'Raw Store Exports'!C2</f>
        <v>46079</v>
      </c>
      <c r="C2" s="0" t="str">
        <f aca="false">INDEX('Store Mapping'!$C$2:$C$19,MATCH(TRIM('Raw Store Exports'!B2),'Store Mapping'!$A$2:$A$19,0))</f>
        <v>Downtown</v>
      </c>
      <c r="D2" s="0" t="str">
        <f aca="false">'Raw Store Exports'!D2</f>
        <v>ELE-404</v>
      </c>
      <c r="E2" s="0" t="str">
        <f aca="false">INDEX('Product Master'!$B$2:$B$21,MATCH(D2,'Product Master'!$A$2:$A$21,0))</f>
        <v>Phone Charging Cable</v>
      </c>
      <c r="F2" s="0" t="str">
        <f aca="false">INDEX('Product Master'!$C$2:$C$21,MATCH(D2,'Product Master'!$A$2:$A$21,0))</f>
        <v>Electronics</v>
      </c>
      <c r="G2" s="15" t="n">
        <f aca="false">VALUE(TRIM('Raw Store Exports'!E2&amp;""))</f>
        <v>1</v>
      </c>
      <c r="H2" s="18" t="n">
        <f aca="false">INDEX('Product Master'!$D$2:$D$21,MATCH(D2,'Product Master'!$A$2:$A$21,0))</f>
        <v>12</v>
      </c>
      <c r="I2" s="14" t="n">
        <f aca="false">G2*H2</f>
        <v>12</v>
      </c>
      <c r="J2" s="0" t="str">
        <f aca="false">IF(COUNTIF($A$2:A2,A2)&gt;1,"Duplicate","")</f>
        <v/>
      </c>
    </row>
    <row r="3" customFormat="false" ht="15" hidden="false" customHeight="false" outlineLevel="0" collapsed="false">
      <c r="A3" s="0" t="str">
        <f aca="false">'Raw Store Exports'!A3</f>
        <v>TXN00098</v>
      </c>
      <c r="B3" s="17" t="n">
        <f aca="false">'Raw Store Exports'!C3</f>
        <v>46032</v>
      </c>
      <c r="C3" s="0" t="str">
        <f aca="false">INDEX('Store Mapping'!$C$2:$C$19,MATCH(TRIM('Raw Store Exports'!B3),'Store Mapping'!$A$2:$A$19,0))</f>
        <v>Riverside</v>
      </c>
      <c r="D3" s="0" t="str">
        <f aca="false">'Raw Store Exports'!D3</f>
        <v>ACC-304</v>
      </c>
      <c r="E3" s="0" t="str">
        <f aca="false">INDEX('Product Master'!$B$2:$B$21,MATCH(D3,'Product Master'!$A$2:$A$21,0))</f>
        <v>Wool Beanie</v>
      </c>
      <c r="F3" s="0" t="str">
        <f aca="false">INDEX('Product Master'!$C$2:$C$21,MATCH(D3,'Product Master'!$A$2:$A$21,0))</f>
        <v>Accessories</v>
      </c>
      <c r="G3" s="15" t="n">
        <f aca="false">VALUE(TRIM('Raw Store Exports'!E3&amp;""))</f>
        <v>6</v>
      </c>
      <c r="H3" s="18" t="n">
        <f aca="false">INDEX('Product Master'!$D$2:$D$21,MATCH(D3,'Product Master'!$A$2:$A$21,0))</f>
        <v>16</v>
      </c>
      <c r="I3" s="14" t="n">
        <f aca="false">G3*H3</f>
        <v>96</v>
      </c>
      <c r="J3" s="0" t="str">
        <f aca="false">IF(COUNTIF($A$2:A3,A3)&gt;1,"Duplicate","")</f>
        <v/>
      </c>
    </row>
    <row r="4" customFormat="false" ht="15" hidden="false" customHeight="false" outlineLevel="0" collapsed="false">
      <c r="A4" s="0" t="str">
        <f aca="false">'Raw Store Exports'!A4</f>
        <v>TXN00570</v>
      </c>
      <c r="B4" s="17" t="n">
        <f aca="false">'Raw Store Exports'!C4</f>
        <v>46048</v>
      </c>
      <c r="C4" s="0" t="str">
        <f aca="false">INDEX('Store Mapping'!$C$2:$C$19,MATCH(TRIM('Raw Store Exports'!B4),'Store Mapping'!$A$2:$A$19,0))</f>
        <v>Airport Plaza</v>
      </c>
      <c r="D4" s="0" t="str">
        <f aca="false">'Raw Store Exports'!D4</f>
        <v>HOM-504</v>
      </c>
      <c r="E4" s="0" t="str">
        <f aca="false">INDEX('Product Master'!$B$2:$B$21,MATCH(D4,'Product Master'!$A$2:$A$21,0))</f>
        <v>Bamboo Cutting Board</v>
      </c>
      <c r="F4" s="0" t="str">
        <f aca="false">INDEX('Product Master'!$C$2:$C$21,MATCH(D4,'Product Master'!$A$2:$A$21,0))</f>
        <v>Home Goods</v>
      </c>
      <c r="G4" s="15" t="n">
        <f aca="false">VALUE(TRIM('Raw Store Exports'!E4&amp;""))</f>
        <v>4</v>
      </c>
      <c r="H4" s="18" t="n">
        <f aca="false">INDEX('Product Master'!$D$2:$D$21,MATCH(D4,'Product Master'!$A$2:$A$21,0))</f>
        <v>27</v>
      </c>
      <c r="I4" s="14" t="n">
        <f aca="false">G4*H4</f>
        <v>108</v>
      </c>
      <c r="J4" s="0" t="str">
        <f aca="false">IF(COUNTIF($A$2:A4,A4)&gt;1,"Duplicate","")</f>
        <v/>
      </c>
    </row>
    <row r="5" customFormat="false" ht="15" hidden="false" customHeight="false" outlineLevel="0" collapsed="false">
      <c r="A5" s="0" t="str">
        <f aca="false">'Raw Store Exports'!A5</f>
        <v>TXN00369</v>
      </c>
      <c r="B5" s="17" t="n">
        <f aca="false">'Raw Store Exports'!C5</f>
        <v>46043</v>
      </c>
      <c r="C5" s="0" t="str">
        <f aca="false">INDEX('Store Mapping'!$C$2:$C$19,MATCH(TRIM('Raw Store Exports'!B5),'Store Mapping'!$A$2:$A$19,0))</f>
        <v>Northpark</v>
      </c>
      <c r="D5" s="0" t="str">
        <f aca="false">'Raw Store Exports'!D5</f>
        <v>HOM-501</v>
      </c>
      <c r="E5" s="0" t="str">
        <f aca="false">INDEX('Product Master'!$B$2:$B$21,MATCH(D5,'Product Master'!$A$2:$A$21,0))</f>
        <v>Ceramic Coffee Mug Set</v>
      </c>
      <c r="F5" s="0" t="str">
        <f aca="false">INDEX('Product Master'!$C$2:$C$21,MATCH(D5,'Product Master'!$A$2:$A$21,0))</f>
        <v>Home Goods</v>
      </c>
      <c r="G5" s="15" t="n">
        <f aca="false">VALUE(TRIM('Raw Store Exports'!E5&amp;""))</f>
        <v>2</v>
      </c>
      <c r="H5" s="18" t="n">
        <f aca="false">INDEX('Product Master'!$D$2:$D$21,MATCH(D5,'Product Master'!$A$2:$A$21,0))</f>
        <v>22</v>
      </c>
      <c r="I5" s="14" t="n">
        <f aca="false">G5*H5</f>
        <v>44</v>
      </c>
      <c r="J5" s="0" t="str">
        <f aca="false">IF(COUNTIF($A$2:A5,A5)&gt;1,"Duplicate","")</f>
        <v/>
      </c>
    </row>
    <row r="6" customFormat="false" ht="15" hidden="false" customHeight="false" outlineLevel="0" collapsed="false">
      <c r="A6" s="0" t="str">
        <f aca="false">'Raw Store Exports'!A6</f>
        <v>TXN00974</v>
      </c>
      <c r="B6" s="17" t="n">
        <f aca="false">'Raw Store Exports'!C6</f>
        <v>46075</v>
      </c>
      <c r="C6" s="0" t="str">
        <f aca="false">INDEX('Store Mapping'!$C$2:$C$19,MATCH(TRIM('Raw Store Exports'!B6),'Store Mapping'!$A$2:$A$19,0))</f>
        <v>Eastgate</v>
      </c>
      <c r="D6" s="0" t="str">
        <f aca="false">'Raw Store Exports'!D6</f>
        <v>ELE-401</v>
      </c>
      <c r="E6" s="0" t="str">
        <f aca="false">INDEX('Product Master'!$B$2:$B$21,MATCH(D6,'Product Master'!$A$2:$A$21,0))</f>
        <v>Wireless Earbuds</v>
      </c>
      <c r="F6" s="0" t="str">
        <f aca="false">INDEX('Product Master'!$C$2:$C$21,MATCH(D6,'Product Master'!$A$2:$A$21,0))</f>
        <v>Electronics</v>
      </c>
      <c r="G6" s="15" t="n">
        <f aca="false">VALUE(TRIM('Raw Store Exports'!E6&amp;""))</f>
        <v>6</v>
      </c>
      <c r="H6" s="18" t="n">
        <f aca="false">INDEX('Product Master'!$D$2:$D$21,MATCH(D6,'Product Master'!$A$2:$A$21,0))</f>
        <v>79</v>
      </c>
      <c r="I6" s="14" t="n">
        <f aca="false">G6*H6</f>
        <v>474</v>
      </c>
      <c r="J6" s="0" t="str">
        <f aca="false">IF(COUNTIF($A$2:A6,A6)&gt;1,"Duplicate","")</f>
        <v/>
      </c>
    </row>
    <row r="7" customFormat="false" ht="15" hidden="false" customHeight="false" outlineLevel="0" collapsed="false">
      <c r="A7" s="0" t="str">
        <f aca="false">'Raw Store Exports'!A7</f>
        <v>TXN00623</v>
      </c>
      <c r="B7" s="17" t="n">
        <f aca="false">'Raw Store Exports'!C7</f>
        <v>46055</v>
      </c>
      <c r="C7" s="0" t="str">
        <f aca="false">INDEX('Store Mapping'!$C$2:$C$19,MATCH(TRIM('Raw Store Exports'!B7),'Store Mapping'!$A$2:$A$19,0))</f>
        <v>Westside Mall</v>
      </c>
      <c r="D7" s="0" t="str">
        <f aca="false">'Raw Store Exports'!D7</f>
        <v>ACC-303</v>
      </c>
      <c r="E7" s="0" t="str">
        <f aca="false">INDEX('Product Master'!$B$2:$B$21,MATCH(D7,'Product Master'!$A$2:$A$21,0))</f>
        <v>Canvas Tote Bag</v>
      </c>
      <c r="F7" s="0" t="str">
        <f aca="false">INDEX('Product Master'!$C$2:$C$21,MATCH(D7,'Product Master'!$A$2:$A$21,0))</f>
        <v>Accessories</v>
      </c>
      <c r="G7" s="15" t="n">
        <f aca="false">VALUE(TRIM('Raw Store Exports'!E7&amp;""))</f>
        <v>1</v>
      </c>
      <c r="H7" s="18" t="n">
        <f aca="false">INDEX('Product Master'!$D$2:$D$21,MATCH(D7,'Product Master'!$A$2:$A$21,0))</f>
        <v>24</v>
      </c>
      <c r="I7" s="14" t="n">
        <f aca="false">G7*H7</f>
        <v>24</v>
      </c>
      <c r="J7" s="0" t="str">
        <f aca="false">IF(COUNTIF($A$2:A7,A7)&gt;1,"Duplicate","")</f>
        <v/>
      </c>
    </row>
    <row r="8" customFormat="false" ht="15" hidden="false" customHeight="false" outlineLevel="0" collapsed="false">
      <c r="A8" s="0" t="str">
        <f aca="false">'Raw Store Exports'!A8</f>
        <v>TXN00930</v>
      </c>
      <c r="B8" s="17" t="n">
        <f aca="false">'Raw Store Exports'!C8</f>
        <v>46073</v>
      </c>
      <c r="C8" s="0" t="str">
        <f aca="false">INDEX('Store Mapping'!$C$2:$C$19,MATCH(TRIM('Raw Store Exports'!B8),'Store Mapping'!$A$2:$A$19,0))</f>
        <v>Westside Mall</v>
      </c>
      <c r="D8" s="0" t="str">
        <f aca="false">'Raw Store Exports'!D8</f>
        <v>ELE-401</v>
      </c>
      <c r="E8" s="0" t="str">
        <f aca="false">INDEX('Product Master'!$B$2:$B$21,MATCH(D8,'Product Master'!$A$2:$A$21,0))</f>
        <v>Wireless Earbuds</v>
      </c>
      <c r="F8" s="0" t="str">
        <f aca="false">INDEX('Product Master'!$C$2:$C$21,MATCH(D8,'Product Master'!$A$2:$A$21,0))</f>
        <v>Electronics</v>
      </c>
      <c r="G8" s="15" t="n">
        <f aca="false">VALUE(TRIM('Raw Store Exports'!E8&amp;""))</f>
        <v>2</v>
      </c>
      <c r="H8" s="18" t="n">
        <f aca="false">INDEX('Product Master'!$D$2:$D$21,MATCH(D8,'Product Master'!$A$2:$A$21,0))</f>
        <v>79</v>
      </c>
      <c r="I8" s="14" t="n">
        <f aca="false">G8*H8</f>
        <v>158</v>
      </c>
      <c r="J8" s="0" t="str">
        <f aca="false">IF(COUNTIF($A$2:A8,A8)&gt;1,"Duplicate","")</f>
        <v/>
      </c>
    </row>
    <row r="9" customFormat="false" ht="15" hidden="false" customHeight="false" outlineLevel="0" collapsed="false">
      <c r="A9" s="0" t="str">
        <f aca="false">'Raw Store Exports'!A9</f>
        <v>TXN00449</v>
      </c>
      <c r="B9" s="17" t="n">
        <f aca="false">'Raw Store Exports'!C9</f>
        <v>46049</v>
      </c>
      <c r="C9" s="0" t="str">
        <f aca="false">INDEX('Store Mapping'!$C$2:$C$19,MATCH(TRIM('Raw Store Exports'!B9),'Store Mapping'!$A$2:$A$19,0))</f>
        <v>Downtown</v>
      </c>
      <c r="D9" s="0" t="str">
        <f aca="false">'Raw Store Exports'!D9</f>
        <v>ELE-402</v>
      </c>
      <c r="E9" s="0" t="str">
        <f aca="false">INDEX('Product Master'!$B$2:$B$21,MATCH(D9,'Product Master'!$A$2:$A$21,0))</f>
        <v>Bluetooth Speaker</v>
      </c>
      <c r="F9" s="0" t="str">
        <f aca="false">INDEX('Product Master'!$C$2:$C$21,MATCH(D9,'Product Master'!$A$2:$A$21,0))</f>
        <v>Electronics</v>
      </c>
      <c r="G9" s="15" t="n">
        <f aca="false">VALUE(TRIM('Raw Store Exports'!E9&amp;""))</f>
        <v>1</v>
      </c>
      <c r="H9" s="18" t="n">
        <f aca="false">INDEX('Product Master'!$D$2:$D$21,MATCH(D9,'Product Master'!$A$2:$A$21,0))</f>
        <v>59</v>
      </c>
      <c r="I9" s="14" t="n">
        <f aca="false">G9*H9</f>
        <v>59</v>
      </c>
      <c r="J9" s="0" t="str">
        <f aca="false">IF(COUNTIF($A$2:A9,A9)&gt;1,"Duplicate","")</f>
        <v/>
      </c>
    </row>
    <row r="10" customFormat="false" ht="15" hidden="false" customHeight="false" outlineLevel="0" collapsed="false">
      <c r="A10" s="0" t="str">
        <f aca="false">'Raw Store Exports'!A10</f>
        <v>TXN01023</v>
      </c>
      <c r="B10" s="17" t="n">
        <f aca="false">'Raw Store Exports'!C10</f>
        <v>46069</v>
      </c>
      <c r="C10" s="0" t="str">
        <f aca="false">INDEX('Store Mapping'!$C$2:$C$19,MATCH(TRIM('Raw Store Exports'!B10),'Store Mapping'!$A$2:$A$19,0))</f>
        <v>Riverside</v>
      </c>
      <c r="D10" s="0" t="str">
        <f aca="false">'Raw Store Exports'!D10</f>
        <v>APP-101</v>
      </c>
      <c r="E10" s="0" t="str">
        <f aca="false">INDEX('Product Master'!$B$2:$B$21,MATCH(D10,'Product Master'!$A$2:$A$21,0))</f>
        <v>Classic Denim Jacket</v>
      </c>
      <c r="F10" s="0" t="str">
        <f aca="false">INDEX('Product Master'!$C$2:$C$21,MATCH(D10,'Product Master'!$A$2:$A$21,0))</f>
        <v>Apparel</v>
      </c>
      <c r="G10" s="15" t="n">
        <f aca="false">VALUE(TRIM('Raw Store Exports'!E10&amp;""))</f>
        <v>2</v>
      </c>
      <c r="H10" s="18" t="n">
        <f aca="false">INDEX('Product Master'!$D$2:$D$21,MATCH(D10,'Product Master'!$A$2:$A$21,0))</f>
        <v>68</v>
      </c>
      <c r="I10" s="14" t="n">
        <f aca="false">G10*H10</f>
        <v>136</v>
      </c>
      <c r="J10" s="0" t="str">
        <f aca="false">IF(COUNTIF($A$2:A10,A10)&gt;1,"Duplicate","")</f>
        <v/>
      </c>
    </row>
    <row r="11" customFormat="false" ht="15" hidden="false" customHeight="false" outlineLevel="0" collapsed="false">
      <c r="A11" s="0" t="str">
        <f aca="false">'Raw Store Exports'!A11</f>
        <v>TXN00639</v>
      </c>
      <c r="B11" s="17" t="n">
        <f aca="false">'Raw Store Exports'!C11</f>
        <v>46056</v>
      </c>
      <c r="C11" s="0" t="str">
        <f aca="false">INDEX('Store Mapping'!$C$2:$C$19,MATCH(TRIM('Raw Store Exports'!B11),'Store Mapping'!$A$2:$A$19,0))</f>
        <v>Westside Mall</v>
      </c>
      <c r="D11" s="0" t="str">
        <f aca="false">'Raw Store Exports'!D11</f>
        <v>HOM-502</v>
      </c>
      <c r="E11" s="0" t="str">
        <f aca="false">INDEX('Product Master'!$B$2:$B$21,MATCH(D11,'Product Master'!$A$2:$A$21,0))</f>
        <v>Scented Candle</v>
      </c>
      <c r="F11" s="0" t="str">
        <f aca="false">INDEX('Product Master'!$C$2:$C$21,MATCH(D11,'Product Master'!$A$2:$A$21,0))</f>
        <v>Home Goods</v>
      </c>
      <c r="G11" s="15" t="n">
        <f aca="false">VALUE(TRIM('Raw Store Exports'!E11&amp;""))</f>
        <v>3</v>
      </c>
      <c r="H11" s="18" t="n">
        <f aca="false">INDEX('Product Master'!$D$2:$D$21,MATCH(D11,'Product Master'!$A$2:$A$21,0))</f>
        <v>15</v>
      </c>
      <c r="I11" s="14" t="n">
        <f aca="false">G11*H11</f>
        <v>45</v>
      </c>
      <c r="J11" s="0" t="str">
        <f aca="false">IF(COUNTIF($A$2:A11,A11)&gt;1,"Duplicate","")</f>
        <v/>
      </c>
    </row>
    <row r="12" customFormat="false" ht="15" hidden="false" customHeight="false" outlineLevel="0" collapsed="false">
      <c r="A12" s="0" t="str">
        <f aca="false">'Raw Store Exports'!A12</f>
        <v>TXN00316</v>
      </c>
      <c r="B12" s="17" t="n">
        <f aca="false">'Raw Store Exports'!C12</f>
        <v>46043</v>
      </c>
      <c r="C12" s="0" t="str">
        <f aca="false">INDEX('Store Mapping'!$C$2:$C$19,MATCH(TRIM('Raw Store Exports'!B12),'Store Mapping'!$A$2:$A$19,0))</f>
        <v>Westside Mall</v>
      </c>
      <c r="D12" s="0" t="str">
        <f aca="false">'Raw Store Exports'!D12</f>
        <v>APP-101</v>
      </c>
      <c r="E12" s="0" t="str">
        <f aca="false">INDEX('Product Master'!$B$2:$B$21,MATCH(D12,'Product Master'!$A$2:$A$21,0))</f>
        <v>Classic Denim Jacket</v>
      </c>
      <c r="F12" s="0" t="str">
        <f aca="false">INDEX('Product Master'!$C$2:$C$21,MATCH(D12,'Product Master'!$A$2:$A$21,0))</f>
        <v>Apparel</v>
      </c>
      <c r="G12" s="15" t="n">
        <f aca="false">VALUE(TRIM('Raw Store Exports'!E12&amp;""))</f>
        <v>1</v>
      </c>
      <c r="H12" s="18" t="n">
        <f aca="false">INDEX('Product Master'!$D$2:$D$21,MATCH(D12,'Product Master'!$A$2:$A$21,0))</f>
        <v>68</v>
      </c>
      <c r="I12" s="14" t="n">
        <f aca="false">G12*H12</f>
        <v>68</v>
      </c>
      <c r="J12" s="0" t="str">
        <f aca="false">IF(COUNTIF($A$2:A12,A12)&gt;1,"Duplicate","")</f>
        <v/>
      </c>
    </row>
    <row r="13" customFormat="false" ht="15" hidden="false" customHeight="false" outlineLevel="0" collapsed="false">
      <c r="A13" s="0" t="str">
        <f aca="false">'Raw Store Exports'!A13</f>
        <v>TXN00819</v>
      </c>
      <c r="B13" s="17" t="n">
        <f aca="false">'Raw Store Exports'!C13</f>
        <v>46064</v>
      </c>
      <c r="C13" s="0" t="str">
        <f aca="false">INDEX('Store Mapping'!$C$2:$C$19,MATCH(TRIM('Raw Store Exports'!B13),'Store Mapping'!$A$2:$A$19,0))</f>
        <v>Eastgate</v>
      </c>
      <c r="D13" s="0" t="str">
        <f aca="false">'Raw Store Exports'!D13</f>
        <v>FTW-202</v>
      </c>
      <c r="E13" s="0" t="str">
        <f aca="false">INDEX('Product Master'!$B$2:$B$21,MATCH(D13,'Product Master'!$A$2:$A$21,0))</f>
        <v>Canvas Low-Top</v>
      </c>
      <c r="F13" s="0" t="str">
        <f aca="false">INDEX('Product Master'!$C$2:$C$21,MATCH(D13,'Product Master'!$A$2:$A$21,0))</f>
        <v>Footwear</v>
      </c>
      <c r="G13" s="15" t="n">
        <f aca="false">VALUE(TRIM('Raw Store Exports'!E13&amp;""))</f>
        <v>6</v>
      </c>
      <c r="H13" s="18" t="n">
        <f aca="false">INDEX('Product Master'!$D$2:$D$21,MATCH(D13,'Product Master'!$A$2:$A$21,0))</f>
        <v>55</v>
      </c>
      <c r="I13" s="14" t="n">
        <f aca="false">G13*H13</f>
        <v>330</v>
      </c>
      <c r="J13" s="0" t="str">
        <f aca="false">IF(COUNTIF($A$2:A13,A13)&gt;1,"Duplicate","")</f>
        <v/>
      </c>
    </row>
    <row r="14" customFormat="false" ht="15" hidden="false" customHeight="false" outlineLevel="0" collapsed="false">
      <c r="A14" s="0" t="str">
        <f aca="false">'Raw Store Exports'!A14</f>
        <v>TXN00741</v>
      </c>
      <c r="B14" s="17" t="n">
        <f aca="false">'Raw Store Exports'!C14</f>
        <v>46061</v>
      </c>
      <c r="C14" s="0" t="str">
        <f aca="false">INDEX('Store Mapping'!$C$2:$C$19,MATCH(TRIM('Raw Store Exports'!B14),'Store Mapping'!$A$2:$A$19,0))</f>
        <v>Airport Plaza</v>
      </c>
      <c r="D14" s="0" t="str">
        <f aca="false">'Raw Store Exports'!D14</f>
        <v>FTW-204</v>
      </c>
      <c r="E14" s="0" t="str">
        <f aca="false">INDEX('Product Master'!$B$2:$B$21,MATCH(D14,'Product Master'!$A$2:$A$21,0))</f>
        <v>Slide Sandals</v>
      </c>
      <c r="F14" s="0" t="str">
        <f aca="false">INDEX('Product Master'!$C$2:$C$21,MATCH(D14,'Product Master'!$A$2:$A$21,0))</f>
        <v>Footwear</v>
      </c>
      <c r="G14" s="15" t="n">
        <f aca="false">VALUE(TRIM('Raw Store Exports'!E14&amp;""))</f>
        <v>1</v>
      </c>
      <c r="H14" s="18" t="n">
        <f aca="false">INDEX('Product Master'!$D$2:$D$21,MATCH(D14,'Product Master'!$A$2:$A$21,0))</f>
        <v>25</v>
      </c>
      <c r="I14" s="14" t="n">
        <f aca="false">G14*H14</f>
        <v>25</v>
      </c>
      <c r="J14" s="0" t="str">
        <f aca="false">IF(COUNTIF($A$2:A14,A14)&gt;1,"Duplicate","")</f>
        <v/>
      </c>
    </row>
    <row r="15" customFormat="false" ht="15" hidden="false" customHeight="false" outlineLevel="0" collapsed="false">
      <c r="A15" s="0" t="str">
        <f aca="false">'Raw Store Exports'!A15</f>
        <v>TXN01057</v>
      </c>
      <c r="B15" s="17" t="n">
        <f aca="false">'Raw Store Exports'!C15</f>
        <v>46080</v>
      </c>
      <c r="C15" s="0" t="str">
        <f aca="false">INDEX('Store Mapping'!$C$2:$C$19,MATCH(TRIM('Raw Store Exports'!B15),'Store Mapping'!$A$2:$A$19,0))</f>
        <v>Downtown</v>
      </c>
      <c r="D15" s="0" t="str">
        <f aca="false">'Raw Store Exports'!D15</f>
        <v>ACC-302</v>
      </c>
      <c r="E15" s="0" t="str">
        <f aca="false">INDEX('Product Master'!$B$2:$B$21,MATCH(D15,'Product Master'!$A$2:$A$21,0))</f>
        <v>Aviator Sunglasses</v>
      </c>
      <c r="F15" s="0" t="str">
        <f aca="false">INDEX('Product Master'!$C$2:$C$21,MATCH(D15,'Product Master'!$A$2:$A$21,0))</f>
        <v>Accessories</v>
      </c>
      <c r="G15" s="15" t="n">
        <f aca="false">VALUE(TRIM('Raw Store Exports'!E15&amp;""))</f>
        <v>3</v>
      </c>
      <c r="H15" s="18" t="n">
        <f aca="false">INDEX('Product Master'!$D$2:$D$21,MATCH(D15,'Product Master'!$A$2:$A$21,0))</f>
        <v>42</v>
      </c>
      <c r="I15" s="14" t="n">
        <f aca="false">G15*H15</f>
        <v>126</v>
      </c>
      <c r="J15" s="0" t="str">
        <f aca="false">IF(COUNTIF($A$2:A15,A15)&gt;1,"Duplicate","")</f>
        <v/>
      </c>
    </row>
    <row r="16" customFormat="false" ht="15" hidden="false" customHeight="false" outlineLevel="0" collapsed="false">
      <c r="A16" s="0" t="str">
        <f aca="false">'Raw Store Exports'!A16</f>
        <v>TXN00265</v>
      </c>
      <c r="B16" s="17" t="n">
        <f aca="false">'Raw Store Exports'!C16</f>
        <v>46040</v>
      </c>
      <c r="C16" s="0" t="str">
        <f aca="false">INDEX('Store Mapping'!$C$2:$C$19,MATCH(TRIM('Raw Store Exports'!B16),'Store Mapping'!$A$2:$A$19,0))</f>
        <v>Airport Plaza</v>
      </c>
      <c r="D16" s="0" t="str">
        <f aca="false">'Raw Store Exports'!D16</f>
        <v>ACC-301</v>
      </c>
      <c r="E16" s="0" t="str">
        <f aca="false">INDEX('Product Master'!$B$2:$B$21,MATCH(D16,'Product Master'!$A$2:$A$21,0))</f>
        <v>Leather Belt</v>
      </c>
      <c r="F16" s="0" t="str">
        <f aca="false">INDEX('Product Master'!$C$2:$C$21,MATCH(D16,'Product Master'!$A$2:$A$21,0))</f>
        <v>Accessories</v>
      </c>
      <c r="G16" s="15" t="n">
        <f aca="false">VALUE(TRIM('Raw Store Exports'!E16&amp;""))</f>
        <v>5</v>
      </c>
      <c r="H16" s="18" t="n">
        <f aca="false">INDEX('Product Master'!$D$2:$D$21,MATCH(D16,'Product Master'!$A$2:$A$21,0))</f>
        <v>30</v>
      </c>
      <c r="I16" s="14" t="n">
        <f aca="false">G16*H16</f>
        <v>150</v>
      </c>
      <c r="J16" s="0" t="str">
        <f aca="false">IF(COUNTIF($A$2:A16,A16)&gt;1,"Duplicate","")</f>
        <v/>
      </c>
    </row>
    <row r="17" customFormat="false" ht="15" hidden="false" customHeight="false" outlineLevel="0" collapsed="false">
      <c r="A17" s="0" t="str">
        <f aca="false">'Raw Store Exports'!A17</f>
        <v>TXN01017</v>
      </c>
      <c r="B17" s="17" t="n">
        <f aca="false">'Raw Store Exports'!C17</f>
        <v>46069</v>
      </c>
      <c r="C17" s="0" t="str">
        <f aca="false">INDEX('Store Mapping'!$C$2:$C$19,MATCH(TRIM('Raw Store Exports'!B17),'Store Mapping'!$A$2:$A$19,0))</f>
        <v>Riverside</v>
      </c>
      <c r="D17" s="0" t="str">
        <f aca="false">'Raw Store Exports'!D17</f>
        <v>ELE-404</v>
      </c>
      <c r="E17" s="0" t="str">
        <f aca="false">INDEX('Product Master'!$B$2:$B$21,MATCH(D17,'Product Master'!$A$2:$A$21,0))</f>
        <v>Phone Charging Cable</v>
      </c>
      <c r="F17" s="0" t="str">
        <f aca="false">INDEX('Product Master'!$C$2:$C$21,MATCH(D17,'Product Master'!$A$2:$A$21,0))</f>
        <v>Electronics</v>
      </c>
      <c r="G17" s="15" t="n">
        <f aca="false">VALUE(TRIM('Raw Store Exports'!E17&amp;""))</f>
        <v>1</v>
      </c>
      <c r="H17" s="18" t="n">
        <f aca="false">INDEX('Product Master'!$D$2:$D$21,MATCH(D17,'Product Master'!$A$2:$A$21,0))</f>
        <v>12</v>
      </c>
      <c r="I17" s="14" t="n">
        <f aca="false">G17*H17</f>
        <v>12</v>
      </c>
      <c r="J17" s="0" t="str">
        <f aca="false">IF(COUNTIF($A$2:A17,A17)&gt;1,"Duplicate","")</f>
        <v/>
      </c>
    </row>
    <row r="18" customFormat="false" ht="15" hidden="false" customHeight="false" outlineLevel="0" collapsed="false">
      <c r="A18" s="0" t="str">
        <f aca="false">'Raw Store Exports'!A18</f>
        <v>TXN00268</v>
      </c>
      <c r="B18" s="17" t="n">
        <f aca="false">'Raw Store Exports'!C18</f>
        <v>46036</v>
      </c>
      <c r="C18" s="0" t="str">
        <f aca="false">INDEX('Store Mapping'!$C$2:$C$19,MATCH(TRIM('Raw Store Exports'!B18),'Store Mapping'!$A$2:$A$19,0))</f>
        <v>Airport Plaza</v>
      </c>
      <c r="D18" s="0" t="str">
        <f aca="false">'Raw Store Exports'!D18</f>
        <v>ELE-403</v>
      </c>
      <c r="E18" s="0" t="str">
        <f aca="false">INDEX('Product Master'!$B$2:$B$21,MATCH(D18,'Product Master'!$A$2:$A$21,0))</f>
        <v>Fitness Tracker Band</v>
      </c>
      <c r="F18" s="0" t="str">
        <f aca="false">INDEX('Product Master'!$C$2:$C$21,MATCH(D18,'Product Master'!$A$2:$A$21,0))</f>
        <v>Electronics</v>
      </c>
      <c r="G18" s="15" t="n">
        <f aca="false">VALUE(TRIM('Raw Store Exports'!E18&amp;""))</f>
        <v>3</v>
      </c>
      <c r="H18" s="18" t="n">
        <f aca="false">INDEX('Product Master'!$D$2:$D$21,MATCH(D18,'Product Master'!$A$2:$A$21,0))</f>
        <v>99</v>
      </c>
      <c r="I18" s="14" t="n">
        <f aca="false">G18*H18</f>
        <v>297</v>
      </c>
      <c r="J18" s="0" t="str">
        <f aca="false">IF(COUNTIF($A$2:A18,A18)&gt;1,"Duplicate","")</f>
        <v/>
      </c>
    </row>
    <row r="19" customFormat="false" ht="15" hidden="false" customHeight="false" outlineLevel="0" collapsed="false">
      <c r="A19" s="0" t="str">
        <f aca="false">'Raw Store Exports'!A19</f>
        <v>TXN00219</v>
      </c>
      <c r="B19" s="17" t="n">
        <f aca="false">'Raw Store Exports'!C19</f>
        <v>46039</v>
      </c>
      <c r="C19" s="0" t="str">
        <f aca="false">INDEX('Store Mapping'!$C$2:$C$19,MATCH(TRIM('Raw Store Exports'!B19),'Store Mapping'!$A$2:$A$19,0))</f>
        <v>Northpark</v>
      </c>
      <c r="D19" s="0" t="str">
        <f aca="false">'Raw Store Exports'!D19</f>
        <v>HOM-503</v>
      </c>
      <c r="E19" s="0" t="str">
        <f aca="false">INDEX('Product Master'!$B$2:$B$21,MATCH(D19,'Product Master'!$A$2:$A$21,0))</f>
        <v>Cotton Throw Blanket</v>
      </c>
      <c r="F19" s="0" t="str">
        <f aca="false">INDEX('Product Master'!$C$2:$C$21,MATCH(D19,'Product Master'!$A$2:$A$21,0))</f>
        <v>Home Goods</v>
      </c>
      <c r="G19" s="15" t="n">
        <f aca="false">VALUE(TRIM('Raw Store Exports'!E19&amp;""))</f>
        <v>5</v>
      </c>
      <c r="H19" s="18" t="n">
        <f aca="false">INDEX('Product Master'!$D$2:$D$21,MATCH(D19,'Product Master'!$A$2:$A$21,0))</f>
        <v>38</v>
      </c>
      <c r="I19" s="14" t="n">
        <f aca="false">G19*H19</f>
        <v>190</v>
      </c>
      <c r="J19" s="0" t="str">
        <f aca="false">IF(COUNTIF($A$2:A19,A19)&gt;1,"Duplicate","")</f>
        <v/>
      </c>
    </row>
    <row r="20" customFormat="false" ht="15" hidden="false" customHeight="false" outlineLevel="0" collapsed="false">
      <c r="A20" s="0" t="str">
        <f aca="false">'Raw Store Exports'!A20</f>
        <v>TXN01016</v>
      </c>
      <c r="B20" s="17" t="n">
        <f aca="false">'Raw Store Exports'!C20</f>
        <v>46069</v>
      </c>
      <c r="C20" s="0" t="str">
        <f aca="false">INDEX('Store Mapping'!$C$2:$C$19,MATCH(TRIM('Raw Store Exports'!B20),'Store Mapping'!$A$2:$A$19,0))</f>
        <v>Riverside</v>
      </c>
      <c r="D20" s="0" t="str">
        <f aca="false">'Raw Store Exports'!D20</f>
        <v>APP-102</v>
      </c>
      <c r="E20" s="0" t="str">
        <f aca="false">INDEX('Product Master'!$B$2:$B$21,MATCH(D20,'Product Master'!$A$2:$A$21,0))</f>
        <v>Cotton Crew T-Shirt</v>
      </c>
      <c r="F20" s="0" t="str">
        <f aca="false">INDEX('Product Master'!$C$2:$C$21,MATCH(D20,'Product Master'!$A$2:$A$21,0))</f>
        <v>Apparel</v>
      </c>
      <c r="G20" s="15" t="n">
        <f aca="false">VALUE(TRIM('Raw Store Exports'!E20&amp;""))</f>
        <v>3</v>
      </c>
      <c r="H20" s="18" t="n">
        <f aca="false">INDEX('Product Master'!$D$2:$D$21,MATCH(D20,'Product Master'!$A$2:$A$21,0))</f>
        <v>18</v>
      </c>
      <c r="I20" s="14" t="n">
        <f aca="false">G20*H20</f>
        <v>54</v>
      </c>
      <c r="J20" s="0" t="str">
        <f aca="false">IF(COUNTIF($A$2:A20,A20)&gt;1,"Duplicate","")</f>
        <v/>
      </c>
    </row>
    <row r="21" customFormat="false" ht="15" hidden="false" customHeight="false" outlineLevel="0" collapsed="false">
      <c r="A21" s="0" t="str">
        <f aca="false">'Raw Store Exports'!A21</f>
        <v>TXN00757</v>
      </c>
      <c r="B21" s="17" t="n">
        <f aca="false">'Raw Store Exports'!C21</f>
        <v>46066</v>
      </c>
      <c r="C21" s="0" t="str">
        <f aca="false">INDEX('Store Mapping'!$C$2:$C$19,MATCH(TRIM('Raw Store Exports'!B21),'Store Mapping'!$A$2:$A$19,0))</f>
        <v>Downtown</v>
      </c>
      <c r="D21" s="0" t="str">
        <f aca="false">'Raw Store Exports'!D21</f>
        <v>HOM-501</v>
      </c>
      <c r="E21" s="0" t="str">
        <f aca="false">INDEX('Product Master'!$B$2:$B$21,MATCH(D21,'Product Master'!$A$2:$A$21,0))</f>
        <v>Ceramic Coffee Mug Set</v>
      </c>
      <c r="F21" s="0" t="str">
        <f aca="false">INDEX('Product Master'!$C$2:$C$21,MATCH(D21,'Product Master'!$A$2:$A$21,0))</f>
        <v>Home Goods</v>
      </c>
      <c r="G21" s="15" t="n">
        <f aca="false">VALUE(TRIM('Raw Store Exports'!E21&amp;""))</f>
        <v>2</v>
      </c>
      <c r="H21" s="18" t="n">
        <f aca="false">INDEX('Product Master'!$D$2:$D$21,MATCH(D21,'Product Master'!$A$2:$A$21,0))</f>
        <v>22</v>
      </c>
      <c r="I21" s="14" t="n">
        <f aca="false">G21*H21</f>
        <v>44</v>
      </c>
      <c r="J21" s="0" t="str">
        <f aca="false">IF(COUNTIF($A$2:A21,A21)&gt;1,"Duplicate","")</f>
        <v/>
      </c>
    </row>
    <row r="22" customFormat="false" ht="15" hidden="false" customHeight="false" outlineLevel="0" collapsed="false">
      <c r="A22" s="0" t="str">
        <f aca="false">'Raw Store Exports'!A22</f>
        <v>TXN00590</v>
      </c>
      <c r="B22" s="17" t="n">
        <f aca="false">'Raw Store Exports'!C22</f>
        <v>46057</v>
      </c>
      <c r="C22" s="0" t="str">
        <f aca="false">INDEX('Store Mapping'!$C$2:$C$19,MATCH(TRIM('Raw Store Exports'!B22),'Store Mapping'!$A$2:$A$19,0))</f>
        <v>Downtown</v>
      </c>
      <c r="D22" s="0" t="str">
        <f aca="false">'Raw Store Exports'!D22</f>
        <v>HOM-504</v>
      </c>
      <c r="E22" s="0" t="str">
        <f aca="false">INDEX('Product Master'!$B$2:$B$21,MATCH(D22,'Product Master'!$A$2:$A$21,0))</f>
        <v>Bamboo Cutting Board</v>
      </c>
      <c r="F22" s="0" t="str">
        <f aca="false">INDEX('Product Master'!$C$2:$C$21,MATCH(D22,'Product Master'!$A$2:$A$21,0))</f>
        <v>Home Goods</v>
      </c>
      <c r="G22" s="15" t="n">
        <f aca="false">VALUE(TRIM('Raw Store Exports'!E22&amp;""))</f>
        <v>1</v>
      </c>
      <c r="H22" s="18" t="n">
        <f aca="false">INDEX('Product Master'!$D$2:$D$21,MATCH(D22,'Product Master'!$A$2:$A$21,0))</f>
        <v>27</v>
      </c>
      <c r="I22" s="14" t="n">
        <f aca="false">G22*H22</f>
        <v>27</v>
      </c>
      <c r="J22" s="0" t="str">
        <f aca="false">IF(COUNTIF($A$2:A22,A22)&gt;1,"Duplicate","")</f>
        <v/>
      </c>
    </row>
    <row r="23" customFormat="false" ht="15" hidden="false" customHeight="false" outlineLevel="0" collapsed="false">
      <c r="A23" s="0" t="str">
        <f aca="false">'Raw Store Exports'!A23</f>
        <v>TXN00261</v>
      </c>
      <c r="B23" s="17" t="n">
        <f aca="false">'Raw Store Exports'!C23</f>
        <v>46040</v>
      </c>
      <c r="C23" s="0" t="str">
        <f aca="false">INDEX('Store Mapping'!$C$2:$C$19,MATCH(TRIM('Raw Store Exports'!B23),'Store Mapping'!$A$2:$A$19,0))</f>
        <v>Airport Plaza</v>
      </c>
      <c r="D23" s="0" t="str">
        <f aca="false">'Raw Store Exports'!D23</f>
        <v>ACC-301</v>
      </c>
      <c r="E23" s="0" t="str">
        <f aca="false">INDEX('Product Master'!$B$2:$B$21,MATCH(D23,'Product Master'!$A$2:$A$21,0))</f>
        <v>Leather Belt</v>
      </c>
      <c r="F23" s="0" t="str">
        <f aca="false">INDEX('Product Master'!$C$2:$C$21,MATCH(D23,'Product Master'!$A$2:$A$21,0))</f>
        <v>Accessories</v>
      </c>
      <c r="G23" s="15" t="n">
        <f aca="false">VALUE(TRIM('Raw Store Exports'!E23&amp;""))</f>
        <v>4</v>
      </c>
      <c r="H23" s="18" t="n">
        <f aca="false">INDEX('Product Master'!$D$2:$D$21,MATCH(D23,'Product Master'!$A$2:$A$21,0))</f>
        <v>30</v>
      </c>
      <c r="I23" s="14" t="n">
        <f aca="false">G23*H23</f>
        <v>120</v>
      </c>
      <c r="J23" s="0" t="str">
        <f aca="false">IF(COUNTIF($A$2:A23,A23)&gt;1,"Duplicate","")</f>
        <v/>
      </c>
    </row>
    <row r="24" customFormat="false" ht="15" hidden="false" customHeight="false" outlineLevel="0" collapsed="false">
      <c r="A24" s="0" t="str">
        <f aca="false">'Raw Store Exports'!A24</f>
        <v>TXN00017</v>
      </c>
      <c r="B24" s="17" t="n">
        <f aca="false">'Raw Store Exports'!C24</f>
        <v>46027</v>
      </c>
      <c r="C24" s="0" t="str">
        <f aca="false">INDEX('Store Mapping'!$C$2:$C$19,MATCH(TRIM('Raw Store Exports'!B24),'Store Mapping'!$A$2:$A$19,0))</f>
        <v>Downtown</v>
      </c>
      <c r="D24" s="0" t="str">
        <f aca="false">'Raw Store Exports'!D24</f>
        <v>HOM-504</v>
      </c>
      <c r="E24" s="0" t="str">
        <f aca="false">INDEX('Product Master'!$B$2:$B$21,MATCH(D24,'Product Master'!$A$2:$A$21,0))</f>
        <v>Bamboo Cutting Board</v>
      </c>
      <c r="F24" s="0" t="str">
        <f aca="false">INDEX('Product Master'!$C$2:$C$21,MATCH(D24,'Product Master'!$A$2:$A$21,0))</f>
        <v>Home Goods</v>
      </c>
      <c r="G24" s="15" t="n">
        <f aca="false">VALUE(TRIM('Raw Store Exports'!E24&amp;""))</f>
        <v>4</v>
      </c>
      <c r="H24" s="18" t="n">
        <f aca="false">INDEX('Product Master'!$D$2:$D$21,MATCH(D24,'Product Master'!$A$2:$A$21,0))</f>
        <v>27</v>
      </c>
      <c r="I24" s="14" t="n">
        <f aca="false">G24*H24</f>
        <v>108</v>
      </c>
      <c r="J24" s="0" t="str">
        <f aca="false">IF(COUNTIF($A$2:A24,A24)&gt;1,"Duplicate","")</f>
        <v/>
      </c>
    </row>
    <row r="25" customFormat="false" ht="15" hidden="false" customHeight="false" outlineLevel="0" collapsed="false">
      <c r="A25" s="0" t="str">
        <f aca="false">'Raw Store Exports'!A25</f>
        <v>TXN00846</v>
      </c>
      <c r="B25" s="17" t="n">
        <f aca="false">'Raw Store Exports'!C25</f>
        <v>46064</v>
      </c>
      <c r="C25" s="0" t="str">
        <f aca="false">INDEX('Store Mapping'!$C$2:$C$19,MATCH(TRIM('Raw Store Exports'!B25),'Store Mapping'!$A$2:$A$19,0))</f>
        <v>Northpark</v>
      </c>
      <c r="D25" s="0" t="str">
        <f aca="false">'Raw Store Exports'!D25</f>
        <v>HOM-502</v>
      </c>
      <c r="E25" s="0" t="str">
        <f aca="false">INDEX('Product Master'!$B$2:$B$21,MATCH(D25,'Product Master'!$A$2:$A$21,0))</f>
        <v>Scented Candle</v>
      </c>
      <c r="F25" s="0" t="str">
        <f aca="false">INDEX('Product Master'!$C$2:$C$21,MATCH(D25,'Product Master'!$A$2:$A$21,0))</f>
        <v>Home Goods</v>
      </c>
      <c r="G25" s="15" t="n">
        <f aca="false">VALUE(TRIM('Raw Store Exports'!E25&amp;""))</f>
        <v>5</v>
      </c>
      <c r="H25" s="18" t="n">
        <f aca="false">INDEX('Product Master'!$D$2:$D$21,MATCH(D25,'Product Master'!$A$2:$A$21,0))</f>
        <v>15</v>
      </c>
      <c r="I25" s="14" t="n">
        <f aca="false">G25*H25</f>
        <v>75</v>
      </c>
      <c r="J25" s="0" t="str">
        <f aca="false">IF(COUNTIF($A$2:A25,A25)&gt;1,"Duplicate","")</f>
        <v/>
      </c>
    </row>
    <row r="26" customFormat="false" ht="15" hidden="false" customHeight="false" outlineLevel="0" collapsed="false">
      <c r="A26" s="0" t="str">
        <f aca="false">'Raw Store Exports'!A26</f>
        <v>TXN00374</v>
      </c>
      <c r="B26" s="17" t="n">
        <f aca="false">'Raw Store Exports'!C26</f>
        <v>46044</v>
      </c>
      <c r="C26" s="0" t="str">
        <f aca="false">INDEX('Store Mapping'!$C$2:$C$19,MATCH(TRIM('Raw Store Exports'!B26),'Store Mapping'!$A$2:$A$19,0))</f>
        <v>Riverside</v>
      </c>
      <c r="D26" s="0" t="str">
        <f aca="false">'Raw Store Exports'!D26</f>
        <v>APP-102</v>
      </c>
      <c r="E26" s="0" t="str">
        <f aca="false">INDEX('Product Master'!$B$2:$B$21,MATCH(D26,'Product Master'!$A$2:$A$21,0))</f>
        <v>Cotton Crew T-Shirt</v>
      </c>
      <c r="F26" s="0" t="str">
        <f aca="false">INDEX('Product Master'!$C$2:$C$21,MATCH(D26,'Product Master'!$A$2:$A$21,0))</f>
        <v>Apparel</v>
      </c>
      <c r="G26" s="15" t="n">
        <f aca="false">VALUE(TRIM('Raw Store Exports'!E26&amp;""))</f>
        <v>4</v>
      </c>
      <c r="H26" s="18" t="n">
        <f aca="false">INDEX('Product Master'!$D$2:$D$21,MATCH(D26,'Product Master'!$A$2:$A$21,0))</f>
        <v>18</v>
      </c>
      <c r="I26" s="14" t="n">
        <f aca="false">G26*H26</f>
        <v>72</v>
      </c>
      <c r="J26" s="0" t="str">
        <f aca="false">IF(COUNTIF($A$2:A26,A26)&gt;1,"Duplicate","")</f>
        <v/>
      </c>
    </row>
    <row r="27" customFormat="false" ht="15" hidden="false" customHeight="false" outlineLevel="0" collapsed="false">
      <c r="A27" s="0" t="str">
        <f aca="false">'Raw Store Exports'!A27</f>
        <v>TXN00113</v>
      </c>
      <c r="B27" s="17" t="n">
        <f aca="false">'Raw Store Exports'!C27</f>
        <v>46028</v>
      </c>
      <c r="C27" s="0" t="str">
        <f aca="false">INDEX('Store Mapping'!$C$2:$C$19,MATCH(TRIM('Raw Store Exports'!B27),'Store Mapping'!$A$2:$A$19,0))</f>
        <v>Riverside</v>
      </c>
      <c r="D27" s="0" t="str">
        <f aca="false">'Raw Store Exports'!D27</f>
        <v>FTW-204</v>
      </c>
      <c r="E27" s="0" t="str">
        <f aca="false">INDEX('Product Master'!$B$2:$B$21,MATCH(D27,'Product Master'!$A$2:$A$21,0))</f>
        <v>Slide Sandals</v>
      </c>
      <c r="F27" s="0" t="str">
        <f aca="false">INDEX('Product Master'!$C$2:$C$21,MATCH(D27,'Product Master'!$A$2:$A$21,0))</f>
        <v>Footwear</v>
      </c>
      <c r="G27" s="15" t="n">
        <f aca="false">VALUE(TRIM('Raw Store Exports'!E27&amp;""))</f>
        <v>1</v>
      </c>
      <c r="H27" s="18" t="n">
        <f aca="false">INDEX('Product Master'!$D$2:$D$21,MATCH(D27,'Product Master'!$A$2:$A$21,0))</f>
        <v>25</v>
      </c>
      <c r="I27" s="14" t="n">
        <f aca="false">G27*H27</f>
        <v>25</v>
      </c>
      <c r="J27" s="0" t="str">
        <f aca="false">IF(COUNTIF($A$2:A27,A27)&gt;1,"Duplicate","")</f>
        <v/>
      </c>
    </row>
    <row r="28" customFormat="false" ht="15" hidden="false" customHeight="false" outlineLevel="0" collapsed="false">
      <c r="A28" s="0" t="str">
        <f aca="false">'Raw Store Exports'!A28</f>
        <v>TXN01179</v>
      </c>
      <c r="B28" s="17" t="n">
        <f aca="false">'Raw Store Exports'!C28</f>
        <v>46078</v>
      </c>
      <c r="C28" s="0" t="str">
        <f aca="false">INDEX('Store Mapping'!$C$2:$C$19,MATCH(TRIM('Raw Store Exports'!B28),'Store Mapping'!$A$2:$A$19,0))</f>
        <v>Airport Plaza</v>
      </c>
      <c r="D28" s="0" t="str">
        <f aca="false">'Raw Store Exports'!D28</f>
        <v>FTW-202</v>
      </c>
      <c r="E28" s="0" t="str">
        <f aca="false">INDEX('Product Master'!$B$2:$B$21,MATCH(D28,'Product Master'!$A$2:$A$21,0))</f>
        <v>Canvas Low-Top</v>
      </c>
      <c r="F28" s="0" t="str">
        <f aca="false">INDEX('Product Master'!$C$2:$C$21,MATCH(D28,'Product Master'!$A$2:$A$21,0))</f>
        <v>Footwear</v>
      </c>
      <c r="G28" s="15" t="n">
        <f aca="false">VALUE(TRIM('Raw Store Exports'!E28&amp;""))</f>
        <v>6</v>
      </c>
      <c r="H28" s="18" t="n">
        <f aca="false">INDEX('Product Master'!$D$2:$D$21,MATCH(D28,'Product Master'!$A$2:$A$21,0))</f>
        <v>55</v>
      </c>
      <c r="I28" s="14" t="n">
        <f aca="false">G28*H28</f>
        <v>330</v>
      </c>
      <c r="J28" s="0" t="str">
        <f aca="false">IF(COUNTIF($A$2:A28,A28)&gt;1,"Duplicate","")</f>
        <v/>
      </c>
    </row>
    <row r="29" customFormat="false" ht="15" hidden="false" customHeight="false" outlineLevel="0" collapsed="false">
      <c r="A29" s="0" t="str">
        <f aca="false">'Raw Store Exports'!A29</f>
        <v>TXN00913</v>
      </c>
      <c r="B29" s="17" t="n">
        <f aca="false">'Raw Store Exports'!C29</f>
        <v>46069</v>
      </c>
      <c r="C29" s="0" t="str">
        <f aca="false">INDEX('Store Mapping'!$C$2:$C$19,MATCH(TRIM('Raw Store Exports'!B29),'Store Mapping'!$A$2:$A$19,0))</f>
        <v>Downtown</v>
      </c>
      <c r="D29" s="0" t="str">
        <f aca="false">'Raw Store Exports'!D29</f>
        <v>FTW-204</v>
      </c>
      <c r="E29" s="0" t="str">
        <f aca="false">INDEX('Product Master'!$B$2:$B$21,MATCH(D29,'Product Master'!$A$2:$A$21,0))</f>
        <v>Slide Sandals</v>
      </c>
      <c r="F29" s="0" t="str">
        <f aca="false">INDEX('Product Master'!$C$2:$C$21,MATCH(D29,'Product Master'!$A$2:$A$21,0))</f>
        <v>Footwear</v>
      </c>
      <c r="G29" s="15" t="n">
        <f aca="false">VALUE(TRIM('Raw Store Exports'!E29&amp;""))</f>
        <v>3</v>
      </c>
      <c r="H29" s="18" t="n">
        <f aca="false">INDEX('Product Master'!$D$2:$D$21,MATCH(D29,'Product Master'!$A$2:$A$21,0))</f>
        <v>25</v>
      </c>
      <c r="I29" s="14" t="n">
        <f aca="false">G29*H29</f>
        <v>75</v>
      </c>
      <c r="J29" s="0" t="str">
        <f aca="false">IF(COUNTIF($A$2:A29,A29)&gt;1,"Duplicate","")</f>
        <v/>
      </c>
    </row>
    <row r="30" customFormat="false" ht="15" hidden="false" customHeight="false" outlineLevel="0" collapsed="false">
      <c r="A30" s="0" t="str">
        <f aca="false">'Raw Store Exports'!A30</f>
        <v>TXN00019</v>
      </c>
      <c r="B30" s="17" t="n">
        <f aca="false">'Raw Store Exports'!C30</f>
        <v>46029</v>
      </c>
      <c r="C30" s="0" t="str">
        <f aca="false">INDEX('Store Mapping'!$C$2:$C$19,MATCH(TRIM('Raw Store Exports'!B30),'Store Mapping'!$A$2:$A$19,0))</f>
        <v>Downtown</v>
      </c>
      <c r="D30" s="0" t="str">
        <f aca="false">'Raw Store Exports'!D30</f>
        <v>FTW-204</v>
      </c>
      <c r="E30" s="0" t="str">
        <f aca="false">INDEX('Product Master'!$B$2:$B$21,MATCH(D30,'Product Master'!$A$2:$A$21,0))</f>
        <v>Slide Sandals</v>
      </c>
      <c r="F30" s="0" t="str">
        <f aca="false">INDEX('Product Master'!$C$2:$C$21,MATCH(D30,'Product Master'!$A$2:$A$21,0))</f>
        <v>Footwear</v>
      </c>
      <c r="G30" s="15" t="n">
        <f aca="false">VALUE(TRIM('Raw Store Exports'!E30&amp;""))</f>
        <v>4</v>
      </c>
      <c r="H30" s="18" t="n">
        <f aca="false">INDEX('Product Master'!$D$2:$D$21,MATCH(D30,'Product Master'!$A$2:$A$21,0))</f>
        <v>25</v>
      </c>
      <c r="I30" s="14" t="n">
        <f aca="false">G30*H30</f>
        <v>100</v>
      </c>
      <c r="J30" s="0" t="str">
        <f aca="false">IF(COUNTIF($A$2:A30,A30)&gt;1,"Duplicate","")</f>
        <v/>
      </c>
    </row>
    <row r="31" customFormat="false" ht="15" hidden="false" customHeight="false" outlineLevel="0" collapsed="false">
      <c r="A31" s="0" t="str">
        <f aca="false">'Raw Store Exports'!A31</f>
        <v>TXN00197</v>
      </c>
      <c r="B31" s="17" t="n">
        <f aca="false">'Raw Store Exports'!C31</f>
        <v>46034</v>
      </c>
      <c r="C31" s="0" t="str">
        <f aca="false">INDEX('Store Mapping'!$C$2:$C$19,MATCH(TRIM('Raw Store Exports'!B31),'Store Mapping'!$A$2:$A$19,0))</f>
        <v>Eastgate</v>
      </c>
      <c r="D31" s="0" t="str">
        <f aca="false">'Raw Store Exports'!D31</f>
        <v>FTW-202</v>
      </c>
      <c r="E31" s="0" t="str">
        <f aca="false">INDEX('Product Master'!$B$2:$B$21,MATCH(D31,'Product Master'!$A$2:$A$21,0))</f>
        <v>Canvas Low-Top</v>
      </c>
      <c r="F31" s="0" t="str">
        <f aca="false">INDEX('Product Master'!$C$2:$C$21,MATCH(D31,'Product Master'!$A$2:$A$21,0))</f>
        <v>Footwear</v>
      </c>
      <c r="G31" s="15" t="n">
        <f aca="false">VALUE(TRIM('Raw Store Exports'!E31&amp;""))</f>
        <v>1</v>
      </c>
      <c r="H31" s="18" t="n">
        <f aca="false">INDEX('Product Master'!$D$2:$D$21,MATCH(D31,'Product Master'!$A$2:$A$21,0))</f>
        <v>55</v>
      </c>
      <c r="I31" s="14" t="n">
        <f aca="false">G31*H31</f>
        <v>55</v>
      </c>
      <c r="J31" s="0" t="str">
        <f aca="false">IF(COUNTIF($A$2:A31,A31)&gt;1,"Duplicate","")</f>
        <v/>
      </c>
    </row>
    <row r="32" customFormat="false" ht="15" hidden="false" customHeight="false" outlineLevel="0" collapsed="false">
      <c r="A32" s="0" t="str">
        <f aca="false">'Raw Store Exports'!A32</f>
        <v>TXN01119</v>
      </c>
      <c r="B32" s="17" t="n">
        <f aca="false">'Raw Store Exports'!C32</f>
        <v>46081</v>
      </c>
      <c r="C32" s="0" t="str">
        <f aca="false">INDEX('Store Mapping'!$C$2:$C$19,MATCH(TRIM('Raw Store Exports'!B32),'Store Mapping'!$A$2:$A$19,0))</f>
        <v>Eastgate</v>
      </c>
      <c r="D32" s="0" t="str">
        <f aca="false">'Raw Store Exports'!D32</f>
        <v>ACC-304</v>
      </c>
      <c r="E32" s="0" t="str">
        <f aca="false">INDEX('Product Master'!$B$2:$B$21,MATCH(D32,'Product Master'!$A$2:$A$21,0))</f>
        <v>Wool Beanie</v>
      </c>
      <c r="F32" s="0" t="str">
        <f aca="false">INDEX('Product Master'!$C$2:$C$21,MATCH(D32,'Product Master'!$A$2:$A$21,0))</f>
        <v>Accessories</v>
      </c>
      <c r="G32" s="15" t="n">
        <f aca="false">VALUE(TRIM('Raw Store Exports'!E32&amp;""))</f>
        <v>5</v>
      </c>
      <c r="H32" s="18" t="n">
        <f aca="false">INDEX('Product Master'!$D$2:$D$21,MATCH(D32,'Product Master'!$A$2:$A$21,0))</f>
        <v>16</v>
      </c>
      <c r="I32" s="14" t="n">
        <f aca="false">G32*H32</f>
        <v>80</v>
      </c>
      <c r="J32" s="0" t="str">
        <f aca="false">IF(COUNTIF($A$2:A32,A32)&gt;1,"Duplicate","")</f>
        <v/>
      </c>
    </row>
    <row r="33" customFormat="false" ht="15" hidden="false" customHeight="false" outlineLevel="0" collapsed="false">
      <c r="A33" s="0" t="str">
        <f aca="false">'Raw Store Exports'!A33</f>
        <v>TXN00179</v>
      </c>
      <c r="B33" s="17" t="n">
        <f aca="false">'Raw Store Exports'!C33</f>
        <v>46040</v>
      </c>
      <c r="C33" s="0" t="str">
        <f aca="false">INDEX('Store Mapping'!$C$2:$C$19,MATCH(TRIM('Raw Store Exports'!B33),'Store Mapping'!$A$2:$A$19,0))</f>
        <v>Eastgate</v>
      </c>
      <c r="D33" s="0" t="str">
        <f aca="false">'Raw Store Exports'!D33</f>
        <v>HOM-501</v>
      </c>
      <c r="E33" s="0" t="str">
        <f aca="false">INDEX('Product Master'!$B$2:$B$21,MATCH(D33,'Product Master'!$A$2:$A$21,0))</f>
        <v>Ceramic Coffee Mug Set</v>
      </c>
      <c r="F33" s="0" t="str">
        <f aca="false">INDEX('Product Master'!$C$2:$C$21,MATCH(D33,'Product Master'!$A$2:$A$21,0))</f>
        <v>Home Goods</v>
      </c>
      <c r="G33" s="15" t="n">
        <f aca="false">VALUE(TRIM('Raw Store Exports'!E33&amp;""))</f>
        <v>2</v>
      </c>
      <c r="H33" s="18" t="n">
        <f aca="false">INDEX('Product Master'!$D$2:$D$21,MATCH(D33,'Product Master'!$A$2:$A$21,0))</f>
        <v>22</v>
      </c>
      <c r="I33" s="14" t="n">
        <f aca="false">G33*H33</f>
        <v>44</v>
      </c>
      <c r="J33" s="0" t="str">
        <f aca="false">IF(COUNTIF($A$2:A33,A33)&gt;1,"Duplicate","")</f>
        <v/>
      </c>
    </row>
    <row r="34" customFormat="false" ht="15" hidden="false" customHeight="false" outlineLevel="0" collapsed="false">
      <c r="A34" s="0" t="str">
        <f aca="false">'Raw Store Exports'!A34</f>
        <v>TXN01091</v>
      </c>
      <c r="B34" s="17" t="n">
        <f aca="false">'Raw Store Exports'!C34</f>
        <v>46079</v>
      </c>
      <c r="C34" s="0" t="str">
        <f aca="false">INDEX('Store Mapping'!$C$2:$C$19,MATCH(TRIM('Raw Store Exports'!B34),'Store Mapping'!$A$2:$A$19,0))</f>
        <v>Westside Mall</v>
      </c>
      <c r="D34" s="0" t="str">
        <f aca="false">'Raw Store Exports'!D34</f>
        <v>FTW-201</v>
      </c>
      <c r="E34" s="0" t="str">
        <f aca="false">INDEX('Product Master'!$B$2:$B$21,MATCH(D34,'Product Master'!$A$2:$A$21,0))</f>
        <v>Running Sneakers</v>
      </c>
      <c r="F34" s="0" t="str">
        <f aca="false">INDEX('Product Master'!$C$2:$C$21,MATCH(D34,'Product Master'!$A$2:$A$21,0))</f>
        <v>Footwear</v>
      </c>
      <c r="G34" s="15" t="n">
        <f aca="false">VALUE(TRIM('Raw Store Exports'!E34&amp;""))</f>
        <v>2</v>
      </c>
      <c r="H34" s="18" t="n">
        <f aca="false">INDEX('Product Master'!$D$2:$D$21,MATCH(D34,'Product Master'!$A$2:$A$21,0))</f>
        <v>89</v>
      </c>
      <c r="I34" s="14" t="n">
        <f aca="false">G34*H34</f>
        <v>178</v>
      </c>
      <c r="J34" s="0" t="str">
        <f aca="false">IF(COUNTIF($A$2:A34,A34)&gt;1,"Duplicate","")</f>
        <v/>
      </c>
    </row>
    <row r="35" customFormat="false" ht="15" hidden="false" customHeight="false" outlineLevel="0" collapsed="false">
      <c r="A35" s="0" t="str">
        <f aca="false">'Raw Store Exports'!A35</f>
        <v>TXN00826</v>
      </c>
      <c r="B35" s="17" t="n">
        <f aca="false">'Raw Store Exports'!C35</f>
        <v>46063</v>
      </c>
      <c r="C35" s="0" t="str">
        <f aca="false">INDEX('Store Mapping'!$C$2:$C$19,MATCH(TRIM('Raw Store Exports'!B35),'Store Mapping'!$A$2:$A$19,0))</f>
        <v>Northpark</v>
      </c>
      <c r="D35" s="0" t="str">
        <f aca="false">'Raw Store Exports'!D35</f>
        <v>APP-104</v>
      </c>
      <c r="E35" s="0" t="str">
        <f aca="false">INDEX('Product Master'!$B$2:$B$21,MATCH(D35,'Product Master'!$A$2:$A$21,0))</f>
        <v>Slim Fit Chinos</v>
      </c>
      <c r="F35" s="0" t="str">
        <f aca="false">INDEX('Product Master'!$C$2:$C$21,MATCH(D35,'Product Master'!$A$2:$A$21,0))</f>
        <v>Apparel</v>
      </c>
      <c r="G35" s="15" t="n">
        <f aca="false">VALUE(TRIM('Raw Store Exports'!E35&amp;""))</f>
        <v>6</v>
      </c>
      <c r="H35" s="18" t="n">
        <f aca="false">INDEX('Product Master'!$D$2:$D$21,MATCH(D35,'Product Master'!$A$2:$A$21,0))</f>
        <v>52</v>
      </c>
      <c r="I35" s="14" t="n">
        <f aca="false">G35*H35</f>
        <v>312</v>
      </c>
      <c r="J35" s="0" t="str">
        <f aca="false">IF(COUNTIF($A$2:A35,A35)&gt;1,"Duplicate","")</f>
        <v/>
      </c>
    </row>
    <row r="36" customFormat="false" ht="15" hidden="false" customHeight="false" outlineLevel="0" collapsed="false">
      <c r="A36" s="0" t="str">
        <f aca="false">'Raw Store Exports'!A36</f>
        <v>TXN00114</v>
      </c>
      <c r="B36" s="17" t="n">
        <f aca="false">'Raw Store Exports'!C36</f>
        <v>46027</v>
      </c>
      <c r="C36" s="0" t="str">
        <f aca="false">INDEX('Store Mapping'!$C$2:$C$19,MATCH(TRIM('Raw Store Exports'!B36),'Store Mapping'!$A$2:$A$19,0))</f>
        <v>Riverside</v>
      </c>
      <c r="D36" s="0" t="str">
        <f aca="false">'Raw Store Exports'!D36</f>
        <v>HOM-503</v>
      </c>
      <c r="E36" s="0" t="str">
        <f aca="false">INDEX('Product Master'!$B$2:$B$21,MATCH(D36,'Product Master'!$A$2:$A$21,0))</f>
        <v>Cotton Throw Blanket</v>
      </c>
      <c r="F36" s="0" t="str">
        <f aca="false">INDEX('Product Master'!$C$2:$C$21,MATCH(D36,'Product Master'!$A$2:$A$21,0))</f>
        <v>Home Goods</v>
      </c>
      <c r="G36" s="15" t="n">
        <f aca="false">VALUE(TRIM('Raw Store Exports'!E36&amp;""))</f>
        <v>1</v>
      </c>
      <c r="H36" s="18" t="n">
        <f aca="false">INDEX('Product Master'!$D$2:$D$21,MATCH(D36,'Product Master'!$A$2:$A$21,0))</f>
        <v>38</v>
      </c>
      <c r="I36" s="14" t="n">
        <f aca="false">G36*H36</f>
        <v>38</v>
      </c>
      <c r="J36" s="0" t="str">
        <f aca="false">IF(COUNTIF($A$2:A36,A36)&gt;1,"Duplicate","")</f>
        <v/>
      </c>
    </row>
    <row r="37" customFormat="false" ht="15" hidden="false" customHeight="false" outlineLevel="0" collapsed="false">
      <c r="A37" s="0" t="str">
        <f aca="false">'Raw Store Exports'!A37</f>
        <v>TXN00519</v>
      </c>
      <c r="B37" s="17" t="n">
        <f aca="false">'Raw Store Exports'!C37</f>
        <v>46048</v>
      </c>
      <c r="C37" s="0" t="str">
        <f aca="false">INDEX('Store Mapping'!$C$2:$C$19,MATCH(TRIM('Raw Store Exports'!B37),'Store Mapping'!$A$2:$A$19,0))</f>
        <v>Northpark</v>
      </c>
      <c r="D37" s="0" t="str">
        <f aca="false">'Raw Store Exports'!D37</f>
        <v>ELE-401</v>
      </c>
      <c r="E37" s="0" t="str">
        <f aca="false">INDEX('Product Master'!$B$2:$B$21,MATCH(D37,'Product Master'!$A$2:$A$21,0))</f>
        <v>Wireless Earbuds</v>
      </c>
      <c r="F37" s="0" t="str">
        <f aca="false">INDEX('Product Master'!$C$2:$C$21,MATCH(D37,'Product Master'!$A$2:$A$21,0))</f>
        <v>Electronics</v>
      </c>
      <c r="G37" s="15" t="n">
        <f aca="false">VALUE(TRIM('Raw Store Exports'!E37&amp;""))</f>
        <v>4</v>
      </c>
      <c r="H37" s="18" t="n">
        <f aca="false">INDEX('Product Master'!$D$2:$D$21,MATCH(D37,'Product Master'!$A$2:$A$21,0))</f>
        <v>79</v>
      </c>
      <c r="I37" s="14" t="n">
        <f aca="false">G37*H37</f>
        <v>316</v>
      </c>
      <c r="J37" s="0" t="str">
        <f aca="false">IF(COUNTIF($A$2:A37,A37)&gt;1,"Duplicate","")</f>
        <v/>
      </c>
    </row>
    <row r="38" customFormat="false" ht="15" hidden="false" customHeight="false" outlineLevel="0" collapsed="false">
      <c r="A38" s="0" t="str">
        <f aca="false">'Raw Store Exports'!A38</f>
        <v>TXN00381</v>
      </c>
      <c r="B38" s="17" t="n">
        <f aca="false">'Raw Store Exports'!C38</f>
        <v>46047</v>
      </c>
      <c r="C38" s="0" t="str">
        <f aca="false">INDEX('Store Mapping'!$C$2:$C$19,MATCH(TRIM('Raw Store Exports'!B38),'Store Mapping'!$A$2:$A$19,0))</f>
        <v>Riverside</v>
      </c>
      <c r="D38" s="0" t="str">
        <f aca="false">'Raw Store Exports'!D38</f>
        <v>HOM-501</v>
      </c>
      <c r="E38" s="0" t="str">
        <f aca="false">INDEX('Product Master'!$B$2:$B$21,MATCH(D38,'Product Master'!$A$2:$A$21,0))</f>
        <v>Ceramic Coffee Mug Set</v>
      </c>
      <c r="F38" s="0" t="str">
        <f aca="false">INDEX('Product Master'!$C$2:$C$21,MATCH(D38,'Product Master'!$A$2:$A$21,0))</f>
        <v>Home Goods</v>
      </c>
      <c r="G38" s="15" t="n">
        <f aca="false">VALUE(TRIM('Raw Store Exports'!E38&amp;""))</f>
        <v>2</v>
      </c>
      <c r="H38" s="18" t="n">
        <f aca="false">INDEX('Product Master'!$D$2:$D$21,MATCH(D38,'Product Master'!$A$2:$A$21,0))</f>
        <v>22</v>
      </c>
      <c r="I38" s="14" t="n">
        <f aca="false">G38*H38</f>
        <v>44</v>
      </c>
      <c r="J38" s="0" t="str">
        <f aca="false">IF(COUNTIF($A$2:A38,A38)&gt;1,"Duplicate","")</f>
        <v/>
      </c>
    </row>
    <row r="39" customFormat="false" ht="15" hidden="false" customHeight="false" outlineLevel="0" collapsed="false">
      <c r="A39" s="0" t="str">
        <f aca="false">'Raw Store Exports'!A39</f>
        <v>TXN01135</v>
      </c>
      <c r="B39" s="17" t="n">
        <f aca="false">'Raw Store Exports'!C39</f>
        <v>46081</v>
      </c>
      <c r="C39" s="0" t="str">
        <f aca="false">INDEX('Store Mapping'!$C$2:$C$19,MATCH(TRIM('Raw Store Exports'!B39),'Store Mapping'!$A$2:$A$19,0))</f>
        <v>Northpark</v>
      </c>
      <c r="D39" s="0" t="str">
        <f aca="false">'Raw Store Exports'!D39</f>
        <v>HOM-502</v>
      </c>
      <c r="E39" s="0" t="str">
        <f aca="false">INDEX('Product Master'!$B$2:$B$21,MATCH(D39,'Product Master'!$A$2:$A$21,0))</f>
        <v>Scented Candle</v>
      </c>
      <c r="F39" s="0" t="str">
        <f aca="false">INDEX('Product Master'!$C$2:$C$21,MATCH(D39,'Product Master'!$A$2:$A$21,0))</f>
        <v>Home Goods</v>
      </c>
      <c r="G39" s="15" t="n">
        <f aca="false">VALUE(TRIM('Raw Store Exports'!E39&amp;""))</f>
        <v>5</v>
      </c>
      <c r="H39" s="18" t="n">
        <f aca="false">INDEX('Product Master'!$D$2:$D$21,MATCH(D39,'Product Master'!$A$2:$A$21,0))</f>
        <v>15</v>
      </c>
      <c r="I39" s="14" t="n">
        <f aca="false">G39*H39</f>
        <v>75</v>
      </c>
      <c r="J39" s="0" t="str">
        <f aca="false">IF(COUNTIF($A$2:A39,A39)&gt;1,"Duplicate","")</f>
        <v/>
      </c>
    </row>
    <row r="40" customFormat="false" ht="15" hidden="false" customHeight="false" outlineLevel="0" collapsed="false">
      <c r="A40" s="0" t="str">
        <f aca="false">'Raw Store Exports'!A40</f>
        <v>TXN00441</v>
      </c>
      <c r="B40" s="17" t="n">
        <f aca="false">'Raw Store Exports'!C40</f>
        <v>46054</v>
      </c>
      <c r="C40" s="0" t="str">
        <f aca="false">INDEX('Store Mapping'!$C$2:$C$19,MATCH(TRIM('Raw Store Exports'!B40),'Store Mapping'!$A$2:$A$19,0))</f>
        <v>Downtown</v>
      </c>
      <c r="D40" s="0" t="str">
        <f aca="false">'Raw Store Exports'!D40</f>
        <v>HOM-501</v>
      </c>
      <c r="E40" s="0" t="str">
        <f aca="false">INDEX('Product Master'!$B$2:$B$21,MATCH(D40,'Product Master'!$A$2:$A$21,0))</f>
        <v>Ceramic Coffee Mug Set</v>
      </c>
      <c r="F40" s="0" t="str">
        <f aca="false">INDEX('Product Master'!$C$2:$C$21,MATCH(D40,'Product Master'!$A$2:$A$21,0))</f>
        <v>Home Goods</v>
      </c>
      <c r="G40" s="15" t="n">
        <f aca="false">VALUE(TRIM('Raw Store Exports'!E40&amp;""))</f>
        <v>6</v>
      </c>
      <c r="H40" s="18" t="n">
        <f aca="false">INDEX('Product Master'!$D$2:$D$21,MATCH(D40,'Product Master'!$A$2:$A$21,0))</f>
        <v>22</v>
      </c>
      <c r="I40" s="14" t="n">
        <f aca="false">G40*H40</f>
        <v>132</v>
      </c>
      <c r="J40" s="0" t="str">
        <f aca="false">IF(COUNTIF($A$2:A40,A40)&gt;1,"Duplicate","")</f>
        <v/>
      </c>
    </row>
    <row r="41" customFormat="false" ht="15" hidden="false" customHeight="false" outlineLevel="0" collapsed="false">
      <c r="A41" s="0" t="str">
        <f aca="false">'Raw Store Exports'!A41</f>
        <v>TXN00485</v>
      </c>
      <c r="B41" s="17" t="n">
        <f aca="false">'Raw Store Exports'!C41</f>
        <v>46053</v>
      </c>
      <c r="C41" s="0" t="str">
        <f aca="false">INDEX('Store Mapping'!$C$2:$C$19,MATCH(TRIM('Raw Store Exports'!B41),'Store Mapping'!$A$2:$A$19,0))</f>
        <v>Eastgate</v>
      </c>
      <c r="D41" s="0" t="str">
        <f aca="false">'Raw Store Exports'!D41</f>
        <v>APP-103</v>
      </c>
      <c r="E41" s="0" t="str">
        <f aca="false">INDEX('Product Master'!$B$2:$B$21,MATCH(D41,'Product Master'!$A$2:$A$21,0))</f>
        <v>Fleece Pullover Hoodie</v>
      </c>
      <c r="F41" s="0" t="str">
        <f aca="false">INDEX('Product Master'!$C$2:$C$21,MATCH(D41,'Product Master'!$A$2:$A$21,0))</f>
        <v>Apparel</v>
      </c>
      <c r="G41" s="15" t="n">
        <f aca="false">VALUE(TRIM('Raw Store Exports'!E41&amp;""))</f>
        <v>1</v>
      </c>
      <c r="H41" s="18" t="n">
        <f aca="false">INDEX('Product Master'!$D$2:$D$21,MATCH(D41,'Product Master'!$A$2:$A$21,0))</f>
        <v>45</v>
      </c>
      <c r="I41" s="14" t="n">
        <f aca="false">G41*H41</f>
        <v>45</v>
      </c>
      <c r="J41" s="0" t="str">
        <f aca="false">IF(COUNTIF($A$2:A41,A41)&gt;1,"Duplicate","")</f>
        <v/>
      </c>
    </row>
    <row r="42" customFormat="false" ht="15" hidden="false" customHeight="false" outlineLevel="0" collapsed="false">
      <c r="A42" s="0" t="str">
        <f aca="false">'Raw Store Exports'!A42</f>
        <v>TXN01125</v>
      </c>
      <c r="B42" s="17" t="n">
        <f aca="false">'Raw Store Exports'!C42</f>
        <v>46080</v>
      </c>
      <c r="C42" s="0" t="str">
        <f aca="false">INDEX('Store Mapping'!$C$2:$C$19,MATCH(TRIM('Raw Store Exports'!B42),'Store Mapping'!$A$2:$A$19,0))</f>
        <v>Northpark</v>
      </c>
      <c r="D42" s="0" t="str">
        <f aca="false">'Raw Store Exports'!D42</f>
        <v>ACC-303</v>
      </c>
      <c r="E42" s="0" t="str">
        <f aca="false">INDEX('Product Master'!$B$2:$B$21,MATCH(D42,'Product Master'!$A$2:$A$21,0))</f>
        <v>Canvas Tote Bag</v>
      </c>
      <c r="F42" s="0" t="str">
        <f aca="false">INDEX('Product Master'!$C$2:$C$21,MATCH(D42,'Product Master'!$A$2:$A$21,0))</f>
        <v>Accessories</v>
      </c>
      <c r="G42" s="15" t="n">
        <f aca="false">VALUE(TRIM('Raw Store Exports'!E42&amp;""))</f>
        <v>4</v>
      </c>
      <c r="H42" s="18" t="n">
        <f aca="false">INDEX('Product Master'!$D$2:$D$21,MATCH(D42,'Product Master'!$A$2:$A$21,0))</f>
        <v>24</v>
      </c>
      <c r="I42" s="14" t="n">
        <f aca="false">G42*H42</f>
        <v>96</v>
      </c>
      <c r="J42" s="0" t="str">
        <f aca="false">IF(COUNTIF($A$2:A42,A42)&gt;1,"Duplicate","")</f>
        <v/>
      </c>
    </row>
    <row r="43" customFormat="false" ht="15" hidden="false" customHeight="false" outlineLevel="0" collapsed="false">
      <c r="A43" s="0" t="str">
        <f aca="false">'Raw Store Exports'!A43</f>
        <v>TXN00565</v>
      </c>
      <c r="B43" s="17" t="n">
        <f aca="false">'Raw Store Exports'!C43</f>
        <v>46049</v>
      </c>
      <c r="C43" s="0" t="str">
        <f aca="false">INDEX('Store Mapping'!$C$2:$C$19,MATCH(TRIM('Raw Store Exports'!B43),'Store Mapping'!$A$2:$A$19,0))</f>
        <v>Airport Plaza</v>
      </c>
      <c r="D43" s="0" t="str">
        <f aca="false">'Raw Store Exports'!D43</f>
        <v>APP-104</v>
      </c>
      <c r="E43" s="0" t="str">
        <f aca="false">INDEX('Product Master'!$B$2:$B$21,MATCH(D43,'Product Master'!$A$2:$A$21,0))</f>
        <v>Slim Fit Chinos</v>
      </c>
      <c r="F43" s="0" t="str">
        <f aca="false">INDEX('Product Master'!$C$2:$C$21,MATCH(D43,'Product Master'!$A$2:$A$21,0))</f>
        <v>Apparel</v>
      </c>
      <c r="G43" s="15" t="n">
        <f aca="false">VALUE(TRIM('Raw Store Exports'!E43&amp;""))</f>
        <v>3</v>
      </c>
      <c r="H43" s="18" t="n">
        <f aca="false">INDEX('Product Master'!$D$2:$D$21,MATCH(D43,'Product Master'!$A$2:$A$21,0))</f>
        <v>52</v>
      </c>
      <c r="I43" s="14" t="n">
        <f aca="false">G43*H43</f>
        <v>156</v>
      </c>
      <c r="J43" s="0" t="str">
        <f aca="false">IF(COUNTIF($A$2:A43,A43)&gt;1,"Duplicate","")</f>
        <v/>
      </c>
    </row>
    <row r="44" customFormat="false" ht="15" hidden="false" customHeight="false" outlineLevel="0" collapsed="false">
      <c r="A44" s="0" t="str">
        <f aca="false">'Raw Store Exports'!A44</f>
        <v>TXN00373</v>
      </c>
      <c r="B44" s="17" t="n">
        <f aca="false">'Raw Store Exports'!C44</f>
        <v>46044</v>
      </c>
      <c r="C44" s="0" t="str">
        <f aca="false">INDEX('Store Mapping'!$C$2:$C$19,MATCH(TRIM('Raw Store Exports'!B44),'Store Mapping'!$A$2:$A$19,0))</f>
        <v>Northpark</v>
      </c>
      <c r="D44" s="0" t="str">
        <f aca="false">'Raw Store Exports'!D44</f>
        <v>HOM-504</v>
      </c>
      <c r="E44" s="0" t="str">
        <f aca="false">INDEX('Product Master'!$B$2:$B$21,MATCH(D44,'Product Master'!$A$2:$A$21,0))</f>
        <v>Bamboo Cutting Board</v>
      </c>
      <c r="F44" s="0" t="str">
        <f aca="false">INDEX('Product Master'!$C$2:$C$21,MATCH(D44,'Product Master'!$A$2:$A$21,0))</f>
        <v>Home Goods</v>
      </c>
      <c r="G44" s="15" t="n">
        <f aca="false">VALUE(TRIM('Raw Store Exports'!E44&amp;""))</f>
        <v>3</v>
      </c>
      <c r="H44" s="18" t="n">
        <f aca="false">INDEX('Product Master'!$D$2:$D$21,MATCH(D44,'Product Master'!$A$2:$A$21,0))</f>
        <v>27</v>
      </c>
      <c r="I44" s="14" t="n">
        <f aca="false">G44*H44</f>
        <v>81</v>
      </c>
      <c r="J44" s="0" t="str">
        <f aca="false">IF(COUNTIF($A$2:A44,A44)&gt;1,"Duplicate","")</f>
        <v/>
      </c>
    </row>
    <row r="45" customFormat="false" ht="15" hidden="false" customHeight="false" outlineLevel="0" collapsed="false">
      <c r="A45" s="0" t="str">
        <f aca="false">'Raw Store Exports'!A45</f>
        <v>TXN00615</v>
      </c>
      <c r="B45" s="17" t="n">
        <f aca="false">'Raw Store Exports'!C45</f>
        <v>46056</v>
      </c>
      <c r="C45" s="0" t="str">
        <f aca="false">INDEX('Store Mapping'!$C$2:$C$19,MATCH(TRIM('Raw Store Exports'!B45),'Store Mapping'!$A$2:$A$19,0))</f>
        <v>Downtown</v>
      </c>
      <c r="D45" s="0" t="str">
        <f aca="false">'Raw Store Exports'!D45</f>
        <v>HOM-503</v>
      </c>
      <c r="E45" s="0" t="str">
        <f aca="false">INDEX('Product Master'!$B$2:$B$21,MATCH(D45,'Product Master'!$A$2:$A$21,0))</f>
        <v>Cotton Throw Blanket</v>
      </c>
      <c r="F45" s="0" t="str">
        <f aca="false">INDEX('Product Master'!$C$2:$C$21,MATCH(D45,'Product Master'!$A$2:$A$21,0))</f>
        <v>Home Goods</v>
      </c>
      <c r="G45" s="15" t="n">
        <f aca="false">VALUE(TRIM('Raw Store Exports'!E45&amp;""))</f>
        <v>3</v>
      </c>
      <c r="H45" s="18" t="n">
        <f aca="false">INDEX('Product Master'!$D$2:$D$21,MATCH(D45,'Product Master'!$A$2:$A$21,0))</f>
        <v>38</v>
      </c>
      <c r="I45" s="14" t="n">
        <f aca="false">G45*H45</f>
        <v>114</v>
      </c>
      <c r="J45" s="0" t="str">
        <f aca="false">IF(COUNTIF($A$2:A45,A45)&gt;1,"Duplicate","")</f>
        <v/>
      </c>
    </row>
    <row r="46" customFormat="false" ht="15" hidden="false" customHeight="false" outlineLevel="0" collapsed="false">
      <c r="A46" s="0" t="str">
        <f aca="false">'Raw Store Exports'!A46</f>
        <v>TXN00095</v>
      </c>
      <c r="B46" s="17" t="n">
        <f aca="false">'Raw Store Exports'!C46</f>
        <v>46031</v>
      </c>
      <c r="C46" s="0" t="str">
        <f aca="false">INDEX('Store Mapping'!$C$2:$C$19,MATCH(TRIM('Raw Store Exports'!B46),'Store Mapping'!$A$2:$A$19,0))</f>
        <v>Northpark</v>
      </c>
      <c r="D46" s="0" t="str">
        <f aca="false">'Raw Store Exports'!D46</f>
        <v>FTW-202</v>
      </c>
      <c r="E46" s="0" t="str">
        <f aca="false">INDEX('Product Master'!$B$2:$B$21,MATCH(D46,'Product Master'!$A$2:$A$21,0))</f>
        <v>Canvas Low-Top</v>
      </c>
      <c r="F46" s="0" t="str">
        <f aca="false">INDEX('Product Master'!$C$2:$C$21,MATCH(D46,'Product Master'!$A$2:$A$21,0))</f>
        <v>Footwear</v>
      </c>
      <c r="G46" s="15" t="n">
        <f aca="false">VALUE(TRIM('Raw Store Exports'!E46&amp;""))</f>
        <v>2</v>
      </c>
      <c r="H46" s="18" t="n">
        <f aca="false">INDEX('Product Master'!$D$2:$D$21,MATCH(D46,'Product Master'!$A$2:$A$21,0))</f>
        <v>55</v>
      </c>
      <c r="I46" s="14" t="n">
        <f aca="false">G46*H46</f>
        <v>110</v>
      </c>
      <c r="J46" s="0" t="str">
        <f aca="false">IF(COUNTIF($A$2:A46,A46)&gt;1,"Duplicate","")</f>
        <v/>
      </c>
    </row>
    <row r="47" customFormat="false" ht="15" hidden="false" customHeight="false" outlineLevel="0" collapsed="false">
      <c r="A47" s="0" t="str">
        <f aca="false">'Raw Store Exports'!A47</f>
        <v>TXN00823</v>
      </c>
      <c r="B47" s="17" t="n">
        <f aca="false">'Raw Store Exports'!C47</f>
        <v>46064</v>
      </c>
      <c r="C47" s="0" t="str">
        <f aca="false">INDEX('Store Mapping'!$C$2:$C$19,MATCH(TRIM('Raw Store Exports'!B47),'Store Mapping'!$A$2:$A$19,0))</f>
        <v>Eastgate</v>
      </c>
      <c r="D47" s="0" t="str">
        <f aca="false">'Raw Store Exports'!D47</f>
        <v>ELE-401</v>
      </c>
      <c r="E47" s="0" t="str">
        <f aca="false">INDEX('Product Master'!$B$2:$B$21,MATCH(D47,'Product Master'!$A$2:$A$21,0))</f>
        <v>Wireless Earbuds</v>
      </c>
      <c r="F47" s="0" t="str">
        <f aca="false">INDEX('Product Master'!$C$2:$C$21,MATCH(D47,'Product Master'!$A$2:$A$21,0))</f>
        <v>Electronics</v>
      </c>
      <c r="G47" s="15" t="n">
        <f aca="false">VALUE(TRIM('Raw Store Exports'!E47&amp;""))</f>
        <v>4</v>
      </c>
      <c r="H47" s="18" t="n">
        <f aca="false">INDEX('Product Master'!$D$2:$D$21,MATCH(D47,'Product Master'!$A$2:$A$21,0))</f>
        <v>79</v>
      </c>
      <c r="I47" s="14" t="n">
        <f aca="false">G47*H47</f>
        <v>316</v>
      </c>
      <c r="J47" s="0" t="str">
        <f aca="false">IF(COUNTIF($A$2:A47,A47)&gt;1,"Duplicate","")</f>
        <v/>
      </c>
    </row>
    <row r="48" customFormat="false" ht="15" hidden="false" customHeight="false" outlineLevel="0" collapsed="false">
      <c r="A48" s="0" t="str">
        <f aca="false">'Raw Store Exports'!A48</f>
        <v>TXN01133</v>
      </c>
      <c r="B48" s="17" t="n">
        <f aca="false">'Raw Store Exports'!C48</f>
        <v>46082</v>
      </c>
      <c r="C48" s="0" t="str">
        <f aca="false">INDEX('Store Mapping'!$C$2:$C$19,MATCH(TRIM('Raw Store Exports'!B48),'Store Mapping'!$A$2:$A$19,0))</f>
        <v>Northpark</v>
      </c>
      <c r="D48" s="0" t="str">
        <f aca="false">'Raw Store Exports'!D48</f>
        <v>ACC-304</v>
      </c>
      <c r="E48" s="0" t="str">
        <f aca="false">INDEX('Product Master'!$B$2:$B$21,MATCH(D48,'Product Master'!$A$2:$A$21,0))</f>
        <v>Wool Beanie</v>
      </c>
      <c r="F48" s="0" t="str">
        <f aca="false">INDEX('Product Master'!$C$2:$C$21,MATCH(D48,'Product Master'!$A$2:$A$21,0))</f>
        <v>Accessories</v>
      </c>
      <c r="G48" s="15" t="n">
        <f aca="false">VALUE(TRIM('Raw Store Exports'!E48&amp;""))</f>
        <v>5</v>
      </c>
      <c r="H48" s="18" t="n">
        <f aca="false">INDEX('Product Master'!$D$2:$D$21,MATCH(D48,'Product Master'!$A$2:$A$21,0))</f>
        <v>16</v>
      </c>
      <c r="I48" s="14" t="n">
        <f aca="false">G48*H48</f>
        <v>80</v>
      </c>
      <c r="J48" s="0" t="str">
        <f aca="false">IF(COUNTIF($A$2:A48,A48)&gt;1,"Duplicate","")</f>
        <v/>
      </c>
    </row>
    <row r="49" customFormat="false" ht="15" hidden="false" customHeight="false" outlineLevel="0" collapsed="false">
      <c r="A49" s="0" t="str">
        <f aca="false">'Raw Store Exports'!A49</f>
        <v>TXN00089</v>
      </c>
      <c r="B49" s="17" t="n">
        <f aca="false">'Raw Store Exports'!C49</f>
        <v>46028</v>
      </c>
      <c r="C49" s="0" t="str">
        <f aca="false">INDEX('Store Mapping'!$C$2:$C$19,MATCH(TRIM('Raw Store Exports'!B49),'Store Mapping'!$A$2:$A$19,0))</f>
        <v>Northpark</v>
      </c>
      <c r="D49" s="0" t="str">
        <f aca="false">'Raw Store Exports'!D49</f>
        <v>APP-104</v>
      </c>
      <c r="E49" s="0" t="str">
        <f aca="false">INDEX('Product Master'!$B$2:$B$21,MATCH(D49,'Product Master'!$A$2:$A$21,0))</f>
        <v>Slim Fit Chinos</v>
      </c>
      <c r="F49" s="0" t="str">
        <f aca="false">INDEX('Product Master'!$C$2:$C$21,MATCH(D49,'Product Master'!$A$2:$A$21,0))</f>
        <v>Apparel</v>
      </c>
      <c r="G49" s="15" t="n">
        <f aca="false">VALUE(TRIM('Raw Store Exports'!E49&amp;""))</f>
        <v>3</v>
      </c>
      <c r="H49" s="18" t="n">
        <f aca="false">INDEX('Product Master'!$D$2:$D$21,MATCH(D49,'Product Master'!$A$2:$A$21,0))</f>
        <v>52</v>
      </c>
      <c r="I49" s="14" t="n">
        <f aca="false">G49*H49</f>
        <v>156</v>
      </c>
      <c r="J49" s="0" t="str">
        <f aca="false">IF(COUNTIF($A$2:A49,A49)&gt;1,"Duplicate","")</f>
        <v/>
      </c>
    </row>
    <row r="50" customFormat="false" ht="15" hidden="false" customHeight="false" outlineLevel="0" collapsed="false">
      <c r="A50" s="0" t="str">
        <f aca="false">'Raw Store Exports'!A50</f>
        <v>TXN00138</v>
      </c>
      <c r="B50" s="17" t="n">
        <f aca="false">'Raw Store Exports'!C50</f>
        <v>46037</v>
      </c>
      <c r="C50" s="0" t="str">
        <f aca="false">INDEX('Store Mapping'!$C$2:$C$19,MATCH(TRIM('Raw Store Exports'!B50),'Store Mapping'!$A$2:$A$19,0))</f>
        <v>Downtown</v>
      </c>
      <c r="D50" s="0" t="str">
        <f aca="false">'Raw Store Exports'!D50</f>
        <v>HOM-501</v>
      </c>
      <c r="E50" s="0" t="str">
        <f aca="false">INDEX('Product Master'!$B$2:$B$21,MATCH(D50,'Product Master'!$A$2:$A$21,0))</f>
        <v>Ceramic Coffee Mug Set</v>
      </c>
      <c r="F50" s="0" t="str">
        <f aca="false">INDEX('Product Master'!$C$2:$C$21,MATCH(D50,'Product Master'!$A$2:$A$21,0))</f>
        <v>Home Goods</v>
      </c>
      <c r="G50" s="15" t="n">
        <f aca="false">VALUE(TRIM('Raw Store Exports'!E50&amp;""))</f>
        <v>2</v>
      </c>
      <c r="H50" s="18" t="n">
        <f aca="false">INDEX('Product Master'!$D$2:$D$21,MATCH(D50,'Product Master'!$A$2:$A$21,0))</f>
        <v>22</v>
      </c>
      <c r="I50" s="14" t="n">
        <f aca="false">G50*H50</f>
        <v>44</v>
      </c>
      <c r="J50" s="0" t="str">
        <f aca="false">IF(COUNTIF($A$2:A50,A50)&gt;1,"Duplicate","")</f>
        <v/>
      </c>
    </row>
    <row r="51" customFormat="false" ht="15" hidden="false" customHeight="false" outlineLevel="0" collapsed="false">
      <c r="A51" s="0" t="str">
        <f aca="false">'Raw Store Exports'!A51</f>
        <v>TXN00502</v>
      </c>
      <c r="B51" s="17" t="n">
        <f aca="false">'Raw Store Exports'!C51</f>
        <v>46051</v>
      </c>
      <c r="C51" s="0" t="str">
        <f aca="false">INDEX('Store Mapping'!$C$2:$C$19,MATCH(TRIM('Raw Store Exports'!B51),'Store Mapping'!$A$2:$A$19,0))</f>
        <v>Eastgate</v>
      </c>
      <c r="D51" s="0" t="str">
        <f aca="false">'Raw Store Exports'!D51</f>
        <v>ELE-403</v>
      </c>
      <c r="E51" s="0" t="str">
        <f aca="false">INDEX('Product Master'!$B$2:$B$21,MATCH(D51,'Product Master'!$A$2:$A$21,0))</f>
        <v>Fitness Tracker Band</v>
      </c>
      <c r="F51" s="0" t="str">
        <f aca="false">INDEX('Product Master'!$C$2:$C$21,MATCH(D51,'Product Master'!$A$2:$A$21,0))</f>
        <v>Electronics</v>
      </c>
      <c r="G51" s="15" t="n">
        <f aca="false">VALUE(TRIM('Raw Store Exports'!E51&amp;""))</f>
        <v>3</v>
      </c>
      <c r="H51" s="18" t="n">
        <f aca="false">INDEX('Product Master'!$D$2:$D$21,MATCH(D51,'Product Master'!$A$2:$A$21,0))</f>
        <v>99</v>
      </c>
      <c r="I51" s="14" t="n">
        <f aca="false">G51*H51</f>
        <v>297</v>
      </c>
      <c r="J51" s="0" t="str">
        <f aca="false">IF(COUNTIF($A$2:A51,A51)&gt;1,"Duplicate","")</f>
        <v/>
      </c>
    </row>
    <row r="52" customFormat="false" ht="15" hidden="false" customHeight="false" outlineLevel="0" collapsed="false">
      <c r="A52" s="0" t="str">
        <f aca="false">'Raw Store Exports'!A52</f>
        <v>TXN00011</v>
      </c>
      <c r="B52" s="17" t="n">
        <f aca="false">'Raw Store Exports'!C52</f>
        <v>46028</v>
      </c>
      <c r="C52" s="0" t="str">
        <f aca="false">INDEX('Store Mapping'!$C$2:$C$19,MATCH(TRIM('Raw Store Exports'!B52),'Store Mapping'!$A$2:$A$19,0))</f>
        <v>Downtown</v>
      </c>
      <c r="D52" s="0" t="str">
        <f aca="false">'Raw Store Exports'!D52</f>
        <v>FTW-204</v>
      </c>
      <c r="E52" s="0" t="str">
        <f aca="false">INDEX('Product Master'!$B$2:$B$21,MATCH(D52,'Product Master'!$A$2:$A$21,0))</f>
        <v>Slide Sandals</v>
      </c>
      <c r="F52" s="0" t="str">
        <f aca="false">INDEX('Product Master'!$C$2:$C$21,MATCH(D52,'Product Master'!$A$2:$A$21,0))</f>
        <v>Footwear</v>
      </c>
      <c r="G52" s="15" t="n">
        <f aca="false">VALUE(TRIM('Raw Store Exports'!E52&amp;""))</f>
        <v>4</v>
      </c>
      <c r="H52" s="18" t="n">
        <f aca="false">INDEX('Product Master'!$D$2:$D$21,MATCH(D52,'Product Master'!$A$2:$A$21,0))</f>
        <v>25</v>
      </c>
      <c r="I52" s="14" t="n">
        <f aca="false">G52*H52</f>
        <v>100</v>
      </c>
      <c r="J52" s="0" t="str">
        <f aca="false">IF(COUNTIF($A$2:A52,A52)&gt;1,"Duplicate","")</f>
        <v/>
      </c>
    </row>
    <row r="53" customFormat="false" ht="15" hidden="false" customHeight="false" outlineLevel="0" collapsed="false">
      <c r="A53" s="0" t="str">
        <f aca="false">'Raw Store Exports'!A53</f>
        <v>TXN00129</v>
      </c>
      <c r="B53" s="17" t="n">
        <f aca="false">'Raw Store Exports'!C53</f>
        <v>46030</v>
      </c>
      <c r="C53" s="0" t="str">
        <f aca="false">INDEX('Store Mapping'!$C$2:$C$19,MATCH(TRIM('Raw Store Exports'!B53),'Store Mapping'!$A$2:$A$19,0))</f>
        <v>Airport Plaza</v>
      </c>
      <c r="D53" s="0" t="str">
        <f aca="false">'Raw Store Exports'!D53</f>
        <v>ACC-303</v>
      </c>
      <c r="E53" s="0" t="str">
        <f aca="false">INDEX('Product Master'!$B$2:$B$21,MATCH(D53,'Product Master'!$A$2:$A$21,0))</f>
        <v>Canvas Tote Bag</v>
      </c>
      <c r="F53" s="0" t="str">
        <f aca="false">INDEX('Product Master'!$C$2:$C$21,MATCH(D53,'Product Master'!$A$2:$A$21,0))</f>
        <v>Accessories</v>
      </c>
      <c r="G53" s="15" t="n">
        <f aca="false">VALUE(TRIM('Raw Store Exports'!E53&amp;""))</f>
        <v>3</v>
      </c>
      <c r="H53" s="18" t="n">
        <f aca="false">INDEX('Product Master'!$D$2:$D$21,MATCH(D53,'Product Master'!$A$2:$A$21,0))</f>
        <v>24</v>
      </c>
      <c r="I53" s="14" t="n">
        <f aca="false">G53*H53</f>
        <v>72</v>
      </c>
      <c r="J53" s="0" t="str">
        <f aca="false">IF(COUNTIF($A$2:A53,A53)&gt;1,"Duplicate","")</f>
        <v/>
      </c>
    </row>
    <row r="54" customFormat="false" ht="15" hidden="false" customHeight="false" outlineLevel="0" collapsed="false">
      <c r="A54" s="0" t="str">
        <f aca="false">'Raw Store Exports'!A54</f>
        <v>TXN01108</v>
      </c>
      <c r="B54" s="17" t="n">
        <f aca="false">'Raw Store Exports'!C54</f>
        <v>46079</v>
      </c>
      <c r="C54" s="0" t="str">
        <f aca="false">INDEX('Store Mapping'!$C$2:$C$19,MATCH(TRIM('Raw Store Exports'!B54),'Store Mapping'!$A$2:$A$19,0))</f>
        <v>Eastgate</v>
      </c>
      <c r="D54" s="0" t="str">
        <f aca="false">'Raw Store Exports'!D54</f>
        <v>ACC-301</v>
      </c>
      <c r="E54" s="0" t="str">
        <f aca="false">INDEX('Product Master'!$B$2:$B$21,MATCH(D54,'Product Master'!$A$2:$A$21,0))</f>
        <v>Leather Belt</v>
      </c>
      <c r="F54" s="0" t="str">
        <f aca="false">INDEX('Product Master'!$C$2:$C$21,MATCH(D54,'Product Master'!$A$2:$A$21,0))</f>
        <v>Accessories</v>
      </c>
      <c r="G54" s="15" t="n">
        <f aca="false">VALUE(TRIM('Raw Store Exports'!E54&amp;""))</f>
        <v>2</v>
      </c>
      <c r="H54" s="18" t="n">
        <f aca="false">INDEX('Product Master'!$D$2:$D$21,MATCH(D54,'Product Master'!$A$2:$A$21,0))</f>
        <v>30</v>
      </c>
      <c r="I54" s="14" t="n">
        <f aca="false">G54*H54</f>
        <v>60</v>
      </c>
      <c r="J54" s="0" t="str">
        <f aca="false">IF(COUNTIF($A$2:A54,A54)&gt;1,"Duplicate","")</f>
        <v/>
      </c>
    </row>
    <row r="55" customFormat="false" ht="15" hidden="false" customHeight="false" outlineLevel="0" collapsed="false">
      <c r="A55" s="0" t="str">
        <f aca="false">'Raw Store Exports'!A55</f>
        <v>TXN00246</v>
      </c>
      <c r="B55" s="17" t="n">
        <f aca="false">'Raw Store Exports'!C55</f>
        <v>46034</v>
      </c>
      <c r="C55" s="0" t="str">
        <f aca="false">INDEX('Store Mapping'!$C$2:$C$19,MATCH(TRIM('Raw Store Exports'!B55),'Store Mapping'!$A$2:$A$19,0))</f>
        <v>Riverside</v>
      </c>
      <c r="D55" s="0" t="str">
        <f aca="false">'Raw Store Exports'!D55</f>
        <v>APP-101</v>
      </c>
      <c r="E55" s="0" t="str">
        <f aca="false">INDEX('Product Master'!$B$2:$B$21,MATCH(D55,'Product Master'!$A$2:$A$21,0))</f>
        <v>Classic Denim Jacket</v>
      </c>
      <c r="F55" s="0" t="str">
        <f aca="false">INDEX('Product Master'!$C$2:$C$21,MATCH(D55,'Product Master'!$A$2:$A$21,0))</f>
        <v>Apparel</v>
      </c>
      <c r="G55" s="15" t="n">
        <f aca="false">VALUE(TRIM('Raw Store Exports'!E55&amp;""))</f>
        <v>6</v>
      </c>
      <c r="H55" s="18" t="n">
        <f aca="false">INDEX('Product Master'!$D$2:$D$21,MATCH(D55,'Product Master'!$A$2:$A$21,0))</f>
        <v>68</v>
      </c>
      <c r="I55" s="14" t="n">
        <f aca="false">G55*H55</f>
        <v>408</v>
      </c>
      <c r="J55" s="0" t="str">
        <f aca="false">IF(COUNTIF($A$2:A55,A55)&gt;1,"Duplicate","")</f>
        <v/>
      </c>
    </row>
    <row r="56" customFormat="false" ht="15" hidden="false" customHeight="false" outlineLevel="0" collapsed="false">
      <c r="A56" s="0" t="str">
        <f aca="false">'Raw Store Exports'!A56</f>
        <v>TXN00530</v>
      </c>
      <c r="B56" s="17" t="n">
        <f aca="false">'Raw Store Exports'!C56</f>
        <v>46049</v>
      </c>
      <c r="C56" s="0" t="str">
        <f aca="false">INDEX('Store Mapping'!$C$2:$C$19,MATCH(TRIM('Raw Store Exports'!B56),'Store Mapping'!$A$2:$A$19,0))</f>
        <v>Northpark</v>
      </c>
      <c r="D56" s="0" t="str">
        <f aca="false">'Raw Store Exports'!D56</f>
        <v>FTW-203</v>
      </c>
      <c r="E56" s="0" t="str">
        <f aca="false">INDEX('Product Master'!$B$2:$B$21,MATCH(D56,'Product Master'!$A$2:$A$21,0))</f>
        <v>Leather Ankle Boot</v>
      </c>
      <c r="F56" s="0" t="str">
        <f aca="false">INDEX('Product Master'!$C$2:$C$21,MATCH(D56,'Product Master'!$A$2:$A$21,0))</f>
        <v>Footwear</v>
      </c>
      <c r="G56" s="15" t="n">
        <f aca="false">VALUE(TRIM('Raw Store Exports'!E56&amp;""))</f>
        <v>5</v>
      </c>
      <c r="H56" s="18" t="n">
        <f aca="false">INDEX('Product Master'!$D$2:$D$21,MATCH(D56,'Product Master'!$A$2:$A$21,0))</f>
        <v>120</v>
      </c>
      <c r="I56" s="14" t="n">
        <f aca="false">G56*H56</f>
        <v>600</v>
      </c>
      <c r="J56" s="0" t="str">
        <f aca="false">IF(COUNTIF($A$2:A56,A56)&gt;1,"Duplicate","")</f>
        <v/>
      </c>
    </row>
    <row r="57" customFormat="false" ht="15" hidden="false" customHeight="false" outlineLevel="0" collapsed="false">
      <c r="A57" s="0" t="str">
        <f aca="false">'Raw Store Exports'!A57</f>
        <v>TXN00933</v>
      </c>
      <c r="B57" s="17" t="n">
        <f aca="false">'Raw Store Exports'!C57</f>
        <v>46074</v>
      </c>
      <c r="C57" s="0" t="str">
        <f aca="false">INDEX('Store Mapping'!$C$2:$C$19,MATCH(TRIM('Raw Store Exports'!B57),'Store Mapping'!$A$2:$A$19,0))</f>
        <v>Westside Mall</v>
      </c>
      <c r="D57" s="0" t="str">
        <f aca="false">'Raw Store Exports'!D57</f>
        <v>HOM-502</v>
      </c>
      <c r="E57" s="0" t="str">
        <f aca="false">INDEX('Product Master'!$B$2:$B$21,MATCH(D57,'Product Master'!$A$2:$A$21,0))</f>
        <v>Scented Candle</v>
      </c>
      <c r="F57" s="0" t="str">
        <f aca="false">INDEX('Product Master'!$C$2:$C$21,MATCH(D57,'Product Master'!$A$2:$A$21,0))</f>
        <v>Home Goods</v>
      </c>
      <c r="G57" s="15" t="n">
        <f aca="false">VALUE(TRIM('Raw Store Exports'!E57&amp;""))</f>
        <v>4</v>
      </c>
      <c r="H57" s="18" t="n">
        <f aca="false">INDEX('Product Master'!$D$2:$D$21,MATCH(D57,'Product Master'!$A$2:$A$21,0))</f>
        <v>15</v>
      </c>
      <c r="I57" s="14" t="n">
        <f aca="false">G57*H57</f>
        <v>60</v>
      </c>
      <c r="J57" s="0" t="str">
        <f aca="false">IF(COUNTIF($A$2:A57,A57)&gt;1,"Duplicate","")</f>
        <v/>
      </c>
    </row>
    <row r="58" customFormat="false" ht="15" hidden="false" customHeight="false" outlineLevel="0" collapsed="false">
      <c r="A58" s="0" t="str">
        <f aca="false">'Raw Store Exports'!A58</f>
        <v>TXN01109</v>
      </c>
      <c r="B58" s="17" t="n">
        <f aca="false">'Raw Store Exports'!C58</f>
        <v>46081</v>
      </c>
      <c r="C58" s="0" t="str">
        <f aca="false">INDEX('Store Mapping'!$C$2:$C$19,MATCH(TRIM('Raw Store Exports'!B58),'Store Mapping'!$A$2:$A$19,0))</f>
        <v>Eastgate</v>
      </c>
      <c r="D58" s="0" t="str">
        <f aca="false">'Raw Store Exports'!D58</f>
        <v>APP-104</v>
      </c>
      <c r="E58" s="0" t="str">
        <f aca="false">INDEX('Product Master'!$B$2:$B$21,MATCH(D58,'Product Master'!$A$2:$A$21,0))</f>
        <v>Slim Fit Chinos</v>
      </c>
      <c r="F58" s="0" t="str">
        <f aca="false">INDEX('Product Master'!$C$2:$C$21,MATCH(D58,'Product Master'!$A$2:$A$21,0))</f>
        <v>Apparel</v>
      </c>
      <c r="G58" s="15" t="n">
        <f aca="false">VALUE(TRIM('Raw Store Exports'!E58&amp;""))</f>
        <v>3</v>
      </c>
      <c r="H58" s="18" t="n">
        <f aca="false">INDEX('Product Master'!$D$2:$D$21,MATCH(D58,'Product Master'!$A$2:$A$21,0))</f>
        <v>52</v>
      </c>
      <c r="I58" s="14" t="n">
        <f aca="false">G58*H58</f>
        <v>156</v>
      </c>
      <c r="J58" s="0" t="str">
        <f aca="false">IF(COUNTIF($A$2:A58,A58)&gt;1,"Duplicate","")</f>
        <v/>
      </c>
    </row>
    <row r="59" customFormat="false" ht="15" hidden="false" customHeight="false" outlineLevel="0" collapsed="false">
      <c r="A59" s="0" t="str">
        <f aca="false">'Raw Store Exports'!A59</f>
        <v>TXN00853</v>
      </c>
      <c r="B59" s="17" t="n">
        <f aca="false">'Raw Store Exports'!C59</f>
        <v>46063</v>
      </c>
      <c r="C59" s="0" t="str">
        <f aca="false">INDEX('Store Mapping'!$C$2:$C$19,MATCH(TRIM('Raw Store Exports'!B59),'Store Mapping'!$A$2:$A$19,0))</f>
        <v>Riverside</v>
      </c>
      <c r="D59" s="0" t="str">
        <f aca="false">'Raw Store Exports'!D59</f>
        <v>HOM-504</v>
      </c>
      <c r="E59" s="0" t="str">
        <f aca="false">INDEX('Product Master'!$B$2:$B$21,MATCH(D59,'Product Master'!$A$2:$A$21,0))</f>
        <v>Bamboo Cutting Board</v>
      </c>
      <c r="F59" s="0" t="str">
        <f aca="false">INDEX('Product Master'!$C$2:$C$21,MATCH(D59,'Product Master'!$A$2:$A$21,0))</f>
        <v>Home Goods</v>
      </c>
      <c r="G59" s="15" t="n">
        <f aca="false">VALUE(TRIM('Raw Store Exports'!E59&amp;""))</f>
        <v>6</v>
      </c>
      <c r="H59" s="18" t="n">
        <f aca="false">INDEX('Product Master'!$D$2:$D$21,MATCH(D59,'Product Master'!$A$2:$A$21,0))</f>
        <v>27</v>
      </c>
      <c r="I59" s="14" t="n">
        <f aca="false">G59*H59</f>
        <v>162</v>
      </c>
      <c r="J59" s="0" t="str">
        <f aca="false">IF(COUNTIF($A$2:A59,A59)&gt;1,"Duplicate","")</f>
        <v/>
      </c>
    </row>
    <row r="60" customFormat="false" ht="15" hidden="false" customHeight="false" outlineLevel="0" collapsed="false">
      <c r="A60" s="0" t="str">
        <f aca="false">'Raw Store Exports'!A60</f>
        <v>TXN00938</v>
      </c>
      <c r="B60" s="17" t="n">
        <f aca="false">'Raw Store Exports'!C60</f>
        <v>46074</v>
      </c>
      <c r="C60" s="0" t="str">
        <f aca="false">INDEX('Store Mapping'!$C$2:$C$19,MATCH(TRIM('Raw Store Exports'!B60),'Store Mapping'!$A$2:$A$19,0))</f>
        <v>Westside Mall</v>
      </c>
      <c r="D60" s="0" t="str">
        <f aca="false">'Raw Store Exports'!D60</f>
        <v>HOM-503</v>
      </c>
      <c r="E60" s="0" t="str">
        <f aca="false">INDEX('Product Master'!$B$2:$B$21,MATCH(D60,'Product Master'!$A$2:$A$21,0))</f>
        <v>Cotton Throw Blanket</v>
      </c>
      <c r="F60" s="0" t="str">
        <f aca="false">INDEX('Product Master'!$C$2:$C$21,MATCH(D60,'Product Master'!$A$2:$A$21,0))</f>
        <v>Home Goods</v>
      </c>
      <c r="G60" s="15" t="n">
        <f aca="false">VALUE(TRIM('Raw Store Exports'!E60&amp;""))</f>
        <v>4</v>
      </c>
      <c r="H60" s="18" t="n">
        <f aca="false">INDEX('Product Master'!$D$2:$D$21,MATCH(D60,'Product Master'!$A$2:$A$21,0))</f>
        <v>38</v>
      </c>
      <c r="I60" s="14" t="n">
        <f aca="false">G60*H60</f>
        <v>152</v>
      </c>
      <c r="J60" s="0" t="str">
        <f aca="false">IF(COUNTIF($A$2:A60,A60)&gt;1,"Duplicate","")</f>
        <v/>
      </c>
    </row>
    <row r="61" customFormat="false" ht="15" hidden="false" customHeight="false" outlineLevel="0" collapsed="false">
      <c r="A61" s="0" t="str">
        <f aca="false">'Raw Store Exports'!A61</f>
        <v>TXN00183</v>
      </c>
      <c r="B61" s="17" t="n">
        <f aca="false">'Raw Store Exports'!C61</f>
        <v>46038</v>
      </c>
      <c r="C61" s="0" t="str">
        <f aca="false">INDEX('Store Mapping'!$C$2:$C$19,MATCH(TRIM('Raw Store Exports'!B61),'Store Mapping'!$A$2:$A$19,0))</f>
        <v>Eastgate</v>
      </c>
      <c r="D61" s="0" t="str">
        <f aca="false">'Raw Store Exports'!D61</f>
        <v>ACC-304</v>
      </c>
      <c r="E61" s="0" t="str">
        <f aca="false">INDEX('Product Master'!$B$2:$B$21,MATCH(D61,'Product Master'!$A$2:$A$21,0))</f>
        <v>Wool Beanie</v>
      </c>
      <c r="F61" s="0" t="str">
        <f aca="false">INDEX('Product Master'!$C$2:$C$21,MATCH(D61,'Product Master'!$A$2:$A$21,0))</f>
        <v>Accessories</v>
      </c>
      <c r="G61" s="15" t="n">
        <f aca="false">VALUE(TRIM('Raw Store Exports'!E61&amp;""))</f>
        <v>2</v>
      </c>
      <c r="H61" s="18" t="n">
        <f aca="false">INDEX('Product Master'!$D$2:$D$21,MATCH(D61,'Product Master'!$A$2:$A$21,0))</f>
        <v>16</v>
      </c>
      <c r="I61" s="14" t="n">
        <f aca="false">G61*H61</f>
        <v>32</v>
      </c>
      <c r="J61" s="0" t="str">
        <f aca="false">IF(COUNTIF($A$2:A61,A61)&gt;1,"Duplicate","")</f>
        <v/>
      </c>
    </row>
    <row r="62" customFormat="false" ht="15" hidden="false" customHeight="false" outlineLevel="0" collapsed="false">
      <c r="A62" s="0" t="str">
        <f aca="false">'Raw Store Exports'!A62</f>
        <v>TXN00936</v>
      </c>
      <c r="B62" s="17" t="n">
        <f aca="false">'Raw Store Exports'!C62</f>
        <v>46071</v>
      </c>
      <c r="C62" s="0" t="str">
        <f aca="false">INDEX('Store Mapping'!$C$2:$C$19,MATCH(TRIM('Raw Store Exports'!B62),'Store Mapping'!$A$2:$A$19,0))</f>
        <v>Westside Mall</v>
      </c>
      <c r="D62" s="0" t="str">
        <f aca="false">'Raw Store Exports'!D62</f>
        <v>APP-102</v>
      </c>
      <c r="E62" s="0" t="str">
        <f aca="false">INDEX('Product Master'!$B$2:$B$21,MATCH(D62,'Product Master'!$A$2:$A$21,0))</f>
        <v>Cotton Crew T-Shirt</v>
      </c>
      <c r="F62" s="0" t="str">
        <f aca="false">INDEX('Product Master'!$C$2:$C$21,MATCH(D62,'Product Master'!$A$2:$A$21,0))</f>
        <v>Apparel</v>
      </c>
      <c r="G62" s="15" t="n">
        <f aca="false">VALUE(TRIM('Raw Store Exports'!E62&amp;""))</f>
        <v>5</v>
      </c>
      <c r="H62" s="18" t="n">
        <f aca="false">INDEX('Product Master'!$D$2:$D$21,MATCH(D62,'Product Master'!$A$2:$A$21,0))</f>
        <v>18</v>
      </c>
      <c r="I62" s="14" t="n">
        <f aca="false">G62*H62</f>
        <v>90</v>
      </c>
      <c r="J62" s="0" t="str">
        <f aca="false">IF(COUNTIF($A$2:A62,A62)&gt;1,"Duplicate","")</f>
        <v/>
      </c>
    </row>
    <row r="63" customFormat="false" ht="15" hidden="false" customHeight="false" outlineLevel="0" collapsed="false">
      <c r="A63" s="0" t="str">
        <f aca="false">'Raw Store Exports'!A63</f>
        <v>TXN00670</v>
      </c>
      <c r="B63" s="17" t="n">
        <f aca="false">'Raw Store Exports'!C63</f>
        <v>46059</v>
      </c>
      <c r="C63" s="0" t="str">
        <f aca="false">INDEX('Store Mapping'!$C$2:$C$19,MATCH(TRIM('Raw Store Exports'!B63),'Store Mapping'!$A$2:$A$19,0))</f>
        <v>Northpark</v>
      </c>
      <c r="D63" s="0" t="str">
        <f aca="false">'Raw Store Exports'!D63</f>
        <v>APP-102</v>
      </c>
      <c r="E63" s="0" t="str">
        <f aca="false">INDEX('Product Master'!$B$2:$B$21,MATCH(D63,'Product Master'!$A$2:$A$21,0))</f>
        <v>Cotton Crew T-Shirt</v>
      </c>
      <c r="F63" s="0" t="str">
        <f aca="false">INDEX('Product Master'!$C$2:$C$21,MATCH(D63,'Product Master'!$A$2:$A$21,0))</f>
        <v>Apparel</v>
      </c>
      <c r="G63" s="15" t="n">
        <f aca="false">VALUE(TRIM('Raw Store Exports'!E63&amp;""))</f>
        <v>2</v>
      </c>
      <c r="H63" s="18" t="n">
        <f aca="false">INDEX('Product Master'!$D$2:$D$21,MATCH(D63,'Product Master'!$A$2:$A$21,0))</f>
        <v>18</v>
      </c>
      <c r="I63" s="14" t="n">
        <f aca="false">G63*H63</f>
        <v>36</v>
      </c>
      <c r="J63" s="0" t="str">
        <f aca="false">IF(COUNTIF($A$2:A63,A63)&gt;1,"Duplicate","")</f>
        <v/>
      </c>
    </row>
    <row r="64" customFormat="false" ht="15" hidden="false" customHeight="false" outlineLevel="0" collapsed="false">
      <c r="A64" s="0" t="str">
        <f aca="false">'Raw Store Exports'!A64</f>
        <v>TXN00773</v>
      </c>
      <c r="B64" s="17" t="n">
        <f aca="false">'Raw Store Exports'!C64</f>
        <v>46062</v>
      </c>
      <c r="C64" s="0" t="str">
        <f aca="false">INDEX('Store Mapping'!$C$2:$C$19,MATCH(TRIM('Raw Store Exports'!B64),'Store Mapping'!$A$2:$A$19,0))</f>
        <v>Downtown</v>
      </c>
      <c r="D64" s="0" t="str">
        <f aca="false">'Raw Store Exports'!D64</f>
        <v>APP-103</v>
      </c>
      <c r="E64" s="0" t="str">
        <f aca="false">INDEX('Product Master'!$B$2:$B$21,MATCH(D64,'Product Master'!$A$2:$A$21,0))</f>
        <v>Fleece Pullover Hoodie</v>
      </c>
      <c r="F64" s="0" t="str">
        <f aca="false">INDEX('Product Master'!$C$2:$C$21,MATCH(D64,'Product Master'!$A$2:$A$21,0))</f>
        <v>Apparel</v>
      </c>
      <c r="G64" s="15" t="n">
        <f aca="false">VALUE(TRIM('Raw Store Exports'!E64&amp;""))</f>
        <v>3</v>
      </c>
      <c r="H64" s="18" t="n">
        <f aca="false">INDEX('Product Master'!$D$2:$D$21,MATCH(D64,'Product Master'!$A$2:$A$21,0))</f>
        <v>45</v>
      </c>
      <c r="I64" s="14" t="n">
        <f aca="false">G64*H64</f>
        <v>135</v>
      </c>
      <c r="J64" s="0" t="str">
        <f aca="false">IF(COUNTIF($A$2:A64,A64)&gt;1,"Duplicate","")</f>
        <v/>
      </c>
    </row>
    <row r="65" customFormat="false" ht="15" hidden="false" customHeight="false" outlineLevel="0" collapsed="false">
      <c r="A65" s="0" t="str">
        <f aca="false">'Raw Store Exports'!A65</f>
        <v>TXN01142</v>
      </c>
      <c r="B65" s="17" t="n">
        <f aca="false">'Raw Store Exports'!C65</f>
        <v>46080</v>
      </c>
      <c r="C65" s="0" t="str">
        <f aca="false">INDEX('Store Mapping'!$C$2:$C$19,MATCH(TRIM('Raw Store Exports'!B65),'Store Mapping'!$A$2:$A$19,0))</f>
        <v>Northpark</v>
      </c>
      <c r="D65" s="0" t="str">
        <f aca="false">'Raw Store Exports'!D65</f>
        <v>HOM-501</v>
      </c>
      <c r="E65" s="0" t="str">
        <f aca="false">INDEX('Product Master'!$B$2:$B$21,MATCH(D65,'Product Master'!$A$2:$A$21,0))</f>
        <v>Ceramic Coffee Mug Set</v>
      </c>
      <c r="F65" s="0" t="str">
        <f aca="false">INDEX('Product Master'!$C$2:$C$21,MATCH(D65,'Product Master'!$A$2:$A$21,0))</f>
        <v>Home Goods</v>
      </c>
      <c r="G65" s="15" t="n">
        <f aca="false">VALUE(TRIM('Raw Store Exports'!E65&amp;""))</f>
        <v>2</v>
      </c>
      <c r="H65" s="18" t="n">
        <f aca="false">INDEX('Product Master'!$D$2:$D$21,MATCH(D65,'Product Master'!$A$2:$A$21,0))</f>
        <v>22</v>
      </c>
      <c r="I65" s="14" t="n">
        <f aca="false">G65*H65</f>
        <v>44</v>
      </c>
      <c r="J65" s="0" t="str">
        <f aca="false">IF(COUNTIF($A$2:A65,A65)&gt;1,"Duplicate","")</f>
        <v/>
      </c>
    </row>
    <row r="66" customFormat="false" ht="15" hidden="false" customHeight="false" outlineLevel="0" collapsed="false">
      <c r="A66" s="0" t="str">
        <f aca="false">'Raw Store Exports'!A66</f>
        <v>TXN00217</v>
      </c>
      <c r="B66" s="17" t="n">
        <f aca="false">'Raw Store Exports'!C66</f>
        <v>46040</v>
      </c>
      <c r="C66" s="0" t="str">
        <f aca="false">INDEX('Store Mapping'!$C$2:$C$19,MATCH(TRIM('Raw Store Exports'!B66),'Store Mapping'!$A$2:$A$19,0))</f>
        <v>Northpark</v>
      </c>
      <c r="D66" s="0" t="str">
        <f aca="false">'Raw Store Exports'!D66</f>
        <v>ACC-302</v>
      </c>
      <c r="E66" s="0" t="str">
        <f aca="false">INDEX('Product Master'!$B$2:$B$21,MATCH(D66,'Product Master'!$A$2:$A$21,0))</f>
        <v>Aviator Sunglasses</v>
      </c>
      <c r="F66" s="0" t="str">
        <f aca="false">INDEX('Product Master'!$C$2:$C$21,MATCH(D66,'Product Master'!$A$2:$A$21,0))</f>
        <v>Accessories</v>
      </c>
      <c r="G66" s="15" t="n">
        <f aca="false">VALUE(TRIM('Raw Store Exports'!E66&amp;""))</f>
        <v>4</v>
      </c>
      <c r="H66" s="18" t="n">
        <f aca="false">INDEX('Product Master'!$D$2:$D$21,MATCH(D66,'Product Master'!$A$2:$A$21,0))</f>
        <v>42</v>
      </c>
      <c r="I66" s="14" t="n">
        <f aca="false">G66*H66</f>
        <v>168</v>
      </c>
      <c r="J66" s="0" t="str">
        <f aca="false">IF(COUNTIF($A$2:A66,A66)&gt;1,"Duplicate","")</f>
        <v/>
      </c>
    </row>
    <row r="67" customFormat="false" ht="15" hidden="false" customHeight="false" outlineLevel="0" collapsed="false">
      <c r="A67" s="0" t="str">
        <f aca="false">'Raw Store Exports'!A67</f>
        <v>TXN01172</v>
      </c>
      <c r="B67" s="17" t="n">
        <f aca="false">'Raw Store Exports'!C67</f>
        <v>46077</v>
      </c>
      <c r="C67" s="0" t="str">
        <f aca="false">INDEX('Store Mapping'!$C$2:$C$19,MATCH(TRIM('Raw Store Exports'!B67),'Store Mapping'!$A$2:$A$19,0))</f>
        <v>Riverside</v>
      </c>
      <c r="D67" s="0" t="str">
        <f aca="false">'Raw Store Exports'!D67</f>
        <v>ELE-403</v>
      </c>
      <c r="E67" s="0" t="str">
        <f aca="false">INDEX('Product Master'!$B$2:$B$21,MATCH(D67,'Product Master'!$A$2:$A$21,0))</f>
        <v>Fitness Tracker Band</v>
      </c>
      <c r="F67" s="0" t="str">
        <f aca="false">INDEX('Product Master'!$C$2:$C$21,MATCH(D67,'Product Master'!$A$2:$A$21,0))</f>
        <v>Electronics</v>
      </c>
      <c r="G67" s="15" t="n">
        <f aca="false">VALUE(TRIM('Raw Store Exports'!E67&amp;""))</f>
        <v>2</v>
      </c>
      <c r="H67" s="18" t="n">
        <f aca="false">INDEX('Product Master'!$D$2:$D$21,MATCH(D67,'Product Master'!$A$2:$A$21,0))</f>
        <v>99</v>
      </c>
      <c r="I67" s="14" t="n">
        <f aca="false">G67*H67</f>
        <v>198</v>
      </c>
      <c r="J67" s="0" t="str">
        <f aca="false">IF(COUNTIF($A$2:A67,A67)&gt;1,"Duplicate","")</f>
        <v/>
      </c>
    </row>
    <row r="68" customFormat="false" ht="15" hidden="false" customHeight="false" outlineLevel="0" collapsed="false">
      <c r="A68" s="0" t="str">
        <f aca="false">'Raw Store Exports'!A68</f>
        <v>TXN00075</v>
      </c>
      <c r="B68" s="17" t="n">
        <f aca="false">'Raw Store Exports'!C68</f>
        <v>46032</v>
      </c>
      <c r="C68" s="0" t="str">
        <f aca="false">INDEX('Store Mapping'!$C$2:$C$19,MATCH(TRIM('Raw Store Exports'!B68),'Store Mapping'!$A$2:$A$19,0))</f>
        <v>Eastgate</v>
      </c>
      <c r="D68" s="0" t="str">
        <f aca="false">'Raw Store Exports'!D68</f>
        <v>ELE-401</v>
      </c>
      <c r="E68" s="0" t="str">
        <f aca="false">INDEX('Product Master'!$B$2:$B$21,MATCH(D68,'Product Master'!$A$2:$A$21,0))</f>
        <v>Wireless Earbuds</v>
      </c>
      <c r="F68" s="0" t="str">
        <f aca="false">INDEX('Product Master'!$C$2:$C$21,MATCH(D68,'Product Master'!$A$2:$A$21,0))</f>
        <v>Electronics</v>
      </c>
      <c r="G68" s="15" t="n">
        <f aca="false">VALUE(TRIM('Raw Store Exports'!E68&amp;""))</f>
        <v>5</v>
      </c>
      <c r="H68" s="18" t="n">
        <f aca="false">INDEX('Product Master'!$D$2:$D$21,MATCH(D68,'Product Master'!$A$2:$A$21,0))</f>
        <v>79</v>
      </c>
      <c r="I68" s="14" t="n">
        <f aca="false">G68*H68</f>
        <v>395</v>
      </c>
      <c r="J68" s="0" t="str">
        <f aca="false">IF(COUNTIF($A$2:A68,A68)&gt;1,"Duplicate","")</f>
        <v/>
      </c>
    </row>
    <row r="69" customFormat="false" ht="15" hidden="false" customHeight="false" outlineLevel="0" collapsed="false">
      <c r="A69" s="0" t="str">
        <f aca="false">'Raw Store Exports'!A69</f>
        <v>TXN00009</v>
      </c>
      <c r="B69" s="17" t="n">
        <f aca="false">'Raw Store Exports'!C69</f>
        <v>46030</v>
      </c>
      <c r="C69" s="0" t="str">
        <f aca="false">INDEX('Store Mapping'!$C$2:$C$19,MATCH(TRIM('Raw Store Exports'!B69),'Store Mapping'!$A$2:$A$19,0))</f>
        <v>Downtown</v>
      </c>
      <c r="D69" s="0" t="str">
        <f aca="false">'Raw Store Exports'!D69</f>
        <v>FTW-202</v>
      </c>
      <c r="E69" s="0" t="str">
        <f aca="false">INDEX('Product Master'!$B$2:$B$21,MATCH(D69,'Product Master'!$A$2:$A$21,0))</f>
        <v>Canvas Low-Top</v>
      </c>
      <c r="F69" s="0" t="str">
        <f aca="false">INDEX('Product Master'!$C$2:$C$21,MATCH(D69,'Product Master'!$A$2:$A$21,0))</f>
        <v>Footwear</v>
      </c>
      <c r="G69" s="15" t="n">
        <f aca="false">VALUE(TRIM('Raw Store Exports'!E69&amp;""))</f>
        <v>3</v>
      </c>
      <c r="H69" s="18" t="n">
        <f aca="false">INDEX('Product Master'!$D$2:$D$21,MATCH(D69,'Product Master'!$A$2:$A$21,0))</f>
        <v>55</v>
      </c>
      <c r="I69" s="14" t="n">
        <f aca="false">G69*H69</f>
        <v>165</v>
      </c>
      <c r="J69" s="0" t="str">
        <f aca="false">IF(COUNTIF($A$2:A69,A69)&gt;1,"Duplicate","")</f>
        <v/>
      </c>
    </row>
    <row r="70" customFormat="false" ht="15" hidden="false" customHeight="false" outlineLevel="0" collapsed="false">
      <c r="A70" s="0" t="str">
        <f aca="false">'Raw Store Exports'!A70</f>
        <v>TXN00638</v>
      </c>
      <c r="B70" s="17" t="n">
        <f aca="false">'Raw Store Exports'!C70</f>
        <v>46060</v>
      </c>
      <c r="C70" s="0" t="str">
        <f aca="false">INDEX('Store Mapping'!$C$2:$C$19,MATCH(TRIM('Raw Store Exports'!B70),'Store Mapping'!$A$2:$A$19,0))</f>
        <v>Westside Mall</v>
      </c>
      <c r="D70" s="0" t="str">
        <f aca="false">'Raw Store Exports'!D70</f>
        <v>ELE-404</v>
      </c>
      <c r="E70" s="0" t="str">
        <f aca="false">INDEX('Product Master'!$B$2:$B$21,MATCH(D70,'Product Master'!$A$2:$A$21,0))</f>
        <v>Phone Charging Cable</v>
      </c>
      <c r="F70" s="0" t="str">
        <f aca="false">INDEX('Product Master'!$C$2:$C$21,MATCH(D70,'Product Master'!$A$2:$A$21,0))</f>
        <v>Electronics</v>
      </c>
      <c r="G70" s="15" t="n">
        <f aca="false">VALUE(TRIM('Raw Store Exports'!E70&amp;""))</f>
        <v>6</v>
      </c>
      <c r="H70" s="18" t="n">
        <f aca="false">INDEX('Product Master'!$D$2:$D$21,MATCH(D70,'Product Master'!$A$2:$A$21,0))</f>
        <v>12</v>
      </c>
      <c r="I70" s="14" t="n">
        <f aca="false">G70*H70</f>
        <v>72</v>
      </c>
      <c r="J70" s="0" t="str">
        <f aca="false">IF(COUNTIF($A$2:A70,A70)&gt;1,"Duplicate","")</f>
        <v/>
      </c>
    </row>
    <row r="71" customFormat="false" ht="15" hidden="false" customHeight="false" outlineLevel="0" collapsed="false">
      <c r="A71" s="0" t="str">
        <f aca="false">'Raw Store Exports'!A71</f>
        <v>TXN00748</v>
      </c>
      <c r="B71" s="17" t="n">
        <f aca="false">'Raw Store Exports'!C71</f>
        <v>46068</v>
      </c>
      <c r="C71" s="0" t="str">
        <f aca="false">INDEX('Store Mapping'!$C$2:$C$19,MATCH(TRIM('Raw Store Exports'!B71),'Store Mapping'!$A$2:$A$19,0))</f>
        <v>Downtown</v>
      </c>
      <c r="D71" s="0" t="str">
        <f aca="false">'Raw Store Exports'!D71</f>
        <v>APP-101</v>
      </c>
      <c r="E71" s="0" t="str">
        <f aca="false">INDEX('Product Master'!$B$2:$B$21,MATCH(D71,'Product Master'!$A$2:$A$21,0))</f>
        <v>Classic Denim Jacket</v>
      </c>
      <c r="F71" s="0" t="str">
        <f aca="false">INDEX('Product Master'!$C$2:$C$21,MATCH(D71,'Product Master'!$A$2:$A$21,0))</f>
        <v>Apparel</v>
      </c>
      <c r="G71" s="15" t="n">
        <f aca="false">VALUE(TRIM('Raw Store Exports'!E71&amp;""))</f>
        <v>6</v>
      </c>
      <c r="H71" s="18" t="n">
        <f aca="false">INDEX('Product Master'!$D$2:$D$21,MATCH(D71,'Product Master'!$A$2:$A$21,0))</f>
        <v>68</v>
      </c>
      <c r="I71" s="14" t="n">
        <f aca="false">G71*H71</f>
        <v>408</v>
      </c>
      <c r="J71" s="0" t="str">
        <f aca="false">IF(COUNTIF($A$2:A71,A71)&gt;1,"Duplicate","")</f>
        <v/>
      </c>
    </row>
    <row r="72" customFormat="false" ht="15" hidden="false" customHeight="false" outlineLevel="0" collapsed="false">
      <c r="A72" s="0" t="str">
        <f aca="false">'Raw Store Exports'!A72</f>
        <v>TXN00275</v>
      </c>
      <c r="B72" s="17" t="n">
        <f aca="false">'Raw Store Exports'!C72</f>
        <v>46041</v>
      </c>
      <c r="C72" s="0" t="str">
        <f aca="false">INDEX('Store Mapping'!$C$2:$C$19,MATCH(TRIM('Raw Store Exports'!B72),'Store Mapping'!$A$2:$A$19,0))</f>
        <v>Downtown</v>
      </c>
      <c r="D72" s="0" t="str">
        <f aca="false">'Raw Store Exports'!D72</f>
        <v>ACC-303</v>
      </c>
      <c r="E72" s="0" t="str">
        <f aca="false">INDEX('Product Master'!$B$2:$B$21,MATCH(D72,'Product Master'!$A$2:$A$21,0))</f>
        <v>Canvas Tote Bag</v>
      </c>
      <c r="F72" s="0" t="str">
        <f aca="false">INDEX('Product Master'!$C$2:$C$21,MATCH(D72,'Product Master'!$A$2:$A$21,0))</f>
        <v>Accessories</v>
      </c>
      <c r="G72" s="15" t="n">
        <f aca="false">VALUE(TRIM('Raw Store Exports'!E72&amp;""))</f>
        <v>1</v>
      </c>
      <c r="H72" s="18" t="n">
        <f aca="false">INDEX('Product Master'!$D$2:$D$21,MATCH(D72,'Product Master'!$A$2:$A$21,0))</f>
        <v>24</v>
      </c>
      <c r="I72" s="14" t="n">
        <f aca="false">G72*H72</f>
        <v>24</v>
      </c>
      <c r="J72" s="0" t="str">
        <f aca="false">IF(COUNTIF($A$2:A72,A72)&gt;1,"Duplicate","")</f>
        <v/>
      </c>
    </row>
    <row r="73" customFormat="false" ht="15" hidden="false" customHeight="false" outlineLevel="0" collapsed="false">
      <c r="A73" s="0" t="str">
        <f aca="false">'Raw Store Exports'!A73</f>
        <v>TXN00903</v>
      </c>
      <c r="B73" s="17" t="n">
        <f aca="false">'Raw Store Exports'!C73</f>
        <v>46072</v>
      </c>
      <c r="C73" s="0" t="str">
        <f aca="false">INDEX('Store Mapping'!$C$2:$C$19,MATCH(TRIM('Raw Store Exports'!B73),'Store Mapping'!$A$2:$A$19,0))</f>
        <v>Downtown</v>
      </c>
      <c r="D73" s="0" t="str">
        <f aca="false">'Raw Store Exports'!D73</f>
        <v>ELE-404</v>
      </c>
      <c r="E73" s="0" t="str">
        <f aca="false">INDEX('Product Master'!$B$2:$B$21,MATCH(D73,'Product Master'!$A$2:$A$21,0))</f>
        <v>Phone Charging Cable</v>
      </c>
      <c r="F73" s="0" t="str">
        <f aca="false">INDEX('Product Master'!$C$2:$C$21,MATCH(D73,'Product Master'!$A$2:$A$21,0))</f>
        <v>Electronics</v>
      </c>
      <c r="G73" s="15" t="n">
        <f aca="false">VALUE(TRIM('Raw Store Exports'!E73&amp;""))</f>
        <v>3</v>
      </c>
      <c r="H73" s="18" t="n">
        <f aca="false">INDEX('Product Master'!$D$2:$D$21,MATCH(D73,'Product Master'!$A$2:$A$21,0))</f>
        <v>12</v>
      </c>
      <c r="I73" s="14" t="n">
        <f aca="false">G73*H73</f>
        <v>36</v>
      </c>
      <c r="J73" s="0" t="str">
        <f aca="false">IF(COUNTIF($A$2:A73,A73)&gt;1,"Duplicate","")</f>
        <v/>
      </c>
    </row>
    <row r="74" customFormat="false" ht="15" hidden="false" customHeight="false" outlineLevel="0" collapsed="false">
      <c r="A74" s="0" t="str">
        <f aca="false">'Raw Store Exports'!A74</f>
        <v>TXN00904</v>
      </c>
      <c r="B74" s="17" t="n">
        <f aca="false">'Raw Store Exports'!C74</f>
        <v>46072</v>
      </c>
      <c r="C74" s="0" t="str">
        <f aca="false">INDEX('Store Mapping'!$C$2:$C$19,MATCH(TRIM('Raw Store Exports'!B74),'Store Mapping'!$A$2:$A$19,0))</f>
        <v>Downtown</v>
      </c>
      <c r="D74" s="0" t="str">
        <f aca="false">'Raw Store Exports'!D74</f>
        <v>FTW-201</v>
      </c>
      <c r="E74" s="0" t="str">
        <f aca="false">INDEX('Product Master'!$B$2:$B$21,MATCH(D74,'Product Master'!$A$2:$A$21,0))</f>
        <v>Running Sneakers</v>
      </c>
      <c r="F74" s="0" t="str">
        <f aca="false">INDEX('Product Master'!$C$2:$C$21,MATCH(D74,'Product Master'!$A$2:$A$21,0))</f>
        <v>Footwear</v>
      </c>
      <c r="G74" s="15" t="n">
        <f aca="false">VALUE(TRIM('Raw Store Exports'!E74&amp;""))</f>
        <v>4</v>
      </c>
      <c r="H74" s="18" t="n">
        <f aca="false">INDEX('Product Master'!$D$2:$D$21,MATCH(D74,'Product Master'!$A$2:$A$21,0))</f>
        <v>89</v>
      </c>
      <c r="I74" s="14" t="n">
        <f aca="false">G74*H74</f>
        <v>356</v>
      </c>
      <c r="J74" s="0" t="str">
        <f aca="false">IF(COUNTIF($A$2:A74,A74)&gt;1,"Duplicate","")</f>
        <v/>
      </c>
    </row>
    <row r="75" customFormat="false" ht="15" hidden="false" customHeight="false" outlineLevel="0" collapsed="false">
      <c r="A75" s="0" t="str">
        <f aca="false">'Raw Store Exports'!A75</f>
        <v>TXN01098</v>
      </c>
      <c r="B75" s="17" t="n">
        <f aca="false">'Raw Store Exports'!C75</f>
        <v>46079</v>
      </c>
      <c r="C75" s="0" t="str">
        <f aca="false">INDEX('Store Mapping'!$C$2:$C$19,MATCH(TRIM('Raw Store Exports'!B75),'Store Mapping'!$A$2:$A$19,0))</f>
        <v>Westside Mall</v>
      </c>
      <c r="D75" s="0" t="str">
        <f aca="false">'Raw Store Exports'!D75</f>
        <v>HOM-502</v>
      </c>
      <c r="E75" s="0" t="str">
        <f aca="false">INDEX('Product Master'!$B$2:$B$21,MATCH(D75,'Product Master'!$A$2:$A$21,0))</f>
        <v>Scented Candle</v>
      </c>
      <c r="F75" s="0" t="str">
        <f aca="false">INDEX('Product Master'!$C$2:$C$21,MATCH(D75,'Product Master'!$A$2:$A$21,0))</f>
        <v>Home Goods</v>
      </c>
      <c r="G75" s="15" t="n">
        <f aca="false">VALUE(TRIM('Raw Store Exports'!E75&amp;""))</f>
        <v>5</v>
      </c>
      <c r="H75" s="18" t="n">
        <f aca="false">INDEX('Product Master'!$D$2:$D$21,MATCH(D75,'Product Master'!$A$2:$A$21,0))</f>
        <v>15</v>
      </c>
      <c r="I75" s="14" t="n">
        <f aca="false">G75*H75</f>
        <v>75</v>
      </c>
      <c r="J75" s="0" t="str">
        <f aca="false">IF(COUNTIF($A$2:A75,A75)&gt;1,"Duplicate","")</f>
        <v/>
      </c>
    </row>
    <row r="76" customFormat="false" ht="15" hidden="false" customHeight="false" outlineLevel="0" collapsed="false">
      <c r="A76" s="0" t="str">
        <f aca="false">'Raw Store Exports'!A76</f>
        <v>TXN01042</v>
      </c>
      <c r="B76" s="17" t="n">
        <f aca="false">'Raw Store Exports'!C76</f>
        <v>46069</v>
      </c>
      <c r="C76" s="0" t="str">
        <f aca="false">INDEX('Store Mapping'!$C$2:$C$19,MATCH(TRIM('Raw Store Exports'!B76),'Store Mapping'!$A$2:$A$19,0))</f>
        <v>Airport Plaza</v>
      </c>
      <c r="D76" s="0" t="str">
        <f aca="false">'Raw Store Exports'!D76</f>
        <v>ELE-403</v>
      </c>
      <c r="E76" s="0" t="str">
        <f aca="false">INDEX('Product Master'!$B$2:$B$21,MATCH(D76,'Product Master'!$A$2:$A$21,0))</f>
        <v>Fitness Tracker Band</v>
      </c>
      <c r="F76" s="0" t="str">
        <f aca="false">INDEX('Product Master'!$C$2:$C$21,MATCH(D76,'Product Master'!$A$2:$A$21,0))</f>
        <v>Electronics</v>
      </c>
      <c r="G76" s="15" t="n">
        <f aca="false">VALUE(TRIM('Raw Store Exports'!E76&amp;""))</f>
        <v>6</v>
      </c>
      <c r="H76" s="18" t="n">
        <f aca="false">INDEX('Product Master'!$D$2:$D$21,MATCH(D76,'Product Master'!$A$2:$A$21,0))</f>
        <v>99</v>
      </c>
      <c r="I76" s="14" t="n">
        <f aca="false">G76*H76</f>
        <v>594</v>
      </c>
      <c r="J76" s="0" t="str">
        <f aca="false">IF(COUNTIF($A$2:A76,A76)&gt;1,"Duplicate","")</f>
        <v/>
      </c>
    </row>
    <row r="77" customFormat="false" ht="15" hidden="false" customHeight="false" outlineLevel="0" collapsed="false">
      <c r="A77" s="0" t="str">
        <f aca="false">'Raw Store Exports'!A77</f>
        <v>TXN00857</v>
      </c>
      <c r="B77" s="17" t="n">
        <f aca="false">'Raw Store Exports'!C77</f>
        <v>46062</v>
      </c>
      <c r="C77" s="0" t="str">
        <f aca="false">INDEX('Store Mapping'!$C$2:$C$19,MATCH(TRIM('Raw Store Exports'!B77),'Store Mapping'!$A$2:$A$19,0))</f>
        <v>Riverside</v>
      </c>
      <c r="D77" s="0" t="str">
        <f aca="false">'Raw Store Exports'!D77</f>
        <v>ACC-301</v>
      </c>
      <c r="E77" s="0" t="str">
        <f aca="false">INDEX('Product Master'!$B$2:$B$21,MATCH(D77,'Product Master'!$A$2:$A$21,0))</f>
        <v>Leather Belt</v>
      </c>
      <c r="F77" s="0" t="str">
        <f aca="false">INDEX('Product Master'!$C$2:$C$21,MATCH(D77,'Product Master'!$A$2:$A$21,0))</f>
        <v>Accessories</v>
      </c>
      <c r="G77" s="15" t="n">
        <f aca="false">VALUE(TRIM('Raw Store Exports'!E77&amp;""))</f>
        <v>4</v>
      </c>
      <c r="H77" s="18" t="n">
        <f aca="false">INDEX('Product Master'!$D$2:$D$21,MATCH(D77,'Product Master'!$A$2:$A$21,0))</f>
        <v>30</v>
      </c>
      <c r="I77" s="14" t="n">
        <f aca="false">G77*H77</f>
        <v>120</v>
      </c>
      <c r="J77" s="0" t="str">
        <f aca="false">IF(COUNTIF($A$2:A77,A77)&gt;1,"Duplicate","")</f>
        <v/>
      </c>
    </row>
    <row r="78" customFormat="false" ht="15" hidden="false" customHeight="false" outlineLevel="0" collapsed="false">
      <c r="A78" s="0" t="str">
        <f aca="false">'Raw Store Exports'!A78</f>
        <v>TXN00732</v>
      </c>
      <c r="B78" s="17" t="n">
        <f aca="false">'Raw Store Exports'!C78</f>
        <v>46061</v>
      </c>
      <c r="C78" s="0" t="str">
        <f aca="false">INDEX('Store Mapping'!$C$2:$C$19,MATCH(TRIM('Raw Store Exports'!B78),'Store Mapping'!$A$2:$A$19,0))</f>
        <v>Airport Plaza</v>
      </c>
      <c r="D78" s="0" t="str">
        <f aca="false">'Raw Store Exports'!D78</f>
        <v>HOM-501</v>
      </c>
      <c r="E78" s="0" t="str">
        <f aca="false">INDEX('Product Master'!$B$2:$B$21,MATCH(D78,'Product Master'!$A$2:$A$21,0))</f>
        <v>Ceramic Coffee Mug Set</v>
      </c>
      <c r="F78" s="0" t="str">
        <f aca="false">INDEX('Product Master'!$C$2:$C$21,MATCH(D78,'Product Master'!$A$2:$A$21,0))</f>
        <v>Home Goods</v>
      </c>
      <c r="G78" s="15" t="n">
        <f aca="false">VALUE(TRIM('Raw Store Exports'!E78&amp;""))</f>
        <v>5</v>
      </c>
      <c r="H78" s="18" t="n">
        <f aca="false">INDEX('Product Master'!$D$2:$D$21,MATCH(D78,'Product Master'!$A$2:$A$21,0))</f>
        <v>22</v>
      </c>
      <c r="I78" s="14" t="n">
        <f aca="false">G78*H78</f>
        <v>110</v>
      </c>
      <c r="J78" s="0" t="str">
        <f aca="false">IF(COUNTIF($A$2:A78,A78)&gt;1,"Duplicate","")</f>
        <v/>
      </c>
    </row>
    <row r="79" customFormat="false" ht="15" hidden="false" customHeight="false" outlineLevel="0" collapsed="false">
      <c r="A79" s="0" t="str">
        <f aca="false">'Raw Store Exports'!A79</f>
        <v>TXN01095</v>
      </c>
      <c r="B79" s="17" t="n">
        <f aca="false">'Raw Store Exports'!C79</f>
        <v>46081</v>
      </c>
      <c r="C79" s="0" t="str">
        <f aca="false">INDEX('Store Mapping'!$C$2:$C$19,MATCH(TRIM('Raw Store Exports'!B79),'Store Mapping'!$A$2:$A$19,0))</f>
        <v>Westside Mall</v>
      </c>
      <c r="D79" s="0" t="str">
        <f aca="false">'Raw Store Exports'!D79</f>
        <v>FTW-202</v>
      </c>
      <c r="E79" s="0" t="str">
        <f aca="false">INDEX('Product Master'!$B$2:$B$21,MATCH(D79,'Product Master'!$A$2:$A$21,0))</f>
        <v>Canvas Low-Top</v>
      </c>
      <c r="F79" s="0" t="str">
        <f aca="false">INDEX('Product Master'!$C$2:$C$21,MATCH(D79,'Product Master'!$A$2:$A$21,0))</f>
        <v>Footwear</v>
      </c>
      <c r="G79" s="15" t="n">
        <f aca="false">VALUE(TRIM('Raw Store Exports'!E79&amp;""))</f>
        <v>5</v>
      </c>
      <c r="H79" s="18" t="n">
        <f aca="false">INDEX('Product Master'!$D$2:$D$21,MATCH(D79,'Product Master'!$A$2:$A$21,0))</f>
        <v>55</v>
      </c>
      <c r="I79" s="14" t="n">
        <f aca="false">G79*H79</f>
        <v>275</v>
      </c>
      <c r="J79" s="0" t="str">
        <f aca="false">IF(COUNTIF($A$2:A79,A79)&gt;1,"Duplicate","")</f>
        <v/>
      </c>
    </row>
    <row r="80" customFormat="false" ht="15" hidden="false" customHeight="false" outlineLevel="0" collapsed="false">
      <c r="A80" s="0" t="str">
        <f aca="false">'Raw Store Exports'!A80</f>
        <v>TXN00227</v>
      </c>
      <c r="B80" s="17" t="n">
        <f aca="false">'Raw Store Exports'!C80</f>
        <v>46039</v>
      </c>
      <c r="C80" s="0" t="str">
        <f aca="false">INDEX('Store Mapping'!$C$2:$C$19,MATCH(TRIM('Raw Store Exports'!B80),'Store Mapping'!$A$2:$A$19,0))</f>
        <v>Northpark</v>
      </c>
      <c r="D80" s="0" t="str">
        <f aca="false">'Raw Store Exports'!D80</f>
        <v>HOM-501</v>
      </c>
      <c r="E80" s="0" t="str">
        <f aca="false">INDEX('Product Master'!$B$2:$B$21,MATCH(D80,'Product Master'!$A$2:$A$21,0))</f>
        <v>Ceramic Coffee Mug Set</v>
      </c>
      <c r="F80" s="0" t="str">
        <f aca="false">INDEX('Product Master'!$C$2:$C$21,MATCH(D80,'Product Master'!$A$2:$A$21,0))</f>
        <v>Home Goods</v>
      </c>
      <c r="G80" s="15" t="n">
        <f aca="false">VALUE(TRIM('Raw Store Exports'!E80&amp;""))</f>
        <v>1</v>
      </c>
      <c r="H80" s="18" t="n">
        <f aca="false">INDEX('Product Master'!$D$2:$D$21,MATCH(D80,'Product Master'!$A$2:$A$21,0))</f>
        <v>22</v>
      </c>
      <c r="I80" s="14" t="n">
        <f aca="false">G80*H80</f>
        <v>22</v>
      </c>
      <c r="J80" s="0" t="str">
        <f aca="false">IF(COUNTIF($A$2:A80,A80)&gt;1,"Duplicate","")</f>
        <v/>
      </c>
    </row>
    <row r="81" customFormat="false" ht="15" hidden="false" customHeight="false" outlineLevel="0" collapsed="false">
      <c r="A81" s="0" t="str">
        <f aca="false">'Raw Store Exports'!A81</f>
        <v>TXN00671</v>
      </c>
      <c r="B81" s="17" t="n">
        <f aca="false">'Raw Store Exports'!C81</f>
        <v>46061</v>
      </c>
      <c r="C81" s="0" t="str">
        <f aca="false">INDEX('Store Mapping'!$C$2:$C$19,MATCH(TRIM('Raw Store Exports'!B81),'Store Mapping'!$A$2:$A$19,0))</f>
        <v>Northpark</v>
      </c>
      <c r="D81" s="0" t="str">
        <f aca="false">'Raw Store Exports'!D81</f>
        <v>ELE-403</v>
      </c>
      <c r="E81" s="0" t="str">
        <f aca="false">INDEX('Product Master'!$B$2:$B$21,MATCH(D81,'Product Master'!$A$2:$A$21,0))</f>
        <v>Fitness Tracker Band</v>
      </c>
      <c r="F81" s="0" t="str">
        <f aca="false">INDEX('Product Master'!$C$2:$C$21,MATCH(D81,'Product Master'!$A$2:$A$21,0))</f>
        <v>Electronics</v>
      </c>
      <c r="G81" s="15" t="n">
        <f aca="false">VALUE(TRIM('Raw Store Exports'!E81&amp;""))</f>
        <v>3</v>
      </c>
      <c r="H81" s="18" t="n">
        <f aca="false">INDEX('Product Master'!$D$2:$D$21,MATCH(D81,'Product Master'!$A$2:$A$21,0))</f>
        <v>99</v>
      </c>
      <c r="I81" s="14" t="n">
        <f aca="false">G81*H81</f>
        <v>297</v>
      </c>
      <c r="J81" s="0" t="str">
        <f aca="false">IF(COUNTIF($A$2:A81,A81)&gt;1,"Duplicate","")</f>
        <v/>
      </c>
    </row>
    <row r="82" customFormat="false" ht="15" hidden="false" customHeight="false" outlineLevel="0" collapsed="false">
      <c r="A82" s="0" t="str">
        <f aca="false">'Raw Store Exports'!A82</f>
        <v>TXN00655</v>
      </c>
      <c r="B82" s="17" t="n">
        <f aca="false">'Raw Store Exports'!C82</f>
        <v>46056</v>
      </c>
      <c r="C82" s="0" t="str">
        <f aca="false">INDEX('Store Mapping'!$C$2:$C$19,MATCH(TRIM('Raw Store Exports'!B82),'Store Mapping'!$A$2:$A$19,0))</f>
        <v>Eastgate</v>
      </c>
      <c r="D82" s="0" t="str">
        <f aca="false">'Raw Store Exports'!D82</f>
        <v>ACC-302</v>
      </c>
      <c r="E82" s="0" t="str">
        <f aca="false">INDEX('Product Master'!$B$2:$B$21,MATCH(D82,'Product Master'!$A$2:$A$21,0))</f>
        <v>Aviator Sunglasses</v>
      </c>
      <c r="F82" s="0" t="str">
        <f aca="false">INDEX('Product Master'!$C$2:$C$21,MATCH(D82,'Product Master'!$A$2:$A$21,0))</f>
        <v>Accessories</v>
      </c>
      <c r="G82" s="15" t="n">
        <f aca="false">VALUE(TRIM('Raw Store Exports'!E82&amp;""))</f>
        <v>4</v>
      </c>
      <c r="H82" s="18" t="n">
        <f aca="false">INDEX('Product Master'!$D$2:$D$21,MATCH(D82,'Product Master'!$A$2:$A$21,0))</f>
        <v>42</v>
      </c>
      <c r="I82" s="14" t="n">
        <f aca="false">G82*H82</f>
        <v>168</v>
      </c>
      <c r="J82" s="0" t="str">
        <f aca="false">IF(COUNTIF($A$2:A82,A82)&gt;1,"Duplicate","")</f>
        <v/>
      </c>
    </row>
    <row r="83" customFormat="false" ht="15" hidden="false" customHeight="false" outlineLevel="0" collapsed="false">
      <c r="A83" s="0" t="str">
        <f aca="false">'Raw Store Exports'!A83</f>
        <v>TXN00907</v>
      </c>
      <c r="B83" s="17" t="n">
        <f aca="false">'Raw Store Exports'!C83</f>
        <v>46075</v>
      </c>
      <c r="C83" s="0" t="str">
        <f aca="false">INDEX('Store Mapping'!$C$2:$C$19,MATCH(TRIM('Raw Store Exports'!B83),'Store Mapping'!$A$2:$A$19,0))</f>
        <v>Downtown</v>
      </c>
      <c r="D83" s="0" t="str">
        <f aca="false">'Raw Store Exports'!D83</f>
        <v>ELE-404</v>
      </c>
      <c r="E83" s="0" t="str">
        <f aca="false">INDEX('Product Master'!$B$2:$B$21,MATCH(D83,'Product Master'!$A$2:$A$21,0))</f>
        <v>Phone Charging Cable</v>
      </c>
      <c r="F83" s="0" t="str">
        <f aca="false">INDEX('Product Master'!$C$2:$C$21,MATCH(D83,'Product Master'!$A$2:$A$21,0))</f>
        <v>Electronics</v>
      </c>
      <c r="G83" s="15" t="n">
        <f aca="false">VALUE(TRIM('Raw Store Exports'!E83&amp;""))</f>
        <v>2</v>
      </c>
      <c r="H83" s="18" t="n">
        <f aca="false">INDEX('Product Master'!$D$2:$D$21,MATCH(D83,'Product Master'!$A$2:$A$21,0))</f>
        <v>12</v>
      </c>
      <c r="I83" s="14" t="n">
        <f aca="false">G83*H83</f>
        <v>24</v>
      </c>
      <c r="J83" s="0" t="str">
        <f aca="false">IF(COUNTIF($A$2:A83,A83)&gt;1,"Duplicate","")</f>
        <v/>
      </c>
    </row>
    <row r="84" customFormat="false" ht="15" hidden="false" customHeight="false" outlineLevel="0" collapsed="false">
      <c r="A84" s="0" t="str">
        <f aca="false">'Raw Store Exports'!A84</f>
        <v>TXN00646</v>
      </c>
      <c r="B84" s="17" t="n">
        <f aca="false">'Raw Store Exports'!C84</f>
        <v>46056</v>
      </c>
      <c r="C84" s="0" t="str">
        <f aca="false">INDEX('Store Mapping'!$C$2:$C$19,MATCH(TRIM('Raw Store Exports'!B84),'Store Mapping'!$A$2:$A$19,0))</f>
        <v>Eastgate</v>
      </c>
      <c r="D84" s="0" t="str">
        <f aca="false">'Raw Store Exports'!D84</f>
        <v>APP-104</v>
      </c>
      <c r="E84" s="0" t="str">
        <f aca="false">INDEX('Product Master'!$B$2:$B$21,MATCH(D84,'Product Master'!$A$2:$A$21,0))</f>
        <v>Slim Fit Chinos</v>
      </c>
      <c r="F84" s="0" t="str">
        <f aca="false">INDEX('Product Master'!$C$2:$C$21,MATCH(D84,'Product Master'!$A$2:$A$21,0))</f>
        <v>Apparel</v>
      </c>
      <c r="G84" s="15" t="n">
        <f aca="false">VALUE(TRIM('Raw Store Exports'!E84&amp;""))</f>
        <v>2</v>
      </c>
      <c r="H84" s="18" t="n">
        <f aca="false">INDEX('Product Master'!$D$2:$D$21,MATCH(D84,'Product Master'!$A$2:$A$21,0))</f>
        <v>52</v>
      </c>
      <c r="I84" s="14" t="n">
        <f aca="false">G84*H84</f>
        <v>104</v>
      </c>
      <c r="J84" s="0" t="str">
        <f aca="false">IF(COUNTIF($A$2:A84,A84)&gt;1,"Duplicate","")</f>
        <v/>
      </c>
    </row>
    <row r="85" customFormat="false" ht="15" hidden="false" customHeight="false" outlineLevel="0" collapsed="false">
      <c r="A85" s="0" t="str">
        <f aca="false">'Raw Store Exports'!A85</f>
        <v>TXN00018</v>
      </c>
      <c r="B85" s="17" t="n">
        <f aca="false">'Raw Store Exports'!C85</f>
        <v>46027</v>
      </c>
      <c r="C85" s="0" t="str">
        <f aca="false">INDEX('Store Mapping'!$C$2:$C$19,MATCH(TRIM('Raw Store Exports'!B85),'Store Mapping'!$A$2:$A$19,0))</f>
        <v>Downtown</v>
      </c>
      <c r="D85" s="0" t="str">
        <f aca="false">'Raw Store Exports'!D85</f>
        <v>ELE-404</v>
      </c>
      <c r="E85" s="0" t="str">
        <f aca="false">INDEX('Product Master'!$B$2:$B$21,MATCH(D85,'Product Master'!$A$2:$A$21,0))</f>
        <v>Phone Charging Cable</v>
      </c>
      <c r="F85" s="0" t="str">
        <f aca="false">INDEX('Product Master'!$C$2:$C$21,MATCH(D85,'Product Master'!$A$2:$A$21,0))</f>
        <v>Electronics</v>
      </c>
      <c r="G85" s="15" t="n">
        <f aca="false">VALUE(TRIM('Raw Store Exports'!E85&amp;""))</f>
        <v>3</v>
      </c>
      <c r="H85" s="18" t="n">
        <f aca="false">INDEX('Product Master'!$D$2:$D$21,MATCH(D85,'Product Master'!$A$2:$A$21,0))</f>
        <v>12</v>
      </c>
      <c r="I85" s="14" t="n">
        <f aca="false">G85*H85</f>
        <v>36</v>
      </c>
      <c r="J85" s="0" t="str">
        <f aca="false">IF(COUNTIF($A$2:A85,A85)&gt;1,"Duplicate","")</f>
        <v/>
      </c>
    </row>
    <row r="86" customFormat="false" ht="15" hidden="false" customHeight="false" outlineLevel="0" collapsed="false">
      <c r="A86" s="0" t="str">
        <f aca="false">'Raw Store Exports'!A86</f>
        <v>TXN00205</v>
      </c>
      <c r="B86" s="17" t="n">
        <f aca="false">'Raw Store Exports'!C86</f>
        <v>46038</v>
      </c>
      <c r="C86" s="0" t="str">
        <f aca="false">INDEX('Store Mapping'!$C$2:$C$19,MATCH(TRIM('Raw Store Exports'!B86),'Store Mapping'!$A$2:$A$19,0))</f>
        <v>Northpark</v>
      </c>
      <c r="D86" s="0" t="str">
        <f aca="false">'Raw Store Exports'!D86</f>
        <v>FTW-204</v>
      </c>
      <c r="E86" s="0" t="str">
        <f aca="false">INDEX('Product Master'!$B$2:$B$21,MATCH(D86,'Product Master'!$A$2:$A$21,0))</f>
        <v>Slide Sandals</v>
      </c>
      <c r="F86" s="0" t="str">
        <f aca="false">INDEX('Product Master'!$C$2:$C$21,MATCH(D86,'Product Master'!$A$2:$A$21,0))</f>
        <v>Footwear</v>
      </c>
      <c r="G86" s="15" t="n">
        <f aca="false">VALUE(TRIM('Raw Store Exports'!E86&amp;""))</f>
        <v>3</v>
      </c>
      <c r="H86" s="18" t="n">
        <f aca="false">INDEX('Product Master'!$D$2:$D$21,MATCH(D86,'Product Master'!$A$2:$A$21,0))</f>
        <v>25</v>
      </c>
      <c r="I86" s="14" t="n">
        <f aca="false">G86*H86</f>
        <v>75</v>
      </c>
      <c r="J86" s="0" t="str">
        <f aca="false">IF(COUNTIF($A$2:A86,A86)&gt;1,"Duplicate","")</f>
        <v/>
      </c>
    </row>
    <row r="87" customFormat="false" ht="15" hidden="false" customHeight="false" outlineLevel="0" collapsed="false">
      <c r="A87" s="0" t="str">
        <f aca="false">'Raw Store Exports'!A87</f>
        <v>TXN00239</v>
      </c>
      <c r="B87" s="17" t="n">
        <f aca="false">'Raw Store Exports'!C87</f>
        <v>46036</v>
      </c>
      <c r="C87" s="0" t="str">
        <f aca="false">INDEX('Store Mapping'!$C$2:$C$19,MATCH(TRIM('Raw Store Exports'!B87),'Store Mapping'!$A$2:$A$19,0))</f>
        <v>Riverside</v>
      </c>
      <c r="D87" s="0" t="str">
        <f aca="false">'Raw Store Exports'!D87</f>
        <v>FTW-204</v>
      </c>
      <c r="E87" s="0" t="str">
        <f aca="false">INDEX('Product Master'!$B$2:$B$21,MATCH(D87,'Product Master'!$A$2:$A$21,0))</f>
        <v>Slide Sandals</v>
      </c>
      <c r="F87" s="0" t="str">
        <f aca="false">INDEX('Product Master'!$C$2:$C$21,MATCH(D87,'Product Master'!$A$2:$A$21,0))</f>
        <v>Footwear</v>
      </c>
      <c r="G87" s="15" t="n">
        <f aca="false">VALUE(TRIM('Raw Store Exports'!E87&amp;""))</f>
        <v>6</v>
      </c>
      <c r="H87" s="18" t="n">
        <f aca="false">INDEX('Product Master'!$D$2:$D$21,MATCH(D87,'Product Master'!$A$2:$A$21,0))</f>
        <v>25</v>
      </c>
      <c r="I87" s="14" t="n">
        <f aca="false">G87*H87</f>
        <v>150</v>
      </c>
      <c r="J87" s="0" t="str">
        <f aca="false">IF(COUNTIF($A$2:A87,A87)&gt;1,"Duplicate","")</f>
        <v/>
      </c>
    </row>
    <row r="88" customFormat="false" ht="15" hidden="false" customHeight="false" outlineLevel="0" collapsed="false">
      <c r="A88" s="0" t="str">
        <f aca="false">'Raw Store Exports'!A88</f>
        <v>TXN00489</v>
      </c>
      <c r="B88" s="17" t="n">
        <f aca="false">'Raw Store Exports'!C88</f>
        <v>46050</v>
      </c>
      <c r="C88" s="0" t="str">
        <f aca="false">INDEX('Store Mapping'!$C$2:$C$19,MATCH(TRIM('Raw Store Exports'!B88),'Store Mapping'!$A$2:$A$19,0))</f>
        <v>Eastgate</v>
      </c>
      <c r="D88" s="0" t="str">
        <f aca="false">'Raw Store Exports'!D88</f>
        <v>FTW-204</v>
      </c>
      <c r="E88" s="0" t="str">
        <f aca="false">INDEX('Product Master'!$B$2:$B$21,MATCH(D88,'Product Master'!$A$2:$A$21,0))</f>
        <v>Slide Sandals</v>
      </c>
      <c r="F88" s="0" t="str">
        <f aca="false">INDEX('Product Master'!$C$2:$C$21,MATCH(D88,'Product Master'!$A$2:$A$21,0))</f>
        <v>Footwear</v>
      </c>
      <c r="G88" s="15" t="n">
        <f aca="false">VALUE(TRIM('Raw Store Exports'!E88&amp;""))</f>
        <v>3</v>
      </c>
      <c r="H88" s="18" t="n">
        <f aca="false">INDEX('Product Master'!$D$2:$D$21,MATCH(D88,'Product Master'!$A$2:$A$21,0))</f>
        <v>25</v>
      </c>
      <c r="I88" s="14" t="n">
        <f aca="false">G88*H88</f>
        <v>75</v>
      </c>
      <c r="J88" s="0" t="str">
        <f aca="false">IF(COUNTIF($A$2:A88,A88)&gt;1,"Duplicate","")</f>
        <v/>
      </c>
    </row>
    <row r="89" customFormat="false" ht="15" hidden="false" customHeight="false" outlineLevel="0" collapsed="false">
      <c r="A89" s="0" t="str">
        <f aca="false">'Raw Store Exports'!A89</f>
        <v>TXN00213</v>
      </c>
      <c r="B89" s="17" t="n">
        <f aca="false">'Raw Store Exports'!C89</f>
        <v>46039</v>
      </c>
      <c r="C89" s="0" t="str">
        <f aca="false">INDEX('Store Mapping'!$C$2:$C$19,MATCH(TRIM('Raw Store Exports'!B89),'Store Mapping'!$A$2:$A$19,0))</f>
        <v>Northpark</v>
      </c>
      <c r="D89" s="0" t="str">
        <f aca="false">'Raw Store Exports'!D89</f>
        <v>APP-104</v>
      </c>
      <c r="E89" s="0" t="str">
        <f aca="false">INDEX('Product Master'!$B$2:$B$21,MATCH(D89,'Product Master'!$A$2:$A$21,0))</f>
        <v>Slim Fit Chinos</v>
      </c>
      <c r="F89" s="0" t="str">
        <f aca="false">INDEX('Product Master'!$C$2:$C$21,MATCH(D89,'Product Master'!$A$2:$A$21,0))</f>
        <v>Apparel</v>
      </c>
      <c r="G89" s="15" t="n">
        <f aca="false">VALUE(TRIM('Raw Store Exports'!E89&amp;""))</f>
        <v>3</v>
      </c>
      <c r="H89" s="18" t="n">
        <f aca="false">INDEX('Product Master'!$D$2:$D$21,MATCH(D89,'Product Master'!$A$2:$A$21,0))</f>
        <v>52</v>
      </c>
      <c r="I89" s="14" t="n">
        <f aca="false">G89*H89</f>
        <v>156</v>
      </c>
      <c r="J89" s="0" t="str">
        <f aca="false">IF(COUNTIF($A$2:A89,A89)&gt;1,"Duplicate","")</f>
        <v/>
      </c>
    </row>
    <row r="90" customFormat="false" ht="15" hidden="false" customHeight="false" outlineLevel="0" collapsed="false">
      <c r="A90" s="0" t="str">
        <f aca="false">'Raw Store Exports'!A90</f>
        <v>TXN01111</v>
      </c>
      <c r="B90" s="17" t="n">
        <f aca="false">'Raw Store Exports'!C90</f>
        <v>46082</v>
      </c>
      <c r="C90" s="0" t="str">
        <f aca="false">INDEX('Store Mapping'!$C$2:$C$19,MATCH(TRIM('Raw Store Exports'!B90),'Store Mapping'!$A$2:$A$19,0))</f>
        <v>Eastgate</v>
      </c>
      <c r="D90" s="0" t="str">
        <f aca="false">'Raw Store Exports'!D90</f>
        <v>HOM-503</v>
      </c>
      <c r="E90" s="0" t="str">
        <f aca="false">INDEX('Product Master'!$B$2:$B$21,MATCH(D90,'Product Master'!$A$2:$A$21,0))</f>
        <v>Cotton Throw Blanket</v>
      </c>
      <c r="F90" s="0" t="str">
        <f aca="false">INDEX('Product Master'!$C$2:$C$21,MATCH(D90,'Product Master'!$A$2:$A$21,0))</f>
        <v>Home Goods</v>
      </c>
      <c r="G90" s="15" t="n">
        <f aca="false">VALUE(TRIM('Raw Store Exports'!E90&amp;""))</f>
        <v>5</v>
      </c>
      <c r="H90" s="18" t="n">
        <f aca="false">INDEX('Product Master'!$D$2:$D$21,MATCH(D90,'Product Master'!$A$2:$A$21,0))</f>
        <v>38</v>
      </c>
      <c r="I90" s="14" t="n">
        <f aca="false">G90*H90</f>
        <v>190</v>
      </c>
      <c r="J90" s="0" t="str">
        <f aca="false">IF(COUNTIF($A$2:A90,A90)&gt;1,"Duplicate","")</f>
        <v/>
      </c>
    </row>
    <row r="91" customFormat="false" ht="15" hidden="false" customHeight="false" outlineLevel="0" collapsed="false">
      <c r="A91" s="0" t="str">
        <f aca="false">'Raw Store Exports'!A91</f>
        <v>TXN00610</v>
      </c>
      <c r="B91" s="17" t="n">
        <f aca="false">'Raw Store Exports'!C91</f>
        <v>46059</v>
      </c>
      <c r="C91" s="0" t="str">
        <f aca="false">INDEX('Store Mapping'!$C$2:$C$19,MATCH(TRIM('Raw Store Exports'!B91),'Store Mapping'!$A$2:$A$19,0))</f>
        <v>Downtown</v>
      </c>
      <c r="D91" s="0" t="str">
        <f aca="false">'Raw Store Exports'!D91</f>
        <v>HOM-504</v>
      </c>
      <c r="E91" s="0" t="str">
        <f aca="false">INDEX('Product Master'!$B$2:$B$21,MATCH(D91,'Product Master'!$A$2:$A$21,0))</f>
        <v>Bamboo Cutting Board</v>
      </c>
      <c r="F91" s="0" t="str">
        <f aca="false">INDEX('Product Master'!$C$2:$C$21,MATCH(D91,'Product Master'!$A$2:$A$21,0))</f>
        <v>Home Goods</v>
      </c>
      <c r="G91" s="15" t="n">
        <f aca="false">VALUE(TRIM('Raw Store Exports'!E91&amp;""))</f>
        <v>6</v>
      </c>
      <c r="H91" s="18" t="n">
        <f aca="false">INDEX('Product Master'!$D$2:$D$21,MATCH(D91,'Product Master'!$A$2:$A$21,0))</f>
        <v>27</v>
      </c>
      <c r="I91" s="14" t="n">
        <f aca="false">G91*H91</f>
        <v>162</v>
      </c>
      <c r="J91" s="0" t="str">
        <f aca="false">IF(COUNTIF($A$2:A91,A91)&gt;1,"Duplicate","")</f>
        <v/>
      </c>
    </row>
    <row r="92" customFormat="false" ht="15" hidden="false" customHeight="false" outlineLevel="0" collapsed="false">
      <c r="A92" s="0" t="str">
        <f aca="false">'Raw Store Exports'!A92</f>
        <v>TXN00842</v>
      </c>
      <c r="B92" s="17" t="n">
        <f aca="false">'Raw Store Exports'!C92</f>
        <v>46067</v>
      </c>
      <c r="C92" s="0" t="str">
        <f aca="false">INDEX('Store Mapping'!$C$2:$C$19,MATCH(TRIM('Raw Store Exports'!B92),'Store Mapping'!$A$2:$A$19,0))</f>
        <v>Northpark</v>
      </c>
      <c r="D92" s="0" t="str">
        <f aca="false">'Raw Store Exports'!D92</f>
        <v>APP-104</v>
      </c>
      <c r="E92" s="0" t="str">
        <f aca="false">INDEX('Product Master'!$B$2:$B$21,MATCH(D92,'Product Master'!$A$2:$A$21,0))</f>
        <v>Slim Fit Chinos</v>
      </c>
      <c r="F92" s="0" t="str">
        <f aca="false">INDEX('Product Master'!$C$2:$C$21,MATCH(D92,'Product Master'!$A$2:$A$21,0))</f>
        <v>Apparel</v>
      </c>
      <c r="G92" s="15" t="n">
        <f aca="false">VALUE(TRIM('Raw Store Exports'!E92&amp;""))</f>
        <v>2</v>
      </c>
      <c r="H92" s="18" t="n">
        <f aca="false">INDEX('Product Master'!$D$2:$D$21,MATCH(D92,'Product Master'!$A$2:$A$21,0))</f>
        <v>52</v>
      </c>
      <c r="I92" s="14" t="n">
        <f aca="false">G92*H92</f>
        <v>104</v>
      </c>
      <c r="J92" s="0" t="str">
        <f aca="false">IF(COUNTIF($A$2:A92,A92)&gt;1,"Duplicate","")</f>
        <v/>
      </c>
    </row>
    <row r="93" customFormat="false" ht="15" hidden="false" customHeight="false" outlineLevel="0" collapsed="false">
      <c r="A93" s="0" t="str">
        <f aca="false">'Raw Store Exports'!A93</f>
        <v>TXN00688</v>
      </c>
      <c r="B93" s="17" t="n">
        <f aca="false">'Raw Store Exports'!C93</f>
        <v>46057</v>
      </c>
      <c r="C93" s="0" t="str">
        <f aca="false">INDEX('Store Mapping'!$C$2:$C$19,MATCH(TRIM('Raw Store Exports'!B93),'Store Mapping'!$A$2:$A$19,0))</f>
        <v>Northpark</v>
      </c>
      <c r="D93" s="0" t="str">
        <f aca="false">'Raw Store Exports'!D93</f>
        <v>APP-101</v>
      </c>
      <c r="E93" s="0" t="str">
        <f aca="false">INDEX('Product Master'!$B$2:$B$21,MATCH(D93,'Product Master'!$A$2:$A$21,0))</f>
        <v>Classic Denim Jacket</v>
      </c>
      <c r="F93" s="0" t="str">
        <f aca="false">INDEX('Product Master'!$C$2:$C$21,MATCH(D93,'Product Master'!$A$2:$A$21,0))</f>
        <v>Apparel</v>
      </c>
      <c r="G93" s="15" t="n">
        <f aca="false">VALUE(TRIM('Raw Store Exports'!E93&amp;""))</f>
        <v>3</v>
      </c>
      <c r="H93" s="18" t="n">
        <f aca="false">INDEX('Product Master'!$D$2:$D$21,MATCH(D93,'Product Master'!$A$2:$A$21,0))</f>
        <v>68</v>
      </c>
      <c r="I93" s="14" t="n">
        <f aca="false">G93*H93</f>
        <v>204</v>
      </c>
      <c r="J93" s="0" t="str">
        <f aca="false">IF(COUNTIF($A$2:A93,A93)&gt;1,"Duplicate","")</f>
        <v/>
      </c>
    </row>
    <row r="94" customFormat="false" ht="15" hidden="false" customHeight="false" outlineLevel="0" collapsed="false">
      <c r="A94" s="0" t="str">
        <f aca="false">'Raw Store Exports'!A94</f>
        <v>TXN00588</v>
      </c>
      <c r="B94" s="17" t="n">
        <f aca="false">'Raw Store Exports'!C94</f>
        <v>46056</v>
      </c>
      <c r="C94" s="0" t="str">
        <f aca="false">INDEX('Store Mapping'!$C$2:$C$19,MATCH(TRIM('Raw Store Exports'!B94),'Store Mapping'!$A$2:$A$19,0))</f>
        <v>Downtown</v>
      </c>
      <c r="D94" s="0" t="str">
        <f aca="false">'Raw Store Exports'!D94</f>
        <v>FTW-201</v>
      </c>
      <c r="E94" s="0" t="str">
        <f aca="false">INDEX('Product Master'!$B$2:$B$21,MATCH(D94,'Product Master'!$A$2:$A$21,0))</f>
        <v>Running Sneakers</v>
      </c>
      <c r="F94" s="0" t="str">
        <f aca="false">INDEX('Product Master'!$C$2:$C$21,MATCH(D94,'Product Master'!$A$2:$A$21,0))</f>
        <v>Footwear</v>
      </c>
      <c r="G94" s="15" t="n">
        <f aca="false">VALUE(TRIM('Raw Store Exports'!E94&amp;""))</f>
        <v>2</v>
      </c>
      <c r="H94" s="18" t="n">
        <f aca="false">INDEX('Product Master'!$D$2:$D$21,MATCH(D94,'Product Master'!$A$2:$A$21,0))</f>
        <v>89</v>
      </c>
      <c r="I94" s="14" t="n">
        <f aca="false">G94*H94</f>
        <v>178</v>
      </c>
      <c r="J94" s="0" t="str">
        <f aca="false">IF(COUNTIF($A$2:A94,A94)&gt;1,"Duplicate","")</f>
        <v/>
      </c>
    </row>
    <row r="95" customFormat="false" ht="15" hidden="false" customHeight="false" outlineLevel="0" collapsed="false">
      <c r="A95" s="0" t="str">
        <f aca="false">'Raw Store Exports'!A95</f>
        <v>TXN00008</v>
      </c>
      <c r="B95" s="17" t="n">
        <f aca="false">'Raw Store Exports'!C95</f>
        <v>46031</v>
      </c>
      <c r="C95" s="0" t="str">
        <f aca="false">INDEX('Store Mapping'!$C$2:$C$19,MATCH(TRIM('Raw Store Exports'!B95),'Store Mapping'!$A$2:$A$19,0))</f>
        <v>Downtown</v>
      </c>
      <c r="D95" s="0" t="str">
        <f aca="false">'Raw Store Exports'!D95</f>
        <v>ELE-402</v>
      </c>
      <c r="E95" s="0" t="str">
        <f aca="false">INDEX('Product Master'!$B$2:$B$21,MATCH(D95,'Product Master'!$A$2:$A$21,0))</f>
        <v>Bluetooth Speaker</v>
      </c>
      <c r="F95" s="0" t="str">
        <f aca="false">INDEX('Product Master'!$C$2:$C$21,MATCH(D95,'Product Master'!$A$2:$A$21,0))</f>
        <v>Electronics</v>
      </c>
      <c r="G95" s="15" t="n">
        <f aca="false">VALUE(TRIM('Raw Store Exports'!E95&amp;""))</f>
        <v>2</v>
      </c>
      <c r="H95" s="18" t="n">
        <f aca="false">INDEX('Product Master'!$D$2:$D$21,MATCH(D95,'Product Master'!$A$2:$A$21,0))</f>
        <v>59</v>
      </c>
      <c r="I95" s="14" t="n">
        <f aca="false">G95*H95</f>
        <v>118</v>
      </c>
      <c r="J95" s="0" t="str">
        <f aca="false">IF(COUNTIF($A$2:A95,A95)&gt;1,"Duplicate","")</f>
        <v/>
      </c>
    </row>
    <row r="96" customFormat="false" ht="15" hidden="false" customHeight="false" outlineLevel="0" collapsed="false">
      <c r="A96" s="0" t="str">
        <f aca="false">'Raw Store Exports'!A96</f>
        <v>TXN00136</v>
      </c>
      <c r="B96" s="17" t="n">
        <f aca="false">'Raw Store Exports'!C96</f>
        <v>46035</v>
      </c>
      <c r="C96" s="0" t="str">
        <f aca="false">INDEX('Store Mapping'!$C$2:$C$19,MATCH(TRIM('Raw Store Exports'!B96),'Store Mapping'!$A$2:$A$19,0))</f>
        <v>Downtown</v>
      </c>
      <c r="D96" s="0" t="str">
        <f aca="false">'Raw Store Exports'!D96</f>
        <v>HOM-502</v>
      </c>
      <c r="E96" s="0" t="str">
        <f aca="false">INDEX('Product Master'!$B$2:$B$21,MATCH(D96,'Product Master'!$A$2:$A$21,0))</f>
        <v>Scented Candle</v>
      </c>
      <c r="F96" s="0" t="str">
        <f aca="false">INDEX('Product Master'!$C$2:$C$21,MATCH(D96,'Product Master'!$A$2:$A$21,0))</f>
        <v>Home Goods</v>
      </c>
      <c r="G96" s="15" t="n">
        <f aca="false">VALUE(TRIM('Raw Store Exports'!E96&amp;""))</f>
        <v>4</v>
      </c>
      <c r="H96" s="18" t="n">
        <f aca="false">INDEX('Product Master'!$D$2:$D$21,MATCH(D96,'Product Master'!$A$2:$A$21,0))</f>
        <v>15</v>
      </c>
      <c r="I96" s="14" t="n">
        <f aca="false">G96*H96</f>
        <v>60</v>
      </c>
      <c r="J96" s="0" t="str">
        <f aca="false">IF(COUNTIF($A$2:A96,A96)&gt;1,"Duplicate","")</f>
        <v/>
      </c>
    </row>
    <row r="97" customFormat="false" ht="15" hidden="false" customHeight="false" outlineLevel="0" collapsed="false">
      <c r="A97" s="0" t="str">
        <f aca="false">'Raw Store Exports'!A97</f>
        <v>TXN00421</v>
      </c>
      <c r="B97" s="17" t="n">
        <f aca="false">'Raw Store Exports'!C97</f>
        <v>46041</v>
      </c>
      <c r="C97" s="0" t="str">
        <f aca="false">INDEX('Store Mapping'!$C$2:$C$19,MATCH(TRIM('Raw Store Exports'!B97),'Store Mapping'!$A$2:$A$19,0))</f>
        <v>Airport Plaza</v>
      </c>
      <c r="D97" s="0" t="str">
        <f aca="false">'Raw Store Exports'!D97</f>
        <v>HOM-501</v>
      </c>
      <c r="E97" s="0" t="str">
        <f aca="false">INDEX('Product Master'!$B$2:$B$21,MATCH(D97,'Product Master'!$A$2:$A$21,0))</f>
        <v>Ceramic Coffee Mug Set</v>
      </c>
      <c r="F97" s="0" t="str">
        <f aca="false">INDEX('Product Master'!$C$2:$C$21,MATCH(D97,'Product Master'!$A$2:$A$21,0))</f>
        <v>Home Goods</v>
      </c>
      <c r="G97" s="15" t="n">
        <f aca="false">VALUE(TRIM('Raw Store Exports'!E97&amp;""))</f>
        <v>3</v>
      </c>
      <c r="H97" s="18" t="n">
        <f aca="false">INDEX('Product Master'!$D$2:$D$21,MATCH(D97,'Product Master'!$A$2:$A$21,0))</f>
        <v>22</v>
      </c>
      <c r="I97" s="14" t="n">
        <f aca="false">G97*H97</f>
        <v>66</v>
      </c>
      <c r="J97" s="0" t="str">
        <f aca="false">IF(COUNTIF($A$2:A97,A97)&gt;1,"Duplicate","")</f>
        <v/>
      </c>
    </row>
    <row r="98" customFormat="false" ht="15" hidden="false" customHeight="false" outlineLevel="0" collapsed="false">
      <c r="A98" s="0" t="str">
        <f aca="false">'Raw Store Exports'!A98</f>
        <v>TXN00157</v>
      </c>
      <c r="B98" s="17" t="n">
        <f aca="false">'Raw Store Exports'!C98</f>
        <v>46036</v>
      </c>
      <c r="C98" s="0" t="str">
        <f aca="false">INDEX('Store Mapping'!$C$2:$C$19,MATCH(TRIM('Raw Store Exports'!B98),'Store Mapping'!$A$2:$A$19,0))</f>
        <v>Downtown</v>
      </c>
      <c r="D98" s="0" t="str">
        <f aca="false">'Raw Store Exports'!D98</f>
        <v>HOM-501</v>
      </c>
      <c r="E98" s="0" t="str">
        <f aca="false">INDEX('Product Master'!$B$2:$B$21,MATCH(D98,'Product Master'!$A$2:$A$21,0))</f>
        <v>Ceramic Coffee Mug Set</v>
      </c>
      <c r="F98" s="0" t="str">
        <f aca="false">INDEX('Product Master'!$C$2:$C$21,MATCH(D98,'Product Master'!$A$2:$A$21,0))</f>
        <v>Home Goods</v>
      </c>
      <c r="G98" s="15" t="n">
        <f aca="false">VALUE(TRIM('Raw Store Exports'!E98&amp;""))</f>
        <v>4</v>
      </c>
      <c r="H98" s="18" t="n">
        <f aca="false">INDEX('Product Master'!$D$2:$D$21,MATCH(D98,'Product Master'!$A$2:$A$21,0))</f>
        <v>22</v>
      </c>
      <c r="I98" s="14" t="n">
        <f aca="false">G98*H98</f>
        <v>88</v>
      </c>
      <c r="J98" s="0" t="str">
        <f aca="false">IF(COUNTIF($A$2:A98,A98)&gt;1,"Duplicate","")</f>
        <v/>
      </c>
    </row>
    <row r="99" customFormat="false" ht="15" hidden="false" customHeight="false" outlineLevel="0" collapsed="false">
      <c r="A99" s="0" t="str">
        <f aca="false">'Raw Store Exports'!A99</f>
        <v>TXN01071</v>
      </c>
      <c r="B99" s="17" t="n">
        <f aca="false">'Raw Store Exports'!C99</f>
        <v>46081</v>
      </c>
      <c r="C99" s="0" t="str">
        <f aca="false">INDEX('Store Mapping'!$C$2:$C$19,MATCH(TRIM('Raw Store Exports'!B99),'Store Mapping'!$A$2:$A$19,0))</f>
        <v>Downtown</v>
      </c>
      <c r="D99" s="0" t="str">
        <f aca="false">'Raw Store Exports'!D99</f>
        <v>ELE-404</v>
      </c>
      <c r="E99" s="0" t="str">
        <f aca="false">INDEX('Product Master'!$B$2:$B$21,MATCH(D99,'Product Master'!$A$2:$A$21,0))</f>
        <v>Phone Charging Cable</v>
      </c>
      <c r="F99" s="0" t="str">
        <f aca="false">INDEX('Product Master'!$C$2:$C$21,MATCH(D99,'Product Master'!$A$2:$A$21,0))</f>
        <v>Electronics</v>
      </c>
      <c r="G99" s="15" t="n">
        <f aca="false">VALUE(TRIM('Raw Store Exports'!E99&amp;""))</f>
        <v>2</v>
      </c>
      <c r="H99" s="18" t="n">
        <f aca="false">INDEX('Product Master'!$D$2:$D$21,MATCH(D99,'Product Master'!$A$2:$A$21,0))</f>
        <v>12</v>
      </c>
      <c r="I99" s="14" t="n">
        <f aca="false">G99*H99</f>
        <v>24</v>
      </c>
      <c r="J99" s="0" t="str">
        <f aca="false">IF(COUNTIF($A$2:A99,A99)&gt;1,"Duplicate","")</f>
        <v/>
      </c>
    </row>
    <row r="100" customFormat="false" ht="15" hidden="false" customHeight="false" outlineLevel="0" collapsed="false">
      <c r="A100" s="0" t="str">
        <f aca="false">'Raw Store Exports'!A100</f>
        <v>TXN00902</v>
      </c>
      <c r="B100" s="17" t="n">
        <f aca="false">'Raw Store Exports'!C100</f>
        <v>46069</v>
      </c>
      <c r="C100" s="0" t="str">
        <f aca="false">INDEX('Store Mapping'!$C$2:$C$19,MATCH(TRIM('Raw Store Exports'!B100),'Store Mapping'!$A$2:$A$19,0))</f>
        <v>Downtown</v>
      </c>
      <c r="D100" s="0" t="str">
        <f aca="false">'Raw Store Exports'!D100</f>
        <v>FTW-201</v>
      </c>
      <c r="E100" s="0" t="str">
        <f aca="false">INDEX('Product Master'!$B$2:$B$21,MATCH(D100,'Product Master'!$A$2:$A$21,0))</f>
        <v>Running Sneakers</v>
      </c>
      <c r="F100" s="0" t="str">
        <f aca="false">INDEX('Product Master'!$C$2:$C$21,MATCH(D100,'Product Master'!$A$2:$A$21,0))</f>
        <v>Footwear</v>
      </c>
      <c r="G100" s="15" t="n">
        <f aca="false">VALUE(TRIM('Raw Store Exports'!E100&amp;""))</f>
        <v>4</v>
      </c>
      <c r="H100" s="18" t="n">
        <f aca="false">INDEX('Product Master'!$D$2:$D$21,MATCH(D100,'Product Master'!$A$2:$A$21,0))</f>
        <v>89</v>
      </c>
      <c r="I100" s="14" t="n">
        <f aca="false">G100*H100</f>
        <v>356</v>
      </c>
      <c r="J100" s="0" t="str">
        <f aca="false">IF(COUNTIF($A$2:A100,A100)&gt;1,"Duplicate","")</f>
        <v/>
      </c>
    </row>
    <row r="101" customFormat="false" ht="15" hidden="false" customHeight="false" outlineLevel="0" collapsed="false">
      <c r="A101" s="0" t="str">
        <f aca="false">'Raw Store Exports'!A101</f>
        <v>TXN01089</v>
      </c>
      <c r="B101" s="17" t="n">
        <f aca="false">'Raw Store Exports'!C101</f>
        <v>46082</v>
      </c>
      <c r="C101" s="0" t="str">
        <f aca="false">INDEX('Store Mapping'!$C$2:$C$19,MATCH(TRIM('Raw Store Exports'!B101),'Store Mapping'!$A$2:$A$19,0))</f>
        <v>Westside Mall</v>
      </c>
      <c r="D101" s="0" t="str">
        <f aca="false">'Raw Store Exports'!D101</f>
        <v>ACC-302</v>
      </c>
      <c r="E101" s="0" t="str">
        <f aca="false">INDEX('Product Master'!$B$2:$B$21,MATCH(D101,'Product Master'!$A$2:$A$21,0))</f>
        <v>Aviator Sunglasses</v>
      </c>
      <c r="F101" s="0" t="str">
        <f aca="false">INDEX('Product Master'!$C$2:$C$21,MATCH(D101,'Product Master'!$A$2:$A$21,0))</f>
        <v>Accessories</v>
      </c>
      <c r="G101" s="15" t="n">
        <f aca="false">VALUE(TRIM('Raw Store Exports'!E101&amp;""))</f>
        <v>2</v>
      </c>
      <c r="H101" s="18" t="n">
        <f aca="false">INDEX('Product Master'!$D$2:$D$21,MATCH(D101,'Product Master'!$A$2:$A$21,0))</f>
        <v>42</v>
      </c>
      <c r="I101" s="14" t="n">
        <f aca="false">G101*H101</f>
        <v>84</v>
      </c>
      <c r="J101" s="0" t="str">
        <f aca="false">IF(COUNTIF($A$2:A101,A101)&gt;1,"Duplicate","")</f>
        <v/>
      </c>
    </row>
    <row r="102" customFormat="false" ht="15" hidden="false" customHeight="false" outlineLevel="0" collapsed="false">
      <c r="A102" s="0" t="str">
        <f aca="false">'Raw Store Exports'!A102</f>
        <v>TXN01158</v>
      </c>
      <c r="B102" s="17" t="n">
        <f aca="false">'Raw Store Exports'!C102</f>
        <v>46082</v>
      </c>
      <c r="C102" s="0" t="str">
        <f aca="false">INDEX('Store Mapping'!$C$2:$C$19,MATCH(TRIM('Raw Store Exports'!B102),'Store Mapping'!$A$2:$A$19,0))</f>
        <v>Riverside</v>
      </c>
      <c r="D102" s="0" t="str">
        <f aca="false">'Raw Store Exports'!D102</f>
        <v>FTW-201</v>
      </c>
      <c r="E102" s="0" t="str">
        <f aca="false">INDEX('Product Master'!$B$2:$B$21,MATCH(D102,'Product Master'!$A$2:$A$21,0))</f>
        <v>Running Sneakers</v>
      </c>
      <c r="F102" s="0" t="str">
        <f aca="false">INDEX('Product Master'!$C$2:$C$21,MATCH(D102,'Product Master'!$A$2:$A$21,0))</f>
        <v>Footwear</v>
      </c>
      <c r="G102" s="15" t="n">
        <f aca="false">VALUE(TRIM('Raw Store Exports'!E102&amp;""))</f>
        <v>5</v>
      </c>
      <c r="H102" s="18" t="n">
        <f aca="false">INDEX('Product Master'!$D$2:$D$21,MATCH(D102,'Product Master'!$A$2:$A$21,0))</f>
        <v>89</v>
      </c>
      <c r="I102" s="14" t="n">
        <f aca="false">G102*H102</f>
        <v>445</v>
      </c>
      <c r="J102" s="0" t="str">
        <f aca="false">IF(COUNTIF($A$2:A102,A102)&gt;1,"Duplicate","")</f>
        <v/>
      </c>
    </row>
    <row r="103" customFormat="false" ht="15" hidden="false" customHeight="false" outlineLevel="0" collapsed="false">
      <c r="A103" s="0" t="str">
        <f aca="false">'Raw Store Exports'!A103</f>
        <v>TXN00046</v>
      </c>
      <c r="B103" s="17" t="n">
        <f aca="false">'Raw Store Exports'!C103</f>
        <v>46027</v>
      </c>
      <c r="C103" s="0" t="str">
        <f aca="false">INDEX('Store Mapping'!$C$2:$C$19,MATCH(TRIM('Raw Store Exports'!B103),'Store Mapping'!$A$2:$A$19,0))</f>
        <v>Westside Mall</v>
      </c>
      <c r="D103" s="0" t="str">
        <f aca="false">'Raw Store Exports'!D103</f>
        <v>ACC-302</v>
      </c>
      <c r="E103" s="0" t="str">
        <f aca="false">INDEX('Product Master'!$B$2:$B$21,MATCH(D103,'Product Master'!$A$2:$A$21,0))</f>
        <v>Aviator Sunglasses</v>
      </c>
      <c r="F103" s="0" t="str">
        <f aca="false">INDEX('Product Master'!$C$2:$C$21,MATCH(D103,'Product Master'!$A$2:$A$21,0))</f>
        <v>Accessories</v>
      </c>
      <c r="G103" s="15" t="n">
        <f aca="false">VALUE(TRIM('Raw Store Exports'!E103&amp;""))</f>
        <v>1</v>
      </c>
      <c r="H103" s="18" t="n">
        <f aca="false">INDEX('Product Master'!$D$2:$D$21,MATCH(D103,'Product Master'!$A$2:$A$21,0))</f>
        <v>42</v>
      </c>
      <c r="I103" s="14" t="n">
        <f aca="false">G103*H103</f>
        <v>42</v>
      </c>
      <c r="J103" s="0" t="str">
        <f aca="false">IF(COUNTIF($A$2:A103,A103)&gt;1,"Duplicate","")</f>
        <v/>
      </c>
    </row>
    <row r="104" customFormat="false" ht="15" hidden="false" customHeight="false" outlineLevel="0" collapsed="false">
      <c r="A104" s="0" t="str">
        <f aca="false">'Raw Store Exports'!A104</f>
        <v>TXN01145</v>
      </c>
      <c r="B104" s="17" t="n">
        <f aca="false">'Raw Store Exports'!C104</f>
        <v>46079</v>
      </c>
      <c r="C104" s="0" t="str">
        <f aca="false">INDEX('Store Mapping'!$C$2:$C$19,MATCH(TRIM('Raw Store Exports'!B104),'Store Mapping'!$A$2:$A$19,0))</f>
        <v>Northpark</v>
      </c>
      <c r="D104" s="0" t="str">
        <f aca="false">'Raw Store Exports'!D104</f>
        <v>ACC-304</v>
      </c>
      <c r="E104" s="0" t="str">
        <f aca="false">INDEX('Product Master'!$B$2:$B$21,MATCH(D104,'Product Master'!$A$2:$A$21,0))</f>
        <v>Wool Beanie</v>
      </c>
      <c r="F104" s="0" t="str">
        <f aca="false">INDEX('Product Master'!$C$2:$C$21,MATCH(D104,'Product Master'!$A$2:$A$21,0))</f>
        <v>Accessories</v>
      </c>
      <c r="G104" s="15" t="n">
        <f aca="false">VALUE(TRIM('Raw Store Exports'!E104&amp;""))</f>
        <v>4</v>
      </c>
      <c r="H104" s="18" t="n">
        <f aca="false">INDEX('Product Master'!$D$2:$D$21,MATCH(D104,'Product Master'!$A$2:$A$21,0))</f>
        <v>16</v>
      </c>
      <c r="I104" s="14" t="n">
        <f aca="false">G104*H104</f>
        <v>64</v>
      </c>
      <c r="J104" s="0" t="str">
        <f aca="false">IF(COUNTIF($A$2:A104,A104)&gt;1,"Duplicate","")</f>
        <v/>
      </c>
    </row>
    <row r="105" customFormat="false" ht="15" hidden="false" customHeight="false" outlineLevel="0" collapsed="false">
      <c r="A105" s="0" t="str">
        <f aca="false">'Raw Store Exports'!A105</f>
        <v>TXN00948</v>
      </c>
      <c r="B105" s="17" t="n">
        <f aca="false">'Raw Store Exports'!C105</f>
        <v>46069</v>
      </c>
      <c r="C105" s="0" t="str">
        <f aca="false">INDEX('Store Mapping'!$C$2:$C$19,MATCH(TRIM('Raw Store Exports'!B105),'Store Mapping'!$A$2:$A$19,0))</f>
        <v>Eastgate</v>
      </c>
      <c r="D105" s="0" t="str">
        <f aca="false">'Raw Store Exports'!D105</f>
        <v>FTW-201</v>
      </c>
      <c r="E105" s="0" t="str">
        <f aca="false">INDEX('Product Master'!$B$2:$B$21,MATCH(D105,'Product Master'!$A$2:$A$21,0))</f>
        <v>Running Sneakers</v>
      </c>
      <c r="F105" s="0" t="str">
        <f aca="false">INDEX('Product Master'!$C$2:$C$21,MATCH(D105,'Product Master'!$A$2:$A$21,0))</f>
        <v>Footwear</v>
      </c>
      <c r="G105" s="15" t="n">
        <f aca="false">VALUE(TRIM('Raw Store Exports'!E105&amp;""))</f>
        <v>1</v>
      </c>
      <c r="H105" s="18" t="n">
        <f aca="false">INDEX('Product Master'!$D$2:$D$21,MATCH(D105,'Product Master'!$A$2:$A$21,0))</f>
        <v>89</v>
      </c>
      <c r="I105" s="14" t="n">
        <f aca="false">G105*H105</f>
        <v>89</v>
      </c>
      <c r="J105" s="0" t="str">
        <f aca="false">IF(COUNTIF($A$2:A105,A105)&gt;1,"Duplicate","")</f>
        <v/>
      </c>
    </row>
    <row r="106" customFormat="false" ht="15" hidden="false" customHeight="false" outlineLevel="0" collapsed="false">
      <c r="A106" s="0" t="str">
        <f aca="false">'Raw Store Exports'!A106</f>
        <v>TXN01175</v>
      </c>
      <c r="B106" s="17" t="n">
        <f aca="false">'Raw Store Exports'!C106</f>
        <v>46082</v>
      </c>
      <c r="C106" s="0" t="str">
        <f aca="false">INDEX('Store Mapping'!$C$2:$C$19,MATCH(TRIM('Raw Store Exports'!B106),'Store Mapping'!$A$2:$A$19,0))</f>
        <v>Airport Plaza</v>
      </c>
      <c r="D106" s="0" t="str">
        <f aca="false">'Raw Store Exports'!D106</f>
        <v>HOM-502</v>
      </c>
      <c r="E106" s="0" t="str">
        <f aca="false">INDEX('Product Master'!$B$2:$B$21,MATCH(D106,'Product Master'!$A$2:$A$21,0))</f>
        <v>Scented Candle</v>
      </c>
      <c r="F106" s="0" t="str">
        <f aca="false">INDEX('Product Master'!$C$2:$C$21,MATCH(D106,'Product Master'!$A$2:$A$21,0))</f>
        <v>Home Goods</v>
      </c>
      <c r="G106" s="15" t="n">
        <f aca="false">VALUE(TRIM('Raw Store Exports'!E106&amp;""))</f>
        <v>3</v>
      </c>
      <c r="H106" s="18" t="n">
        <f aca="false">INDEX('Product Master'!$D$2:$D$21,MATCH(D106,'Product Master'!$A$2:$A$21,0))</f>
        <v>15</v>
      </c>
      <c r="I106" s="14" t="n">
        <f aca="false">G106*H106</f>
        <v>45</v>
      </c>
      <c r="J106" s="0" t="str">
        <f aca="false">IF(COUNTIF($A$2:A106,A106)&gt;1,"Duplicate","")</f>
        <v/>
      </c>
    </row>
    <row r="107" customFormat="false" ht="15" hidden="false" customHeight="false" outlineLevel="0" collapsed="false">
      <c r="A107" s="0" t="str">
        <f aca="false">'Raw Store Exports'!A107</f>
        <v>TXN00169</v>
      </c>
      <c r="B107" s="17" t="n">
        <f aca="false">'Raw Store Exports'!C107</f>
        <v>46035</v>
      </c>
      <c r="C107" s="0" t="str">
        <f aca="false">INDEX('Store Mapping'!$C$2:$C$19,MATCH(TRIM('Raw Store Exports'!B107),'Store Mapping'!$A$2:$A$19,0))</f>
        <v>Westside Mall</v>
      </c>
      <c r="D107" s="0" t="str">
        <f aca="false">'Raw Store Exports'!D107</f>
        <v>HOM-502</v>
      </c>
      <c r="E107" s="0" t="str">
        <f aca="false">INDEX('Product Master'!$B$2:$B$21,MATCH(D107,'Product Master'!$A$2:$A$21,0))</f>
        <v>Scented Candle</v>
      </c>
      <c r="F107" s="0" t="str">
        <f aca="false">INDEX('Product Master'!$C$2:$C$21,MATCH(D107,'Product Master'!$A$2:$A$21,0))</f>
        <v>Home Goods</v>
      </c>
      <c r="G107" s="15" t="n">
        <f aca="false">VALUE(TRIM('Raw Store Exports'!E107&amp;""))</f>
        <v>4</v>
      </c>
      <c r="H107" s="18" t="n">
        <f aca="false">INDEX('Product Master'!$D$2:$D$21,MATCH(D107,'Product Master'!$A$2:$A$21,0))</f>
        <v>15</v>
      </c>
      <c r="I107" s="14" t="n">
        <f aca="false">G107*H107</f>
        <v>60</v>
      </c>
      <c r="J107" s="0" t="str">
        <f aca="false">IF(COUNTIF($A$2:A107,A107)&gt;1,"Duplicate","")</f>
        <v/>
      </c>
    </row>
    <row r="108" customFormat="false" ht="15" hidden="false" customHeight="false" outlineLevel="0" collapsed="false">
      <c r="A108" s="0" t="str">
        <f aca="false">'Raw Store Exports'!A108</f>
        <v>TXN01112</v>
      </c>
      <c r="B108" s="17" t="n">
        <f aca="false">'Raw Store Exports'!C108</f>
        <v>46080</v>
      </c>
      <c r="C108" s="0" t="str">
        <f aca="false">INDEX('Store Mapping'!$C$2:$C$19,MATCH(TRIM('Raw Store Exports'!B108),'Store Mapping'!$A$2:$A$19,0))</f>
        <v>Eastgate</v>
      </c>
      <c r="D108" s="0" t="str">
        <f aca="false">'Raw Store Exports'!D108</f>
        <v>ELE-402</v>
      </c>
      <c r="E108" s="0" t="str">
        <f aca="false">INDEX('Product Master'!$B$2:$B$21,MATCH(D108,'Product Master'!$A$2:$A$21,0))</f>
        <v>Bluetooth Speaker</v>
      </c>
      <c r="F108" s="0" t="str">
        <f aca="false">INDEX('Product Master'!$C$2:$C$21,MATCH(D108,'Product Master'!$A$2:$A$21,0))</f>
        <v>Electronics</v>
      </c>
      <c r="G108" s="15" t="n">
        <f aca="false">VALUE(TRIM('Raw Store Exports'!E108&amp;""))</f>
        <v>3</v>
      </c>
      <c r="H108" s="18" t="n">
        <f aca="false">INDEX('Product Master'!$D$2:$D$21,MATCH(D108,'Product Master'!$A$2:$A$21,0))</f>
        <v>59</v>
      </c>
      <c r="I108" s="14" t="n">
        <f aca="false">G108*H108</f>
        <v>177</v>
      </c>
      <c r="J108" s="0" t="str">
        <f aca="false">IF(COUNTIF($A$2:A108,A108)&gt;1,"Duplicate","")</f>
        <v/>
      </c>
    </row>
    <row r="109" customFormat="false" ht="15" hidden="false" customHeight="false" outlineLevel="0" collapsed="false">
      <c r="A109" s="0" t="str">
        <f aca="false">'Raw Store Exports'!A109</f>
        <v>TXN00582</v>
      </c>
      <c r="B109" s="17" t="n">
        <f aca="false">'Raw Store Exports'!C109</f>
        <v>46050</v>
      </c>
      <c r="C109" s="0" t="str">
        <f aca="false">INDEX('Store Mapping'!$C$2:$C$19,MATCH(TRIM('Raw Store Exports'!B109),'Store Mapping'!$A$2:$A$19,0))</f>
        <v>Airport Plaza</v>
      </c>
      <c r="D109" s="0" t="str">
        <f aca="false">'Raw Store Exports'!D109</f>
        <v>APP-104</v>
      </c>
      <c r="E109" s="0" t="str">
        <f aca="false">INDEX('Product Master'!$B$2:$B$21,MATCH(D109,'Product Master'!$A$2:$A$21,0))</f>
        <v>Slim Fit Chinos</v>
      </c>
      <c r="F109" s="0" t="str">
        <f aca="false">INDEX('Product Master'!$C$2:$C$21,MATCH(D109,'Product Master'!$A$2:$A$21,0))</f>
        <v>Apparel</v>
      </c>
      <c r="G109" s="15" t="n">
        <f aca="false">VALUE(TRIM('Raw Store Exports'!E109&amp;""))</f>
        <v>6</v>
      </c>
      <c r="H109" s="18" t="n">
        <f aca="false">INDEX('Product Master'!$D$2:$D$21,MATCH(D109,'Product Master'!$A$2:$A$21,0))</f>
        <v>52</v>
      </c>
      <c r="I109" s="14" t="n">
        <f aca="false">G109*H109</f>
        <v>312</v>
      </c>
      <c r="J109" s="0" t="str">
        <f aca="false">IF(COUNTIF($A$2:A109,A109)&gt;1,"Duplicate","")</f>
        <v/>
      </c>
    </row>
    <row r="110" customFormat="false" ht="15" hidden="false" customHeight="false" outlineLevel="0" collapsed="false">
      <c r="A110" s="0" t="str">
        <f aca="false">'Raw Store Exports'!A110</f>
        <v>TXN00638</v>
      </c>
      <c r="B110" s="17" t="n">
        <f aca="false">'Raw Store Exports'!C110</f>
        <v>46060</v>
      </c>
      <c r="C110" s="0" t="str">
        <f aca="false">INDEX('Store Mapping'!$C$2:$C$19,MATCH(TRIM('Raw Store Exports'!B110),'Store Mapping'!$A$2:$A$19,0))</f>
        <v>Westside Mall</v>
      </c>
      <c r="D110" s="0" t="str">
        <f aca="false">'Raw Store Exports'!D110</f>
        <v>ELE-404</v>
      </c>
      <c r="E110" s="0" t="str">
        <f aca="false">INDEX('Product Master'!$B$2:$B$21,MATCH(D110,'Product Master'!$A$2:$A$21,0))</f>
        <v>Phone Charging Cable</v>
      </c>
      <c r="F110" s="0" t="str">
        <f aca="false">INDEX('Product Master'!$C$2:$C$21,MATCH(D110,'Product Master'!$A$2:$A$21,0))</f>
        <v>Electronics</v>
      </c>
      <c r="G110" s="15" t="n">
        <f aca="false">VALUE(TRIM('Raw Store Exports'!E110&amp;""))</f>
        <v>6</v>
      </c>
      <c r="H110" s="18" t="n">
        <f aca="false">INDEX('Product Master'!$D$2:$D$21,MATCH(D110,'Product Master'!$A$2:$A$21,0))</f>
        <v>12</v>
      </c>
      <c r="I110" s="14" t="n">
        <f aca="false">G110*H110</f>
        <v>72</v>
      </c>
      <c r="J110" s="0" t="str">
        <f aca="false">IF(COUNTIF($A$2:A110,A110)&gt;1,"Duplicate","")</f>
        <v>Duplicate</v>
      </c>
    </row>
    <row r="111" customFormat="false" ht="15" hidden="false" customHeight="false" outlineLevel="0" collapsed="false">
      <c r="A111" s="0" t="str">
        <f aca="false">'Raw Store Exports'!A111</f>
        <v>TXN00126</v>
      </c>
      <c r="B111" s="17" t="n">
        <f aca="false">'Raw Store Exports'!C111</f>
        <v>46032</v>
      </c>
      <c r="C111" s="0" t="str">
        <f aca="false">INDEX('Store Mapping'!$C$2:$C$19,MATCH(TRIM('Raw Store Exports'!B111),'Store Mapping'!$A$2:$A$19,0))</f>
        <v>Airport Plaza</v>
      </c>
      <c r="D111" s="0" t="str">
        <f aca="false">'Raw Store Exports'!D111</f>
        <v>APP-104</v>
      </c>
      <c r="E111" s="0" t="str">
        <f aca="false">INDEX('Product Master'!$B$2:$B$21,MATCH(D111,'Product Master'!$A$2:$A$21,0))</f>
        <v>Slim Fit Chinos</v>
      </c>
      <c r="F111" s="0" t="str">
        <f aca="false">INDEX('Product Master'!$C$2:$C$21,MATCH(D111,'Product Master'!$A$2:$A$21,0))</f>
        <v>Apparel</v>
      </c>
      <c r="G111" s="15" t="n">
        <f aca="false">VALUE(TRIM('Raw Store Exports'!E111&amp;""))</f>
        <v>6</v>
      </c>
      <c r="H111" s="18" t="n">
        <f aca="false">INDEX('Product Master'!$D$2:$D$21,MATCH(D111,'Product Master'!$A$2:$A$21,0))</f>
        <v>52</v>
      </c>
      <c r="I111" s="14" t="n">
        <f aca="false">G111*H111</f>
        <v>312</v>
      </c>
      <c r="J111" s="0" t="str">
        <f aca="false">IF(COUNTIF($A$2:A111,A111)&gt;1,"Duplicate","")</f>
        <v/>
      </c>
    </row>
    <row r="112" customFormat="false" ht="15" hidden="false" customHeight="false" outlineLevel="0" collapsed="false">
      <c r="A112" s="0" t="str">
        <f aca="false">'Raw Store Exports'!A112</f>
        <v>TXN01117</v>
      </c>
      <c r="B112" s="17" t="n">
        <f aca="false">'Raw Store Exports'!C112</f>
        <v>46078</v>
      </c>
      <c r="C112" s="0" t="str">
        <f aca="false">INDEX('Store Mapping'!$C$2:$C$19,MATCH(TRIM('Raw Store Exports'!B112),'Store Mapping'!$A$2:$A$19,0))</f>
        <v>Eastgate</v>
      </c>
      <c r="D112" s="0" t="str">
        <f aca="false">'Raw Store Exports'!D112</f>
        <v>APP-103</v>
      </c>
      <c r="E112" s="0" t="str">
        <f aca="false">INDEX('Product Master'!$B$2:$B$21,MATCH(D112,'Product Master'!$A$2:$A$21,0))</f>
        <v>Fleece Pullover Hoodie</v>
      </c>
      <c r="F112" s="0" t="str">
        <f aca="false">INDEX('Product Master'!$C$2:$C$21,MATCH(D112,'Product Master'!$A$2:$A$21,0))</f>
        <v>Apparel</v>
      </c>
      <c r="G112" s="15" t="n">
        <f aca="false">VALUE(TRIM('Raw Store Exports'!E112&amp;""))</f>
        <v>4</v>
      </c>
      <c r="H112" s="18" t="n">
        <f aca="false">INDEX('Product Master'!$D$2:$D$21,MATCH(D112,'Product Master'!$A$2:$A$21,0))</f>
        <v>45</v>
      </c>
      <c r="I112" s="14" t="n">
        <f aca="false">G112*H112</f>
        <v>180</v>
      </c>
      <c r="J112" s="0" t="str">
        <f aca="false">IF(COUNTIF($A$2:A112,A112)&gt;1,"Duplicate","")</f>
        <v/>
      </c>
    </row>
    <row r="113" customFormat="false" ht="15" hidden="false" customHeight="false" outlineLevel="0" collapsed="false">
      <c r="A113" s="0" t="str">
        <f aca="false">'Raw Store Exports'!A113</f>
        <v>TXN00774</v>
      </c>
      <c r="B113" s="17" t="n">
        <f aca="false">'Raw Store Exports'!C113</f>
        <v>46067</v>
      </c>
      <c r="C113" s="0" t="str">
        <f aca="false">INDEX('Store Mapping'!$C$2:$C$19,MATCH(TRIM('Raw Store Exports'!B113),'Store Mapping'!$A$2:$A$19,0))</f>
        <v>Downtown</v>
      </c>
      <c r="D113" s="0" t="str">
        <f aca="false">'Raw Store Exports'!D113</f>
        <v>ACC-302</v>
      </c>
      <c r="E113" s="0" t="str">
        <f aca="false">INDEX('Product Master'!$B$2:$B$21,MATCH(D113,'Product Master'!$A$2:$A$21,0))</f>
        <v>Aviator Sunglasses</v>
      </c>
      <c r="F113" s="0" t="str">
        <f aca="false">INDEX('Product Master'!$C$2:$C$21,MATCH(D113,'Product Master'!$A$2:$A$21,0))</f>
        <v>Accessories</v>
      </c>
      <c r="G113" s="15" t="n">
        <f aca="false">VALUE(TRIM('Raw Store Exports'!E113&amp;""))</f>
        <v>1</v>
      </c>
      <c r="H113" s="18" t="n">
        <f aca="false">INDEX('Product Master'!$D$2:$D$21,MATCH(D113,'Product Master'!$A$2:$A$21,0))</f>
        <v>42</v>
      </c>
      <c r="I113" s="14" t="n">
        <f aca="false">G113*H113</f>
        <v>42</v>
      </c>
      <c r="J113" s="0" t="str">
        <f aca="false">IF(COUNTIF($A$2:A113,A113)&gt;1,"Duplicate","")</f>
        <v/>
      </c>
    </row>
    <row r="114" customFormat="false" ht="15" hidden="false" customHeight="false" outlineLevel="0" collapsed="false">
      <c r="A114" s="0" t="str">
        <f aca="false">'Raw Store Exports'!A114</f>
        <v>TXN00760</v>
      </c>
      <c r="B114" s="17" t="n">
        <f aca="false">'Raw Store Exports'!C114</f>
        <v>46065</v>
      </c>
      <c r="C114" s="0" t="str">
        <f aca="false">INDEX('Store Mapping'!$C$2:$C$19,MATCH(TRIM('Raw Store Exports'!B114),'Store Mapping'!$A$2:$A$19,0))</f>
        <v>Downtown</v>
      </c>
      <c r="D114" s="0" t="str">
        <f aca="false">'Raw Store Exports'!D114</f>
        <v>ELE-401</v>
      </c>
      <c r="E114" s="0" t="str">
        <f aca="false">INDEX('Product Master'!$B$2:$B$21,MATCH(D114,'Product Master'!$A$2:$A$21,0))</f>
        <v>Wireless Earbuds</v>
      </c>
      <c r="F114" s="0" t="str">
        <f aca="false">INDEX('Product Master'!$C$2:$C$21,MATCH(D114,'Product Master'!$A$2:$A$21,0))</f>
        <v>Electronics</v>
      </c>
      <c r="G114" s="15" t="n">
        <f aca="false">VALUE(TRIM('Raw Store Exports'!E114&amp;""))</f>
        <v>3</v>
      </c>
      <c r="H114" s="18" t="n">
        <f aca="false">INDEX('Product Master'!$D$2:$D$21,MATCH(D114,'Product Master'!$A$2:$A$21,0))</f>
        <v>79</v>
      </c>
      <c r="I114" s="14" t="n">
        <f aca="false">G114*H114</f>
        <v>237</v>
      </c>
      <c r="J114" s="0" t="str">
        <f aca="false">IF(COUNTIF($A$2:A114,A114)&gt;1,"Duplicate","")</f>
        <v/>
      </c>
    </row>
    <row r="115" customFormat="false" ht="15" hidden="false" customHeight="false" outlineLevel="0" collapsed="false">
      <c r="A115" s="0" t="str">
        <f aca="false">'Raw Store Exports'!A115</f>
        <v>TXN00424</v>
      </c>
      <c r="B115" s="17" t="n">
        <f aca="false">'Raw Store Exports'!C115</f>
        <v>46041</v>
      </c>
      <c r="C115" s="0" t="str">
        <f aca="false">INDEX('Store Mapping'!$C$2:$C$19,MATCH(TRIM('Raw Store Exports'!B115),'Store Mapping'!$A$2:$A$19,0))</f>
        <v>Airport Plaza</v>
      </c>
      <c r="D115" s="0" t="str">
        <f aca="false">'Raw Store Exports'!D115</f>
        <v>HOM-501</v>
      </c>
      <c r="E115" s="0" t="str">
        <f aca="false">INDEX('Product Master'!$B$2:$B$21,MATCH(D115,'Product Master'!$A$2:$A$21,0))</f>
        <v>Ceramic Coffee Mug Set</v>
      </c>
      <c r="F115" s="0" t="str">
        <f aca="false">INDEX('Product Master'!$C$2:$C$21,MATCH(D115,'Product Master'!$A$2:$A$21,0))</f>
        <v>Home Goods</v>
      </c>
      <c r="G115" s="15" t="n">
        <f aca="false">VALUE(TRIM('Raw Store Exports'!E115&amp;""))</f>
        <v>4</v>
      </c>
      <c r="H115" s="18" t="n">
        <f aca="false">INDEX('Product Master'!$D$2:$D$21,MATCH(D115,'Product Master'!$A$2:$A$21,0))</f>
        <v>22</v>
      </c>
      <c r="I115" s="14" t="n">
        <f aca="false">G115*H115</f>
        <v>88</v>
      </c>
      <c r="J115" s="0" t="str">
        <f aca="false">IF(COUNTIF($A$2:A115,A115)&gt;1,"Duplicate","")</f>
        <v/>
      </c>
    </row>
    <row r="116" customFormat="false" ht="15" hidden="false" customHeight="false" outlineLevel="0" collapsed="false">
      <c r="A116" s="0" t="str">
        <f aca="false">'Raw Store Exports'!A116</f>
        <v>TXN00291</v>
      </c>
      <c r="B116" s="17" t="n">
        <f aca="false">'Raw Store Exports'!C116</f>
        <v>46043</v>
      </c>
      <c r="C116" s="0" t="str">
        <f aca="false">INDEX('Store Mapping'!$C$2:$C$19,MATCH(TRIM('Raw Store Exports'!B116),'Store Mapping'!$A$2:$A$19,0))</f>
        <v>Downtown</v>
      </c>
      <c r="D116" s="0" t="str">
        <f aca="false">'Raw Store Exports'!D116</f>
        <v>FTW-203</v>
      </c>
      <c r="E116" s="0" t="str">
        <f aca="false">INDEX('Product Master'!$B$2:$B$21,MATCH(D116,'Product Master'!$A$2:$A$21,0))</f>
        <v>Leather Ankle Boot</v>
      </c>
      <c r="F116" s="0" t="str">
        <f aca="false">INDEX('Product Master'!$C$2:$C$21,MATCH(D116,'Product Master'!$A$2:$A$21,0))</f>
        <v>Footwear</v>
      </c>
      <c r="G116" s="15" t="n">
        <f aca="false">VALUE(TRIM('Raw Store Exports'!E116&amp;""))</f>
        <v>4</v>
      </c>
      <c r="H116" s="18" t="n">
        <f aca="false">INDEX('Product Master'!$D$2:$D$21,MATCH(D116,'Product Master'!$A$2:$A$21,0))</f>
        <v>120</v>
      </c>
      <c r="I116" s="14" t="n">
        <f aca="false">G116*H116</f>
        <v>480</v>
      </c>
      <c r="J116" s="0" t="str">
        <f aca="false">IF(COUNTIF($A$2:A116,A116)&gt;1,"Duplicate","")</f>
        <v/>
      </c>
    </row>
    <row r="117" customFormat="false" ht="15" hidden="false" customHeight="false" outlineLevel="0" collapsed="false">
      <c r="A117" s="0" t="str">
        <f aca="false">'Raw Store Exports'!A117</f>
        <v>TXN00160</v>
      </c>
      <c r="B117" s="17" t="n">
        <f aca="false">'Raw Store Exports'!C117</f>
        <v>46034</v>
      </c>
      <c r="C117" s="0" t="str">
        <f aca="false">INDEX('Store Mapping'!$C$2:$C$19,MATCH(TRIM('Raw Store Exports'!B117),'Store Mapping'!$A$2:$A$19,0))</f>
        <v>Westside Mall</v>
      </c>
      <c r="D117" s="0" t="str">
        <f aca="false">'Raw Store Exports'!D117</f>
        <v>ACC-303</v>
      </c>
      <c r="E117" s="0" t="str">
        <f aca="false">INDEX('Product Master'!$B$2:$B$21,MATCH(D117,'Product Master'!$A$2:$A$21,0))</f>
        <v>Canvas Tote Bag</v>
      </c>
      <c r="F117" s="0" t="str">
        <f aca="false">INDEX('Product Master'!$C$2:$C$21,MATCH(D117,'Product Master'!$A$2:$A$21,0))</f>
        <v>Accessories</v>
      </c>
      <c r="G117" s="15" t="n">
        <f aca="false">VALUE(TRIM('Raw Store Exports'!E117&amp;""))</f>
        <v>3</v>
      </c>
      <c r="H117" s="18" t="n">
        <f aca="false">INDEX('Product Master'!$D$2:$D$21,MATCH(D117,'Product Master'!$A$2:$A$21,0))</f>
        <v>24</v>
      </c>
      <c r="I117" s="14" t="n">
        <f aca="false">G117*H117</f>
        <v>72</v>
      </c>
      <c r="J117" s="0" t="str">
        <f aca="false">IF(COUNTIF($A$2:A117,A117)&gt;1,"Duplicate","")</f>
        <v/>
      </c>
    </row>
    <row r="118" customFormat="false" ht="15" hidden="false" customHeight="false" outlineLevel="0" collapsed="false">
      <c r="A118" s="0" t="str">
        <f aca="false">'Raw Store Exports'!A118</f>
        <v>TXN00976</v>
      </c>
      <c r="B118" s="17" t="n">
        <f aca="false">'Raw Store Exports'!C118</f>
        <v>46070</v>
      </c>
      <c r="C118" s="0" t="str">
        <f aca="false">INDEX('Store Mapping'!$C$2:$C$19,MATCH(TRIM('Raw Store Exports'!B118),'Store Mapping'!$A$2:$A$19,0))</f>
        <v>Northpark</v>
      </c>
      <c r="D118" s="0" t="str">
        <f aca="false">'Raw Store Exports'!D118</f>
        <v>ACC-302</v>
      </c>
      <c r="E118" s="0" t="str">
        <f aca="false">INDEX('Product Master'!$B$2:$B$21,MATCH(D118,'Product Master'!$A$2:$A$21,0))</f>
        <v>Aviator Sunglasses</v>
      </c>
      <c r="F118" s="0" t="str">
        <f aca="false">INDEX('Product Master'!$C$2:$C$21,MATCH(D118,'Product Master'!$A$2:$A$21,0))</f>
        <v>Accessories</v>
      </c>
      <c r="G118" s="15" t="n">
        <f aca="false">VALUE(TRIM('Raw Store Exports'!E118&amp;""))</f>
        <v>4</v>
      </c>
      <c r="H118" s="18" t="n">
        <f aca="false">INDEX('Product Master'!$D$2:$D$21,MATCH(D118,'Product Master'!$A$2:$A$21,0))</f>
        <v>42</v>
      </c>
      <c r="I118" s="14" t="n">
        <f aca="false">G118*H118</f>
        <v>168</v>
      </c>
      <c r="J118" s="0" t="str">
        <f aca="false">IF(COUNTIF($A$2:A118,A118)&gt;1,"Duplicate","")</f>
        <v/>
      </c>
    </row>
    <row r="119" customFormat="false" ht="15" hidden="false" customHeight="false" outlineLevel="0" collapsed="false">
      <c r="A119" s="0" t="str">
        <f aca="false">'Raw Store Exports'!A119</f>
        <v>TXN00469</v>
      </c>
      <c r="B119" s="17" t="n">
        <f aca="false">'Raw Store Exports'!C119</f>
        <v>46053</v>
      </c>
      <c r="C119" s="0" t="str">
        <f aca="false">INDEX('Store Mapping'!$C$2:$C$19,MATCH(TRIM('Raw Store Exports'!B119),'Store Mapping'!$A$2:$A$19,0))</f>
        <v>Westside Mall</v>
      </c>
      <c r="D119" s="0" t="str">
        <f aca="false">'Raw Store Exports'!D119</f>
        <v>APP-104</v>
      </c>
      <c r="E119" s="0" t="str">
        <f aca="false">INDEX('Product Master'!$B$2:$B$21,MATCH(D119,'Product Master'!$A$2:$A$21,0))</f>
        <v>Slim Fit Chinos</v>
      </c>
      <c r="F119" s="0" t="str">
        <f aca="false">INDEX('Product Master'!$C$2:$C$21,MATCH(D119,'Product Master'!$A$2:$A$21,0))</f>
        <v>Apparel</v>
      </c>
      <c r="G119" s="15" t="n">
        <f aca="false">VALUE(TRIM('Raw Store Exports'!E119&amp;""))</f>
        <v>2</v>
      </c>
      <c r="H119" s="18" t="n">
        <f aca="false">INDEX('Product Master'!$D$2:$D$21,MATCH(D119,'Product Master'!$A$2:$A$21,0))</f>
        <v>52</v>
      </c>
      <c r="I119" s="14" t="n">
        <f aca="false">G119*H119</f>
        <v>104</v>
      </c>
      <c r="J119" s="0" t="str">
        <f aca="false">IF(COUNTIF($A$2:A119,A119)&gt;1,"Duplicate","")</f>
        <v/>
      </c>
    </row>
    <row r="120" customFormat="false" ht="15" hidden="false" customHeight="false" outlineLevel="0" collapsed="false">
      <c r="A120" s="0" t="str">
        <f aca="false">'Raw Store Exports'!A120</f>
        <v>TXN00898</v>
      </c>
      <c r="B120" s="17" t="n">
        <f aca="false">'Raw Store Exports'!C120</f>
        <v>46067</v>
      </c>
      <c r="C120" s="0" t="str">
        <f aca="false">INDEX('Store Mapping'!$C$2:$C$19,MATCH(TRIM('Raw Store Exports'!B120),'Store Mapping'!$A$2:$A$19,0))</f>
        <v>Airport Plaza</v>
      </c>
      <c r="D120" s="0" t="str">
        <f aca="false">'Raw Store Exports'!D120</f>
        <v>ELE-402</v>
      </c>
      <c r="E120" s="0" t="str">
        <f aca="false">INDEX('Product Master'!$B$2:$B$21,MATCH(D120,'Product Master'!$A$2:$A$21,0))</f>
        <v>Bluetooth Speaker</v>
      </c>
      <c r="F120" s="0" t="str">
        <f aca="false">INDEX('Product Master'!$C$2:$C$21,MATCH(D120,'Product Master'!$A$2:$A$21,0))</f>
        <v>Electronics</v>
      </c>
      <c r="G120" s="15" t="n">
        <f aca="false">VALUE(TRIM('Raw Store Exports'!E120&amp;""))</f>
        <v>5</v>
      </c>
      <c r="H120" s="18" t="n">
        <f aca="false">INDEX('Product Master'!$D$2:$D$21,MATCH(D120,'Product Master'!$A$2:$A$21,0))</f>
        <v>59</v>
      </c>
      <c r="I120" s="14" t="n">
        <f aca="false">G120*H120</f>
        <v>295</v>
      </c>
      <c r="J120" s="0" t="str">
        <f aca="false">IF(COUNTIF($A$2:A120,A120)&gt;1,"Duplicate","")</f>
        <v/>
      </c>
    </row>
    <row r="121" customFormat="false" ht="15" hidden="false" customHeight="false" outlineLevel="0" collapsed="false">
      <c r="A121" s="0" t="str">
        <f aca="false">'Raw Store Exports'!A121</f>
        <v>TXN00023</v>
      </c>
      <c r="B121" s="17" t="n">
        <f aca="false">'Raw Store Exports'!C121</f>
        <v>46028</v>
      </c>
      <c r="C121" s="0" t="str">
        <f aca="false">INDEX('Store Mapping'!$C$2:$C$19,MATCH(TRIM('Raw Store Exports'!B121),'Store Mapping'!$A$2:$A$19,0))</f>
        <v>Westside Mall</v>
      </c>
      <c r="D121" s="0" t="str">
        <f aca="false">'Raw Store Exports'!D121</f>
        <v>ELE-404</v>
      </c>
      <c r="E121" s="0" t="str">
        <f aca="false">INDEX('Product Master'!$B$2:$B$21,MATCH(D121,'Product Master'!$A$2:$A$21,0))</f>
        <v>Phone Charging Cable</v>
      </c>
      <c r="F121" s="0" t="str">
        <f aca="false">INDEX('Product Master'!$C$2:$C$21,MATCH(D121,'Product Master'!$A$2:$A$21,0))</f>
        <v>Electronics</v>
      </c>
      <c r="G121" s="15" t="n">
        <f aca="false">VALUE(TRIM('Raw Store Exports'!E121&amp;""))</f>
        <v>3</v>
      </c>
      <c r="H121" s="18" t="n">
        <f aca="false">INDEX('Product Master'!$D$2:$D$21,MATCH(D121,'Product Master'!$A$2:$A$21,0))</f>
        <v>12</v>
      </c>
      <c r="I121" s="14" t="n">
        <f aca="false">G121*H121</f>
        <v>36</v>
      </c>
      <c r="J121" s="0" t="str">
        <f aca="false">IF(COUNTIF($A$2:A121,A121)&gt;1,"Duplicate","")</f>
        <v/>
      </c>
    </row>
    <row r="122" customFormat="false" ht="15" hidden="false" customHeight="false" outlineLevel="0" collapsed="false">
      <c r="A122" s="0" t="str">
        <f aca="false">'Raw Store Exports'!A122</f>
        <v>TXN00348</v>
      </c>
      <c r="B122" s="17" t="n">
        <f aca="false">'Raw Store Exports'!C122</f>
        <v>46046</v>
      </c>
      <c r="C122" s="0" t="str">
        <f aca="false">INDEX('Store Mapping'!$C$2:$C$19,MATCH(TRIM('Raw Store Exports'!B122),'Store Mapping'!$A$2:$A$19,0))</f>
        <v>Northpark</v>
      </c>
      <c r="D122" s="0" t="str">
        <f aca="false">'Raw Store Exports'!D122</f>
        <v>HOM-502</v>
      </c>
      <c r="E122" s="0" t="str">
        <f aca="false">INDEX('Product Master'!$B$2:$B$21,MATCH(D122,'Product Master'!$A$2:$A$21,0))</f>
        <v>Scented Candle</v>
      </c>
      <c r="F122" s="0" t="str">
        <f aca="false">INDEX('Product Master'!$C$2:$C$21,MATCH(D122,'Product Master'!$A$2:$A$21,0))</f>
        <v>Home Goods</v>
      </c>
      <c r="G122" s="15" t="n">
        <f aca="false">VALUE(TRIM('Raw Store Exports'!E122&amp;""))</f>
        <v>3</v>
      </c>
      <c r="H122" s="18" t="n">
        <f aca="false">INDEX('Product Master'!$D$2:$D$21,MATCH(D122,'Product Master'!$A$2:$A$21,0))</f>
        <v>15</v>
      </c>
      <c r="I122" s="14" t="n">
        <f aca="false">G122*H122</f>
        <v>45</v>
      </c>
      <c r="J122" s="0" t="str">
        <f aca="false">IF(COUNTIF($A$2:A122,A122)&gt;1,"Duplicate","")</f>
        <v/>
      </c>
    </row>
    <row r="123" customFormat="false" ht="15" hidden="false" customHeight="false" outlineLevel="0" collapsed="false">
      <c r="A123" s="0" t="str">
        <f aca="false">'Raw Store Exports'!A123</f>
        <v>TXN00597</v>
      </c>
      <c r="B123" s="17" t="n">
        <f aca="false">'Raw Store Exports'!C123</f>
        <v>46056</v>
      </c>
      <c r="C123" s="0" t="str">
        <f aca="false">INDEX('Store Mapping'!$C$2:$C$19,MATCH(TRIM('Raw Store Exports'!B123),'Store Mapping'!$A$2:$A$19,0))</f>
        <v>Downtown</v>
      </c>
      <c r="D123" s="0" t="str">
        <f aca="false">'Raw Store Exports'!D123</f>
        <v>HOM-503</v>
      </c>
      <c r="E123" s="0" t="str">
        <f aca="false">INDEX('Product Master'!$B$2:$B$21,MATCH(D123,'Product Master'!$A$2:$A$21,0))</f>
        <v>Cotton Throw Blanket</v>
      </c>
      <c r="F123" s="0" t="str">
        <f aca="false">INDEX('Product Master'!$C$2:$C$21,MATCH(D123,'Product Master'!$A$2:$A$21,0))</f>
        <v>Home Goods</v>
      </c>
      <c r="G123" s="15" t="n">
        <f aca="false">VALUE(TRIM('Raw Store Exports'!E123&amp;""))</f>
        <v>1</v>
      </c>
      <c r="H123" s="18" t="n">
        <f aca="false">INDEX('Product Master'!$D$2:$D$21,MATCH(D123,'Product Master'!$A$2:$A$21,0))</f>
        <v>38</v>
      </c>
      <c r="I123" s="14" t="n">
        <f aca="false">G123*H123</f>
        <v>38</v>
      </c>
      <c r="J123" s="0" t="str">
        <f aca="false">IF(COUNTIF($A$2:A123,A123)&gt;1,"Duplicate","")</f>
        <v/>
      </c>
    </row>
    <row r="124" customFormat="false" ht="15" hidden="false" customHeight="false" outlineLevel="0" collapsed="false">
      <c r="A124" s="0" t="str">
        <f aca="false">'Raw Store Exports'!A124</f>
        <v>TXN00891</v>
      </c>
      <c r="B124" s="17" t="n">
        <f aca="false">'Raw Store Exports'!C124</f>
        <v>46067</v>
      </c>
      <c r="C124" s="0" t="str">
        <f aca="false">INDEX('Store Mapping'!$C$2:$C$19,MATCH(TRIM('Raw Store Exports'!B124),'Store Mapping'!$A$2:$A$19,0))</f>
        <v>Airport Plaza</v>
      </c>
      <c r="D124" s="0" t="str">
        <f aca="false">'Raw Store Exports'!D124</f>
        <v>APP-101</v>
      </c>
      <c r="E124" s="0" t="str">
        <f aca="false">INDEX('Product Master'!$B$2:$B$21,MATCH(D124,'Product Master'!$A$2:$A$21,0))</f>
        <v>Classic Denim Jacket</v>
      </c>
      <c r="F124" s="0" t="str">
        <f aca="false">INDEX('Product Master'!$C$2:$C$21,MATCH(D124,'Product Master'!$A$2:$A$21,0))</f>
        <v>Apparel</v>
      </c>
      <c r="G124" s="15" t="n">
        <f aca="false">VALUE(TRIM('Raw Store Exports'!E124&amp;""))</f>
        <v>1</v>
      </c>
      <c r="H124" s="18" t="n">
        <f aca="false">INDEX('Product Master'!$D$2:$D$21,MATCH(D124,'Product Master'!$A$2:$A$21,0))</f>
        <v>68</v>
      </c>
      <c r="I124" s="14" t="n">
        <f aca="false">G124*H124</f>
        <v>68</v>
      </c>
      <c r="J124" s="0" t="str">
        <f aca="false">IF(COUNTIF($A$2:A124,A124)&gt;1,"Duplicate","")</f>
        <v/>
      </c>
    </row>
    <row r="125" customFormat="false" ht="15" hidden="false" customHeight="false" outlineLevel="0" collapsed="false">
      <c r="A125" s="0" t="str">
        <f aca="false">'Raw Store Exports'!A125</f>
        <v>TXN00493</v>
      </c>
      <c r="B125" s="17" t="n">
        <f aca="false">'Raw Store Exports'!C125</f>
        <v>46052</v>
      </c>
      <c r="C125" s="0" t="str">
        <f aca="false">INDEX('Store Mapping'!$C$2:$C$19,MATCH(TRIM('Raw Store Exports'!B125),'Store Mapping'!$A$2:$A$19,0))</f>
        <v>Eastgate</v>
      </c>
      <c r="D125" s="0" t="str">
        <f aca="false">'Raw Store Exports'!D125</f>
        <v>ACC-302</v>
      </c>
      <c r="E125" s="0" t="str">
        <f aca="false">INDEX('Product Master'!$B$2:$B$21,MATCH(D125,'Product Master'!$A$2:$A$21,0))</f>
        <v>Aviator Sunglasses</v>
      </c>
      <c r="F125" s="0" t="str">
        <f aca="false">INDEX('Product Master'!$C$2:$C$21,MATCH(D125,'Product Master'!$A$2:$A$21,0))</f>
        <v>Accessories</v>
      </c>
      <c r="G125" s="15" t="n">
        <f aca="false">VALUE(TRIM('Raw Store Exports'!E125&amp;""))</f>
        <v>4</v>
      </c>
      <c r="H125" s="18" t="n">
        <f aca="false">INDEX('Product Master'!$D$2:$D$21,MATCH(D125,'Product Master'!$A$2:$A$21,0))</f>
        <v>42</v>
      </c>
      <c r="I125" s="14" t="n">
        <f aca="false">G125*H125</f>
        <v>168</v>
      </c>
      <c r="J125" s="0" t="str">
        <f aca="false">IF(COUNTIF($A$2:A125,A125)&gt;1,"Duplicate","")</f>
        <v/>
      </c>
    </row>
    <row r="126" customFormat="false" ht="15" hidden="false" customHeight="false" outlineLevel="0" collapsed="false">
      <c r="A126" s="0" t="str">
        <f aca="false">'Raw Store Exports'!A126</f>
        <v>TXN00206</v>
      </c>
      <c r="B126" s="17" t="n">
        <f aca="false">'Raw Store Exports'!C126</f>
        <v>46037</v>
      </c>
      <c r="C126" s="0" t="str">
        <f aca="false">INDEX('Store Mapping'!$C$2:$C$19,MATCH(TRIM('Raw Store Exports'!B126),'Store Mapping'!$A$2:$A$19,0))</f>
        <v>Northpark</v>
      </c>
      <c r="D126" s="0" t="str">
        <f aca="false">'Raw Store Exports'!D126</f>
        <v>HOM-503</v>
      </c>
      <c r="E126" s="0" t="str">
        <f aca="false">INDEX('Product Master'!$B$2:$B$21,MATCH(D126,'Product Master'!$A$2:$A$21,0))</f>
        <v>Cotton Throw Blanket</v>
      </c>
      <c r="F126" s="0" t="str">
        <f aca="false">INDEX('Product Master'!$C$2:$C$21,MATCH(D126,'Product Master'!$A$2:$A$21,0))</f>
        <v>Home Goods</v>
      </c>
      <c r="G126" s="15" t="n">
        <f aca="false">VALUE(TRIM('Raw Store Exports'!E126&amp;""))</f>
        <v>1</v>
      </c>
      <c r="H126" s="18" t="n">
        <f aca="false">INDEX('Product Master'!$D$2:$D$21,MATCH(D126,'Product Master'!$A$2:$A$21,0))</f>
        <v>38</v>
      </c>
      <c r="I126" s="14" t="n">
        <f aca="false">G126*H126</f>
        <v>38</v>
      </c>
      <c r="J126" s="0" t="str">
        <f aca="false">IF(COUNTIF($A$2:A126,A126)&gt;1,"Duplicate","")</f>
        <v/>
      </c>
    </row>
    <row r="127" customFormat="false" ht="15" hidden="false" customHeight="false" outlineLevel="0" collapsed="false">
      <c r="A127" s="0" t="str">
        <f aca="false">'Raw Store Exports'!A127</f>
        <v>TXN00829</v>
      </c>
      <c r="B127" s="17" t="n">
        <f aca="false">'Raw Store Exports'!C127</f>
        <v>46066</v>
      </c>
      <c r="C127" s="0" t="str">
        <f aca="false">INDEX('Store Mapping'!$C$2:$C$19,MATCH(TRIM('Raw Store Exports'!B127),'Store Mapping'!$A$2:$A$19,0))</f>
        <v>Northpark</v>
      </c>
      <c r="D127" s="0" t="str">
        <f aca="false">'Raw Store Exports'!D127</f>
        <v>HOM-504</v>
      </c>
      <c r="E127" s="0" t="str">
        <f aca="false">INDEX('Product Master'!$B$2:$B$21,MATCH(D127,'Product Master'!$A$2:$A$21,0))</f>
        <v>Bamboo Cutting Board</v>
      </c>
      <c r="F127" s="0" t="str">
        <f aca="false">INDEX('Product Master'!$C$2:$C$21,MATCH(D127,'Product Master'!$A$2:$A$21,0))</f>
        <v>Home Goods</v>
      </c>
      <c r="G127" s="15" t="n">
        <f aca="false">VALUE(TRIM('Raw Store Exports'!E127&amp;""))</f>
        <v>3</v>
      </c>
      <c r="H127" s="18" t="n">
        <f aca="false">INDEX('Product Master'!$D$2:$D$21,MATCH(D127,'Product Master'!$A$2:$A$21,0))</f>
        <v>27</v>
      </c>
      <c r="I127" s="14" t="n">
        <f aca="false">G127*H127</f>
        <v>81</v>
      </c>
      <c r="J127" s="0" t="str">
        <f aca="false">IF(COUNTIF($A$2:A127,A127)&gt;1,"Duplicate","")</f>
        <v/>
      </c>
    </row>
    <row r="128" customFormat="false" ht="15" hidden="false" customHeight="false" outlineLevel="0" collapsed="false">
      <c r="A128" s="0" t="str">
        <f aca="false">'Raw Store Exports'!A128</f>
        <v>TXN00738</v>
      </c>
      <c r="B128" s="17" t="n">
        <f aca="false">'Raw Store Exports'!C128</f>
        <v>46056</v>
      </c>
      <c r="C128" s="0" t="str">
        <f aca="false">INDEX('Store Mapping'!$C$2:$C$19,MATCH(TRIM('Raw Store Exports'!B128),'Store Mapping'!$A$2:$A$19,0))</f>
        <v>Airport Plaza</v>
      </c>
      <c r="D128" s="0" t="str">
        <f aca="false">'Raw Store Exports'!D128</f>
        <v>ACC-304</v>
      </c>
      <c r="E128" s="0" t="str">
        <f aca="false">INDEX('Product Master'!$B$2:$B$21,MATCH(D128,'Product Master'!$A$2:$A$21,0))</f>
        <v>Wool Beanie</v>
      </c>
      <c r="F128" s="0" t="str">
        <f aca="false">INDEX('Product Master'!$C$2:$C$21,MATCH(D128,'Product Master'!$A$2:$A$21,0))</f>
        <v>Accessories</v>
      </c>
      <c r="G128" s="15" t="n">
        <f aca="false">VALUE(TRIM('Raw Store Exports'!E128&amp;""))</f>
        <v>4</v>
      </c>
      <c r="H128" s="18" t="n">
        <f aca="false">INDEX('Product Master'!$D$2:$D$21,MATCH(D128,'Product Master'!$A$2:$A$21,0))</f>
        <v>16</v>
      </c>
      <c r="I128" s="14" t="n">
        <f aca="false">G128*H128</f>
        <v>64</v>
      </c>
      <c r="J128" s="0" t="str">
        <f aca="false">IF(COUNTIF($A$2:A128,A128)&gt;1,"Duplicate","")</f>
        <v/>
      </c>
    </row>
    <row r="129" customFormat="false" ht="15" hidden="false" customHeight="false" outlineLevel="0" collapsed="false">
      <c r="A129" s="0" t="str">
        <f aca="false">'Raw Store Exports'!A129</f>
        <v>TXN01129</v>
      </c>
      <c r="B129" s="17" t="n">
        <f aca="false">'Raw Store Exports'!C129</f>
        <v>46078</v>
      </c>
      <c r="C129" s="0" t="str">
        <f aca="false">INDEX('Store Mapping'!$C$2:$C$19,MATCH(TRIM('Raw Store Exports'!B129),'Store Mapping'!$A$2:$A$19,0))</f>
        <v>Northpark</v>
      </c>
      <c r="D129" s="0" t="str">
        <f aca="false">'Raw Store Exports'!D129</f>
        <v>ACC-303</v>
      </c>
      <c r="E129" s="0" t="str">
        <f aca="false">INDEX('Product Master'!$B$2:$B$21,MATCH(D129,'Product Master'!$A$2:$A$21,0))</f>
        <v>Canvas Tote Bag</v>
      </c>
      <c r="F129" s="0" t="str">
        <f aca="false">INDEX('Product Master'!$C$2:$C$21,MATCH(D129,'Product Master'!$A$2:$A$21,0))</f>
        <v>Accessories</v>
      </c>
      <c r="G129" s="15" t="n">
        <f aca="false">VALUE(TRIM('Raw Store Exports'!E129&amp;""))</f>
        <v>6</v>
      </c>
      <c r="H129" s="18" t="n">
        <f aca="false">INDEX('Product Master'!$D$2:$D$21,MATCH(D129,'Product Master'!$A$2:$A$21,0))</f>
        <v>24</v>
      </c>
      <c r="I129" s="14" t="n">
        <f aca="false">G129*H129</f>
        <v>144</v>
      </c>
      <c r="J129" s="0" t="str">
        <f aca="false">IF(COUNTIF($A$2:A129,A129)&gt;1,"Duplicate","")</f>
        <v/>
      </c>
    </row>
    <row r="130" customFormat="false" ht="15" hidden="false" customHeight="false" outlineLevel="0" collapsed="false">
      <c r="A130" s="0" t="str">
        <f aca="false">'Raw Store Exports'!A130</f>
        <v>TXN01053</v>
      </c>
      <c r="B130" s="17" t="n">
        <f aca="false">'Raw Store Exports'!C130</f>
        <v>46081</v>
      </c>
      <c r="C130" s="0" t="str">
        <f aca="false">INDEX('Store Mapping'!$C$2:$C$19,MATCH(TRIM('Raw Store Exports'!B130),'Store Mapping'!$A$2:$A$19,0))</f>
        <v>Downtown</v>
      </c>
      <c r="D130" s="0" t="str">
        <f aca="false">'Raw Store Exports'!D130</f>
        <v>HOM-501</v>
      </c>
      <c r="E130" s="0" t="str">
        <f aca="false">INDEX('Product Master'!$B$2:$B$21,MATCH(D130,'Product Master'!$A$2:$A$21,0))</f>
        <v>Ceramic Coffee Mug Set</v>
      </c>
      <c r="F130" s="0" t="str">
        <f aca="false">INDEX('Product Master'!$C$2:$C$21,MATCH(D130,'Product Master'!$A$2:$A$21,0))</f>
        <v>Home Goods</v>
      </c>
      <c r="G130" s="15" t="n">
        <f aca="false">VALUE(TRIM('Raw Store Exports'!E130&amp;""))</f>
        <v>1</v>
      </c>
      <c r="H130" s="18" t="n">
        <f aca="false">INDEX('Product Master'!$D$2:$D$21,MATCH(D130,'Product Master'!$A$2:$A$21,0))</f>
        <v>22</v>
      </c>
      <c r="I130" s="14" t="n">
        <f aca="false">G130*H130</f>
        <v>22</v>
      </c>
      <c r="J130" s="0" t="str">
        <f aca="false">IF(COUNTIF($A$2:A130,A130)&gt;1,"Duplicate","")</f>
        <v/>
      </c>
    </row>
    <row r="131" customFormat="false" ht="15" hidden="false" customHeight="false" outlineLevel="0" collapsed="false">
      <c r="A131" s="0" t="str">
        <f aca="false">'Raw Store Exports'!A131</f>
        <v>TXN00677</v>
      </c>
      <c r="B131" s="17" t="n">
        <f aca="false">'Raw Store Exports'!C131</f>
        <v>46061</v>
      </c>
      <c r="C131" s="0" t="str">
        <f aca="false">INDEX('Store Mapping'!$C$2:$C$19,MATCH(TRIM('Raw Store Exports'!B131),'Store Mapping'!$A$2:$A$19,0))</f>
        <v>Northpark</v>
      </c>
      <c r="D131" s="0" t="str">
        <f aca="false">'Raw Store Exports'!D131</f>
        <v>ELE-401</v>
      </c>
      <c r="E131" s="0" t="str">
        <f aca="false">INDEX('Product Master'!$B$2:$B$21,MATCH(D131,'Product Master'!$A$2:$A$21,0))</f>
        <v>Wireless Earbuds</v>
      </c>
      <c r="F131" s="0" t="str">
        <f aca="false">INDEX('Product Master'!$C$2:$C$21,MATCH(D131,'Product Master'!$A$2:$A$21,0))</f>
        <v>Electronics</v>
      </c>
      <c r="G131" s="15" t="n">
        <f aca="false">VALUE(TRIM('Raw Store Exports'!E131&amp;""))</f>
        <v>5</v>
      </c>
      <c r="H131" s="18" t="n">
        <f aca="false">INDEX('Product Master'!$D$2:$D$21,MATCH(D131,'Product Master'!$A$2:$A$21,0))</f>
        <v>79</v>
      </c>
      <c r="I131" s="14" t="n">
        <f aca="false">G131*H131</f>
        <v>395</v>
      </c>
      <c r="J131" s="0" t="str">
        <f aca="false">IF(COUNTIF($A$2:A131,A131)&gt;1,"Duplicate","")</f>
        <v/>
      </c>
    </row>
    <row r="132" customFormat="false" ht="15" hidden="false" customHeight="false" outlineLevel="0" collapsed="false">
      <c r="A132" s="0" t="str">
        <f aca="false">'Raw Store Exports'!A132</f>
        <v>TXN00125</v>
      </c>
      <c r="B132" s="17" t="n">
        <f aca="false">'Raw Store Exports'!C132</f>
        <v>46027</v>
      </c>
      <c r="C132" s="0" t="str">
        <f aca="false">INDEX('Store Mapping'!$C$2:$C$19,MATCH(TRIM('Raw Store Exports'!B132),'Store Mapping'!$A$2:$A$19,0))</f>
        <v>Airport Plaza</v>
      </c>
      <c r="D132" s="0" t="str">
        <f aca="false">'Raw Store Exports'!D132</f>
        <v>ELE-401</v>
      </c>
      <c r="E132" s="0" t="str">
        <f aca="false">INDEX('Product Master'!$B$2:$B$21,MATCH(D132,'Product Master'!$A$2:$A$21,0))</f>
        <v>Wireless Earbuds</v>
      </c>
      <c r="F132" s="0" t="str">
        <f aca="false">INDEX('Product Master'!$C$2:$C$21,MATCH(D132,'Product Master'!$A$2:$A$21,0))</f>
        <v>Electronics</v>
      </c>
      <c r="G132" s="15" t="n">
        <f aca="false">VALUE(TRIM('Raw Store Exports'!E132&amp;""))</f>
        <v>6</v>
      </c>
      <c r="H132" s="18" t="n">
        <f aca="false">INDEX('Product Master'!$D$2:$D$21,MATCH(D132,'Product Master'!$A$2:$A$21,0))</f>
        <v>79</v>
      </c>
      <c r="I132" s="14" t="n">
        <f aca="false">G132*H132</f>
        <v>474</v>
      </c>
      <c r="J132" s="0" t="str">
        <f aca="false">IF(COUNTIF($A$2:A132,A132)&gt;1,"Duplicate","")</f>
        <v/>
      </c>
    </row>
    <row r="133" customFormat="false" ht="15" hidden="false" customHeight="false" outlineLevel="0" collapsed="false">
      <c r="A133" s="0" t="str">
        <f aca="false">'Raw Store Exports'!A133</f>
        <v>TXN00756</v>
      </c>
      <c r="B133" s="17" t="n">
        <f aca="false">'Raw Store Exports'!C133</f>
        <v>46067</v>
      </c>
      <c r="C133" s="0" t="str">
        <f aca="false">INDEX('Store Mapping'!$C$2:$C$19,MATCH(TRIM('Raw Store Exports'!B133),'Store Mapping'!$A$2:$A$19,0))</f>
        <v>Downtown</v>
      </c>
      <c r="D133" s="0" t="str">
        <f aca="false">'Raw Store Exports'!D133</f>
        <v>APP-102</v>
      </c>
      <c r="E133" s="0" t="str">
        <f aca="false">INDEX('Product Master'!$B$2:$B$21,MATCH(D133,'Product Master'!$A$2:$A$21,0))</f>
        <v>Cotton Crew T-Shirt</v>
      </c>
      <c r="F133" s="0" t="str">
        <f aca="false">INDEX('Product Master'!$C$2:$C$21,MATCH(D133,'Product Master'!$A$2:$A$21,0))</f>
        <v>Apparel</v>
      </c>
      <c r="G133" s="15" t="n">
        <f aca="false">VALUE(TRIM('Raw Store Exports'!E133&amp;""))</f>
        <v>6</v>
      </c>
      <c r="H133" s="18" t="n">
        <f aca="false">INDEX('Product Master'!$D$2:$D$21,MATCH(D133,'Product Master'!$A$2:$A$21,0))</f>
        <v>18</v>
      </c>
      <c r="I133" s="14" t="n">
        <f aca="false">G133*H133</f>
        <v>108</v>
      </c>
      <c r="J133" s="0" t="str">
        <f aca="false">IF(COUNTIF($A$2:A133,A133)&gt;1,"Duplicate","")</f>
        <v/>
      </c>
    </row>
    <row r="134" customFormat="false" ht="15" hidden="false" customHeight="false" outlineLevel="0" collapsed="false">
      <c r="A134" s="0" t="str">
        <f aca="false">'Raw Store Exports'!A134</f>
        <v>TXN00727</v>
      </c>
      <c r="B134" s="17" t="n">
        <f aca="false">'Raw Store Exports'!C134</f>
        <v>46055</v>
      </c>
      <c r="C134" s="0" t="str">
        <f aca="false">INDEX('Store Mapping'!$C$2:$C$19,MATCH(TRIM('Raw Store Exports'!B134),'Store Mapping'!$A$2:$A$19,0))</f>
        <v>Airport Plaza</v>
      </c>
      <c r="D134" s="0" t="str">
        <f aca="false">'Raw Store Exports'!D134</f>
        <v>APP-101</v>
      </c>
      <c r="E134" s="0" t="str">
        <f aca="false">INDEX('Product Master'!$B$2:$B$21,MATCH(D134,'Product Master'!$A$2:$A$21,0))</f>
        <v>Classic Denim Jacket</v>
      </c>
      <c r="F134" s="0" t="str">
        <f aca="false">INDEX('Product Master'!$C$2:$C$21,MATCH(D134,'Product Master'!$A$2:$A$21,0))</f>
        <v>Apparel</v>
      </c>
      <c r="G134" s="15" t="n">
        <f aca="false">VALUE(TRIM('Raw Store Exports'!E134&amp;""))</f>
        <v>6</v>
      </c>
      <c r="H134" s="18" t="n">
        <f aca="false">INDEX('Product Master'!$D$2:$D$21,MATCH(D134,'Product Master'!$A$2:$A$21,0))</f>
        <v>68</v>
      </c>
      <c r="I134" s="14" t="n">
        <f aca="false">G134*H134</f>
        <v>408</v>
      </c>
      <c r="J134" s="0" t="str">
        <f aca="false">IF(COUNTIF($A$2:A134,A134)&gt;1,"Duplicate","")</f>
        <v/>
      </c>
    </row>
    <row r="135" customFormat="false" ht="15" hidden="false" customHeight="false" outlineLevel="0" collapsed="false">
      <c r="A135" s="0" t="str">
        <f aca="false">'Raw Store Exports'!A135</f>
        <v>TXN00201</v>
      </c>
      <c r="B135" s="17" t="n">
        <f aca="false">'Raw Store Exports'!C135</f>
        <v>46037</v>
      </c>
      <c r="C135" s="0" t="str">
        <f aca="false">INDEX('Store Mapping'!$C$2:$C$19,MATCH(TRIM('Raw Store Exports'!B135),'Store Mapping'!$A$2:$A$19,0))</f>
        <v>Northpark</v>
      </c>
      <c r="D135" s="0" t="str">
        <f aca="false">'Raw Store Exports'!D135</f>
        <v>HOM-504</v>
      </c>
      <c r="E135" s="0" t="str">
        <f aca="false">INDEX('Product Master'!$B$2:$B$21,MATCH(D135,'Product Master'!$A$2:$A$21,0))</f>
        <v>Bamboo Cutting Board</v>
      </c>
      <c r="F135" s="0" t="str">
        <f aca="false">INDEX('Product Master'!$C$2:$C$21,MATCH(D135,'Product Master'!$A$2:$A$21,0))</f>
        <v>Home Goods</v>
      </c>
      <c r="G135" s="15" t="n">
        <f aca="false">VALUE(TRIM('Raw Store Exports'!E135&amp;""))</f>
        <v>4</v>
      </c>
      <c r="H135" s="18" t="n">
        <f aca="false">INDEX('Product Master'!$D$2:$D$21,MATCH(D135,'Product Master'!$A$2:$A$21,0))</f>
        <v>27</v>
      </c>
      <c r="I135" s="14" t="n">
        <f aca="false">G135*H135</f>
        <v>108</v>
      </c>
      <c r="J135" s="0" t="str">
        <f aca="false">IF(COUNTIF($A$2:A135,A135)&gt;1,"Duplicate","")</f>
        <v/>
      </c>
    </row>
    <row r="136" customFormat="false" ht="15" hidden="false" customHeight="false" outlineLevel="0" collapsed="false">
      <c r="A136" s="0" t="str">
        <f aca="false">'Raw Store Exports'!A136</f>
        <v>TXN00718</v>
      </c>
      <c r="B136" s="17" t="n">
        <f aca="false">'Raw Store Exports'!C136</f>
        <v>46056</v>
      </c>
      <c r="C136" s="0" t="str">
        <f aca="false">INDEX('Store Mapping'!$C$2:$C$19,MATCH(TRIM('Raw Store Exports'!B136),'Store Mapping'!$A$2:$A$19,0))</f>
        <v>Riverside</v>
      </c>
      <c r="D136" s="0" t="str">
        <f aca="false">'Raw Store Exports'!D136</f>
        <v>ACC-302</v>
      </c>
      <c r="E136" s="0" t="str">
        <f aca="false">INDEX('Product Master'!$B$2:$B$21,MATCH(D136,'Product Master'!$A$2:$A$21,0))</f>
        <v>Aviator Sunglasses</v>
      </c>
      <c r="F136" s="0" t="str">
        <f aca="false">INDEX('Product Master'!$C$2:$C$21,MATCH(D136,'Product Master'!$A$2:$A$21,0))</f>
        <v>Accessories</v>
      </c>
      <c r="G136" s="15" t="n">
        <f aca="false">VALUE(TRIM('Raw Store Exports'!E136&amp;""))</f>
        <v>1</v>
      </c>
      <c r="H136" s="18" t="n">
        <f aca="false">INDEX('Product Master'!$D$2:$D$21,MATCH(D136,'Product Master'!$A$2:$A$21,0))</f>
        <v>42</v>
      </c>
      <c r="I136" s="14" t="n">
        <f aca="false">G136*H136</f>
        <v>42</v>
      </c>
      <c r="J136" s="0" t="str">
        <f aca="false">IF(COUNTIF($A$2:A136,A136)&gt;1,"Duplicate","")</f>
        <v/>
      </c>
    </row>
    <row r="137" customFormat="false" ht="15" hidden="false" customHeight="false" outlineLevel="0" collapsed="false">
      <c r="A137" s="0" t="str">
        <f aca="false">'Raw Store Exports'!A137</f>
        <v>TXN00782</v>
      </c>
      <c r="B137" s="17" t="n">
        <f aca="false">'Raw Store Exports'!C137</f>
        <v>46062</v>
      </c>
      <c r="C137" s="0" t="str">
        <f aca="false">INDEX('Store Mapping'!$C$2:$C$19,MATCH(TRIM('Raw Store Exports'!B137),'Store Mapping'!$A$2:$A$19,0))</f>
        <v>Westside Mall</v>
      </c>
      <c r="D137" s="0" t="str">
        <f aca="false">'Raw Store Exports'!D137</f>
        <v>HOM-502</v>
      </c>
      <c r="E137" s="0" t="str">
        <f aca="false">INDEX('Product Master'!$B$2:$B$21,MATCH(D137,'Product Master'!$A$2:$A$21,0))</f>
        <v>Scented Candle</v>
      </c>
      <c r="F137" s="0" t="str">
        <f aca="false">INDEX('Product Master'!$C$2:$C$21,MATCH(D137,'Product Master'!$A$2:$A$21,0))</f>
        <v>Home Goods</v>
      </c>
      <c r="G137" s="15" t="n">
        <f aca="false">VALUE(TRIM('Raw Store Exports'!E137&amp;""))</f>
        <v>5</v>
      </c>
      <c r="H137" s="18" t="n">
        <f aca="false">INDEX('Product Master'!$D$2:$D$21,MATCH(D137,'Product Master'!$A$2:$A$21,0))</f>
        <v>15</v>
      </c>
      <c r="I137" s="14" t="n">
        <f aca="false">G137*H137</f>
        <v>75</v>
      </c>
      <c r="J137" s="0" t="str">
        <f aca="false">IF(COUNTIF($A$2:A137,A137)&gt;1,"Duplicate","")</f>
        <v/>
      </c>
    </row>
    <row r="138" customFormat="false" ht="15" hidden="false" customHeight="false" outlineLevel="0" collapsed="false">
      <c r="A138" s="0" t="str">
        <f aca="false">'Raw Store Exports'!A138</f>
        <v>TXN00115</v>
      </c>
      <c r="B138" s="17" t="n">
        <f aca="false">'Raw Store Exports'!C138</f>
        <v>46029</v>
      </c>
      <c r="C138" s="0" t="str">
        <f aca="false">INDEX('Store Mapping'!$C$2:$C$19,MATCH(TRIM('Raw Store Exports'!B138),'Store Mapping'!$A$2:$A$19,0))</f>
        <v>Riverside</v>
      </c>
      <c r="D138" s="0" t="str">
        <f aca="false">'Raw Store Exports'!D138</f>
        <v>FTW-204</v>
      </c>
      <c r="E138" s="0" t="str">
        <f aca="false">INDEX('Product Master'!$B$2:$B$21,MATCH(D138,'Product Master'!$A$2:$A$21,0))</f>
        <v>Slide Sandals</v>
      </c>
      <c r="F138" s="0" t="str">
        <f aca="false">INDEX('Product Master'!$C$2:$C$21,MATCH(D138,'Product Master'!$A$2:$A$21,0))</f>
        <v>Footwear</v>
      </c>
      <c r="G138" s="15" t="n">
        <f aca="false">VALUE(TRIM('Raw Store Exports'!E138&amp;""))</f>
        <v>6</v>
      </c>
      <c r="H138" s="18" t="n">
        <f aca="false">INDEX('Product Master'!$D$2:$D$21,MATCH(D138,'Product Master'!$A$2:$A$21,0))</f>
        <v>25</v>
      </c>
      <c r="I138" s="14" t="n">
        <f aca="false">G138*H138</f>
        <v>150</v>
      </c>
      <c r="J138" s="0" t="str">
        <f aca="false">IF(COUNTIF($A$2:A138,A138)&gt;1,"Duplicate","")</f>
        <v/>
      </c>
    </row>
    <row r="139" customFormat="false" ht="15" hidden="false" customHeight="false" outlineLevel="0" collapsed="false">
      <c r="A139" s="0" t="str">
        <f aca="false">'Raw Store Exports'!A139</f>
        <v>TXN00711</v>
      </c>
      <c r="B139" s="17" t="n">
        <f aca="false">'Raw Store Exports'!C139</f>
        <v>46055</v>
      </c>
      <c r="C139" s="0" t="str">
        <f aca="false">INDEX('Store Mapping'!$C$2:$C$19,MATCH(TRIM('Raw Store Exports'!B139),'Store Mapping'!$A$2:$A$19,0))</f>
        <v>Riverside</v>
      </c>
      <c r="D139" s="0" t="str">
        <f aca="false">'Raw Store Exports'!D139</f>
        <v>ACC-302</v>
      </c>
      <c r="E139" s="0" t="str">
        <f aca="false">INDEX('Product Master'!$B$2:$B$21,MATCH(D139,'Product Master'!$A$2:$A$21,0))</f>
        <v>Aviator Sunglasses</v>
      </c>
      <c r="F139" s="0" t="str">
        <f aca="false">INDEX('Product Master'!$C$2:$C$21,MATCH(D139,'Product Master'!$A$2:$A$21,0))</f>
        <v>Accessories</v>
      </c>
      <c r="G139" s="15" t="n">
        <f aca="false">VALUE(TRIM('Raw Store Exports'!E139&amp;""))</f>
        <v>2</v>
      </c>
      <c r="H139" s="18" t="n">
        <f aca="false">INDEX('Product Master'!$D$2:$D$21,MATCH(D139,'Product Master'!$A$2:$A$21,0))</f>
        <v>42</v>
      </c>
      <c r="I139" s="14" t="n">
        <f aca="false">G139*H139</f>
        <v>84</v>
      </c>
      <c r="J139" s="0" t="str">
        <f aca="false">IF(COUNTIF($A$2:A139,A139)&gt;1,"Duplicate","")</f>
        <v/>
      </c>
    </row>
    <row r="140" customFormat="false" ht="15" hidden="false" customHeight="false" outlineLevel="0" collapsed="false">
      <c r="A140" s="0" t="str">
        <f aca="false">'Raw Store Exports'!A140</f>
        <v>TXN00981</v>
      </c>
      <c r="B140" s="17" t="n">
        <f aca="false">'Raw Store Exports'!C140</f>
        <v>46069</v>
      </c>
      <c r="C140" s="0" t="str">
        <f aca="false">INDEX('Store Mapping'!$C$2:$C$19,MATCH(TRIM('Raw Store Exports'!B140),'Store Mapping'!$A$2:$A$19,0))</f>
        <v>Northpark</v>
      </c>
      <c r="D140" s="0" t="str">
        <f aca="false">'Raw Store Exports'!D140</f>
        <v>APP-101</v>
      </c>
      <c r="E140" s="0" t="str">
        <f aca="false">INDEX('Product Master'!$B$2:$B$21,MATCH(D140,'Product Master'!$A$2:$A$21,0))</f>
        <v>Classic Denim Jacket</v>
      </c>
      <c r="F140" s="0" t="str">
        <f aca="false">INDEX('Product Master'!$C$2:$C$21,MATCH(D140,'Product Master'!$A$2:$A$21,0))</f>
        <v>Apparel</v>
      </c>
      <c r="G140" s="15" t="n">
        <f aca="false">VALUE(TRIM('Raw Store Exports'!E140&amp;""))</f>
        <v>6</v>
      </c>
      <c r="H140" s="18" t="n">
        <f aca="false">INDEX('Product Master'!$D$2:$D$21,MATCH(D140,'Product Master'!$A$2:$A$21,0))</f>
        <v>68</v>
      </c>
      <c r="I140" s="14" t="n">
        <f aca="false">G140*H140</f>
        <v>408</v>
      </c>
      <c r="J140" s="0" t="str">
        <f aca="false">IF(COUNTIF($A$2:A140,A140)&gt;1,"Duplicate","")</f>
        <v/>
      </c>
    </row>
    <row r="141" customFormat="false" ht="15" hidden="false" customHeight="false" outlineLevel="0" collapsed="false">
      <c r="A141" s="0" t="str">
        <f aca="false">'Raw Store Exports'!A141</f>
        <v>TXN00723</v>
      </c>
      <c r="B141" s="17" t="n">
        <f aca="false">'Raw Store Exports'!C141</f>
        <v>46058</v>
      </c>
      <c r="C141" s="0" t="str">
        <f aca="false">INDEX('Store Mapping'!$C$2:$C$19,MATCH(TRIM('Raw Store Exports'!B141),'Store Mapping'!$A$2:$A$19,0))</f>
        <v>Riverside</v>
      </c>
      <c r="D141" s="0" t="str">
        <f aca="false">'Raw Store Exports'!D141</f>
        <v>ELE-402</v>
      </c>
      <c r="E141" s="0" t="str">
        <f aca="false">INDEX('Product Master'!$B$2:$B$21,MATCH(D141,'Product Master'!$A$2:$A$21,0))</f>
        <v>Bluetooth Speaker</v>
      </c>
      <c r="F141" s="0" t="str">
        <f aca="false">INDEX('Product Master'!$C$2:$C$21,MATCH(D141,'Product Master'!$A$2:$A$21,0))</f>
        <v>Electronics</v>
      </c>
      <c r="G141" s="15" t="n">
        <f aca="false">VALUE(TRIM('Raw Store Exports'!E141&amp;""))</f>
        <v>3</v>
      </c>
      <c r="H141" s="18" t="n">
        <f aca="false">INDEX('Product Master'!$D$2:$D$21,MATCH(D141,'Product Master'!$A$2:$A$21,0))</f>
        <v>59</v>
      </c>
      <c r="I141" s="14" t="n">
        <f aca="false">G141*H141</f>
        <v>177</v>
      </c>
      <c r="J141" s="0" t="str">
        <f aca="false">IF(COUNTIF($A$2:A141,A141)&gt;1,"Duplicate","")</f>
        <v/>
      </c>
    </row>
    <row r="142" customFormat="false" ht="15" hidden="false" customHeight="false" outlineLevel="0" collapsed="false">
      <c r="A142" s="0" t="str">
        <f aca="false">'Raw Store Exports'!A142</f>
        <v>TXN00040</v>
      </c>
      <c r="B142" s="17" t="n">
        <f aca="false">'Raw Store Exports'!C142</f>
        <v>46029</v>
      </c>
      <c r="C142" s="0" t="str">
        <f aca="false">INDEX('Store Mapping'!$C$2:$C$19,MATCH(TRIM('Raw Store Exports'!B142),'Store Mapping'!$A$2:$A$19,0))</f>
        <v>Westside Mall</v>
      </c>
      <c r="D142" s="0" t="str">
        <f aca="false">'Raw Store Exports'!D142</f>
        <v>ELE-402</v>
      </c>
      <c r="E142" s="0" t="str">
        <f aca="false">INDEX('Product Master'!$B$2:$B$21,MATCH(D142,'Product Master'!$A$2:$A$21,0))</f>
        <v>Bluetooth Speaker</v>
      </c>
      <c r="F142" s="0" t="str">
        <f aca="false">INDEX('Product Master'!$C$2:$C$21,MATCH(D142,'Product Master'!$A$2:$A$21,0))</f>
        <v>Electronics</v>
      </c>
      <c r="G142" s="15" t="n">
        <f aca="false">VALUE(TRIM('Raw Store Exports'!E142&amp;""))</f>
        <v>6</v>
      </c>
      <c r="H142" s="18" t="n">
        <f aca="false">INDEX('Product Master'!$D$2:$D$21,MATCH(D142,'Product Master'!$A$2:$A$21,0))</f>
        <v>59</v>
      </c>
      <c r="I142" s="14" t="n">
        <f aca="false">G142*H142</f>
        <v>354</v>
      </c>
      <c r="J142" s="0" t="str">
        <f aca="false">IF(COUNTIF($A$2:A142,A142)&gt;1,"Duplicate","")</f>
        <v/>
      </c>
    </row>
    <row r="143" customFormat="false" ht="15" hidden="false" customHeight="false" outlineLevel="0" collapsed="false">
      <c r="A143" s="0" t="str">
        <f aca="false">'Raw Store Exports'!A143</f>
        <v>TXN00445</v>
      </c>
      <c r="B143" s="17" t="n">
        <f aca="false">'Raw Store Exports'!C143</f>
        <v>46054</v>
      </c>
      <c r="C143" s="0" t="str">
        <f aca="false">INDEX('Store Mapping'!$C$2:$C$19,MATCH(TRIM('Raw Store Exports'!B143),'Store Mapping'!$A$2:$A$19,0))</f>
        <v>Downtown</v>
      </c>
      <c r="D143" s="0" t="str">
        <f aca="false">'Raw Store Exports'!D143</f>
        <v>ACC-301</v>
      </c>
      <c r="E143" s="0" t="str">
        <f aca="false">INDEX('Product Master'!$B$2:$B$21,MATCH(D143,'Product Master'!$A$2:$A$21,0))</f>
        <v>Leather Belt</v>
      </c>
      <c r="F143" s="0" t="str">
        <f aca="false">INDEX('Product Master'!$C$2:$C$21,MATCH(D143,'Product Master'!$A$2:$A$21,0))</f>
        <v>Accessories</v>
      </c>
      <c r="G143" s="15" t="n">
        <f aca="false">VALUE(TRIM('Raw Store Exports'!E143&amp;""))</f>
        <v>5</v>
      </c>
      <c r="H143" s="18" t="n">
        <f aca="false">INDEX('Product Master'!$D$2:$D$21,MATCH(D143,'Product Master'!$A$2:$A$21,0))</f>
        <v>30</v>
      </c>
      <c r="I143" s="14" t="n">
        <f aca="false">G143*H143</f>
        <v>150</v>
      </c>
      <c r="J143" s="0" t="str">
        <f aca="false">IF(COUNTIF($A$2:A143,A143)&gt;1,"Duplicate","")</f>
        <v/>
      </c>
    </row>
    <row r="144" customFormat="false" ht="15" hidden="false" customHeight="false" outlineLevel="0" collapsed="false">
      <c r="A144" s="0" t="str">
        <f aca="false">'Raw Store Exports'!A144</f>
        <v>TXN00400</v>
      </c>
      <c r="B144" s="17" t="n">
        <f aca="false">'Raw Store Exports'!C144</f>
        <v>46045</v>
      </c>
      <c r="C144" s="0" t="str">
        <f aca="false">INDEX('Store Mapping'!$C$2:$C$19,MATCH(TRIM('Raw Store Exports'!B144),'Store Mapping'!$A$2:$A$19,0))</f>
        <v>Airport Plaza</v>
      </c>
      <c r="D144" s="0" t="str">
        <f aca="false">'Raw Store Exports'!D144</f>
        <v>ACC-303</v>
      </c>
      <c r="E144" s="0" t="str">
        <f aca="false">INDEX('Product Master'!$B$2:$B$21,MATCH(D144,'Product Master'!$A$2:$A$21,0))</f>
        <v>Canvas Tote Bag</v>
      </c>
      <c r="F144" s="0" t="str">
        <f aca="false">INDEX('Product Master'!$C$2:$C$21,MATCH(D144,'Product Master'!$A$2:$A$21,0))</f>
        <v>Accessories</v>
      </c>
      <c r="G144" s="15" t="n">
        <f aca="false">VALUE(TRIM('Raw Store Exports'!E144&amp;""))</f>
        <v>5</v>
      </c>
      <c r="H144" s="18" t="n">
        <f aca="false">INDEX('Product Master'!$D$2:$D$21,MATCH(D144,'Product Master'!$A$2:$A$21,0))</f>
        <v>24</v>
      </c>
      <c r="I144" s="14" t="n">
        <f aca="false">G144*H144</f>
        <v>120</v>
      </c>
      <c r="J144" s="0" t="str">
        <f aca="false">IF(COUNTIF($A$2:A144,A144)&gt;1,"Duplicate","")</f>
        <v/>
      </c>
    </row>
    <row r="145" customFormat="false" ht="15" hidden="false" customHeight="false" outlineLevel="0" collapsed="false">
      <c r="A145" s="0" t="str">
        <f aca="false">'Raw Store Exports'!A145</f>
        <v>TXN00849</v>
      </c>
      <c r="B145" s="17" t="n">
        <f aca="false">'Raw Store Exports'!C145</f>
        <v>46067</v>
      </c>
      <c r="C145" s="0" t="str">
        <f aca="false">INDEX('Store Mapping'!$C$2:$C$19,MATCH(TRIM('Raw Store Exports'!B145),'Store Mapping'!$A$2:$A$19,0))</f>
        <v>Northpark</v>
      </c>
      <c r="D145" s="0" t="str">
        <f aca="false">'Raw Store Exports'!D145</f>
        <v>ACC-303</v>
      </c>
      <c r="E145" s="0" t="str">
        <f aca="false">INDEX('Product Master'!$B$2:$B$21,MATCH(D145,'Product Master'!$A$2:$A$21,0))</f>
        <v>Canvas Tote Bag</v>
      </c>
      <c r="F145" s="0" t="str">
        <f aca="false">INDEX('Product Master'!$C$2:$C$21,MATCH(D145,'Product Master'!$A$2:$A$21,0))</f>
        <v>Accessories</v>
      </c>
      <c r="G145" s="15" t="n">
        <f aca="false">VALUE(TRIM('Raw Store Exports'!E145&amp;""))</f>
        <v>2</v>
      </c>
      <c r="H145" s="18" t="n">
        <f aca="false">INDEX('Product Master'!$D$2:$D$21,MATCH(D145,'Product Master'!$A$2:$A$21,0))</f>
        <v>24</v>
      </c>
      <c r="I145" s="14" t="n">
        <f aca="false">G145*H145</f>
        <v>48</v>
      </c>
      <c r="J145" s="0" t="str">
        <f aca="false">IF(COUNTIF($A$2:A145,A145)&gt;1,"Duplicate","")</f>
        <v/>
      </c>
    </row>
    <row r="146" customFormat="false" ht="15" hidden="false" customHeight="false" outlineLevel="0" collapsed="false">
      <c r="A146" s="0" t="str">
        <f aca="false">'Raw Store Exports'!A146</f>
        <v>TXN01173</v>
      </c>
      <c r="B146" s="17" t="n">
        <f aca="false">'Raw Store Exports'!C146</f>
        <v>46076</v>
      </c>
      <c r="C146" s="0" t="str">
        <f aca="false">INDEX('Store Mapping'!$C$2:$C$19,MATCH(TRIM('Raw Store Exports'!B146),'Store Mapping'!$A$2:$A$19,0))</f>
        <v>Riverside</v>
      </c>
      <c r="D146" s="0" t="str">
        <f aca="false">'Raw Store Exports'!D146</f>
        <v>HOM-502</v>
      </c>
      <c r="E146" s="0" t="str">
        <f aca="false">INDEX('Product Master'!$B$2:$B$21,MATCH(D146,'Product Master'!$A$2:$A$21,0))</f>
        <v>Scented Candle</v>
      </c>
      <c r="F146" s="0" t="str">
        <f aca="false">INDEX('Product Master'!$C$2:$C$21,MATCH(D146,'Product Master'!$A$2:$A$21,0))</f>
        <v>Home Goods</v>
      </c>
      <c r="G146" s="15" t="n">
        <f aca="false">VALUE(TRIM('Raw Store Exports'!E146&amp;""))</f>
        <v>6</v>
      </c>
      <c r="H146" s="18" t="n">
        <f aca="false">INDEX('Product Master'!$D$2:$D$21,MATCH(D146,'Product Master'!$A$2:$A$21,0))</f>
        <v>15</v>
      </c>
      <c r="I146" s="14" t="n">
        <f aca="false">G146*H146</f>
        <v>90</v>
      </c>
      <c r="J146" s="0" t="str">
        <f aca="false">IF(COUNTIF($A$2:A146,A146)&gt;1,"Duplicate","")</f>
        <v/>
      </c>
    </row>
    <row r="147" customFormat="false" ht="15" hidden="false" customHeight="false" outlineLevel="0" collapsed="false">
      <c r="A147" s="0" t="str">
        <f aca="false">'Raw Store Exports'!A147</f>
        <v>TXN00198</v>
      </c>
      <c r="B147" s="17" t="n">
        <f aca="false">'Raw Store Exports'!C147</f>
        <v>46040</v>
      </c>
      <c r="C147" s="0" t="str">
        <f aca="false">INDEX('Store Mapping'!$C$2:$C$19,MATCH(TRIM('Raw Store Exports'!B147),'Store Mapping'!$A$2:$A$19,0))</f>
        <v>Northpark</v>
      </c>
      <c r="D147" s="0" t="str">
        <f aca="false">'Raw Store Exports'!D147</f>
        <v>ELE-402</v>
      </c>
      <c r="E147" s="0" t="str">
        <f aca="false">INDEX('Product Master'!$B$2:$B$21,MATCH(D147,'Product Master'!$A$2:$A$21,0))</f>
        <v>Bluetooth Speaker</v>
      </c>
      <c r="F147" s="0" t="str">
        <f aca="false">INDEX('Product Master'!$C$2:$C$21,MATCH(D147,'Product Master'!$A$2:$A$21,0))</f>
        <v>Electronics</v>
      </c>
      <c r="G147" s="15" t="n">
        <f aca="false">VALUE(TRIM('Raw Store Exports'!E147&amp;""))</f>
        <v>2</v>
      </c>
      <c r="H147" s="18" t="n">
        <f aca="false">INDEX('Product Master'!$D$2:$D$21,MATCH(D147,'Product Master'!$A$2:$A$21,0))</f>
        <v>59</v>
      </c>
      <c r="I147" s="14" t="n">
        <f aca="false">G147*H147</f>
        <v>118</v>
      </c>
      <c r="J147" s="0" t="str">
        <f aca="false">IF(COUNTIF($A$2:A147,A147)&gt;1,"Duplicate","")</f>
        <v/>
      </c>
    </row>
    <row r="148" customFormat="false" ht="15" hidden="false" customHeight="false" outlineLevel="0" collapsed="false">
      <c r="A148" s="0" t="str">
        <f aca="false">'Raw Store Exports'!A148</f>
        <v>TXN00064</v>
      </c>
      <c r="B148" s="17" t="n">
        <f aca="false">'Raw Store Exports'!C148</f>
        <v>46027</v>
      </c>
      <c r="C148" s="0" t="str">
        <f aca="false">INDEX('Store Mapping'!$C$2:$C$19,MATCH(TRIM('Raw Store Exports'!B148),'Store Mapping'!$A$2:$A$19,0))</f>
        <v>Eastgate</v>
      </c>
      <c r="D148" s="0" t="str">
        <f aca="false">'Raw Store Exports'!D148</f>
        <v>APP-102</v>
      </c>
      <c r="E148" s="0" t="str">
        <f aca="false">INDEX('Product Master'!$B$2:$B$21,MATCH(D148,'Product Master'!$A$2:$A$21,0))</f>
        <v>Cotton Crew T-Shirt</v>
      </c>
      <c r="F148" s="0" t="str">
        <f aca="false">INDEX('Product Master'!$C$2:$C$21,MATCH(D148,'Product Master'!$A$2:$A$21,0))</f>
        <v>Apparel</v>
      </c>
      <c r="G148" s="15" t="n">
        <f aca="false">VALUE(TRIM('Raw Store Exports'!E148&amp;""))</f>
        <v>6</v>
      </c>
      <c r="H148" s="18" t="n">
        <f aca="false">INDEX('Product Master'!$D$2:$D$21,MATCH(D148,'Product Master'!$A$2:$A$21,0))</f>
        <v>18</v>
      </c>
      <c r="I148" s="14" t="n">
        <f aca="false">G148*H148</f>
        <v>108</v>
      </c>
      <c r="J148" s="0" t="str">
        <f aca="false">IF(COUNTIF($A$2:A148,A148)&gt;1,"Duplicate","")</f>
        <v/>
      </c>
    </row>
    <row r="149" customFormat="false" ht="15" hidden="false" customHeight="false" outlineLevel="0" collapsed="false">
      <c r="A149" s="0" t="str">
        <f aca="false">'Raw Store Exports'!A149</f>
        <v>TXN00141</v>
      </c>
      <c r="B149" s="17" t="n">
        <f aca="false">'Raw Store Exports'!C149</f>
        <v>46038</v>
      </c>
      <c r="C149" s="0" t="str">
        <f aca="false">INDEX('Store Mapping'!$C$2:$C$19,MATCH(TRIM('Raw Store Exports'!B149),'Store Mapping'!$A$2:$A$19,0))</f>
        <v>Downtown</v>
      </c>
      <c r="D149" s="0" t="str">
        <f aca="false">'Raw Store Exports'!D149</f>
        <v>HOM-503</v>
      </c>
      <c r="E149" s="0" t="str">
        <f aca="false">INDEX('Product Master'!$B$2:$B$21,MATCH(D149,'Product Master'!$A$2:$A$21,0))</f>
        <v>Cotton Throw Blanket</v>
      </c>
      <c r="F149" s="0" t="str">
        <f aca="false">INDEX('Product Master'!$C$2:$C$21,MATCH(D149,'Product Master'!$A$2:$A$21,0))</f>
        <v>Home Goods</v>
      </c>
      <c r="G149" s="15" t="n">
        <f aca="false">VALUE(TRIM('Raw Store Exports'!E149&amp;""))</f>
        <v>5</v>
      </c>
      <c r="H149" s="18" t="n">
        <f aca="false">INDEX('Product Master'!$D$2:$D$21,MATCH(D149,'Product Master'!$A$2:$A$21,0))</f>
        <v>38</v>
      </c>
      <c r="I149" s="14" t="n">
        <f aca="false">G149*H149</f>
        <v>190</v>
      </c>
      <c r="J149" s="0" t="str">
        <f aca="false">IF(COUNTIF($A$2:A149,A149)&gt;1,"Duplicate","")</f>
        <v/>
      </c>
    </row>
    <row r="150" customFormat="false" ht="15" hidden="false" customHeight="false" outlineLevel="0" collapsed="false">
      <c r="A150" s="0" t="str">
        <f aca="false">'Raw Store Exports'!A150</f>
        <v>TXN00096</v>
      </c>
      <c r="B150" s="17" t="n">
        <f aca="false">'Raw Store Exports'!C150</f>
        <v>46029</v>
      </c>
      <c r="C150" s="0" t="str">
        <f aca="false">INDEX('Store Mapping'!$C$2:$C$19,MATCH(TRIM('Raw Store Exports'!B150),'Store Mapping'!$A$2:$A$19,0))</f>
        <v>Northpark</v>
      </c>
      <c r="D150" s="0" t="str">
        <f aca="false">'Raw Store Exports'!D150</f>
        <v>FTW-204</v>
      </c>
      <c r="E150" s="0" t="str">
        <f aca="false">INDEX('Product Master'!$B$2:$B$21,MATCH(D150,'Product Master'!$A$2:$A$21,0))</f>
        <v>Slide Sandals</v>
      </c>
      <c r="F150" s="0" t="str">
        <f aca="false">INDEX('Product Master'!$C$2:$C$21,MATCH(D150,'Product Master'!$A$2:$A$21,0))</f>
        <v>Footwear</v>
      </c>
      <c r="G150" s="15" t="n">
        <f aca="false">VALUE(TRIM('Raw Store Exports'!E150&amp;""))</f>
        <v>5</v>
      </c>
      <c r="H150" s="18" t="n">
        <f aca="false">INDEX('Product Master'!$D$2:$D$21,MATCH(D150,'Product Master'!$A$2:$A$21,0))</f>
        <v>25</v>
      </c>
      <c r="I150" s="14" t="n">
        <f aca="false">G150*H150</f>
        <v>125</v>
      </c>
      <c r="J150" s="0" t="str">
        <f aca="false">IF(COUNTIF($A$2:A150,A150)&gt;1,"Duplicate","")</f>
        <v/>
      </c>
    </row>
    <row r="151" customFormat="false" ht="15" hidden="false" customHeight="false" outlineLevel="0" collapsed="false">
      <c r="A151" s="0" t="str">
        <f aca="false">'Raw Store Exports'!A151</f>
        <v>TXN00252</v>
      </c>
      <c r="B151" s="17" t="n">
        <f aca="false">'Raw Store Exports'!C151</f>
        <v>46039</v>
      </c>
      <c r="C151" s="0" t="str">
        <f aca="false">INDEX('Store Mapping'!$C$2:$C$19,MATCH(TRIM('Raw Store Exports'!B151),'Store Mapping'!$A$2:$A$19,0))</f>
        <v>Airport Plaza</v>
      </c>
      <c r="D151" s="0" t="str">
        <f aca="false">'Raw Store Exports'!D151</f>
        <v>FTW-203</v>
      </c>
      <c r="E151" s="0" t="str">
        <f aca="false">INDEX('Product Master'!$B$2:$B$21,MATCH(D151,'Product Master'!$A$2:$A$21,0))</f>
        <v>Leather Ankle Boot</v>
      </c>
      <c r="F151" s="0" t="str">
        <f aca="false">INDEX('Product Master'!$C$2:$C$21,MATCH(D151,'Product Master'!$A$2:$A$21,0))</f>
        <v>Footwear</v>
      </c>
      <c r="G151" s="15" t="n">
        <f aca="false">VALUE(TRIM('Raw Store Exports'!E151&amp;""))</f>
        <v>2</v>
      </c>
      <c r="H151" s="18" t="n">
        <f aca="false">INDEX('Product Master'!$D$2:$D$21,MATCH(D151,'Product Master'!$A$2:$A$21,0))</f>
        <v>120</v>
      </c>
      <c r="I151" s="14" t="n">
        <f aca="false">G151*H151</f>
        <v>240</v>
      </c>
      <c r="J151" s="0" t="str">
        <f aca="false">IF(COUNTIF($A$2:A151,A151)&gt;1,"Duplicate","")</f>
        <v/>
      </c>
    </row>
    <row r="152" customFormat="false" ht="15" hidden="false" customHeight="false" outlineLevel="0" collapsed="false">
      <c r="A152" s="0" t="str">
        <f aca="false">'Raw Store Exports'!A152</f>
        <v>TXN00093</v>
      </c>
      <c r="B152" s="17" t="n">
        <f aca="false">'Raw Store Exports'!C152</f>
        <v>46032</v>
      </c>
      <c r="C152" s="0" t="str">
        <f aca="false">INDEX('Store Mapping'!$C$2:$C$19,MATCH(TRIM('Raw Store Exports'!B152),'Store Mapping'!$A$2:$A$19,0))</f>
        <v>Northpark</v>
      </c>
      <c r="D152" s="0" t="str">
        <f aca="false">'Raw Store Exports'!D152</f>
        <v>HOM-501</v>
      </c>
      <c r="E152" s="0" t="str">
        <f aca="false">INDEX('Product Master'!$B$2:$B$21,MATCH(D152,'Product Master'!$A$2:$A$21,0))</f>
        <v>Ceramic Coffee Mug Set</v>
      </c>
      <c r="F152" s="0" t="str">
        <f aca="false">INDEX('Product Master'!$C$2:$C$21,MATCH(D152,'Product Master'!$A$2:$A$21,0))</f>
        <v>Home Goods</v>
      </c>
      <c r="G152" s="15" t="n">
        <f aca="false">VALUE(TRIM('Raw Store Exports'!E152&amp;""))</f>
        <v>3</v>
      </c>
      <c r="H152" s="18" t="n">
        <f aca="false">INDEX('Product Master'!$D$2:$D$21,MATCH(D152,'Product Master'!$A$2:$A$21,0))</f>
        <v>22</v>
      </c>
      <c r="I152" s="14" t="n">
        <f aca="false">G152*H152</f>
        <v>66</v>
      </c>
      <c r="J152" s="0" t="str">
        <f aca="false">IF(COUNTIF($A$2:A152,A152)&gt;1,"Duplicate","")</f>
        <v/>
      </c>
    </row>
    <row r="153" customFormat="false" ht="15" hidden="false" customHeight="false" outlineLevel="0" collapsed="false">
      <c r="A153" s="0" t="str">
        <f aca="false">'Raw Store Exports'!A153</f>
        <v>TXN01177</v>
      </c>
      <c r="B153" s="17" t="n">
        <f aca="false">'Raw Store Exports'!C153</f>
        <v>46080</v>
      </c>
      <c r="C153" s="0" t="str">
        <f aca="false">INDEX('Store Mapping'!$C$2:$C$19,MATCH(TRIM('Raw Store Exports'!B153),'Store Mapping'!$A$2:$A$19,0))</f>
        <v>Airport Plaza</v>
      </c>
      <c r="D153" s="0" t="str">
        <f aca="false">'Raw Store Exports'!D153</f>
        <v>FTW-201</v>
      </c>
      <c r="E153" s="0" t="str">
        <f aca="false">INDEX('Product Master'!$B$2:$B$21,MATCH(D153,'Product Master'!$A$2:$A$21,0))</f>
        <v>Running Sneakers</v>
      </c>
      <c r="F153" s="0" t="str">
        <f aca="false">INDEX('Product Master'!$C$2:$C$21,MATCH(D153,'Product Master'!$A$2:$A$21,0))</f>
        <v>Footwear</v>
      </c>
      <c r="G153" s="15" t="n">
        <f aca="false">VALUE(TRIM('Raw Store Exports'!E153&amp;""))</f>
        <v>5</v>
      </c>
      <c r="H153" s="18" t="n">
        <f aca="false">INDEX('Product Master'!$D$2:$D$21,MATCH(D153,'Product Master'!$A$2:$A$21,0))</f>
        <v>89</v>
      </c>
      <c r="I153" s="14" t="n">
        <f aca="false">G153*H153</f>
        <v>445</v>
      </c>
      <c r="J153" s="0" t="str">
        <f aca="false">IF(COUNTIF($A$2:A153,A153)&gt;1,"Duplicate","")</f>
        <v/>
      </c>
    </row>
    <row r="154" customFormat="false" ht="15" hidden="false" customHeight="false" outlineLevel="0" collapsed="false">
      <c r="A154" s="0" t="str">
        <f aca="false">'Raw Store Exports'!A154</f>
        <v>TXN00618</v>
      </c>
      <c r="B154" s="17" t="n">
        <f aca="false">'Raw Store Exports'!C154</f>
        <v>46056</v>
      </c>
      <c r="C154" s="0" t="str">
        <f aca="false">INDEX('Store Mapping'!$C$2:$C$19,MATCH(TRIM('Raw Store Exports'!B154),'Store Mapping'!$A$2:$A$19,0))</f>
        <v>Westside Mall</v>
      </c>
      <c r="D154" s="0" t="str">
        <f aca="false">'Raw Store Exports'!D154</f>
        <v>FTW-203</v>
      </c>
      <c r="E154" s="0" t="str">
        <f aca="false">INDEX('Product Master'!$B$2:$B$21,MATCH(D154,'Product Master'!$A$2:$A$21,0))</f>
        <v>Leather Ankle Boot</v>
      </c>
      <c r="F154" s="0" t="str">
        <f aca="false">INDEX('Product Master'!$C$2:$C$21,MATCH(D154,'Product Master'!$A$2:$A$21,0))</f>
        <v>Footwear</v>
      </c>
      <c r="G154" s="15" t="n">
        <f aca="false">VALUE(TRIM('Raw Store Exports'!E154&amp;""))</f>
        <v>6</v>
      </c>
      <c r="H154" s="18" t="n">
        <f aca="false">INDEX('Product Master'!$D$2:$D$21,MATCH(D154,'Product Master'!$A$2:$A$21,0))</f>
        <v>120</v>
      </c>
      <c r="I154" s="14" t="n">
        <f aca="false">G154*H154</f>
        <v>720</v>
      </c>
      <c r="J154" s="0" t="str">
        <f aca="false">IF(COUNTIF($A$2:A154,A154)&gt;1,"Duplicate","")</f>
        <v/>
      </c>
    </row>
    <row r="155" customFormat="false" ht="15" hidden="false" customHeight="false" outlineLevel="0" collapsed="false">
      <c r="A155" s="0" t="str">
        <f aca="false">'Raw Store Exports'!A155</f>
        <v>TXN01072</v>
      </c>
      <c r="B155" s="17" t="n">
        <f aca="false">'Raw Store Exports'!C155</f>
        <v>46076</v>
      </c>
      <c r="C155" s="0" t="str">
        <f aca="false">INDEX('Store Mapping'!$C$2:$C$19,MATCH(TRIM('Raw Store Exports'!B155),'Store Mapping'!$A$2:$A$19,0))</f>
        <v>Downtown</v>
      </c>
      <c r="D155" s="0" t="str">
        <f aca="false">'Raw Store Exports'!D155</f>
        <v>ELE-401</v>
      </c>
      <c r="E155" s="0" t="str">
        <f aca="false">INDEX('Product Master'!$B$2:$B$21,MATCH(D155,'Product Master'!$A$2:$A$21,0))</f>
        <v>Wireless Earbuds</v>
      </c>
      <c r="F155" s="0" t="str">
        <f aca="false">INDEX('Product Master'!$C$2:$C$21,MATCH(D155,'Product Master'!$A$2:$A$21,0))</f>
        <v>Electronics</v>
      </c>
      <c r="G155" s="15" t="n">
        <f aca="false">VALUE(TRIM('Raw Store Exports'!E155&amp;""))</f>
        <v>2</v>
      </c>
      <c r="H155" s="18" t="n">
        <f aca="false">INDEX('Product Master'!$D$2:$D$21,MATCH(D155,'Product Master'!$A$2:$A$21,0))</f>
        <v>79</v>
      </c>
      <c r="I155" s="14" t="n">
        <f aca="false">G155*H155</f>
        <v>158</v>
      </c>
      <c r="J155" s="0" t="str">
        <f aca="false">IF(COUNTIF($A$2:A155,A155)&gt;1,"Duplicate","")</f>
        <v/>
      </c>
    </row>
    <row r="156" customFormat="false" ht="15" hidden="false" customHeight="false" outlineLevel="0" collapsed="false">
      <c r="A156" s="0" t="str">
        <f aca="false">'Raw Store Exports'!A156</f>
        <v>TXN01073</v>
      </c>
      <c r="B156" s="17" t="n">
        <f aca="false">'Raw Store Exports'!C156</f>
        <v>46079</v>
      </c>
      <c r="C156" s="0" t="str">
        <f aca="false">INDEX('Store Mapping'!$C$2:$C$19,MATCH(TRIM('Raw Store Exports'!B156),'Store Mapping'!$A$2:$A$19,0))</f>
        <v>Downtown</v>
      </c>
      <c r="D156" s="0" t="str">
        <f aca="false">'Raw Store Exports'!D156</f>
        <v>HOM-504</v>
      </c>
      <c r="E156" s="0" t="str">
        <f aca="false">INDEX('Product Master'!$B$2:$B$21,MATCH(D156,'Product Master'!$A$2:$A$21,0))</f>
        <v>Bamboo Cutting Board</v>
      </c>
      <c r="F156" s="0" t="str">
        <f aca="false">INDEX('Product Master'!$C$2:$C$21,MATCH(D156,'Product Master'!$A$2:$A$21,0))</f>
        <v>Home Goods</v>
      </c>
      <c r="G156" s="15" t="n">
        <f aca="false">VALUE(TRIM('Raw Store Exports'!E156&amp;""))</f>
        <v>1</v>
      </c>
      <c r="H156" s="18" t="n">
        <f aca="false">INDEX('Product Master'!$D$2:$D$21,MATCH(D156,'Product Master'!$A$2:$A$21,0))</f>
        <v>27</v>
      </c>
      <c r="I156" s="14" t="n">
        <f aca="false">G156*H156</f>
        <v>27</v>
      </c>
      <c r="J156" s="0" t="str">
        <f aca="false">IF(COUNTIF($A$2:A156,A156)&gt;1,"Duplicate","")</f>
        <v/>
      </c>
    </row>
    <row r="157" customFormat="false" ht="15" hidden="false" customHeight="false" outlineLevel="0" collapsed="false">
      <c r="A157" s="0" t="str">
        <f aca="false">'Raw Store Exports'!A157</f>
        <v>TXN00196</v>
      </c>
      <c r="B157" s="17" t="n">
        <f aca="false">'Raw Store Exports'!C157</f>
        <v>46037</v>
      </c>
      <c r="C157" s="0" t="str">
        <f aca="false">INDEX('Store Mapping'!$C$2:$C$19,MATCH(TRIM('Raw Store Exports'!B157),'Store Mapping'!$A$2:$A$19,0))</f>
        <v>Eastgate</v>
      </c>
      <c r="D157" s="0" t="str">
        <f aca="false">'Raw Store Exports'!D157</f>
        <v>APP-102</v>
      </c>
      <c r="E157" s="0" t="str">
        <f aca="false">INDEX('Product Master'!$B$2:$B$21,MATCH(D157,'Product Master'!$A$2:$A$21,0))</f>
        <v>Cotton Crew T-Shirt</v>
      </c>
      <c r="F157" s="0" t="str">
        <f aca="false">INDEX('Product Master'!$C$2:$C$21,MATCH(D157,'Product Master'!$A$2:$A$21,0))</f>
        <v>Apparel</v>
      </c>
      <c r="G157" s="15" t="n">
        <f aca="false">VALUE(TRIM('Raw Store Exports'!E157&amp;""))</f>
        <v>4</v>
      </c>
      <c r="H157" s="18" t="n">
        <f aca="false">INDEX('Product Master'!$D$2:$D$21,MATCH(D157,'Product Master'!$A$2:$A$21,0))</f>
        <v>18</v>
      </c>
      <c r="I157" s="14" t="n">
        <f aca="false">G157*H157</f>
        <v>72</v>
      </c>
      <c r="J157" s="0" t="str">
        <f aca="false">IF(COUNTIF($A$2:A157,A157)&gt;1,"Duplicate","")</f>
        <v/>
      </c>
    </row>
    <row r="158" customFormat="false" ht="15" hidden="false" customHeight="false" outlineLevel="0" collapsed="false">
      <c r="A158" s="0" t="str">
        <f aca="false">'Raw Store Exports'!A158</f>
        <v>TXN01020</v>
      </c>
      <c r="B158" s="17" t="n">
        <f aca="false">'Raw Store Exports'!C158</f>
        <v>46075</v>
      </c>
      <c r="C158" s="0" t="str">
        <f aca="false">INDEX('Store Mapping'!$C$2:$C$19,MATCH(TRIM('Raw Store Exports'!B158),'Store Mapping'!$A$2:$A$19,0))</f>
        <v>Riverside</v>
      </c>
      <c r="D158" s="0" t="str">
        <f aca="false">'Raw Store Exports'!D158</f>
        <v>ACC-301</v>
      </c>
      <c r="E158" s="0" t="str">
        <f aca="false">INDEX('Product Master'!$B$2:$B$21,MATCH(D158,'Product Master'!$A$2:$A$21,0))</f>
        <v>Leather Belt</v>
      </c>
      <c r="F158" s="0" t="str">
        <f aca="false">INDEX('Product Master'!$C$2:$C$21,MATCH(D158,'Product Master'!$A$2:$A$21,0))</f>
        <v>Accessories</v>
      </c>
      <c r="G158" s="15" t="n">
        <f aca="false">VALUE(TRIM('Raw Store Exports'!E158&amp;""))</f>
        <v>1</v>
      </c>
      <c r="H158" s="18" t="n">
        <f aca="false">INDEX('Product Master'!$D$2:$D$21,MATCH(D158,'Product Master'!$A$2:$A$21,0))</f>
        <v>30</v>
      </c>
      <c r="I158" s="14" t="n">
        <f aca="false">G158*H158</f>
        <v>30</v>
      </c>
      <c r="J158" s="0" t="str">
        <f aca="false">IF(COUNTIF($A$2:A158,A158)&gt;1,"Duplicate","")</f>
        <v/>
      </c>
    </row>
    <row r="159" customFormat="false" ht="15" hidden="false" customHeight="false" outlineLevel="0" collapsed="false">
      <c r="A159" s="0" t="str">
        <f aca="false">'Raw Store Exports'!A159</f>
        <v>TXN00787</v>
      </c>
      <c r="B159" s="17" t="n">
        <f aca="false">'Raw Store Exports'!C159</f>
        <v>46065</v>
      </c>
      <c r="C159" s="0" t="str">
        <f aca="false">INDEX('Store Mapping'!$C$2:$C$19,MATCH(TRIM('Raw Store Exports'!B159),'Store Mapping'!$A$2:$A$19,0))</f>
        <v>Westside Mall</v>
      </c>
      <c r="D159" s="0" t="str">
        <f aca="false">'Raw Store Exports'!D159</f>
        <v>FTW-201</v>
      </c>
      <c r="E159" s="0" t="str">
        <f aca="false">INDEX('Product Master'!$B$2:$B$21,MATCH(D159,'Product Master'!$A$2:$A$21,0))</f>
        <v>Running Sneakers</v>
      </c>
      <c r="F159" s="0" t="str">
        <f aca="false">INDEX('Product Master'!$C$2:$C$21,MATCH(D159,'Product Master'!$A$2:$A$21,0))</f>
        <v>Footwear</v>
      </c>
      <c r="G159" s="15" t="n">
        <f aca="false">VALUE(TRIM('Raw Store Exports'!E159&amp;""))</f>
        <v>6</v>
      </c>
      <c r="H159" s="18" t="n">
        <f aca="false">INDEX('Product Master'!$D$2:$D$21,MATCH(D159,'Product Master'!$A$2:$A$21,0))</f>
        <v>89</v>
      </c>
      <c r="I159" s="14" t="n">
        <f aca="false">G159*H159</f>
        <v>534</v>
      </c>
      <c r="J159" s="0" t="str">
        <f aca="false">IF(COUNTIF($A$2:A159,A159)&gt;1,"Duplicate","")</f>
        <v/>
      </c>
    </row>
    <row r="160" customFormat="false" ht="15" hidden="false" customHeight="false" outlineLevel="0" collapsed="false">
      <c r="A160" s="0" t="str">
        <f aca="false">'Raw Store Exports'!A160</f>
        <v>TXN00742</v>
      </c>
      <c r="B160" s="17" t="n">
        <f aca="false">'Raw Store Exports'!C160</f>
        <v>46055</v>
      </c>
      <c r="C160" s="0" t="str">
        <f aca="false">INDEX('Store Mapping'!$C$2:$C$19,MATCH(TRIM('Raw Store Exports'!B160),'Store Mapping'!$A$2:$A$19,0))</f>
        <v>Airport Plaza</v>
      </c>
      <c r="D160" s="0" t="str">
        <f aca="false">'Raw Store Exports'!D160</f>
        <v>APP-102</v>
      </c>
      <c r="E160" s="0" t="str">
        <f aca="false">INDEX('Product Master'!$B$2:$B$21,MATCH(D160,'Product Master'!$A$2:$A$21,0))</f>
        <v>Cotton Crew T-Shirt</v>
      </c>
      <c r="F160" s="0" t="str">
        <f aca="false">INDEX('Product Master'!$C$2:$C$21,MATCH(D160,'Product Master'!$A$2:$A$21,0))</f>
        <v>Apparel</v>
      </c>
      <c r="G160" s="15" t="n">
        <f aca="false">VALUE(TRIM('Raw Store Exports'!E160&amp;""))</f>
        <v>3</v>
      </c>
      <c r="H160" s="18" t="n">
        <f aca="false">INDEX('Product Master'!$D$2:$D$21,MATCH(D160,'Product Master'!$A$2:$A$21,0))</f>
        <v>18</v>
      </c>
      <c r="I160" s="14" t="n">
        <f aca="false">G160*H160</f>
        <v>54</v>
      </c>
      <c r="J160" s="0" t="str">
        <f aca="false">IF(COUNTIF($A$2:A160,A160)&gt;1,"Duplicate","")</f>
        <v/>
      </c>
    </row>
    <row r="161" customFormat="false" ht="15" hidden="false" customHeight="false" outlineLevel="0" collapsed="false">
      <c r="A161" s="0" t="str">
        <f aca="false">'Raw Store Exports'!A161</f>
        <v>TXN01004</v>
      </c>
      <c r="B161" s="17" t="n">
        <f aca="false">'Raw Store Exports'!C161</f>
        <v>46073</v>
      </c>
      <c r="C161" s="0" t="str">
        <f aca="false">INDEX('Store Mapping'!$C$2:$C$19,MATCH(TRIM('Raw Store Exports'!B161),'Store Mapping'!$A$2:$A$19,0))</f>
        <v>Riverside</v>
      </c>
      <c r="D161" s="0" t="str">
        <f aca="false">'Raw Store Exports'!D161</f>
        <v>ACC-302</v>
      </c>
      <c r="E161" s="0" t="str">
        <f aca="false">INDEX('Product Master'!$B$2:$B$21,MATCH(D161,'Product Master'!$A$2:$A$21,0))</f>
        <v>Aviator Sunglasses</v>
      </c>
      <c r="F161" s="0" t="str">
        <f aca="false">INDEX('Product Master'!$C$2:$C$21,MATCH(D161,'Product Master'!$A$2:$A$21,0))</f>
        <v>Accessories</v>
      </c>
      <c r="G161" s="15" t="n">
        <f aca="false">VALUE(TRIM('Raw Store Exports'!E161&amp;""))</f>
        <v>1</v>
      </c>
      <c r="H161" s="18" t="n">
        <f aca="false">INDEX('Product Master'!$D$2:$D$21,MATCH(D161,'Product Master'!$A$2:$A$21,0))</f>
        <v>42</v>
      </c>
      <c r="I161" s="14" t="n">
        <f aca="false">G161*H161</f>
        <v>42</v>
      </c>
      <c r="J161" s="0" t="str">
        <f aca="false">IF(COUNTIF($A$2:A161,A161)&gt;1,"Duplicate","")</f>
        <v/>
      </c>
    </row>
    <row r="162" customFormat="false" ht="15" hidden="false" customHeight="false" outlineLevel="0" collapsed="false">
      <c r="A162" s="0" t="str">
        <f aca="false">'Raw Store Exports'!A162</f>
        <v>TXN00116</v>
      </c>
      <c r="B162" s="17" t="n">
        <f aca="false">'Raw Store Exports'!C162</f>
        <v>46029</v>
      </c>
      <c r="C162" s="0" t="str">
        <f aca="false">INDEX('Store Mapping'!$C$2:$C$19,MATCH(TRIM('Raw Store Exports'!B162),'Store Mapping'!$A$2:$A$19,0))</f>
        <v>Riverside</v>
      </c>
      <c r="D162" s="0" t="str">
        <f aca="false">'Raw Store Exports'!D162</f>
        <v>APP-103</v>
      </c>
      <c r="E162" s="0" t="str">
        <f aca="false">INDEX('Product Master'!$B$2:$B$21,MATCH(D162,'Product Master'!$A$2:$A$21,0))</f>
        <v>Fleece Pullover Hoodie</v>
      </c>
      <c r="F162" s="0" t="str">
        <f aca="false">INDEX('Product Master'!$C$2:$C$21,MATCH(D162,'Product Master'!$A$2:$A$21,0))</f>
        <v>Apparel</v>
      </c>
      <c r="G162" s="15" t="n">
        <f aca="false">VALUE(TRIM('Raw Store Exports'!E162&amp;""))</f>
        <v>5</v>
      </c>
      <c r="H162" s="18" t="n">
        <f aca="false">INDEX('Product Master'!$D$2:$D$21,MATCH(D162,'Product Master'!$A$2:$A$21,0))</f>
        <v>45</v>
      </c>
      <c r="I162" s="14" t="n">
        <f aca="false">G162*H162</f>
        <v>225</v>
      </c>
      <c r="J162" s="0" t="str">
        <f aca="false">IF(COUNTIF($A$2:A162,A162)&gt;1,"Duplicate","")</f>
        <v/>
      </c>
    </row>
    <row r="163" customFormat="false" ht="15" hidden="false" customHeight="false" outlineLevel="0" collapsed="false">
      <c r="A163" s="0" t="str">
        <f aca="false">'Raw Store Exports'!A163</f>
        <v>TXN00497</v>
      </c>
      <c r="B163" s="17" t="n">
        <f aca="false">'Raw Store Exports'!C163</f>
        <v>46048</v>
      </c>
      <c r="C163" s="0" t="str">
        <f aca="false">INDEX('Store Mapping'!$C$2:$C$19,MATCH(TRIM('Raw Store Exports'!B163),'Store Mapping'!$A$2:$A$19,0))</f>
        <v>Eastgate</v>
      </c>
      <c r="D163" s="0" t="str">
        <f aca="false">'Raw Store Exports'!D163</f>
        <v>HOM-502</v>
      </c>
      <c r="E163" s="0" t="str">
        <f aca="false">INDEX('Product Master'!$B$2:$B$21,MATCH(D163,'Product Master'!$A$2:$A$21,0))</f>
        <v>Scented Candle</v>
      </c>
      <c r="F163" s="0" t="str">
        <f aca="false">INDEX('Product Master'!$C$2:$C$21,MATCH(D163,'Product Master'!$A$2:$A$21,0))</f>
        <v>Home Goods</v>
      </c>
      <c r="G163" s="15" t="n">
        <f aca="false">VALUE(TRIM('Raw Store Exports'!E163&amp;""))</f>
        <v>5</v>
      </c>
      <c r="H163" s="18" t="n">
        <f aca="false">INDEX('Product Master'!$D$2:$D$21,MATCH(D163,'Product Master'!$A$2:$A$21,0))</f>
        <v>15</v>
      </c>
      <c r="I163" s="14" t="n">
        <f aca="false">G163*H163</f>
        <v>75</v>
      </c>
      <c r="J163" s="0" t="str">
        <f aca="false">IF(COUNTIF($A$2:A163,A163)&gt;1,"Duplicate","")</f>
        <v/>
      </c>
    </row>
    <row r="164" customFormat="false" ht="15" hidden="false" customHeight="false" outlineLevel="0" collapsed="false">
      <c r="A164" s="0" t="str">
        <f aca="false">'Raw Store Exports'!A164</f>
        <v>TXN00758</v>
      </c>
      <c r="B164" s="17" t="n">
        <f aca="false">'Raw Store Exports'!C164</f>
        <v>46066</v>
      </c>
      <c r="C164" s="0" t="str">
        <f aca="false">INDEX('Store Mapping'!$C$2:$C$19,MATCH(TRIM('Raw Store Exports'!B164),'Store Mapping'!$A$2:$A$19,0))</f>
        <v>Downtown</v>
      </c>
      <c r="D164" s="0" t="str">
        <f aca="false">'Raw Store Exports'!D164</f>
        <v>FTW-204</v>
      </c>
      <c r="E164" s="0" t="str">
        <f aca="false">INDEX('Product Master'!$B$2:$B$21,MATCH(D164,'Product Master'!$A$2:$A$21,0))</f>
        <v>Slide Sandals</v>
      </c>
      <c r="F164" s="0" t="str">
        <f aca="false">INDEX('Product Master'!$C$2:$C$21,MATCH(D164,'Product Master'!$A$2:$A$21,0))</f>
        <v>Footwear</v>
      </c>
      <c r="G164" s="15" t="n">
        <f aca="false">VALUE(TRIM('Raw Store Exports'!E164&amp;""))</f>
        <v>5</v>
      </c>
      <c r="H164" s="18" t="n">
        <f aca="false">INDEX('Product Master'!$D$2:$D$21,MATCH(D164,'Product Master'!$A$2:$A$21,0))</f>
        <v>25</v>
      </c>
      <c r="I164" s="14" t="n">
        <f aca="false">G164*H164</f>
        <v>125</v>
      </c>
      <c r="J164" s="0" t="str">
        <f aca="false">IF(COUNTIF($A$2:A164,A164)&gt;1,"Duplicate","")</f>
        <v/>
      </c>
    </row>
    <row r="165" customFormat="false" ht="15" hidden="false" customHeight="false" outlineLevel="0" collapsed="false">
      <c r="A165" s="0" t="str">
        <f aca="false">'Raw Store Exports'!A165</f>
        <v>TXN00832</v>
      </c>
      <c r="B165" s="17" t="n">
        <f aca="false">'Raw Store Exports'!C165</f>
        <v>46068</v>
      </c>
      <c r="C165" s="0" t="str">
        <f aca="false">INDEX('Store Mapping'!$C$2:$C$19,MATCH(TRIM('Raw Store Exports'!B165),'Store Mapping'!$A$2:$A$19,0))</f>
        <v>Northpark</v>
      </c>
      <c r="D165" s="0" t="str">
        <f aca="false">'Raw Store Exports'!D165</f>
        <v>FTW-202</v>
      </c>
      <c r="E165" s="0" t="str">
        <f aca="false">INDEX('Product Master'!$B$2:$B$21,MATCH(D165,'Product Master'!$A$2:$A$21,0))</f>
        <v>Canvas Low-Top</v>
      </c>
      <c r="F165" s="0" t="str">
        <f aca="false">INDEX('Product Master'!$C$2:$C$21,MATCH(D165,'Product Master'!$A$2:$A$21,0))</f>
        <v>Footwear</v>
      </c>
      <c r="G165" s="15" t="n">
        <f aca="false">VALUE(TRIM('Raw Store Exports'!E165&amp;""))</f>
        <v>6</v>
      </c>
      <c r="H165" s="18" t="n">
        <f aca="false">INDEX('Product Master'!$D$2:$D$21,MATCH(D165,'Product Master'!$A$2:$A$21,0))</f>
        <v>55</v>
      </c>
      <c r="I165" s="14" t="n">
        <f aca="false">G165*H165</f>
        <v>330</v>
      </c>
      <c r="J165" s="0" t="str">
        <f aca="false">IF(COUNTIF($A$2:A165,A165)&gt;1,"Duplicate","")</f>
        <v/>
      </c>
    </row>
    <row r="166" customFormat="false" ht="15" hidden="false" customHeight="false" outlineLevel="0" collapsed="false">
      <c r="A166" s="0" t="str">
        <f aca="false">'Raw Store Exports'!A166</f>
        <v>TXN00150</v>
      </c>
      <c r="B166" s="17" t="n">
        <f aca="false">'Raw Store Exports'!C166</f>
        <v>46038</v>
      </c>
      <c r="C166" s="0" t="str">
        <f aca="false">INDEX('Store Mapping'!$C$2:$C$19,MATCH(TRIM('Raw Store Exports'!B166),'Store Mapping'!$A$2:$A$19,0))</f>
        <v>Downtown</v>
      </c>
      <c r="D166" s="0" t="str">
        <f aca="false">'Raw Store Exports'!D166</f>
        <v>FTW-202</v>
      </c>
      <c r="E166" s="0" t="str">
        <f aca="false">INDEX('Product Master'!$B$2:$B$21,MATCH(D166,'Product Master'!$A$2:$A$21,0))</f>
        <v>Canvas Low-Top</v>
      </c>
      <c r="F166" s="0" t="str">
        <f aca="false">INDEX('Product Master'!$C$2:$C$21,MATCH(D166,'Product Master'!$A$2:$A$21,0))</f>
        <v>Footwear</v>
      </c>
      <c r="G166" s="15" t="n">
        <f aca="false">VALUE(TRIM('Raw Store Exports'!E166&amp;""))</f>
        <v>4</v>
      </c>
      <c r="H166" s="18" t="n">
        <f aca="false">INDEX('Product Master'!$D$2:$D$21,MATCH(D166,'Product Master'!$A$2:$A$21,0))</f>
        <v>55</v>
      </c>
      <c r="I166" s="14" t="n">
        <f aca="false">G166*H166</f>
        <v>220</v>
      </c>
      <c r="J166" s="0" t="str">
        <f aca="false">IF(COUNTIF($A$2:A166,A166)&gt;1,"Duplicate","")</f>
        <v/>
      </c>
    </row>
    <row r="167" customFormat="false" ht="15" hidden="false" customHeight="false" outlineLevel="0" collapsed="false">
      <c r="A167" s="0" t="str">
        <f aca="false">'Raw Store Exports'!A167</f>
        <v>TXN00463</v>
      </c>
      <c r="B167" s="17" t="n">
        <f aca="false">'Raw Store Exports'!C167</f>
        <v>46048</v>
      </c>
      <c r="C167" s="0" t="str">
        <f aca="false">INDEX('Store Mapping'!$C$2:$C$19,MATCH(TRIM('Raw Store Exports'!B167),'Store Mapping'!$A$2:$A$19,0))</f>
        <v>Westside Mall</v>
      </c>
      <c r="D167" s="0" t="str">
        <f aca="false">'Raw Store Exports'!D167</f>
        <v>ACC-301</v>
      </c>
      <c r="E167" s="0" t="str">
        <f aca="false">INDEX('Product Master'!$B$2:$B$21,MATCH(D167,'Product Master'!$A$2:$A$21,0))</f>
        <v>Leather Belt</v>
      </c>
      <c r="F167" s="0" t="str">
        <f aca="false">INDEX('Product Master'!$C$2:$C$21,MATCH(D167,'Product Master'!$A$2:$A$21,0))</f>
        <v>Accessories</v>
      </c>
      <c r="G167" s="15" t="n">
        <f aca="false">VALUE(TRIM('Raw Store Exports'!E167&amp;""))</f>
        <v>5</v>
      </c>
      <c r="H167" s="18" t="n">
        <f aca="false">INDEX('Product Master'!$D$2:$D$21,MATCH(D167,'Product Master'!$A$2:$A$21,0))</f>
        <v>30</v>
      </c>
      <c r="I167" s="14" t="n">
        <f aca="false">G167*H167</f>
        <v>150</v>
      </c>
      <c r="J167" s="0" t="str">
        <f aca="false">IF(COUNTIF($A$2:A167,A167)&gt;1,"Duplicate","")</f>
        <v/>
      </c>
    </row>
    <row r="168" customFormat="false" ht="15" hidden="false" customHeight="false" outlineLevel="0" collapsed="false">
      <c r="A168" s="0" t="str">
        <f aca="false">'Raw Store Exports'!A168</f>
        <v>TXN00033</v>
      </c>
      <c r="B168" s="17" t="n">
        <f aca="false">'Raw Store Exports'!C168</f>
        <v>46029</v>
      </c>
      <c r="C168" s="0" t="str">
        <f aca="false">INDEX('Store Mapping'!$C$2:$C$19,MATCH(TRIM('Raw Store Exports'!B168),'Store Mapping'!$A$2:$A$19,0))</f>
        <v>Westside Mall</v>
      </c>
      <c r="D168" s="0" t="str">
        <f aca="false">'Raw Store Exports'!D168</f>
        <v>APP-103</v>
      </c>
      <c r="E168" s="0" t="str">
        <f aca="false">INDEX('Product Master'!$B$2:$B$21,MATCH(D168,'Product Master'!$A$2:$A$21,0))</f>
        <v>Fleece Pullover Hoodie</v>
      </c>
      <c r="F168" s="0" t="str">
        <f aca="false">INDEX('Product Master'!$C$2:$C$21,MATCH(D168,'Product Master'!$A$2:$A$21,0))</f>
        <v>Apparel</v>
      </c>
      <c r="G168" s="15" t="n">
        <f aca="false">VALUE(TRIM('Raw Store Exports'!E168&amp;""))</f>
        <v>4</v>
      </c>
      <c r="H168" s="18" t="n">
        <f aca="false">INDEX('Product Master'!$D$2:$D$21,MATCH(D168,'Product Master'!$A$2:$A$21,0))</f>
        <v>45</v>
      </c>
      <c r="I168" s="14" t="n">
        <f aca="false">G168*H168</f>
        <v>180</v>
      </c>
      <c r="J168" s="0" t="str">
        <f aca="false">IF(COUNTIF($A$2:A168,A168)&gt;1,"Duplicate","")</f>
        <v/>
      </c>
    </row>
    <row r="169" customFormat="false" ht="15" hidden="false" customHeight="false" outlineLevel="0" collapsed="false">
      <c r="A169" s="0" t="str">
        <f aca="false">'Raw Store Exports'!A169</f>
        <v>TXN00835</v>
      </c>
      <c r="B169" s="17" t="n">
        <f aca="false">'Raw Store Exports'!C169</f>
        <v>46068</v>
      </c>
      <c r="C169" s="0" t="str">
        <f aca="false">INDEX('Store Mapping'!$C$2:$C$19,MATCH(TRIM('Raw Store Exports'!B169),'Store Mapping'!$A$2:$A$19,0))</f>
        <v>Northpark</v>
      </c>
      <c r="D169" s="0" t="str">
        <f aca="false">'Raw Store Exports'!D169</f>
        <v>FTW-201</v>
      </c>
      <c r="E169" s="0" t="str">
        <f aca="false">INDEX('Product Master'!$B$2:$B$21,MATCH(D169,'Product Master'!$A$2:$A$21,0))</f>
        <v>Running Sneakers</v>
      </c>
      <c r="F169" s="0" t="str">
        <f aca="false">INDEX('Product Master'!$C$2:$C$21,MATCH(D169,'Product Master'!$A$2:$A$21,0))</f>
        <v>Footwear</v>
      </c>
      <c r="G169" s="15" t="n">
        <f aca="false">VALUE(TRIM('Raw Store Exports'!E169&amp;""))</f>
        <v>2</v>
      </c>
      <c r="H169" s="18" t="n">
        <f aca="false">INDEX('Product Master'!$D$2:$D$21,MATCH(D169,'Product Master'!$A$2:$A$21,0))</f>
        <v>89</v>
      </c>
      <c r="I169" s="14" t="n">
        <f aca="false">G169*H169</f>
        <v>178</v>
      </c>
      <c r="J169" s="0" t="str">
        <f aca="false">IF(COUNTIF($A$2:A169,A169)&gt;1,"Duplicate","")</f>
        <v/>
      </c>
    </row>
    <row r="170" customFormat="false" ht="15" hidden="false" customHeight="false" outlineLevel="0" collapsed="false">
      <c r="A170" s="0" t="str">
        <f aca="false">'Raw Store Exports'!A170</f>
        <v>TXN00031</v>
      </c>
      <c r="B170" s="17" t="n">
        <f aca="false">'Raw Store Exports'!C170</f>
        <v>46028</v>
      </c>
      <c r="C170" s="0" t="str">
        <f aca="false">INDEX('Store Mapping'!$C$2:$C$19,MATCH(TRIM('Raw Store Exports'!B170),'Store Mapping'!$A$2:$A$19,0))</f>
        <v>Westside Mall</v>
      </c>
      <c r="D170" s="0" t="str">
        <f aca="false">'Raw Store Exports'!D170</f>
        <v>ELE-404</v>
      </c>
      <c r="E170" s="0" t="str">
        <f aca="false">INDEX('Product Master'!$B$2:$B$21,MATCH(D170,'Product Master'!$A$2:$A$21,0))</f>
        <v>Phone Charging Cable</v>
      </c>
      <c r="F170" s="0" t="str">
        <f aca="false">INDEX('Product Master'!$C$2:$C$21,MATCH(D170,'Product Master'!$A$2:$A$21,0))</f>
        <v>Electronics</v>
      </c>
      <c r="G170" s="15" t="n">
        <f aca="false">VALUE(TRIM('Raw Store Exports'!E170&amp;""))</f>
        <v>5</v>
      </c>
      <c r="H170" s="18" t="n">
        <f aca="false">INDEX('Product Master'!$D$2:$D$21,MATCH(D170,'Product Master'!$A$2:$A$21,0))</f>
        <v>12</v>
      </c>
      <c r="I170" s="14" t="n">
        <f aca="false">G170*H170</f>
        <v>60</v>
      </c>
      <c r="J170" s="0" t="str">
        <f aca="false">IF(COUNTIF($A$2:A170,A170)&gt;1,"Duplicate","")</f>
        <v/>
      </c>
    </row>
    <row r="171" customFormat="false" ht="15" hidden="false" customHeight="false" outlineLevel="0" collapsed="false">
      <c r="A171" s="0" t="str">
        <f aca="false">'Raw Store Exports'!A171</f>
        <v>TXN00342</v>
      </c>
      <c r="B171" s="17" t="n">
        <f aca="false">'Raw Store Exports'!C171</f>
        <v>46043</v>
      </c>
      <c r="C171" s="0" t="str">
        <f aca="false">INDEX('Store Mapping'!$C$2:$C$19,MATCH(TRIM('Raw Store Exports'!B171),'Store Mapping'!$A$2:$A$19,0))</f>
        <v>Eastgate</v>
      </c>
      <c r="D171" s="0" t="str">
        <f aca="false">'Raw Store Exports'!D171</f>
        <v>FTW-203</v>
      </c>
      <c r="E171" s="0" t="str">
        <f aca="false">INDEX('Product Master'!$B$2:$B$21,MATCH(D171,'Product Master'!$A$2:$A$21,0))</f>
        <v>Leather Ankle Boot</v>
      </c>
      <c r="F171" s="0" t="str">
        <f aca="false">INDEX('Product Master'!$C$2:$C$21,MATCH(D171,'Product Master'!$A$2:$A$21,0))</f>
        <v>Footwear</v>
      </c>
      <c r="G171" s="15" t="n">
        <f aca="false">VALUE(TRIM('Raw Store Exports'!E171&amp;""))</f>
        <v>1</v>
      </c>
      <c r="H171" s="18" t="n">
        <f aca="false">INDEX('Product Master'!$D$2:$D$21,MATCH(D171,'Product Master'!$A$2:$A$21,0))</f>
        <v>120</v>
      </c>
      <c r="I171" s="14" t="n">
        <f aca="false">G171*H171</f>
        <v>120</v>
      </c>
      <c r="J171" s="0" t="str">
        <f aca="false">IF(COUNTIF($A$2:A171,A171)&gt;1,"Duplicate","")</f>
        <v/>
      </c>
    </row>
    <row r="172" customFormat="false" ht="15" hidden="false" customHeight="false" outlineLevel="0" collapsed="false">
      <c r="A172" s="0" t="str">
        <f aca="false">'Raw Store Exports'!A172</f>
        <v>TXN01106</v>
      </c>
      <c r="B172" s="17" t="n">
        <f aca="false">'Raw Store Exports'!C172</f>
        <v>46076</v>
      </c>
      <c r="C172" s="0" t="str">
        <f aca="false">INDEX('Store Mapping'!$C$2:$C$19,MATCH(TRIM('Raw Store Exports'!B172),'Store Mapping'!$A$2:$A$19,0))</f>
        <v>Eastgate</v>
      </c>
      <c r="D172" s="0" t="str">
        <f aca="false">'Raw Store Exports'!D172</f>
        <v>APP-101</v>
      </c>
      <c r="E172" s="0" t="str">
        <f aca="false">INDEX('Product Master'!$B$2:$B$21,MATCH(D172,'Product Master'!$A$2:$A$21,0))</f>
        <v>Classic Denim Jacket</v>
      </c>
      <c r="F172" s="0" t="str">
        <f aca="false">INDEX('Product Master'!$C$2:$C$21,MATCH(D172,'Product Master'!$A$2:$A$21,0))</f>
        <v>Apparel</v>
      </c>
      <c r="G172" s="15" t="n">
        <f aca="false">VALUE(TRIM('Raw Store Exports'!E172&amp;""))</f>
        <v>3</v>
      </c>
      <c r="H172" s="18" t="n">
        <f aca="false">INDEX('Product Master'!$D$2:$D$21,MATCH(D172,'Product Master'!$A$2:$A$21,0))</f>
        <v>68</v>
      </c>
      <c r="I172" s="14" t="n">
        <f aca="false">G172*H172</f>
        <v>204</v>
      </c>
      <c r="J172" s="0" t="str">
        <f aca="false">IF(COUNTIF($A$2:A172,A172)&gt;1,"Duplicate","")</f>
        <v/>
      </c>
    </row>
    <row r="173" customFormat="false" ht="15" hidden="false" customHeight="false" outlineLevel="0" collapsed="false">
      <c r="A173" s="0" t="str">
        <f aca="false">'Raw Store Exports'!A173</f>
        <v>TXN01068</v>
      </c>
      <c r="B173" s="17" t="n">
        <f aca="false">'Raw Store Exports'!C173</f>
        <v>46080</v>
      </c>
      <c r="C173" s="0" t="str">
        <f aca="false">INDEX('Store Mapping'!$C$2:$C$19,MATCH(TRIM('Raw Store Exports'!B173),'Store Mapping'!$A$2:$A$19,0))</f>
        <v>Downtown</v>
      </c>
      <c r="D173" s="0" t="str">
        <f aca="false">'Raw Store Exports'!D173</f>
        <v>FTW-203</v>
      </c>
      <c r="E173" s="0" t="str">
        <f aca="false">INDEX('Product Master'!$B$2:$B$21,MATCH(D173,'Product Master'!$A$2:$A$21,0))</f>
        <v>Leather Ankle Boot</v>
      </c>
      <c r="F173" s="0" t="str">
        <f aca="false">INDEX('Product Master'!$C$2:$C$21,MATCH(D173,'Product Master'!$A$2:$A$21,0))</f>
        <v>Footwear</v>
      </c>
      <c r="G173" s="15" t="n">
        <f aca="false">VALUE(TRIM('Raw Store Exports'!E173&amp;""))</f>
        <v>4</v>
      </c>
      <c r="H173" s="18" t="n">
        <f aca="false">INDEX('Product Master'!$D$2:$D$21,MATCH(D173,'Product Master'!$A$2:$A$21,0))</f>
        <v>120</v>
      </c>
      <c r="I173" s="14" t="n">
        <f aca="false">G173*H173</f>
        <v>480</v>
      </c>
      <c r="J173" s="0" t="str">
        <f aca="false">IF(COUNTIF($A$2:A173,A173)&gt;1,"Duplicate","")</f>
        <v/>
      </c>
    </row>
    <row r="174" customFormat="false" ht="15" hidden="false" customHeight="false" outlineLevel="0" collapsed="false">
      <c r="A174" s="0" t="str">
        <f aca="false">'Raw Store Exports'!A174</f>
        <v>TXN00055</v>
      </c>
      <c r="B174" s="17" t="n">
        <f aca="false">'Raw Store Exports'!C174</f>
        <v>46030</v>
      </c>
      <c r="C174" s="0" t="str">
        <f aca="false">INDEX('Store Mapping'!$C$2:$C$19,MATCH(TRIM('Raw Store Exports'!B174),'Store Mapping'!$A$2:$A$19,0))</f>
        <v>Eastgate</v>
      </c>
      <c r="D174" s="0" t="str">
        <f aca="false">'Raw Store Exports'!D174</f>
        <v>APP-101</v>
      </c>
      <c r="E174" s="0" t="str">
        <f aca="false">INDEX('Product Master'!$B$2:$B$21,MATCH(D174,'Product Master'!$A$2:$A$21,0))</f>
        <v>Classic Denim Jacket</v>
      </c>
      <c r="F174" s="0" t="str">
        <f aca="false">INDEX('Product Master'!$C$2:$C$21,MATCH(D174,'Product Master'!$A$2:$A$21,0))</f>
        <v>Apparel</v>
      </c>
      <c r="G174" s="15" t="n">
        <f aca="false">VALUE(TRIM('Raw Store Exports'!E174&amp;""))</f>
        <v>2</v>
      </c>
      <c r="H174" s="18" t="n">
        <f aca="false">INDEX('Product Master'!$D$2:$D$21,MATCH(D174,'Product Master'!$A$2:$A$21,0))</f>
        <v>68</v>
      </c>
      <c r="I174" s="14" t="n">
        <f aca="false">G174*H174</f>
        <v>136</v>
      </c>
      <c r="J174" s="0" t="str">
        <f aca="false">IF(COUNTIF($A$2:A174,A174)&gt;1,"Duplicate","")</f>
        <v/>
      </c>
    </row>
    <row r="175" customFormat="false" ht="15" hidden="false" customHeight="false" outlineLevel="0" collapsed="false">
      <c r="A175" s="0" t="str">
        <f aca="false">'Raw Store Exports'!A175</f>
        <v>TXN00914</v>
      </c>
      <c r="B175" s="17" t="n">
        <f aca="false">'Raw Store Exports'!C175</f>
        <v>46074</v>
      </c>
      <c r="C175" s="0" t="str">
        <f aca="false">INDEX('Store Mapping'!$C$2:$C$19,MATCH(TRIM('Raw Store Exports'!B175),'Store Mapping'!$A$2:$A$19,0))</f>
        <v>Downtown</v>
      </c>
      <c r="D175" s="0" t="str">
        <f aca="false">'Raw Store Exports'!D175</f>
        <v>ACC-303</v>
      </c>
      <c r="E175" s="0" t="str">
        <f aca="false">INDEX('Product Master'!$B$2:$B$21,MATCH(D175,'Product Master'!$A$2:$A$21,0))</f>
        <v>Canvas Tote Bag</v>
      </c>
      <c r="F175" s="0" t="str">
        <f aca="false">INDEX('Product Master'!$C$2:$C$21,MATCH(D175,'Product Master'!$A$2:$A$21,0))</f>
        <v>Accessories</v>
      </c>
      <c r="G175" s="15" t="n">
        <f aca="false">VALUE(TRIM('Raw Store Exports'!E175&amp;""))</f>
        <v>6</v>
      </c>
      <c r="H175" s="18" t="n">
        <f aca="false">INDEX('Product Master'!$D$2:$D$21,MATCH(D175,'Product Master'!$A$2:$A$21,0))</f>
        <v>24</v>
      </c>
      <c r="I175" s="14" t="n">
        <f aca="false">G175*H175</f>
        <v>144</v>
      </c>
      <c r="J175" s="0" t="str">
        <f aca="false">IF(COUNTIF($A$2:A175,A175)&gt;1,"Duplicate","")</f>
        <v/>
      </c>
    </row>
    <row r="176" customFormat="false" ht="15" hidden="false" customHeight="false" outlineLevel="0" collapsed="false">
      <c r="A176" s="0" t="str">
        <f aca="false">'Raw Store Exports'!A176</f>
        <v>TXN00818</v>
      </c>
      <c r="B176" s="17" t="n">
        <f aca="false">'Raw Store Exports'!C176</f>
        <v>46066</v>
      </c>
      <c r="C176" s="0" t="str">
        <f aca="false">INDEX('Store Mapping'!$C$2:$C$19,MATCH(TRIM('Raw Store Exports'!B176),'Store Mapping'!$A$2:$A$19,0))</f>
        <v>Eastgate</v>
      </c>
      <c r="D176" s="0" t="str">
        <f aca="false">'Raw Store Exports'!D176</f>
        <v>APP-104</v>
      </c>
      <c r="E176" s="0" t="str">
        <f aca="false">INDEX('Product Master'!$B$2:$B$21,MATCH(D176,'Product Master'!$A$2:$A$21,0))</f>
        <v>Slim Fit Chinos</v>
      </c>
      <c r="F176" s="0" t="str">
        <f aca="false">INDEX('Product Master'!$C$2:$C$21,MATCH(D176,'Product Master'!$A$2:$A$21,0))</f>
        <v>Apparel</v>
      </c>
      <c r="G176" s="15" t="n">
        <f aca="false">VALUE(TRIM('Raw Store Exports'!E176&amp;""))</f>
        <v>2</v>
      </c>
      <c r="H176" s="18" t="n">
        <f aca="false">INDEX('Product Master'!$D$2:$D$21,MATCH(D176,'Product Master'!$A$2:$A$21,0))</f>
        <v>52</v>
      </c>
      <c r="I176" s="14" t="n">
        <f aca="false">G176*H176</f>
        <v>104</v>
      </c>
      <c r="J176" s="0" t="str">
        <f aca="false">IF(COUNTIF($A$2:A176,A176)&gt;1,"Duplicate","")</f>
        <v/>
      </c>
    </row>
    <row r="177" customFormat="false" ht="15" hidden="false" customHeight="false" outlineLevel="0" collapsed="false">
      <c r="A177" s="0" t="str">
        <f aca="false">'Raw Store Exports'!A177</f>
        <v>TXN00700</v>
      </c>
      <c r="B177" s="17" t="n">
        <f aca="false">'Raw Store Exports'!C177</f>
        <v>46059</v>
      </c>
      <c r="C177" s="0" t="str">
        <f aca="false">INDEX('Store Mapping'!$C$2:$C$19,MATCH(TRIM('Raw Store Exports'!B177),'Store Mapping'!$A$2:$A$19,0))</f>
        <v>Riverside</v>
      </c>
      <c r="D177" s="0" t="str">
        <f aca="false">'Raw Store Exports'!D177</f>
        <v>ELE-402</v>
      </c>
      <c r="E177" s="0" t="str">
        <f aca="false">INDEX('Product Master'!$B$2:$B$21,MATCH(D177,'Product Master'!$A$2:$A$21,0))</f>
        <v>Bluetooth Speaker</v>
      </c>
      <c r="F177" s="0" t="str">
        <f aca="false">INDEX('Product Master'!$C$2:$C$21,MATCH(D177,'Product Master'!$A$2:$A$21,0))</f>
        <v>Electronics</v>
      </c>
      <c r="G177" s="15" t="n">
        <f aca="false">VALUE(TRIM('Raw Store Exports'!E177&amp;""))</f>
        <v>1</v>
      </c>
      <c r="H177" s="18" t="n">
        <f aca="false">INDEX('Product Master'!$D$2:$D$21,MATCH(D177,'Product Master'!$A$2:$A$21,0))</f>
        <v>59</v>
      </c>
      <c r="I177" s="14" t="n">
        <f aca="false">G177*H177</f>
        <v>59</v>
      </c>
      <c r="J177" s="0" t="str">
        <f aca="false">IF(COUNTIF($A$2:A177,A177)&gt;1,"Duplicate","")</f>
        <v/>
      </c>
    </row>
    <row r="178" customFormat="false" ht="15" hidden="false" customHeight="false" outlineLevel="0" collapsed="false">
      <c r="A178" s="0" t="str">
        <f aca="false">'Raw Store Exports'!A178</f>
        <v>TXN00665</v>
      </c>
      <c r="B178" s="17" t="n">
        <f aca="false">'Raw Store Exports'!C178</f>
        <v>46055</v>
      </c>
      <c r="C178" s="0" t="str">
        <f aca="false">INDEX('Store Mapping'!$C$2:$C$19,MATCH(TRIM('Raw Store Exports'!B178),'Store Mapping'!$A$2:$A$19,0))</f>
        <v>Northpark</v>
      </c>
      <c r="D178" s="0" t="str">
        <f aca="false">'Raw Store Exports'!D178</f>
        <v>ACC-304</v>
      </c>
      <c r="E178" s="0" t="str">
        <f aca="false">INDEX('Product Master'!$B$2:$B$21,MATCH(D178,'Product Master'!$A$2:$A$21,0))</f>
        <v>Wool Beanie</v>
      </c>
      <c r="F178" s="0" t="str">
        <f aca="false">INDEX('Product Master'!$C$2:$C$21,MATCH(D178,'Product Master'!$A$2:$A$21,0))</f>
        <v>Accessories</v>
      </c>
      <c r="G178" s="15" t="n">
        <f aca="false">VALUE(TRIM('Raw Store Exports'!E178&amp;""))</f>
        <v>6</v>
      </c>
      <c r="H178" s="18" t="n">
        <f aca="false">INDEX('Product Master'!$D$2:$D$21,MATCH(D178,'Product Master'!$A$2:$A$21,0))</f>
        <v>16</v>
      </c>
      <c r="I178" s="14" t="n">
        <f aca="false">G178*H178</f>
        <v>96</v>
      </c>
      <c r="J178" s="0" t="str">
        <f aca="false">IF(COUNTIF($A$2:A178,A178)&gt;1,"Duplicate","")</f>
        <v/>
      </c>
    </row>
    <row r="179" customFormat="false" ht="15" hidden="false" customHeight="false" outlineLevel="0" collapsed="false">
      <c r="A179" s="0" t="str">
        <f aca="false">'Raw Store Exports'!A179</f>
        <v>TXN00540</v>
      </c>
      <c r="B179" s="17" t="n">
        <f aca="false">'Raw Store Exports'!C179</f>
        <v>46049</v>
      </c>
      <c r="C179" s="0" t="str">
        <f aca="false">INDEX('Store Mapping'!$C$2:$C$19,MATCH(TRIM('Raw Store Exports'!B179),'Store Mapping'!$A$2:$A$19,0))</f>
        <v>Riverside</v>
      </c>
      <c r="D179" s="0" t="str">
        <f aca="false">'Raw Store Exports'!D179</f>
        <v>HOM-503</v>
      </c>
      <c r="E179" s="0" t="str">
        <f aca="false">INDEX('Product Master'!$B$2:$B$21,MATCH(D179,'Product Master'!$A$2:$A$21,0))</f>
        <v>Cotton Throw Blanket</v>
      </c>
      <c r="F179" s="0" t="str">
        <f aca="false">INDEX('Product Master'!$C$2:$C$21,MATCH(D179,'Product Master'!$A$2:$A$21,0))</f>
        <v>Home Goods</v>
      </c>
      <c r="G179" s="15" t="n">
        <f aca="false">VALUE(TRIM('Raw Store Exports'!E179&amp;""))</f>
        <v>4</v>
      </c>
      <c r="H179" s="18" t="n">
        <f aca="false">INDEX('Product Master'!$D$2:$D$21,MATCH(D179,'Product Master'!$A$2:$A$21,0))</f>
        <v>38</v>
      </c>
      <c r="I179" s="14" t="n">
        <f aca="false">G179*H179</f>
        <v>152</v>
      </c>
      <c r="J179" s="0" t="str">
        <f aca="false">IF(COUNTIF($A$2:A179,A179)&gt;1,"Duplicate","")</f>
        <v/>
      </c>
    </row>
    <row r="180" customFormat="false" ht="15" hidden="false" customHeight="false" outlineLevel="0" collapsed="false">
      <c r="A180" s="0" t="str">
        <f aca="false">'Raw Store Exports'!A180</f>
        <v>TXN00527</v>
      </c>
      <c r="B180" s="17" t="n">
        <f aca="false">'Raw Store Exports'!C180</f>
        <v>46050</v>
      </c>
      <c r="C180" s="0" t="str">
        <f aca="false">INDEX('Store Mapping'!$C$2:$C$19,MATCH(TRIM('Raw Store Exports'!B180),'Store Mapping'!$A$2:$A$19,0))</f>
        <v>Northpark</v>
      </c>
      <c r="D180" s="0" t="str">
        <f aca="false">'Raw Store Exports'!D180</f>
        <v>HOM-502</v>
      </c>
      <c r="E180" s="0" t="str">
        <f aca="false">INDEX('Product Master'!$B$2:$B$21,MATCH(D180,'Product Master'!$A$2:$A$21,0))</f>
        <v>Scented Candle</v>
      </c>
      <c r="F180" s="0" t="str">
        <f aca="false">INDEX('Product Master'!$C$2:$C$21,MATCH(D180,'Product Master'!$A$2:$A$21,0))</f>
        <v>Home Goods</v>
      </c>
      <c r="G180" s="15" t="n">
        <f aca="false">VALUE(TRIM('Raw Store Exports'!E180&amp;""))</f>
        <v>5</v>
      </c>
      <c r="H180" s="18" t="n">
        <f aca="false">INDEX('Product Master'!$D$2:$D$21,MATCH(D180,'Product Master'!$A$2:$A$21,0))</f>
        <v>15</v>
      </c>
      <c r="I180" s="14" t="n">
        <f aca="false">G180*H180</f>
        <v>75</v>
      </c>
      <c r="J180" s="0" t="str">
        <f aca="false">IF(COUNTIF($A$2:A180,A180)&gt;1,"Duplicate","")</f>
        <v/>
      </c>
    </row>
    <row r="181" customFormat="false" ht="15" hidden="false" customHeight="false" outlineLevel="0" collapsed="false">
      <c r="A181" s="0" t="str">
        <f aca="false">'Raw Store Exports'!A181</f>
        <v>TXN00081</v>
      </c>
      <c r="B181" s="17" t="n">
        <f aca="false">'Raw Store Exports'!C181</f>
        <v>46029</v>
      </c>
      <c r="C181" s="0" t="str">
        <f aca="false">INDEX('Store Mapping'!$C$2:$C$19,MATCH(TRIM('Raw Store Exports'!B181),'Store Mapping'!$A$2:$A$19,0))</f>
        <v>Northpark</v>
      </c>
      <c r="D181" s="0" t="str">
        <f aca="false">'Raw Store Exports'!D181</f>
        <v>HOM-501</v>
      </c>
      <c r="E181" s="0" t="str">
        <f aca="false">INDEX('Product Master'!$B$2:$B$21,MATCH(D181,'Product Master'!$A$2:$A$21,0))</f>
        <v>Ceramic Coffee Mug Set</v>
      </c>
      <c r="F181" s="0" t="str">
        <f aca="false">INDEX('Product Master'!$C$2:$C$21,MATCH(D181,'Product Master'!$A$2:$A$21,0))</f>
        <v>Home Goods</v>
      </c>
      <c r="G181" s="15" t="n">
        <f aca="false">VALUE(TRIM('Raw Store Exports'!E181&amp;""))</f>
        <v>1</v>
      </c>
      <c r="H181" s="18" t="n">
        <f aca="false">INDEX('Product Master'!$D$2:$D$21,MATCH(D181,'Product Master'!$A$2:$A$21,0))</f>
        <v>22</v>
      </c>
      <c r="I181" s="14" t="n">
        <f aca="false">G181*H181</f>
        <v>22</v>
      </c>
      <c r="J181" s="0" t="str">
        <f aca="false">IF(COUNTIF($A$2:A181,A181)&gt;1,"Duplicate","")</f>
        <v/>
      </c>
    </row>
    <row r="182" customFormat="false" ht="15" hidden="false" customHeight="false" outlineLevel="0" collapsed="false">
      <c r="A182" s="0" t="str">
        <f aca="false">'Raw Store Exports'!A182</f>
        <v>TXN00378</v>
      </c>
      <c r="B182" s="17" t="n">
        <f aca="false">'Raw Store Exports'!C182</f>
        <v>46045</v>
      </c>
      <c r="C182" s="0" t="str">
        <f aca="false">INDEX('Store Mapping'!$C$2:$C$19,MATCH(TRIM('Raw Store Exports'!B182),'Store Mapping'!$A$2:$A$19,0))</f>
        <v>Riverside</v>
      </c>
      <c r="D182" s="0" t="str">
        <f aca="false">'Raw Store Exports'!D182</f>
        <v>APP-104</v>
      </c>
      <c r="E182" s="0" t="str">
        <f aca="false">INDEX('Product Master'!$B$2:$B$21,MATCH(D182,'Product Master'!$A$2:$A$21,0))</f>
        <v>Slim Fit Chinos</v>
      </c>
      <c r="F182" s="0" t="str">
        <f aca="false">INDEX('Product Master'!$C$2:$C$21,MATCH(D182,'Product Master'!$A$2:$A$21,0))</f>
        <v>Apparel</v>
      </c>
      <c r="G182" s="15" t="n">
        <f aca="false">VALUE(TRIM('Raw Store Exports'!E182&amp;""))</f>
        <v>4</v>
      </c>
      <c r="H182" s="18" t="n">
        <f aca="false">INDEX('Product Master'!$D$2:$D$21,MATCH(D182,'Product Master'!$A$2:$A$21,0))</f>
        <v>52</v>
      </c>
      <c r="I182" s="14" t="n">
        <f aca="false">G182*H182</f>
        <v>208</v>
      </c>
      <c r="J182" s="0" t="str">
        <f aca="false">IF(COUNTIF($A$2:A182,A182)&gt;1,"Duplicate","")</f>
        <v/>
      </c>
    </row>
    <row r="183" customFormat="false" ht="15" hidden="false" customHeight="false" outlineLevel="0" collapsed="false">
      <c r="A183" s="0" t="str">
        <f aca="false">'Raw Store Exports'!A183</f>
        <v>TXN00802</v>
      </c>
      <c r="B183" s="17" t="n">
        <f aca="false">'Raw Store Exports'!C183</f>
        <v>46066</v>
      </c>
      <c r="C183" s="0" t="str">
        <f aca="false">INDEX('Store Mapping'!$C$2:$C$19,MATCH(TRIM('Raw Store Exports'!B183),'Store Mapping'!$A$2:$A$19,0))</f>
        <v>Eastgate</v>
      </c>
      <c r="D183" s="0" t="str">
        <f aca="false">'Raw Store Exports'!D183</f>
        <v>ACC-304</v>
      </c>
      <c r="E183" s="0" t="str">
        <f aca="false">INDEX('Product Master'!$B$2:$B$21,MATCH(D183,'Product Master'!$A$2:$A$21,0))</f>
        <v>Wool Beanie</v>
      </c>
      <c r="F183" s="0" t="str">
        <f aca="false">INDEX('Product Master'!$C$2:$C$21,MATCH(D183,'Product Master'!$A$2:$A$21,0))</f>
        <v>Accessories</v>
      </c>
      <c r="G183" s="15" t="n">
        <f aca="false">VALUE(TRIM('Raw Store Exports'!E183&amp;""))</f>
        <v>3</v>
      </c>
      <c r="H183" s="18" t="n">
        <f aca="false">INDEX('Product Master'!$D$2:$D$21,MATCH(D183,'Product Master'!$A$2:$A$21,0))</f>
        <v>16</v>
      </c>
      <c r="I183" s="14" t="n">
        <f aca="false">G183*H183</f>
        <v>48</v>
      </c>
      <c r="J183" s="0" t="str">
        <f aca="false">IF(COUNTIF($A$2:A183,A183)&gt;1,"Duplicate","")</f>
        <v/>
      </c>
    </row>
    <row r="184" customFormat="false" ht="15" hidden="false" customHeight="false" outlineLevel="0" collapsed="false">
      <c r="A184" s="0" t="str">
        <f aca="false">'Raw Store Exports'!A184</f>
        <v>TXN00144</v>
      </c>
      <c r="B184" s="17" t="n">
        <f aca="false">'Raw Store Exports'!C184</f>
        <v>46035</v>
      </c>
      <c r="C184" s="0" t="str">
        <f aca="false">INDEX('Store Mapping'!$C$2:$C$19,MATCH(TRIM('Raw Store Exports'!B184),'Store Mapping'!$A$2:$A$19,0))</f>
        <v>Downtown</v>
      </c>
      <c r="D184" s="0" t="str">
        <f aca="false">'Raw Store Exports'!D184</f>
        <v>HOM-503</v>
      </c>
      <c r="E184" s="0" t="str">
        <f aca="false">INDEX('Product Master'!$B$2:$B$21,MATCH(D184,'Product Master'!$A$2:$A$21,0))</f>
        <v>Cotton Throw Blanket</v>
      </c>
      <c r="F184" s="0" t="str">
        <f aca="false">INDEX('Product Master'!$C$2:$C$21,MATCH(D184,'Product Master'!$A$2:$A$21,0))</f>
        <v>Home Goods</v>
      </c>
      <c r="G184" s="15" t="n">
        <f aca="false">VALUE(TRIM('Raw Store Exports'!E184&amp;""))</f>
        <v>4</v>
      </c>
      <c r="H184" s="18" t="n">
        <f aca="false">INDEX('Product Master'!$D$2:$D$21,MATCH(D184,'Product Master'!$A$2:$A$21,0))</f>
        <v>38</v>
      </c>
      <c r="I184" s="14" t="n">
        <f aca="false">G184*H184</f>
        <v>152</v>
      </c>
      <c r="J184" s="0" t="str">
        <f aca="false">IF(COUNTIF($A$2:A184,A184)&gt;1,"Duplicate","")</f>
        <v/>
      </c>
    </row>
    <row r="185" customFormat="false" ht="15" hidden="false" customHeight="false" outlineLevel="0" collapsed="false">
      <c r="A185" s="0" t="str">
        <f aca="false">'Raw Store Exports'!A185</f>
        <v>TXN00354</v>
      </c>
      <c r="B185" s="17" t="n">
        <f aca="false">'Raw Store Exports'!C185</f>
        <v>46045</v>
      </c>
      <c r="C185" s="0" t="str">
        <f aca="false">INDEX('Store Mapping'!$C$2:$C$19,MATCH(TRIM('Raw Store Exports'!B185),'Store Mapping'!$A$2:$A$19,0))</f>
        <v>Northpark</v>
      </c>
      <c r="D185" s="0" t="str">
        <f aca="false">'Raw Store Exports'!D185</f>
        <v>HOM-504</v>
      </c>
      <c r="E185" s="0" t="str">
        <f aca="false">INDEX('Product Master'!$B$2:$B$21,MATCH(D185,'Product Master'!$A$2:$A$21,0))</f>
        <v>Bamboo Cutting Board</v>
      </c>
      <c r="F185" s="0" t="str">
        <f aca="false">INDEX('Product Master'!$C$2:$C$21,MATCH(D185,'Product Master'!$A$2:$A$21,0))</f>
        <v>Home Goods</v>
      </c>
      <c r="G185" s="15" t="n">
        <f aca="false">VALUE(TRIM('Raw Store Exports'!E185&amp;""))</f>
        <v>5</v>
      </c>
      <c r="H185" s="18" t="n">
        <f aca="false">INDEX('Product Master'!$D$2:$D$21,MATCH(D185,'Product Master'!$A$2:$A$21,0))</f>
        <v>27</v>
      </c>
      <c r="I185" s="14" t="n">
        <f aca="false">G185*H185</f>
        <v>135</v>
      </c>
      <c r="J185" s="0" t="str">
        <f aca="false">IF(COUNTIF($A$2:A185,A185)&gt;1,"Duplicate","")</f>
        <v/>
      </c>
    </row>
    <row r="186" customFormat="false" ht="15" hidden="false" customHeight="false" outlineLevel="0" collapsed="false">
      <c r="A186" s="0" t="str">
        <f aca="false">'Raw Store Exports'!A186</f>
        <v>TXN00168</v>
      </c>
      <c r="B186" s="17" t="n">
        <f aca="false">'Raw Store Exports'!C186</f>
        <v>46038</v>
      </c>
      <c r="C186" s="0" t="str">
        <f aca="false">INDEX('Store Mapping'!$C$2:$C$19,MATCH(TRIM('Raw Store Exports'!B186),'Store Mapping'!$A$2:$A$19,0))</f>
        <v>Westside Mall</v>
      </c>
      <c r="D186" s="0" t="str">
        <f aca="false">'Raw Store Exports'!D186</f>
        <v>ACC-301</v>
      </c>
      <c r="E186" s="0" t="str">
        <f aca="false">INDEX('Product Master'!$B$2:$B$21,MATCH(D186,'Product Master'!$A$2:$A$21,0))</f>
        <v>Leather Belt</v>
      </c>
      <c r="F186" s="0" t="str">
        <f aca="false">INDEX('Product Master'!$C$2:$C$21,MATCH(D186,'Product Master'!$A$2:$A$21,0))</f>
        <v>Accessories</v>
      </c>
      <c r="G186" s="15" t="n">
        <f aca="false">VALUE(TRIM('Raw Store Exports'!E186&amp;""))</f>
        <v>5</v>
      </c>
      <c r="H186" s="18" t="n">
        <f aca="false">INDEX('Product Master'!$D$2:$D$21,MATCH(D186,'Product Master'!$A$2:$A$21,0))</f>
        <v>30</v>
      </c>
      <c r="I186" s="14" t="n">
        <f aca="false">G186*H186</f>
        <v>150</v>
      </c>
      <c r="J186" s="0" t="str">
        <f aca="false">IF(COUNTIF($A$2:A186,A186)&gt;1,"Duplicate","")</f>
        <v/>
      </c>
    </row>
    <row r="187" customFormat="false" ht="15" hidden="false" customHeight="false" outlineLevel="0" collapsed="false">
      <c r="A187" s="0" t="str">
        <f aca="false">'Raw Store Exports'!A187</f>
        <v>TXN00104</v>
      </c>
      <c r="B187" s="17" t="n">
        <f aca="false">'Raw Store Exports'!C187</f>
        <v>46028</v>
      </c>
      <c r="C187" s="0" t="str">
        <f aca="false">INDEX('Store Mapping'!$C$2:$C$19,MATCH(TRIM('Raw Store Exports'!B187),'Store Mapping'!$A$2:$A$19,0))</f>
        <v>Riverside</v>
      </c>
      <c r="D187" s="0" t="str">
        <f aca="false">'Raw Store Exports'!D187</f>
        <v>ACC-303</v>
      </c>
      <c r="E187" s="0" t="str">
        <f aca="false">INDEX('Product Master'!$B$2:$B$21,MATCH(D187,'Product Master'!$A$2:$A$21,0))</f>
        <v>Canvas Tote Bag</v>
      </c>
      <c r="F187" s="0" t="str">
        <f aca="false">INDEX('Product Master'!$C$2:$C$21,MATCH(D187,'Product Master'!$A$2:$A$21,0))</f>
        <v>Accessories</v>
      </c>
      <c r="G187" s="15" t="n">
        <f aca="false">VALUE(TRIM('Raw Store Exports'!E187&amp;""))</f>
        <v>6</v>
      </c>
      <c r="H187" s="18" t="n">
        <f aca="false">INDEX('Product Master'!$D$2:$D$21,MATCH(D187,'Product Master'!$A$2:$A$21,0))</f>
        <v>24</v>
      </c>
      <c r="I187" s="14" t="n">
        <f aca="false">G187*H187</f>
        <v>144</v>
      </c>
      <c r="J187" s="0" t="str">
        <f aca="false">IF(COUNTIF($A$2:A187,A187)&gt;1,"Duplicate","")</f>
        <v/>
      </c>
    </row>
    <row r="188" customFormat="false" ht="15" hidden="false" customHeight="false" outlineLevel="0" collapsed="false">
      <c r="A188" s="0" t="str">
        <f aca="false">'Raw Store Exports'!A188</f>
        <v>TXN00685</v>
      </c>
      <c r="B188" s="17" t="n">
        <f aca="false">'Raw Store Exports'!C188</f>
        <v>46060</v>
      </c>
      <c r="C188" s="0" t="str">
        <f aca="false">INDEX('Store Mapping'!$C$2:$C$19,MATCH(TRIM('Raw Store Exports'!B188),'Store Mapping'!$A$2:$A$19,0))</f>
        <v>Northpark</v>
      </c>
      <c r="D188" s="0" t="str">
        <f aca="false">'Raw Store Exports'!D188</f>
        <v>HOM-501</v>
      </c>
      <c r="E188" s="0" t="str">
        <f aca="false">INDEX('Product Master'!$B$2:$B$21,MATCH(D188,'Product Master'!$A$2:$A$21,0))</f>
        <v>Ceramic Coffee Mug Set</v>
      </c>
      <c r="F188" s="0" t="str">
        <f aca="false">INDEX('Product Master'!$C$2:$C$21,MATCH(D188,'Product Master'!$A$2:$A$21,0))</f>
        <v>Home Goods</v>
      </c>
      <c r="G188" s="15" t="n">
        <f aca="false">VALUE(TRIM('Raw Store Exports'!E188&amp;""))</f>
        <v>4</v>
      </c>
      <c r="H188" s="18" t="n">
        <f aca="false">INDEX('Product Master'!$D$2:$D$21,MATCH(D188,'Product Master'!$A$2:$A$21,0))</f>
        <v>22</v>
      </c>
      <c r="I188" s="14" t="n">
        <f aca="false">G188*H188</f>
        <v>88</v>
      </c>
      <c r="J188" s="0" t="str">
        <f aca="false">IF(COUNTIF($A$2:A188,A188)&gt;1,"Duplicate","")</f>
        <v/>
      </c>
    </row>
    <row r="189" customFormat="false" ht="15" hidden="false" customHeight="false" outlineLevel="0" collapsed="false">
      <c r="A189" s="0" t="str">
        <f aca="false">'Raw Store Exports'!A189</f>
        <v>TXN00865</v>
      </c>
      <c r="B189" s="17" t="n">
        <f aca="false">'Raw Store Exports'!C189</f>
        <v>46067</v>
      </c>
      <c r="C189" s="0" t="str">
        <f aca="false">INDEX('Store Mapping'!$C$2:$C$19,MATCH(TRIM('Raw Store Exports'!B189),'Store Mapping'!$A$2:$A$19,0))</f>
        <v>Riverside</v>
      </c>
      <c r="D189" s="0" t="str">
        <f aca="false">'Raw Store Exports'!D189</f>
        <v>FTW-204</v>
      </c>
      <c r="E189" s="0" t="str">
        <f aca="false">INDEX('Product Master'!$B$2:$B$21,MATCH(D189,'Product Master'!$A$2:$A$21,0))</f>
        <v>Slide Sandals</v>
      </c>
      <c r="F189" s="0" t="str">
        <f aca="false">INDEX('Product Master'!$C$2:$C$21,MATCH(D189,'Product Master'!$A$2:$A$21,0))</f>
        <v>Footwear</v>
      </c>
      <c r="G189" s="15" t="n">
        <f aca="false">VALUE(TRIM('Raw Store Exports'!E189&amp;""))</f>
        <v>6</v>
      </c>
      <c r="H189" s="18" t="n">
        <f aca="false">INDEX('Product Master'!$D$2:$D$21,MATCH(D189,'Product Master'!$A$2:$A$21,0))</f>
        <v>25</v>
      </c>
      <c r="I189" s="14" t="n">
        <f aca="false">G189*H189</f>
        <v>150</v>
      </c>
      <c r="J189" s="0" t="str">
        <f aca="false">IF(COUNTIF($A$2:A189,A189)&gt;1,"Duplicate","")</f>
        <v/>
      </c>
    </row>
    <row r="190" customFormat="false" ht="15" hidden="false" customHeight="false" outlineLevel="0" collapsed="false">
      <c r="A190" s="0" t="str">
        <f aca="false">'Raw Store Exports'!A190</f>
        <v>TXN00194</v>
      </c>
      <c r="B190" s="17" t="n">
        <f aca="false">'Raw Store Exports'!C190</f>
        <v>46034</v>
      </c>
      <c r="C190" s="0" t="str">
        <f aca="false">INDEX('Store Mapping'!$C$2:$C$19,MATCH(TRIM('Raw Store Exports'!B190),'Store Mapping'!$A$2:$A$19,0))</f>
        <v>Eastgate</v>
      </c>
      <c r="D190" s="0" t="str">
        <f aca="false">'Raw Store Exports'!D190</f>
        <v>ACC-302</v>
      </c>
      <c r="E190" s="0" t="str">
        <f aca="false">INDEX('Product Master'!$B$2:$B$21,MATCH(D190,'Product Master'!$A$2:$A$21,0))</f>
        <v>Aviator Sunglasses</v>
      </c>
      <c r="F190" s="0" t="str">
        <f aca="false">INDEX('Product Master'!$C$2:$C$21,MATCH(D190,'Product Master'!$A$2:$A$21,0))</f>
        <v>Accessories</v>
      </c>
      <c r="G190" s="15" t="n">
        <f aca="false">VALUE(TRIM('Raw Store Exports'!E190&amp;""))</f>
        <v>6</v>
      </c>
      <c r="H190" s="18" t="n">
        <f aca="false">INDEX('Product Master'!$D$2:$D$21,MATCH(D190,'Product Master'!$A$2:$A$21,0))</f>
        <v>42</v>
      </c>
      <c r="I190" s="14" t="n">
        <f aca="false">G190*H190</f>
        <v>252</v>
      </c>
      <c r="J190" s="0" t="str">
        <f aca="false">IF(COUNTIF($A$2:A190,A190)&gt;1,"Duplicate","")</f>
        <v/>
      </c>
    </row>
    <row r="191" customFormat="false" ht="15" hidden="false" customHeight="false" outlineLevel="0" collapsed="false">
      <c r="A191" s="0" t="str">
        <f aca="false">'Raw Store Exports'!A191</f>
        <v>TXN00411</v>
      </c>
      <c r="B191" s="17" t="n">
        <f aca="false">'Raw Store Exports'!C191</f>
        <v>46045</v>
      </c>
      <c r="C191" s="0" t="str">
        <f aca="false">INDEX('Store Mapping'!$C$2:$C$19,MATCH(TRIM('Raw Store Exports'!B191),'Store Mapping'!$A$2:$A$19,0))</f>
        <v>Airport Plaza</v>
      </c>
      <c r="D191" s="0" t="str">
        <f aca="false">'Raw Store Exports'!D191</f>
        <v>ELE-401</v>
      </c>
      <c r="E191" s="0" t="str">
        <f aca="false">INDEX('Product Master'!$B$2:$B$21,MATCH(D191,'Product Master'!$A$2:$A$21,0))</f>
        <v>Wireless Earbuds</v>
      </c>
      <c r="F191" s="0" t="str">
        <f aca="false">INDEX('Product Master'!$C$2:$C$21,MATCH(D191,'Product Master'!$A$2:$A$21,0))</f>
        <v>Electronics</v>
      </c>
      <c r="G191" s="15" t="n">
        <f aca="false">VALUE(TRIM('Raw Store Exports'!E191&amp;""))</f>
        <v>4</v>
      </c>
      <c r="H191" s="18" t="n">
        <f aca="false">INDEX('Product Master'!$D$2:$D$21,MATCH(D191,'Product Master'!$A$2:$A$21,0))</f>
        <v>79</v>
      </c>
      <c r="I191" s="14" t="n">
        <f aca="false">G191*H191</f>
        <v>316</v>
      </c>
      <c r="J191" s="0" t="str">
        <f aca="false">IF(COUNTIF($A$2:A191,A191)&gt;1,"Duplicate","")</f>
        <v/>
      </c>
    </row>
    <row r="192" customFormat="false" ht="15" hidden="false" customHeight="false" outlineLevel="0" collapsed="false">
      <c r="A192" s="0" t="str">
        <f aca="false">'Raw Store Exports'!A192</f>
        <v>TXN00637</v>
      </c>
      <c r="B192" s="17" t="n">
        <f aca="false">'Raw Store Exports'!C192</f>
        <v>46056</v>
      </c>
      <c r="C192" s="0" t="str">
        <f aca="false">INDEX('Store Mapping'!$C$2:$C$19,MATCH(TRIM('Raw Store Exports'!B192),'Store Mapping'!$A$2:$A$19,0))</f>
        <v>Westside Mall</v>
      </c>
      <c r="D192" s="0" t="str">
        <f aca="false">'Raw Store Exports'!D192</f>
        <v>HOM-504</v>
      </c>
      <c r="E192" s="0" t="str">
        <f aca="false">INDEX('Product Master'!$B$2:$B$21,MATCH(D192,'Product Master'!$A$2:$A$21,0))</f>
        <v>Bamboo Cutting Board</v>
      </c>
      <c r="F192" s="0" t="str">
        <f aca="false">INDEX('Product Master'!$C$2:$C$21,MATCH(D192,'Product Master'!$A$2:$A$21,0))</f>
        <v>Home Goods</v>
      </c>
      <c r="G192" s="15" t="n">
        <f aca="false">VALUE(TRIM('Raw Store Exports'!E192&amp;""))</f>
        <v>2</v>
      </c>
      <c r="H192" s="18" t="n">
        <f aca="false">INDEX('Product Master'!$D$2:$D$21,MATCH(D192,'Product Master'!$A$2:$A$21,0))</f>
        <v>27</v>
      </c>
      <c r="I192" s="14" t="n">
        <f aca="false">G192*H192</f>
        <v>54</v>
      </c>
      <c r="J192" s="0" t="str">
        <f aca="false">IF(COUNTIF($A$2:A192,A192)&gt;1,"Duplicate","")</f>
        <v/>
      </c>
    </row>
    <row r="193" customFormat="false" ht="15" hidden="false" customHeight="false" outlineLevel="0" collapsed="false">
      <c r="A193" s="0" t="str">
        <f aca="false">'Raw Store Exports'!A193</f>
        <v>TXN01038</v>
      </c>
      <c r="B193" s="17" t="n">
        <f aca="false">'Raw Store Exports'!C193</f>
        <v>46071</v>
      </c>
      <c r="C193" s="0" t="str">
        <f aca="false">INDEX('Store Mapping'!$C$2:$C$19,MATCH(TRIM('Raw Store Exports'!B193),'Store Mapping'!$A$2:$A$19,0))</f>
        <v>Airport Plaza</v>
      </c>
      <c r="D193" s="0" t="str">
        <f aca="false">'Raw Store Exports'!D193</f>
        <v>FTW-203</v>
      </c>
      <c r="E193" s="0" t="str">
        <f aca="false">INDEX('Product Master'!$B$2:$B$21,MATCH(D193,'Product Master'!$A$2:$A$21,0))</f>
        <v>Leather Ankle Boot</v>
      </c>
      <c r="F193" s="0" t="str">
        <f aca="false">INDEX('Product Master'!$C$2:$C$21,MATCH(D193,'Product Master'!$A$2:$A$21,0))</f>
        <v>Footwear</v>
      </c>
      <c r="G193" s="15" t="n">
        <f aca="false">VALUE(TRIM('Raw Store Exports'!E193&amp;""))</f>
        <v>2</v>
      </c>
      <c r="H193" s="18" t="n">
        <f aca="false">INDEX('Product Master'!$D$2:$D$21,MATCH(D193,'Product Master'!$A$2:$A$21,0))</f>
        <v>120</v>
      </c>
      <c r="I193" s="14" t="n">
        <f aca="false">G193*H193</f>
        <v>240</v>
      </c>
      <c r="J193" s="0" t="str">
        <f aca="false">IF(COUNTIF($A$2:A193,A193)&gt;1,"Duplicate","")</f>
        <v/>
      </c>
    </row>
    <row r="194" customFormat="false" ht="15" hidden="false" customHeight="false" outlineLevel="0" collapsed="false">
      <c r="A194" s="0" t="str">
        <f aca="false">'Raw Store Exports'!A194</f>
        <v>TXN00327</v>
      </c>
      <c r="B194" s="17" t="n">
        <f aca="false">'Raw Store Exports'!C194</f>
        <v>46042</v>
      </c>
      <c r="C194" s="0" t="str">
        <f aca="false">INDEX('Store Mapping'!$C$2:$C$19,MATCH(TRIM('Raw Store Exports'!B194),'Store Mapping'!$A$2:$A$19,0))</f>
        <v>Eastgate</v>
      </c>
      <c r="D194" s="0" t="str">
        <f aca="false">'Raw Store Exports'!D194</f>
        <v>HOM-503</v>
      </c>
      <c r="E194" s="0" t="str">
        <f aca="false">INDEX('Product Master'!$B$2:$B$21,MATCH(D194,'Product Master'!$A$2:$A$21,0))</f>
        <v>Cotton Throw Blanket</v>
      </c>
      <c r="F194" s="0" t="str">
        <f aca="false">INDEX('Product Master'!$C$2:$C$21,MATCH(D194,'Product Master'!$A$2:$A$21,0))</f>
        <v>Home Goods</v>
      </c>
      <c r="G194" s="15" t="n">
        <f aca="false">VALUE(TRIM('Raw Store Exports'!E194&amp;""))</f>
        <v>1</v>
      </c>
      <c r="H194" s="18" t="n">
        <f aca="false">INDEX('Product Master'!$D$2:$D$21,MATCH(D194,'Product Master'!$A$2:$A$21,0))</f>
        <v>38</v>
      </c>
      <c r="I194" s="14" t="n">
        <f aca="false">G194*H194</f>
        <v>38</v>
      </c>
      <c r="J194" s="0" t="str">
        <f aca="false">IF(COUNTIF($A$2:A194,A194)&gt;1,"Duplicate","")</f>
        <v/>
      </c>
    </row>
    <row r="195" customFormat="false" ht="15" hidden="false" customHeight="false" outlineLevel="0" collapsed="false">
      <c r="A195" s="0" t="str">
        <f aca="false">'Raw Store Exports'!A195</f>
        <v>TXN00404</v>
      </c>
      <c r="B195" s="17" t="n">
        <f aca="false">'Raw Store Exports'!C195</f>
        <v>46043</v>
      </c>
      <c r="C195" s="0" t="str">
        <f aca="false">INDEX('Store Mapping'!$C$2:$C$19,MATCH(TRIM('Raw Store Exports'!B195),'Store Mapping'!$A$2:$A$19,0))</f>
        <v>Airport Plaza</v>
      </c>
      <c r="D195" s="0" t="str">
        <f aca="false">'Raw Store Exports'!D195</f>
        <v>APP-103</v>
      </c>
      <c r="E195" s="0" t="str">
        <f aca="false">INDEX('Product Master'!$B$2:$B$21,MATCH(D195,'Product Master'!$A$2:$A$21,0))</f>
        <v>Fleece Pullover Hoodie</v>
      </c>
      <c r="F195" s="0" t="str">
        <f aca="false">INDEX('Product Master'!$C$2:$C$21,MATCH(D195,'Product Master'!$A$2:$A$21,0))</f>
        <v>Apparel</v>
      </c>
      <c r="G195" s="15" t="n">
        <f aca="false">VALUE(TRIM('Raw Store Exports'!E195&amp;""))</f>
        <v>5</v>
      </c>
      <c r="H195" s="18" t="n">
        <f aca="false">INDEX('Product Master'!$D$2:$D$21,MATCH(D195,'Product Master'!$A$2:$A$21,0))</f>
        <v>45</v>
      </c>
      <c r="I195" s="14" t="n">
        <f aca="false">G195*H195</f>
        <v>225</v>
      </c>
      <c r="J195" s="0" t="str">
        <f aca="false">IF(COUNTIF($A$2:A195,A195)&gt;1,"Duplicate","")</f>
        <v/>
      </c>
    </row>
    <row r="196" customFormat="false" ht="15" hidden="false" customHeight="false" outlineLevel="0" collapsed="false">
      <c r="A196" s="0" t="str">
        <f aca="false">'Raw Store Exports'!A196</f>
        <v>TXN00390</v>
      </c>
      <c r="B196" s="17" t="n">
        <f aca="false">'Raw Store Exports'!C196</f>
        <v>46046</v>
      </c>
      <c r="C196" s="0" t="str">
        <f aca="false">INDEX('Store Mapping'!$C$2:$C$19,MATCH(TRIM('Raw Store Exports'!B196),'Store Mapping'!$A$2:$A$19,0))</f>
        <v>Riverside</v>
      </c>
      <c r="D196" s="0" t="str">
        <f aca="false">'Raw Store Exports'!D196</f>
        <v>ELE-402</v>
      </c>
      <c r="E196" s="0" t="str">
        <f aca="false">INDEX('Product Master'!$B$2:$B$21,MATCH(D196,'Product Master'!$A$2:$A$21,0))</f>
        <v>Bluetooth Speaker</v>
      </c>
      <c r="F196" s="0" t="str">
        <f aca="false">INDEX('Product Master'!$C$2:$C$21,MATCH(D196,'Product Master'!$A$2:$A$21,0))</f>
        <v>Electronics</v>
      </c>
      <c r="G196" s="15" t="n">
        <f aca="false">VALUE(TRIM('Raw Store Exports'!E196&amp;""))</f>
        <v>3</v>
      </c>
      <c r="H196" s="18" t="n">
        <f aca="false">INDEX('Product Master'!$D$2:$D$21,MATCH(D196,'Product Master'!$A$2:$A$21,0))</f>
        <v>59</v>
      </c>
      <c r="I196" s="14" t="n">
        <f aca="false">G196*H196</f>
        <v>177</v>
      </c>
      <c r="J196" s="0" t="str">
        <f aca="false">IF(COUNTIF($A$2:A196,A196)&gt;1,"Duplicate","")</f>
        <v/>
      </c>
    </row>
    <row r="197" customFormat="false" ht="15" hidden="false" customHeight="false" outlineLevel="0" collapsed="false">
      <c r="A197" s="0" t="str">
        <f aca="false">'Raw Store Exports'!A197</f>
        <v>TXN00257</v>
      </c>
      <c r="B197" s="17" t="n">
        <f aca="false">'Raw Store Exports'!C197</f>
        <v>46034</v>
      </c>
      <c r="C197" s="0" t="str">
        <f aca="false">INDEX('Store Mapping'!$C$2:$C$19,MATCH(TRIM('Raw Store Exports'!B197),'Store Mapping'!$A$2:$A$19,0))</f>
        <v>Airport Plaza</v>
      </c>
      <c r="D197" s="0" t="str">
        <f aca="false">'Raw Store Exports'!D197</f>
        <v>FTW-202</v>
      </c>
      <c r="E197" s="0" t="str">
        <f aca="false">INDEX('Product Master'!$B$2:$B$21,MATCH(D197,'Product Master'!$A$2:$A$21,0))</f>
        <v>Canvas Low-Top</v>
      </c>
      <c r="F197" s="0" t="str">
        <f aca="false">INDEX('Product Master'!$C$2:$C$21,MATCH(D197,'Product Master'!$A$2:$A$21,0))</f>
        <v>Footwear</v>
      </c>
      <c r="G197" s="15" t="n">
        <f aca="false">VALUE(TRIM('Raw Store Exports'!E197&amp;""))</f>
        <v>2</v>
      </c>
      <c r="H197" s="18" t="n">
        <f aca="false">INDEX('Product Master'!$D$2:$D$21,MATCH(D197,'Product Master'!$A$2:$A$21,0))</f>
        <v>55</v>
      </c>
      <c r="I197" s="14" t="n">
        <f aca="false">G197*H197</f>
        <v>110</v>
      </c>
      <c r="J197" s="0" t="str">
        <f aca="false">IF(COUNTIF($A$2:A197,A197)&gt;1,"Duplicate","")</f>
        <v/>
      </c>
    </row>
    <row r="198" customFormat="false" ht="15" hidden="false" customHeight="false" outlineLevel="0" collapsed="false">
      <c r="A198" s="0" t="str">
        <f aca="false">'Raw Store Exports'!A198</f>
        <v>TXN00964</v>
      </c>
      <c r="B198" s="17" t="n">
        <f aca="false">'Raw Store Exports'!C198</f>
        <v>46069</v>
      </c>
      <c r="C198" s="0" t="str">
        <f aca="false">INDEX('Store Mapping'!$C$2:$C$19,MATCH(TRIM('Raw Store Exports'!B198),'Store Mapping'!$A$2:$A$19,0))</f>
        <v>Eastgate</v>
      </c>
      <c r="D198" s="0" t="str">
        <f aca="false">'Raw Store Exports'!D198</f>
        <v>HOM-503</v>
      </c>
      <c r="E198" s="0" t="str">
        <f aca="false">INDEX('Product Master'!$B$2:$B$21,MATCH(D198,'Product Master'!$A$2:$A$21,0))</f>
        <v>Cotton Throw Blanket</v>
      </c>
      <c r="F198" s="0" t="str">
        <f aca="false">INDEX('Product Master'!$C$2:$C$21,MATCH(D198,'Product Master'!$A$2:$A$21,0))</f>
        <v>Home Goods</v>
      </c>
      <c r="G198" s="15" t="n">
        <f aca="false">VALUE(TRIM('Raw Store Exports'!E198&amp;""))</f>
        <v>6</v>
      </c>
      <c r="H198" s="18" t="n">
        <f aca="false">INDEX('Product Master'!$D$2:$D$21,MATCH(D198,'Product Master'!$A$2:$A$21,0))</f>
        <v>38</v>
      </c>
      <c r="I198" s="14" t="n">
        <f aca="false">G198*H198</f>
        <v>228</v>
      </c>
      <c r="J198" s="0" t="str">
        <f aca="false">IF(COUNTIF($A$2:A198,A198)&gt;1,"Duplicate","")</f>
        <v/>
      </c>
    </row>
    <row r="199" customFormat="false" ht="15" hidden="false" customHeight="false" outlineLevel="0" collapsed="false">
      <c r="A199" s="0" t="str">
        <f aca="false">'Raw Store Exports'!A199</f>
        <v>TXN00785</v>
      </c>
      <c r="B199" s="17" t="n">
        <f aca="false">'Raw Store Exports'!C199</f>
        <v>46068</v>
      </c>
      <c r="C199" s="0" t="str">
        <f aca="false">INDEX('Store Mapping'!$C$2:$C$19,MATCH(TRIM('Raw Store Exports'!B199),'Store Mapping'!$A$2:$A$19,0))</f>
        <v>Westside Mall</v>
      </c>
      <c r="D199" s="0" t="str">
        <f aca="false">'Raw Store Exports'!D199</f>
        <v>FTW-203</v>
      </c>
      <c r="E199" s="0" t="str">
        <f aca="false">INDEX('Product Master'!$B$2:$B$21,MATCH(D199,'Product Master'!$A$2:$A$21,0))</f>
        <v>Leather Ankle Boot</v>
      </c>
      <c r="F199" s="0" t="str">
        <f aca="false">INDEX('Product Master'!$C$2:$C$21,MATCH(D199,'Product Master'!$A$2:$A$21,0))</f>
        <v>Footwear</v>
      </c>
      <c r="G199" s="15" t="n">
        <f aca="false">VALUE(TRIM('Raw Store Exports'!E199&amp;""))</f>
        <v>5</v>
      </c>
      <c r="H199" s="18" t="n">
        <f aca="false">INDEX('Product Master'!$D$2:$D$21,MATCH(D199,'Product Master'!$A$2:$A$21,0))</f>
        <v>120</v>
      </c>
      <c r="I199" s="14" t="n">
        <f aca="false">G199*H199</f>
        <v>600</v>
      </c>
      <c r="J199" s="0" t="str">
        <f aca="false">IF(COUNTIF($A$2:A199,A199)&gt;1,"Duplicate","")</f>
        <v/>
      </c>
    </row>
    <row r="200" customFormat="false" ht="15" hidden="false" customHeight="false" outlineLevel="0" collapsed="false">
      <c r="A200" s="0" t="str">
        <f aca="false">'Raw Store Exports'!A200</f>
        <v>TXN00298</v>
      </c>
      <c r="B200" s="17" t="n">
        <f aca="false">'Raw Store Exports'!C200</f>
        <v>46047</v>
      </c>
      <c r="C200" s="0" t="str">
        <f aca="false">INDEX('Store Mapping'!$C$2:$C$19,MATCH(TRIM('Raw Store Exports'!B200),'Store Mapping'!$A$2:$A$19,0))</f>
        <v>Downtown</v>
      </c>
      <c r="D200" s="0" t="str">
        <f aca="false">'Raw Store Exports'!D200</f>
        <v>FTW-202</v>
      </c>
      <c r="E200" s="0" t="str">
        <f aca="false">INDEX('Product Master'!$B$2:$B$21,MATCH(D200,'Product Master'!$A$2:$A$21,0))</f>
        <v>Canvas Low-Top</v>
      </c>
      <c r="F200" s="0" t="str">
        <f aca="false">INDEX('Product Master'!$C$2:$C$21,MATCH(D200,'Product Master'!$A$2:$A$21,0))</f>
        <v>Footwear</v>
      </c>
      <c r="G200" s="15" t="n">
        <f aca="false">VALUE(TRIM('Raw Store Exports'!E200&amp;""))</f>
        <v>6</v>
      </c>
      <c r="H200" s="18" t="n">
        <f aca="false">INDEX('Product Master'!$D$2:$D$21,MATCH(D200,'Product Master'!$A$2:$A$21,0))</f>
        <v>55</v>
      </c>
      <c r="I200" s="14" t="n">
        <f aca="false">G200*H200</f>
        <v>330</v>
      </c>
      <c r="J200" s="0" t="str">
        <f aca="false">IF(COUNTIF($A$2:A200,A200)&gt;1,"Duplicate","")</f>
        <v/>
      </c>
    </row>
    <row r="201" customFormat="false" ht="15" hidden="false" customHeight="false" outlineLevel="0" collapsed="false">
      <c r="A201" s="0" t="str">
        <f aca="false">'Raw Store Exports'!A201</f>
        <v>TXN00417</v>
      </c>
      <c r="B201" s="17" t="n">
        <f aca="false">'Raw Store Exports'!C201</f>
        <v>46047</v>
      </c>
      <c r="C201" s="0" t="str">
        <f aca="false">INDEX('Store Mapping'!$C$2:$C$19,MATCH(TRIM('Raw Store Exports'!B201),'Store Mapping'!$A$2:$A$19,0))</f>
        <v>Airport Plaza</v>
      </c>
      <c r="D201" s="0" t="str">
        <f aca="false">'Raw Store Exports'!D201</f>
        <v>ACC-304</v>
      </c>
      <c r="E201" s="0" t="str">
        <f aca="false">INDEX('Product Master'!$B$2:$B$21,MATCH(D201,'Product Master'!$A$2:$A$21,0))</f>
        <v>Wool Beanie</v>
      </c>
      <c r="F201" s="0" t="str">
        <f aca="false">INDEX('Product Master'!$C$2:$C$21,MATCH(D201,'Product Master'!$A$2:$A$21,0))</f>
        <v>Accessories</v>
      </c>
      <c r="G201" s="15" t="n">
        <f aca="false">VALUE(TRIM('Raw Store Exports'!E201&amp;""))</f>
        <v>3</v>
      </c>
      <c r="H201" s="18" t="n">
        <f aca="false">INDEX('Product Master'!$D$2:$D$21,MATCH(D201,'Product Master'!$A$2:$A$21,0))</f>
        <v>16</v>
      </c>
      <c r="I201" s="14" t="n">
        <f aca="false">G201*H201</f>
        <v>48</v>
      </c>
      <c r="J201" s="0" t="str">
        <f aca="false">IF(COUNTIF($A$2:A201,A201)&gt;1,"Duplicate","")</f>
        <v/>
      </c>
    </row>
    <row r="202" customFormat="false" ht="15" hidden="false" customHeight="false" outlineLevel="0" collapsed="false">
      <c r="A202" s="0" t="str">
        <f aca="false">'Raw Store Exports'!A202</f>
        <v>TXN00931</v>
      </c>
      <c r="B202" s="17" t="n">
        <f aca="false">'Raw Store Exports'!C202</f>
        <v>46070</v>
      </c>
      <c r="C202" s="0" t="str">
        <f aca="false">INDEX('Store Mapping'!$C$2:$C$19,MATCH(TRIM('Raw Store Exports'!B202),'Store Mapping'!$A$2:$A$19,0))</f>
        <v>Westside Mall</v>
      </c>
      <c r="D202" s="0" t="str">
        <f aca="false">'Raw Store Exports'!D202</f>
        <v>FTW-203</v>
      </c>
      <c r="E202" s="0" t="str">
        <f aca="false">INDEX('Product Master'!$B$2:$B$21,MATCH(D202,'Product Master'!$A$2:$A$21,0))</f>
        <v>Leather Ankle Boot</v>
      </c>
      <c r="F202" s="0" t="str">
        <f aca="false">INDEX('Product Master'!$C$2:$C$21,MATCH(D202,'Product Master'!$A$2:$A$21,0))</f>
        <v>Footwear</v>
      </c>
      <c r="G202" s="15" t="n">
        <f aca="false">VALUE(TRIM('Raw Store Exports'!E202&amp;""))</f>
        <v>4</v>
      </c>
      <c r="H202" s="18" t="n">
        <f aca="false">INDEX('Product Master'!$D$2:$D$21,MATCH(D202,'Product Master'!$A$2:$A$21,0))</f>
        <v>120</v>
      </c>
      <c r="I202" s="14" t="n">
        <f aca="false">G202*H202</f>
        <v>480</v>
      </c>
      <c r="J202" s="0" t="str">
        <f aca="false">IF(COUNTIF($A$2:A202,A202)&gt;1,"Duplicate","")</f>
        <v/>
      </c>
    </row>
    <row r="203" customFormat="false" ht="15" hidden="false" customHeight="false" outlineLevel="0" collapsed="false">
      <c r="A203" s="0" t="str">
        <f aca="false">'Raw Store Exports'!A203</f>
        <v>TXN00444</v>
      </c>
      <c r="B203" s="17" t="n">
        <f aca="false">'Raw Store Exports'!C203</f>
        <v>46054</v>
      </c>
      <c r="C203" s="0" t="str">
        <f aca="false">INDEX('Store Mapping'!$C$2:$C$19,MATCH(TRIM('Raw Store Exports'!B203),'Store Mapping'!$A$2:$A$19,0))</f>
        <v>Downtown</v>
      </c>
      <c r="D203" s="0" t="str">
        <f aca="false">'Raw Store Exports'!D203</f>
        <v>FTW-204</v>
      </c>
      <c r="E203" s="0" t="str">
        <f aca="false">INDEX('Product Master'!$B$2:$B$21,MATCH(D203,'Product Master'!$A$2:$A$21,0))</f>
        <v>Slide Sandals</v>
      </c>
      <c r="F203" s="0" t="str">
        <f aca="false">INDEX('Product Master'!$C$2:$C$21,MATCH(D203,'Product Master'!$A$2:$A$21,0))</f>
        <v>Footwear</v>
      </c>
      <c r="G203" s="15" t="n">
        <f aca="false">VALUE(TRIM('Raw Store Exports'!E203&amp;""))</f>
        <v>5</v>
      </c>
      <c r="H203" s="18" t="n">
        <f aca="false">INDEX('Product Master'!$D$2:$D$21,MATCH(D203,'Product Master'!$A$2:$A$21,0))</f>
        <v>25</v>
      </c>
      <c r="I203" s="14" t="n">
        <f aca="false">G203*H203</f>
        <v>125</v>
      </c>
      <c r="J203" s="0" t="str">
        <f aca="false">IF(COUNTIF($A$2:A203,A203)&gt;1,"Duplicate","")</f>
        <v/>
      </c>
    </row>
    <row r="204" customFormat="false" ht="15" hidden="false" customHeight="false" outlineLevel="0" collapsed="false">
      <c r="A204" s="0" t="str">
        <f aca="false">'Raw Store Exports'!A204</f>
        <v>TXN00121</v>
      </c>
      <c r="B204" s="17" t="n">
        <f aca="false">'Raw Store Exports'!C204</f>
        <v>46031</v>
      </c>
      <c r="C204" s="0" t="str">
        <f aca="false">INDEX('Store Mapping'!$C$2:$C$19,MATCH(TRIM('Raw Store Exports'!B204),'Store Mapping'!$A$2:$A$19,0))</f>
        <v>Airport Plaza</v>
      </c>
      <c r="D204" s="0" t="str">
        <f aca="false">'Raw Store Exports'!D204</f>
        <v>ELE-404</v>
      </c>
      <c r="E204" s="0" t="str">
        <f aca="false">INDEX('Product Master'!$B$2:$B$21,MATCH(D204,'Product Master'!$A$2:$A$21,0))</f>
        <v>Phone Charging Cable</v>
      </c>
      <c r="F204" s="0" t="str">
        <f aca="false">INDEX('Product Master'!$C$2:$C$21,MATCH(D204,'Product Master'!$A$2:$A$21,0))</f>
        <v>Electronics</v>
      </c>
      <c r="G204" s="15" t="n">
        <f aca="false">VALUE(TRIM('Raw Store Exports'!E204&amp;""))</f>
        <v>2</v>
      </c>
      <c r="H204" s="18" t="n">
        <f aca="false">INDEX('Product Master'!$D$2:$D$21,MATCH(D204,'Product Master'!$A$2:$A$21,0))</f>
        <v>12</v>
      </c>
      <c r="I204" s="14" t="n">
        <f aca="false">G204*H204</f>
        <v>24</v>
      </c>
      <c r="J204" s="0" t="str">
        <f aca="false">IF(COUNTIF($A$2:A204,A204)&gt;1,"Duplicate","")</f>
        <v/>
      </c>
    </row>
    <row r="205" customFormat="false" ht="15" hidden="false" customHeight="false" outlineLevel="0" collapsed="false">
      <c r="A205" s="0" t="str">
        <f aca="false">'Raw Store Exports'!A205</f>
        <v>TXN00762</v>
      </c>
      <c r="B205" s="17" t="n">
        <f aca="false">'Raw Store Exports'!C205</f>
        <v>46066</v>
      </c>
      <c r="C205" s="0" t="str">
        <f aca="false">INDEX('Store Mapping'!$C$2:$C$19,MATCH(TRIM('Raw Store Exports'!B205),'Store Mapping'!$A$2:$A$19,0))</f>
        <v>Downtown</v>
      </c>
      <c r="D205" s="0" t="str">
        <f aca="false">'Raw Store Exports'!D205</f>
        <v>APP-103</v>
      </c>
      <c r="E205" s="0" t="str">
        <f aca="false">INDEX('Product Master'!$B$2:$B$21,MATCH(D205,'Product Master'!$A$2:$A$21,0))</f>
        <v>Fleece Pullover Hoodie</v>
      </c>
      <c r="F205" s="0" t="str">
        <f aca="false">INDEX('Product Master'!$C$2:$C$21,MATCH(D205,'Product Master'!$A$2:$A$21,0))</f>
        <v>Apparel</v>
      </c>
      <c r="G205" s="15" t="n">
        <f aca="false">VALUE(TRIM('Raw Store Exports'!E205&amp;""))</f>
        <v>5</v>
      </c>
      <c r="H205" s="18" t="n">
        <f aca="false">INDEX('Product Master'!$D$2:$D$21,MATCH(D205,'Product Master'!$A$2:$A$21,0))</f>
        <v>45</v>
      </c>
      <c r="I205" s="14" t="n">
        <f aca="false">G205*H205</f>
        <v>225</v>
      </c>
      <c r="J205" s="0" t="str">
        <f aca="false">IF(COUNTIF($A$2:A205,A205)&gt;1,"Duplicate","")</f>
        <v/>
      </c>
    </row>
    <row r="206" customFormat="false" ht="15" hidden="false" customHeight="false" outlineLevel="0" collapsed="false">
      <c r="A206" s="0" t="str">
        <f aca="false">'Raw Store Exports'!A206</f>
        <v>TXN00583</v>
      </c>
      <c r="B206" s="17" t="n">
        <f aca="false">'Raw Store Exports'!C206</f>
        <v>46049</v>
      </c>
      <c r="C206" s="0" t="str">
        <f aca="false">INDEX('Store Mapping'!$C$2:$C$19,MATCH(TRIM('Raw Store Exports'!B206),'Store Mapping'!$A$2:$A$19,0))</f>
        <v>Airport Plaza</v>
      </c>
      <c r="D206" s="0" t="str">
        <f aca="false">'Raw Store Exports'!D206</f>
        <v>FTW-204</v>
      </c>
      <c r="E206" s="0" t="str">
        <f aca="false">INDEX('Product Master'!$B$2:$B$21,MATCH(D206,'Product Master'!$A$2:$A$21,0))</f>
        <v>Slide Sandals</v>
      </c>
      <c r="F206" s="0" t="str">
        <f aca="false">INDEX('Product Master'!$C$2:$C$21,MATCH(D206,'Product Master'!$A$2:$A$21,0))</f>
        <v>Footwear</v>
      </c>
      <c r="G206" s="15" t="n">
        <f aca="false">VALUE(TRIM('Raw Store Exports'!E206&amp;""))</f>
        <v>2</v>
      </c>
      <c r="H206" s="18" t="n">
        <f aca="false">INDEX('Product Master'!$D$2:$D$21,MATCH(D206,'Product Master'!$A$2:$A$21,0))</f>
        <v>25</v>
      </c>
      <c r="I206" s="14" t="n">
        <f aca="false">G206*H206</f>
        <v>50</v>
      </c>
      <c r="J206" s="0" t="str">
        <f aca="false">IF(COUNTIF($A$2:A206,A206)&gt;1,"Duplicate","")</f>
        <v/>
      </c>
    </row>
    <row r="207" customFormat="false" ht="15" hidden="false" customHeight="false" outlineLevel="0" collapsed="false">
      <c r="A207" s="0" t="str">
        <f aca="false">'Raw Store Exports'!A207</f>
        <v>TXN00408</v>
      </c>
      <c r="B207" s="17" t="n">
        <f aca="false">'Raw Store Exports'!C207</f>
        <v>46047</v>
      </c>
      <c r="C207" s="0" t="str">
        <f aca="false">INDEX('Store Mapping'!$C$2:$C$19,MATCH(TRIM('Raw Store Exports'!B207),'Store Mapping'!$A$2:$A$19,0))</f>
        <v>Airport Plaza</v>
      </c>
      <c r="D207" s="0" t="str">
        <f aca="false">'Raw Store Exports'!D207</f>
        <v>ACC-303</v>
      </c>
      <c r="E207" s="0" t="str">
        <f aca="false">INDEX('Product Master'!$B$2:$B$21,MATCH(D207,'Product Master'!$A$2:$A$21,0))</f>
        <v>Canvas Tote Bag</v>
      </c>
      <c r="F207" s="0" t="str">
        <f aca="false">INDEX('Product Master'!$C$2:$C$21,MATCH(D207,'Product Master'!$A$2:$A$21,0))</f>
        <v>Accessories</v>
      </c>
      <c r="G207" s="15" t="n">
        <f aca="false">VALUE(TRIM('Raw Store Exports'!E207&amp;""))</f>
        <v>2</v>
      </c>
      <c r="H207" s="18" t="n">
        <f aca="false">INDEX('Product Master'!$D$2:$D$21,MATCH(D207,'Product Master'!$A$2:$A$21,0))</f>
        <v>24</v>
      </c>
      <c r="I207" s="14" t="n">
        <f aca="false">G207*H207</f>
        <v>48</v>
      </c>
      <c r="J207" s="0" t="str">
        <f aca="false">IF(COUNTIF($A$2:A207,A207)&gt;1,"Duplicate","")</f>
        <v/>
      </c>
    </row>
    <row r="208" customFormat="false" ht="15" hidden="false" customHeight="false" outlineLevel="0" collapsed="false">
      <c r="A208" s="0" t="str">
        <f aca="false">'Raw Store Exports'!A208</f>
        <v>TXN00653</v>
      </c>
      <c r="B208" s="17" t="n">
        <f aca="false">'Raw Store Exports'!C208</f>
        <v>46060</v>
      </c>
      <c r="C208" s="0" t="str">
        <f aca="false">INDEX('Store Mapping'!$C$2:$C$19,MATCH(TRIM('Raw Store Exports'!B208),'Store Mapping'!$A$2:$A$19,0))</f>
        <v>Eastgate</v>
      </c>
      <c r="D208" s="0" t="str">
        <f aca="false">'Raw Store Exports'!D208</f>
        <v>APP-103</v>
      </c>
      <c r="E208" s="0" t="str">
        <f aca="false">INDEX('Product Master'!$B$2:$B$21,MATCH(D208,'Product Master'!$A$2:$A$21,0))</f>
        <v>Fleece Pullover Hoodie</v>
      </c>
      <c r="F208" s="0" t="str">
        <f aca="false">INDEX('Product Master'!$C$2:$C$21,MATCH(D208,'Product Master'!$A$2:$A$21,0))</f>
        <v>Apparel</v>
      </c>
      <c r="G208" s="15" t="n">
        <f aca="false">VALUE(TRIM('Raw Store Exports'!E208&amp;""))</f>
        <v>6</v>
      </c>
      <c r="H208" s="18" t="n">
        <f aca="false">INDEX('Product Master'!$D$2:$D$21,MATCH(D208,'Product Master'!$A$2:$A$21,0))</f>
        <v>45</v>
      </c>
      <c r="I208" s="14" t="n">
        <f aca="false">G208*H208</f>
        <v>270</v>
      </c>
      <c r="J208" s="0" t="str">
        <f aca="false">IF(COUNTIF($A$2:A208,A208)&gt;1,"Duplicate","")</f>
        <v/>
      </c>
    </row>
    <row r="209" customFormat="false" ht="15" hidden="false" customHeight="false" outlineLevel="0" collapsed="false">
      <c r="A209" s="0" t="str">
        <f aca="false">'Raw Store Exports'!A209</f>
        <v>TXN00315</v>
      </c>
      <c r="B209" s="17" t="n">
        <f aca="false">'Raw Store Exports'!C209</f>
        <v>46042</v>
      </c>
      <c r="C209" s="0" t="str">
        <f aca="false">INDEX('Store Mapping'!$C$2:$C$19,MATCH(TRIM('Raw Store Exports'!B209),'Store Mapping'!$A$2:$A$19,0))</f>
        <v>Westside Mall</v>
      </c>
      <c r="D209" s="0" t="str">
        <f aca="false">'Raw Store Exports'!D209</f>
        <v>HOM-501</v>
      </c>
      <c r="E209" s="0" t="str">
        <f aca="false">INDEX('Product Master'!$B$2:$B$21,MATCH(D209,'Product Master'!$A$2:$A$21,0))</f>
        <v>Ceramic Coffee Mug Set</v>
      </c>
      <c r="F209" s="0" t="str">
        <f aca="false">INDEX('Product Master'!$C$2:$C$21,MATCH(D209,'Product Master'!$A$2:$A$21,0))</f>
        <v>Home Goods</v>
      </c>
      <c r="G209" s="15" t="n">
        <f aca="false">VALUE(TRIM('Raw Store Exports'!E209&amp;""))</f>
        <v>6</v>
      </c>
      <c r="H209" s="18" t="n">
        <f aca="false">INDEX('Product Master'!$D$2:$D$21,MATCH(D209,'Product Master'!$A$2:$A$21,0))</f>
        <v>22</v>
      </c>
      <c r="I209" s="14" t="n">
        <f aca="false">G209*H209</f>
        <v>132</v>
      </c>
      <c r="J209" s="0" t="str">
        <f aca="false">IF(COUNTIF($A$2:A209,A209)&gt;1,"Duplicate","")</f>
        <v/>
      </c>
    </row>
    <row r="210" customFormat="false" ht="15" hidden="false" customHeight="false" outlineLevel="0" collapsed="false">
      <c r="A210" s="0" t="str">
        <f aca="false">'Raw Store Exports'!A210</f>
        <v>TXN00822</v>
      </c>
      <c r="B210" s="17" t="n">
        <f aca="false">'Raw Store Exports'!C210</f>
        <v>46066</v>
      </c>
      <c r="C210" s="0" t="str">
        <f aca="false">INDEX('Store Mapping'!$C$2:$C$19,MATCH(TRIM('Raw Store Exports'!B210),'Store Mapping'!$A$2:$A$19,0))</f>
        <v>Eastgate</v>
      </c>
      <c r="D210" s="0" t="str">
        <f aca="false">'Raw Store Exports'!D210</f>
        <v>FTW-202</v>
      </c>
      <c r="E210" s="0" t="str">
        <f aca="false">INDEX('Product Master'!$B$2:$B$21,MATCH(D210,'Product Master'!$A$2:$A$21,0))</f>
        <v>Canvas Low-Top</v>
      </c>
      <c r="F210" s="0" t="str">
        <f aca="false">INDEX('Product Master'!$C$2:$C$21,MATCH(D210,'Product Master'!$A$2:$A$21,0))</f>
        <v>Footwear</v>
      </c>
      <c r="G210" s="15" t="n">
        <f aca="false">VALUE(TRIM('Raw Store Exports'!E210&amp;""))</f>
        <v>1</v>
      </c>
      <c r="H210" s="18" t="n">
        <f aca="false">INDEX('Product Master'!$D$2:$D$21,MATCH(D210,'Product Master'!$A$2:$A$21,0))</f>
        <v>55</v>
      </c>
      <c r="I210" s="14" t="n">
        <f aca="false">G210*H210</f>
        <v>55</v>
      </c>
      <c r="J210" s="0" t="str">
        <f aca="false">IF(COUNTIF($A$2:A210,A210)&gt;1,"Duplicate","")</f>
        <v/>
      </c>
    </row>
    <row r="211" customFormat="false" ht="15" hidden="false" customHeight="false" outlineLevel="0" collapsed="false">
      <c r="A211" s="0" t="str">
        <f aca="false">'Raw Store Exports'!A211</f>
        <v>TXN00607</v>
      </c>
      <c r="B211" s="17" t="n">
        <f aca="false">'Raw Store Exports'!C211</f>
        <v>46057</v>
      </c>
      <c r="C211" s="0" t="str">
        <f aca="false">INDEX('Store Mapping'!$C$2:$C$19,MATCH(TRIM('Raw Store Exports'!B211),'Store Mapping'!$A$2:$A$19,0))</f>
        <v>Downtown</v>
      </c>
      <c r="D211" s="0" t="str">
        <f aca="false">'Raw Store Exports'!D211</f>
        <v>ACC-303</v>
      </c>
      <c r="E211" s="0" t="str">
        <f aca="false">INDEX('Product Master'!$B$2:$B$21,MATCH(D211,'Product Master'!$A$2:$A$21,0))</f>
        <v>Canvas Tote Bag</v>
      </c>
      <c r="F211" s="0" t="str">
        <f aca="false">INDEX('Product Master'!$C$2:$C$21,MATCH(D211,'Product Master'!$A$2:$A$21,0))</f>
        <v>Accessories</v>
      </c>
      <c r="G211" s="15" t="n">
        <f aca="false">VALUE(TRIM('Raw Store Exports'!E211&amp;""))</f>
        <v>1</v>
      </c>
      <c r="H211" s="18" t="n">
        <f aca="false">INDEX('Product Master'!$D$2:$D$21,MATCH(D211,'Product Master'!$A$2:$A$21,0))</f>
        <v>24</v>
      </c>
      <c r="I211" s="14" t="n">
        <f aca="false">G211*H211</f>
        <v>24</v>
      </c>
      <c r="J211" s="0" t="str">
        <f aca="false">IF(COUNTIF($A$2:A211,A211)&gt;1,"Duplicate","")</f>
        <v/>
      </c>
    </row>
    <row r="212" customFormat="false" ht="15" hidden="false" customHeight="false" outlineLevel="0" collapsed="false">
      <c r="A212" s="0" t="str">
        <f aca="false">'Raw Store Exports'!A212</f>
        <v>TXN01011</v>
      </c>
      <c r="B212" s="17" t="n">
        <f aca="false">'Raw Store Exports'!C212</f>
        <v>46069</v>
      </c>
      <c r="C212" s="0" t="str">
        <f aca="false">INDEX('Store Mapping'!$C$2:$C$19,MATCH(TRIM('Raw Store Exports'!B212),'Store Mapping'!$A$2:$A$19,0))</f>
        <v>Riverside</v>
      </c>
      <c r="D212" s="0" t="str">
        <f aca="false">'Raw Store Exports'!D212</f>
        <v>APP-104</v>
      </c>
      <c r="E212" s="0" t="str">
        <f aca="false">INDEX('Product Master'!$B$2:$B$21,MATCH(D212,'Product Master'!$A$2:$A$21,0))</f>
        <v>Slim Fit Chinos</v>
      </c>
      <c r="F212" s="0" t="str">
        <f aca="false">INDEX('Product Master'!$C$2:$C$21,MATCH(D212,'Product Master'!$A$2:$A$21,0))</f>
        <v>Apparel</v>
      </c>
      <c r="G212" s="15" t="n">
        <f aca="false">VALUE(TRIM('Raw Store Exports'!E212&amp;""))</f>
        <v>3</v>
      </c>
      <c r="H212" s="18" t="n">
        <f aca="false">INDEX('Product Master'!$D$2:$D$21,MATCH(D212,'Product Master'!$A$2:$A$21,0))</f>
        <v>52</v>
      </c>
      <c r="I212" s="14" t="n">
        <f aca="false">G212*H212</f>
        <v>156</v>
      </c>
      <c r="J212" s="0" t="str">
        <f aca="false">IF(COUNTIF($A$2:A212,A212)&gt;1,"Duplicate","")</f>
        <v/>
      </c>
    </row>
    <row r="213" customFormat="false" ht="15" hidden="false" customHeight="false" outlineLevel="0" collapsed="false">
      <c r="A213" s="0" t="str">
        <f aca="false">'Raw Store Exports'!A213</f>
        <v>TXN00725</v>
      </c>
      <c r="B213" s="17" t="n">
        <f aca="false">'Raw Store Exports'!C213</f>
        <v>46061</v>
      </c>
      <c r="C213" s="0" t="str">
        <f aca="false">INDEX('Store Mapping'!$C$2:$C$19,MATCH(TRIM('Raw Store Exports'!B213),'Store Mapping'!$A$2:$A$19,0))</f>
        <v>Riverside</v>
      </c>
      <c r="D213" s="0" t="str">
        <f aca="false">'Raw Store Exports'!D213</f>
        <v>FTW-201</v>
      </c>
      <c r="E213" s="0" t="str">
        <f aca="false">INDEX('Product Master'!$B$2:$B$21,MATCH(D213,'Product Master'!$A$2:$A$21,0))</f>
        <v>Running Sneakers</v>
      </c>
      <c r="F213" s="0" t="str">
        <f aca="false">INDEX('Product Master'!$C$2:$C$21,MATCH(D213,'Product Master'!$A$2:$A$21,0))</f>
        <v>Footwear</v>
      </c>
      <c r="G213" s="15" t="n">
        <f aca="false">VALUE(TRIM('Raw Store Exports'!E213&amp;""))</f>
        <v>5</v>
      </c>
      <c r="H213" s="18" t="n">
        <f aca="false">INDEX('Product Master'!$D$2:$D$21,MATCH(D213,'Product Master'!$A$2:$A$21,0))</f>
        <v>89</v>
      </c>
      <c r="I213" s="14" t="n">
        <f aca="false">G213*H213</f>
        <v>445</v>
      </c>
      <c r="J213" s="0" t="str">
        <f aca="false">IF(COUNTIF($A$2:A213,A213)&gt;1,"Duplicate","")</f>
        <v/>
      </c>
    </row>
    <row r="214" customFormat="false" ht="15" hidden="false" customHeight="false" outlineLevel="0" collapsed="false">
      <c r="A214" s="0" t="str">
        <f aca="false">'Raw Store Exports'!A214</f>
        <v>TXN00249</v>
      </c>
      <c r="B214" s="17" t="n">
        <f aca="false">'Raw Store Exports'!C214</f>
        <v>46037</v>
      </c>
      <c r="C214" s="0" t="str">
        <f aca="false">INDEX('Store Mapping'!$C$2:$C$19,MATCH(TRIM('Raw Store Exports'!B214),'Store Mapping'!$A$2:$A$19,0))</f>
        <v>Airport Plaza</v>
      </c>
      <c r="D214" s="0" t="str">
        <f aca="false">'Raw Store Exports'!D214</f>
        <v>ELE-401</v>
      </c>
      <c r="E214" s="0" t="str">
        <f aca="false">INDEX('Product Master'!$B$2:$B$21,MATCH(D214,'Product Master'!$A$2:$A$21,0))</f>
        <v>Wireless Earbuds</v>
      </c>
      <c r="F214" s="0" t="str">
        <f aca="false">INDEX('Product Master'!$C$2:$C$21,MATCH(D214,'Product Master'!$A$2:$A$21,0))</f>
        <v>Electronics</v>
      </c>
      <c r="G214" s="15" t="n">
        <f aca="false">VALUE(TRIM('Raw Store Exports'!E214&amp;""))</f>
        <v>4</v>
      </c>
      <c r="H214" s="18" t="n">
        <f aca="false">INDEX('Product Master'!$D$2:$D$21,MATCH(D214,'Product Master'!$A$2:$A$21,0))</f>
        <v>79</v>
      </c>
      <c r="I214" s="14" t="n">
        <f aca="false">G214*H214</f>
        <v>316</v>
      </c>
      <c r="J214" s="0" t="str">
        <f aca="false">IF(COUNTIF($A$2:A214,A214)&gt;1,"Duplicate","")</f>
        <v/>
      </c>
    </row>
    <row r="215" customFormat="false" ht="15" hidden="false" customHeight="false" outlineLevel="0" collapsed="false">
      <c r="A215" s="0" t="str">
        <f aca="false">'Raw Store Exports'!A215</f>
        <v>TXN00952</v>
      </c>
      <c r="B215" s="17" t="n">
        <f aca="false">'Raw Store Exports'!C215</f>
        <v>46069</v>
      </c>
      <c r="C215" s="0" t="str">
        <f aca="false">INDEX('Store Mapping'!$C$2:$C$19,MATCH(TRIM('Raw Store Exports'!B215),'Store Mapping'!$A$2:$A$19,0))</f>
        <v>Eastgate</v>
      </c>
      <c r="D215" s="0" t="str">
        <f aca="false">'Raw Store Exports'!D215</f>
        <v>FTW-201</v>
      </c>
      <c r="E215" s="0" t="str">
        <f aca="false">INDEX('Product Master'!$B$2:$B$21,MATCH(D215,'Product Master'!$A$2:$A$21,0))</f>
        <v>Running Sneakers</v>
      </c>
      <c r="F215" s="0" t="str">
        <f aca="false">INDEX('Product Master'!$C$2:$C$21,MATCH(D215,'Product Master'!$A$2:$A$21,0))</f>
        <v>Footwear</v>
      </c>
      <c r="G215" s="15" t="n">
        <f aca="false">VALUE(TRIM('Raw Store Exports'!E215&amp;""))</f>
        <v>2</v>
      </c>
      <c r="H215" s="18" t="n">
        <f aca="false">INDEX('Product Master'!$D$2:$D$21,MATCH(D215,'Product Master'!$A$2:$A$21,0))</f>
        <v>89</v>
      </c>
      <c r="I215" s="14" t="n">
        <f aca="false">G215*H215</f>
        <v>178</v>
      </c>
      <c r="J215" s="0" t="str">
        <f aca="false">IF(COUNTIF($A$2:A215,A215)&gt;1,"Duplicate","")</f>
        <v/>
      </c>
    </row>
    <row r="216" customFormat="false" ht="15" hidden="false" customHeight="false" outlineLevel="0" collapsed="false">
      <c r="A216" s="0" t="str">
        <f aca="false">'Raw Store Exports'!A216</f>
        <v>TXN00409</v>
      </c>
      <c r="B216" s="17" t="n">
        <f aca="false">'Raw Store Exports'!C216</f>
        <v>46044</v>
      </c>
      <c r="C216" s="0" t="str">
        <f aca="false">INDEX('Store Mapping'!$C$2:$C$19,MATCH(TRIM('Raw Store Exports'!B216),'Store Mapping'!$A$2:$A$19,0))</f>
        <v>Airport Plaza</v>
      </c>
      <c r="D216" s="0" t="str">
        <f aca="false">'Raw Store Exports'!D216</f>
        <v>HOM-504</v>
      </c>
      <c r="E216" s="0" t="str">
        <f aca="false">INDEX('Product Master'!$B$2:$B$21,MATCH(D216,'Product Master'!$A$2:$A$21,0))</f>
        <v>Bamboo Cutting Board</v>
      </c>
      <c r="F216" s="0" t="str">
        <f aca="false">INDEX('Product Master'!$C$2:$C$21,MATCH(D216,'Product Master'!$A$2:$A$21,0))</f>
        <v>Home Goods</v>
      </c>
      <c r="G216" s="15" t="n">
        <f aca="false">VALUE(TRIM('Raw Store Exports'!E216&amp;""))</f>
        <v>4</v>
      </c>
      <c r="H216" s="18" t="n">
        <f aca="false">INDEX('Product Master'!$D$2:$D$21,MATCH(D216,'Product Master'!$A$2:$A$21,0))</f>
        <v>27</v>
      </c>
      <c r="I216" s="14" t="n">
        <f aca="false">G216*H216</f>
        <v>108</v>
      </c>
      <c r="J216" s="0" t="str">
        <f aca="false">IF(COUNTIF($A$2:A216,A216)&gt;1,"Duplicate","")</f>
        <v/>
      </c>
    </row>
    <row r="217" customFormat="false" ht="15" hidden="false" customHeight="false" outlineLevel="0" collapsed="false">
      <c r="A217" s="0" t="str">
        <f aca="false">'Raw Store Exports'!A217</f>
        <v>TXN00393</v>
      </c>
      <c r="B217" s="17" t="n">
        <f aca="false">'Raw Store Exports'!C217</f>
        <v>46042</v>
      </c>
      <c r="C217" s="0" t="str">
        <f aca="false">INDEX('Store Mapping'!$C$2:$C$19,MATCH(TRIM('Raw Store Exports'!B217),'Store Mapping'!$A$2:$A$19,0))</f>
        <v>Riverside</v>
      </c>
      <c r="D217" s="0" t="str">
        <f aca="false">'Raw Store Exports'!D217</f>
        <v>HOM-501</v>
      </c>
      <c r="E217" s="0" t="str">
        <f aca="false">INDEX('Product Master'!$B$2:$B$21,MATCH(D217,'Product Master'!$A$2:$A$21,0))</f>
        <v>Ceramic Coffee Mug Set</v>
      </c>
      <c r="F217" s="0" t="str">
        <f aca="false">INDEX('Product Master'!$C$2:$C$21,MATCH(D217,'Product Master'!$A$2:$A$21,0))</f>
        <v>Home Goods</v>
      </c>
      <c r="G217" s="15" t="n">
        <f aca="false">VALUE(TRIM('Raw Store Exports'!E217&amp;""))</f>
        <v>3</v>
      </c>
      <c r="H217" s="18" t="n">
        <f aca="false">INDEX('Product Master'!$D$2:$D$21,MATCH(D217,'Product Master'!$A$2:$A$21,0))</f>
        <v>22</v>
      </c>
      <c r="I217" s="14" t="n">
        <f aca="false">G217*H217</f>
        <v>66</v>
      </c>
      <c r="J217" s="0" t="str">
        <f aca="false">IF(COUNTIF($A$2:A217,A217)&gt;1,"Duplicate","")</f>
        <v/>
      </c>
    </row>
    <row r="218" customFormat="false" ht="15" hidden="false" customHeight="false" outlineLevel="0" collapsed="false">
      <c r="A218" s="0" t="str">
        <f aca="false">'Raw Store Exports'!A218</f>
        <v>TXN00982</v>
      </c>
      <c r="B218" s="17" t="n">
        <f aca="false">'Raw Store Exports'!C218</f>
        <v>46071</v>
      </c>
      <c r="C218" s="0" t="str">
        <f aca="false">INDEX('Store Mapping'!$C$2:$C$19,MATCH(TRIM('Raw Store Exports'!B218),'Store Mapping'!$A$2:$A$19,0))</f>
        <v>Northpark</v>
      </c>
      <c r="D218" s="0" t="str">
        <f aca="false">'Raw Store Exports'!D218</f>
        <v>ACC-303</v>
      </c>
      <c r="E218" s="0" t="str">
        <f aca="false">INDEX('Product Master'!$B$2:$B$21,MATCH(D218,'Product Master'!$A$2:$A$21,0))</f>
        <v>Canvas Tote Bag</v>
      </c>
      <c r="F218" s="0" t="str">
        <f aca="false">INDEX('Product Master'!$C$2:$C$21,MATCH(D218,'Product Master'!$A$2:$A$21,0))</f>
        <v>Accessories</v>
      </c>
      <c r="G218" s="15" t="n">
        <f aca="false">VALUE(TRIM('Raw Store Exports'!E218&amp;""))</f>
        <v>3</v>
      </c>
      <c r="H218" s="18" t="n">
        <f aca="false">INDEX('Product Master'!$D$2:$D$21,MATCH(D218,'Product Master'!$A$2:$A$21,0))</f>
        <v>24</v>
      </c>
      <c r="I218" s="14" t="n">
        <f aca="false">G218*H218</f>
        <v>72</v>
      </c>
      <c r="J218" s="0" t="str">
        <f aca="false">IF(COUNTIF($A$2:A218,A218)&gt;1,"Duplicate","")</f>
        <v/>
      </c>
    </row>
    <row r="219" customFormat="false" ht="15" hidden="false" customHeight="false" outlineLevel="0" collapsed="false">
      <c r="A219" s="0" t="str">
        <f aca="false">'Raw Store Exports'!A219</f>
        <v>TXN01012</v>
      </c>
      <c r="B219" s="17" t="n">
        <f aca="false">'Raw Store Exports'!C219</f>
        <v>46074</v>
      </c>
      <c r="C219" s="0" t="str">
        <f aca="false">INDEX('Store Mapping'!$C$2:$C$19,MATCH(TRIM('Raw Store Exports'!B219),'Store Mapping'!$A$2:$A$19,0))</f>
        <v>Riverside</v>
      </c>
      <c r="D219" s="0" t="str">
        <f aca="false">'Raw Store Exports'!D219</f>
        <v>HOM-502</v>
      </c>
      <c r="E219" s="0" t="str">
        <f aca="false">INDEX('Product Master'!$B$2:$B$21,MATCH(D219,'Product Master'!$A$2:$A$21,0))</f>
        <v>Scented Candle</v>
      </c>
      <c r="F219" s="0" t="str">
        <f aca="false">INDEX('Product Master'!$C$2:$C$21,MATCH(D219,'Product Master'!$A$2:$A$21,0))</f>
        <v>Home Goods</v>
      </c>
      <c r="G219" s="15" t="n">
        <f aca="false">VALUE(TRIM('Raw Store Exports'!E219&amp;""))</f>
        <v>4</v>
      </c>
      <c r="H219" s="18" t="n">
        <f aca="false">INDEX('Product Master'!$D$2:$D$21,MATCH(D219,'Product Master'!$A$2:$A$21,0))</f>
        <v>15</v>
      </c>
      <c r="I219" s="14" t="n">
        <f aca="false">G219*H219</f>
        <v>60</v>
      </c>
      <c r="J219" s="0" t="str">
        <f aca="false">IF(COUNTIF($A$2:A219,A219)&gt;1,"Duplicate","")</f>
        <v/>
      </c>
    </row>
    <row r="220" customFormat="false" ht="15" hidden="false" customHeight="false" outlineLevel="0" collapsed="false">
      <c r="A220" s="0" t="str">
        <f aca="false">'Raw Store Exports'!A220</f>
        <v>TXN00496</v>
      </c>
      <c r="B220" s="17" t="n">
        <f aca="false">'Raw Store Exports'!C220</f>
        <v>46052</v>
      </c>
      <c r="C220" s="0" t="str">
        <f aca="false">INDEX('Store Mapping'!$C$2:$C$19,MATCH(TRIM('Raw Store Exports'!B220),'Store Mapping'!$A$2:$A$19,0))</f>
        <v>Eastgate</v>
      </c>
      <c r="D220" s="0" t="str">
        <f aca="false">'Raw Store Exports'!D220</f>
        <v>ELE-404</v>
      </c>
      <c r="E220" s="0" t="str">
        <f aca="false">INDEX('Product Master'!$B$2:$B$21,MATCH(D220,'Product Master'!$A$2:$A$21,0))</f>
        <v>Phone Charging Cable</v>
      </c>
      <c r="F220" s="0" t="str">
        <f aca="false">INDEX('Product Master'!$C$2:$C$21,MATCH(D220,'Product Master'!$A$2:$A$21,0))</f>
        <v>Electronics</v>
      </c>
      <c r="G220" s="15" t="n">
        <f aca="false">VALUE(TRIM('Raw Store Exports'!E220&amp;""))</f>
        <v>1</v>
      </c>
      <c r="H220" s="18" t="n">
        <f aca="false">INDEX('Product Master'!$D$2:$D$21,MATCH(D220,'Product Master'!$A$2:$A$21,0))</f>
        <v>12</v>
      </c>
      <c r="I220" s="14" t="n">
        <f aca="false">G220*H220</f>
        <v>12</v>
      </c>
      <c r="J220" s="0" t="str">
        <f aca="false">IF(COUNTIF($A$2:A220,A220)&gt;1,"Duplicate","")</f>
        <v/>
      </c>
    </row>
    <row r="221" customFormat="false" ht="15" hidden="false" customHeight="false" outlineLevel="0" collapsed="false">
      <c r="A221" s="0" t="str">
        <f aca="false">'Raw Store Exports'!A221</f>
        <v>TXN01140</v>
      </c>
      <c r="B221" s="17" t="n">
        <f aca="false">'Raw Store Exports'!C221</f>
        <v>46078</v>
      </c>
      <c r="C221" s="0" t="str">
        <f aca="false">INDEX('Store Mapping'!$C$2:$C$19,MATCH(TRIM('Raw Store Exports'!B221),'Store Mapping'!$A$2:$A$19,0))</f>
        <v>Northpark</v>
      </c>
      <c r="D221" s="0" t="str">
        <f aca="false">'Raw Store Exports'!D221</f>
        <v>ACC-303</v>
      </c>
      <c r="E221" s="0" t="str">
        <f aca="false">INDEX('Product Master'!$B$2:$B$21,MATCH(D221,'Product Master'!$A$2:$A$21,0))</f>
        <v>Canvas Tote Bag</v>
      </c>
      <c r="F221" s="0" t="str">
        <f aca="false">INDEX('Product Master'!$C$2:$C$21,MATCH(D221,'Product Master'!$A$2:$A$21,0))</f>
        <v>Accessories</v>
      </c>
      <c r="G221" s="15" t="n">
        <f aca="false">VALUE(TRIM('Raw Store Exports'!E221&amp;""))</f>
        <v>4</v>
      </c>
      <c r="H221" s="18" t="n">
        <f aca="false">INDEX('Product Master'!$D$2:$D$21,MATCH(D221,'Product Master'!$A$2:$A$21,0))</f>
        <v>24</v>
      </c>
      <c r="I221" s="14" t="n">
        <f aca="false">G221*H221</f>
        <v>96</v>
      </c>
      <c r="J221" s="0" t="str">
        <f aca="false">IF(COUNTIF($A$2:A221,A221)&gt;1,"Duplicate","")</f>
        <v/>
      </c>
    </row>
    <row r="222" customFormat="false" ht="15" hidden="false" customHeight="false" outlineLevel="0" collapsed="false">
      <c r="A222" s="0" t="str">
        <f aca="false">'Raw Store Exports'!A222</f>
        <v>TXN00538</v>
      </c>
      <c r="B222" s="17" t="n">
        <f aca="false">'Raw Store Exports'!C222</f>
        <v>46049</v>
      </c>
      <c r="C222" s="0" t="str">
        <f aca="false">INDEX('Store Mapping'!$C$2:$C$19,MATCH(TRIM('Raw Store Exports'!B222),'Store Mapping'!$A$2:$A$19,0))</f>
        <v>Riverside</v>
      </c>
      <c r="D222" s="0" t="str">
        <f aca="false">'Raw Store Exports'!D222</f>
        <v>ELE-404</v>
      </c>
      <c r="E222" s="0" t="str">
        <f aca="false">INDEX('Product Master'!$B$2:$B$21,MATCH(D222,'Product Master'!$A$2:$A$21,0))</f>
        <v>Phone Charging Cable</v>
      </c>
      <c r="F222" s="0" t="str">
        <f aca="false">INDEX('Product Master'!$C$2:$C$21,MATCH(D222,'Product Master'!$A$2:$A$21,0))</f>
        <v>Electronics</v>
      </c>
      <c r="G222" s="15" t="n">
        <f aca="false">VALUE(TRIM('Raw Store Exports'!E222&amp;""))</f>
        <v>2</v>
      </c>
      <c r="H222" s="18" t="n">
        <f aca="false">INDEX('Product Master'!$D$2:$D$21,MATCH(D222,'Product Master'!$A$2:$A$21,0))</f>
        <v>12</v>
      </c>
      <c r="I222" s="14" t="n">
        <f aca="false">G222*H222</f>
        <v>24</v>
      </c>
      <c r="J222" s="0" t="str">
        <f aca="false">IF(COUNTIF($A$2:A222,A222)&gt;1,"Duplicate","")</f>
        <v/>
      </c>
    </row>
    <row r="223" customFormat="false" ht="15" hidden="false" customHeight="false" outlineLevel="0" collapsed="false">
      <c r="A223" s="0" t="str">
        <f aca="false">'Raw Store Exports'!A223</f>
        <v>TXN01096</v>
      </c>
      <c r="B223" s="17" t="n">
        <f aca="false">'Raw Store Exports'!C223</f>
        <v>46078</v>
      </c>
      <c r="C223" s="0" t="str">
        <f aca="false">INDEX('Store Mapping'!$C$2:$C$19,MATCH(TRIM('Raw Store Exports'!B223),'Store Mapping'!$A$2:$A$19,0))</f>
        <v>Westside Mall</v>
      </c>
      <c r="D223" s="0" t="str">
        <f aca="false">'Raw Store Exports'!D223</f>
        <v>FTW-204</v>
      </c>
      <c r="E223" s="0" t="str">
        <f aca="false">INDEX('Product Master'!$B$2:$B$21,MATCH(D223,'Product Master'!$A$2:$A$21,0))</f>
        <v>Slide Sandals</v>
      </c>
      <c r="F223" s="0" t="str">
        <f aca="false">INDEX('Product Master'!$C$2:$C$21,MATCH(D223,'Product Master'!$A$2:$A$21,0))</f>
        <v>Footwear</v>
      </c>
      <c r="G223" s="15" t="n">
        <f aca="false">VALUE(TRIM('Raw Store Exports'!E223&amp;""))</f>
        <v>1</v>
      </c>
      <c r="H223" s="18" t="n">
        <f aca="false">INDEX('Product Master'!$D$2:$D$21,MATCH(D223,'Product Master'!$A$2:$A$21,0))</f>
        <v>25</v>
      </c>
      <c r="I223" s="14" t="n">
        <f aca="false">G223*H223</f>
        <v>25</v>
      </c>
      <c r="J223" s="0" t="str">
        <f aca="false">IF(COUNTIF($A$2:A223,A223)&gt;1,"Duplicate","")</f>
        <v/>
      </c>
    </row>
    <row r="224" customFormat="false" ht="15" hidden="false" customHeight="false" outlineLevel="0" collapsed="false">
      <c r="A224" s="0" t="str">
        <f aca="false">'Raw Store Exports'!A224</f>
        <v>TXN00705</v>
      </c>
      <c r="B224" s="17" t="n">
        <f aca="false">'Raw Store Exports'!C224</f>
        <v>46057</v>
      </c>
      <c r="C224" s="0" t="str">
        <f aca="false">INDEX('Store Mapping'!$C$2:$C$19,MATCH(TRIM('Raw Store Exports'!B224),'Store Mapping'!$A$2:$A$19,0))</f>
        <v>Riverside</v>
      </c>
      <c r="D224" s="0" t="str">
        <f aca="false">'Raw Store Exports'!D224</f>
        <v>FTW-203</v>
      </c>
      <c r="E224" s="0" t="str">
        <f aca="false">INDEX('Product Master'!$B$2:$B$21,MATCH(D224,'Product Master'!$A$2:$A$21,0))</f>
        <v>Leather Ankle Boot</v>
      </c>
      <c r="F224" s="0" t="str">
        <f aca="false">INDEX('Product Master'!$C$2:$C$21,MATCH(D224,'Product Master'!$A$2:$A$21,0))</f>
        <v>Footwear</v>
      </c>
      <c r="G224" s="15" t="n">
        <f aca="false">VALUE(TRIM('Raw Store Exports'!E224&amp;""))</f>
        <v>5</v>
      </c>
      <c r="H224" s="18" t="n">
        <f aca="false">INDEX('Product Master'!$D$2:$D$21,MATCH(D224,'Product Master'!$A$2:$A$21,0))</f>
        <v>120</v>
      </c>
      <c r="I224" s="14" t="n">
        <f aca="false">G224*H224</f>
        <v>600</v>
      </c>
      <c r="J224" s="0" t="str">
        <f aca="false">IF(COUNTIF($A$2:A224,A224)&gt;1,"Duplicate","")</f>
        <v/>
      </c>
    </row>
    <row r="225" customFormat="false" ht="15" hidden="false" customHeight="false" outlineLevel="0" collapsed="false">
      <c r="A225" s="0" t="str">
        <f aca="false">'Raw Store Exports'!A225</f>
        <v>TXN00918</v>
      </c>
      <c r="B225" s="17" t="n">
        <f aca="false">'Raw Store Exports'!C225</f>
        <v>46069</v>
      </c>
      <c r="C225" s="0" t="str">
        <f aca="false">INDEX('Store Mapping'!$C$2:$C$19,MATCH(TRIM('Raw Store Exports'!B225),'Store Mapping'!$A$2:$A$19,0))</f>
        <v>Westside Mall</v>
      </c>
      <c r="D225" s="0" t="str">
        <f aca="false">'Raw Store Exports'!D225</f>
        <v>FTW-204</v>
      </c>
      <c r="E225" s="0" t="str">
        <f aca="false">INDEX('Product Master'!$B$2:$B$21,MATCH(D225,'Product Master'!$A$2:$A$21,0))</f>
        <v>Slide Sandals</v>
      </c>
      <c r="F225" s="0" t="str">
        <f aca="false">INDEX('Product Master'!$C$2:$C$21,MATCH(D225,'Product Master'!$A$2:$A$21,0))</f>
        <v>Footwear</v>
      </c>
      <c r="G225" s="15" t="n">
        <f aca="false">VALUE(TRIM('Raw Store Exports'!E225&amp;""))</f>
        <v>2</v>
      </c>
      <c r="H225" s="18" t="n">
        <f aca="false">INDEX('Product Master'!$D$2:$D$21,MATCH(D225,'Product Master'!$A$2:$A$21,0))</f>
        <v>25</v>
      </c>
      <c r="I225" s="14" t="n">
        <f aca="false">G225*H225</f>
        <v>50</v>
      </c>
      <c r="J225" s="0" t="str">
        <f aca="false">IF(COUNTIF($A$2:A225,A225)&gt;1,"Duplicate","")</f>
        <v/>
      </c>
    </row>
    <row r="226" customFormat="false" ht="15" hidden="false" customHeight="false" outlineLevel="0" collapsed="false">
      <c r="A226" s="0" t="str">
        <f aca="false">'Raw Store Exports'!A226</f>
        <v>TXN00481</v>
      </c>
      <c r="B226" s="17" t="n">
        <f aca="false">'Raw Store Exports'!C226</f>
        <v>46054</v>
      </c>
      <c r="C226" s="0" t="str">
        <f aca="false">INDEX('Store Mapping'!$C$2:$C$19,MATCH(TRIM('Raw Store Exports'!B226),'Store Mapping'!$A$2:$A$19,0))</f>
        <v>Westside Mall</v>
      </c>
      <c r="D226" s="0" t="str">
        <f aca="false">'Raw Store Exports'!D226</f>
        <v>ACC-303</v>
      </c>
      <c r="E226" s="0" t="str">
        <f aca="false">INDEX('Product Master'!$B$2:$B$21,MATCH(D226,'Product Master'!$A$2:$A$21,0))</f>
        <v>Canvas Tote Bag</v>
      </c>
      <c r="F226" s="0" t="str">
        <f aca="false">INDEX('Product Master'!$C$2:$C$21,MATCH(D226,'Product Master'!$A$2:$A$21,0))</f>
        <v>Accessories</v>
      </c>
      <c r="G226" s="15" t="n">
        <f aca="false">VALUE(TRIM('Raw Store Exports'!E226&amp;""))</f>
        <v>5</v>
      </c>
      <c r="H226" s="18" t="n">
        <f aca="false">INDEX('Product Master'!$D$2:$D$21,MATCH(D226,'Product Master'!$A$2:$A$21,0))</f>
        <v>24</v>
      </c>
      <c r="I226" s="14" t="n">
        <f aca="false">G226*H226</f>
        <v>120</v>
      </c>
      <c r="J226" s="0" t="str">
        <f aca="false">IF(COUNTIF($A$2:A226,A226)&gt;1,"Duplicate","")</f>
        <v/>
      </c>
    </row>
    <row r="227" customFormat="false" ht="15" hidden="false" customHeight="false" outlineLevel="0" collapsed="false">
      <c r="A227" s="0" t="str">
        <f aca="false">'Raw Store Exports'!A227</f>
        <v>TXN00696</v>
      </c>
      <c r="B227" s="17" t="n">
        <f aca="false">'Raw Store Exports'!C227</f>
        <v>46055</v>
      </c>
      <c r="C227" s="0" t="str">
        <f aca="false">INDEX('Store Mapping'!$C$2:$C$19,MATCH(TRIM('Raw Store Exports'!B227),'Store Mapping'!$A$2:$A$19,0))</f>
        <v>Riverside</v>
      </c>
      <c r="D227" s="0" t="str">
        <f aca="false">'Raw Store Exports'!D227</f>
        <v>APP-102</v>
      </c>
      <c r="E227" s="0" t="str">
        <f aca="false">INDEX('Product Master'!$B$2:$B$21,MATCH(D227,'Product Master'!$A$2:$A$21,0))</f>
        <v>Cotton Crew T-Shirt</v>
      </c>
      <c r="F227" s="0" t="str">
        <f aca="false">INDEX('Product Master'!$C$2:$C$21,MATCH(D227,'Product Master'!$A$2:$A$21,0))</f>
        <v>Apparel</v>
      </c>
      <c r="G227" s="15" t="n">
        <f aca="false">VALUE(TRIM('Raw Store Exports'!E227&amp;""))</f>
        <v>3</v>
      </c>
      <c r="H227" s="18" t="n">
        <f aca="false">INDEX('Product Master'!$D$2:$D$21,MATCH(D227,'Product Master'!$A$2:$A$21,0))</f>
        <v>18</v>
      </c>
      <c r="I227" s="14" t="n">
        <f aca="false">G227*H227</f>
        <v>54</v>
      </c>
      <c r="J227" s="0" t="str">
        <f aca="false">IF(COUNTIF($A$2:A227,A227)&gt;1,"Duplicate","")</f>
        <v/>
      </c>
    </row>
    <row r="228" customFormat="false" ht="15" hidden="false" customHeight="false" outlineLevel="0" collapsed="false">
      <c r="A228" s="0" t="str">
        <f aca="false">'Raw Store Exports'!A228</f>
        <v>TXN00769</v>
      </c>
      <c r="B228" s="17" t="n">
        <f aca="false">'Raw Store Exports'!C228</f>
        <v>46067</v>
      </c>
      <c r="C228" s="0" t="str">
        <f aca="false">INDEX('Store Mapping'!$C$2:$C$19,MATCH(TRIM('Raw Store Exports'!B228),'Store Mapping'!$A$2:$A$19,0))</f>
        <v>Downtown</v>
      </c>
      <c r="D228" s="0" t="str">
        <f aca="false">'Raw Store Exports'!D228</f>
        <v>ACC-301</v>
      </c>
      <c r="E228" s="0" t="str">
        <f aca="false">INDEX('Product Master'!$B$2:$B$21,MATCH(D228,'Product Master'!$A$2:$A$21,0))</f>
        <v>Leather Belt</v>
      </c>
      <c r="F228" s="0" t="str">
        <f aca="false">INDEX('Product Master'!$C$2:$C$21,MATCH(D228,'Product Master'!$A$2:$A$21,0))</f>
        <v>Accessories</v>
      </c>
      <c r="G228" s="15" t="n">
        <f aca="false">VALUE(TRIM('Raw Store Exports'!E228&amp;""))</f>
        <v>5</v>
      </c>
      <c r="H228" s="18" t="n">
        <f aca="false">INDEX('Product Master'!$D$2:$D$21,MATCH(D228,'Product Master'!$A$2:$A$21,0))</f>
        <v>30</v>
      </c>
      <c r="I228" s="14" t="n">
        <f aca="false">G228*H228</f>
        <v>150</v>
      </c>
      <c r="J228" s="0" t="str">
        <f aca="false">IF(COUNTIF($A$2:A228,A228)&gt;1,"Duplicate","")</f>
        <v/>
      </c>
    </row>
    <row r="229" customFormat="false" ht="15" hidden="false" customHeight="false" outlineLevel="0" collapsed="false">
      <c r="A229" s="0" t="str">
        <f aca="false">'Raw Store Exports'!A229</f>
        <v>TXN00617</v>
      </c>
      <c r="B229" s="17" t="n">
        <f aca="false">'Raw Store Exports'!C229</f>
        <v>46059</v>
      </c>
      <c r="C229" s="0" t="str">
        <f aca="false">INDEX('Store Mapping'!$C$2:$C$19,MATCH(TRIM('Raw Store Exports'!B229),'Store Mapping'!$A$2:$A$19,0))</f>
        <v>Westside Mall</v>
      </c>
      <c r="D229" s="0" t="str">
        <f aca="false">'Raw Store Exports'!D229</f>
        <v>FTW-204</v>
      </c>
      <c r="E229" s="0" t="str">
        <f aca="false">INDEX('Product Master'!$B$2:$B$21,MATCH(D229,'Product Master'!$A$2:$A$21,0))</f>
        <v>Slide Sandals</v>
      </c>
      <c r="F229" s="0" t="str">
        <f aca="false">INDEX('Product Master'!$C$2:$C$21,MATCH(D229,'Product Master'!$A$2:$A$21,0))</f>
        <v>Footwear</v>
      </c>
      <c r="G229" s="15" t="n">
        <f aca="false">VALUE(TRIM('Raw Store Exports'!E229&amp;""))</f>
        <v>5</v>
      </c>
      <c r="H229" s="18" t="n">
        <f aca="false">INDEX('Product Master'!$D$2:$D$21,MATCH(D229,'Product Master'!$A$2:$A$21,0))</f>
        <v>25</v>
      </c>
      <c r="I229" s="14" t="n">
        <f aca="false">G229*H229</f>
        <v>125</v>
      </c>
      <c r="J229" s="0" t="str">
        <f aca="false">IF(COUNTIF($A$2:A229,A229)&gt;1,"Duplicate","")</f>
        <v/>
      </c>
    </row>
    <row r="230" customFormat="false" ht="15" hidden="false" customHeight="false" outlineLevel="0" collapsed="false">
      <c r="A230" s="0" t="str">
        <f aca="false">'Raw Store Exports'!A230</f>
        <v>TXN01140</v>
      </c>
      <c r="B230" s="17" t="n">
        <f aca="false">'Raw Store Exports'!C230</f>
        <v>46078</v>
      </c>
      <c r="C230" s="0" t="str">
        <f aca="false">INDEX('Store Mapping'!$C$2:$C$19,MATCH(TRIM('Raw Store Exports'!B230),'Store Mapping'!$A$2:$A$19,0))</f>
        <v>Northpark</v>
      </c>
      <c r="D230" s="0" t="str">
        <f aca="false">'Raw Store Exports'!D230</f>
        <v>ACC-303</v>
      </c>
      <c r="E230" s="0" t="str">
        <f aca="false">INDEX('Product Master'!$B$2:$B$21,MATCH(D230,'Product Master'!$A$2:$A$21,0))</f>
        <v>Canvas Tote Bag</v>
      </c>
      <c r="F230" s="0" t="str">
        <f aca="false">INDEX('Product Master'!$C$2:$C$21,MATCH(D230,'Product Master'!$A$2:$A$21,0))</f>
        <v>Accessories</v>
      </c>
      <c r="G230" s="15" t="n">
        <f aca="false">VALUE(TRIM('Raw Store Exports'!E230&amp;""))</f>
        <v>4</v>
      </c>
      <c r="H230" s="18" t="n">
        <f aca="false">INDEX('Product Master'!$D$2:$D$21,MATCH(D230,'Product Master'!$A$2:$A$21,0))</f>
        <v>24</v>
      </c>
      <c r="I230" s="14" t="n">
        <f aca="false">G230*H230</f>
        <v>96</v>
      </c>
      <c r="J230" s="0" t="str">
        <f aca="false">IF(COUNTIF($A$2:A230,A230)&gt;1,"Duplicate","")</f>
        <v>Duplicate</v>
      </c>
    </row>
    <row r="231" customFormat="false" ht="15" hidden="false" customHeight="false" outlineLevel="0" collapsed="false">
      <c r="A231" s="0" t="str">
        <f aca="false">'Raw Store Exports'!A231</f>
        <v>TXN00616</v>
      </c>
      <c r="B231" s="17" t="n">
        <f aca="false">'Raw Store Exports'!C231</f>
        <v>46060</v>
      </c>
      <c r="C231" s="0" t="str">
        <f aca="false">INDEX('Store Mapping'!$C$2:$C$19,MATCH(TRIM('Raw Store Exports'!B231),'Store Mapping'!$A$2:$A$19,0))</f>
        <v>Westside Mall</v>
      </c>
      <c r="D231" s="0" t="str">
        <f aca="false">'Raw Store Exports'!D231</f>
        <v>HOM-503</v>
      </c>
      <c r="E231" s="0" t="str">
        <f aca="false">INDEX('Product Master'!$B$2:$B$21,MATCH(D231,'Product Master'!$A$2:$A$21,0))</f>
        <v>Cotton Throw Blanket</v>
      </c>
      <c r="F231" s="0" t="str">
        <f aca="false">INDEX('Product Master'!$C$2:$C$21,MATCH(D231,'Product Master'!$A$2:$A$21,0))</f>
        <v>Home Goods</v>
      </c>
      <c r="G231" s="15" t="n">
        <f aca="false">VALUE(TRIM('Raw Store Exports'!E231&amp;""))</f>
        <v>1</v>
      </c>
      <c r="H231" s="18" t="n">
        <f aca="false">INDEX('Product Master'!$D$2:$D$21,MATCH(D231,'Product Master'!$A$2:$A$21,0))</f>
        <v>38</v>
      </c>
      <c r="I231" s="14" t="n">
        <f aca="false">G231*H231</f>
        <v>38</v>
      </c>
      <c r="J231" s="0" t="str">
        <f aca="false">IF(COUNTIF($A$2:A231,A231)&gt;1,"Duplicate","")</f>
        <v/>
      </c>
    </row>
    <row r="232" customFormat="false" ht="15" hidden="false" customHeight="false" outlineLevel="0" collapsed="false">
      <c r="A232" s="0" t="str">
        <f aca="false">'Raw Store Exports'!A232</f>
        <v>TXN01170</v>
      </c>
      <c r="B232" s="17" t="n">
        <f aca="false">'Raw Store Exports'!C232</f>
        <v>46081</v>
      </c>
      <c r="C232" s="0" t="str">
        <f aca="false">INDEX('Store Mapping'!$C$2:$C$19,MATCH(TRIM('Raw Store Exports'!B232),'Store Mapping'!$A$2:$A$19,0))</f>
        <v>Riverside</v>
      </c>
      <c r="D232" s="0" t="str">
        <f aca="false">'Raw Store Exports'!D232</f>
        <v>ELE-401</v>
      </c>
      <c r="E232" s="0" t="str">
        <f aca="false">INDEX('Product Master'!$B$2:$B$21,MATCH(D232,'Product Master'!$A$2:$A$21,0))</f>
        <v>Wireless Earbuds</v>
      </c>
      <c r="F232" s="0" t="str">
        <f aca="false">INDEX('Product Master'!$C$2:$C$21,MATCH(D232,'Product Master'!$A$2:$A$21,0))</f>
        <v>Electronics</v>
      </c>
      <c r="G232" s="15" t="n">
        <f aca="false">VALUE(TRIM('Raw Store Exports'!E232&amp;""))</f>
        <v>2</v>
      </c>
      <c r="H232" s="18" t="n">
        <f aca="false">INDEX('Product Master'!$D$2:$D$21,MATCH(D232,'Product Master'!$A$2:$A$21,0))</f>
        <v>79</v>
      </c>
      <c r="I232" s="14" t="n">
        <f aca="false">G232*H232</f>
        <v>158</v>
      </c>
      <c r="J232" s="0" t="str">
        <f aca="false">IF(COUNTIF($A$2:A232,A232)&gt;1,"Duplicate","")</f>
        <v/>
      </c>
    </row>
    <row r="233" customFormat="false" ht="15" hidden="false" customHeight="false" outlineLevel="0" collapsed="false">
      <c r="A233" s="0" t="str">
        <f aca="false">'Raw Store Exports'!A233</f>
        <v>TXN00457</v>
      </c>
      <c r="B233" s="17" t="n">
        <f aca="false">'Raw Store Exports'!C233</f>
        <v>46048</v>
      </c>
      <c r="C233" s="0" t="str">
        <f aca="false">INDEX('Store Mapping'!$C$2:$C$19,MATCH(TRIM('Raw Store Exports'!B233),'Store Mapping'!$A$2:$A$19,0))</f>
        <v>Downtown</v>
      </c>
      <c r="D233" s="0" t="str">
        <f aca="false">'Raw Store Exports'!D233</f>
        <v>ELE-404</v>
      </c>
      <c r="E233" s="0" t="str">
        <f aca="false">INDEX('Product Master'!$B$2:$B$21,MATCH(D233,'Product Master'!$A$2:$A$21,0))</f>
        <v>Phone Charging Cable</v>
      </c>
      <c r="F233" s="0" t="str">
        <f aca="false">INDEX('Product Master'!$C$2:$C$21,MATCH(D233,'Product Master'!$A$2:$A$21,0))</f>
        <v>Electronics</v>
      </c>
      <c r="G233" s="15" t="n">
        <f aca="false">VALUE(TRIM('Raw Store Exports'!E233&amp;""))</f>
        <v>6</v>
      </c>
      <c r="H233" s="18" t="n">
        <f aca="false">INDEX('Product Master'!$D$2:$D$21,MATCH(D233,'Product Master'!$A$2:$A$21,0))</f>
        <v>12</v>
      </c>
      <c r="I233" s="14" t="n">
        <f aca="false">G233*H233</f>
        <v>72</v>
      </c>
      <c r="J233" s="0" t="str">
        <f aca="false">IF(COUNTIF($A$2:A233,A233)&gt;1,"Duplicate","")</f>
        <v/>
      </c>
    </row>
    <row r="234" customFormat="false" ht="15" hidden="false" customHeight="false" outlineLevel="0" collapsed="false">
      <c r="A234" s="0" t="str">
        <f aca="false">'Raw Store Exports'!A234</f>
        <v>TXN00042</v>
      </c>
      <c r="B234" s="17" t="n">
        <f aca="false">'Raw Store Exports'!C234</f>
        <v>46031</v>
      </c>
      <c r="C234" s="0" t="str">
        <f aca="false">INDEX('Store Mapping'!$C$2:$C$19,MATCH(TRIM('Raw Store Exports'!B234),'Store Mapping'!$A$2:$A$19,0))</f>
        <v>Westside Mall</v>
      </c>
      <c r="D234" s="0" t="str">
        <f aca="false">'Raw Store Exports'!D234</f>
        <v>HOM-504</v>
      </c>
      <c r="E234" s="0" t="str">
        <f aca="false">INDEX('Product Master'!$B$2:$B$21,MATCH(D234,'Product Master'!$A$2:$A$21,0))</f>
        <v>Bamboo Cutting Board</v>
      </c>
      <c r="F234" s="0" t="str">
        <f aca="false">INDEX('Product Master'!$C$2:$C$21,MATCH(D234,'Product Master'!$A$2:$A$21,0))</f>
        <v>Home Goods</v>
      </c>
      <c r="G234" s="15" t="n">
        <f aca="false">VALUE(TRIM('Raw Store Exports'!E234&amp;""))</f>
        <v>6</v>
      </c>
      <c r="H234" s="18" t="n">
        <f aca="false">INDEX('Product Master'!$D$2:$D$21,MATCH(D234,'Product Master'!$A$2:$A$21,0))</f>
        <v>27</v>
      </c>
      <c r="I234" s="14" t="n">
        <f aca="false">G234*H234</f>
        <v>162</v>
      </c>
      <c r="J234" s="0" t="str">
        <f aca="false">IF(COUNTIF($A$2:A234,A234)&gt;1,"Duplicate","")</f>
        <v/>
      </c>
    </row>
    <row r="235" customFormat="false" ht="15" hidden="false" customHeight="false" outlineLevel="0" collapsed="false">
      <c r="A235" s="0" t="str">
        <f aca="false">'Raw Store Exports'!A235</f>
        <v>TXN00878</v>
      </c>
      <c r="B235" s="17" t="n">
        <f aca="false">'Raw Store Exports'!C235</f>
        <v>46066</v>
      </c>
      <c r="C235" s="0" t="str">
        <f aca="false">INDEX('Store Mapping'!$C$2:$C$19,MATCH(TRIM('Raw Store Exports'!B235),'Store Mapping'!$A$2:$A$19,0))</f>
        <v>Airport Plaza</v>
      </c>
      <c r="D235" s="0" t="str">
        <f aca="false">'Raw Store Exports'!D235</f>
        <v>ACC-301</v>
      </c>
      <c r="E235" s="0" t="str">
        <f aca="false">INDEX('Product Master'!$B$2:$B$21,MATCH(D235,'Product Master'!$A$2:$A$21,0))</f>
        <v>Leather Belt</v>
      </c>
      <c r="F235" s="0" t="str">
        <f aca="false">INDEX('Product Master'!$C$2:$C$21,MATCH(D235,'Product Master'!$A$2:$A$21,0))</f>
        <v>Accessories</v>
      </c>
      <c r="G235" s="15" t="n">
        <f aca="false">VALUE(TRIM('Raw Store Exports'!E235&amp;""))</f>
        <v>5</v>
      </c>
      <c r="H235" s="18" t="n">
        <f aca="false">INDEX('Product Master'!$D$2:$D$21,MATCH(D235,'Product Master'!$A$2:$A$21,0))</f>
        <v>30</v>
      </c>
      <c r="I235" s="14" t="n">
        <f aca="false">G235*H235</f>
        <v>150</v>
      </c>
      <c r="J235" s="0" t="str">
        <f aca="false">IF(COUNTIF($A$2:A235,A235)&gt;1,"Duplicate","")</f>
        <v/>
      </c>
    </row>
    <row r="236" customFormat="false" ht="15" hidden="false" customHeight="false" outlineLevel="0" collapsed="false">
      <c r="A236" s="0" t="str">
        <f aca="false">'Raw Store Exports'!A236</f>
        <v>TXN01152</v>
      </c>
      <c r="B236" s="17" t="n">
        <f aca="false">'Raw Store Exports'!C236</f>
        <v>46076</v>
      </c>
      <c r="C236" s="0" t="str">
        <f aca="false">INDEX('Store Mapping'!$C$2:$C$19,MATCH(TRIM('Raw Store Exports'!B236),'Store Mapping'!$A$2:$A$19,0))</f>
        <v>Riverside</v>
      </c>
      <c r="D236" s="0" t="str">
        <f aca="false">'Raw Store Exports'!D236</f>
        <v>ELE-403</v>
      </c>
      <c r="E236" s="0" t="str">
        <f aca="false">INDEX('Product Master'!$B$2:$B$21,MATCH(D236,'Product Master'!$A$2:$A$21,0))</f>
        <v>Fitness Tracker Band</v>
      </c>
      <c r="F236" s="0" t="str">
        <f aca="false">INDEX('Product Master'!$C$2:$C$21,MATCH(D236,'Product Master'!$A$2:$A$21,0))</f>
        <v>Electronics</v>
      </c>
      <c r="G236" s="15" t="n">
        <f aca="false">VALUE(TRIM('Raw Store Exports'!E236&amp;""))</f>
        <v>1</v>
      </c>
      <c r="H236" s="18" t="n">
        <f aca="false">INDEX('Product Master'!$D$2:$D$21,MATCH(D236,'Product Master'!$A$2:$A$21,0))</f>
        <v>99</v>
      </c>
      <c r="I236" s="14" t="n">
        <f aca="false">G236*H236</f>
        <v>99</v>
      </c>
      <c r="J236" s="0" t="str">
        <f aca="false">IF(COUNTIF($A$2:A236,A236)&gt;1,"Duplicate","")</f>
        <v/>
      </c>
    </row>
    <row r="237" customFormat="false" ht="15" hidden="false" customHeight="false" outlineLevel="0" collapsed="false">
      <c r="A237" s="0" t="str">
        <f aca="false">'Raw Store Exports'!A237</f>
        <v>TXN00459</v>
      </c>
      <c r="B237" s="17" t="n">
        <f aca="false">'Raw Store Exports'!C237</f>
        <v>46048</v>
      </c>
      <c r="C237" s="0" t="str">
        <f aca="false">INDEX('Store Mapping'!$C$2:$C$19,MATCH(TRIM('Raw Store Exports'!B237),'Store Mapping'!$A$2:$A$19,0))</f>
        <v>Westside Mall</v>
      </c>
      <c r="D237" s="0" t="str">
        <f aca="false">'Raw Store Exports'!D237</f>
        <v>HOM-504</v>
      </c>
      <c r="E237" s="0" t="str">
        <f aca="false">INDEX('Product Master'!$B$2:$B$21,MATCH(D237,'Product Master'!$A$2:$A$21,0))</f>
        <v>Bamboo Cutting Board</v>
      </c>
      <c r="F237" s="0" t="str">
        <f aca="false">INDEX('Product Master'!$C$2:$C$21,MATCH(D237,'Product Master'!$A$2:$A$21,0))</f>
        <v>Home Goods</v>
      </c>
      <c r="G237" s="15" t="n">
        <f aca="false">VALUE(TRIM('Raw Store Exports'!E237&amp;""))</f>
        <v>5</v>
      </c>
      <c r="H237" s="18" t="n">
        <f aca="false">INDEX('Product Master'!$D$2:$D$21,MATCH(D237,'Product Master'!$A$2:$A$21,0))</f>
        <v>27</v>
      </c>
      <c r="I237" s="14" t="n">
        <f aca="false">G237*H237</f>
        <v>135</v>
      </c>
      <c r="J237" s="0" t="str">
        <f aca="false">IF(COUNTIF($A$2:A237,A237)&gt;1,"Duplicate","")</f>
        <v/>
      </c>
    </row>
    <row r="238" customFormat="false" ht="15" hidden="false" customHeight="false" outlineLevel="0" collapsed="false">
      <c r="A238" s="0" t="str">
        <f aca="false">'Raw Store Exports'!A238</f>
        <v>TXN01065</v>
      </c>
      <c r="B238" s="17" t="n">
        <f aca="false">'Raw Store Exports'!C238</f>
        <v>46081</v>
      </c>
      <c r="C238" s="0" t="str">
        <f aca="false">INDEX('Store Mapping'!$C$2:$C$19,MATCH(TRIM('Raw Store Exports'!B238),'Store Mapping'!$A$2:$A$19,0))</f>
        <v>Downtown</v>
      </c>
      <c r="D238" s="0" t="str">
        <f aca="false">'Raw Store Exports'!D238</f>
        <v>APP-103</v>
      </c>
      <c r="E238" s="0" t="str">
        <f aca="false">INDEX('Product Master'!$B$2:$B$21,MATCH(D238,'Product Master'!$A$2:$A$21,0))</f>
        <v>Fleece Pullover Hoodie</v>
      </c>
      <c r="F238" s="0" t="str">
        <f aca="false">INDEX('Product Master'!$C$2:$C$21,MATCH(D238,'Product Master'!$A$2:$A$21,0))</f>
        <v>Apparel</v>
      </c>
      <c r="G238" s="15" t="n">
        <f aca="false">VALUE(TRIM('Raw Store Exports'!E238&amp;""))</f>
        <v>2</v>
      </c>
      <c r="H238" s="18" t="n">
        <f aca="false">INDEX('Product Master'!$D$2:$D$21,MATCH(D238,'Product Master'!$A$2:$A$21,0))</f>
        <v>45</v>
      </c>
      <c r="I238" s="14" t="n">
        <f aca="false">G238*H238</f>
        <v>90</v>
      </c>
      <c r="J238" s="0" t="str">
        <f aca="false">IF(COUNTIF($A$2:A238,A238)&gt;1,"Duplicate","")</f>
        <v/>
      </c>
    </row>
    <row r="239" customFormat="false" ht="15" hidden="false" customHeight="false" outlineLevel="0" collapsed="false">
      <c r="A239" s="0" t="str">
        <f aca="false">'Raw Store Exports'!A239</f>
        <v>TXN00394</v>
      </c>
      <c r="B239" s="17" t="n">
        <f aca="false">'Raw Store Exports'!C239</f>
        <v>46043</v>
      </c>
      <c r="C239" s="0" t="str">
        <f aca="false">INDEX('Store Mapping'!$C$2:$C$19,MATCH(TRIM('Raw Store Exports'!B239),'Store Mapping'!$A$2:$A$19,0))</f>
        <v>Riverside</v>
      </c>
      <c r="D239" s="0" t="str">
        <f aca="false">'Raw Store Exports'!D239</f>
        <v>ELE-403</v>
      </c>
      <c r="E239" s="0" t="str">
        <f aca="false">INDEX('Product Master'!$B$2:$B$21,MATCH(D239,'Product Master'!$A$2:$A$21,0))</f>
        <v>Fitness Tracker Band</v>
      </c>
      <c r="F239" s="0" t="str">
        <f aca="false">INDEX('Product Master'!$C$2:$C$21,MATCH(D239,'Product Master'!$A$2:$A$21,0))</f>
        <v>Electronics</v>
      </c>
      <c r="G239" s="15" t="n">
        <f aca="false">VALUE(TRIM('Raw Store Exports'!E239&amp;""))</f>
        <v>3</v>
      </c>
      <c r="H239" s="18" t="n">
        <f aca="false">INDEX('Product Master'!$D$2:$D$21,MATCH(D239,'Product Master'!$A$2:$A$21,0))</f>
        <v>99</v>
      </c>
      <c r="I239" s="14" t="n">
        <f aca="false">G239*H239</f>
        <v>297</v>
      </c>
      <c r="J239" s="0" t="str">
        <f aca="false">IF(COUNTIF($A$2:A239,A239)&gt;1,"Duplicate","")</f>
        <v/>
      </c>
    </row>
    <row r="240" customFormat="false" ht="15" hidden="false" customHeight="false" outlineLevel="0" collapsed="false">
      <c r="A240" s="0" t="str">
        <f aca="false">'Raw Store Exports'!A240</f>
        <v>TXN00553</v>
      </c>
      <c r="B240" s="17" t="n">
        <f aca="false">'Raw Store Exports'!C240</f>
        <v>46054</v>
      </c>
      <c r="C240" s="0" t="str">
        <f aca="false">INDEX('Store Mapping'!$C$2:$C$19,MATCH(TRIM('Raw Store Exports'!B240),'Store Mapping'!$A$2:$A$19,0))</f>
        <v>Riverside</v>
      </c>
      <c r="D240" s="0" t="str">
        <f aca="false">'Raw Store Exports'!D240</f>
        <v>ACC-304</v>
      </c>
      <c r="E240" s="0" t="str">
        <f aca="false">INDEX('Product Master'!$B$2:$B$21,MATCH(D240,'Product Master'!$A$2:$A$21,0))</f>
        <v>Wool Beanie</v>
      </c>
      <c r="F240" s="0" t="str">
        <f aca="false">INDEX('Product Master'!$C$2:$C$21,MATCH(D240,'Product Master'!$A$2:$A$21,0))</f>
        <v>Accessories</v>
      </c>
      <c r="G240" s="15" t="n">
        <f aca="false">VALUE(TRIM('Raw Store Exports'!E240&amp;""))</f>
        <v>4</v>
      </c>
      <c r="H240" s="18" t="n">
        <f aca="false">INDEX('Product Master'!$D$2:$D$21,MATCH(D240,'Product Master'!$A$2:$A$21,0))</f>
        <v>16</v>
      </c>
      <c r="I240" s="14" t="n">
        <f aca="false">G240*H240</f>
        <v>64</v>
      </c>
      <c r="J240" s="0" t="str">
        <f aca="false">IF(COUNTIF($A$2:A240,A240)&gt;1,"Duplicate","")</f>
        <v/>
      </c>
    </row>
    <row r="241" customFormat="false" ht="15" hidden="false" customHeight="false" outlineLevel="0" collapsed="false">
      <c r="A241" s="0" t="str">
        <f aca="false">'Raw Store Exports'!A241</f>
        <v>TXN01026</v>
      </c>
      <c r="B241" s="17" t="n">
        <f aca="false">'Raw Store Exports'!C241</f>
        <v>46073</v>
      </c>
      <c r="C241" s="0" t="str">
        <f aca="false">INDEX('Store Mapping'!$C$2:$C$19,MATCH(TRIM('Raw Store Exports'!B241),'Store Mapping'!$A$2:$A$19,0))</f>
        <v>Airport Plaza</v>
      </c>
      <c r="D241" s="0" t="str">
        <f aca="false">'Raw Store Exports'!D241</f>
        <v>HOM-501</v>
      </c>
      <c r="E241" s="0" t="str">
        <f aca="false">INDEX('Product Master'!$B$2:$B$21,MATCH(D241,'Product Master'!$A$2:$A$21,0))</f>
        <v>Ceramic Coffee Mug Set</v>
      </c>
      <c r="F241" s="0" t="str">
        <f aca="false">INDEX('Product Master'!$C$2:$C$21,MATCH(D241,'Product Master'!$A$2:$A$21,0))</f>
        <v>Home Goods</v>
      </c>
      <c r="G241" s="15" t="n">
        <f aca="false">VALUE(TRIM('Raw Store Exports'!E241&amp;""))</f>
        <v>1</v>
      </c>
      <c r="H241" s="18" t="n">
        <f aca="false">INDEX('Product Master'!$D$2:$D$21,MATCH(D241,'Product Master'!$A$2:$A$21,0))</f>
        <v>22</v>
      </c>
      <c r="I241" s="14" t="n">
        <f aca="false">G241*H241</f>
        <v>22</v>
      </c>
      <c r="J241" s="0" t="str">
        <f aca="false">IF(COUNTIF($A$2:A241,A241)&gt;1,"Duplicate","")</f>
        <v/>
      </c>
    </row>
    <row r="242" customFormat="false" ht="15" hidden="false" customHeight="false" outlineLevel="0" collapsed="false">
      <c r="A242" s="0" t="str">
        <f aca="false">'Raw Store Exports'!A242</f>
        <v>TXN01119</v>
      </c>
      <c r="B242" s="17" t="n">
        <f aca="false">'Raw Store Exports'!C242</f>
        <v>46081</v>
      </c>
      <c r="C242" s="0" t="str">
        <f aca="false">INDEX('Store Mapping'!$C$2:$C$19,MATCH(TRIM('Raw Store Exports'!B242),'Store Mapping'!$A$2:$A$19,0))</f>
        <v>Eastgate</v>
      </c>
      <c r="D242" s="0" t="str">
        <f aca="false">'Raw Store Exports'!D242</f>
        <v>ACC-304</v>
      </c>
      <c r="E242" s="0" t="str">
        <f aca="false">INDEX('Product Master'!$B$2:$B$21,MATCH(D242,'Product Master'!$A$2:$A$21,0))</f>
        <v>Wool Beanie</v>
      </c>
      <c r="F242" s="0" t="str">
        <f aca="false">INDEX('Product Master'!$C$2:$C$21,MATCH(D242,'Product Master'!$A$2:$A$21,0))</f>
        <v>Accessories</v>
      </c>
      <c r="G242" s="15" t="n">
        <f aca="false">VALUE(TRIM('Raw Store Exports'!E242&amp;""))</f>
        <v>5</v>
      </c>
      <c r="H242" s="18" t="n">
        <f aca="false">INDEX('Product Master'!$D$2:$D$21,MATCH(D242,'Product Master'!$A$2:$A$21,0))</f>
        <v>16</v>
      </c>
      <c r="I242" s="14" t="n">
        <f aca="false">G242*H242</f>
        <v>80</v>
      </c>
      <c r="J242" s="0" t="str">
        <f aca="false">IF(COUNTIF($A$2:A242,A242)&gt;1,"Duplicate","")</f>
        <v>Duplicate</v>
      </c>
    </row>
    <row r="243" customFormat="false" ht="15" hidden="false" customHeight="false" outlineLevel="0" collapsed="false">
      <c r="A243" s="0" t="str">
        <f aca="false">'Raw Store Exports'!A243</f>
        <v>TXN00750</v>
      </c>
      <c r="B243" s="17" t="n">
        <f aca="false">'Raw Store Exports'!C243</f>
        <v>46064</v>
      </c>
      <c r="C243" s="0" t="str">
        <f aca="false">INDEX('Store Mapping'!$C$2:$C$19,MATCH(TRIM('Raw Store Exports'!B243),'Store Mapping'!$A$2:$A$19,0))</f>
        <v>Downtown</v>
      </c>
      <c r="D243" s="0" t="str">
        <f aca="false">'Raw Store Exports'!D243</f>
        <v>ACC-302</v>
      </c>
      <c r="E243" s="0" t="str">
        <f aca="false">INDEX('Product Master'!$B$2:$B$21,MATCH(D243,'Product Master'!$A$2:$A$21,0))</f>
        <v>Aviator Sunglasses</v>
      </c>
      <c r="F243" s="0" t="str">
        <f aca="false">INDEX('Product Master'!$C$2:$C$21,MATCH(D243,'Product Master'!$A$2:$A$21,0))</f>
        <v>Accessories</v>
      </c>
      <c r="G243" s="15" t="n">
        <f aca="false">VALUE(TRIM('Raw Store Exports'!E243&amp;""))</f>
        <v>3</v>
      </c>
      <c r="H243" s="18" t="n">
        <f aca="false">INDEX('Product Master'!$D$2:$D$21,MATCH(D243,'Product Master'!$A$2:$A$21,0))</f>
        <v>42</v>
      </c>
      <c r="I243" s="14" t="n">
        <f aca="false">G243*H243</f>
        <v>126</v>
      </c>
      <c r="J243" s="0" t="str">
        <f aca="false">IF(COUNTIF($A$2:A243,A243)&gt;1,"Duplicate","")</f>
        <v/>
      </c>
    </row>
    <row r="244" customFormat="false" ht="15" hidden="false" customHeight="false" outlineLevel="0" collapsed="false">
      <c r="A244" s="0" t="str">
        <f aca="false">'Raw Store Exports'!A244</f>
        <v>TXN00990</v>
      </c>
      <c r="B244" s="17" t="n">
        <f aca="false">'Raw Store Exports'!C244</f>
        <v>46075</v>
      </c>
      <c r="C244" s="0" t="str">
        <f aca="false">INDEX('Store Mapping'!$C$2:$C$19,MATCH(TRIM('Raw Store Exports'!B244),'Store Mapping'!$A$2:$A$19,0))</f>
        <v>Northpark</v>
      </c>
      <c r="D244" s="0" t="str">
        <f aca="false">'Raw Store Exports'!D244</f>
        <v>ACC-304</v>
      </c>
      <c r="E244" s="0" t="str">
        <f aca="false">INDEX('Product Master'!$B$2:$B$21,MATCH(D244,'Product Master'!$A$2:$A$21,0))</f>
        <v>Wool Beanie</v>
      </c>
      <c r="F244" s="0" t="str">
        <f aca="false">INDEX('Product Master'!$C$2:$C$21,MATCH(D244,'Product Master'!$A$2:$A$21,0))</f>
        <v>Accessories</v>
      </c>
      <c r="G244" s="15" t="n">
        <f aca="false">VALUE(TRIM('Raw Store Exports'!E244&amp;""))</f>
        <v>6</v>
      </c>
      <c r="H244" s="18" t="n">
        <f aca="false">INDEX('Product Master'!$D$2:$D$21,MATCH(D244,'Product Master'!$A$2:$A$21,0))</f>
        <v>16</v>
      </c>
      <c r="I244" s="14" t="n">
        <f aca="false">G244*H244</f>
        <v>96</v>
      </c>
      <c r="J244" s="0" t="str">
        <f aca="false">IF(COUNTIF($A$2:A244,A244)&gt;1,"Duplicate","")</f>
        <v/>
      </c>
    </row>
    <row r="245" customFormat="false" ht="15" hidden="false" customHeight="false" outlineLevel="0" collapsed="false">
      <c r="A245" s="0" t="str">
        <f aca="false">'Raw Store Exports'!A245</f>
        <v>TXN00223</v>
      </c>
      <c r="B245" s="17" t="n">
        <f aca="false">'Raw Store Exports'!C245</f>
        <v>46036</v>
      </c>
      <c r="C245" s="0" t="str">
        <f aca="false">INDEX('Store Mapping'!$C$2:$C$19,MATCH(TRIM('Raw Store Exports'!B245),'Store Mapping'!$A$2:$A$19,0))</f>
        <v>Northpark</v>
      </c>
      <c r="D245" s="0" t="str">
        <f aca="false">'Raw Store Exports'!D245</f>
        <v>ACC-304</v>
      </c>
      <c r="E245" s="0" t="str">
        <f aca="false">INDEX('Product Master'!$B$2:$B$21,MATCH(D245,'Product Master'!$A$2:$A$21,0))</f>
        <v>Wool Beanie</v>
      </c>
      <c r="F245" s="0" t="str">
        <f aca="false">INDEX('Product Master'!$C$2:$C$21,MATCH(D245,'Product Master'!$A$2:$A$21,0))</f>
        <v>Accessories</v>
      </c>
      <c r="G245" s="15" t="n">
        <f aca="false">VALUE(TRIM('Raw Store Exports'!E245&amp;""))</f>
        <v>2</v>
      </c>
      <c r="H245" s="18" t="n">
        <f aca="false">INDEX('Product Master'!$D$2:$D$21,MATCH(D245,'Product Master'!$A$2:$A$21,0))</f>
        <v>16</v>
      </c>
      <c r="I245" s="14" t="n">
        <f aca="false">G245*H245</f>
        <v>32</v>
      </c>
      <c r="J245" s="0" t="str">
        <f aca="false">IF(COUNTIF($A$2:A245,A245)&gt;1,"Duplicate","")</f>
        <v/>
      </c>
    </row>
    <row r="246" customFormat="false" ht="15" hidden="false" customHeight="false" outlineLevel="0" collapsed="false">
      <c r="A246" s="0" t="str">
        <f aca="false">'Raw Store Exports'!A246</f>
        <v>TXN00650</v>
      </c>
      <c r="B246" s="17" t="n">
        <f aca="false">'Raw Store Exports'!C246</f>
        <v>46055</v>
      </c>
      <c r="C246" s="0" t="str">
        <f aca="false">INDEX('Store Mapping'!$C$2:$C$19,MATCH(TRIM('Raw Store Exports'!B246),'Store Mapping'!$A$2:$A$19,0))</f>
        <v>Eastgate</v>
      </c>
      <c r="D246" s="0" t="str">
        <f aca="false">'Raw Store Exports'!D246</f>
        <v>ELE-403</v>
      </c>
      <c r="E246" s="0" t="str">
        <f aca="false">INDEX('Product Master'!$B$2:$B$21,MATCH(D246,'Product Master'!$A$2:$A$21,0))</f>
        <v>Fitness Tracker Band</v>
      </c>
      <c r="F246" s="0" t="str">
        <f aca="false">INDEX('Product Master'!$C$2:$C$21,MATCH(D246,'Product Master'!$A$2:$A$21,0))</f>
        <v>Electronics</v>
      </c>
      <c r="G246" s="15" t="n">
        <f aca="false">VALUE(TRIM('Raw Store Exports'!E246&amp;""))</f>
        <v>1</v>
      </c>
      <c r="H246" s="18" t="n">
        <f aca="false">INDEX('Product Master'!$D$2:$D$21,MATCH(D246,'Product Master'!$A$2:$A$21,0))</f>
        <v>99</v>
      </c>
      <c r="I246" s="14" t="n">
        <f aca="false">G246*H246</f>
        <v>99</v>
      </c>
      <c r="J246" s="0" t="str">
        <f aca="false">IF(COUNTIF($A$2:A246,A246)&gt;1,"Duplicate","")</f>
        <v/>
      </c>
    </row>
    <row r="247" customFormat="false" ht="15" hidden="false" customHeight="false" outlineLevel="0" collapsed="false">
      <c r="A247" s="0" t="str">
        <f aca="false">'Raw Store Exports'!A247</f>
        <v>TXN00652</v>
      </c>
      <c r="B247" s="17" t="n">
        <f aca="false">'Raw Store Exports'!C247</f>
        <v>46056</v>
      </c>
      <c r="C247" s="0" t="str">
        <f aca="false">INDEX('Store Mapping'!$C$2:$C$19,MATCH(TRIM('Raw Store Exports'!B247),'Store Mapping'!$A$2:$A$19,0))</f>
        <v>Eastgate</v>
      </c>
      <c r="D247" s="0" t="str">
        <f aca="false">'Raw Store Exports'!D247</f>
        <v>APP-103</v>
      </c>
      <c r="E247" s="0" t="str">
        <f aca="false">INDEX('Product Master'!$B$2:$B$21,MATCH(D247,'Product Master'!$A$2:$A$21,0))</f>
        <v>Fleece Pullover Hoodie</v>
      </c>
      <c r="F247" s="0" t="str">
        <f aca="false">INDEX('Product Master'!$C$2:$C$21,MATCH(D247,'Product Master'!$A$2:$A$21,0))</f>
        <v>Apparel</v>
      </c>
      <c r="G247" s="15" t="n">
        <f aca="false">VALUE(TRIM('Raw Store Exports'!E247&amp;""))</f>
        <v>5</v>
      </c>
      <c r="H247" s="18" t="n">
        <f aca="false">INDEX('Product Master'!$D$2:$D$21,MATCH(D247,'Product Master'!$A$2:$A$21,0))</f>
        <v>45</v>
      </c>
      <c r="I247" s="14" t="n">
        <f aca="false">G247*H247</f>
        <v>225</v>
      </c>
      <c r="J247" s="0" t="str">
        <f aca="false">IF(COUNTIF($A$2:A247,A247)&gt;1,"Duplicate","")</f>
        <v/>
      </c>
    </row>
    <row r="248" customFormat="false" ht="15" hidden="false" customHeight="false" outlineLevel="0" collapsed="false">
      <c r="A248" s="0" t="str">
        <f aca="false">'Raw Store Exports'!A248</f>
        <v>TXN00571</v>
      </c>
      <c r="B248" s="17" t="n">
        <f aca="false">'Raw Store Exports'!C248</f>
        <v>46051</v>
      </c>
      <c r="C248" s="0" t="str">
        <f aca="false">INDEX('Store Mapping'!$C$2:$C$19,MATCH(TRIM('Raw Store Exports'!B248),'Store Mapping'!$A$2:$A$19,0))</f>
        <v>Airport Plaza</v>
      </c>
      <c r="D248" s="0" t="str">
        <f aca="false">'Raw Store Exports'!D248</f>
        <v>HOM-501</v>
      </c>
      <c r="E248" s="0" t="str">
        <f aca="false">INDEX('Product Master'!$B$2:$B$21,MATCH(D248,'Product Master'!$A$2:$A$21,0))</f>
        <v>Ceramic Coffee Mug Set</v>
      </c>
      <c r="F248" s="0" t="str">
        <f aca="false">INDEX('Product Master'!$C$2:$C$21,MATCH(D248,'Product Master'!$A$2:$A$21,0))</f>
        <v>Home Goods</v>
      </c>
      <c r="G248" s="15" t="n">
        <f aca="false">VALUE(TRIM('Raw Store Exports'!E248&amp;""))</f>
        <v>4</v>
      </c>
      <c r="H248" s="18" t="n">
        <f aca="false">INDEX('Product Master'!$D$2:$D$21,MATCH(D248,'Product Master'!$A$2:$A$21,0))</f>
        <v>22</v>
      </c>
      <c r="I248" s="14" t="n">
        <f aca="false">G248*H248</f>
        <v>88</v>
      </c>
      <c r="J248" s="0" t="str">
        <f aca="false">IF(COUNTIF($A$2:A248,A248)&gt;1,"Duplicate","")</f>
        <v/>
      </c>
    </row>
    <row r="249" customFormat="false" ht="15" hidden="false" customHeight="false" outlineLevel="0" collapsed="false">
      <c r="A249" s="0" t="str">
        <f aca="false">'Raw Store Exports'!A249</f>
        <v>TXN00552</v>
      </c>
      <c r="B249" s="17" t="n">
        <f aca="false">'Raw Store Exports'!C249</f>
        <v>46051</v>
      </c>
      <c r="C249" s="0" t="str">
        <f aca="false">INDEX('Store Mapping'!$C$2:$C$19,MATCH(TRIM('Raw Store Exports'!B249),'Store Mapping'!$A$2:$A$19,0))</f>
        <v>Riverside</v>
      </c>
      <c r="D249" s="0" t="str">
        <f aca="false">'Raw Store Exports'!D249</f>
        <v>FTW-201</v>
      </c>
      <c r="E249" s="0" t="str">
        <f aca="false">INDEX('Product Master'!$B$2:$B$21,MATCH(D249,'Product Master'!$A$2:$A$21,0))</f>
        <v>Running Sneakers</v>
      </c>
      <c r="F249" s="0" t="str">
        <f aca="false">INDEX('Product Master'!$C$2:$C$21,MATCH(D249,'Product Master'!$A$2:$A$21,0))</f>
        <v>Footwear</v>
      </c>
      <c r="G249" s="15" t="n">
        <f aca="false">VALUE(TRIM('Raw Store Exports'!E249&amp;""))</f>
        <v>4</v>
      </c>
      <c r="H249" s="18" t="n">
        <f aca="false">INDEX('Product Master'!$D$2:$D$21,MATCH(D249,'Product Master'!$A$2:$A$21,0))</f>
        <v>89</v>
      </c>
      <c r="I249" s="14" t="n">
        <f aca="false">G249*H249</f>
        <v>356</v>
      </c>
      <c r="J249" s="0" t="str">
        <f aca="false">IF(COUNTIF($A$2:A249,A249)&gt;1,"Duplicate","")</f>
        <v/>
      </c>
    </row>
    <row r="250" customFormat="false" ht="15" hidden="false" customHeight="false" outlineLevel="0" collapsed="false">
      <c r="A250" s="0" t="str">
        <f aca="false">'Raw Store Exports'!A250</f>
        <v>TXN00228</v>
      </c>
      <c r="B250" s="17" t="n">
        <f aca="false">'Raw Store Exports'!C250</f>
        <v>46039</v>
      </c>
      <c r="C250" s="0" t="str">
        <f aca="false">INDEX('Store Mapping'!$C$2:$C$19,MATCH(TRIM('Raw Store Exports'!B250),'Store Mapping'!$A$2:$A$19,0))</f>
        <v>Northpark</v>
      </c>
      <c r="D250" s="0" t="str">
        <f aca="false">'Raw Store Exports'!D250</f>
        <v>FTW-204</v>
      </c>
      <c r="E250" s="0" t="str">
        <f aca="false">INDEX('Product Master'!$B$2:$B$21,MATCH(D250,'Product Master'!$A$2:$A$21,0))</f>
        <v>Slide Sandals</v>
      </c>
      <c r="F250" s="0" t="str">
        <f aca="false">INDEX('Product Master'!$C$2:$C$21,MATCH(D250,'Product Master'!$A$2:$A$21,0))</f>
        <v>Footwear</v>
      </c>
      <c r="G250" s="15" t="n">
        <f aca="false">VALUE(TRIM('Raw Store Exports'!E250&amp;""))</f>
        <v>3</v>
      </c>
      <c r="H250" s="18" t="n">
        <f aca="false">INDEX('Product Master'!$D$2:$D$21,MATCH(D250,'Product Master'!$A$2:$A$21,0))</f>
        <v>25</v>
      </c>
      <c r="I250" s="14" t="n">
        <f aca="false">G250*H250</f>
        <v>75</v>
      </c>
      <c r="J250" s="0" t="str">
        <f aca="false">IF(COUNTIF($A$2:A250,A250)&gt;1,"Duplicate","")</f>
        <v/>
      </c>
    </row>
    <row r="251" customFormat="false" ht="15" hidden="false" customHeight="false" outlineLevel="0" collapsed="false">
      <c r="A251" s="0" t="str">
        <f aca="false">'Raw Store Exports'!A251</f>
        <v>TXN01015</v>
      </c>
      <c r="B251" s="17" t="n">
        <f aca="false">'Raw Store Exports'!C251</f>
        <v>46070</v>
      </c>
      <c r="C251" s="0" t="str">
        <f aca="false">INDEX('Store Mapping'!$C$2:$C$19,MATCH(TRIM('Raw Store Exports'!B251),'Store Mapping'!$A$2:$A$19,0))</f>
        <v>Riverside</v>
      </c>
      <c r="D251" s="0" t="str">
        <f aca="false">'Raw Store Exports'!D251</f>
        <v>APP-102</v>
      </c>
      <c r="E251" s="0" t="str">
        <f aca="false">INDEX('Product Master'!$B$2:$B$21,MATCH(D251,'Product Master'!$A$2:$A$21,0))</f>
        <v>Cotton Crew T-Shirt</v>
      </c>
      <c r="F251" s="0" t="str">
        <f aca="false">INDEX('Product Master'!$C$2:$C$21,MATCH(D251,'Product Master'!$A$2:$A$21,0))</f>
        <v>Apparel</v>
      </c>
      <c r="G251" s="15" t="n">
        <f aca="false">VALUE(TRIM('Raw Store Exports'!E251&amp;""))</f>
        <v>3</v>
      </c>
      <c r="H251" s="18" t="n">
        <f aca="false">INDEX('Product Master'!$D$2:$D$21,MATCH(D251,'Product Master'!$A$2:$A$21,0))</f>
        <v>18</v>
      </c>
      <c r="I251" s="14" t="n">
        <f aca="false">G251*H251</f>
        <v>54</v>
      </c>
      <c r="J251" s="0" t="str">
        <f aca="false">IF(COUNTIF($A$2:A251,A251)&gt;1,"Duplicate","")</f>
        <v/>
      </c>
    </row>
    <row r="252" customFormat="false" ht="15" hidden="false" customHeight="false" outlineLevel="0" collapsed="false">
      <c r="A252" s="0" t="str">
        <f aca="false">'Raw Store Exports'!A252</f>
        <v>TXN00831</v>
      </c>
      <c r="B252" s="17" t="n">
        <f aca="false">'Raw Store Exports'!C252</f>
        <v>46064</v>
      </c>
      <c r="C252" s="0" t="str">
        <f aca="false">INDEX('Store Mapping'!$C$2:$C$19,MATCH(TRIM('Raw Store Exports'!B252),'Store Mapping'!$A$2:$A$19,0))</f>
        <v>Northpark</v>
      </c>
      <c r="D252" s="0" t="str">
        <f aca="false">'Raw Store Exports'!D252</f>
        <v>ELE-402</v>
      </c>
      <c r="E252" s="0" t="str">
        <f aca="false">INDEX('Product Master'!$B$2:$B$21,MATCH(D252,'Product Master'!$A$2:$A$21,0))</f>
        <v>Bluetooth Speaker</v>
      </c>
      <c r="F252" s="0" t="str">
        <f aca="false">INDEX('Product Master'!$C$2:$C$21,MATCH(D252,'Product Master'!$A$2:$A$21,0))</f>
        <v>Electronics</v>
      </c>
      <c r="G252" s="15" t="n">
        <f aca="false">VALUE(TRIM('Raw Store Exports'!E252&amp;""))</f>
        <v>6</v>
      </c>
      <c r="H252" s="18" t="n">
        <f aca="false">INDEX('Product Master'!$D$2:$D$21,MATCH(D252,'Product Master'!$A$2:$A$21,0))</f>
        <v>59</v>
      </c>
      <c r="I252" s="14" t="n">
        <f aca="false">G252*H252</f>
        <v>354</v>
      </c>
      <c r="J252" s="0" t="str">
        <f aca="false">IF(COUNTIF($A$2:A252,A252)&gt;1,"Duplicate","")</f>
        <v/>
      </c>
    </row>
    <row r="253" customFormat="false" ht="15" hidden="false" customHeight="false" outlineLevel="0" collapsed="false">
      <c r="A253" s="0" t="str">
        <f aca="false">'Raw Store Exports'!A253</f>
        <v>TXN00084</v>
      </c>
      <c r="B253" s="17" t="n">
        <f aca="false">'Raw Store Exports'!C253</f>
        <v>46031</v>
      </c>
      <c r="C253" s="0" t="str">
        <f aca="false">INDEX('Store Mapping'!$C$2:$C$19,MATCH(TRIM('Raw Store Exports'!B253),'Store Mapping'!$A$2:$A$19,0))</f>
        <v>Northpark</v>
      </c>
      <c r="D253" s="0" t="str">
        <f aca="false">'Raw Store Exports'!D253</f>
        <v>ELE-402</v>
      </c>
      <c r="E253" s="0" t="str">
        <f aca="false">INDEX('Product Master'!$B$2:$B$21,MATCH(D253,'Product Master'!$A$2:$A$21,0))</f>
        <v>Bluetooth Speaker</v>
      </c>
      <c r="F253" s="0" t="str">
        <f aca="false">INDEX('Product Master'!$C$2:$C$21,MATCH(D253,'Product Master'!$A$2:$A$21,0))</f>
        <v>Electronics</v>
      </c>
      <c r="G253" s="15" t="n">
        <f aca="false">VALUE(TRIM('Raw Store Exports'!E253&amp;""))</f>
        <v>4</v>
      </c>
      <c r="H253" s="18" t="n">
        <f aca="false">INDEX('Product Master'!$D$2:$D$21,MATCH(D253,'Product Master'!$A$2:$A$21,0))</f>
        <v>59</v>
      </c>
      <c r="I253" s="14" t="n">
        <f aca="false">G253*H253</f>
        <v>236</v>
      </c>
      <c r="J253" s="0" t="str">
        <f aca="false">IF(COUNTIF($A$2:A253,A253)&gt;1,"Duplicate","")</f>
        <v/>
      </c>
    </row>
    <row r="254" customFormat="false" ht="15" hidden="false" customHeight="false" outlineLevel="0" collapsed="false">
      <c r="A254" s="0" t="str">
        <f aca="false">'Raw Store Exports'!A254</f>
        <v>TXN00480</v>
      </c>
      <c r="B254" s="17" t="n">
        <f aca="false">'Raw Store Exports'!C254</f>
        <v>46048</v>
      </c>
      <c r="C254" s="0" t="str">
        <f aca="false">INDEX('Store Mapping'!$C$2:$C$19,MATCH(TRIM('Raw Store Exports'!B254),'Store Mapping'!$A$2:$A$19,0))</f>
        <v>Westside Mall</v>
      </c>
      <c r="D254" s="0" t="str">
        <f aca="false">'Raw Store Exports'!D254</f>
        <v>APP-102</v>
      </c>
      <c r="E254" s="0" t="str">
        <f aca="false">INDEX('Product Master'!$B$2:$B$21,MATCH(D254,'Product Master'!$A$2:$A$21,0))</f>
        <v>Cotton Crew T-Shirt</v>
      </c>
      <c r="F254" s="0" t="str">
        <f aca="false">INDEX('Product Master'!$C$2:$C$21,MATCH(D254,'Product Master'!$A$2:$A$21,0))</f>
        <v>Apparel</v>
      </c>
      <c r="G254" s="15" t="n">
        <f aca="false">VALUE(TRIM('Raw Store Exports'!E254&amp;""))</f>
        <v>3</v>
      </c>
      <c r="H254" s="18" t="n">
        <f aca="false">INDEX('Product Master'!$D$2:$D$21,MATCH(D254,'Product Master'!$A$2:$A$21,0))</f>
        <v>18</v>
      </c>
      <c r="I254" s="14" t="n">
        <f aca="false">G254*H254</f>
        <v>54</v>
      </c>
      <c r="J254" s="0" t="str">
        <f aca="false">IF(COUNTIF($A$2:A254,A254)&gt;1,"Duplicate","")</f>
        <v/>
      </c>
    </row>
    <row r="255" customFormat="false" ht="15" hidden="false" customHeight="false" outlineLevel="0" collapsed="false">
      <c r="A255" s="0" t="str">
        <f aca="false">'Raw Store Exports'!A255</f>
        <v>TXN00263</v>
      </c>
      <c r="B255" s="17" t="n">
        <f aca="false">'Raw Store Exports'!C255</f>
        <v>46036</v>
      </c>
      <c r="C255" s="0" t="str">
        <f aca="false">INDEX('Store Mapping'!$C$2:$C$19,MATCH(TRIM('Raw Store Exports'!B255),'Store Mapping'!$A$2:$A$19,0))</f>
        <v>Airport Plaza</v>
      </c>
      <c r="D255" s="0" t="str">
        <f aca="false">'Raw Store Exports'!D255</f>
        <v>FTW-201</v>
      </c>
      <c r="E255" s="0" t="str">
        <f aca="false">INDEX('Product Master'!$B$2:$B$21,MATCH(D255,'Product Master'!$A$2:$A$21,0))</f>
        <v>Running Sneakers</v>
      </c>
      <c r="F255" s="0" t="str">
        <f aca="false">INDEX('Product Master'!$C$2:$C$21,MATCH(D255,'Product Master'!$A$2:$A$21,0))</f>
        <v>Footwear</v>
      </c>
      <c r="G255" s="15" t="n">
        <f aca="false">VALUE(TRIM('Raw Store Exports'!E255&amp;""))</f>
        <v>6</v>
      </c>
      <c r="H255" s="18" t="n">
        <f aca="false">INDEX('Product Master'!$D$2:$D$21,MATCH(D255,'Product Master'!$A$2:$A$21,0))</f>
        <v>89</v>
      </c>
      <c r="I255" s="14" t="n">
        <f aca="false">G255*H255</f>
        <v>534</v>
      </c>
      <c r="J255" s="0" t="str">
        <f aca="false">IF(COUNTIF($A$2:A255,A255)&gt;1,"Duplicate","")</f>
        <v/>
      </c>
    </row>
    <row r="256" customFormat="false" ht="15" hidden="false" customHeight="false" outlineLevel="0" collapsed="false">
      <c r="A256" s="0" t="str">
        <f aca="false">'Raw Store Exports'!A256</f>
        <v>TXN00619</v>
      </c>
      <c r="B256" s="17" t="n">
        <f aca="false">'Raw Store Exports'!C256</f>
        <v>46058</v>
      </c>
      <c r="C256" s="0" t="str">
        <f aca="false">INDEX('Store Mapping'!$C$2:$C$19,MATCH(TRIM('Raw Store Exports'!B256),'Store Mapping'!$A$2:$A$19,0))</f>
        <v>Westside Mall</v>
      </c>
      <c r="D256" s="0" t="str">
        <f aca="false">'Raw Store Exports'!D256</f>
        <v>ELE-403</v>
      </c>
      <c r="E256" s="0" t="str">
        <f aca="false">INDEX('Product Master'!$B$2:$B$21,MATCH(D256,'Product Master'!$A$2:$A$21,0))</f>
        <v>Fitness Tracker Band</v>
      </c>
      <c r="F256" s="0" t="str">
        <f aca="false">INDEX('Product Master'!$C$2:$C$21,MATCH(D256,'Product Master'!$A$2:$A$21,0))</f>
        <v>Electronics</v>
      </c>
      <c r="G256" s="15" t="n">
        <f aca="false">VALUE(TRIM('Raw Store Exports'!E256&amp;""))</f>
        <v>6</v>
      </c>
      <c r="H256" s="18" t="n">
        <f aca="false">INDEX('Product Master'!$D$2:$D$21,MATCH(D256,'Product Master'!$A$2:$A$21,0))</f>
        <v>99</v>
      </c>
      <c r="I256" s="14" t="n">
        <f aca="false">G256*H256</f>
        <v>594</v>
      </c>
      <c r="J256" s="0" t="str">
        <f aca="false">IF(COUNTIF($A$2:A256,A256)&gt;1,"Duplicate","")</f>
        <v/>
      </c>
    </row>
    <row r="257" customFormat="false" ht="15" hidden="false" customHeight="false" outlineLevel="0" collapsed="false">
      <c r="A257" s="0" t="str">
        <f aca="false">'Raw Store Exports'!A257</f>
        <v>TXN00604</v>
      </c>
      <c r="B257" s="17" t="n">
        <f aca="false">'Raw Store Exports'!C257</f>
        <v>46058</v>
      </c>
      <c r="C257" s="0" t="str">
        <f aca="false">INDEX('Store Mapping'!$C$2:$C$19,MATCH(TRIM('Raw Store Exports'!B257),'Store Mapping'!$A$2:$A$19,0))</f>
        <v>Downtown</v>
      </c>
      <c r="D257" s="0" t="str">
        <f aca="false">'Raw Store Exports'!D257</f>
        <v>HOM-504</v>
      </c>
      <c r="E257" s="0" t="str">
        <f aca="false">INDEX('Product Master'!$B$2:$B$21,MATCH(D257,'Product Master'!$A$2:$A$21,0))</f>
        <v>Bamboo Cutting Board</v>
      </c>
      <c r="F257" s="0" t="str">
        <f aca="false">INDEX('Product Master'!$C$2:$C$21,MATCH(D257,'Product Master'!$A$2:$A$21,0))</f>
        <v>Home Goods</v>
      </c>
      <c r="G257" s="15" t="n">
        <f aca="false">VALUE(TRIM('Raw Store Exports'!E257&amp;""))</f>
        <v>4</v>
      </c>
      <c r="H257" s="18" t="n">
        <f aca="false">INDEX('Product Master'!$D$2:$D$21,MATCH(D257,'Product Master'!$A$2:$A$21,0))</f>
        <v>27</v>
      </c>
      <c r="I257" s="14" t="n">
        <f aca="false">G257*H257</f>
        <v>108</v>
      </c>
      <c r="J257" s="0" t="str">
        <f aca="false">IF(COUNTIF($A$2:A257,A257)&gt;1,"Duplicate","")</f>
        <v/>
      </c>
    </row>
    <row r="258" customFormat="false" ht="15" hidden="false" customHeight="false" outlineLevel="0" collapsed="false">
      <c r="A258" s="0" t="str">
        <f aca="false">'Raw Store Exports'!A258</f>
        <v>TXN00432</v>
      </c>
      <c r="B258" s="17" t="n">
        <f aca="false">'Raw Store Exports'!C258</f>
        <v>46049</v>
      </c>
      <c r="C258" s="0" t="str">
        <f aca="false">INDEX('Store Mapping'!$C$2:$C$19,MATCH(TRIM('Raw Store Exports'!B258),'Store Mapping'!$A$2:$A$19,0))</f>
        <v>Downtown</v>
      </c>
      <c r="D258" s="0" t="str">
        <f aca="false">'Raw Store Exports'!D258</f>
        <v>APP-103</v>
      </c>
      <c r="E258" s="0" t="str">
        <f aca="false">INDEX('Product Master'!$B$2:$B$21,MATCH(D258,'Product Master'!$A$2:$A$21,0))</f>
        <v>Fleece Pullover Hoodie</v>
      </c>
      <c r="F258" s="0" t="str">
        <f aca="false">INDEX('Product Master'!$C$2:$C$21,MATCH(D258,'Product Master'!$A$2:$A$21,0))</f>
        <v>Apparel</v>
      </c>
      <c r="G258" s="15" t="n">
        <f aca="false">VALUE(TRIM('Raw Store Exports'!E258&amp;""))</f>
        <v>5</v>
      </c>
      <c r="H258" s="18" t="n">
        <f aca="false">INDEX('Product Master'!$D$2:$D$21,MATCH(D258,'Product Master'!$A$2:$A$21,0))</f>
        <v>45</v>
      </c>
      <c r="I258" s="14" t="n">
        <f aca="false">G258*H258</f>
        <v>225</v>
      </c>
      <c r="J258" s="0" t="str">
        <f aca="false">IF(COUNTIF($A$2:A258,A258)&gt;1,"Duplicate","")</f>
        <v/>
      </c>
    </row>
    <row r="259" customFormat="false" ht="15" hidden="false" customHeight="false" outlineLevel="0" collapsed="false">
      <c r="A259" s="0" t="str">
        <f aca="false">'Raw Store Exports'!A259</f>
        <v>TXN00789</v>
      </c>
      <c r="B259" s="17" t="n">
        <f aca="false">'Raw Store Exports'!C259</f>
        <v>46068</v>
      </c>
      <c r="C259" s="0" t="str">
        <f aca="false">INDEX('Store Mapping'!$C$2:$C$19,MATCH(TRIM('Raw Store Exports'!B259),'Store Mapping'!$A$2:$A$19,0))</f>
        <v>Westside Mall</v>
      </c>
      <c r="D259" s="0" t="str">
        <f aca="false">'Raw Store Exports'!D259</f>
        <v>ELE-403</v>
      </c>
      <c r="E259" s="0" t="str">
        <f aca="false">INDEX('Product Master'!$B$2:$B$21,MATCH(D259,'Product Master'!$A$2:$A$21,0))</f>
        <v>Fitness Tracker Band</v>
      </c>
      <c r="F259" s="0" t="str">
        <f aca="false">INDEX('Product Master'!$C$2:$C$21,MATCH(D259,'Product Master'!$A$2:$A$21,0))</f>
        <v>Electronics</v>
      </c>
      <c r="G259" s="15" t="n">
        <f aca="false">VALUE(TRIM('Raw Store Exports'!E259&amp;""))</f>
        <v>3</v>
      </c>
      <c r="H259" s="18" t="n">
        <f aca="false">INDEX('Product Master'!$D$2:$D$21,MATCH(D259,'Product Master'!$A$2:$A$21,0))</f>
        <v>99</v>
      </c>
      <c r="I259" s="14" t="n">
        <f aca="false">G259*H259</f>
        <v>297</v>
      </c>
      <c r="J259" s="0" t="str">
        <f aca="false">IF(COUNTIF($A$2:A259,A259)&gt;1,"Duplicate","")</f>
        <v/>
      </c>
    </row>
    <row r="260" customFormat="false" ht="15" hidden="false" customHeight="false" outlineLevel="0" collapsed="false">
      <c r="A260" s="0" t="str">
        <f aca="false">'Raw Store Exports'!A260</f>
        <v>TXN00241</v>
      </c>
      <c r="B260" s="17" t="n">
        <f aca="false">'Raw Store Exports'!C260</f>
        <v>46038</v>
      </c>
      <c r="C260" s="0" t="str">
        <f aca="false">INDEX('Store Mapping'!$C$2:$C$19,MATCH(TRIM('Raw Store Exports'!B260),'Store Mapping'!$A$2:$A$19,0))</f>
        <v>Riverside</v>
      </c>
      <c r="D260" s="0" t="str">
        <f aca="false">'Raw Store Exports'!D260</f>
        <v>ACC-304</v>
      </c>
      <c r="E260" s="0" t="str">
        <f aca="false">INDEX('Product Master'!$B$2:$B$21,MATCH(D260,'Product Master'!$A$2:$A$21,0))</f>
        <v>Wool Beanie</v>
      </c>
      <c r="F260" s="0" t="str">
        <f aca="false">INDEX('Product Master'!$C$2:$C$21,MATCH(D260,'Product Master'!$A$2:$A$21,0))</f>
        <v>Accessories</v>
      </c>
      <c r="G260" s="15" t="n">
        <f aca="false">VALUE(TRIM('Raw Store Exports'!E260&amp;""))</f>
        <v>1</v>
      </c>
      <c r="H260" s="18" t="n">
        <f aca="false">INDEX('Product Master'!$D$2:$D$21,MATCH(D260,'Product Master'!$A$2:$A$21,0))</f>
        <v>16</v>
      </c>
      <c r="I260" s="14" t="n">
        <f aca="false">G260*H260</f>
        <v>16</v>
      </c>
      <c r="J260" s="0" t="str">
        <f aca="false">IF(COUNTIF($A$2:A260,A260)&gt;1,"Duplicate","")</f>
        <v/>
      </c>
    </row>
    <row r="261" customFormat="false" ht="15" hidden="false" customHeight="false" outlineLevel="0" collapsed="false">
      <c r="A261" s="0" t="str">
        <f aca="false">'Raw Store Exports'!A261</f>
        <v>TXN00719</v>
      </c>
      <c r="B261" s="17" t="n">
        <f aca="false">'Raw Store Exports'!C261</f>
        <v>46059</v>
      </c>
      <c r="C261" s="0" t="str">
        <f aca="false">INDEX('Store Mapping'!$C$2:$C$19,MATCH(TRIM('Raw Store Exports'!B261),'Store Mapping'!$A$2:$A$19,0))</f>
        <v>Riverside</v>
      </c>
      <c r="D261" s="0" t="str">
        <f aca="false">'Raw Store Exports'!D261</f>
        <v>ELE-404</v>
      </c>
      <c r="E261" s="0" t="str">
        <f aca="false">INDEX('Product Master'!$B$2:$B$21,MATCH(D261,'Product Master'!$A$2:$A$21,0))</f>
        <v>Phone Charging Cable</v>
      </c>
      <c r="F261" s="0" t="str">
        <f aca="false">INDEX('Product Master'!$C$2:$C$21,MATCH(D261,'Product Master'!$A$2:$A$21,0))</f>
        <v>Electronics</v>
      </c>
      <c r="G261" s="15" t="n">
        <f aca="false">VALUE(TRIM('Raw Store Exports'!E261&amp;""))</f>
        <v>1</v>
      </c>
      <c r="H261" s="18" t="n">
        <f aca="false">INDEX('Product Master'!$D$2:$D$21,MATCH(D261,'Product Master'!$A$2:$A$21,0))</f>
        <v>12</v>
      </c>
      <c r="I261" s="14" t="n">
        <f aca="false">G261*H261</f>
        <v>12</v>
      </c>
      <c r="J261" s="0" t="str">
        <f aca="false">IF(COUNTIF($A$2:A261,A261)&gt;1,"Duplicate","")</f>
        <v/>
      </c>
    </row>
    <row r="262" customFormat="false" ht="15" hidden="false" customHeight="false" outlineLevel="0" collapsed="false">
      <c r="A262" s="0" t="str">
        <f aca="false">'Raw Store Exports'!A262</f>
        <v>TXN00349</v>
      </c>
      <c r="B262" s="17" t="n">
        <f aca="false">'Raw Store Exports'!C262</f>
        <v>46044</v>
      </c>
      <c r="C262" s="0" t="str">
        <f aca="false">INDEX('Store Mapping'!$C$2:$C$19,MATCH(TRIM('Raw Store Exports'!B262),'Store Mapping'!$A$2:$A$19,0))</f>
        <v>Northpark</v>
      </c>
      <c r="D262" s="0" t="str">
        <f aca="false">'Raw Store Exports'!D262</f>
        <v>HOM-504</v>
      </c>
      <c r="E262" s="0" t="str">
        <f aca="false">INDEX('Product Master'!$B$2:$B$21,MATCH(D262,'Product Master'!$A$2:$A$21,0))</f>
        <v>Bamboo Cutting Board</v>
      </c>
      <c r="F262" s="0" t="str">
        <f aca="false">INDEX('Product Master'!$C$2:$C$21,MATCH(D262,'Product Master'!$A$2:$A$21,0))</f>
        <v>Home Goods</v>
      </c>
      <c r="G262" s="15" t="n">
        <f aca="false">VALUE(TRIM('Raw Store Exports'!E262&amp;""))</f>
        <v>3</v>
      </c>
      <c r="H262" s="18" t="n">
        <f aca="false">INDEX('Product Master'!$D$2:$D$21,MATCH(D262,'Product Master'!$A$2:$A$21,0))</f>
        <v>27</v>
      </c>
      <c r="I262" s="14" t="n">
        <f aca="false">G262*H262</f>
        <v>81</v>
      </c>
      <c r="J262" s="0" t="str">
        <f aca="false">IF(COUNTIF($A$2:A262,A262)&gt;1,"Duplicate","")</f>
        <v/>
      </c>
    </row>
    <row r="263" customFormat="false" ht="15" hidden="false" customHeight="false" outlineLevel="0" collapsed="false">
      <c r="A263" s="0" t="str">
        <f aca="false">'Raw Store Exports'!A263</f>
        <v>TXN00137</v>
      </c>
      <c r="B263" s="17" t="n">
        <f aca="false">'Raw Store Exports'!C263</f>
        <v>46034</v>
      </c>
      <c r="C263" s="0" t="str">
        <f aca="false">INDEX('Store Mapping'!$C$2:$C$19,MATCH(TRIM('Raw Store Exports'!B263),'Store Mapping'!$A$2:$A$19,0))</f>
        <v>Downtown</v>
      </c>
      <c r="D263" s="0" t="str">
        <f aca="false">'Raw Store Exports'!D263</f>
        <v>FTW-204</v>
      </c>
      <c r="E263" s="0" t="str">
        <f aca="false">INDEX('Product Master'!$B$2:$B$21,MATCH(D263,'Product Master'!$A$2:$A$21,0))</f>
        <v>Slide Sandals</v>
      </c>
      <c r="F263" s="0" t="str">
        <f aca="false">INDEX('Product Master'!$C$2:$C$21,MATCH(D263,'Product Master'!$A$2:$A$21,0))</f>
        <v>Footwear</v>
      </c>
      <c r="G263" s="15" t="n">
        <f aca="false">VALUE(TRIM('Raw Store Exports'!E263&amp;""))</f>
        <v>3</v>
      </c>
      <c r="H263" s="18" t="n">
        <f aca="false">INDEX('Product Master'!$D$2:$D$21,MATCH(D263,'Product Master'!$A$2:$A$21,0))</f>
        <v>25</v>
      </c>
      <c r="I263" s="14" t="n">
        <f aca="false">G263*H263</f>
        <v>75</v>
      </c>
      <c r="J263" s="0" t="str">
        <f aca="false">IF(COUNTIF($A$2:A263,A263)&gt;1,"Duplicate","")</f>
        <v/>
      </c>
    </row>
    <row r="264" customFormat="false" ht="15" hidden="false" customHeight="false" outlineLevel="0" collapsed="false">
      <c r="A264" s="0" t="str">
        <f aca="false">'Raw Store Exports'!A264</f>
        <v>TXN00244</v>
      </c>
      <c r="B264" s="17" t="n">
        <f aca="false">'Raw Store Exports'!C264</f>
        <v>46037</v>
      </c>
      <c r="C264" s="0" t="str">
        <f aca="false">INDEX('Store Mapping'!$C$2:$C$19,MATCH(TRIM('Raw Store Exports'!B264),'Store Mapping'!$A$2:$A$19,0))</f>
        <v>Riverside</v>
      </c>
      <c r="D264" s="0" t="str">
        <f aca="false">'Raw Store Exports'!D264</f>
        <v>ACC-301</v>
      </c>
      <c r="E264" s="0" t="str">
        <f aca="false">INDEX('Product Master'!$B$2:$B$21,MATCH(D264,'Product Master'!$A$2:$A$21,0))</f>
        <v>Leather Belt</v>
      </c>
      <c r="F264" s="0" t="str">
        <f aca="false">INDEX('Product Master'!$C$2:$C$21,MATCH(D264,'Product Master'!$A$2:$A$21,0))</f>
        <v>Accessories</v>
      </c>
      <c r="G264" s="15" t="n">
        <f aca="false">VALUE(TRIM('Raw Store Exports'!E264&amp;""))</f>
        <v>3</v>
      </c>
      <c r="H264" s="18" t="n">
        <f aca="false">INDEX('Product Master'!$D$2:$D$21,MATCH(D264,'Product Master'!$A$2:$A$21,0))</f>
        <v>30</v>
      </c>
      <c r="I264" s="14" t="n">
        <f aca="false">G264*H264</f>
        <v>90</v>
      </c>
      <c r="J264" s="0" t="str">
        <f aca="false">IF(COUNTIF($A$2:A264,A264)&gt;1,"Duplicate","")</f>
        <v/>
      </c>
    </row>
    <row r="265" customFormat="false" ht="15" hidden="false" customHeight="false" outlineLevel="0" collapsed="false">
      <c r="A265" s="0" t="str">
        <f aca="false">'Raw Store Exports'!A265</f>
        <v>TXN01077</v>
      </c>
      <c r="B265" s="17" t="n">
        <f aca="false">'Raw Store Exports'!C265</f>
        <v>46078</v>
      </c>
      <c r="C265" s="0" t="str">
        <f aca="false">INDEX('Store Mapping'!$C$2:$C$19,MATCH(TRIM('Raw Store Exports'!B265),'Store Mapping'!$A$2:$A$19,0))</f>
        <v>Downtown</v>
      </c>
      <c r="D265" s="0" t="str">
        <f aca="false">'Raw Store Exports'!D265</f>
        <v>FTW-204</v>
      </c>
      <c r="E265" s="0" t="str">
        <f aca="false">INDEX('Product Master'!$B$2:$B$21,MATCH(D265,'Product Master'!$A$2:$A$21,0))</f>
        <v>Slide Sandals</v>
      </c>
      <c r="F265" s="0" t="str">
        <f aca="false">INDEX('Product Master'!$C$2:$C$21,MATCH(D265,'Product Master'!$A$2:$A$21,0))</f>
        <v>Footwear</v>
      </c>
      <c r="G265" s="15" t="n">
        <f aca="false">VALUE(TRIM('Raw Store Exports'!E265&amp;""))</f>
        <v>6</v>
      </c>
      <c r="H265" s="18" t="n">
        <f aca="false">INDEX('Product Master'!$D$2:$D$21,MATCH(D265,'Product Master'!$A$2:$A$21,0))</f>
        <v>25</v>
      </c>
      <c r="I265" s="14" t="n">
        <f aca="false">G265*H265</f>
        <v>150</v>
      </c>
      <c r="J265" s="0" t="str">
        <f aca="false">IF(COUNTIF($A$2:A265,A265)&gt;1,"Duplicate","")</f>
        <v/>
      </c>
    </row>
    <row r="266" customFormat="false" ht="15" hidden="false" customHeight="false" outlineLevel="0" collapsed="false">
      <c r="A266" s="0" t="str">
        <f aca="false">'Raw Store Exports'!A266</f>
        <v>TXN00879</v>
      </c>
      <c r="B266" s="17" t="n">
        <f aca="false">'Raw Store Exports'!C266</f>
        <v>46062</v>
      </c>
      <c r="C266" s="0" t="str">
        <f aca="false">INDEX('Store Mapping'!$C$2:$C$19,MATCH(TRIM('Raw Store Exports'!B266),'Store Mapping'!$A$2:$A$19,0))</f>
        <v>Airport Plaza</v>
      </c>
      <c r="D266" s="0" t="str">
        <f aca="false">'Raw Store Exports'!D266</f>
        <v>FTW-201</v>
      </c>
      <c r="E266" s="0" t="str">
        <f aca="false">INDEX('Product Master'!$B$2:$B$21,MATCH(D266,'Product Master'!$A$2:$A$21,0))</f>
        <v>Running Sneakers</v>
      </c>
      <c r="F266" s="0" t="str">
        <f aca="false">INDEX('Product Master'!$C$2:$C$21,MATCH(D266,'Product Master'!$A$2:$A$21,0))</f>
        <v>Footwear</v>
      </c>
      <c r="G266" s="15" t="n">
        <f aca="false">VALUE(TRIM('Raw Store Exports'!E266&amp;""))</f>
        <v>5</v>
      </c>
      <c r="H266" s="18" t="n">
        <f aca="false">INDEX('Product Master'!$D$2:$D$21,MATCH(D266,'Product Master'!$A$2:$A$21,0))</f>
        <v>89</v>
      </c>
      <c r="I266" s="14" t="n">
        <f aca="false">G266*H266</f>
        <v>445</v>
      </c>
      <c r="J266" s="0" t="str">
        <f aca="false">IF(COUNTIF($A$2:A266,A266)&gt;1,"Duplicate","")</f>
        <v/>
      </c>
    </row>
    <row r="267" customFormat="false" ht="15" hidden="false" customHeight="false" outlineLevel="0" collapsed="false">
      <c r="A267" s="0" t="str">
        <f aca="false">'Raw Store Exports'!A267</f>
        <v>TXN00028</v>
      </c>
      <c r="B267" s="17" t="n">
        <f aca="false">'Raw Store Exports'!C267</f>
        <v>46029</v>
      </c>
      <c r="C267" s="0" t="str">
        <f aca="false">INDEX('Store Mapping'!$C$2:$C$19,MATCH(TRIM('Raw Store Exports'!B267),'Store Mapping'!$A$2:$A$19,0))</f>
        <v>Westside Mall</v>
      </c>
      <c r="D267" s="0" t="str">
        <f aca="false">'Raw Store Exports'!D267</f>
        <v>FTW-202</v>
      </c>
      <c r="E267" s="0" t="str">
        <f aca="false">INDEX('Product Master'!$B$2:$B$21,MATCH(D267,'Product Master'!$A$2:$A$21,0))</f>
        <v>Canvas Low-Top</v>
      </c>
      <c r="F267" s="0" t="str">
        <f aca="false">INDEX('Product Master'!$C$2:$C$21,MATCH(D267,'Product Master'!$A$2:$A$21,0))</f>
        <v>Footwear</v>
      </c>
      <c r="G267" s="15" t="n">
        <f aca="false">VALUE(TRIM('Raw Store Exports'!E267&amp;""))</f>
        <v>4</v>
      </c>
      <c r="H267" s="18" t="n">
        <f aca="false">INDEX('Product Master'!$D$2:$D$21,MATCH(D267,'Product Master'!$A$2:$A$21,0))</f>
        <v>55</v>
      </c>
      <c r="I267" s="14" t="n">
        <f aca="false">G267*H267</f>
        <v>220</v>
      </c>
      <c r="J267" s="0" t="str">
        <f aca="false">IF(COUNTIF($A$2:A267,A267)&gt;1,"Duplicate","")</f>
        <v/>
      </c>
    </row>
    <row r="268" customFormat="false" ht="15" hidden="false" customHeight="false" outlineLevel="0" collapsed="false">
      <c r="A268" s="0" t="str">
        <f aca="false">'Raw Store Exports'!A268</f>
        <v>TXN01003</v>
      </c>
      <c r="B268" s="17" t="n">
        <f aca="false">'Raw Store Exports'!C268</f>
        <v>46075</v>
      </c>
      <c r="C268" s="0" t="str">
        <f aca="false">INDEX('Store Mapping'!$C$2:$C$19,MATCH(TRIM('Raw Store Exports'!B268),'Store Mapping'!$A$2:$A$19,0))</f>
        <v>Riverside</v>
      </c>
      <c r="D268" s="0" t="str">
        <f aca="false">'Raw Store Exports'!D268</f>
        <v>ELE-404</v>
      </c>
      <c r="E268" s="0" t="str">
        <f aca="false">INDEX('Product Master'!$B$2:$B$21,MATCH(D268,'Product Master'!$A$2:$A$21,0))</f>
        <v>Phone Charging Cable</v>
      </c>
      <c r="F268" s="0" t="str">
        <f aca="false">INDEX('Product Master'!$C$2:$C$21,MATCH(D268,'Product Master'!$A$2:$A$21,0))</f>
        <v>Electronics</v>
      </c>
      <c r="G268" s="15" t="n">
        <f aca="false">VALUE(TRIM('Raw Store Exports'!E268&amp;""))</f>
        <v>6</v>
      </c>
      <c r="H268" s="18" t="n">
        <f aca="false">INDEX('Product Master'!$D$2:$D$21,MATCH(D268,'Product Master'!$A$2:$A$21,0))</f>
        <v>12</v>
      </c>
      <c r="I268" s="14" t="n">
        <f aca="false">G268*H268</f>
        <v>72</v>
      </c>
      <c r="J268" s="0" t="str">
        <f aca="false">IF(COUNTIF($A$2:A268,A268)&gt;1,"Duplicate","")</f>
        <v/>
      </c>
    </row>
    <row r="269" customFormat="false" ht="15" hidden="false" customHeight="false" outlineLevel="0" collapsed="false">
      <c r="A269" s="0" t="str">
        <f aca="false">'Raw Store Exports'!A269</f>
        <v>TXN00140</v>
      </c>
      <c r="B269" s="17" t="n">
        <f aca="false">'Raw Store Exports'!C269</f>
        <v>46036</v>
      </c>
      <c r="C269" s="0" t="str">
        <f aca="false">INDEX('Store Mapping'!$C$2:$C$19,MATCH(TRIM('Raw Store Exports'!B269),'Store Mapping'!$A$2:$A$19,0))</f>
        <v>Downtown</v>
      </c>
      <c r="D269" s="0" t="str">
        <f aca="false">'Raw Store Exports'!D269</f>
        <v>ACC-303</v>
      </c>
      <c r="E269" s="0" t="str">
        <f aca="false">INDEX('Product Master'!$B$2:$B$21,MATCH(D269,'Product Master'!$A$2:$A$21,0))</f>
        <v>Canvas Tote Bag</v>
      </c>
      <c r="F269" s="0" t="str">
        <f aca="false">INDEX('Product Master'!$C$2:$C$21,MATCH(D269,'Product Master'!$A$2:$A$21,0))</f>
        <v>Accessories</v>
      </c>
      <c r="G269" s="15" t="n">
        <f aca="false">VALUE(TRIM('Raw Store Exports'!E269&amp;""))</f>
        <v>3</v>
      </c>
      <c r="H269" s="18" t="n">
        <f aca="false">INDEX('Product Master'!$D$2:$D$21,MATCH(D269,'Product Master'!$A$2:$A$21,0))</f>
        <v>24</v>
      </c>
      <c r="I269" s="14" t="n">
        <f aca="false">G269*H269</f>
        <v>72</v>
      </c>
      <c r="J269" s="0" t="str">
        <f aca="false">IF(COUNTIF($A$2:A269,A269)&gt;1,"Duplicate","")</f>
        <v/>
      </c>
    </row>
    <row r="270" customFormat="false" ht="15" hidden="false" customHeight="false" outlineLevel="0" collapsed="false">
      <c r="A270" s="0" t="str">
        <f aca="false">'Raw Store Exports'!A270</f>
        <v>TXN00492</v>
      </c>
      <c r="B270" s="17" t="n">
        <f aca="false">'Raw Store Exports'!C270</f>
        <v>46052</v>
      </c>
      <c r="C270" s="0" t="str">
        <f aca="false">INDEX('Store Mapping'!$C$2:$C$19,MATCH(TRIM('Raw Store Exports'!B270),'Store Mapping'!$A$2:$A$19,0))</f>
        <v>Eastgate</v>
      </c>
      <c r="D270" s="0" t="str">
        <f aca="false">'Raw Store Exports'!D270</f>
        <v>ELE-403</v>
      </c>
      <c r="E270" s="0" t="str">
        <f aca="false">INDEX('Product Master'!$B$2:$B$21,MATCH(D270,'Product Master'!$A$2:$A$21,0))</f>
        <v>Fitness Tracker Band</v>
      </c>
      <c r="F270" s="0" t="str">
        <f aca="false">INDEX('Product Master'!$C$2:$C$21,MATCH(D270,'Product Master'!$A$2:$A$21,0))</f>
        <v>Electronics</v>
      </c>
      <c r="G270" s="15" t="n">
        <f aca="false">VALUE(TRIM('Raw Store Exports'!E270&amp;""))</f>
        <v>6</v>
      </c>
      <c r="H270" s="18" t="n">
        <f aca="false">INDEX('Product Master'!$D$2:$D$21,MATCH(D270,'Product Master'!$A$2:$A$21,0))</f>
        <v>99</v>
      </c>
      <c r="I270" s="14" t="n">
        <f aca="false">G270*H270</f>
        <v>594</v>
      </c>
      <c r="J270" s="0" t="str">
        <f aca="false">IF(COUNTIF($A$2:A270,A270)&gt;1,"Duplicate","")</f>
        <v/>
      </c>
    </row>
    <row r="271" customFormat="false" ht="15" hidden="false" customHeight="false" outlineLevel="0" collapsed="false">
      <c r="A271" s="0" t="str">
        <f aca="false">'Raw Store Exports'!A271</f>
        <v>TXN00905</v>
      </c>
      <c r="B271" s="17" t="n">
        <f aca="false">'Raw Store Exports'!C271</f>
        <v>46070</v>
      </c>
      <c r="C271" s="0" t="str">
        <f aca="false">INDEX('Store Mapping'!$C$2:$C$19,MATCH(TRIM('Raw Store Exports'!B271),'Store Mapping'!$A$2:$A$19,0))</f>
        <v>Downtown</v>
      </c>
      <c r="D271" s="0" t="str">
        <f aca="false">'Raw Store Exports'!D271</f>
        <v>APP-103</v>
      </c>
      <c r="E271" s="0" t="str">
        <f aca="false">INDEX('Product Master'!$B$2:$B$21,MATCH(D271,'Product Master'!$A$2:$A$21,0))</f>
        <v>Fleece Pullover Hoodie</v>
      </c>
      <c r="F271" s="0" t="str">
        <f aca="false">INDEX('Product Master'!$C$2:$C$21,MATCH(D271,'Product Master'!$A$2:$A$21,0))</f>
        <v>Apparel</v>
      </c>
      <c r="G271" s="15" t="n">
        <f aca="false">VALUE(TRIM('Raw Store Exports'!E271&amp;""))</f>
        <v>3</v>
      </c>
      <c r="H271" s="18" t="n">
        <f aca="false">INDEX('Product Master'!$D$2:$D$21,MATCH(D271,'Product Master'!$A$2:$A$21,0))</f>
        <v>45</v>
      </c>
      <c r="I271" s="14" t="n">
        <f aca="false">G271*H271</f>
        <v>135</v>
      </c>
      <c r="J271" s="0" t="str">
        <f aca="false">IF(COUNTIF($A$2:A271,A271)&gt;1,"Duplicate","")</f>
        <v/>
      </c>
    </row>
    <row r="272" customFormat="false" ht="15" hidden="false" customHeight="false" outlineLevel="0" collapsed="false">
      <c r="A272" s="0" t="str">
        <f aca="false">'Raw Store Exports'!A272</f>
        <v>TXN00425</v>
      </c>
      <c r="B272" s="17" t="n">
        <f aca="false">'Raw Store Exports'!C272</f>
        <v>46041</v>
      </c>
      <c r="C272" s="0" t="str">
        <f aca="false">INDEX('Store Mapping'!$C$2:$C$19,MATCH(TRIM('Raw Store Exports'!B272),'Store Mapping'!$A$2:$A$19,0))</f>
        <v>Airport Plaza</v>
      </c>
      <c r="D272" s="0" t="str">
        <f aca="false">'Raw Store Exports'!D272</f>
        <v>HOM-503</v>
      </c>
      <c r="E272" s="0" t="str">
        <f aca="false">INDEX('Product Master'!$B$2:$B$21,MATCH(D272,'Product Master'!$A$2:$A$21,0))</f>
        <v>Cotton Throw Blanket</v>
      </c>
      <c r="F272" s="0" t="str">
        <f aca="false">INDEX('Product Master'!$C$2:$C$21,MATCH(D272,'Product Master'!$A$2:$A$21,0))</f>
        <v>Home Goods</v>
      </c>
      <c r="G272" s="15" t="n">
        <f aca="false">VALUE(TRIM('Raw Store Exports'!E272&amp;""))</f>
        <v>2</v>
      </c>
      <c r="H272" s="18" t="n">
        <f aca="false">INDEX('Product Master'!$D$2:$D$21,MATCH(D272,'Product Master'!$A$2:$A$21,0))</f>
        <v>38</v>
      </c>
      <c r="I272" s="14" t="n">
        <f aca="false">G272*H272</f>
        <v>76</v>
      </c>
      <c r="J272" s="0" t="str">
        <f aca="false">IF(COUNTIF($A$2:A272,A272)&gt;1,"Duplicate","")</f>
        <v/>
      </c>
    </row>
    <row r="273" customFormat="false" ht="15" hidden="false" customHeight="false" outlineLevel="0" collapsed="false">
      <c r="A273" s="0" t="str">
        <f aca="false">'Raw Store Exports'!A273</f>
        <v>TXN00186</v>
      </c>
      <c r="B273" s="17" t="n">
        <f aca="false">'Raw Store Exports'!C273</f>
        <v>46038</v>
      </c>
      <c r="C273" s="0" t="str">
        <f aca="false">INDEX('Store Mapping'!$C$2:$C$19,MATCH(TRIM('Raw Store Exports'!B273),'Store Mapping'!$A$2:$A$19,0))</f>
        <v>Eastgate</v>
      </c>
      <c r="D273" s="0" t="str">
        <f aca="false">'Raw Store Exports'!D273</f>
        <v>APP-102</v>
      </c>
      <c r="E273" s="0" t="str">
        <f aca="false">INDEX('Product Master'!$B$2:$B$21,MATCH(D273,'Product Master'!$A$2:$A$21,0))</f>
        <v>Cotton Crew T-Shirt</v>
      </c>
      <c r="F273" s="0" t="str">
        <f aca="false">INDEX('Product Master'!$C$2:$C$21,MATCH(D273,'Product Master'!$A$2:$A$21,0))</f>
        <v>Apparel</v>
      </c>
      <c r="G273" s="15" t="n">
        <f aca="false">VALUE(TRIM('Raw Store Exports'!E273&amp;""))</f>
        <v>3</v>
      </c>
      <c r="H273" s="18" t="n">
        <f aca="false">INDEX('Product Master'!$D$2:$D$21,MATCH(D273,'Product Master'!$A$2:$A$21,0))</f>
        <v>18</v>
      </c>
      <c r="I273" s="14" t="n">
        <f aca="false">G273*H273</f>
        <v>54</v>
      </c>
      <c r="J273" s="0" t="str">
        <f aca="false">IF(COUNTIF($A$2:A273,A273)&gt;1,"Duplicate","")</f>
        <v/>
      </c>
    </row>
    <row r="274" customFormat="false" ht="15" hidden="false" customHeight="false" outlineLevel="0" collapsed="false">
      <c r="A274" s="0" t="str">
        <f aca="false">'Raw Store Exports'!A274</f>
        <v>TXN00675</v>
      </c>
      <c r="B274" s="17" t="n">
        <f aca="false">'Raw Store Exports'!C274</f>
        <v>46056</v>
      </c>
      <c r="C274" s="0" t="str">
        <f aca="false">INDEX('Store Mapping'!$C$2:$C$19,MATCH(TRIM('Raw Store Exports'!B274),'Store Mapping'!$A$2:$A$19,0))</f>
        <v>Northpark</v>
      </c>
      <c r="D274" s="0" t="str">
        <f aca="false">'Raw Store Exports'!D274</f>
        <v>FTW-204</v>
      </c>
      <c r="E274" s="0" t="str">
        <f aca="false">INDEX('Product Master'!$B$2:$B$21,MATCH(D274,'Product Master'!$A$2:$A$21,0))</f>
        <v>Slide Sandals</v>
      </c>
      <c r="F274" s="0" t="str">
        <f aca="false">INDEX('Product Master'!$C$2:$C$21,MATCH(D274,'Product Master'!$A$2:$A$21,0))</f>
        <v>Footwear</v>
      </c>
      <c r="G274" s="15" t="n">
        <f aca="false">VALUE(TRIM('Raw Store Exports'!E274&amp;""))</f>
        <v>3</v>
      </c>
      <c r="H274" s="18" t="n">
        <f aca="false">INDEX('Product Master'!$D$2:$D$21,MATCH(D274,'Product Master'!$A$2:$A$21,0))</f>
        <v>25</v>
      </c>
      <c r="I274" s="14" t="n">
        <f aca="false">G274*H274</f>
        <v>75</v>
      </c>
      <c r="J274" s="0" t="str">
        <f aca="false">IF(COUNTIF($A$2:A274,A274)&gt;1,"Duplicate","")</f>
        <v/>
      </c>
    </row>
    <row r="275" customFormat="false" ht="15" hidden="false" customHeight="false" outlineLevel="0" collapsed="false">
      <c r="A275" s="0" t="str">
        <f aca="false">'Raw Store Exports'!A275</f>
        <v>TXN01169</v>
      </c>
      <c r="B275" s="17" t="n">
        <f aca="false">'Raw Store Exports'!C275</f>
        <v>46080</v>
      </c>
      <c r="C275" s="0" t="str">
        <f aca="false">INDEX('Store Mapping'!$C$2:$C$19,MATCH(TRIM('Raw Store Exports'!B275),'Store Mapping'!$A$2:$A$19,0))</f>
        <v>Riverside</v>
      </c>
      <c r="D275" s="0" t="str">
        <f aca="false">'Raw Store Exports'!D275</f>
        <v>FTW-202</v>
      </c>
      <c r="E275" s="0" t="str">
        <f aca="false">INDEX('Product Master'!$B$2:$B$21,MATCH(D275,'Product Master'!$A$2:$A$21,0))</f>
        <v>Canvas Low-Top</v>
      </c>
      <c r="F275" s="0" t="str">
        <f aca="false">INDEX('Product Master'!$C$2:$C$21,MATCH(D275,'Product Master'!$A$2:$A$21,0))</f>
        <v>Footwear</v>
      </c>
      <c r="G275" s="15" t="n">
        <f aca="false">VALUE(TRIM('Raw Store Exports'!E275&amp;""))</f>
        <v>4</v>
      </c>
      <c r="H275" s="18" t="n">
        <f aca="false">INDEX('Product Master'!$D$2:$D$21,MATCH(D275,'Product Master'!$A$2:$A$21,0))</f>
        <v>55</v>
      </c>
      <c r="I275" s="14" t="n">
        <f aca="false">G275*H275</f>
        <v>220</v>
      </c>
      <c r="J275" s="0" t="str">
        <f aca="false">IF(COUNTIF($A$2:A275,A275)&gt;1,"Duplicate","")</f>
        <v/>
      </c>
    </row>
    <row r="276" customFormat="false" ht="15" hidden="false" customHeight="false" outlineLevel="0" collapsed="false">
      <c r="A276" s="0" t="str">
        <f aca="false">'Raw Store Exports'!A276</f>
        <v>TXN00768</v>
      </c>
      <c r="B276" s="17" t="n">
        <f aca="false">'Raw Store Exports'!C276</f>
        <v>46066</v>
      </c>
      <c r="C276" s="0" t="str">
        <f aca="false">INDEX('Store Mapping'!$C$2:$C$19,MATCH(TRIM('Raw Store Exports'!B276),'Store Mapping'!$A$2:$A$19,0))</f>
        <v>Downtown</v>
      </c>
      <c r="D276" s="0" t="str">
        <f aca="false">'Raw Store Exports'!D276</f>
        <v>APP-103</v>
      </c>
      <c r="E276" s="0" t="str">
        <f aca="false">INDEX('Product Master'!$B$2:$B$21,MATCH(D276,'Product Master'!$A$2:$A$21,0))</f>
        <v>Fleece Pullover Hoodie</v>
      </c>
      <c r="F276" s="0" t="str">
        <f aca="false">INDEX('Product Master'!$C$2:$C$21,MATCH(D276,'Product Master'!$A$2:$A$21,0))</f>
        <v>Apparel</v>
      </c>
      <c r="G276" s="15" t="n">
        <f aca="false">VALUE(TRIM('Raw Store Exports'!E276&amp;""))</f>
        <v>6</v>
      </c>
      <c r="H276" s="18" t="n">
        <f aca="false">INDEX('Product Master'!$D$2:$D$21,MATCH(D276,'Product Master'!$A$2:$A$21,0))</f>
        <v>45</v>
      </c>
      <c r="I276" s="14" t="n">
        <f aca="false">G276*H276</f>
        <v>270</v>
      </c>
      <c r="J276" s="0" t="str">
        <f aca="false">IF(COUNTIF($A$2:A276,A276)&gt;1,"Duplicate","")</f>
        <v/>
      </c>
    </row>
    <row r="277" customFormat="false" ht="15" hidden="false" customHeight="false" outlineLevel="0" collapsed="false">
      <c r="A277" s="0" t="str">
        <f aca="false">'Raw Store Exports'!A277</f>
        <v>TXN01157</v>
      </c>
      <c r="B277" s="17" t="n">
        <f aca="false">'Raw Store Exports'!C277</f>
        <v>46082</v>
      </c>
      <c r="C277" s="0" t="str">
        <f aca="false">INDEX('Store Mapping'!$C$2:$C$19,MATCH(TRIM('Raw Store Exports'!B277),'Store Mapping'!$A$2:$A$19,0))</f>
        <v>Riverside</v>
      </c>
      <c r="D277" s="0" t="str">
        <f aca="false">'Raw Store Exports'!D277</f>
        <v>ELE-403</v>
      </c>
      <c r="E277" s="0" t="str">
        <f aca="false">INDEX('Product Master'!$B$2:$B$21,MATCH(D277,'Product Master'!$A$2:$A$21,0))</f>
        <v>Fitness Tracker Band</v>
      </c>
      <c r="F277" s="0" t="str">
        <f aca="false">INDEX('Product Master'!$C$2:$C$21,MATCH(D277,'Product Master'!$A$2:$A$21,0))</f>
        <v>Electronics</v>
      </c>
      <c r="G277" s="15" t="n">
        <f aca="false">VALUE(TRIM('Raw Store Exports'!E277&amp;""))</f>
        <v>4</v>
      </c>
      <c r="H277" s="18" t="n">
        <f aca="false">INDEX('Product Master'!$D$2:$D$21,MATCH(D277,'Product Master'!$A$2:$A$21,0))</f>
        <v>99</v>
      </c>
      <c r="I277" s="14" t="n">
        <f aca="false">G277*H277</f>
        <v>396</v>
      </c>
      <c r="J277" s="0" t="str">
        <f aca="false">IF(COUNTIF($A$2:A277,A277)&gt;1,"Duplicate","")</f>
        <v/>
      </c>
    </row>
    <row r="278" customFormat="false" ht="15" hidden="false" customHeight="false" outlineLevel="0" collapsed="false">
      <c r="A278" s="0" t="str">
        <f aca="false">'Raw Store Exports'!A278</f>
        <v>TXN00536</v>
      </c>
      <c r="B278" s="17" t="n">
        <f aca="false">'Raw Store Exports'!C278</f>
        <v>46052</v>
      </c>
      <c r="C278" s="0" t="str">
        <f aca="false">INDEX('Store Mapping'!$C$2:$C$19,MATCH(TRIM('Raw Store Exports'!B278),'Store Mapping'!$A$2:$A$19,0))</f>
        <v>Riverside</v>
      </c>
      <c r="D278" s="0" t="str">
        <f aca="false">'Raw Store Exports'!D278</f>
        <v>ACC-301</v>
      </c>
      <c r="E278" s="0" t="str">
        <f aca="false">INDEX('Product Master'!$B$2:$B$21,MATCH(D278,'Product Master'!$A$2:$A$21,0))</f>
        <v>Leather Belt</v>
      </c>
      <c r="F278" s="0" t="str">
        <f aca="false">INDEX('Product Master'!$C$2:$C$21,MATCH(D278,'Product Master'!$A$2:$A$21,0))</f>
        <v>Accessories</v>
      </c>
      <c r="G278" s="15" t="n">
        <f aca="false">VALUE(TRIM('Raw Store Exports'!E278&amp;""))</f>
        <v>6</v>
      </c>
      <c r="H278" s="18" t="n">
        <f aca="false">INDEX('Product Master'!$D$2:$D$21,MATCH(D278,'Product Master'!$A$2:$A$21,0))</f>
        <v>30</v>
      </c>
      <c r="I278" s="14" t="n">
        <f aca="false">G278*H278</f>
        <v>180</v>
      </c>
      <c r="J278" s="0" t="str">
        <f aca="false">IF(COUNTIF($A$2:A278,A278)&gt;1,"Duplicate","")</f>
        <v/>
      </c>
    </row>
    <row r="279" customFormat="false" ht="15" hidden="false" customHeight="false" outlineLevel="0" collapsed="false">
      <c r="A279" s="0" t="str">
        <f aca="false">'Raw Store Exports'!A279</f>
        <v>TXN00111</v>
      </c>
      <c r="B279" s="17" t="n">
        <f aca="false">'Raw Store Exports'!C279</f>
        <v>46030</v>
      </c>
      <c r="C279" s="0" t="str">
        <f aca="false">INDEX('Store Mapping'!$C$2:$C$19,MATCH(TRIM('Raw Store Exports'!B279),'Store Mapping'!$A$2:$A$19,0))</f>
        <v>Riverside</v>
      </c>
      <c r="D279" s="0" t="str">
        <f aca="false">'Raw Store Exports'!D279</f>
        <v>APP-103</v>
      </c>
      <c r="E279" s="0" t="str">
        <f aca="false">INDEX('Product Master'!$B$2:$B$21,MATCH(D279,'Product Master'!$A$2:$A$21,0))</f>
        <v>Fleece Pullover Hoodie</v>
      </c>
      <c r="F279" s="0" t="str">
        <f aca="false">INDEX('Product Master'!$C$2:$C$21,MATCH(D279,'Product Master'!$A$2:$A$21,0))</f>
        <v>Apparel</v>
      </c>
      <c r="G279" s="15" t="n">
        <f aca="false">VALUE(TRIM('Raw Store Exports'!E279&amp;""))</f>
        <v>4</v>
      </c>
      <c r="H279" s="18" t="n">
        <f aca="false">INDEX('Product Master'!$D$2:$D$21,MATCH(D279,'Product Master'!$A$2:$A$21,0))</f>
        <v>45</v>
      </c>
      <c r="I279" s="14" t="n">
        <f aca="false">G279*H279</f>
        <v>180</v>
      </c>
      <c r="J279" s="0" t="str">
        <f aca="false">IF(COUNTIF($A$2:A279,A279)&gt;1,"Duplicate","")</f>
        <v/>
      </c>
    </row>
    <row r="280" customFormat="false" ht="15" hidden="false" customHeight="false" outlineLevel="0" collapsed="false">
      <c r="A280" s="0" t="str">
        <f aca="false">'Raw Store Exports'!A280</f>
        <v>TXN00890</v>
      </c>
      <c r="B280" s="17" t="n">
        <f aca="false">'Raw Store Exports'!C280</f>
        <v>46068</v>
      </c>
      <c r="C280" s="0" t="str">
        <f aca="false">INDEX('Store Mapping'!$C$2:$C$19,MATCH(TRIM('Raw Store Exports'!B280),'Store Mapping'!$A$2:$A$19,0))</f>
        <v>Airport Plaza</v>
      </c>
      <c r="D280" s="0" t="str">
        <f aca="false">'Raw Store Exports'!D280</f>
        <v>ACC-303</v>
      </c>
      <c r="E280" s="0" t="str">
        <f aca="false">INDEX('Product Master'!$B$2:$B$21,MATCH(D280,'Product Master'!$A$2:$A$21,0))</f>
        <v>Canvas Tote Bag</v>
      </c>
      <c r="F280" s="0" t="str">
        <f aca="false">INDEX('Product Master'!$C$2:$C$21,MATCH(D280,'Product Master'!$A$2:$A$21,0))</f>
        <v>Accessories</v>
      </c>
      <c r="G280" s="15" t="n">
        <f aca="false">VALUE(TRIM('Raw Store Exports'!E280&amp;""))</f>
        <v>1</v>
      </c>
      <c r="H280" s="18" t="n">
        <f aca="false">INDEX('Product Master'!$D$2:$D$21,MATCH(D280,'Product Master'!$A$2:$A$21,0))</f>
        <v>24</v>
      </c>
      <c r="I280" s="14" t="n">
        <f aca="false">G280*H280</f>
        <v>24</v>
      </c>
      <c r="J280" s="0" t="str">
        <f aca="false">IF(COUNTIF($A$2:A280,A280)&gt;1,"Duplicate","")</f>
        <v/>
      </c>
    </row>
    <row r="281" customFormat="false" ht="15" hidden="false" customHeight="false" outlineLevel="0" collapsed="false">
      <c r="A281" s="0" t="str">
        <f aca="false">'Raw Store Exports'!A281</f>
        <v>TXN00515</v>
      </c>
      <c r="B281" s="17" t="n">
        <f aca="false">'Raw Store Exports'!C281</f>
        <v>46049</v>
      </c>
      <c r="C281" s="0" t="str">
        <f aca="false">INDEX('Store Mapping'!$C$2:$C$19,MATCH(TRIM('Raw Store Exports'!B281),'Store Mapping'!$A$2:$A$19,0))</f>
        <v>Northpark</v>
      </c>
      <c r="D281" s="0" t="str">
        <f aca="false">'Raw Store Exports'!D281</f>
        <v>HOM-501</v>
      </c>
      <c r="E281" s="0" t="str">
        <f aca="false">INDEX('Product Master'!$B$2:$B$21,MATCH(D281,'Product Master'!$A$2:$A$21,0))</f>
        <v>Ceramic Coffee Mug Set</v>
      </c>
      <c r="F281" s="0" t="str">
        <f aca="false">INDEX('Product Master'!$C$2:$C$21,MATCH(D281,'Product Master'!$A$2:$A$21,0))</f>
        <v>Home Goods</v>
      </c>
      <c r="G281" s="15" t="n">
        <f aca="false">VALUE(TRIM('Raw Store Exports'!E281&amp;""))</f>
        <v>5</v>
      </c>
      <c r="H281" s="18" t="n">
        <f aca="false">INDEX('Product Master'!$D$2:$D$21,MATCH(D281,'Product Master'!$A$2:$A$21,0))</f>
        <v>22</v>
      </c>
      <c r="I281" s="14" t="n">
        <f aca="false">G281*H281</f>
        <v>110</v>
      </c>
      <c r="J281" s="0" t="str">
        <f aca="false">IF(COUNTIF($A$2:A281,A281)&gt;1,"Duplicate","")</f>
        <v/>
      </c>
    </row>
    <row r="282" customFormat="false" ht="15" hidden="false" customHeight="false" outlineLevel="0" collapsed="false">
      <c r="A282" s="0" t="str">
        <f aca="false">'Raw Store Exports'!A282</f>
        <v>TXN00664</v>
      </c>
      <c r="B282" s="17" t="n">
        <f aca="false">'Raw Store Exports'!C282</f>
        <v>46056</v>
      </c>
      <c r="C282" s="0" t="str">
        <f aca="false">INDEX('Store Mapping'!$C$2:$C$19,MATCH(TRIM('Raw Store Exports'!B282),'Store Mapping'!$A$2:$A$19,0))</f>
        <v>Eastgate</v>
      </c>
      <c r="D282" s="0" t="str">
        <f aca="false">'Raw Store Exports'!D282</f>
        <v>HOM-503</v>
      </c>
      <c r="E282" s="0" t="str">
        <f aca="false">INDEX('Product Master'!$B$2:$B$21,MATCH(D282,'Product Master'!$A$2:$A$21,0))</f>
        <v>Cotton Throw Blanket</v>
      </c>
      <c r="F282" s="0" t="str">
        <f aca="false">INDEX('Product Master'!$C$2:$C$21,MATCH(D282,'Product Master'!$A$2:$A$21,0))</f>
        <v>Home Goods</v>
      </c>
      <c r="G282" s="15" t="n">
        <f aca="false">VALUE(TRIM('Raw Store Exports'!E282&amp;""))</f>
        <v>2</v>
      </c>
      <c r="H282" s="18" t="n">
        <f aca="false">INDEX('Product Master'!$D$2:$D$21,MATCH(D282,'Product Master'!$A$2:$A$21,0))</f>
        <v>38</v>
      </c>
      <c r="I282" s="14" t="n">
        <f aca="false">G282*H282</f>
        <v>76</v>
      </c>
      <c r="J282" s="0" t="str">
        <f aca="false">IF(COUNTIF($A$2:A282,A282)&gt;1,"Duplicate","")</f>
        <v/>
      </c>
    </row>
    <row r="283" customFormat="false" ht="15" hidden="false" customHeight="false" outlineLevel="0" collapsed="false">
      <c r="A283" s="0" t="str">
        <f aca="false">'Raw Store Exports'!A283</f>
        <v>TXN00293</v>
      </c>
      <c r="B283" s="17" t="n">
        <f aca="false">'Raw Store Exports'!C283</f>
        <v>46046</v>
      </c>
      <c r="C283" s="0" t="str">
        <f aca="false">INDEX('Store Mapping'!$C$2:$C$19,MATCH(TRIM('Raw Store Exports'!B283),'Store Mapping'!$A$2:$A$19,0))</f>
        <v>Downtown</v>
      </c>
      <c r="D283" s="0" t="str">
        <f aca="false">'Raw Store Exports'!D283</f>
        <v>FTW-203</v>
      </c>
      <c r="E283" s="0" t="str">
        <f aca="false">INDEX('Product Master'!$B$2:$B$21,MATCH(D283,'Product Master'!$A$2:$A$21,0))</f>
        <v>Leather Ankle Boot</v>
      </c>
      <c r="F283" s="0" t="str">
        <f aca="false">INDEX('Product Master'!$C$2:$C$21,MATCH(D283,'Product Master'!$A$2:$A$21,0))</f>
        <v>Footwear</v>
      </c>
      <c r="G283" s="15" t="n">
        <f aca="false">VALUE(TRIM('Raw Store Exports'!E283&amp;""))</f>
        <v>3</v>
      </c>
      <c r="H283" s="18" t="n">
        <f aca="false">INDEX('Product Master'!$D$2:$D$21,MATCH(D283,'Product Master'!$A$2:$A$21,0))</f>
        <v>120</v>
      </c>
      <c r="I283" s="14" t="n">
        <f aca="false">G283*H283</f>
        <v>360</v>
      </c>
      <c r="J283" s="0" t="str">
        <f aca="false">IF(COUNTIF($A$2:A283,A283)&gt;1,"Duplicate","")</f>
        <v/>
      </c>
    </row>
    <row r="284" customFormat="false" ht="15" hidden="false" customHeight="false" outlineLevel="0" collapsed="false">
      <c r="A284" s="0" t="str">
        <f aca="false">'Raw Store Exports'!A284</f>
        <v>TXN00258</v>
      </c>
      <c r="B284" s="17" t="n">
        <f aca="false">'Raw Store Exports'!C284</f>
        <v>46039</v>
      </c>
      <c r="C284" s="0" t="str">
        <f aca="false">INDEX('Store Mapping'!$C$2:$C$19,MATCH(TRIM('Raw Store Exports'!B284),'Store Mapping'!$A$2:$A$19,0))</f>
        <v>Airport Plaza</v>
      </c>
      <c r="D284" s="0" t="str">
        <f aca="false">'Raw Store Exports'!D284</f>
        <v>ACC-304</v>
      </c>
      <c r="E284" s="0" t="str">
        <f aca="false">INDEX('Product Master'!$B$2:$B$21,MATCH(D284,'Product Master'!$A$2:$A$21,0))</f>
        <v>Wool Beanie</v>
      </c>
      <c r="F284" s="0" t="str">
        <f aca="false">INDEX('Product Master'!$C$2:$C$21,MATCH(D284,'Product Master'!$A$2:$A$21,0))</f>
        <v>Accessories</v>
      </c>
      <c r="G284" s="15" t="n">
        <f aca="false">VALUE(TRIM('Raw Store Exports'!E284&amp;""))</f>
        <v>2</v>
      </c>
      <c r="H284" s="18" t="n">
        <f aca="false">INDEX('Product Master'!$D$2:$D$21,MATCH(D284,'Product Master'!$A$2:$A$21,0))</f>
        <v>16</v>
      </c>
      <c r="I284" s="14" t="n">
        <f aca="false">G284*H284</f>
        <v>32</v>
      </c>
      <c r="J284" s="0" t="str">
        <f aca="false">IF(COUNTIF($A$2:A284,A284)&gt;1,"Duplicate","")</f>
        <v/>
      </c>
    </row>
    <row r="285" customFormat="false" ht="15" hidden="false" customHeight="false" outlineLevel="0" collapsed="false">
      <c r="A285" s="0" t="str">
        <f aca="false">'Raw Store Exports'!A285</f>
        <v>TXN00996</v>
      </c>
      <c r="B285" s="17" t="n">
        <f aca="false">'Raw Store Exports'!C285</f>
        <v>46070</v>
      </c>
      <c r="C285" s="0" t="str">
        <f aca="false">INDEX('Store Mapping'!$C$2:$C$19,MATCH(TRIM('Raw Store Exports'!B285),'Store Mapping'!$A$2:$A$19,0))</f>
        <v>Riverside</v>
      </c>
      <c r="D285" s="0" t="str">
        <f aca="false">'Raw Store Exports'!D285</f>
        <v>ACC-301</v>
      </c>
      <c r="E285" s="0" t="str">
        <f aca="false">INDEX('Product Master'!$B$2:$B$21,MATCH(D285,'Product Master'!$A$2:$A$21,0))</f>
        <v>Leather Belt</v>
      </c>
      <c r="F285" s="0" t="str">
        <f aca="false">INDEX('Product Master'!$C$2:$C$21,MATCH(D285,'Product Master'!$A$2:$A$21,0))</f>
        <v>Accessories</v>
      </c>
      <c r="G285" s="15" t="n">
        <f aca="false">VALUE(TRIM('Raw Store Exports'!E285&amp;""))</f>
        <v>4</v>
      </c>
      <c r="H285" s="18" t="n">
        <f aca="false">INDEX('Product Master'!$D$2:$D$21,MATCH(D285,'Product Master'!$A$2:$A$21,0))</f>
        <v>30</v>
      </c>
      <c r="I285" s="14" t="n">
        <f aca="false">G285*H285</f>
        <v>120</v>
      </c>
      <c r="J285" s="0" t="str">
        <f aca="false">IF(COUNTIF($A$2:A285,A285)&gt;1,"Duplicate","")</f>
        <v/>
      </c>
    </row>
    <row r="286" customFormat="false" ht="15" hidden="false" customHeight="false" outlineLevel="0" collapsed="false">
      <c r="A286" s="0" t="str">
        <f aca="false">'Raw Store Exports'!A286</f>
        <v>TXN00702</v>
      </c>
      <c r="B286" s="17" t="n">
        <f aca="false">'Raw Store Exports'!C286</f>
        <v>46057</v>
      </c>
      <c r="C286" s="0" t="str">
        <f aca="false">INDEX('Store Mapping'!$C$2:$C$19,MATCH(TRIM('Raw Store Exports'!B286),'Store Mapping'!$A$2:$A$19,0))</f>
        <v>Riverside</v>
      </c>
      <c r="D286" s="0" t="str">
        <f aca="false">'Raw Store Exports'!D286</f>
        <v>FTW-203</v>
      </c>
      <c r="E286" s="0" t="str">
        <f aca="false">INDEX('Product Master'!$B$2:$B$21,MATCH(D286,'Product Master'!$A$2:$A$21,0))</f>
        <v>Leather Ankle Boot</v>
      </c>
      <c r="F286" s="0" t="str">
        <f aca="false">INDEX('Product Master'!$C$2:$C$21,MATCH(D286,'Product Master'!$A$2:$A$21,0))</f>
        <v>Footwear</v>
      </c>
      <c r="G286" s="15" t="n">
        <f aca="false">VALUE(TRIM('Raw Store Exports'!E286&amp;""))</f>
        <v>3</v>
      </c>
      <c r="H286" s="18" t="n">
        <f aca="false">INDEX('Product Master'!$D$2:$D$21,MATCH(D286,'Product Master'!$A$2:$A$21,0))</f>
        <v>120</v>
      </c>
      <c r="I286" s="14" t="n">
        <f aca="false">G286*H286</f>
        <v>360</v>
      </c>
      <c r="J286" s="0" t="str">
        <f aca="false">IF(COUNTIF($A$2:A286,A286)&gt;1,"Duplicate","")</f>
        <v/>
      </c>
    </row>
    <row r="287" customFormat="false" ht="15" hidden="false" customHeight="false" outlineLevel="0" collapsed="false">
      <c r="A287" s="0" t="str">
        <f aca="false">'Raw Store Exports'!A287</f>
        <v>TXN00133</v>
      </c>
      <c r="B287" s="17" t="n">
        <f aca="false">'Raw Store Exports'!C287</f>
        <v>46033</v>
      </c>
      <c r="C287" s="0" t="str">
        <f aca="false">INDEX('Store Mapping'!$C$2:$C$19,MATCH(TRIM('Raw Store Exports'!B287),'Store Mapping'!$A$2:$A$19,0))</f>
        <v>Airport Plaza</v>
      </c>
      <c r="D287" s="0" t="str">
        <f aca="false">'Raw Store Exports'!D287</f>
        <v>ACC-301</v>
      </c>
      <c r="E287" s="0" t="str">
        <f aca="false">INDEX('Product Master'!$B$2:$B$21,MATCH(D287,'Product Master'!$A$2:$A$21,0))</f>
        <v>Leather Belt</v>
      </c>
      <c r="F287" s="0" t="str">
        <f aca="false">INDEX('Product Master'!$C$2:$C$21,MATCH(D287,'Product Master'!$A$2:$A$21,0))</f>
        <v>Accessories</v>
      </c>
      <c r="G287" s="15" t="n">
        <f aca="false">VALUE(TRIM('Raw Store Exports'!E287&amp;""))</f>
        <v>2</v>
      </c>
      <c r="H287" s="18" t="n">
        <f aca="false">INDEX('Product Master'!$D$2:$D$21,MATCH(D287,'Product Master'!$A$2:$A$21,0))</f>
        <v>30</v>
      </c>
      <c r="I287" s="14" t="n">
        <f aca="false">G287*H287</f>
        <v>60</v>
      </c>
      <c r="J287" s="0" t="str">
        <f aca="false">IF(COUNTIF($A$2:A287,A287)&gt;1,"Duplicate","")</f>
        <v/>
      </c>
    </row>
    <row r="288" customFormat="false" ht="15" hidden="false" customHeight="false" outlineLevel="0" collapsed="false">
      <c r="A288" s="0" t="str">
        <f aca="false">'Raw Store Exports'!A288</f>
        <v>TXN01063</v>
      </c>
      <c r="B288" s="17" t="n">
        <f aca="false">'Raw Store Exports'!C288</f>
        <v>46080</v>
      </c>
      <c r="C288" s="0" t="str">
        <f aca="false">INDEX('Store Mapping'!$C$2:$C$19,MATCH(TRIM('Raw Store Exports'!B288),'Store Mapping'!$A$2:$A$19,0))</f>
        <v>Downtown</v>
      </c>
      <c r="D288" s="0" t="str">
        <f aca="false">'Raw Store Exports'!D288</f>
        <v>ACC-302</v>
      </c>
      <c r="E288" s="0" t="str">
        <f aca="false">INDEX('Product Master'!$B$2:$B$21,MATCH(D288,'Product Master'!$A$2:$A$21,0))</f>
        <v>Aviator Sunglasses</v>
      </c>
      <c r="F288" s="0" t="str">
        <f aca="false">INDEX('Product Master'!$C$2:$C$21,MATCH(D288,'Product Master'!$A$2:$A$21,0))</f>
        <v>Accessories</v>
      </c>
      <c r="G288" s="15" t="n">
        <f aca="false">VALUE(TRIM('Raw Store Exports'!E288&amp;""))</f>
        <v>2</v>
      </c>
      <c r="H288" s="18" t="n">
        <f aca="false">INDEX('Product Master'!$D$2:$D$21,MATCH(D288,'Product Master'!$A$2:$A$21,0))</f>
        <v>42</v>
      </c>
      <c r="I288" s="14" t="n">
        <f aca="false">G288*H288</f>
        <v>84</v>
      </c>
      <c r="J288" s="0" t="str">
        <f aca="false">IF(COUNTIF($A$2:A288,A288)&gt;1,"Duplicate","")</f>
        <v/>
      </c>
    </row>
    <row r="289" customFormat="false" ht="15" hidden="false" customHeight="false" outlineLevel="0" collapsed="false">
      <c r="A289" s="0" t="str">
        <f aca="false">'Raw Store Exports'!A289</f>
        <v>TXN00322</v>
      </c>
      <c r="B289" s="17" t="n">
        <f aca="false">'Raw Store Exports'!C289</f>
        <v>46047</v>
      </c>
      <c r="C289" s="0" t="str">
        <f aca="false">INDEX('Store Mapping'!$C$2:$C$19,MATCH(TRIM('Raw Store Exports'!B289),'Store Mapping'!$A$2:$A$19,0))</f>
        <v>Eastgate</v>
      </c>
      <c r="D289" s="0" t="str">
        <f aca="false">'Raw Store Exports'!D289</f>
        <v>HOM-504</v>
      </c>
      <c r="E289" s="0" t="str">
        <f aca="false">INDEX('Product Master'!$B$2:$B$21,MATCH(D289,'Product Master'!$A$2:$A$21,0))</f>
        <v>Bamboo Cutting Board</v>
      </c>
      <c r="F289" s="0" t="str">
        <f aca="false">INDEX('Product Master'!$C$2:$C$21,MATCH(D289,'Product Master'!$A$2:$A$21,0))</f>
        <v>Home Goods</v>
      </c>
      <c r="G289" s="15" t="n">
        <f aca="false">VALUE(TRIM('Raw Store Exports'!E289&amp;""))</f>
        <v>2</v>
      </c>
      <c r="H289" s="18" t="n">
        <f aca="false">INDEX('Product Master'!$D$2:$D$21,MATCH(D289,'Product Master'!$A$2:$A$21,0))</f>
        <v>27</v>
      </c>
      <c r="I289" s="14" t="n">
        <f aca="false">G289*H289</f>
        <v>54</v>
      </c>
      <c r="J289" s="0" t="str">
        <f aca="false">IF(COUNTIF($A$2:A289,A289)&gt;1,"Duplicate","")</f>
        <v/>
      </c>
    </row>
    <row r="290" customFormat="false" ht="15" hidden="false" customHeight="false" outlineLevel="0" collapsed="false">
      <c r="A290" s="0" t="str">
        <f aca="false">'Raw Store Exports'!A290</f>
        <v>TXN00088</v>
      </c>
      <c r="B290" s="17" t="n">
        <f aca="false">'Raw Store Exports'!C290</f>
        <v>46030</v>
      </c>
      <c r="C290" s="0" t="str">
        <f aca="false">INDEX('Store Mapping'!$C$2:$C$19,MATCH(TRIM('Raw Store Exports'!B290),'Store Mapping'!$A$2:$A$19,0))</f>
        <v>Northpark</v>
      </c>
      <c r="D290" s="0" t="str">
        <f aca="false">'Raw Store Exports'!D290</f>
        <v>ELE-404</v>
      </c>
      <c r="E290" s="0" t="str">
        <f aca="false">INDEX('Product Master'!$B$2:$B$21,MATCH(D290,'Product Master'!$A$2:$A$21,0))</f>
        <v>Phone Charging Cable</v>
      </c>
      <c r="F290" s="0" t="str">
        <f aca="false">INDEX('Product Master'!$C$2:$C$21,MATCH(D290,'Product Master'!$A$2:$A$21,0))</f>
        <v>Electronics</v>
      </c>
      <c r="G290" s="15" t="n">
        <f aca="false">VALUE(TRIM('Raw Store Exports'!E290&amp;""))</f>
        <v>5</v>
      </c>
      <c r="H290" s="18" t="n">
        <f aca="false">INDEX('Product Master'!$D$2:$D$21,MATCH(D290,'Product Master'!$A$2:$A$21,0))</f>
        <v>12</v>
      </c>
      <c r="I290" s="14" t="n">
        <f aca="false">G290*H290</f>
        <v>60</v>
      </c>
      <c r="J290" s="0" t="str">
        <f aca="false">IF(COUNTIF($A$2:A290,A290)&gt;1,"Duplicate","")</f>
        <v/>
      </c>
    </row>
    <row r="291" customFormat="false" ht="15" hidden="false" customHeight="false" outlineLevel="0" collapsed="false">
      <c r="A291" s="0" t="str">
        <f aca="false">'Raw Store Exports'!A291</f>
        <v>TXN00005</v>
      </c>
      <c r="B291" s="17" t="n">
        <f aca="false">'Raw Store Exports'!C291</f>
        <v>46033</v>
      </c>
      <c r="C291" s="0" t="str">
        <f aca="false">INDEX('Store Mapping'!$C$2:$C$19,MATCH(TRIM('Raw Store Exports'!B291),'Store Mapping'!$A$2:$A$19,0))</f>
        <v>Downtown</v>
      </c>
      <c r="D291" s="0" t="str">
        <f aca="false">'Raw Store Exports'!D291</f>
        <v>APP-102</v>
      </c>
      <c r="E291" s="0" t="str">
        <f aca="false">INDEX('Product Master'!$B$2:$B$21,MATCH(D291,'Product Master'!$A$2:$A$21,0))</f>
        <v>Cotton Crew T-Shirt</v>
      </c>
      <c r="F291" s="0" t="str">
        <f aca="false">INDEX('Product Master'!$C$2:$C$21,MATCH(D291,'Product Master'!$A$2:$A$21,0))</f>
        <v>Apparel</v>
      </c>
      <c r="G291" s="15" t="n">
        <f aca="false">VALUE(TRIM('Raw Store Exports'!E291&amp;""))</f>
        <v>6</v>
      </c>
      <c r="H291" s="18" t="n">
        <f aca="false">INDEX('Product Master'!$D$2:$D$21,MATCH(D291,'Product Master'!$A$2:$A$21,0))</f>
        <v>18</v>
      </c>
      <c r="I291" s="14" t="n">
        <f aca="false">G291*H291</f>
        <v>108</v>
      </c>
      <c r="J291" s="0" t="str">
        <f aca="false">IF(COUNTIF($A$2:A291,A291)&gt;1,"Duplicate","")</f>
        <v/>
      </c>
    </row>
    <row r="292" customFormat="false" ht="15" hidden="false" customHeight="false" outlineLevel="0" collapsed="false">
      <c r="A292" s="0" t="str">
        <f aca="false">'Raw Store Exports'!A292</f>
        <v>TXN01085</v>
      </c>
      <c r="B292" s="17" t="n">
        <f aca="false">'Raw Store Exports'!C292</f>
        <v>46079</v>
      </c>
      <c r="C292" s="0" t="str">
        <f aca="false">INDEX('Store Mapping'!$C$2:$C$19,MATCH(TRIM('Raw Store Exports'!B292),'Store Mapping'!$A$2:$A$19,0))</f>
        <v>Westside Mall</v>
      </c>
      <c r="D292" s="0" t="str">
        <f aca="false">'Raw Store Exports'!D292</f>
        <v>ACC-303</v>
      </c>
      <c r="E292" s="0" t="str">
        <f aca="false">INDEX('Product Master'!$B$2:$B$21,MATCH(D292,'Product Master'!$A$2:$A$21,0))</f>
        <v>Canvas Tote Bag</v>
      </c>
      <c r="F292" s="0" t="str">
        <f aca="false">INDEX('Product Master'!$C$2:$C$21,MATCH(D292,'Product Master'!$A$2:$A$21,0))</f>
        <v>Accessories</v>
      </c>
      <c r="G292" s="15" t="n">
        <f aca="false">VALUE(TRIM('Raw Store Exports'!E292&amp;""))</f>
        <v>2</v>
      </c>
      <c r="H292" s="18" t="n">
        <f aca="false">INDEX('Product Master'!$D$2:$D$21,MATCH(D292,'Product Master'!$A$2:$A$21,0))</f>
        <v>24</v>
      </c>
      <c r="I292" s="14" t="n">
        <f aca="false">G292*H292</f>
        <v>48</v>
      </c>
      <c r="J292" s="0" t="str">
        <f aca="false">IF(COUNTIF($A$2:A292,A292)&gt;1,"Duplicate","")</f>
        <v/>
      </c>
    </row>
    <row r="293" customFormat="false" ht="15" hidden="false" customHeight="false" outlineLevel="0" collapsed="false">
      <c r="A293" s="0" t="str">
        <f aca="false">'Raw Store Exports'!A293</f>
        <v>TXN00627</v>
      </c>
      <c r="B293" s="17" t="n">
        <f aca="false">'Raw Store Exports'!C293</f>
        <v>46057</v>
      </c>
      <c r="C293" s="0" t="str">
        <f aca="false">INDEX('Store Mapping'!$C$2:$C$19,MATCH(TRIM('Raw Store Exports'!B293),'Store Mapping'!$A$2:$A$19,0))</f>
        <v>Westside Mall</v>
      </c>
      <c r="D293" s="0" t="str">
        <f aca="false">'Raw Store Exports'!D293</f>
        <v>APP-103</v>
      </c>
      <c r="E293" s="0" t="str">
        <f aca="false">INDEX('Product Master'!$B$2:$B$21,MATCH(D293,'Product Master'!$A$2:$A$21,0))</f>
        <v>Fleece Pullover Hoodie</v>
      </c>
      <c r="F293" s="0" t="str">
        <f aca="false">INDEX('Product Master'!$C$2:$C$21,MATCH(D293,'Product Master'!$A$2:$A$21,0))</f>
        <v>Apparel</v>
      </c>
      <c r="G293" s="15" t="n">
        <f aca="false">VALUE(TRIM('Raw Store Exports'!E293&amp;""))</f>
        <v>3</v>
      </c>
      <c r="H293" s="18" t="n">
        <f aca="false">INDEX('Product Master'!$D$2:$D$21,MATCH(D293,'Product Master'!$A$2:$A$21,0))</f>
        <v>45</v>
      </c>
      <c r="I293" s="14" t="n">
        <f aca="false">G293*H293</f>
        <v>135</v>
      </c>
      <c r="J293" s="0" t="str">
        <f aca="false">IF(COUNTIF($A$2:A293,A293)&gt;1,"Duplicate","")</f>
        <v/>
      </c>
    </row>
    <row r="294" customFormat="false" ht="15" hidden="false" customHeight="false" outlineLevel="0" collapsed="false">
      <c r="A294" s="0" t="str">
        <f aca="false">'Raw Store Exports'!A294</f>
        <v>TXN00605</v>
      </c>
      <c r="B294" s="17" t="n">
        <f aca="false">'Raw Store Exports'!C294</f>
        <v>46059</v>
      </c>
      <c r="C294" s="0" t="str">
        <f aca="false">INDEX('Store Mapping'!$C$2:$C$19,MATCH(TRIM('Raw Store Exports'!B294),'Store Mapping'!$A$2:$A$19,0))</f>
        <v>Downtown</v>
      </c>
      <c r="D294" s="0" t="str">
        <f aca="false">'Raw Store Exports'!D294</f>
        <v>HOM-501</v>
      </c>
      <c r="E294" s="0" t="str">
        <f aca="false">INDEX('Product Master'!$B$2:$B$21,MATCH(D294,'Product Master'!$A$2:$A$21,0))</f>
        <v>Ceramic Coffee Mug Set</v>
      </c>
      <c r="F294" s="0" t="str">
        <f aca="false">INDEX('Product Master'!$C$2:$C$21,MATCH(D294,'Product Master'!$A$2:$A$21,0))</f>
        <v>Home Goods</v>
      </c>
      <c r="G294" s="15" t="n">
        <f aca="false">VALUE(TRIM('Raw Store Exports'!E294&amp;""))</f>
        <v>1</v>
      </c>
      <c r="H294" s="18" t="n">
        <f aca="false">INDEX('Product Master'!$D$2:$D$21,MATCH(D294,'Product Master'!$A$2:$A$21,0))</f>
        <v>22</v>
      </c>
      <c r="I294" s="14" t="n">
        <f aca="false">G294*H294</f>
        <v>22</v>
      </c>
      <c r="J294" s="0" t="str">
        <f aca="false">IF(COUNTIF($A$2:A294,A294)&gt;1,"Duplicate","")</f>
        <v/>
      </c>
    </row>
    <row r="295" customFormat="false" ht="15" hidden="false" customHeight="false" outlineLevel="0" collapsed="false">
      <c r="A295" s="0" t="str">
        <f aca="false">'Raw Store Exports'!A295</f>
        <v>TXN00614</v>
      </c>
      <c r="B295" s="17" t="n">
        <f aca="false">'Raw Store Exports'!C295</f>
        <v>46055</v>
      </c>
      <c r="C295" s="0" t="str">
        <f aca="false">INDEX('Store Mapping'!$C$2:$C$19,MATCH(TRIM('Raw Store Exports'!B295),'Store Mapping'!$A$2:$A$19,0))</f>
        <v>Downtown</v>
      </c>
      <c r="D295" s="0" t="str">
        <f aca="false">'Raw Store Exports'!D295</f>
        <v>ELE-402</v>
      </c>
      <c r="E295" s="0" t="str">
        <f aca="false">INDEX('Product Master'!$B$2:$B$21,MATCH(D295,'Product Master'!$A$2:$A$21,0))</f>
        <v>Bluetooth Speaker</v>
      </c>
      <c r="F295" s="0" t="str">
        <f aca="false">INDEX('Product Master'!$C$2:$C$21,MATCH(D295,'Product Master'!$A$2:$A$21,0))</f>
        <v>Electronics</v>
      </c>
      <c r="G295" s="15" t="n">
        <f aca="false">VALUE(TRIM('Raw Store Exports'!E295&amp;""))</f>
        <v>3</v>
      </c>
      <c r="H295" s="18" t="n">
        <f aca="false">INDEX('Product Master'!$D$2:$D$21,MATCH(D295,'Product Master'!$A$2:$A$21,0))</f>
        <v>59</v>
      </c>
      <c r="I295" s="14" t="n">
        <f aca="false">G295*H295</f>
        <v>177</v>
      </c>
      <c r="J295" s="0" t="str">
        <f aca="false">IF(COUNTIF($A$2:A295,A295)&gt;1,"Duplicate","")</f>
        <v/>
      </c>
    </row>
    <row r="296" customFormat="false" ht="15" hidden="false" customHeight="false" outlineLevel="0" collapsed="false">
      <c r="A296" s="0" t="str">
        <f aca="false">'Raw Store Exports'!A296</f>
        <v>TXN01126</v>
      </c>
      <c r="B296" s="17" t="n">
        <f aca="false">'Raw Store Exports'!C296</f>
        <v>46078</v>
      </c>
      <c r="C296" s="0" t="str">
        <f aca="false">INDEX('Store Mapping'!$C$2:$C$19,MATCH(TRIM('Raw Store Exports'!B296),'Store Mapping'!$A$2:$A$19,0))</f>
        <v>Northpark</v>
      </c>
      <c r="D296" s="0" t="str">
        <f aca="false">'Raw Store Exports'!D296</f>
        <v>FTW-203</v>
      </c>
      <c r="E296" s="0" t="str">
        <f aca="false">INDEX('Product Master'!$B$2:$B$21,MATCH(D296,'Product Master'!$A$2:$A$21,0))</f>
        <v>Leather Ankle Boot</v>
      </c>
      <c r="F296" s="0" t="str">
        <f aca="false">INDEX('Product Master'!$C$2:$C$21,MATCH(D296,'Product Master'!$A$2:$A$21,0))</f>
        <v>Footwear</v>
      </c>
      <c r="G296" s="15" t="n">
        <f aca="false">VALUE(TRIM('Raw Store Exports'!E296&amp;""))</f>
        <v>4</v>
      </c>
      <c r="H296" s="18" t="n">
        <f aca="false">INDEX('Product Master'!$D$2:$D$21,MATCH(D296,'Product Master'!$A$2:$A$21,0))</f>
        <v>120</v>
      </c>
      <c r="I296" s="14" t="n">
        <f aca="false">G296*H296</f>
        <v>480</v>
      </c>
      <c r="J296" s="0" t="str">
        <f aca="false">IF(COUNTIF($A$2:A296,A296)&gt;1,"Duplicate","")</f>
        <v/>
      </c>
    </row>
    <row r="297" customFormat="false" ht="15" hidden="false" customHeight="false" outlineLevel="0" collapsed="false">
      <c r="A297" s="0" t="str">
        <f aca="false">'Raw Store Exports'!A297</f>
        <v>TXN00843</v>
      </c>
      <c r="B297" s="17" t="n">
        <f aca="false">'Raw Store Exports'!C297</f>
        <v>46062</v>
      </c>
      <c r="C297" s="0" t="str">
        <f aca="false">INDEX('Store Mapping'!$C$2:$C$19,MATCH(TRIM('Raw Store Exports'!B297),'Store Mapping'!$A$2:$A$19,0))</f>
        <v>Northpark</v>
      </c>
      <c r="D297" s="0" t="str">
        <f aca="false">'Raw Store Exports'!D297</f>
        <v>HOM-504</v>
      </c>
      <c r="E297" s="0" t="str">
        <f aca="false">INDEX('Product Master'!$B$2:$B$21,MATCH(D297,'Product Master'!$A$2:$A$21,0))</f>
        <v>Bamboo Cutting Board</v>
      </c>
      <c r="F297" s="0" t="str">
        <f aca="false">INDEX('Product Master'!$C$2:$C$21,MATCH(D297,'Product Master'!$A$2:$A$21,0))</f>
        <v>Home Goods</v>
      </c>
      <c r="G297" s="15" t="n">
        <f aca="false">VALUE(TRIM('Raw Store Exports'!E297&amp;""))</f>
        <v>3</v>
      </c>
      <c r="H297" s="18" t="n">
        <f aca="false">INDEX('Product Master'!$D$2:$D$21,MATCH(D297,'Product Master'!$A$2:$A$21,0))</f>
        <v>27</v>
      </c>
      <c r="I297" s="14" t="n">
        <f aca="false">G297*H297</f>
        <v>81</v>
      </c>
      <c r="J297" s="0" t="str">
        <f aca="false">IF(COUNTIF($A$2:A297,A297)&gt;1,"Duplicate","")</f>
        <v/>
      </c>
    </row>
    <row r="298" customFormat="false" ht="15" hidden="false" customHeight="false" outlineLevel="0" collapsed="false">
      <c r="A298" s="0" t="str">
        <f aca="false">'Raw Store Exports'!A298</f>
        <v>TXN00806</v>
      </c>
      <c r="B298" s="17" t="n">
        <f aca="false">'Raw Store Exports'!C298</f>
        <v>46063</v>
      </c>
      <c r="C298" s="0" t="str">
        <f aca="false">INDEX('Store Mapping'!$C$2:$C$19,MATCH(TRIM('Raw Store Exports'!B298),'Store Mapping'!$A$2:$A$19,0))</f>
        <v>Eastgate</v>
      </c>
      <c r="D298" s="0" t="str">
        <f aca="false">'Raw Store Exports'!D298</f>
        <v>ACC-301</v>
      </c>
      <c r="E298" s="0" t="str">
        <f aca="false">INDEX('Product Master'!$B$2:$B$21,MATCH(D298,'Product Master'!$A$2:$A$21,0))</f>
        <v>Leather Belt</v>
      </c>
      <c r="F298" s="0" t="str">
        <f aca="false">INDEX('Product Master'!$C$2:$C$21,MATCH(D298,'Product Master'!$A$2:$A$21,0))</f>
        <v>Accessories</v>
      </c>
      <c r="G298" s="15" t="n">
        <f aca="false">VALUE(TRIM('Raw Store Exports'!E298&amp;""))</f>
        <v>6</v>
      </c>
      <c r="H298" s="18" t="n">
        <f aca="false">INDEX('Product Master'!$D$2:$D$21,MATCH(D298,'Product Master'!$A$2:$A$21,0))</f>
        <v>30</v>
      </c>
      <c r="I298" s="14" t="n">
        <f aca="false">G298*H298</f>
        <v>180</v>
      </c>
      <c r="J298" s="0" t="str">
        <f aca="false">IF(COUNTIF($A$2:A298,A298)&gt;1,"Duplicate","")</f>
        <v/>
      </c>
    </row>
    <row r="299" customFormat="false" ht="15" hidden="false" customHeight="false" outlineLevel="0" collapsed="false">
      <c r="A299" s="0" t="str">
        <f aca="false">'Raw Store Exports'!A299</f>
        <v>TXN00968</v>
      </c>
      <c r="B299" s="17" t="n">
        <f aca="false">'Raw Store Exports'!C299</f>
        <v>46069</v>
      </c>
      <c r="C299" s="0" t="str">
        <f aca="false">INDEX('Store Mapping'!$C$2:$C$19,MATCH(TRIM('Raw Store Exports'!B299),'Store Mapping'!$A$2:$A$19,0))</f>
        <v>Eastgate</v>
      </c>
      <c r="D299" s="0" t="str">
        <f aca="false">'Raw Store Exports'!D299</f>
        <v>APP-104</v>
      </c>
      <c r="E299" s="0" t="str">
        <f aca="false">INDEX('Product Master'!$B$2:$B$21,MATCH(D299,'Product Master'!$A$2:$A$21,0))</f>
        <v>Slim Fit Chinos</v>
      </c>
      <c r="F299" s="0" t="str">
        <f aca="false">INDEX('Product Master'!$C$2:$C$21,MATCH(D299,'Product Master'!$A$2:$A$21,0))</f>
        <v>Apparel</v>
      </c>
      <c r="G299" s="15" t="n">
        <f aca="false">VALUE(TRIM('Raw Store Exports'!E299&amp;""))</f>
        <v>4</v>
      </c>
      <c r="H299" s="18" t="n">
        <f aca="false">INDEX('Product Master'!$D$2:$D$21,MATCH(D299,'Product Master'!$A$2:$A$21,0))</f>
        <v>52</v>
      </c>
      <c r="I299" s="14" t="n">
        <f aca="false">G299*H299</f>
        <v>208</v>
      </c>
      <c r="J299" s="0" t="str">
        <f aca="false">IF(COUNTIF($A$2:A299,A299)&gt;1,"Duplicate","")</f>
        <v/>
      </c>
    </row>
    <row r="300" customFormat="false" ht="15" hidden="false" customHeight="false" outlineLevel="0" collapsed="false">
      <c r="A300" s="0" t="str">
        <f aca="false">'Raw Store Exports'!A300</f>
        <v>TXN00149</v>
      </c>
      <c r="B300" s="17" t="n">
        <f aca="false">'Raw Store Exports'!C300</f>
        <v>46034</v>
      </c>
      <c r="C300" s="0" t="str">
        <f aca="false">INDEX('Store Mapping'!$C$2:$C$19,MATCH(TRIM('Raw Store Exports'!B300),'Store Mapping'!$A$2:$A$19,0))</f>
        <v>Downtown</v>
      </c>
      <c r="D300" s="0" t="str">
        <f aca="false">'Raw Store Exports'!D300</f>
        <v>APP-104</v>
      </c>
      <c r="E300" s="0" t="str">
        <f aca="false">INDEX('Product Master'!$B$2:$B$21,MATCH(D300,'Product Master'!$A$2:$A$21,0))</f>
        <v>Slim Fit Chinos</v>
      </c>
      <c r="F300" s="0" t="str">
        <f aca="false">INDEX('Product Master'!$C$2:$C$21,MATCH(D300,'Product Master'!$A$2:$A$21,0))</f>
        <v>Apparel</v>
      </c>
      <c r="G300" s="15" t="n">
        <f aca="false">VALUE(TRIM('Raw Store Exports'!E300&amp;""))</f>
        <v>5</v>
      </c>
      <c r="H300" s="18" t="n">
        <f aca="false">INDEX('Product Master'!$D$2:$D$21,MATCH(D300,'Product Master'!$A$2:$A$21,0))</f>
        <v>52</v>
      </c>
      <c r="I300" s="14" t="n">
        <f aca="false">G300*H300</f>
        <v>260</v>
      </c>
      <c r="J300" s="0" t="str">
        <f aca="false">IF(COUNTIF($A$2:A300,A300)&gt;1,"Duplicate","")</f>
        <v/>
      </c>
    </row>
    <row r="301" customFormat="false" ht="15" hidden="false" customHeight="false" outlineLevel="0" collapsed="false">
      <c r="A301" s="0" t="str">
        <f aca="false">'Raw Store Exports'!A301</f>
        <v>TXN00380</v>
      </c>
      <c r="B301" s="17" t="n">
        <f aca="false">'Raw Store Exports'!C301</f>
        <v>46045</v>
      </c>
      <c r="C301" s="0" t="str">
        <f aca="false">INDEX('Store Mapping'!$C$2:$C$19,MATCH(TRIM('Raw Store Exports'!B301),'Store Mapping'!$A$2:$A$19,0))</f>
        <v>Riverside</v>
      </c>
      <c r="D301" s="0" t="str">
        <f aca="false">'Raw Store Exports'!D301</f>
        <v>APP-103</v>
      </c>
      <c r="E301" s="0" t="str">
        <f aca="false">INDEX('Product Master'!$B$2:$B$21,MATCH(D301,'Product Master'!$A$2:$A$21,0))</f>
        <v>Fleece Pullover Hoodie</v>
      </c>
      <c r="F301" s="0" t="str">
        <f aca="false">INDEX('Product Master'!$C$2:$C$21,MATCH(D301,'Product Master'!$A$2:$A$21,0))</f>
        <v>Apparel</v>
      </c>
      <c r="G301" s="15" t="n">
        <f aca="false">VALUE(TRIM('Raw Store Exports'!E301&amp;""))</f>
        <v>2</v>
      </c>
      <c r="H301" s="18" t="n">
        <f aca="false">INDEX('Product Master'!$D$2:$D$21,MATCH(D301,'Product Master'!$A$2:$A$21,0))</f>
        <v>45</v>
      </c>
      <c r="I301" s="14" t="n">
        <f aca="false">G301*H301</f>
        <v>90</v>
      </c>
      <c r="J301" s="0" t="str">
        <f aca="false">IF(COUNTIF($A$2:A301,A301)&gt;1,"Duplicate","")</f>
        <v/>
      </c>
    </row>
    <row r="302" customFormat="false" ht="15" hidden="false" customHeight="false" outlineLevel="0" collapsed="false">
      <c r="A302" s="0" t="str">
        <f aca="false">'Raw Store Exports'!A302</f>
        <v>TXN00596</v>
      </c>
      <c r="B302" s="17" t="n">
        <f aca="false">'Raw Store Exports'!C302</f>
        <v>46058</v>
      </c>
      <c r="C302" s="0" t="str">
        <f aca="false">INDEX('Store Mapping'!$C$2:$C$19,MATCH(TRIM('Raw Store Exports'!B302),'Store Mapping'!$A$2:$A$19,0))</f>
        <v>Downtown</v>
      </c>
      <c r="D302" s="0" t="str">
        <f aca="false">'Raw Store Exports'!D302</f>
        <v>ELE-404</v>
      </c>
      <c r="E302" s="0" t="str">
        <f aca="false">INDEX('Product Master'!$B$2:$B$21,MATCH(D302,'Product Master'!$A$2:$A$21,0))</f>
        <v>Phone Charging Cable</v>
      </c>
      <c r="F302" s="0" t="str">
        <f aca="false">INDEX('Product Master'!$C$2:$C$21,MATCH(D302,'Product Master'!$A$2:$A$21,0))</f>
        <v>Electronics</v>
      </c>
      <c r="G302" s="15" t="n">
        <f aca="false">VALUE(TRIM('Raw Store Exports'!E302&amp;""))</f>
        <v>6</v>
      </c>
      <c r="H302" s="18" t="n">
        <f aca="false">INDEX('Product Master'!$D$2:$D$21,MATCH(D302,'Product Master'!$A$2:$A$21,0))</f>
        <v>12</v>
      </c>
      <c r="I302" s="14" t="n">
        <f aca="false">G302*H302</f>
        <v>72</v>
      </c>
      <c r="J302" s="0" t="str">
        <f aca="false">IF(COUNTIF($A$2:A302,A302)&gt;1,"Duplicate","")</f>
        <v/>
      </c>
    </row>
    <row r="303" customFormat="false" ht="15" hidden="false" customHeight="false" outlineLevel="0" collapsed="false">
      <c r="A303" s="0" t="str">
        <f aca="false">'Raw Store Exports'!A303</f>
        <v>TXN00332</v>
      </c>
      <c r="B303" s="17" t="n">
        <f aca="false">'Raw Store Exports'!C303</f>
        <v>46046</v>
      </c>
      <c r="C303" s="0" t="str">
        <f aca="false">INDEX('Store Mapping'!$C$2:$C$19,MATCH(TRIM('Raw Store Exports'!B303),'Store Mapping'!$A$2:$A$19,0))</f>
        <v>Eastgate</v>
      </c>
      <c r="D303" s="0" t="str">
        <f aca="false">'Raw Store Exports'!D303</f>
        <v>APP-101</v>
      </c>
      <c r="E303" s="0" t="str">
        <f aca="false">INDEX('Product Master'!$B$2:$B$21,MATCH(D303,'Product Master'!$A$2:$A$21,0))</f>
        <v>Classic Denim Jacket</v>
      </c>
      <c r="F303" s="0" t="str">
        <f aca="false">INDEX('Product Master'!$C$2:$C$21,MATCH(D303,'Product Master'!$A$2:$A$21,0))</f>
        <v>Apparel</v>
      </c>
      <c r="G303" s="15" t="n">
        <f aca="false">VALUE(TRIM('Raw Store Exports'!E303&amp;""))</f>
        <v>5</v>
      </c>
      <c r="H303" s="18" t="n">
        <f aca="false">INDEX('Product Master'!$D$2:$D$21,MATCH(D303,'Product Master'!$A$2:$A$21,0))</f>
        <v>68</v>
      </c>
      <c r="I303" s="14" t="n">
        <f aca="false">G303*H303</f>
        <v>340</v>
      </c>
      <c r="J303" s="0" t="str">
        <f aca="false">IF(COUNTIF($A$2:A303,A303)&gt;1,"Duplicate","")</f>
        <v/>
      </c>
    </row>
    <row r="304" customFormat="false" ht="15" hidden="false" customHeight="false" outlineLevel="0" collapsed="false">
      <c r="A304" s="0" t="str">
        <f aca="false">'Raw Store Exports'!A304</f>
        <v>TXN01159</v>
      </c>
      <c r="B304" s="17" t="n">
        <f aca="false">'Raw Store Exports'!C304</f>
        <v>46080</v>
      </c>
      <c r="C304" s="0" t="str">
        <f aca="false">INDEX('Store Mapping'!$C$2:$C$19,MATCH(TRIM('Raw Store Exports'!B304),'Store Mapping'!$A$2:$A$19,0))</f>
        <v>Riverside</v>
      </c>
      <c r="D304" s="0" t="str">
        <f aca="false">'Raw Store Exports'!D304</f>
        <v>ACC-303</v>
      </c>
      <c r="E304" s="0" t="str">
        <f aca="false">INDEX('Product Master'!$B$2:$B$21,MATCH(D304,'Product Master'!$A$2:$A$21,0))</f>
        <v>Canvas Tote Bag</v>
      </c>
      <c r="F304" s="0" t="str">
        <f aca="false">INDEX('Product Master'!$C$2:$C$21,MATCH(D304,'Product Master'!$A$2:$A$21,0))</f>
        <v>Accessories</v>
      </c>
      <c r="G304" s="15" t="n">
        <f aca="false">VALUE(TRIM('Raw Store Exports'!E304&amp;""))</f>
        <v>1</v>
      </c>
      <c r="H304" s="18" t="n">
        <f aca="false">INDEX('Product Master'!$D$2:$D$21,MATCH(D304,'Product Master'!$A$2:$A$21,0))</f>
        <v>24</v>
      </c>
      <c r="I304" s="14" t="n">
        <f aca="false">G304*H304</f>
        <v>24</v>
      </c>
      <c r="J304" s="0" t="str">
        <f aca="false">IF(COUNTIF($A$2:A304,A304)&gt;1,"Duplicate","")</f>
        <v/>
      </c>
    </row>
    <row r="305" customFormat="false" ht="15" hidden="false" customHeight="false" outlineLevel="0" collapsed="false">
      <c r="A305" s="0" t="str">
        <f aca="false">'Raw Store Exports'!A305</f>
        <v>TXN00251</v>
      </c>
      <c r="B305" s="17" t="n">
        <f aca="false">'Raw Store Exports'!C305</f>
        <v>46035</v>
      </c>
      <c r="C305" s="0" t="str">
        <f aca="false">INDEX('Store Mapping'!$C$2:$C$19,MATCH(TRIM('Raw Store Exports'!B305),'Store Mapping'!$A$2:$A$19,0))</f>
        <v>Airport Plaza</v>
      </c>
      <c r="D305" s="0" t="str">
        <f aca="false">'Raw Store Exports'!D305</f>
        <v>HOM-504</v>
      </c>
      <c r="E305" s="0" t="str">
        <f aca="false">INDEX('Product Master'!$B$2:$B$21,MATCH(D305,'Product Master'!$A$2:$A$21,0))</f>
        <v>Bamboo Cutting Board</v>
      </c>
      <c r="F305" s="0" t="str">
        <f aca="false">INDEX('Product Master'!$C$2:$C$21,MATCH(D305,'Product Master'!$A$2:$A$21,0))</f>
        <v>Home Goods</v>
      </c>
      <c r="G305" s="15" t="n">
        <f aca="false">VALUE(TRIM('Raw Store Exports'!E305&amp;""))</f>
        <v>3</v>
      </c>
      <c r="H305" s="18" t="n">
        <f aca="false">INDEX('Product Master'!$D$2:$D$21,MATCH(D305,'Product Master'!$A$2:$A$21,0))</f>
        <v>27</v>
      </c>
      <c r="I305" s="14" t="n">
        <f aca="false">G305*H305</f>
        <v>81</v>
      </c>
      <c r="J305" s="0" t="str">
        <f aca="false">IF(COUNTIF($A$2:A305,A305)&gt;1,"Duplicate","")</f>
        <v/>
      </c>
    </row>
    <row r="306" customFormat="false" ht="15" hidden="false" customHeight="false" outlineLevel="0" collapsed="false">
      <c r="A306" s="0" t="str">
        <f aca="false">'Raw Store Exports'!A306</f>
        <v>TXN00038</v>
      </c>
      <c r="B306" s="17" t="n">
        <f aca="false">'Raw Store Exports'!C306</f>
        <v>46031</v>
      </c>
      <c r="C306" s="0" t="str">
        <f aca="false">INDEX('Store Mapping'!$C$2:$C$19,MATCH(TRIM('Raw Store Exports'!B306),'Store Mapping'!$A$2:$A$19,0))</f>
        <v>Westside Mall</v>
      </c>
      <c r="D306" s="0" t="str">
        <f aca="false">'Raw Store Exports'!D306</f>
        <v>APP-103</v>
      </c>
      <c r="E306" s="0" t="str">
        <f aca="false">INDEX('Product Master'!$B$2:$B$21,MATCH(D306,'Product Master'!$A$2:$A$21,0))</f>
        <v>Fleece Pullover Hoodie</v>
      </c>
      <c r="F306" s="0" t="str">
        <f aca="false">INDEX('Product Master'!$C$2:$C$21,MATCH(D306,'Product Master'!$A$2:$A$21,0))</f>
        <v>Apparel</v>
      </c>
      <c r="G306" s="15" t="n">
        <f aca="false">VALUE(TRIM('Raw Store Exports'!E306&amp;""))</f>
        <v>4</v>
      </c>
      <c r="H306" s="18" t="n">
        <f aca="false">INDEX('Product Master'!$D$2:$D$21,MATCH(D306,'Product Master'!$A$2:$A$21,0))</f>
        <v>45</v>
      </c>
      <c r="I306" s="14" t="n">
        <f aca="false">G306*H306</f>
        <v>180</v>
      </c>
      <c r="J306" s="0" t="str">
        <f aca="false">IF(COUNTIF($A$2:A306,A306)&gt;1,"Duplicate","")</f>
        <v/>
      </c>
    </row>
    <row r="307" customFormat="false" ht="15" hidden="false" customHeight="false" outlineLevel="0" collapsed="false">
      <c r="A307" s="0" t="str">
        <f aca="false">'Raw Store Exports'!A307</f>
        <v>TXN01033</v>
      </c>
      <c r="B307" s="17" t="n">
        <f aca="false">'Raw Store Exports'!C307</f>
        <v>46069</v>
      </c>
      <c r="C307" s="0" t="str">
        <f aca="false">INDEX('Store Mapping'!$C$2:$C$19,MATCH(TRIM('Raw Store Exports'!B307),'Store Mapping'!$A$2:$A$19,0))</f>
        <v>Airport Plaza</v>
      </c>
      <c r="D307" s="0" t="str">
        <f aca="false">'Raw Store Exports'!D307</f>
        <v>HOM-504</v>
      </c>
      <c r="E307" s="0" t="str">
        <f aca="false">INDEX('Product Master'!$B$2:$B$21,MATCH(D307,'Product Master'!$A$2:$A$21,0))</f>
        <v>Bamboo Cutting Board</v>
      </c>
      <c r="F307" s="0" t="str">
        <f aca="false">INDEX('Product Master'!$C$2:$C$21,MATCH(D307,'Product Master'!$A$2:$A$21,0))</f>
        <v>Home Goods</v>
      </c>
      <c r="G307" s="15" t="n">
        <f aca="false">VALUE(TRIM('Raw Store Exports'!E307&amp;""))</f>
        <v>1</v>
      </c>
      <c r="H307" s="18" t="n">
        <f aca="false">INDEX('Product Master'!$D$2:$D$21,MATCH(D307,'Product Master'!$A$2:$A$21,0))</f>
        <v>27</v>
      </c>
      <c r="I307" s="14" t="n">
        <f aca="false">G307*H307</f>
        <v>27</v>
      </c>
      <c r="J307" s="0" t="str">
        <f aca="false">IF(COUNTIF($A$2:A307,A307)&gt;1,"Duplicate","")</f>
        <v/>
      </c>
    </row>
    <row r="308" customFormat="false" ht="15" hidden="false" customHeight="false" outlineLevel="0" collapsed="false">
      <c r="A308" s="0" t="str">
        <f aca="false">'Raw Store Exports'!A308</f>
        <v>TXN00683</v>
      </c>
      <c r="B308" s="17" t="n">
        <f aca="false">'Raw Store Exports'!C308</f>
        <v>46055</v>
      </c>
      <c r="C308" s="0" t="str">
        <f aca="false">INDEX('Store Mapping'!$C$2:$C$19,MATCH(TRIM('Raw Store Exports'!B308),'Store Mapping'!$A$2:$A$19,0))</f>
        <v>Northpark</v>
      </c>
      <c r="D308" s="0" t="str">
        <f aca="false">'Raw Store Exports'!D308</f>
        <v>APP-104</v>
      </c>
      <c r="E308" s="0" t="str">
        <f aca="false">INDEX('Product Master'!$B$2:$B$21,MATCH(D308,'Product Master'!$A$2:$A$21,0))</f>
        <v>Slim Fit Chinos</v>
      </c>
      <c r="F308" s="0" t="str">
        <f aca="false">INDEX('Product Master'!$C$2:$C$21,MATCH(D308,'Product Master'!$A$2:$A$21,0))</f>
        <v>Apparel</v>
      </c>
      <c r="G308" s="15" t="n">
        <f aca="false">VALUE(TRIM('Raw Store Exports'!E308&amp;""))</f>
        <v>5</v>
      </c>
      <c r="H308" s="18" t="n">
        <f aca="false">INDEX('Product Master'!$D$2:$D$21,MATCH(D308,'Product Master'!$A$2:$A$21,0))</f>
        <v>52</v>
      </c>
      <c r="I308" s="14" t="n">
        <f aca="false">G308*H308</f>
        <v>260</v>
      </c>
      <c r="J308" s="0" t="str">
        <f aca="false">IF(COUNTIF($A$2:A308,A308)&gt;1,"Duplicate","")</f>
        <v/>
      </c>
    </row>
    <row r="309" customFormat="false" ht="15" hidden="false" customHeight="false" outlineLevel="0" collapsed="false">
      <c r="A309" s="0" t="str">
        <f aca="false">'Raw Store Exports'!A309</f>
        <v>TXN01166</v>
      </c>
      <c r="B309" s="17" t="n">
        <f aca="false">'Raw Store Exports'!C309</f>
        <v>46080</v>
      </c>
      <c r="C309" s="0" t="str">
        <f aca="false">INDEX('Store Mapping'!$C$2:$C$19,MATCH(TRIM('Raw Store Exports'!B309),'Store Mapping'!$A$2:$A$19,0))</f>
        <v>Riverside</v>
      </c>
      <c r="D309" s="0" t="str">
        <f aca="false">'Raw Store Exports'!D309</f>
        <v>APP-101</v>
      </c>
      <c r="E309" s="0" t="str">
        <f aca="false">INDEX('Product Master'!$B$2:$B$21,MATCH(D309,'Product Master'!$A$2:$A$21,0))</f>
        <v>Classic Denim Jacket</v>
      </c>
      <c r="F309" s="0" t="str">
        <f aca="false">INDEX('Product Master'!$C$2:$C$21,MATCH(D309,'Product Master'!$A$2:$A$21,0))</f>
        <v>Apparel</v>
      </c>
      <c r="G309" s="15" t="n">
        <f aca="false">VALUE(TRIM('Raw Store Exports'!E309&amp;""))</f>
        <v>2</v>
      </c>
      <c r="H309" s="18" t="n">
        <f aca="false">INDEX('Product Master'!$D$2:$D$21,MATCH(D309,'Product Master'!$A$2:$A$21,0))</f>
        <v>68</v>
      </c>
      <c r="I309" s="14" t="n">
        <f aca="false">G309*H309</f>
        <v>136</v>
      </c>
      <c r="J309" s="0" t="str">
        <f aca="false">IF(COUNTIF($A$2:A309,A309)&gt;1,"Duplicate","")</f>
        <v/>
      </c>
    </row>
    <row r="310" customFormat="false" ht="15" hidden="false" customHeight="false" outlineLevel="0" collapsed="false">
      <c r="A310" s="0" t="str">
        <f aca="false">'Raw Store Exports'!A310</f>
        <v>TXN00781</v>
      </c>
      <c r="B310" s="17" t="n">
        <f aca="false">'Raw Store Exports'!C310</f>
        <v>46063</v>
      </c>
      <c r="C310" s="0" t="str">
        <f aca="false">INDEX('Store Mapping'!$C$2:$C$19,MATCH(TRIM('Raw Store Exports'!B310),'Store Mapping'!$A$2:$A$19,0))</f>
        <v>Westside Mall</v>
      </c>
      <c r="D310" s="0" t="str">
        <f aca="false">'Raw Store Exports'!D310</f>
        <v>HOM-504</v>
      </c>
      <c r="E310" s="0" t="str">
        <f aca="false">INDEX('Product Master'!$B$2:$B$21,MATCH(D310,'Product Master'!$A$2:$A$21,0))</f>
        <v>Bamboo Cutting Board</v>
      </c>
      <c r="F310" s="0" t="str">
        <f aca="false">INDEX('Product Master'!$C$2:$C$21,MATCH(D310,'Product Master'!$A$2:$A$21,0))</f>
        <v>Home Goods</v>
      </c>
      <c r="G310" s="15" t="n">
        <f aca="false">VALUE(TRIM('Raw Store Exports'!E310&amp;""))</f>
        <v>5</v>
      </c>
      <c r="H310" s="18" t="n">
        <f aca="false">INDEX('Product Master'!$D$2:$D$21,MATCH(D310,'Product Master'!$A$2:$A$21,0))</f>
        <v>27</v>
      </c>
      <c r="I310" s="14" t="n">
        <f aca="false">G310*H310</f>
        <v>135</v>
      </c>
      <c r="J310" s="0" t="str">
        <f aca="false">IF(COUNTIF($A$2:A310,A310)&gt;1,"Duplicate","")</f>
        <v/>
      </c>
    </row>
    <row r="311" customFormat="false" ht="15" hidden="false" customHeight="false" outlineLevel="0" collapsed="false">
      <c r="A311" s="0" t="str">
        <f aca="false">'Raw Store Exports'!A311</f>
        <v>TXN00841</v>
      </c>
      <c r="B311" s="17" t="n">
        <f aca="false">'Raw Store Exports'!C311</f>
        <v>46062</v>
      </c>
      <c r="C311" s="0" t="str">
        <f aca="false">INDEX('Store Mapping'!$C$2:$C$19,MATCH(TRIM('Raw Store Exports'!B311),'Store Mapping'!$A$2:$A$19,0))</f>
        <v>Northpark</v>
      </c>
      <c r="D311" s="0" t="str">
        <f aca="false">'Raw Store Exports'!D311</f>
        <v>FTW-203</v>
      </c>
      <c r="E311" s="0" t="str">
        <f aca="false">INDEX('Product Master'!$B$2:$B$21,MATCH(D311,'Product Master'!$A$2:$A$21,0))</f>
        <v>Leather Ankle Boot</v>
      </c>
      <c r="F311" s="0" t="str">
        <f aca="false">INDEX('Product Master'!$C$2:$C$21,MATCH(D311,'Product Master'!$A$2:$A$21,0))</f>
        <v>Footwear</v>
      </c>
      <c r="G311" s="15" t="n">
        <f aca="false">VALUE(TRIM('Raw Store Exports'!E311&amp;""))</f>
        <v>3</v>
      </c>
      <c r="H311" s="18" t="n">
        <f aca="false">INDEX('Product Master'!$D$2:$D$21,MATCH(D311,'Product Master'!$A$2:$A$21,0))</f>
        <v>120</v>
      </c>
      <c r="I311" s="14" t="n">
        <f aca="false">G311*H311</f>
        <v>360</v>
      </c>
      <c r="J311" s="0" t="str">
        <f aca="false">IF(COUNTIF($A$2:A311,A311)&gt;1,"Duplicate","")</f>
        <v/>
      </c>
    </row>
    <row r="312" customFormat="false" ht="15" hidden="false" customHeight="false" outlineLevel="0" collapsed="false">
      <c r="A312" s="0" t="str">
        <f aca="false">'Raw Store Exports'!A312</f>
        <v>TXN00440</v>
      </c>
      <c r="B312" s="17" t="n">
        <f aca="false">'Raw Store Exports'!C312</f>
        <v>46052</v>
      </c>
      <c r="C312" s="0" t="str">
        <f aca="false">INDEX('Store Mapping'!$C$2:$C$19,MATCH(TRIM('Raw Store Exports'!B312),'Store Mapping'!$A$2:$A$19,0))</f>
        <v>Downtown</v>
      </c>
      <c r="D312" s="0" t="str">
        <f aca="false">'Raw Store Exports'!D312</f>
        <v>ACC-303</v>
      </c>
      <c r="E312" s="0" t="str">
        <f aca="false">INDEX('Product Master'!$B$2:$B$21,MATCH(D312,'Product Master'!$A$2:$A$21,0))</f>
        <v>Canvas Tote Bag</v>
      </c>
      <c r="F312" s="0" t="str">
        <f aca="false">INDEX('Product Master'!$C$2:$C$21,MATCH(D312,'Product Master'!$A$2:$A$21,0))</f>
        <v>Accessories</v>
      </c>
      <c r="G312" s="15" t="n">
        <f aca="false">VALUE(TRIM('Raw Store Exports'!E312&amp;""))</f>
        <v>2</v>
      </c>
      <c r="H312" s="18" t="n">
        <f aca="false">INDEX('Product Master'!$D$2:$D$21,MATCH(D312,'Product Master'!$A$2:$A$21,0))</f>
        <v>24</v>
      </c>
      <c r="I312" s="14" t="n">
        <f aca="false">G312*H312</f>
        <v>48</v>
      </c>
      <c r="J312" s="0" t="str">
        <f aca="false">IF(COUNTIF($A$2:A312,A312)&gt;1,"Duplicate","")</f>
        <v/>
      </c>
    </row>
    <row r="313" customFormat="false" ht="15" hidden="false" customHeight="false" outlineLevel="0" collapsed="false">
      <c r="A313" s="0" t="str">
        <f aca="false">'Raw Store Exports'!A313</f>
        <v>TXN00632</v>
      </c>
      <c r="B313" s="17" t="n">
        <f aca="false">'Raw Store Exports'!C313</f>
        <v>46057</v>
      </c>
      <c r="C313" s="0" t="str">
        <f aca="false">INDEX('Store Mapping'!$C$2:$C$19,MATCH(TRIM('Raw Store Exports'!B313),'Store Mapping'!$A$2:$A$19,0))</f>
        <v>Westside Mall</v>
      </c>
      <c r="D313" s="0" t="str">
        <f aca="false">'Raw Store Exports'!D313</f>
        <v>ACC-304</v>
      </c>
      <c r="E313" s="0" t="str">
        <f aca="false">INDEX('Product Master'!$B$2:$B$21,MATCH(D313,'Product Master'!$A$2:$A$21,0))</f>
        <v>Wool Beanie</v>
      </c>
      <c r="F313" s="0" t="str">
        <f aca="false">INDEX('Product Master'!$C$2:$C$21,MATCH(D313,'Product Master'!$A$2:$A$21,0))</f>
        <v>Accessories</v>
      </c>
      <c r="G313" s="15" t="n">
        <f aca="false">VALUE(TRIM('Raw Store Exports'!E313&amp;""))</f>
        <v>4</v>
      </c>
      <c r="H313" s="18" t="n">
        <f aca="false">INDEX('Product Master'!$D$2:$D$21,MATCH(D313,'Product Master'!$A$2:$A$21,0))</f>
        <v>16</v>
      </c>
      <c r="I313" s="14" t="n">
        <f aca="false">G313*H313</f>
        <v>64</v>
      </c>
      <c r="J313" s="0" t="str">
        <f aca="false">IF(COUNTIF($A$2:A313,A313)&gt;1,"Duplicate","")</f>
        <v/>
      </c>
    </row>
    <row r="314" customFormat="false" ht="15" hidden="false" customHeight="false" outlineLevel="0" collapsed="false">
      <c r="A314" s="0" t="str">
        <f aca="false">'Raw Store Exports'!A314</f>
        <v>TXN00836</v>
      </c>
      <c r="B314" s="17" t="n">
        <f aca="false">'Raw Store Exports'!C314</f>
        <v>46068</v>
      </c>
      <c r="C314" s="0" t="str">
        <f aca="false">INDEX('Store Mapping'!$C$2:$C$19,MATCH(TRIM('Raw Store Exports'!B314),'Store Mapping'!$A$2:$A$19,0))</f>
        <v>Northpark</v>
      </c>
      <c r="D314" s="0" t="str">
        <f aca="false">'Raw Store Exports'!D314</f>
        <v>ACC-303</v>
      </c>
      <c r="E314" s="0" t="str">
        <f aca="false">INDEX('Product Master'!$B$2:$B$21,MATCH(D314,'Product Master'!$A$2:$A$21,0))</f>
        <v>Canvas Tote Bag</v>
      </c>
      <c r="F314" s="0" t="str">
        <f aca="false">INDEX('Product Master'!$C$2:$C$21,MATCH(D314,'Product Master'!$A$2:$A$21,0))</f>
        <v>Accessories</v>
      </c>
      <c r="G314" s="15" t="n">
        <f aca="false">VALUE(TRIM('Raw Store Exports'!E314&amp;""))</f>
        <v>6</v>
      </c>
      <c r="H314" s="18" t="n">
        <f aca="false">INDEX('Product Master'!$D$2:$D$21,MATCH(D314,'Product Master'!$A$2:$A$21,0))</f>
        <v>24</v>
      </c>
      <c r="I314" s="14" t="n">
        <f aca="false">G314*H314</f>
        <v>144</v>
      </c>
      <c r="J314" s="0" t="str">
        <f aca="false">IF(COUNTIF($A$2:A314,A314)&gt;1,"Duplicate","")</f>
        <v/>
      </c>
    </row>
    <row r="315" customFormat="false" ht="15" hidden="false" customHeight="false" outlineLevel="0" collapsed="false">
      <c r="A315" s="0" t="str">
        <f aca="false">'Raw Store Exports'!A315</f>
        <v>TXN00080</v>
      </c>
      <c r="B315" s="17" t="n">
        <f aca="false">'Raw Store Exports'!C315</f>
        <v>46032</v>
      </c>
      <c r="C315" s="0" t="str">
        <f aca="false">INDEX('Store Mapping'!$C$2:$C$19,MATCH(TRIM('Raw Store Exports'!B315),'Store Mapping'!$A$2:$A$19,0))</f>
        <v>Northpark</v>
      </c>
      <c r="D315" s="0" t="str">
        <f aca="false">'Raw Store Exports'!D315</f>
        <v>ACC-303</v>
      </c>
      <c r="E315" s="0" t="str">
        <f aca="false">INDEX('Product Master'!$B$2:$B$21,MATCH(D315,'Product Master'!$A$2:$A$21,0))</f>
        <v>Canvas Tote Bag</v>
      </c>
      <c r="F315" s="0" t="str">
        <f aca="false">INDEX('Product Master'!$C$2:$C$21,MATCH(D315,'Product Master'!$A$2:$A$21,0))</f>
        <v>Accessories</v>
      </c>
      <c r="G315" s="15" t="n">
        <f aca="false">VALUE(TRIM('Raw Store Exports'!E315&amp;""))</f>
        <v>2</v>
      </c>
      <c r="H315" s="18" t="n">
        <f aca="false">INDEX('Product Master'!$D$2:$D$21,MATCH(D315,'Product Master'!$A$2:$A$21,0))</f>
        <v>24</v>
      </c>
      <c r="I315" s="14" t="n">
        <f aca="false">G315*H315</f>
        <v>48</v>
      </c>
      <c r="J315" s="0" t="str">
        <f aca="false">IF(COUNTIF($A$2:A315,A315)&gt;1,"Duplicate","")</f>
        <v/>
      </c>
    </row>
    <row r="316" customFormat="false" ht="15" hidden="false" customHeight="false" outlineLevel="0" collapsed="false">
      <c r="A316" s="0" t="str">
        <f aca="false">'Raw Store Exports'!A316</f>
        <v>TXN00456</v>
      </c>
      <c r="B316" s="17" t="n">
        <f aca="false">'Raw Store Exports'!C316</f>
        <v>46053</v>
      </c>
      <c r="C316" s="0" t="str">
        <f aca="false">INDEX('Store Mapping'!$C$2:$C$19,MATCH(TRIM('Raw Store Exports'!B316),'Store Mapping'!$A$2:$A$19,0))</f>
        <v>Downtown</v>
      </c>
      <c r="D316" s="0" t="str">
        <f aca="false">'Raw Store Exports'!D316</f>
        <v>ACC-303</v>
      </c>
      <c r="E316" s="0" t="str">
        <f aca="false">INDEX('Product Master'!$B$2:$B$21,MATCH(D316,'Product Master'!$A$2:$A$21,0))</f>
        <v>Canvas Tote Bag</v>
      </c>
      <c r="F316" s="0" t="str">
        <f aca="false">INDEX('Product Master'!$C$2:$C$21,MATCH(D316,'Product Master'!$A$2:$A$21,0))</f>
        <v>Accessories</v>
      </c>
      <c r="G316" s="15" t="n">
        <f aca="false">VALUE(TRIM('Raw Store Exports'!E316&amp;""))</f>
        <v>2</v>
      </c>
      <c r="H316" s="18" t="n">
        <f aca="false">INDEX('Product Master'!$D$2:$D$21,MATCH(D316,'Product Master'!$A$2:$A$21,0))</f>
        <v>24</v>
      </c>
      <c r="I316" s="14" t="n">
        <f aca="false">G316*H316</f>
        <v>48</v>
      </c>
      <c r="J316" s="0" t="str">
        <f aca="false">IF(COUNTIF($A$2:A316,A316)&gt;1,"Duplicate","")</f>
        <v/>
      </c>
    </row>
    <row r="317" customFormat="false" ht="15" hidden="false" customHeight="false" outlineLevel="0" collapsed="false">
      <c r="A317" s="0" t="str">
        <f aca="false">'Raw Store Exports'!A317</f>
        <v>TXN00259</v>
      </c>
      <c r="B317" s="17" t="n">
        <f aca="false">'Raw Store Exports'!C317</f>
        <v>46038</v>
      </c>
      <c r="C317" s="0" t="str">
        <f aca="false">INDEX('Store Mapping'!$C$2:$C$19,MATCH(TRIM('Raw Store Exports'!B317),'Store Mapping'!$A$2:$A$19,0))</f>
        <v>Airport Plaza</v>
      </c>
      <c r="D317" s="0" t="str">
        <f aca="false">'Raw Store Exports'!D317</f>
        <v>ACC-301</v>
      </c>
      <c r="E317" s="0" t="str">
        <f aca="false">INDEX('Product Master'!$B$2:$B$21,MATCH(D317,'Product Master'!$A$2:$A$21,0))</f>
        <v>Leather Belt</v>
      </c>
      <c r="F317" s="0" t="str">
        <f aca="false">INDEX('Product Master'!$C$2:$C$21,MATCH(D317,'Product Master'!$A$2:$A$21,0))</f>
        <v>Accessories</v>
      </c>
      <c r="G317" s="15" t="n">
        <f aca="false">VALUE(TRIM('Raw Store Exports'!E317&amp;""))</f>
        <v>2</v>
      </c>
      <c r="H317" s="18" t="n">
        <f aca="false">INDEX('Product Master'!$D$2:$D$21,MATCH(D317,'Product Master'!$A$2:$A$21,0))</f>
        <v>30</v>
      </c>
      <c r="I317" s="14" t="n">
        <f aca="false">G317*H317</f>
        <v>60</v>
      </c>
      <c r="J317" s="0" t="str">
        <f aca="false">IF(COUNTIF($A$2:A317,A317)&gt;1,"Duplicate","")</f>
        <v/>
      </c>
    </row>
    <row r="318" customFormat="false" ht="15" hidden="false" customHeight="false" outlineLevel="0" collapsed="false">
      <c r="A318" s="0" t="str">
        <f aca="false">'Raw Store Exports'!A318</f>
        <v>TXN01100</v>
      </c>
      <c r="B318" s="17" t="n">
        <f aca="false">'Raw Store Exports'!C318</f>
        <v>46078</v>
      </c>
      <c r="C318" s="0" t="str">
        <f aca="false">INDEX('Store Mapping'!$C$2:$C$19,MATCH(TRIM('Raw Store Exports'!B318),'Store Mapping'!$A$2:$A$19,0))</f>
        <v>Westside Mall</v>
      </c>
      <c r="D318" s="0" t="str">
        <f aca="false">'Raw Store Exports'!D318</f>
        <v>FTW-202</v>
      </c>
      <c r="E318" s="0" t="str">
        <f aca="false">INDEX('Product Master'!$B$2:$B$21,MATCH(D318,'Product Master'!$A$2:$A$21,0))</f>
        <v>Canvas Low-Top</v>
      </c>
      <c r="F318" s="0" t="str">
        <f aca="false">INDEX('Product Master'!$C$2:$C$21,MATCH(D318,'Product Master'!$A$2:$A$21,0))</f>
        <v>Footwear</v>
      </c>
      <c r="G318" s="15" t="n">
        <f aca="false">VALUE(TRIM('Raw Store Exports'!E318&amp;""))</f>
        <v>4</v>
      </c>
      <c r="H318" s="18" t="n">
        <f aca="false">INDEX('Product Master'!$D$2:$D$21,MATCH(D318,'Product Master'!$A$2:$A$21,0))</f>
        <v>55</v>
      </c>
      <c r="I318" s="14" t="n">
        <f aca="false">G318*H318</f>
        <v>220</v>
      </c>
      <c r="J318" s="0" t="str">
        <f aca="false">IF(COUNTIF($A$2:A318,A318)&gt;1,"Duplicate","")</f>
        <v/>
      </c>
    </row>
    <row r="319" customFormat="false" ht="15" hidden="false" customHeight="false" outlineLevel="0" collapsed="false">
      <c r="A319" s="0" t="str">
        <f aca="false">'Raw Store Exports'!A319</f>
        <v>TXN00178</v>
      </c>
      <c r="B319" s="17" t="n">
        <f aca="false">'Raw Store Exports'!C319</f>
        <v>46039</v>
      </c>
      <c r="C319" s="0" t="str">
        <f aca="false">INDEX('Store Mapping'!$C$2:$C$19,MATCH(TRIM('Raw Store Exports'!B319),'Store Mapping'!$A$2:$A$19,0))</f>
        <v>Eastgate</v>
      </c>
      <c r="D319" s="0" t="str">
        <f aca="false">'Raw Store Exports'!D319</f>
        <v>APP-104</v>
      </c>
      <c r="E319" s="0" t="str">
        <f aca="false">INDEX('Product Master'!$B$2:$B$21,MATCH(D319,'Product Master'!$A$2:$A$21,0))</f>
        <v>Slim Fit Chinos</v>
      </c>
      <c r="F319" s="0" t="str">
        <f aca="false">INDEX('Product Master'!$C$2:$C$21,MATCH(D319,'Product Master'!$A$2:$A$21,0))</f>
        <v>Apparel</v>
      </c>
      <c r="G319" s="15" t="n">
        <f aca="false">VALUE(TRIM('Raw Store Exports'!E319&amp;""))</f>
        <v>2</v>
      </c>
      <c r="H319" s="18" t="n">
        <f aca="false">INDEX('Product Master'!$D$2:$D$21,MATCH(D319,'Product Master'!$A$2:$A$21,0))</f>
        <v>52</v>
      </c>
      <c r="I319" s="14" t="n">
        <f aca="false">G319*H319</f>
        <v>104</v>
      </c>
      <c r="J319" s="0" t="str">
        <f aca="false">IF(COUNTIF($A$2:A319,A319)&gt;1,"Duplicate","")</f>
        <v/>
      </c>
    </row>
    <row r="320" customFormat="false" ht="15" hidden="false" customHeight="false" outlineLevel="0" collapsed="false">
      <c r="A320" s="0" t="str">
        <f aca="false">'Raw Store Exports'!A320</f>
        <v>TXN00753</v>
      </c>
      <c r="B320" s="17" t="n">
        <f aca="false">'Raw Store Exports'!C320</f>
        <v>46066</v>
      </c>
      <c r="C320" s="0" t="str">
        <f aca="false">INDEX('Store Mapping'!$C$2:$C$19,MATCH(TRIM('Raw Store Exports'!B320),'Store Mapping'!$A$2:$A$19,0))</f>
        <v>Downtown</v>
      </c>
      <c r="D320" s="0" t="str">
        <f aca="false">'Raw Store Exports'!D320</f>
        <v>APP-102</v>
      </c>
      <c r="E320" s="0" t="str">
        <f aca="false">INDEX('Product Master'!$B$2:$B$21,MATCH(D320,'Product Master'!$A$2:$A$21,0))</f>
        <v>Cotton Crew T-Shirt</v>
      </c>
      <c r="F320" s="0" t="str">
        <f aca="false">INDEX('Product Master'!$C$2:$C$21,MATCH(D320,'Product Master'!$A$2:$A$21,0))</f>
        <v>Apparel</v>
      </c>
      <c r="G320" s="15" t="n">
        <f aca="false">VALUE(TRIM('Raw Store Exports'!E320&amp;""))</f>
        <v>6</v>
      </c>
      <c r="H320" s="18" t="n">
        <f aca="false">INDEX('Product Master'!$D$2:$D$21,MATCH(D320,'Product Master'!$A$2:$A$21,0))</f>
        <v>18</v>
      </c>
      <c r="I320" s="14" t="n">
        <f aca="false">G320*H320</f>
        <v>108</v>
      </c>
      <c r="J320" s="0" t="str">
        <f aca="false">IF(COUNTIF($A$2:A320,A320)&gt;1,"Duplicate","")</f>
        <v/>
      </c>
    </row>
    <row r="321" customFormat="false" ht="15" hidden="false" customHeight="false" outlineLevel="0" collapsed="false">
      <c r="A321" s="0" t="str">
        <f aca="false">'Raw Store Exports'!A321</f>
        <v>TXN00523</v>
      </c>
      <c r="B321" s="17" t="n">
        <f aca="false">'Raw Store Exports'!C321</f>
        <v>46049</v>
      </c>
      <c r="C321" s="0" t="str">
        <f aca="false">INDEX('Store Mapping'!$C$2:$C$19,MATCH(TRIM('Raw Store Exports'!B321),'Store Mapping'!$A$2:$A$19,0))</f>
        <v>Northpark</v>
      </c>
      <c r="D321" s="0" t="str">
        <f aca="false">'Raw Store Exports'!D321</f>
        <v>HOM-502</v>
      </c>
      <c r="E321" s="0" t="str">
        <f aca="false">INDEX('Product Master'!$B$2:$B$21,MATCH(D321,'Product Master'!$A$2:$A$21,0))</f>
        <v>Scented Candle</v>
      </c>
      <c r="F321" s="0" t="str">
        <f aca="false">INDEX('Product Master'!$C$2:$C$21,MATCH(D321,'Product Master'!$A$2:$A$21,0))</f>
        <v>Home Goods</v>
      </c>
      <c r="G321" s="15" t="n">
        <f aca="false">VALUE(TRIM('Raw Store Exports'!E321&amp;""))</f>
        <v>5</v>
      </c>
      <c r="H321" s="18" t="n">
        <f aca="false">INDEX('Product Master'!$D$2:$D$21,MATCH(D321,'Product Master'!$A$2:$A$21,0))</f>
        <v>15</v>
      </c>
      <c r="I321" s="14" t="n">
        <f aca="false">G321*H321</f>
        <v>75</v>
      </c>
      <c r="J321" s="0" t="str">
        <f aca="false">IF(COUNTIF($A$2:A321,A321)&gt;1,"Duplicate","")</f>
        <v/>
      </c>
    </row>
    <row r="322" customFormat="false" ht="15" hidden="false" customHeight="false" outlineLevel="0" collapsed="false">
      <c r="A322" s="0" t="str">
        <f aca="false">'Raw Store Exports'!A322</f>
        <v>TXN00734</v>
      </c>
      <c r="B322" s="17" t="n">
        <f aca="false">'Raw Store Exports'!C322</f>
        <v>46057</v>
      </c>
      <c r="C322" s="0" t="str">
        <f aca="false">INDEX('Store Mapping'!$C$2:$C$19,MATCH(TRIM('Raw Store Exports'!B322),'Store Mapping'!$A$2:$A$19,0))</f>
        <v>Airport Plaza</v>
      </c>
      <c r="D322" s="0" t="str">
        <f aca="false">'Raw Store Exports'!D322</f>
        <v>ELE-404</v>
      </c>
      <c r="E322" s="0" t="str">
        <f aca="false">INDEX('Product Master'!$B$2:$B$21,MATCH(D322,'Product Master'!$A$2:$A$21,0))</f>
        <v>Phone Charging Cable</v>
      </c>
      <c r="F322" s="0" t="str">
        <f aca="false">INDEX('Product Master'!$C$2:$C$21,MATCH(D322,'Product Master'!$A$2:$A$21,0))</f>
        <v>Electronics</v>
      </c>
      <c r="G322" s="15" t="n">
        <f aca="false">VALUE(TRIM('Raw Store Exports'!E322&amp;""))</f>
        <v>1</v>
      </c>
      <c r="H322" s="18" t="n">
        <f aca="false">INDEX('Product Master'!$D$2:$D$21,MATCH(D322,'Product Master'!$A$2:$A$21,0))</f>
        <v>12</v>
      </c>
      <c r="I322" s="14" t="n">
        <f aca="false">G322*H322</f>
        <v>12</v>
      </c>
      <c r="J322" s="0" t="str">
        <f aca="false">IF(COUNTIF($A$2:A322,A322)&gt;1,"Duplicate","")</f>
        <v/>
      </c>
    </row>
    <row r="323" customFormat="false" ht="15" hidden="false" customHeight="false" outlineLevel="0" collapsed="false">
      <c r="A323" s="0" t="str">
        <f aca="false">'Raw Store Exports'!A323</f>
        <v>TXN00881</v>
      </c>
      <c r="B323" s="17" t="n">
        <f aca="false">'Raw Store Exports'!C323</f>
        <v>46066</v>
      </c>
      <c r="C323" s="0" t="str">
        <f aca="false">INDEX('Store Mapping'!$C$2:$C$19,MATCH(TRIM('Raw Store Exports'!B323),'Store Mapping'!$A$2:$A$19,0))</f>
        <v>Airport Plaza</v>
      </c>
      <c r="D323" s="0" t="str">
        <f aca="false">'Raw Store Exports'!D323</f>
        <v>ACC-302</v>
      </c>
      <c r="E323" s="0" t="str">
        <f aca="false">INDEX('Product Master'!$B$2:$B$21,MATCH(D323,'Product Master'!$A$2:$A$21,0))</f>
        <v>Aviator Sunglasses</v>
      </c>
      <c r="F323" s="0" t="str">
        <f aca="false">INDEX('Product Master'!$C$2:$C$21,MATCH(D323,'Product Master'!$A$2:$A$21,0))</f>
        <v>Accessories</v>
      </c>
      <c r="G323" s="15" t="n">
        <f aca="false">VALUE(TRIM('Raw Store Exports'!E323&amp;""))</f>
        <v>3</v>
      </c>
      <c r="H323" s="18" t="n">
        <f aca="false">INDEX('Product Master'!$D$2:$D$21,MATCH(D323,'Product Master'!$A$2:$A$21,0))</f>
        <v>42</v>
      </c>
      <c r="I323" s="14" t="n">
        <f aca="false">G323*H323</f>
        <v>126</v>
      </c>
      <c r="J323" s="0" t="str">
        <f aca="false">IF(COUNTIF($A$2:A323,A323)&gt;1,"Duplicate","")</f>
        <v/>
      </c>
    </row>
    <row r="324" customFormat="false" ht="15" hidden="false" customHeight="false" outlineLevel="0" collapsed="false">
      <c r="A324" s="0" t="str">
        <f aca="false">'Raw Store Exports'!A324</f>
        <v>TXN00324</v>
      </c>
      <c r="B324" s="17" t="n">
        <f aca="false">'Raw Store Exports'!C324</f>
        <v>46041</v>
      </c>
      <c r="C324" s="0" t="str">
        <f aca="false">INDEX('Store Mapping'!$C$2:$C$19,MATCH(TRIM('Raw Store Exports'!B324),'Store Mapping'!$A$2:$A$19,0))</f>
        <v>Eastgate</v>
      </c>
      <c r="D324" s="0" t="str">
        <f aca="false">'Raw Store Exports'!D324</f>
        <v>ELE-402</v>
      </c>
      <c r="E324" s="0" t="str">
        <f aca="false">INDEX('Product Master'!$B$2:$B$21,MATCH(D324,'Product Master'!$A$2:$A$21,0))</f>
        <v>Bluetooth Speaker</v>
      </c>
      <c r="F324" s="0" t="str">
        <f aca="false">INDEX('Product Master'!$C$2:$C$21,MATCH(D324,'Product Master'!$A$2:$A$21,0))</f>
        <v>Electronics</v>
      </c>
      <c r="G324" s="15" t="n">
        <f aca="false">VALUE(TRIM('Raw Store Exports'!E324&amp;""))</f>
        <v>2</v>
      </c>
      <c r="H324" s="18" t="n">
        <f aca="false">INDEX('Product Master'!$D$2:$D$21,MATCH(D324,'Product Master'!$A$2:$A$21,0))</f>
        <v>59</v>
      </c>
      <c r="I324" s="14" t="n">
        <f aca="false">G324*H324</f>
        <v>118</v>
      </c>
      <c r="J324" s="0" t="str">
        <f aca="false">IF(COUNTIF($A$2:A324,A324)&gt;1,"Duplicate","")</f>
        <v/>
      </c>
    </row>
    <row r="325" customFormat="false" ht="15" hidden="false" customHeight="false" outlineLevel="0" collapsed="false">
      <c r="A325" s="0" t="str">
        <f aca="false">'Raw Store Exports'!A325</f>
        <v>TXN01090</v>
      </c>
      <c r="B325" s="17" t="n">
        <f aca="false">'Raw Store Exports'!C325</f>
        <v>46076</v>
      </c>
      <c r="C325" s="0" t="str">
        <f aca="false">INDEX('Store Mapping'!$C$2:$C$19,MATCH(TRIM('Raw Store Exports'!B325),'Store Mapping'!$A$2:$A$19,0))</f>
        <v>Westside Mall</v>
      </c>
      <c r="D325" s="0" t="str">
        <f aca="false">'Raw Store Exports'!D325</f>
        <v>FTW-203</v>
      </c>
      <c r="E325" s="0" t="str">
        <f aca="false">INDEX('Product Master'!$B$2:$B$21,MATCH(D325,'Product Master'!$A$2:$A$21,0))</f>
        <v>Leather Ankle Boot</v>
      </c>
      <c r="F325" s="0" t="str">
        <f aca="false">INDEX('Product Master'!$C$2:$C$21,MATCH(D325,'Product Master'!$A$2:$A$21,0))</f>
        <v>Footwear</v>
      </c>
      <c r="G325" s="15" t="n">
        <f aca="false">VALUE(TRIM('Raw Store Exports'!E325&amp;""))</f>
        <v>5</v>
      </c>
      <c r="H325" s="18" t="n">
        <f aca="false">INDEX('Product Master'!$D$2:$D$21,MATCH(D325,'Product Master'!$A$2:$A$21,0))</f>
        <v>120</v>
      </c>
      <c r="I325" s="14" t="n">
        <f aca="false">G325*H325</f>
        <v>600</v>
      </c>
      <c r="J325" s="0" t="str">
        <f aca="false">IF(COUNTIF($A$2:A325,A325)&gt;1,"Duplicate","")</f>
        <v/>
      </c>
    </row>
    <row r="326" customFormat="false" ht="15" hidden="false" customHeight="false" outlineLevel="0" collapsed="false">
      <c r="A326" s="0" t="str">
        <f aca="false">'Raw Store Exports'!A326</f>
        <v>TXN01099</v>
      </c>
      <c r="B326" s="17" t="n">
        <f aca="false">'Raw Store Exports'!C326</f>
        <v>46082</v>
      </c>
      <c r="C326" s="0" t="str">
        <f aca="false">INDEX('Store Mapping'!$C$2:$C$19,MATCH(TRIM('Raw Store Exports'!B326),'Store Mapping'!$A$2:$A$19,0))</f>
        <v>Westside Mall</v>
      </c>
      <c r="D326" s="0" t="str">
        <f aca="false">'Raw Store Exports'!D326</f>
        <v>ELE-402</v>
      </c>
      <c r="E326" s="0" t="str">
        <f aca="false">INDEX('Product Master'!$B$2:$B$21,MATCH(D326,'Product Master'!$A$2:$A$21,0))</f>
        <v>Bluetooth Speaker</v>
      </c>
      <c r="F326" s="0" t="str">
        <f aca="false">INDEX('Product Master'!$C$2:$C$21,MATCH(D326,'Product Master'!$A$2:$A$21,0))</f>
        <v>Electronics</v>
      </c>
      <c r="G326" s="15" t="n">
        <f aca="false">VALUE(TRIM('Raw Store Exports'!E326&amp;""))</f>
        <v>6</v>
      </c>
      <c r="H326" s="18" t="n">
        <f aca="false">INDEX('Product Master'!$D$2:$D$21,MATCH(D326,'Product Master'!$A$2:$A$21,0))</f>
        <v>59</v>
      </c>
      <c r="I326" s="14" t="n">
        <f aca="false">G326*H326</f>
        <v>354</v>
      </c>
      <c r="J326" s="0" t="str">
        <f aca="false">IF(COUNTIF($A$2:A326,A326)&gt;1,"Duplicate","")</f>
        <v/>
      </c>
    </row>
    <row r="327" customFormat="false" ht="15" hidden="false" customHeight="false" outlineLevel="0" collapsed="false">
      <c r="A327" s="0" t="str">
        <f aca="false">'Raw Store Exports'!A327</f>
        <v>TXN00477</v>
      </c>
      <c r="B327" s="17" t="n">
        <f aca="false">'Raw Store Exports'!C327</f>
        <v>46052</v>
      </c>
      <c r="C327" s="0" t="str">
        <f aca="false">INDEX('Store Mapping'!$C$2:$C$19,MATCH(TRIM('Raw Store Exports'!B327),'Store Mapping'!$A$2:$A$19,0))</f>
        <v>Westside Mall</v>
      </c>
      <c r="D327" s="0" t="str">
        <f aca="false">'Raw Store Exports'!D327</f>
        <v>FTW-203</v>
      </c>
      <c r="E327" s="0" t="str">
        <f aca="false">INDEX('Product Master'!$B$2:$B$21,MATCH(D327,'Product Master'!$A$2:$A$21,0))</f>
        <v>Leather Ankle Boot</v>
      </c>
      <c r="F327" s="0" t="str">
        <f aca="false">INDEX('Product Master'!$C$2:$C$21,MATCH(D327,'Product Master'!$A$2:$A$21,0))</f>
        <v>Footwear</v>
      </c>
      <c r="G327" s="15" t="n">
        <f aca="false">VALUE(TRIM('Raw Store Exports'!E327&amp;""))</f>
        <v>5</v>
      </c>
      <c r="H327" s="18" t="n">
        <f aca="false">INDEX('Product Master'!$D$2:$D$21,MATCH(D327,'Product Master'!$A$2:$A$21,0))</f>
        <v>120</v>
      </c>
      <c r="I327" s="14" t="n">
        <f aca="false">G327*H327</f>
        <v>600</v>
      </c>
      <c r="J327" s="0" t="str">
        <f aca="false">IF(COUNTIF($A$2:A327,A327)&gt;1,"Duplicate","")</f>
        <v/>
      </c>
    </row>
    <row r="328" customFormat="false" ht="15" hidden="false" customHeight="false" outlineLevel="0" collapsed="false">
      <c r="A328" s="0" t="str">
        <f aca="false">'Raw Store Exports'!A328</f>
        <v>TXN00243</v>
      </c>
      <c r="B328" s="17" t="n">
        <f aca="false">'Raw Store Exports'!C328</f>
        <v>46036</v>
      </c>
      <c r="C328" s="0" t="str">
        <f aca="false">INDEX('Store Mapping'!$C$2:$C$19,MATCH(TRIM('Raw Store Exports'!B328),'Store Mapping'!$A$2:$A$19,0))</f>
        <v>Riverside</v>
      </c>
      <c r="D328" s="0" t="str">
        <f aca="false">'Raw Store Exports'!D328</f>
        <v>APP-102</v>
      </c>
      <c r="E328" s="0" t="str">
        <f aca="false">INDEX('Product Master'!$B$2:$B$21,MATCH(D328,'Product Master'!$A$2:$A$21,0))</f>
        <v>Cotton Crew T-Shirt</v>
      </c>
      <c r="F328" s="0" t="str">
        <f aca="false">INDEX('Product Master'!$C$2:$C$21,MATCH(D328,'Product Master'!$A$2:$A$21,0))</f>
        <v>Apparel</v>
      </c>
      <c r="G328" s="15" t="n">
        <f aca="false">VALUE(TRIM('Raw Store Exports'!E328&amp;""))</f>
        <v>2</v>
      </c>
      <c r="H328" s="18" t="n">
        <f aca="false">INDEX('Product Master'!$D$2:$D$21,MATCH(D328,'Product Master'!$A$2:$A$21,0))</f>
        <v>18</v>
      </c>
      <c r="I328" s="14" t="n">
        <f aca="false">G328*H328</f>
        <v>36</v>
      </c>
      <c r="J328" s="0" t="str">
        <f aca="false">IF(COUNTIF($A$2:A328,A328)&gt;1,"Duplicate","")</f>
        <v/>
      </c>
    </row>
    <row r="329" customFormat="false" ht="15" hidden="false" customHeight="false" outlineLevel="0" collapsed="false">
      <c r="A329" s="0" t="str">
        <f aca="false">'Raw Store Exports'!A329</f>
        <v>TXN01005</v>
      </c>
      <c r="B329" s="17" t="n">
        <f aca="false">'Raw Store Exports'!C329</f>
        <v>46072</v>
      </c>
      <c r="C329" s="0" t="str">
        <f aca="false">INDEX('Store Mapping'!$C$2:$C$19,MATCH(TRIM('Raw Store Exports'!B329),'Store Mapping'!$A$2:$A$19,0))</f>
        <v>Riverside</v>
      </c>
      <c r="D329" s="0" t="str">
        <f aca="false">'Raw Store Exports'!D329</f>
        <v>APP-102</v>
      </c>
      <c r="E329" s="0" t="str">
        <f aca="false">INDEX('Product Master'!$B$2:$B$21,MATCH(D329,'Product Master'!$A$2:$A$21,0))</f>
        <v>Cotton Crew T-Shirt</v>
      </c>
      <c r="F329" s="0" t="str">
        <f aca="false">INDEX('Product Master'!$C$2:$C$21,MATCH(D329,'Product Master'!$A$2:$A$21,0))</f>
        <v>Apparel</v>
      </c>
      <c r="G329" s="15" t="n">
        <f aca="false">VALUE(TRIM('Raw Store Exports'!E329&amp;""))</f>
        <v>4</v>
      </c>
      <c r="H329" s="18" t="n">
        <f aca="false">INDEX('Product Master'!$D$2:$D$21,MATCH(D329,'Product Master'!$A$2:$A$21,0))</f>
        <v>18</v>
      </c>
      <c r="I329" s="14" t="n">
        <f aca="false">G329*H329</f>
        <v>72</v>
      </c>
      <c r="J329" s="0" t="str">
        <f aca="false">IF(COUNTIF($A$2:A329,A329)&gt;1,"Duplicate","")</f>
        <v/>
      </c>
    </row>
    <row r="330" customFormat="false" ht="15" hidden="false" customHeight="false" outlineLevel="0" collapsed="false">
      <c r="A330" s="0" t="str">
        <f aca="false">'Raw Store Exports'!A330</f>
        <v>TXN00143</v>
      </c>
      <c r="B330" s="17" t="n">
        <f aca="false">'Raw Store Exports'!C330</f>
        <v>46037</v>
      </c>
      <c r="C330" s="0" t="str">
        <f aca="false">INDEX('Store Mapping'!$C$2:$C$19,MATCH(TRIM('Raw Store Exports'!B330),'Store Mapping'!$A$2:$A$19,0))</f>
        <v>Downtown</v>
      </c>
      <c r="D330" s="0" t="str">
        <f aca="false">'Raw Store Exports'!D330</f>
        <v>ELE-402</v>
      </c>
      <c r="E330" s="0" t="str">
        <f aca="false">INDEX('Product Master'!$B$2:$B$21,MATCH(D330,'Product Master'!$A$2:$A$21,0))</f>
        <v>Bluetooth Speaker</v>
      </c>
      <c r="F330" s="0" t="str">
        <f aca="false">INDEX('Product Master'!$C$2:$C$21,MATCH(D330,'Product Master'!$A$2:$A$21,0))</f>
        <v>Electronics</v>
      </c>
      <c r="G330" s="15" t="n">
        <f aca="false">VALUE(TRIM('Raw Store Exports'!E330&amp;""))</f>
        <v>6</v>
      </c>
      <c r="H330" s="18" t="n">
        <f aca="false">INDEX('Product Master'!$D$2:$D$21,MATCH(D330,'Product Master'!$A$2:$A$21,0))</f>
        <v>59</v>
      </c>
      <c r="I330" s="14" t="n">
        <f aca="false">G330*H330</f>
        <v>354</v>
      </c>
      <c r="J330" s="0" t="str">
        <f aca="false">IF(COUNTIF($A$2:A330,A330)&gt;1,"Duplicate","")</f>
        <v/>
      </c>
    </row>
    <row r="331" customFormat="false" ht="15" hidden="false" customHeight="false" outlineLevel="0" collapsed="false">
      <c r="A331" s="0" t="str">
        <f aca="false">'Raw Store Exports'!A331</f>
        <v>TXN00625</v>
      </c>
      <c r="B331" s="17" t="n">
        <f aca="false">'Raw Store Exports'!C331</f>
        <v>46055</v>
      </c>
      <c r="C331" s="0" t="str">
        <f aca="false">INDEX('Store Mapping'!$C$2:$C$19,MATCH(TRIM('Raw Store Exports'!B331),'Store Mapping'!$A$2:$A$19,0))</f>
        <v>Westside Mall</v>
      </c>
      <c r="D331" s="0" t="str">
        <f aca="false">'Raw Store Exports'!D331</f>
        <v>HOM-503</v>
      </c>
      <c r="E331" s="0" t="str">
        <f aca="false">INDEX('Product Master'!$B$2:$B$21,MATCH(D331,'Product Master'!$A$2:$A$21,0))</f>
        <v>Cotton Throw Blanket</v>
      </c>
      <c r="F331" s="0" t="str">
        <f aca="false">INDEX('Product Master'!$C$2:$C$21,MATCH(D331,'Product Master'!$A$2:$A$21,0))</f>
        <v>Home Goods</v>
      </c>
      <c r="G331" s="15" t="n">
        <f aca="false">VALUE(TRIM('Raw Store Exports'!E331&amp;""))</f>
        <v>2</v>
      </c>
      <c r="H331" s="18" t="n">
        <f aca="false">INDEX('Product Master'!$D$2:$D$21,MATCH(D331,'Product Master'!$A$2:$A$21,0))</f>
        <v>38</v>
      </c>
      <c r="I331" s="14" t="n">
        <f aca="false">G331*H331</f>
        <v>76</v>
      </c>
      <c r="J331" s="0" t="str">
        <f aca="false">IF(COUNTIF($A$2:A331,A331)&gt;1,"Duplicate","")</f>
        <v/>
      </c>
    </row>
    <row r="332" customFormat="false" ht="15" hidden="false" customHeight="false" outlineLevel="0" collapsed="false">
      <c r="A332" s="0" t="str">
        <f aca="false">'Raw Store Exports'!A332</f>
        <v>TXN00981</v>
      </c>
      <c r="B332" s="17" t="n">
        <f aca="false">'Raw Store Exports'!C332</f>
        <v>46069</v>
      </c>
      <c r="C332" s="0" t="str">
        <f aca="false">INDEX('Store Mapping'!$C$2:$C$19,MATCH(TRIM('Raw Store Exports'!B332),'Store Mapping'!$A$2:$A$19,0))</f>
        <v>Northpark</v>
      </c>
      <c r="D332" s="0" t="str">
        <f aca="false">'Raw Store Exports'!D332</f>
        <v>APP-101</v>
      </c>
      <c r="E332" s="0" t="str">
        <f aca="false">INDEX('Product Master'!$B$2:$B$21,MATCH(D332,'Product Master'!$A$2:$A$21,0))</f>
        <v>Classic Denim Jacket</v>
      </c>
      <c r="F332" s="0" t="str">
        <f aca="false">INDEX('Product Master'!$C$2:$C$21,MATCH(D332,'Product Master'!$A$2:$A$21,0))</f>
        <v>Apparel</v>
      </c>
      <c r="G332" s="15" t="n">
        <f aca="false">VALUE(TRIM('Raw Store Exports'!E332&amp;""))</f>
        <v>6</v>
      </c>
      <c r="H332" s="18" t="n">
        <f aca="false">INDEX('Product Master'!$D$2:$D$21,MATCH(D332,'Product Master'!$A$2:$A$21,0))</f>
        <v>68</v>
      </c>
      <c r="I332" s="14" t="n">
        <f aca="false">G332*H332</f>
        <v>408</v>
      </c>
      <c r="J332" s="0" t="str">
        <f aca="false">IF(COUNTIF($A$2:A332,A332)&gt;1,"Duplicate","")</f>
        <v>Duplicate</v>
      </c>
    </row>
    <row r="333" customFormat="false" ht="15" hidden="false" customHeight="false" outlineLevel="0" collapsed="false">
      <c r="A333" s="0" t="str">
        <f aca="false">'Raw Store Exports'!A333</f>
        <v>TXN01144</v>
      </c>
      <c r="B333" s="17" t="n">
        <f aca="false">'Raw Store Exports'!C333</f>
        <v>46082</v>
      </c>
      <c r="C333" s="0" t="str">
        <f aca="false">INDEX('Store Mapping'!$C$2:$C$19,MATCH(TRIM('Raw Store Exports'!B333),'Store Mapping'!$A$2:$A$19,0))</f>
        <v>Northpark</v>
      </c>
      <c r="D333" s="0" t="str">
        <f aca="false">'Raw Store Exports'!D333</f>
        <v>APP-103</v>
      </c>
      <c r="E333" s="0" t="str">
        <f aca="false">INDEX('Product Master'!$B$2:$B$21,MATCH(D333,'Product Master'!$A$2:$A$21,0))</f>
        <v>Fleece Pullover Hoodie</v>
      </c>
      <c r="F333" s="0" t="str">
        <f aca="false">INDEX('Product Master'!$C$2:$C$21,MATCH(D333,'Product Master'!$A$2:$A$21,0))</f>
        <v>Apparel</v>
      </c>
      <c r="G333" s="15" t="n">
        <f aca="false">VALUE(TRIM('Raw Store Exports'!E333&amp;""))</f>
        <v>3</v>
      </c>
      <c r="H333" s="18" t="n">
        <f aca="false">INDEX('Product Master'!$D$2:$D$21,MATCH(D333,'Product Master'!$A$2:$A$21,0))</f>
        <v>45</v>
      </c>
      <c r="I333" s="14" t="n">
        <f aca="false">G333*H333</f>
        <v>135</v>
      </c>
      <c r="J333" s="0" t="str">
        <f aca="false">IF(COUNTIF($A$2:A333,A333)&gt;1,"Duplicate","")</f>
        <v/>
      </c>
    </row>
    <row r="334" customFormat="false" ht="15" hidden="false" customHeight="false" outlineLevel="0" collapsed="false">
      <c r="A334" s="0" t="str">
        <f aca="false">'Raw Store Exports'!A334</f>
        <v>TXN01167</v>
      </c>
      <c r="B334" s="17" t="n">
        <f aca="false">'Raw Store Exports'!C334</f>
        <v>46077</v>
      </c>
      <c r="C334" s="0" t="str">
        <f aca="false">INDEX('Store Mapping'!$C$2:$C$19,MATCH(TRIM('Raw Store Exports'!B334),'Store Mapping'!$A$2:$A$19,0))</f>
        <v>Riverside</v>
      </c>
      <c r="D334" s="0" t="str">
        <f aca="false">'Raw Store Exports'!D334</f>
        <v>FTW-203</v>
      </c>
      <c r="E334" s="0" t="str">
        <f aca="false">INDEX('Product Master'!$B$2:$B$21,MATCH(D334,'Product Master'!$A$2:$A$21,0))</f>
        <v>Leather Ankle Boot</v>
      </c>
      <c r="F334" s="0" t="str">
        <f aca="false">INDEX('Product Master'!$C$2:$C$21,MATCH(D334,'Product Master'!$A$2:$A$21,0))</f>
        <v>Footwear</v>
      </c>
      <c r="G334" s="15" t="n">
        <f aca="false">VALUE(TRIM('Raw Store Exports'!E334&amp;""))</f>
        <v>4</v>
      </c>
      <c r="H334" s="18" t="n">
        <f aca="false">INDEX('Product Master'!$D$2:$D$21,MATCH(D334,'Product Master'!$A$2:$A$21,0))</f>
        <v>120</v>
      </c>
      <c r="I334" s="14" t="n">
        <f aca="false">G334*H334</f>
        <v>480</v>
      </c>
      <c r="J334" s="0" t="str">
        <f aca="false">IF(COUNTIF($A$2:A334,A334)&gt;1,"Duplicate","")</f>
        <v/>
      </c>
    </row>
    <row r="335" customFormat="false" ht="15" hidden="false" customHeight="false" outlineLevel="0" collapsed="false">
      <c r="A335" s="0" t="str">
        <f aca="false">'Raw Store Exports'!A335</f>
        <v>TXN00779</v>
      </c>
      <c r="B335" s="17" t="n">
        <f aca="false">'Raw Store Exports'!C335</f>
        <v>46063</v>
      </c>
      <c r="C335" s="0" t="str">
        <f aca="false">INDEX('Store Mapping'!$C$2:$C$19,MATCH(TRIM('Raw Store Exports'!B335),'Store Mapping'!$A$2:$A$19,0))</f>
        <v>Westside Mall</v>
      </c>
      <c r="D335" s="0" t="str">
        <f aca="false">'Raw Store Exports'!D335</f>
        <v>APP-104</v>
      </c>
      <c r="E335" s="0" t="str">
        <f aca="false">INDEX('Product Master'!$B$2:$B$21,MATCH(D335,'Product Master'!$A$2:$A$21,0))</f>
        <v>Slim Fit Chinos</v>
      </c>
      <c r="F335" s="0" t="str">
        <f aca="false">INDEX('Product Master'!$C$2:$C$21,MATCH(D335,'Product Master'!$A$2:$A$21,0))</f>
        <v>Apparel</v>
      </c>
      <c r="G335" s="15" t="n">
        <f aca="false">VALUE(TRIM('Raw Store Exports'!E335&amp;""))</f>
        <v>2</v>
      </c>
      <c r="H335" s="18" t="n">
        <f aca="false">INDEX('Product Master'!$D$2:$D$21,MATCH(D335,'Product Master'!$A$2:$A$21,0))</f>
        <v>52</v>
      </c>
      <c r="I335" s="14" t="n">
        <f aca="false">G335*H335</f>
        <v>104</v>
      </c>
      <c r="J335" s="0" t="str">
        <f aca="false">IF(COUNTIF($A$2:A335,A335)&gt;1,"Duplicate","")</f>
        <v/>
      </c>
    </row>
    <row r="336" customFormat="false" ht="15" hidden="false" customHeight="false" outlineLevel="0" collapsed="false">
      <c r="A336" s="0" t="str">
        <f aca="false">'Raw Store Exports'!A336</f>
        <v>TXN00969</v>
      </c>
      <c r="B336" s="17" t="n">
        <f aca="false">'Raw Store Exports'!C336</f>
        <v>46070</v>
      </c>
      <c r="C336" s="0" t="str">
        <f aca="false">INDEX('Store Mapping'!$C$2:$C$19,MATCH(TRIM('Raw Store Exports'!B336),'Store Mapping'!$A$2:$A$19,0))</f>
        <v>Eastgate</v>
      </c>
      <c r="D336" s="0" t="str">
        <f aca="false">'Raw Store Exports'!D336</f>
        <v>ACC-303</v>
      </c>
      <c r="E336" s="0" t="str">
        <f aca="false">INDEX('Product Master'!$B$2:$B$21,MATCH(D336,'Product Master'!$A$2:$A$21,0))</f>
        <v>Canvas Tote Bag</v>
      </c>
      <c r="F336" s="0" t="str">
        <f aca="false">INDEX('Product Master'!$C$2:$C$21,MATCH(D336,'Product Master'!$A$2:$A$21,0))</f>
        <v>Accessories</v>
      </c>
      <c r="G336" s="15" t="n">
        <f aca="false">VALUE(TRIM('Raw Store Exports'!E336&amp;""))</f>
        <v>2</v>
      </c>
      <c r="H336" s="18" t="n">
        <f aca="false">INDEX('Product Master'!$D$2:$D$21,MATCH(D336,'Product Master'!$A$2:$A$21,0))</f>
        <v>24</v>
      </c>
      <c r="I336" s="14" t="n">
        <f aca="false">G336*H336</f>
        <v>48</v>
      </c>
      <c r="J336" s="0" t="str">
        <f aca="false">IF(COUNTIF($A$2:A336,A336)&gt;1,"Duplicate","")</f>
        <v/>
      </c>
    </row>
    <row r="337" customFormat="false" ht="15" hidden="false" customHeight="false" outlineLevel="0" collapsed="false">
      <c r="A337" s="0" t="str">
        <f aca="false">'Raw Store Exports'!A337</f>
        <v>TXN00412</v>
      </c>
      <c r="B337" s="17" t="n">
        <f aca="false">'Raw Store Exports'!C337</f>
        <v>46045</v>
      </c>
      <c r="C337" s="0" t="str">
        <f aca="false">INDEX('Store Mapping'!$C$2:$C$19,MATCH(TRIM('Raw Store Exports'!B337),'Store Mapping'!$A$2:$A$19,0))</f>
        <v>Airport Plaza</v>
      </c>
      <c r="D337" s="0" t="str">
        <f aca="false">'Raw Store Exports'!D337</f>
        <v>FTW-203</v>
      </c>
      <c r="E337" s="0" t="str">
        <f aca="false">INDEX('Product Master'!$B$2:$B$21,MATCH(D337,'Product Master'!$A$2:$A$21,0))</f>
        <v>Leather Ankle Boot</v>
      </c>
      <c r="F337" s="0" t="str">
        <f aca="false">INDEX('Product Master'!$C$2:$C$21,MATCH(D337,'Product Master'!$A$2:$A$21,0))</f>
        <v>Footwear</v>
      </c>
      <c r="G337" s="15" t="n">
        <f aca="false">VALUE(TRIM('Raw Store Exports'!E337&amp;""))</f>
        <v>6</v>
      </c>
      <c r="H337" s="18" t="n">
        <f aca="false">INDEX('Product Master'!$D$2:$D$21,MATCH(D337,'Product Master'!$A$2:$A$21,0))</f>
        <v>120</v>
      </c>
      <c r="I337" s="14" t="n">
        <f aca="false">G337*H337</f>
        <v>720</v>
      </c>
      <c r="J337" s="0" t="str">
        <f aca="false">IF(COUNTIF($A$2:A337,A337)&gt;1,"Duplicate","")</f>
        <v/>
      </c>
    </row>
    <row r="338" customFormat="false" ht="15" hidden="false" customHeight="false" outlineLevel="0" collapsed="false">
      <c r="A338" s="0" t="str">
        <f aca="false">'Raw Store Exports'!A338</f>
        <v>TXN00627</v>
      </c>
      <c r="B338" s="17" t="n">
        <f aca="false">'Raw Store Exports'!C338</f>
        <v>46057</v>
      </c>
      <c r="C338" s="0" t="str">
        <f aca="false">INDEX('Store Mapping'!$C$2:$C$19,MATCH(TRIM('Raw Store Exports'!B338),'Store Mapping'!$A$2:$A$19,0))</f>
        <v>Westside Mall</v>
      </c>
      <c r="D338" s="0" t="str">
        <f aca="false">'Raw Store Exports'!D338</f>
        <v>APP-103</v>
      </c>
      <c r="E338" s="0" t="str">
        <f aca="false">INDEX('Product Master'!$B$2:$B$21,MATCH(D338,'Product Master'!$A$2:$A$21,0))</f>
        <v>Fleece Pullover Hoodie</v>
      </c>
      <c r="F338" s="0" t="str">
        <f aca="false">INDEX('Product Master'!$C$2:$C$21,MATCH(D338,'Product Master'!$A$2:$A$21,0))</f>
        <v>Apparel</v>
      </c>
      <c r="G338" s="15" t="n">
        <f aca="false">VALUE(TRIM('Raw Store Exports'!E338&amp;""))</f>
        <v>3</v>
      </c>
      <c r="H338" s="18" t="n">
        <f aca="false">INDEX('Product Master'!$D$2:$D$21,MATCH(D338,'Product Master'!$A$2:$A$21,0))</f>
        <v>45</v>
      </c>
      <c r="I338" s="14" t="n">
        <f aca="false">G338*H338</f>
        <v>135</v>
      </c>
      <c r="J338" s="0" t="str">
        <f aca="false">IF(COUNTIF($A$2:A338,A338)&gt;1,"Duplicate","")</f>
        <v>Duplicate</v>
      </c>
    </row>
    <row r="339" customFormat="false" ht="15" hidden="false" customHeight="false" outlineLevel="0" collapsed="false">
      <c r="A339" s="0" t="str">
        <f aca="false">'Raw Store Exports'!A339</f>
        <v>TXN00658</v>
      </c>
      <c r="B339" s="17" t="n">
        <f aca="false">'Raw Store Exports'!C339</f>
        <v>46059</v>
      </c>
      <c r="C339" s="0" t="str">
        <f aca="false">INDEX('Store Mapping'!$C$2:$C$19,MATCH(TRIM('Raw Store Exports'!B339),'Store Mapping'!$A$2:$A$19,0))</f>
        <v>Eastgate</v>
      </c>
      <c r="D339" s="0" t="str">
        <f aca="false">'Raw Store Exports'!D339</f>
        <v>APP-102</v>
      </c>
      <c r="E339" s="0" t="str">
        <f aca="false">INDEX('Product Master'!$B$2:$B$21,MATCH(D339,'Product Master'!$A$2:$A$21,0))</f>
        <v>Cotton Crew T-Shirt</v>
      </c>
      <c r="F339" s="0" t="str">
        <f aca="false">INDEX('Product Master'!$C$2:$C$21,MATCH(D339,'Product Master'!$A$2:$A$21,0))</f>
        <v>Apparel</v>
      </c>
      <c r="G339" s="15" t="n">
        <f aca="false">VALUE(TRIM('Raw Store Exports'!E339&amp;""))</f>
        <v>3</v>
      </c>
      <c r="H339" s="18" t="n">
        <f aca="false">INDEX('Product Master'!$D$2:$D$21,MATCH(D339,'Product Master'!$A$2:$A$21,0))</f>
        <v>18</v>
      </c>
      <c r="I339" s="14" t="n">
        <f aca="false">G339*H339</f>
        <v>54</v>
      </c>
      <c r="J339" s="0" t="str">
        <f aca="false">IF(COUNTIF($A$2:A339,A339)&gt;1,"Duplicate","")</f>
        <v/>
      </c>
    </row>
    <row r="340" customFormat="false" ht="15" hidden="false" customHeight="false" outlineLevel="0" collapsed="false">
      <c r="A340" s="0" t="str">
        <f aca="false">'Raw Store Exports'!A340</f>
        <v>TXN00830</v>
      </c>
      <c r="B340" s="17" t="n">
        <f aca="false">'Raw Store Exports'!C340</f>
        <v>46064</v>
      </c>
      <c r="C340" s="0" t="str">
        <f aca="false">INDEX('Store Mapping'!$C$2:$C$19,MATCH(TRIM('Raw Store Exports'!B340),'Store Mapping'!$A$2:$A$19,0))</f>
        <v>Northpark</v>
      </c>
      <c r="D340" s="0" t="str">
        <f aca="false">'Raw Store Exports'!D340</f>
        <v>FTW-203</v>
      </c>
      <c r="E340" s="0" t="str">
        <f aca="false">INDEX('Product Master'!$B$2:$B$21,MATCH(D340,'Product Master'!$A$2:$A$21,0))</f>
        <v>Leather Ankle Boot</v>
      </c>
      <c r="F340" s="0" t="str">
        <f aca="false">INDEX('Product Master'!$C$2:$C$21,MATCH(D340,'Product Master'!$A$2:$A$21,0))</f>
        <v>Footwear</v>
      </c>
      <c r="G340" s="15" t="n">
        <f aca="false">VALUE(TRIM('Raw Store Exports'!E340&amp;""))</f>
        <v>5</v>
      </c>
      <c r="H340" s="18" t="n">
        <f aca="false">INDEX('Product Master'!$D$2:$D$21,MATCH(D340,'Product Master'!$A$2:$A$21,0))</f>
        <v>120</v>
      </c>
      <c r="I340" s="14" t="n">
        <f aca="false">G340*H340</f>
        <v>600</v>
      </c>
      <c r="J340" s="0" t="str">
        <f aca="false">IF(COUNTIF($A$2:A340,A340)&gt;1,"Duplicate","")</f>
        <v/>
      </c>
    </row>
    <row r="341" customFormat="false" ht="15" hidden="false" customHeight="false" outlineLevel="0" collapsed="false">
      <c r="A341" s="0" t="str">
        <f aca="false">'Raw Store Exports'!A341</f>
        <v>TXN00407</v>
      </c>
      <c r="B341" s="17" t="n">
        <f aca="false">'Raw Store Exports'!C341</f>
        <v>46041</v>
      </c>
      <c r="C341" s="0" t="str">
        <f aca="false">INDEX('Store Mapping'!$C$2:$C$19,MATCH(TRIM('Raw Store Exports'!B341),'Store Mapping'!$A$2:$A$19,0))</f>
        <v>Airport Plaza</v>
      </c>
      <c r="D341" s="0" t="str">
        <f aca="false">'Raw Store Exports'!D341</f>
        <v>APP-104</v>
      </c>
      <c r="E341" s="0" t="str">
        <f aca="false">INDEX('Product Master'!$B$2:$B$21,MATCH(D341,'Product Master'!$A$2:$A$21,0))</f>
        <v>Slim Fit Chinos</v>
      </c>
      <c r="F341" s="0" t="str">
        <f aca="false">INDEX('Product Master'!$C$2:$C$21,MATCH(D341,'Product Master'!$A$2:$A$21,0))</f>
        <v>Apparel</v>
      </c>
      <c r="G341" s="15" t="n">
        <f aca="false">VALUE(TRIM('Raw Store Exports'!E341&amp;""))</f>
        <v>6</v>
      </c>
      <c r="H341" s="18" t="n">
        <f aca="false">INDEX('Product Master'!$D$2:$D$21,MATCH(D341,'Product Master'!$A$2:$A$21,0))</f>
        <v>52</v>
      </c>
      <c r="I341" s="14" t="n">
        <f aca="false">G341*H341</f>
        <v>312</v>
      </c>
      <c r="J341" s="0" t="str">
        <f aca="false">IF(COUNTIF($A$2:A341,A341)&gt;1,"Duplicate","")</f>
        <v/>
      </c>
    </row>
    <row r="342" customFormat="false" ht="15" hidden="false" customHeight="false" outlineLevel="0" collapsed="false">
      <c r="A342" s="0" t="str">
        <f aca="false">'Raw Store Exports'!A342</f>
        <v>TXN00987</v>
      </c>
      <c r="B342" s="17" t="n">
        <f aca="false">'Raw Store Exports'!C342</f>
        <v>46075</v>
      </c>
      <c r="C342" s="0" t="str">
        <f aca="false">INDEX('Store Mapping'!$C$2:$C$19,MATCH(TRIM('Raw Store Exports'!B342),'Store Mapping'!$A$2:$A$19,0))</f>
        <v>Northpark</v>
      </c>
      <c r="D342" s="0" t="str">
        <f aca="false">'Raw Store Exports'!D342</f>
        <v>APP-101</v>
      </c>
      <c r="E342" s="0" t="str">
        <f aca="false">INDEX('Product Master'!$B$2:$B$21,MATCH(D342,'Product Master'!$A$2:$A$21,0))</f>
        <v>Classic Denim Jacket</v>
      </c>
      <c r="F342" s="0" t="str">
        <f aca="false">INDEX('Product Master'!$C$2:$C$21,MATCH(D342,'Product Master'!$A$2:$A$21,0))</f>
        <v>Apparel</v>
      </c>
      <c r="G342" s="15" t="n">
        <f aca="false">VALUE(TRIM('Raw Store Exports'!E342&amp;""))</f>
        <v>4</v>
      </c>
      <c r="H342" s="18" t="n">
        <f aca="false">INDEX('Product Master'!$D$2:$D$21,MATCH(D342,'Product Master'!$A$2:$A$21,0))</f>
        <v>68</v>
      </c>
      <c r="I342" s="14" t="n">
        <f aca="false">G342*H342</f>
        <v>272</v>
      </c>
      <c r="J342" s="0" t="str">
        <f aca="false">IF(COUNTIF($A$2:A342,A342)&gt;1,"Duplicate","")</f>
        <v/>
      </c>
    </row>
    <row r="343" customFormat="false" ht="15" hidden="false" customHeight="false" outlineLevel="0" collapsed="false">
      <c r="A343" s="0" t="str">
        <f aca="false">'Raw Store Exports'!A343</f>
        <v>TXN00669</v>
      </c>
      <c r="B343" s="17" t="n">
        <f aca="false">'Raw Store Exports'!C343</f>
        <v>46061</v>
      </c>
      <c r="C343" s="0" t="str">
        <f aca="false">INDEX('Store Mapping'!$C$2:$C$19,MATCH(TRIM('Raw Store Exports'!B343),'Store Mapping'!$A$2:$A$19,0))</f>
        <v>Northpark</v>
      </c>
      <c r="D343" s="0" t="str">
        <f aca="false">'Raw Store Exports'!D343</f>
        <v>ACC-302</v>
      </c>
      <c r="E343" s="0" t="str">
        <f aca="false">INDEX('Product Master'!$B$2:$B$21,MATCH(D343,'Product Master'!$A$2:$A$21,0))</f>
        <v>Aviator Sunglasses</v>
      </c>
      <c r="F343" s="0" t="str">
        <f aca="false">INDEX('Product Master'!$C$2:$C$21,MATCH(D343,'Product Master'!$A$2:$A$21,0))</f>
        <v>Accessories</v>
      </c>
      <c r="G343" s="15" t="n">
        <f aca="false">VALUE(TRIM('Raw Store Exports'!E343&amp;""))</f>
        <v>4</v>
      </c>
      <c r="H343" s="18" t="n">
        <f aca="false">INDEX('Product Master'!$D$2:$D$21,MATCH(D343,'Product Master'!$A$2:$A$21,0))</f>
        <v>42</v>
      </c>
      <c r="I343" s="14" t="n">
        <f aca="false">G343*H343</f>
        <v>168</v>
      </c>
      <c r="J343" s="0" t="str">
        <f aca="false">IF(COUNTIF($A$2:A343,A343)&gt;1,"Duplicate","")</f>
        <v/>
      </c>
    </row>
    <row r="344" customFormat="false" ht="15" hidden="false" customHeight="false" outlineLevel="0" collapsed="false">
      <c r="A344" s="0" t="str">
        <f aca="false">'Raw Store Exports'!A344</f>
        <v>TXN00624</v>
      </c>
      <c r="B344" s="17" t="n">
        <f aca="false">'Raw Store Exports'!C344</f>
        <v>46055</v>
      </c>
      <c r="C344" s="0" t="str">
        <f aca="false">INDEX('Store Mapping'!$C$2:$C$19,MATCH(TRIM('Raw Store Exports'!B344),'Store Mapping'!$A$2:$A$19,0))</f>
        <v>Westside Mall</v>
      </c>
      <c r="D344" s="0" t="str">
        <f aca="false">'Raw Store Exports'!D344</f>
        <v>APP-102</v>
      </c>
      <c r="E344" s="0" t="str">
        <f aca="false">INDEX('Product Master'!$B$2:$B$21,MATCH(D344,'Product Master'!$A$2:$A$21,0))</f>
        <v>Cotton Crew T-Shirt</v>
      </c>
      <c r="F344" s="0" t="str">
        <f aca="false">INDEX('Product Master'!$C$2:$C$21,MATCH(D344,'Product Master'!$A$2:$A$21,0))</f>
        <v>Apparel</v>
      </c>
      <c r="G344" s="15" t="n">
        <f aca="false">VALUE(TRIM('Raw Store Exports'!E344&amp;""))</f>
        <v>5</v>
      </c>
      <c r="H344" s="18" t="n">
        <f aca="false">INDEX('Product Master'!$D$2:$D$21,MATCH(D344,'Product Master'!$A$2:$A$21,0))</f>
        <v>18</v>
      </c>
      <c r="I344" s="14" t="n">
        <f aca="false">G344*H344</f>
        <v>90</v>
      </c>
      <c r="J344" s="0" t="str">
        <f aca="false">IF(COUNTIF($A$2:A344,A344)&gt;1,"Duplicate","")</f>
        <v/>
      </c>
    </row>
    <row r="345" customFormat="false" ht="15" hidden="false" customHeight="false" outlineLevel="0" collapsed="false">
      <c r="A345" s="0" t="str">
        <f aca="false">'Raw Store Exports'!A345</f>
        <v>TXN00777</v>
      </c>
      <c r="B345" s="17" t="n">
        <f aca="false">'Raw Store Exports'!C345</f>
        <v>46064</v>
      </c>
      <c r="C345" s="0" t="str">
        <f aca="false">INDEX('Store Mapping'!$C$2:$C$19,MATCH(TRIM('Raw Store Exports'!B345),'Store Mapping'!$A$2:$A$19,0))</f>
        <v>Westside Mall</v>
      </c>
      <c r="D345" s="0" t="str">
        <f aca="false">'Raw Store Exports'!D345</f>
        <v>HOM-503</v>
      </c>
      <c r="E345" s="0" t="str">
        <f aca="false">INDEX('Product Master'!$B$2:$B$21,MATCH(D345,'Product Master'!$A$2:$A$21,0))</f>
        <v>Cotton Throw Blanket</v>
      </c>
      <c r="F345" s="0" t="str">
        <f aca="false">INDEX('Product Master'!$C$2:$C$21,MATCH(D345,'Product Master'!$A$2:$A$21,0))</f>
        <v>Home Goods</v>
      </c>
      <c r="G345" s="15" t="n">
        <f aca="false">VALUE(TRIM('Raw Store Exports'!E345&amp;""))</f>
        <v>5</v>
      </c>
      <c r="H345" s="18" t="n">
        <f aca="false">INDEX('Product Master'!$D$2:$D$21,MATCH(D345,'Product Master'!$A$2:$A$21,0))</f>
        <v>38</v>
      </c>
      <c r="I345" s="14" t="n">
        <f aca="false">G345*H345</f>
        <v>190</v>
      </c>
      <c r="J345" s="0" t="str">
        <f aca="false">IF(COUNTIF($A$2:A345,A345)&gt;1,"Duplicate","")</f>
        <v/>
      </c>
    </row>
    <row r="346" customFormat="false" ht="15" hidden="false" customHeight="false" outlineLevel="0" collapsed="false">
      <c r="A346" s="0" t="str">
        <f aca="false">'Raw Store Exports'!A346</f>
        <v>TXN00908</v>
      </c>
      <c r="B346" s="17" t="n">
        <f aca="false">'Raw Store Exports'!C346</f>
        <v>46075</v>
      </c>
      <c r="C346" s="0" t="str">
        <f aca="false">INDEX('Store Mapping'!$C$2:$C$19,MATCH(TRIM('Raw Store Exports'!B346),'Store Mapping'!$A$2:$A$19,0))</f>
        <v>Downtown</v>
      </c>
      <c r="D346" s="0" t="str">
        <f aca="false">'Raw Store Exports'!D346</f>
        <v>FTW-203</v>
      </c>
      <c r="E346" s="0" t="str">
        <f aca="false">INDEX('Product Master'!$B$2:$B$21,MATCH(D346,'Product Master'!$A$2:$A$21,0))</f>
        <v>Leather Ankle Boot</v>
      </c>
      <c r="F346" s="0" t="str">
        <f aca="false">INDEX('Product Master'!$C$2:$C$21,MATCH(D346,'Product Master'!$A$2:$A$21,0))</f>
        <v>Footwear</v>
      </c>
      <c r="G346" s="15" t="n">
        <f aca="false">VALUE(TRIM('Raw Store Exports'!E346&amp;""))</f>
        <v>4</v>
      </c>
      <c r="H346" s="18" t="n">
        <f aca="false">INDEX('Product Master'!$D$2:$D$21,MATCH(D346,'Product Master'!$A$2:$A$21,0))</f>
        <v>120</v>
      </c>
      <c r="I346" s="14" t="n">
        <f aca="false">G346*H346</f>
        <v>480</v>
      </c>
      <c r="J346" s="0" t="str">
        <f aca="false">IF(COUNTIF($A$2:A346,A346)&gt;1,"Duplicate","")</f>
        <v/>
      </c>
    </row>
    <row r="347" customFormat="false" ht="15" hidden="false" customHeight="false" outlineLevel="0" collapsed="false">
      <c r="A347" s="0" t="str">
        <f aca="false">'Raw Store Exports'!A347</f>
        <v>TXN00591</v>
      </c>
      <c r="B347" s="17" t="n">
        <f aca="false">'Raw Store Exports'!C347</f>
        <v>46055</v>
      </c>
      <c r="C347" s="0" t="str">
        <f aca="false">INDEX('Store Mapping'!$C$2:$C$19,MATCH(TRIM('Raw Store Exports'!B347),'Store Mapping'!$A$2:$A$19,0))</f>
        <v>Downtown</v>
      </c>
      <c r="D347" s="0" t="str">
        <f aca="false">'Raw Store Exports'!D347</f>
        <v>HOM-502</v>
      </c>
      <c r="E347" s="0" t="str">
        <f aca="false">INDEX('Product Master'!$B$2:$B$21,MATCH(D347,'Product Master'!$A$2:$A$21,0))</f>
        <v>Scented Candle</v>
      </c>
      <c r="F347" s="0" t="str">
        <f aca="false">INDEX('Product Master'!$C$2:$C$21,MATCH(D347,'Product Master'!$A$2:$A$21,0))</f>
        <v>Home Goods</v>
      </c>
      <c r="G347" s="15" t="n">
        <f aca="false">VALUE(TRIM('Raw Store Exports'!E347&amp;""))</f>
        <v>2</v>
      </c>
      <c r="H347" s="18" t="n">
        <f aca="false">INDEX('Product Master'!$D$2:$D$21,MATCH(D347,'Product Master'!$A$2:$A$21,0))</f>
        <v>15</v>
      </c>
      <c r="I347" s="14" t="n">
        <f aca="false">G347*H347</f>
        <v>30</v>
      </c>
      <c r="J347" s="0" t="str">
        <f aca="false">IF(COUNTIF($A$2:A347,A347)&gt;1,"Duplicate","")</f>
        <v/>
      </c>
    </row>
    <row r="348" customFormat="false" ht="15" hidden="false" customHeight="false" outlineLevel="0" collapsed="false">
      <c r="A348" s="0" t="str">
        <f aca="false">'Raw Store Exports'!A348</f>
        <v>TXN00475</v>
      </c>
      <c r="B348" s="17" t="n">
        <f aca="false">'Raw Store Exports'!C348</f>
        <v>46052</v>
      </c>
      <c r="C348" s="0" t="str">
        <f aca="false">INDEX('Store Mapping'!$C$2:$C$19,MATCH(TRIM('Raw Store Exports'!B348),'Store Mapping'!$A$2:$A$19,0))</f>
        <v>Westside Mall</v>
      </c>
      <c r="D348" s="0" t="str">
        <f aca="false">'Raw Store Exports'!D348</f>
        <v>APP-104</v>
      </c>
      <c r="E348" s="0" t="str">
        <f aca="false">INDEX('Product Master'!$B$2:$B$21,MATCH(D348,'Product Master'!$A$2:$A$21,0))</f>
        <v>Slim Fit Chinos</v>
      </c>
      <c r="F348" s="0" t="str">
        <f aca="false">INDEX('Product Master'!$C$2:$C$21,MATCH(D348,'Product Master'!$A$2:$A$21,0))</f>
        <v>Apparel</v>
      </c>
      <c r="G348" s="15" t="n">
        <f aca="false">VALUE(TRIM('Raw Store Exports'!E348&amp;""))</f>
        <v>6</v>
      </c>
      <c r="H348" s="18" t="n">
        <f aca="false">INDEX('Product Master'!$D$2:$D$21,MATCH(D348,'Product Master'!$A$2:$A$21,0))</f>
        <v>52</v>
      </c>
      <c r="I348" s="14" t="n">
        <f aca="false">G348*H348</f>
        <v>312</v>
      </c>
      <c r="J348" s="0" t="str">
        <f aca="false">IF(COUNTIF($A$2:A348,A348)&gt;1,"Duplicate","")</f>
        <v/>
      </c>
    </row>
    <row r="349" customFormat="false" ht="15" hidden="false" customHeight="false" outlineLevel="0" collapsed="false">
      <c r="A349" s="0" t="str">
        <f aca="false">'Raw Store Exports'!A349</f>
        <v>TXN00922</v>
      </c>
      <c r="B349" s="17" t="n">
        <f aca="false">'Raw Store Exports'!C349</f>
        <v>46070</v>
      </c>
      <c r="C349" s="0" t="str">
        <f aca="false">INDEX('Store Mapping'!$C$2:$C$19,MATCH(TRIM('Raw Store Exports'!B349),'Store Mapping'!$A$2:$A$19,0))</f>
        <v>Westside Mall</v>
      </c>
      <c r="D349" s="0" t="str">
        <f aca="false">'Raw Store Exports'!D349</f>
        <v>ACC-303</v>
      </c>
      <c r="E349" s="0" t="str">
        <f aca="false">INDEX('Product Master'!$B$2:$B$21,MATCH(D349,'Product Master'!$A$2:$A$21,0))</f>
        <v>Canvas Tote Bag</v>
      </c>
      <c r="F349" s="0" t="str">
        <f aca="false">INDEX('Product Master'!$C$2:$C$21,MATCH(D349,'Product Master'!$A$2:$A$21,0))</f>
        <v>Accessories</v>
      </c>
      <c r="G349" s="15" t="n">
        <f aca="false">VALUE(TRIM('Raw Store Exports'!E349&amp;""))</f>
        <v>6</v>
      </c>
      <c r="H349" s="18" t="n">
        <f aca="false">INDEX('Product Master'!$D$2:$D$21,MATCH(D349,'Product Master'!$A$2:$A$21,0))</f>
        <v>24</v>
      </c>
      <c r="I349" s="14" t="n">
        <f aca="false">G349*H349</f>
        <v>144</v>
      </c>
      <c r="J349" s="0" t="str">
        <f aca="false">IF(COUNTIF($A$2:A349,A349)&gt;1,"Duplicate","")</f>
        <v/>
      </c>
    </row>
    <row r="350" customFormat="false" ht="15" hidden="false" customHeight="false" outlineLevel="0" collapsed="false">
      <c r="A350" s="0" t="str">
        <f aca="false">'Raw Store Exports'!A350</f>
        <v>TXN00433</v>
      </c>
      <c r="B350" s="17" t="n">
        <f aca="false">'Raw Store Exports'!C350</f>
        <v>46048</v>
      </c>
      <c r="C350" s="0" t="str">
        <f aca="false">INDEX('Store Mapping'!$C$2:$C$19,MATCH(TRIM('Raw Store Exports'!B350),'Store Mapping'!$A$2:$A$19,0))</f>
        <v>Downtown</v>
      </c>
      <c r="D350" s="0" t="str">
        <f aca="false">'Raw Store Exports'!D350</f>
        <v>HOM-503</v>
      </c>
      <c r="E350" s="0" t="str">
        <f aca="false">INDEX('Product Master'!$B$2:$B$21,MATCH(D350,'Product Master'!$A$2:$A$21,0))</f>
        <v>Cotton Throw Blanket</v>
      </c>
      <c r="F350" s="0" t="str">
        <f aca="false">INDEX('Product Master'!$C$2:$C$21,MATCH(D350,'Product Master'!$A$2:$A$21,0))</f>
        <v>Home Goods</v>
      </c>
      <c r="G350" s="15" t="n">
        <f aca="false">VALUE(TRIM('Raw Store Exports'!E350&amp;""))</f>
        <v>4</v>
      </c>
      <c r="H350" s="18" t="n">
        <f aca="false">INDEX('Product Master'!$D$2:$D$21,MATCH(D350,'Product Master'!$A$2:$A$21,0))</f>
        <v>38</v>
      </c>
      <c r="I350" s="14" t="n">
        <f aca="false">G350*H350</f>
        <v>152</v>
      </c>
      <c r="J350" s="0" t="str">
        <f aca="false">IF(COUNTIF($A$2:A350,A350)&gt;1,"Duplicate","")</f>
        <v/>
      </c>
    </row>
    <row r="351" customFormat="false" ht="15" hidden="false" customHeight="false" outlineLevel="0" collapsed="false">
      <c r="A351" s="0" t="str">
        <f aca="false">'Raw Store Exports'!A351</f>
        <v>TXN00716</v>
      </c>
      <c r="B351" s="17" t="n">
        <f aca="false">'Raw Store Exports'!C351</f>
        <v>46057</v>
      </c>
      <c r="C351" s="0" t="str">
        <f aca="false">INDEX('Store Mapping'!$C$2:$C$19,MATCH(TRIM('Raw Store Exports'!B351),'Store Mapping'!$A$2:$A$19,0))</f>
        <v>Riverside</v>
      </c>
      <c r="D351" s="0" t="str">
        <f aca="false">'Raw Store Exports'!D351</f>
        <v>ELE-401</v>
      </c>
      <c r="E351" s="0" t="str">
        <f aca="false">INDEX('Product Master'!$B$2:$B$21,MATCH(D351,'Product Master'!$A$2:$A$21,0))</f>
        <v>Wireless Earbuds</v>
      </c>
      <c r="F351" s="0" t="str">
        <f aca="false">INDEX('Product Master'!$C$2:$C$21,MATCH(D351,'Product Master'!$A$2:$A$21,0))</f>
        <v>Electronics</v>
      </c>
      <c r="G351" s="15" t="n">
        <f aca="false">VALUE(TRIM('Raw Store Exports'!E351&amp;""))</f>
        <v>4</v>
      </c>
      <c r="H351" s="18" t="n">
        <f aca="false">INDEX('Product Master'!$D$2:$D$21,MATCH(D351,'Product Master'!$A$2:$A$21,0))</f>
        <v>79</v>
      </c>
      <c r="I351" s="14" t="n">
        <f aca="false">G351*H351</f>
        <v>316</v>
      </c>
      <c r="J351" s="0" t="str">
        <f aca="false">IF(COUNTIF($A$2:A351,A351)&gt;1,"Duplicate","")</f>
        <v/>
      </c>
    </row>
    <row r="352" customFormat="false" ht="15" hidden="false" customHeight="false" outlineLevel="0" collapsed="false">
      <c r="A352" s="0" t="str">
        <f aca="false">'Raw Store Exports'!A352</f>
        <v>TXN00971</v>
      </c>
      <c r="B352" s="17" t="n">
        <f aca="false">'Raw Store Exports'!C352</f>
        <v>46071</v>
      </c>
      <c r="C352" s="0" t="str">
        <f aca="false">INDEX('Store Mapping'!$C$2:$C$19,MATCH(TRIM('Raw Store Exports'!B352),'Store Mapping'!$A$2:$A$19,0))</f>
        <v>Eastgate</v>
      </c>
      <c r="D352" s="0" t="str">
        <f aca="false">'Raw Store Exports'!D352</f>
        <v>FTW-202</v>
      </c>
      <c r="E352" s="0" t="str">
        <f aca="false">INDEX('Product Master'!$B$2:$B$21,MATCH(D352,'Product Master'!$A$2:$A$21,0))</f>
        <v>Canvas Low-Top</v>
      </c>
      <c r="F352" s="0" t="str">
        <f aca="false">INDEX('Product Master'!$C$2:$C$21,MATCH(D352,'Product Master'!$A$2:$A$21,0))</f>
        <v>Footwear</v>
      </c>
      <c r="G352" s="15" t="n">
        <f aca="false">VALUE(TRIM('Raw Store Exports'!E352&amp;""))</f>
        <v>2</v>
      </c>
      <c r="H352" s="18" t="n">
        <f aca="false">INDEX('Product Master'!$D$2:$D$21,MATCH(D352,'Product Master'!$A$2:$A$21,0))</f>
        <v>55</v>
      </c>
      <c r="I352" s="14" t="n">
        <f aca="false">G352*H352</f>
        <v>110</v>
      </c>
      <c r="J352" s="0" t="str">
        <f aca="false">IF(COUNTIF($A$2:A352,A352)&gt;1,"Duplicate","")</f>
        <v/>
      </c>
    </row>
    <row r="353" customFormat="false" ht="15" hidden="false" customHeight="false" outlineLevel="0" collapsed="false">
      <c r="A353" s="0" t="str">
        <f aca="false">'Raw Store Exports'!A353</f>
        <v>TXN01078</v>
      </c>
      <c r="B353" s="17" t="n">
        <f aca="false">'Raw Store Exports'!C353</f>
        <v>46078</v>
      </c>
      <c r="C353" s="0" t="str">
        <f aca="false">INDEX('Store Mapping'!$C$2:$C$19,MATCH(TRIM('Raw Store Exports'!B353),'Store Mapping'!$A$2:$A$19,0))</f>
        <v>Downtown</v>
      </c>
      <c r="D353" s="0" t="str">
        <f aca="false">'Raw Store Exports'!D353</f>
        <v>FTW-204</v>
      </c>
      <c r="E353" s="0" t="str">
        <f aca="false">INDEX('Product Master'!$B$2:$B$21,MATCH(D353,'Product Master'!$A$2:$A$21,0))</f>
        <v>Slide Sandals</v>
      </c>
      <c r="F353" s="0" t="str">
        <f aca="false">INDEX('Product Master'!$C$2:$C$21,MATCH(D353,'Product Master'!$A$2:$A$21,0))</f>
        <v>Footwear</v>
      </c>
      <c r="G353" s="15" t="n">
        <f aca="false">VALUE(TRIM('Raw Store Exports'!E353&amp;""))</f>
        <v>1</v>
      </c>
      <c r="H353" s="18" t="n">
        <f aca="false">INDEX('Product Master'!$D$2:$D$21,MATCH(D353,'Product Master'!$A$2:$A$21,0))</f>
        <v>25</v>
      </c>
      <c r="I353" s="14" t="n">
        <f aca="false">G353*H353</f>
        <v>25</v>
      </c>
      <c r="J353" s="0" t="str">
        <f aca="false">IF(COUNTIF($A$2:A353,A353)&gt;1,"Duplicate","")</f>
        <v/>
      </c>
    </row>
    <row r="354" customFormat="false" ht="15" hidden="false" customHeight="false" outlineLevel="0" collapsed="false">
      <c r="A354" s="0" t="str">
        <f aca="false">'Raw Store Exports'!A354</f>
        <v>TXN00896</v>
      </c>
      <c r="B354" s="17" t="n">
        <f aca="false">'Raw Store Exports'!C354</f>
        <v>46067</v>
      </c>
      <c r="C354" s="0" t="str">
        <f aca="false">INDEX('Store Mapping'!$C$2:$C$19,MATCH(TRIM('Raw Store Exports'!B354),'Store Mapping'!$A$2:$A$19,0))</f>
        <v>Airport Plaza</v>
      </c>
      <c r="D354" s="0" t="str">
        <f aca="false">'Raw Store Exports'!D354</f>
        <v>ELE-401</v>
      </c>
      <c r="E354" s="0" t="str">
        <f aca="false">INDEX('Product Master'!$B$2:$B$21,MATCH(D354,'Product Master'!$A$2:$A$21,0))</f>
        <v>Wireless Earbuds</v>
      </c>
      <c r="F354" s="0" t="str">
        <f aca="false">INDEX('Product Master'!$C$2:$C$21,MATCH(D354,'Product Master'!$A$2:$A$21,0))</f>
        <v>Electronics</v>
      </c>
      <c r="G354" s="15" t="n">
        <f aca="false">VALUE(TRIM('Raw Store Exports'!E354&amp;""))</f>
        <v>1</v>
      </c>
      <c r="H354" s="18" t="n">
        <f aca="false">INDEX('Product Master'!$D$2:$D$21,MATCH(D354,'Product Master'!$A$2:$A$21,0))</f>
        <v>79</v>
      </c>
      <c r="I354" s="14" t="n">
        <f aca="false">G354*H354</f>
        <v>79</v>
      </c>
      <c r="J354" s="0" t="str">
        <f aca="false">IF(COUNTIF($A$2:A354,A354)&gt;1,"Duplicate","")</f>
        <v/>
      </c>
    </row>
    <row r="355" customFormat="false" ht="15" hidden="false" customHeight="false" outlineLevel="0" collapsed="false">
      <c r="A355" s="0" t="str">
        <f aca="false">'Raw Store Exports'!A355</f>
        <v>TXN00864</v>
      </c>
      <c r="B355" s="17" t="n">
        <f aca="false">'Raw Store Exports'!C355</f>
        <v>46067</v>
      </c>
      <c r="C355" s="0" t="str">
        <f aca="false">INDEX('Store Mapping'!$C$2:$C$19,MATCH(TRIM('Raw Store Exports'!B355),'Store Mapping'!$A$2:$A$19,0))</f>
        <v>Riverside</v>
      </c>
      <c r="D355" s="0" t="str">
        <f aca="false">'Raw Store Exports'!D355</f>
        <v>APP-101</v>
      </c>
      <c r="E355" s="0" t="str">
        <f aca="false">INDEX('Product Master'!$B$2:$B$21,MATCH(D355,'Product Master'!$A$2:$A$21,0))</f>
        <v>Classic Denim Jacket</v>
      </c>
      <c r="F355" s="0" t="str">
        <f aca="false">INDEX('Product Master'!$C$2:$C$21,MATCH(D355,'Product Master'!$A$2:$A$21,0))</f>
        <v>Apparel</v>
      </c>
      <c r="G355" s="15" t="n">
        <f aca="false">VALUE(TRIM('Raw Store Exports'!E355&amp;""))</f>
        <v>1</v>
      </c>
      <c r="H355" s="18" t="n">
        <f aca="false">INDEX('Product Master'!$D$2:$D$21,MATCH(D355,'Product Master'!$A$2:$A$21,0))</f>
        <v>68</v>
      </c>
      <c r="I355" s="14" t="n">
        <f aca="false">G355*H355</f>
        <v>68</v>
      </c>
      <c r="J355" s="0" t="str">
        <f aca="false">IF(COUNTIF($A$2:A355,A355)&gt;1,"Duplicate","")</f>
        <v/>
      </c>
    </row>
    <row r="356" customFormat="false" ht="15" hidden="false" customHeight="false" outlineLevel="0" collapsed="false">
      <c r="A356" s="0" t="str">
        <f aca="false">'Raw Store Exports'!A356</f>
        <v>TXN00967</v>
      </c>
      <c r="B356" s="17" t="n">
        <f aca="false">'Raw Store Exports'!C356</f>
        <v>46074</v>
      </c>
      <c r="C356" s="0" t="str">
        <f aca="false">INDEX('Store Mapping'!$C$2:$C$19,MATCH(TRIM('Raw Store Exports'!B356),'Store Mapping'!$A$2:$A$19,0))</f>
        <v>Eastgate</v>
      </c>
      <c r="D356" s="0" t="str">
        <f aca="false">'Raw Store Exports'!D356</f>
        <v>FTW-201</v>
      </c>
      <c r="E356" s="0" t="str">
        <f aca="false">INDEX('Product Master'!$B$2:$B$21,MATCH(D356,'Product Master'!$A$2:$A$21,0))</f>
        <v>Running Sneakers</v>
      </c>
      <c r="F356" s="0" t="str">
        <f aca="false">INDEX('Product Master'!$C$2:$C$21,MATCH(D356,'Product Master'!$A$2:$A$21,0))</f>
        <v>Footwear</v>
      </c>
      <c r="G356" s="15" t="n">
        <f aca="false">VALUE(TRIM('Raw Store Exports'!E356&amp;""))</f>
        <v>5</v>
      </c>
      <c r="H356" s="18" t="n">
        <f aca="false">INDEX('Product Master'!$D$2:$D$21,MATCH(D356,'Product Master'!$A$2:$A$21,0))</f>
        <v>89</v>
      </c>
      <c r="I356" s="14" t="n">
        <f aca="false">G356*H356</f>
        <v>445</v>
      </c>
      <c r="J356" s="0" t="str">
        <f aca="false">IF(COUNTIF($A$2:A356,A356)&gt;1,"Duplicate","")</f>
        <v/>
      </c>
    </row>
    <row r="357" customFormat="false" ht="15" hidden="false" customHeight="false" outlineLevel="0" collapsed="false">
      <c r="A357" s="0" t="str">
        <f aca="false">'Raw Store Exports'!A357</f>
        <v>TXN00630</v>
      </c>
      <c r="B357" s="17" t="n">
        <f aca="false">'Raw Store Exports'!C357</f>
        <v>46060</v>
      </c>
      <c r="C357" s="0" t="str">
        <f aca="false">INDEX('Store Mapping'!$C$2:$C$19,MATCH(TRIM('Raw Store Exports'!B357),'Store Mapping'!$A$2:$A$19,0))</f>
        <v>Westside Mall</v>
      </c>
      <c r="D357" s="0" t="str">
        <f aca="false">'Raw Store Exports'!D357</f>
        <v>ELE-404</v>
      </c>
      <c r="E357" s="0" t="str">
        <f aca="false">INDEX('Product Master'!$B$2:$B$21,MATCH(D357,'Product Master'!$A$2:$A$21,0))</f>
        <v>Phone Charging Cable</v>
      </c>
      <c r="F357" s="0" t="str">
        <f aca="false">INDEX('Product Master'!$C$2:$C$21,MATCH(D357,'Product Master'!$A$2:$A$21,0))</f>
        <v>Electronics</v>
      </c>
      <c r="G357" s="15" t="n">
        <f aca="false">VALUE(TRIM('Raw Store Exports'!E357&amp;""))</f>
        <v>2</v>
      </c>
      <c r="H357" s="18" t="n">
        <f aca="false">INDEX('Product Master'!$D$2:$D$21,MATCH(D357,'Product Master'!$A$2:$A$21,0))</f>
        <v>12</v>
      </c>
      <c r="I357" s="14" t="n">
        <f aca="false">G357*H357</f>
        <v>24</v>
      </c>
      <c r="J357" s="0" t="str">
        <f aca="false">IF(COUNTIF($A$2:A357,A357)&gt;1,"Duplicate","")</f>
        <v/>
      </c>
    </row>
    <row r="358" customFormat="false" ht="15" hidden="false" customHeight="false" outlineLevel="0" collapsed="false">
      <c r="A358" s="0" t="str">
        <f aca="false">'Raw Store Exports'!A358</f>
        <v>TXN00423</v>
      </c>
      <c r="B358" s="17" t="n">
        <f aca="false">'Raw Store Exports'!C358</f>
        <v>46043</v>
      </c>
      <c r="C358" s="0" t="str">
        <f aca="false">INDEX('Store Mapping'!$C$2:$C$19,MATCH(TRIM('Raw Store Exports'!B358),'Store Mapping'!$A$2:$A$19,0))</f>
        <v>Airport Plaza</v>
      </c>
      <c r="D358" s="0" t="str">
        <f aca="false">'Raw Store Exports'!D358</f>
        <v>ELE-403</v>
      </c>
      <c r="E358" s="0" t="str">
        <f aca="false">INDEX('Product Master'!$B$2:$B$21,MATCH(D358,'Product Master'!$A$2:$A$21,0))</f>
        <v>Fitness Tracker Band</v>
      </c>
      <c r="F358" s="0" t="str">
        <f aca="false">INDEX('Product Master'!$C$2:$C$21,MATCH(D358,'Product Master'!$A$2:$A$21,0))</f>
        <v>Electronics</v>
      </c>
      <c r="G358" s="15" t="n">
        <f aca="false">VALUE(TRIM('Raw Store Exports'!E358&amp;""))</f>
        <v>3</v>
      </c>
      <c r="H358" s="18" t="n">
        <f aca="false">INDEX('Product Master'!$D$2:$D$21,MATCH(D358,'Product Master'!$A$2:$A$21,0))</f>
        <v>99</v>
      </c>
      <c r="I358" s="14" t="n">
        <f aca="false">G358*H358</f>
        <v>297</v>
      </c>
      <c r="J358" s="0" t="str">
        <f aca="false">IF(COUNTIF($A$2:A358,A358)&gt;1,"Duplicate","")</f>
        <v/>
      </c>
    </row>
    <row r="359" customFormat="false" ht="15" hidden="false" customHeight="false" outlineLevel="0" collapsed="false">
      <c r="A359" s="0" t="str">
        <f aca="false">'Raw Store Exports'!A359</f>
        <v>TXN00833</v>
      </c>
      <c r="B359" s="17" t="n">
        <f aca="false">'Raw Store Exports'!C359</f>
        <v>46062</v>
      </c>
      <c r="C359" s="0" t="str">
        <f aca="false">INDEX('Store Mapping'!$C$2:$C$19,MATCH(TRIM('Raw Store Exports'!B359),'Store Mapping'!$A$2:$A$19,0))</f>
        <v>Northpark</v>
      </c>
      <c r="D359" s="0" t="str">
        <f aca="false">'Raw Store Exports'!D359</f>
        <v>APP-103</v>
      </c>
      <c r="E359" s="0" t="str">
        <f aca="false">INDEX('Product Master'!$B$2:$B$21,MATCH(D359,'Product Master'!$A$2:$A$21,0))</f>
        <v>Fleece Pullover Hoodie</v>
      </c>
      <c r="F359" s="0" t="str">
        <f aca="false">INDEX('Product Master'!$C$2:$C$21,MATCH(D359,'Product Master'!$A$2:$A$21,0))</f>
        <v>Apparel</v>
      </c>
      <c r="G359" s="15" t="n">
        <f aca="false">VALUE(TRIM('Raw Store Exports'!E359&amp;""))</f>
        <v>5</v>
      </c>
      <c r="H359" s="18" t="n">
        <f aca="false">INDEX('Product Master'!$D$2:$D$21,MATCH(D359,'Product Master'!$A$2:$A$21,0))</f>
        <v>45</v>
      </c>
      <c r="I359" s="14" t="n">
        <f aca="false">G359*H359</f>
        <v>225</v>
      </c>
      <c r="J359" s="0" t="str">
        <f aca="false">IF(COUNTIF($A$2:A359,A359)&gt;1,"Duplicate","")</f>
        <v/>
      </c>
    </row>
    <row r="360" customFormat="false" ht="15" hidden="false" customHeight="false" outlineLevel="0" collapsed="false">
      <c r="A360" s="0" t="str">
        <f aca="false">'Raw Store Exports'!A360</f>
        <v>TXN00424</v>
      </c>
      <c r="B360" s="17" t="n">
        <f aca="false">'Raw Store Exports'!C360</f>
        <v>46041</v>
      </c>
      <c r="C360" s="0" t="str">
        <f aca="false">INDEX('Store Mapping'!$C$2:$C$19,MATCH(TRIM('Raw Store Exports'!B360),'Store Mapping'!$A$2:$A$19,0))</f>
        <v>Airport Plaza</v>
      </c>
      <c r="D360" s="0" t="str">
        <f aca="false">'Raw Store Exports'!D360</f>
        <v>HOM-501</v>
      </c>
      <c r="E360" s="0" t="str">
        <f aca="false">INDEX('Product Master'!$B$2:$B$21,MATCH(D360,'Product Master'!$A$2:$A$21,0))</f>
        <v>Ceramic Coffee Mug Set</v>
      </c>
      <c r="F360" s="0" t="str">
        <f aca="false">INDEX('Product Master'!$C$2:$C$21,MATCH(D360,'Product Master'!$A$2:$A$21,0))</f>
        <v>Home Goods</v>
      </c>
      <c r="G360" s="15" t="n">
        <f aca="false">VALUE(TRIM('Raw Store Exports'!E360&amp;""))</f>
        <v>4</v>
      </c>
      <c r="H360" s="18" t="n">
        <f aca="false">INDEX('Product Master'!$D$2:$D$21,MATCH(D360,'Product Master'!$A$2:$A$21,0))</f>
        <v>22</v>
      </c>
      <c r="I360" s="14" t="n">
        <f aca="false">G360*H360</f>
        <v>88</v>
      </c>
      <c r="J360" s="0" t="str">
        <f aca="false">IF(COUNTIF($A$2:A360,A360)&gt;1,"Duplicate","")</f>
        <v>Duplicate</v>
      </c>
    </row>
    <row r="361" customFormat="false" ht="15" hidden="false" customHeight="false" outlineLevel="0" collapsed="false">
      <c r="A361" s="0" t="str">
        <f aca="false">'Raw Store Exports'!A361</f>
        <v>TXN01118</v>
      </c>
      <c r="B361" s="17" t="n">
        <f aca="false">'Raw Store Exports'!C361</f>
        <v>46079</v>
      </c>
      <c r="C361" s="0" t="str">
        <f aca="false">INDEX('Store Mapping'!$C$2:$C$19,MATCH(TRIM('Raw Store Exports'!B361),'Store Mapping'!$A$2:$A$19,0))</f>
        <v>Eastgate</v>
      </c>
      <c r="D361" s="0" t="str">
        <f aca="false">'Raw Store Exports'!D361</f>
        <v>HOM-504</v>
      </c>
      <c r="E361" s="0" t="str">
        <f aca="false">INDEX('Product Master'!$B$2:$B$21,MATCH(D361,'Product Master'!$A$2:$A$21,0))</f>
        <v>Bamboo Cutting Board</v>
      </c>
      <c r="F361" s="0" t="str">
        <f aca="false">INDEX('Product Master'!$C$2:$C$21,MATCH(D361,'Product Master'!$A$2:$A$21,0))</f>
        <v>Home Goods</v>
      </c>
      <c r="G361" s="15" t="n">
        <f aca="false">VALUE(TRIM('Raw Store Exports'!E361&amp;""))</f>
        <v>1</v>
      </c>
      <c r="H361" s="18" t="n">
        <f aca="false">INDEX('Product Master'!$D$2:$D$21,MATCH(D361,'Product Master'!$A$2:$A$21,0))</f>
        <v>27</v>
      </c>
      <c r="I361" s="14" t="n">
        <f aca="false">G361*H361</f>
        <v>27</v>
      </c>
      <c r="J361" s="0" t="str">
        <f aca="false">IF(COUNTIF($A$2:A361,A361)&gt;1,"Duplicate","")</f>
        <v/>
      </c>
    </row>
    <row r="362" customFormat="false" ht="15" hidden="false" customHeight="false" outlineLevel="0" collapsed="false">
      <c r="A362" s="0" t="str">
        <f aca="false">'Raw Store Exports'!A362</f>
        <v>TXN00314</v>
      </c>
      <c r="B362" s="17" t="n">
        <f aca="false">'Raw Store Exports'!C362</f>
        <v>46045</v>
      </c>
      <c r="C362" s="0" t="str">
        <f aca="false">INDEX('Store Mapping'!$C$2:$C$19,MATCH(TRIM('Raw Store Exports'!B362),'Store Mapping'!$A$2:$A$19,0))</f>
        <v>Westside Mall</v>
      </c>
      <c r="D362" s="0" t="str">
        <f aca="false">'Raw Store Exports'!D362</f>
        <v>APP-102</v>
      </c>
      <c r="E362" s="0" t="str">
        <f aca="false">INDEX('Product Master'!$B$2:$B$21,MATCH(D362,'Product Master'!$A$2:$A$21,0))</f>
        <v>Cotton Crew T-Shirt</v>
      </c>
      <c r="F362" s="0" t="str">
        <f aca="false">INDEX('Product Master'!$C$2:$C$21,MATCH(D362,'Product Master'!$A$2:$A$21,0))</f>
        <v>Apparel</v>
      </c>
      <c r="G362" s="15" t="n">
        <f aca="false">VALUE(TRIM('Raw Store Exports'!E362&amp;""))</f>
        <v>4</v>
      </c>
      <c r="H362" s="18" t="n">
        <f aca="false">INDEX('Product Master'!$D$2:$D$21,MATCH(D362,'Product Master'!$A$2:$A$21,0))</f>
        <v>18</v>
      </c>
      <c r="I362" s="14" t="n">
        <f aca="false">G362*H362</f>
        <v>72</v>
      </c>
      <c r="J362" s="0" t="str">
        <f aca="false">IF(COUNTIF($A$2:A362,A362)&gt;1,"Duplicate","")</f>
        <v/>
      </c>
    </row>
    <row r="363" customFormat="false" ht="15" hidden="false" customHeight="false" outlineLevel="0" collapsed="false">
      <c r="A363" s="0" t="str">
        <f aca="false">'Raw Store Exports'!A363</f>
        <v>TXN00812</v>
      </c>
      <c r="B363" s="17" t="n">
        <f aca="false">'Raw Store Exports'!C363</f>
        <v>46063</v>
      </c>
      <c r="C363" s="0" t="str">
        <f aca="false">INDEX('Store Mapping'!$C$2:$C$19,MATCH(TRIM('Raw Store Exports'!B363),'Store Mapping'!$A$2:$A$19,0))</f>
        <v>Eastgate</v>
      </c>
      <c r="D363" s="0" t="str">
        <f aca="false">'Raw Store Exports'!D363</f>
        <v>FTW-204</v>
      </c>
      <c r="E363" s="0" t="str">
        <f aca="false">INDEX('Product Master'!$B$2:$B$21,MATCH(D363,'Product Master'!$A$2:$A$21,0))</f>
        <v>Slide Sandals</v>
      </c>
      <c r="F363" s="0" t="str">
        <f aca="false">INDEX('Product Master'!$C$2:$C$21,MATCH(D363,'Product Master'!$A$2:$A$21,0))</f>
        <v>Footwear</v>
      </c>
      <c r="G363" s="15" t="n">
        <f aca="false">VALUE(TRIM('Raw Store Exports'!E363&amp;""))</f>
        <v>2</v>
      </c>
      <c r="H363" s="18" t="n">
        <f aca="false">INDEX('Product Master'!$D$2:$D$21,MATCH(D363,'Product Master'!$A$2:$A$21,0))</f>
        <v>25</v>
      </c>
      <c r="I363" s="14" t="n">
        <f aca="false">G363*H363</f>
        <v>50</v>
      </c>
      <c r="J363" s="0" t="str">
        <f aca="false">IF(COUNTIF($A$2:A363,A363)&gt;1,"Duplicate","")</f>
        <v/>
      </c>
    </row>
    <row r="364" customFormat="false" ht="15" hidden="false" customHeight="false" outlineLevel="0" collapsed="false">
      <c r="A364" s="0" t="str">
        <f aca="false">'Raw Store Exports'!A364</f>
        <v>TXN00980</v>
      </c>
      <c r="B364" s="17" t="n">
        <f aca="false">'Raw Store Exports'!C364</f>
        <v>46075</v>
      </c>
      <c r="C364" s="0" t="str">
        <f aca="false">INDEX('Store Mapping'!$C$2:$C$19,MATCH(TRIM('Raw Store Exports'!B364),'Store Mapping'!$A$2:$A$19,0))</f>
        <v>Northpark</v>
      </c>
      <c r="D364" s="0" t="str">
        <f aca="false">'Raw Store Exports'!D364</f>
        <v>FTW-201</v>
      </c>
      <c r="E364" s="0" t="str">
        <f aca="false">INDEX('Product Master'!$B$2:$B$21,MATCH(D364,'Product Master'!$A$2:$A$21,0))</f>
        <v>Running Sneakers</v>
      </c>
      <c r="F364" s="0" t="str">
        <f aca="false">INDEX('Product Master'!$C$2:$C$21,MATCH(D364,'Product Master'!$A$2:$A$21,0))</f>
        <v>Footwear</v>
      </c>
      <c r="G364" s="15" t="n">
        <f aca="false">VALUE(TRIM('Raw Store Exports'!E364&amp;""))</f>
        <v>3</v>
      </c>
      <c r="H364" s="18" t="n">
        <f aca="false">INDEX('Product Master'!$D$2:$D$21,MATCH(D364,'Product Master'!$A$2:$A$21,0))</f>
        <v>89</v>
      </c>
      <c r="I364" s="14" t="n">
        <f aca="false">G364*H364</f>
        <v>267</v>
      </c>
      <c r="J364" s="0" t="str">
        <f aca="false">IF(COUNTIF($A$2:A364,A364)&gt;1,"Duplicate","")</f>
        <v/>
      </c>
    </row>
    <row r="365" customFormat="false" ht="15" hidden="false" customHeight="false" outlineLevel="0" collapsed="false">
      <c r="A365" s="0" t="str">
        <f aca="false">'Raw Store Exports'!A365</f>
        <v>TXN00281</v>
      </c>
      <c r="B365" s="17" t="n">
        <f aca="false">'Raw Store Exports'!C365</f>
        <v>46043</v>
      </c>
      <c r="C365" s="0" t="str">
        <f aca="false">INDEX('Store Mapping'!$C$2:$C$19,MATCH(TRIM('Raw Store Exports'!B365),'Store Mapping'!$A$2:$A$19,0))</f>
        <v>Downtown</v>
      </c>
      <c r="D365" s="0" t="str">
        <f aca="false">'Raw Store Exports'!D365</f>
        <v>ELE-402</v>
      </c>
      <c r="E365" s="0" t="str">
        <f aca="false">INDEX('Product Master'!$B$2:$B$21,MATCH(D365,'Product Master'!$A$2:$A$21,0))</f>
        <v>Bluetooth Speaker</v>
      </c>
      <c r="F365" s="0" t="str">
        <f aca="false">INDEX('Product Master'!$C$2:$C$21,MATCH(D365,'Product Master'!$A$2:$A$21,0))</f>
        <v>Electronics</v>
      </c>
      <c r="G365" s="15" t="n">
        <f aca="false">VALUE(TRIM('Raw Store Exports'!E365&amp;""))</f>
        <v>4</v>
      </c>
      <c r="H365" s="18" t="n">
        <f aca="false">INDEX('Product Master'!$D$2:$D$21,MATCH(D365,'Product Master'!$A$2:$A$21,0))</f>
        <v>59</v>
      </c>
      <c r="I365" s="14" t="n">
        <f aca="false">G365*H365</f>
        <v>236</v>
      </c>
      <c r="J365" s="0" t="str">
        <f aca="false">IF(COUNTIF($A$2:A365,A365)&gt;1,"Duplicate","")</f>
        <v/>
      </c>
    </row>
    <row r="366" customFormat="false" ht="15" hidden="false" customHeight="false" outlineLevel="0" collapsed="false">
      <c r="A366" s="0" t="str">
        <f aca="false">'Raw Store Exports'!A366</f>
        <v>TXN00717</v>
      </c>
      <c r="B366" s="17" t="n">
        <f aca="false">'Raw Store Exports'!C366</f>
        <v>46058</v>
      </c>
      <c r="C366" s="0" t="str">
        <f aca="false">INDEX('Store Mapping'!$C$2:$C$19,MATCH(TRIM('Raw Store Exports'!B366),'Store Mapping'!$A$2:$A$19,0))</f>
        <v>Riverside</v>
      </c>
      <c r="D366" s="0" t="str">
        <f aca="false">'Raw Store Exports'!D366</f>
        <v>FTW-202</v>
      </c>
      <c r="E366" s="0" t="str">
        <f aca="false">INDEX('Product Master'!$B$2:$B$21,MATCH(D366,'Product Master'!$A$2:$A$21,0))</f>
        <v>Canvas Low-Top</v>
      </c>
      <c r="F366" s="0" t="str">
        <f aca="false">INDEX('Product Master'!$C$2:$C$21,MATCH(D366,'Product Master'!$A$2:$A$21,0))</f>
        <v>Footwear</v>
      </c>
      <c r="G366" s="15" t="n">
        <f aca="false">VALUE(TRIM('Raw Store Exports'!E366&amp;""))</f>
        <v>2</v>
      </c>
      <c r="H366" s="18" t="n">
        <f aca="false">INDEX('Product Master'!$D$2:$D$21,MATCH(D366,'Product Master'!$A$2:$A$21,0))</f>
        <v>55</v>
      </c>
      <c r="I366" s="14" t="n">
        <f aca="false">G366*H366</f>
        <v>110</v>
      </c>
      <c r="J366" s="0" t="str">
        <f aca="false">IF(COUNTIF($A$2:A366,A366)&gt;1,"Duplicate","")</f>
        <v/>
      </c>
    </row>
    <row r="367" customFormat="false" ht="15" hidden="false" customHeight="false" outlineLevel="0" collapsed="false">
      <c r="A367" s="0" t="str">
        <f aca="false">'Raw Store Exports'!A367</f>
        <v>TXN00215</v>
      </c>
      <c r="B367" s="17" t="n">
        <f aca="false">'Raw Store Exports'!C367</f>
        <v>46038</v>
      </c>
      <c r="C367" s="0" t="str">
        <f aca="false">INDEX('Store Mapping'!$C$2:$C$19,MATCH(TRIM('Raw Store Exports'!B367),'Store Mapping'!$A$2:$A$19,0))</f>
        <v>Northpark</v>
      </c>
      <c r="D367" s="0" t="str">
        <f aca="false">'Raw Store Exports'!D367</f>
        <v>ELE-404</v>
      </c>
      <c r="E367" s="0" t="str">
        <f aca="false">INDEX('Product Master'!$B$2:$B$21,MATCH(D367,'Product Master'!$A$2:$A$21,0))</f>
        <v>Phone Charging Cable</v>
      </c>
      <c r="F367" s="0" t="str">
        <f aca="false">INDEX('Product Master'!$C$2:$C$21,MATCH(D367,'Product Master'!$A$2:$A$21,0))</f>
        <v>Electronics</v>
      </c>
      <c r="G367" s="15" t="n">
        <f aca="false">VALUE(TRIM('Raw Store Exports'!E367&amp;""))</f>
        <v>4</v>
      </c>
      <c r="H367" s="18" t="n">
        <f aca="false">INDEX('Product Master'!$D$2:$D$21,MATCH(D367,'Product Master'!$A$2:$A$21,0))</f>
        <v>12</v>
      </c>
      <c r="I367" s="14" t="n">
        <f aca="false">G367*H367</f>
        <v>48</v>
      </c>
      <c r="J367" s="0" t="str">
        <f aca="false">IF(COUNTIF($A$2:A367,A367)&gt;1,"Duplicate","")</f>
        <v/>
      </c>
    </row>
    <row r="368" customFormat="false" ht="15" hidden="false" customHeight="false" outlineLevel="0" collapsed="false">
      <c r="A368" s="0" t="str">
        <f aca="false">'Raw Store Exports'!A368</f>
        <v>TXN01046</v>
      </c>
      <c r="B368" s="17" t="n">
        <f aca="false">'Raw Store Exports'!C368</f>
        <v>46073</v>
      </c>
      <c r="C368" s="0" t="str">
        <f aca="false">INDEX('Store Mapping'!$C$2:$C$19,MATCH(TRIM('Raw Store Exports'!B368),'Store Mapping'!$A$2:$A$19,0))</f>
        <v>Airport Plaza</v>
      </c>
      <c r="D368" s="0" t="str">
        <f aca="false">'Raw Store Exports'!D368</f>
        <v>APP-102</v>
      </c>
      <c r="E368" s="0" t="str">
        <f aca="false">INDEX('Product Master'!$B$2:$B$21,MATCH(D368,'Product Master'!$A$2:$A$21,0))</f>
        <v>Cotton Crew T-Shirt</v>
      </c>
      <c r="F368" s="0" t="str">
        <f aca="false">INDEX('Product Master'!$C$2:$C$21,MATCH(D368,'Product Master'!$A$2:$A$21,0))</f>
        <v>Apparel</v>
      </c>
      <c r="G368" s="15" t="n">
        <f aca="false">VALUE(TRIM('Raw Store Exports'!E368&amp;""))</f>
        <v>2</v>
      </c>
      <c r="H368" s="18" t="n">
        <f aca="false">INDEX('Product Master'!$D$2:$D$21,MATCH(D368,'Product Master'!$A$2:$A$21,0))</f>
        <v>18</v>
      </c>
      <c r="I368" s="14" t="n">
        <f aca="false">G368*H368</f>
        <v>36</v>
      </c>
      <c r="J368" s="0" t="str">
        <f aca="false">IF(COUNTIF($A$2:A368,A368)&gt;1,"Duplicate","")</f>
        <v/>
      </c>
    </row>
    <row r="369" customFormat="false" ht="15" hidden="false" customHeight="false" outlineLevel="0" collapsed="false">
      <c r="A369" s="0" t="str">
        <f aca="false">'Raw Store Exports'!A369</f>
        <v>TXN00399</v>
      </c>
      <c r="B369" s="17" t="n">
        <f aca="false">'Raw Store Exports'!C369</f>
        <v>46047</v>
      </c>
      <c r="C369" s="0" t="str">
        <f aca="false">INDEX('Store Mapping'!$C$2:$C$19,MATCH(TRIM('Raw Store Exports'!B369),'Store Mapping'!$A$2:$A$19,0))</f>
        <v>Riverside</v>
      </c>
      <c r="D369" s="0" t="str">
        <f aca="false">'Raw Store Exports'!D369</f>
        <v>APP-102</v>
      </c>
      <c r="E369" s="0" t="str">
        <f aca="false">INDEX('Product Master'!$B$2:$B$21,MATCH(D369,'Product Master'!$A$2:$A$21,0))</f>
        <v>Cotton Crew T-Shirt</v>
      </c>
      <c r="F369" s="0" t="str">
        <f aca="false">INDEX('Product Master'!$C$2:$C$21,MATCH(D369,'Product Master'!$A$2:$A$21,0))</f>
        <v>Apparel</v>
      </c>
      <c r="G369" s="15" t="n">
        <f aca="false">VALUE(TRIM('Raw Store Exports'!E369&amp;""))</f>
        <v>4</v>
      </c>
      <c r="H369" s="18" t="n">
        <f aca="false">INDEX('Product Master'!$D$2:$D$21,MATCH(D369,'Product Master'!$A$2:$A$21,0))</f>
        <v>18</v>
      </c>
      <c r="I369" s="14" t="n">
        <f aca="false">G369*H369</f>
        <v>72</v>
      </c>
      <c r="J369" s="0" t="str">
        <f aca="false">IF(COUNTIF($A$2:A369,A369)&gt;1,"Duplicate","")</f>
        <v/>
      </c>
    </row>
    <row r="370" customFormat="false" ht="15" hidden="false" customHeight="false" outlineLevel="0" collapsed="false">
      <c r="A370" s="0" t="str">
        <f aca="false">'Raw Store Exports'!A370</f>
        <v>TXN00657</v>
      </c>
      <c r="B370" s="17" t="n">
        <f aca="false">'Raw Store Exports'!C370</f>
        <v>46055</v>
      </c>
      <c r="C370" s="0" t="str">
        <f aca="false">INDEX('Store Mapping'!$C$2:$C$19,MATCH(TRIM('Raw Store Exports'!B370),'Store Mapping'!$A$2:$A$19,0))</f>
        <v>Eastgate</v>
      </c>
      <c r="D370" s="0" t="str">
        <f aca="false">'Raw Store Exports'!D370</f>
        <v>ACC-303</v>
      </c>
      <c r="E370" s="0" t="str">
        <f aca="false">INDEX('Product Master'!$B$2:$B$21,MATCH(D370,'Product Master'!$A$2:$A$21,0))</f>
        <v>Canvas Tote Bag</v>
      </c>
      <c r="F370" s="0" t="str">
        <f aca="false">INDEX('Product Master'!$C$2:$C$21,MATCH(D370,'Product Master'!$A$2:$A$21,0))</f>
        <v>Accessories</v>
      </c>
      <c r="G370" s="15" t="n">
        <f aca="false">VALUE(TRIM('Raw Store Exports'!E370&amp;""))</f>
        <v>2</v>
      </c>
      <c r="H370" s="18" t="n">
        <f aca="false">INDEX('Product Master'!$D$2:$D$21,MATCH(D370,'Product Master'!$A$2:$A$21,0))</f>
        <v>24</v>
      </c>
      <c r="I370" s="14" t="n">
        <f aca="false">G370*H370</f>
        <v>48</v>
      </c>
      <c r="J370" s="0" t="str">
        <f aca="false">IF(COUNTIF($A$2:A370,A370)&gt;1,"Duplicate","")</f>
        <v/>
      </c>
    </row>
    <row r="371" customFormat="false" ht="15" hidden="false" customHeight="false" outlineLevel="0" collapsed="false">
      <c r="A371" s="0" t="str">
        <f aca="false">'Raw Store Exports'!A371</f>
        <v>TXN00182</v>
      </c>
      <c r="B371" s="17" t="n">
        <f aca="false">'Raw Store Exports'!C371</f>
        <v>46036</v>
      </c>
      <c r="C371" s="0" t="str">
        <f aca="false">INDEX('Store Mapping'!$C$2:$C$19,MATCH(TRIM('Raw Store Exports'!B371),'Store Mapping'!$A$2:$A$19,0))</f>
        <v>Eastgate</v>
      </c>
      <c r="D371" s="0" t="str">
        <f aca="false">'Raw Store Exports'!D371</f>
        <v>HOM-504</v>
      </c>
      <c r="E371" s="0" t="str">
        <f aca="false">INDEX('Product Master'!$B$2:$B$21,MATCH(D371,'Product Master'!$A$2:$A$21,0))</f>
        <v>Bamboo Cutting Board</v>
      </c>
      <c r="F371" s="0" t="str">
        <f aca="false">INDEX('Product Master'!$C$2:$C$21,MATCH(D371,'Product Master'!$A$2:$A$21,0))</f>
        <v>Home Goods</v>
      </c>
      <c r="G371" s="15" t="n">
        <f aca="false">VALUE(TRIM('Raw Store Exports'!E371&amp;""))</f>
        <v>1</v>
      </c>
      <c r="H371" s="18" t="n">
        <f aca="false">INDEX('Product Master'!$D$2:$D$21,MATCH(D371,'Product Master'!$A$2:$A$21,0))</f>
        <v>27</v>
      </c>
      <c r="I371" s="14" t="n">
        <f aca="false">G371*H371</f>
        <v>27</v>
      </c>
      <c r="J371" s="0" t="str">
        <f aca="false">IF(COUNTIF($A$2:A371,A371)&gt;1,"Duplicate","")</f>
        <v/>
      </c>
    </row>
    <row r="372" customFormat="false" ht="15" hidden="false" customHeight="false" outlineLevel="0" collapsed="false">
      <c r="A372" s="0" t="str">
        <f aca="false">'Raw Store Exports'!A372</f>
        <v>TXN00541</v>
      </c>
      <c r="B372" s="17" t="n">
        <f aca="false">'Raw Store Exports'!C372</f>
        <v>46052</v>
      </c>
      <c r="C372" s="0" t="str">
        <f aca="false">INDEX('Store Mapping'!$C$2:$C$19,MATCH(TRIM('Raw Store Exports'!B372),'Store Mapping'!$A$2:$A$19,0))</f>
        <v>Riverside</v>
      </c>
      <c r="D372" s="0" t="str">
        <f aca="false">'Raw Store Exports'!D372</f>
        <v>ELE-401</v>
      </c>
      <c r="E372" s="0" t="str">
        <f aca="false">INDEX('Product Master'!$B$2:$B$21,MATCH(D372,'Product Master'!$A$2:$A$21,0))</f>
        <v>Wireless Earbuds</v>
      </c>
      <c r="F372" s="0" t="str">
        <f aca="false">INDEX('Product Master'!$C$2:$C$21,MATCH(D372,'Product Master'!$A$2:$A$21,0))</f>
        <v>Electronics</v>
      </c>
      <c r="G372" s="15" t="n">
        <f aca="false">VALUE(TRIM('Raw Store Exports'!E372&amp;""))</f>
        <v>5</v>
      </c>
      <c r="H372" s="18" t="n">
        <f aca="false">INDEX('Product Master'!$D$2:$D$21,MATCH(D372,'Product Master'!$A$2:$A$21,0))</f>
        <v>79</v>
      </c>
      <c r="I372" s="14" t="n">
        <f aca="false">G372*H372</f>
        <v>395</v>
      </c>
      <c r="J372" s="0" t="str">
        <f aca="false">IF(COUNTIF($A$2:A372,A372)&gt;1,"Duplicate","")</f>
        <v/>
      </c>
    </row>
    <row r="373" customFormat="false" ht="15" hidden="false" customHeight="false" outlineLevel="0" collapsed="false">
      <c r="A373" s="0" t="str">
        <f aca="false">'Raw Store Exports'!A373</f>
        <v>TXN00446</v>
      </c>
      <c r="B373" s="17" t="n">
        <f aca="false">'Raw Store Exports'!C373</f>
        <v>46051</v>
      </c>
      <c r="C373" s="0" t="str">
        <f aca="false">INDEX('Store Mapping'!$C$2:$C$19,MATCH(TRIM('Raw Store Exports'!B373),'Store Mapping'!$A$2:$A$19,0))</f>
        <v>Downtown</v>
      </c>
      <c r="D373" s="0" t="str">
        <f aca="false">'Raw Store Exports'!D373</f>
        <v>ACC-303</v>
      </c>
      <c r="E373" s="0" t="str">
        <f aca="false">INDEX('Product Master'!$B$2:$B$21,MATCH(D373,'Product Master'!$A$2:$A$21,0))</f>
        <v>Canvas Tote Bag</v>
      </c>
      <c r="F373" s="0" t="str">
        <f aca="false">INDEX('Product Master'!$C$2:$C$21,MATCH(D373,'Product Master'!$A$2:$A$21,0))</f>
        <v>Accessories</v>
      </c>
      <c r="G373" s="15" t="n">
        <f aca="false">VALUE(TRIM('Raw Store Exports'!E373&amp;""))</f>
        <v>6</v>
      </c>
      <c r="H373" s="18" t="n">
        <f aca="false">INDEX('Product Master'!$D$2:$D$21,MATCH(D373,'Product Master'!$A$2:$A$21,0))</f>
        <v>24</v>
      </c>
      <c r="I373" s="14" t="n">
        <f aca="false">G373*H373</f>
        <v>144</v>
      </c>
      <c r="J373" s="0" t="str">
        <f aca="false">IF(COUNTIF($A$2:A373,A373)&gt;1,"Duplicate","")</f>
        <v/>
      </c>
    </row>
    <row r="374" customFormat="false" ht="15" hidden="false" customHeight="false" outlineLevel="0" collapsed="false">
      <c r="A374" s="0" t="str">
        <f aca="false">'Raw Store Exports'!A374</f>
        <v>TXN00260</v>
      </c>
      <c r="B374" s="17" t="n">
        <f aca="false">'Raw Store Exports'!C374</f>
        <v>46038</v>
      </c>
      <c r="C374" s="0" t="str">
        <f aca="false">INDEX('Store Mapping'!$C$2:$C$19,MATCH(TRIM('Raw Store Exports'!B374),'Store Mapping'!$A$2:$A$19,0))</f>
        <v>Airport Plaza</v>
      </c>
      <c r="D374" s="0" t="str">
        <f aca="false">'Raw Store Exports'!D374</f>
        <v>APP-103</v>
      </c>
      <c r="E374" s="0" t="str">
        <f aca="false">INDEX('Product Master'!$B$2:$B$21,MATCH(D374,'Product Master'!$A$2:$A$21,0))</f>
        <v>Fleece Pullover Hoodie</v>
      </c>
      <c r="F374" s="0" t="str">
        <f aca="false">INDEX('Product Master'!$C$2:$C$21,MATCH(D374,'Product Master'!$A$2:$A$21,0))</f>
        <v>Apparel</v>
      </c>
      <c r="G374" s="15" t="n">
        <f aca="false">VALUE(TRIM('Raw Store Exports'!E374&amp;""))</f>
        <v>3</v>
      </c>
      <c r="H374" s="18" t="n">
        <f aca="false">INDEX('Product Master'!$D$2:$D$21,MATCH(D374,'Product Master'!$A$2:$A$21,0))</f>
        <v>45</v>
      </c>
      <c r="I374" s="14" t="n">
        <f aca="false">G374*H374</f>
        <v>135</v>
      </c>
      <c r="J374" s="0" t="str">
        <f aca="false">IF(COUNTIF($A$2:A374,A374)&gt;1,"Duplicate","")</f>
        <v/>
      </c>
    </row>
    <row r="375" customFormat="false" ht="15" hidden="false" customHeight="false" outlineLevel="0" collapsed="false">
      <c r="A375" s="0" t="str">
        <f aca="false">'Raw Store Exports'!A375</f>
        <v>TXN00844</v>
      </c>
      <c r="B375" s="17" t="n">
        <f aca="false">'Raw Store Exports'!C375</f>
        <v>46062</v>
      </c>
      <c r="C375" s="0" t="str">
        <f aca="false">INDEX('Store Mapping'!$C$2:$C$19,MATCH(TRIM('Raw Store Exports'!B375),'Store Mapping'!$A$2:$A$19,0))</f>
        <v>Northpark</v>
      </c>
      <c r="D375" s="0" t="str">
        <f aca="false">'Raw Store Exports'!D375</f>
        <v>APP-104</v>
      </c>
      <c r="E375" s="0" t="str">
        <f aca="false">INDEX('Product Master'!$B$2:$B$21,MATCH(D375,'Product Master'!$A$2:$A$21,0))</f>
        <v>Slim Fit Chinos</v>
      </c>
      <c r="F375" s="0" t="str">
        <f aca="false">INDEX('Product Master'!$C$2:$C$21,MATCH(D375,'Product Master'!$A$2:$A$21,0))</f>
        <v>Apparel</v>
      </c>
      <c r="G375" s="15" t="n">
        <f aca="false">VALUE(TRIM('Raw Store Exports'!E375&amp;""))</f>
        <v>3</v>
      </c>
      <c r="H375" s="18" t="n">
        <f aca="false">INDEX('Product Master'!$D$2:$D$21,MATCH(D375,'Product Master'!$A$2:$A$21,0))</f>
        <v>52</v>
      </c>
      <c r="I375" s="14" t="n">
        <f aca="false">G375*H375</f>
        <v>156</v>
      </c>
      <c r="J375" s="0" t="str">
        <f aca="false">IF(COUNTIF($A$2:A375,A375)&gt;1,"Duplicate","")</f>
        <v/>
      </c>
    </row>
    <row r="376" customFormat="false" ht="15" hidden="false" customHeight="false" outlineLevel="0" collapsed="false">
      <c r="A376" s="0" t="str">
        <f aca="false">'Raw Store Exports'!A376</f>
        <v>TXN00770</v>
      </c>
      <c r="B376" s="17" t="n">
        <f aca="false">'Raw Store Exports'!C376</f>
        <v>46062</v>
      </c>
      <c r="C376" s="0" t="str">
        <f aca="false">INDEX('Store Mapping'!$C$2:$C$19,MATCH(TRIM('Raw Store Exports'!B376),'Store Mapping'!$A$2:$A$19,0))</f>
        <v>Downtown</v>
      </c>
      <c r="D376" s="0" t="str">
        <f aca="false">'Raw Store Exports'!D376</f>
        <v>ELE-401</v>
      </c>
      <c r="E376" s="0" t="str">
        <f aca="false">INDEX('Product Master'!$B$2:$B$21,MATCH(D376,'Product Master'!$A$2:$A$21,0))</f>
        <v>Wireless Earbuds</v>
      </c>
      <c r="F376" s="0" t="str">
        <f aca="false">INDEX('Product Master'!$C$2:$C$21,MATCH(D376,'Product Master'!$A$2:$A$21,0))</f>
        <v>Electronics</v>
      </c>
      <c r="G376" s="15" t="n">
        <f aca="false">VALUE(TRIM('Raw Store Exports'!E376&amp;""))</f>
        <v>3</v>
      </c>
      <c r="H376" s="18" t="n">
        <f aca="false">INDEX('Product Master'!$D$2:$D$21,MATCH(D376,'Product Master'!$A$2:$A$21,0))</f>
        <v>79</v>
      </c>
      <c r="I376" s="14" t="n">
        <f aca="false">G376*H376</f>
        <v>237</v>
      </c>
      <c r="J376" s="0" t="str">
        <f aca="false">IF(COUNTIF($A$2:A376,A376)&gt;1,"Duplicate","")</f>
        <v/>
      </c>
    </row>
    <row r="377" customFormat="false" ht="15" hidden="false" customHeight="false" outlineLevel="0" collapsed="false">
      <c r="A377" s="0" t="str">
        <f aca="false">'Raw Store Exports'!A377</f>
        <v>TXN00232</v>
      </c>
      <c r="B377" s="17" t="n">
        <f aca="false">'Raw Store Exports'!C377</f>
        <v>46035</v>
      </c>
      <c r="C377" s="0" t="str">
        <f aca="false">INDEX('Store Mapping'!$C$2:$C$19,MATCH(TRIM('Raw Store Exports'!B377),'Store Mapping'!$A$2:$A$19,0))</f>
        <v>Riverside</v>
      </c>
      <c r="D377" s="0" t="str">
        <f aca="false">'Raw Store Exports'!D377</f>
        <v>ACC-301</v>
      </c>
      <c r="E377" s="0" t="str">
        <f aca="false">INDEX('Product Master'!$B$2:$B$21,MATCH(D377,'Product Master'!$A$2:$A$21,0))</f>
        <v>Leather Belt</v>
      </c>
      <c r="F377" s="0" t="str">
        <f aca="false">INDEX('Product Master'!$C$2:$C$21,MATCH(D377,'Product Master'!$A$2:$A$21,0))</f>
        <v>Accessories</v>
      </c>
      <c r="G377" s="15" t="n">
        <f aca="false">VALUE(TRIM('Raw Store Exports'!E377&amp;""))</f>
        <v>6</v>
      </c>
      <c r="H377" s="18" t="n">
        <f aca="false">INDEX('Product Master'!$D$2:$D$21,MATCH(D377,'Product Master'!$A$2:$A$21,0))</f>
        <v>30</v>
      </c>
      <c r="I377" s="14" t="n">
        <f aca="false">G377*H377</f>
        <v>180</v>
      </c>
      <c r="J377" s="0" t="str">
        <f aca="false">IF(COUNTIF($A$2:A377,A377)&gt;1,"Duplicate","")</f>
        <v/>
      </c>
    </row>
    <row r="378" customFormat="false" ht="15" hidden="false" customHeight="false" outlineLevel="0" collapsed="false">
      <c r="A378" s="0" t="str">
        <f aca="false">'Raw Store Exports'!A378</f>
        <v>TXN00285</v>
      </c>
      <c r="B378" s="17" t="n">
        <f aca="false">'Raw Store Exports'!C378</f>
        <v>46041</v>
      </c>
      <c r="C378" s="0" t="str">
        <f aca="false">INDEX('Store Mapping'!$C$2:$C$19,MATCH(TRIM('Raw Store Exports'!B378),'Store Mapping'!$A$2:$A$19,0))</f>
        <v>Downtown</v>
      </c>
      <c r="D378" s="0" t="str">
        <f aca="false">'Raw Store Exports'!D378</f>
        <v>ACC-304</v>
      </c>
      <c r="E378" s="0" t="str">
        <f aca="false">INDEX('Product Master'!$B$2:$B$21,MATCH(D378,'Product Master'!$A$2:$A$21,0))</f>
        <v>Wool Beanie</v>
      </c>
      <c r="F378" s="0" t="str">
        <f aca="false">INDEX('Product Master'!$C$2:$C$21,MATCH(D378,'Product Master'!$A$2:$A$21,0))</f>
        <v>Accessories</v>
      </c>
      <c r="G378" s="15" t="n">
        <f aca="false">VALUE(TRIM('Raw Store Exports'!E378&amp;""))</f>
        <v>1</v>
      </c>
      <c r="H378" s="18" t="n">
        <f aca="false">INDEX('Product Master'!$D$2:$D$21,MATCH(D378,'Product Master'!$A$2:$A$21,0))</f>
        <v>16</v>
      </c>
      <c r="I378" s="14" t="n">
        <f aca="false">G378*H378</f>
        <v>16</v>
      </c>
      <c r="J378" s="0" t="str">
        <f aca="false">IF(COUNTIF($A$2:A378,A378)&gt;1,"Duplicate","")</f>
        <v/>
      </c>
    </row>
    <row r="379" customFormat="false" ht="15" hidden="false" customHeight="false" outlineLevel="0" collapsed="false">
      <c r="A379" s="0" t="str">
        <f aca="false">'Raw Store Exports'!A379</f>
        <v>TXN01138</v>
      </c>
      <c r="B379" s="17" t="n">
        <f aca="false">'Raw Store Exports'!C379</f>
        <v>46076</v>
      </c>
      <c r="C379" s="0" t="str">
        <f aca="false">INDEX('Store Mapping'!$C$2:$C$19,MATCH(TRIM('Raw Store Exports'!B379),'Store Mapping'!$A$2:$A$19,0))</f>
        <v>Northpark</v>
      </c>
      <c r="D379" s="0" t="str">
        <f aca="false">'Raw Store Exports'!D379</f>
        <v>HOM-501</v>
      </c>
      <c r="E379" s="0" t="str">
        <f aca="false">INDEX('Product Master'!$B$2:$B$21,MATCH(D379,'Product Master'!$A$2:$A$21,0))</f>
        <v>Ceramic Coffee Mug Set</v>
      </c>
      <c r="F379" s="0" t="str">
        <f aca="false">INDEX('Product Master'!$C$2:$C$21,MATCH(D379,'Product Master'!$A$2:$A$21,0))</f>
        <v>Home Goods</v>
      </c>
      <c r="G379" s="15" t="n">
        <f aca="false">VALUE(TRIM('Raw Store Exports'!E379&amp;""))</f>
        <v>6</v>
      </c>
      <c r="H379" s="18" t="n">
        <f aca="false">INDEX('Product Master'!$D$2:$D$21,MATCH(D379,'Product Master'!$A$2:$A$21,0))</f>
        <v>22</v>
      </c>
      <c r="I379" s="14" t="n">
        <f aca="false">G379*H379</f>
        <v>132</v>
      </c>
      <c r="J379" s="0" t="str">
        <f aca="false">IF(COUNTIF($A$2:A379,A379)&gt;1,"Duplicate","")</f>
        <v/>
      </c>
    </row>
    <row r="380" customFormat="false" ht="15" hidden="false" customHeight="false" outlineLevel="0" collapsed="false">
      <c r="A380" s="0" t="str">
        <f aca="false">'Raw Store Exports'!A380</f>
        <v>TXN00954</v>
      </c>
      <c r="B380" s="17" t="n">
        <f aca="false">'Raw Store Exports'!C380</f>
        <v>46069</v>
      </c>
      <c r="C380" s="0" t="str">
        <f aca="false">INDEX('Store Mapping'!$C$2:$C$19,MATCH(TRIM('Raw Store Exports'!B380),'Store Mapping'!$A$2:$A$19,0))</f>
        <v>Eastgate</v>
      </c>
      <c r="D380" s="0" t="str">
        <f aca="false">'Raw Store Exports'!D380</f>
        <v>ELE-403</v>
      </c>
      <c r="E380" s="0" t="str">
        <f aca="false">INDEX('Product Master'!$B$2:$B$21,MATCH(D380,'Product Master'!$A$2:$A$21,0))</f>
        <v>Fitness Tracker Band</v>
      </c>
      <c r="F380" s="0" t="str">
        <f aca="false">INDEX('Product Master'!$C$2:$C$21,MATCH(D380,'Product Master'!$A$2:$A$21,0))</f>
        <v>Electronics</v>
      </c>
      <c r="G380" s="15" t="n">
        <f aca="false">VALUE(TRIM('Raw Store Exports'!E380&amp;""))</f>
        <v>5</v>
      </c>
      <c r="H380" s="18" t="n">
        <f aca="false">INDEX('Product Master'!$D$2:$D$21,MATCH(D380,'Product Master'!$A$2:$A$21,0))</f>
        <v>99</v>
      </c>
      <c r="I380" s="14" t="n">
        <f aca="false">G380*H380</f>
        <v>495</v>
      </c>
      <c r="J380" s="0" t="str">
        <f aca="false">IF(COUNTIF($A$2:A380,A380)&gt;1,"Duplicate","")</f>
        <v/>
      </c>
    </row>
    <row r="381" customFormat="false" ht="15" hidden="false" customHeight="false" outlineLevel="0" collapsed="false">
      <c r="A381" s="0" t="str">
        <f aca="false">'Raw Store Exports'!A381</f>
        <v>TXN00595</v>
      </c>
      <c r="B381" s="17" t="n">
        <f aca="false">'Raw Store Exports'!C381</f>
        <v>46058</v>
      </c>
      <c r="C381" s="0" t="str">
        <f aca="false">INDEX('Store Mapping'!$C$2:$C$19,MATCH(TRIM('Raw Store Exports'!B381),'Store Mapping'!$A$2:$A$19,0))</f>
        <v>Downtown</v>
      </c>
      <c r="D381" s="0" t="str">
        <f aca="false">'Raw Store Exports'!D381</f>
        <v>ELE-404</v>
      </c>
      <c r="E381" s="0" t="str">
        <f aca="false">INDEX('Product Master'!$B$2:$B$21,MATCH(D381,'Product Master'!$A$2:$A$21,0))</f>
        <v>Phone Charging Cable</v>
      </c>
      <c r="F381" s="0" t="str">
        <f aca="false">INDEX('Product Master'!$C$2:$C$21,MATCH(D381,'Product Master'!$A$2:$A$21,0))</f>
        <v>Electronics</v>
      </c>
      <c r="G381" s="15" t="n">
        <f aca="false">VALUE(TRIM('Raw Store Exports'!E381&amp;""))</f>
        <v>5</v>
      </c>
      <c r="H381" s="18" t="n">
        <f aca="false">INDEX('Product Master'!$D$2:$D$21,MATCH(D381,'Product Master'!$A$2:$A$21,0))</f>
        <v>12</v>
      </c>
      <c r="I381" s="14" t="n">
        <f aca="false">G381*H381</f>
        <v>60</v>
      </c>
      <c r="J381" s="0" t="str">
        <f aca="false">IF(COUNTIF($A$2:A381,A381)&gt;1,"Duplicate","")</f>
        <v/>
      </c>
    </row>
    <row r="382" customFormat="false" ht="15" hidden="false" customHeight="false" outlineLevel="0" collapsed="false">
      <c r="A382" s="0" t="str">
        <f aca="false">'Raw Store Exports'!A382</f>
        <v>TXN00486</v>
      </c>
      <c r="B382" s="17" t="n">
        <f aca="false">'Raw Store Exports'!C382</f>
        <v>46048</v>
      </c>
      <c r="C382" s="0" t="str">
        <f aca="false">INDEX('Store Mapping'!$C$2:$C$19,MATCH(TRIM('Raw Store Exports'!B382),'Store Mapping'!$A$2:$A$19,0))</f>
        <v>Eastgate</v>
      </c>
      <c r="D382" s="0" t="str">
        <f aca="false">'Raw Store Exports'!D382</f>
        <v>FTW-204</v>
      </c>
      <c r="E382" s="0" t="str">
        <f aca="false">INDEX('Product Master'!$B$2:$B$21,MATCH(D382,'Product Master'!$A$2:$A$21,0))</f>
        <v>Slide Sandals</v>
      </c>
      <c r="F382" s="0" t="str">
        <f aca="false">INDEX('Product Master'!$C$2:$C$21,MATCH(D382,'Product Master'!$A$2:$A$21,0))</f>
        <v>Footwear</v>
      </c>
      <c r="G382" s="15" t="n">
        <f aca="false">VALUE(TRIM('Raw Store Exports'!E382&amp;""))</f>
        <v>1</v>
      </c>
      <c r="H382" s="18" t="n">
        <f aca="false">INDEX('Product Master'!$D$2:$D$21,MATCH(D382,'Product Master'!$A$2:$A$21,0))</f>
        <v>25</v>
      </c>
      <c r="I382" s="14" t="n">
        <f aca="false">G382*H382</f>
        <v>25</v>
      </c>
      <c r="J382" s="0" t="str">
        <f aca="false">IF(COUNTIF($A$2:A382,A382)&gt;1,"Duplicate","")</f>
        <v/>
      </c>
    </row>
    <row r="383" customFormat="false" ht="15" hidden="false" customHeight="false" outlineLevel="0" collapsed="false">
      <c r="A383" s="0" t="str">
        <f aca="false">'Raw Store Exports'!A383</f>
        <v>TXN00815</v>
      </c>
      <c r="B383" s="17" t="n">
        <f aca="false">'Raw Store Exports'!C383</f>
        <v>46067</v>
      </c>
      <c r="C383" s="0" t="str">
        <f aca="false">INDEX('Store Mapping'!$C$2:$C$19,MATCH(TRIM('Raw Store Exports'!B383),'Store Mapping'!$A$2:$A$19,0))</f>
        <v>Eastgate</v>
      </c>
      <c r="D383" s="0" t="str">
        <f aca="false">'Raw Store Exports'!D383</f>
        <v>HOM-501</v>
      </c>
      <c r="E383" s="0" t="str">
        <f aca="false">INDEX('Product Master'!$B$2:$B$21,MATCH(D383,'Product Master'!$A$2:$A$21,0))</f>
        <v>Ceramic Coffee Mug Set</v>
      </c>
      <c r="F383" s="0" t="str">
        <f aca="false">INDEX('Product Master'!$C$2:$C$21,MATCH(D383,'Product Master'!$A$2:$A$21,0))</f>
        <v>Home Goods</v>
      </c>
      <c r="G383" s="15" t="n">
        <f aca="false">VALUE(TRIM('Raw Store Exports'!E383&amp;""))</f>
        <v>4</v>
      </c>
      <c r="H383" s="18" t="n">
        <f aca="false">INDEX('Product Master'!$D$2:$D$21,MATCH(D383,'Product Master'!$A$2:$A$21,0))</f>
        <v>22</v>
      </c>
      <c r="I383" s="14" t="n">
        <f aca="false">G383*H383</f>
        <v>88</v>
      </c>
      <c r="J383" s="0" t="str">
        <f aca="false">IF(COUNTIF($A$2:A383,A383)&gt;1,"Duplicate","")</f>
        <v/>
      </c>
    </row>
    <row r="384" customFormat="false" ht="15" hidden="false" customHeight="false" outlineLevel="0" collapsed="false">
      <c r="A384" s="0" t="str">
        <f aca="false">'Raw Store Exports'!A384</f>
        <v>TXN01097</v>
      </c>
      <c r="B384" s="17" t="n">
        <f aca="false">'Raw Store Exports'!C384</f>
        <v>46080</v>
      </c>
      <c r="C384" s="0" t="str">
        <f aca="false">INDEX('Store Mapping'!$C$2:$C$19,MATCH(TRIM('Raw Store Exports'!B384),'Store Mapping'!$A$2:$A$19,0))</f>
        <v>Westside Mall</v>
      </c>
      <c r="D384" s="0" t="str">
        <f aca="false">'Raw Store Exports'!D384</f>
        <v>APP-103</v>
      </c>
      <c r="E384" s="0" t="str">
        <f aca="false">INDEX('Product Master'!$B$2:$B$21,MATCH(D384,'Product Master'!$A$2:$A$21,0))</f>
        <v>Fleece Pullover Hoodie</v>
      </c>
      <c r="F384" s="0" t="str">
        <f aca="false">INDEX('Product Master'!$C$2:$C$21,MATCH(D384,'Product Master'!$A$2:$A$21,0))</f>
        <v>Apparel</v>
      </c>
      <c r="G384" s="15" t="n">
        <f aca="false">VALUE(TRIM('Raw Store Exports'!E384&amp;""))</f>
        <v>4</v>
      </c>
      <c r="H384" s="18" t="n">
        <f aca="false">INDEX('Product Master'!$D$2:$D$21,MATCH(D384,'Product Master'!$A$2:$A$21,0))</f>
        <v>45</v>
      </c>
      <c r="I384" s="14" t="n">
        <f aca="false">G384*H384</f>
        <v>180</v>
      </c>
      <c r="J384" s="0" t="str">
        <f aca="false">IF(COUNTIF($A$2:A384,A384)&gt;1,"Duplicate","")</f>
        <v/>
      </c>
    </row>
    <row r="385" customFormat="false" ht="15" hidden="false" customHeight="false" outlineLevel="0" collapsed="false">
      <c r="A385" s="0" t="str">
        <f aca="false">'Raw Store Exports'!A385</f>
        <v>TXN00494</v>
      </c>
      <c r="B385" s="17" t="n">
        <f aca="false">'Raw Store Exports'!C385</f>
        <v>46053</v>
      </c>
      <c r="C385" s="0" t="str">
        <f aca="false">INDEX('Store Mapping'!$C$2:$C$19,MATCH(TRIM('Raw Store Exports'!B385),'Store Mapping'!$A$2:$A$19,0))</f>
        <v>Eastgate</v>
      </c>
      <c r="D385" s="0" t="str">
        <f aca="false">'Raw Store Exports'!D385</f>
        <v>ACC-304</v>
      </c>
      <c r="E385" s="0" t="str">
        <f aca="false">INDEX('Product Master'!$B$2:$B$21,MATCH(D385,'Product Master'!$A$2:$A$21,0))</f>
        <v>Wool Beanie</v>
      </c>
      <c r="F385" s="0" t="str">
        <f aca="false">INDEX('Product Master'!$C$2:$C$21,MATCH(D385,'Product Master'!$A$2:$A$21,0))</f>
        <v>Accessories</v>
      </c>
      <c r="G385" s="15" t="n">
        <f aca="false">VALUE(TRIM('Raw Store Exports'!E385&amp;""))</f>
        <v>4</v>
      </c>
      <c r="H385" s="18" t="n">
        <f aca="false">INDEX('Product Master'!$D$2:$D$21,MATCH(D385,'Product Master'!$A$2:$A$21,0))</f>
        <v>16</v>
      </c>
      <c r="I385" s="14" t="n">
        <f aca="false">G385*H385</f>
        <v>64</v>
      </c>
      <c r="J385" s="0" t="str">
        <f aca="false">IF(COUNTIF($A$2:A385,A385)&gt;1,"Duplicate","")</f>
        <v/>
      </c>
    </row>
    <row r="386" customFormat="false" ht="15" hidden="false" customHeight="false" outlineLevel="0" collapsed="false">
      <c r="A386" s="0" t="str">
        <f aca="false">'Raw Store Exports'!A386</f>
        <v>TXN00119</v>
      </c>
      <c r="B386" s="17" t="n">
        <f aca="false">'Raw Store Exports'!C386</f>
        <v>46028</v>
      </c>
      <c r="C386" s="0" t="str">
        <f aca="false">INDEX('Store Mapping'!$C$2:$C$19,MATCH(TRIM('Raw Store Exports'!B386),'Store Mapping'!$A$2:$A$19,0))</f>
        <v>Airport Plaza</v>
      </c>
      <c r="D386" s="0" t="str">
        <f aca="false">'Raw Store Exports'!D386</f>
        <v>ELE-402</v>
      </c>
      <c r="E386" s="0" t="str">
        <f aca="false">INDEX('Product Master'!$B$2:$B$21,MATCH(D386,'Product Master'!$A$2:$A$21,0))</f>
        <v>Bluetooth Speaker</v>
      </c>
      <c r="F386" s="0" t="str">
        <f aca="false">INDEX('Product Master'!$C$2:$C$21,MATCH(D386,'Product Master'!$A$2:$A$21,0))</f>
        <v>Electronics</v>
      </c>
      <c r="G386" s="15" t="n">
        <f aca="false">VALUE(TRIM('Raw Store Exports'!E386&amp;""))</f>
        <v>1</v>
      </c>
      <c r="H386" s="18" t="n">
        <f aca="false">INDEX('Product Master'!$D$2:$D$21,MATCH(D386,'Product Master'!$A$2:$A$21,0))</f>
        <v>59</v>
      </c>
      <c r="I386" s="14" t="n">
        <f aca="false">G386*H386</f>
        <v>59</v>
      </c>
      <c r="J386" s="0" t="str">
        <f aca="false">IF(COUNTIF($A$2:A386,A386)&gt;1,"Duplicate","")</f>
        <v/>
      </c>
    </row>
    <row r="387" customFormat="false" ht="15" hidden="false" customHeight="false" outlineLevel="0" collapsed="false">
      <c r="A387" s="0" t="str">
        <f aca="false">'Raw Store Exports'!A387</f>
        <v>TXN00554</v>
      </c>
      <c r="B387" s="17" t="n">
        <f aca="false">'Raw Store Exports'!C387</f>
        <v>46049</v>
      </c>
      <c r="C387" s="0" t="str">
        <f aca="false">INDEX('Store Mapping'!$C$2:$C$19,MATCH(TRIM('Raw Store Exports'!B387),'Store Mapping'!$A$2:$A$19,0))</f>
        <v>Riverside</v>
      </c>
      <c r="D387" s="0" t="str">
        <f aca="false">'Raw Store Exports'!D387</f>
        <v>FTW-201</v>
      </c>
      <c r="E387" s="0" t="str">
        <f aca="false">INDEX('Product Master'!$B$2:$B$21,MATCH(D387,'Product Master'!$A$2:$A$21,0))</f>
        <v>Running Sneakers</v>
      </c>
      <c r="F387" s="0" t="str">
        <f aca="false">INDEX('Product Master'!$C$2:$C$21,MATCH(D387,'Product Master'!$A$2:$A$21,0))</f>
        <v>Footwear</v>
      </c>
      <c r="G387" s="15" t="n">
        <f aca="false">VALUE(TRIM('Raw Store Exports'!E387&amp;""))</f>
        <v>2</v>
      </c>
      <c r="H387" s="18" t="n">
        <f aca="false">INDEX('Product Master'!$D$2:$D$21,MATCH(D387,'Product Master'!$A$2:$A$21,0))</f>
        <v>89</v>
      </c>
      <c r="I387" s="14" t="n">
        <f aca="false">G387*H387</f>
        <v>178</v>
      </c>
      <c r="J387" s="0" t="str">
        <f aca="false">IF(COUNTIF($A$2:A387,A387)&gt;1,"Duplicate","")</f>
        <v/>
      </c>
    </row>
    <row r="388" customFormat="false" ht="15" hidden="false" customHeight="false" outlineLevel="0" collapsed="false">
      <c r="A388" s="0" t="str">
        <f aca="false">'Raw Store Exports'!A388</f>
        <v>TXN01095</v>
      </c>
      <c r="B388" s="17" t="n">
        <f aca="false">'Raw Store Exports'!C388</f>
        <v>46081</v>
      </c>
      <c r="C388" s="0" t="str">
        <f aca="false">INDEX('Store Mapping'!$C$2:$C$19,MATCH(TRIM('Raw Store Exports'!B388),'Store Mapping'!$A$2:$A$19,0))</f>
        <v>Westside Mall</v>
      </c>
      <c r="D388" s="0" t="str">
        <f aca="false">'Raw Store Exports'!D388</f>
        <v>FTW-202</v>
      </c>
      <c r="E388" s="0" t="str">
        <f aca="false">INDEX('Product Master'!$B$2:$B$21,MATCH(D388,'Product Master'!$A$2:$A$21,0))</f>
        <v>Canvas Low-Top</v>
      </c>
      <c r="F388" s="0" t="str">
        <f aca="false">INDEX('Product Master'!$C$2:$C$21,MATCH(D388,'Product Master'!$A$2:$A$21,0))</f>
        <v>Footwear</v>
      </c>
      <c r="G388" s="15" t="n">
        <f aca="false">VALUE(TRIM('Raw Store Exports'!E388&amp;""))</f>
        <v>5</v>
      </c>
      <c r="H388" s="18" t="n">
        <f aca="false">INDEX('Product Master'!$D$2:$D$21,MATCH(D388,'Product Master'!$A$2:$A$21,0))</f>
        <v>55</v>
      </c>
      <c r="I388" s="14" t="n">
        <f aca="false">G388*H388</f>
        <v>275</v>
      </c>
      <c r="J388" s="0" t="str">
        <f aca="false">IF(COUNTIF($A$2:A388,A388)&gt;1,"Duplicate","")</f>
        <v>Duplicate</v>
      </c>
    </row>
    <row r="389" customFormat="false" ht="15" hidden="false" customHeight="false" outlineLevel="0" collapsed="false">
      <c r="A389" s="0" t="str">
        <f aca="false">'Raw Store Exports'!A389</f>
        <v>TXN00678</v>
      </c>
      <c r="B389" s="17" t="n">
        <f aca="false">'Raw Store Exports'!C389</f>
        <v>46060</v>
      </c>
      <c r="C389" s="0" t="str">
        <f aca="false">INDEX('Store Mapping'!$C$2:$C$19,MATCH(TRIM('Raw Store Exports'!B389),'Store Mapping'!$A$2:$A$19,0))</f>
        <v>Northpark</v>
      </c>
      <c r="D389" s="0" t="str">
        <f aca="false">'Raw Store Exports'!D389</f>
        <v>FTW-204</v>
      </c>
      <c r="E389" s="0" t="str">
        <f aca="false">INDEX('Product Master'!$B$2:$B$21,MATCH(D389,'Product Master'!$A$2:$A$21,0))</f>
        <v>Slide Sandals</v>
      </c>
      <c r="F389" s="0" t="str">
        <f aca="false">INDEX('Product Master'!$C$2:$C$21,MATCH(D389,'Product Master'!$A$2:$A$21,0))</f>
        <v>Footwear</v>
      </c>
      <c r="G389" s="15" t="n">
        <f aca="false">VALUE(TRIM('Raw Store Exports'!E389&amp;""))</f>
        <v>5</v>
      </c>
      <c r="H389" s="18" t="n">
        <f aca="false">INDEX('Product Master'!$D$2:$D$21,MATCH(D389,'Product Master'!$A$2:$A$21,0))</f>
        <v>25</v>
      </c>
      <c r="I389" s="14" t="n">
        <f aca="false">G389*H389</f>
        <v>125</v>
      </c>
      <c r="J389" s="0" t="str">
        <f aca="false">IF(COUNTIF($A$2:A389,A389)&gt;1,"Duplicate","")</f>
        <v/>
      </c>
    </row>
    <row r="390" customFormat="false" ht="15" hidden="false" customHeight="false" outlineLevel="0" collapsed="false">
      <c r="A390" s="0" t="str">
        <f aca="false">'Raw Store Exports'!A390</f>
        <v>TXN00025</v>
      </c>
      <c r="B390" s="17" t="n">
        <f aca="false">'Raw Store Exports'!C390</f>
        <v>46032</v>
      </c>
      <c r="C390" s="0" t="str">
        <f aca="false">INDEX('Store Mapping'!$C$2:$C$19,MATCH(TRIM('Raw Store Exports'!B390),'Store Mapping'!$A$2:$A$19,0))</f>
        <v>Westside Mall</v>
      </c>
      <c r="D390" s="0" t="str">
        <f aca="false">'Raw Store Exports'!D390</f>
        <v>FTW-204</v>
      </c>
      <c r="E390" s="0" t="str">
        <f aca="false">INDEX('Product Master'!$B$2:$B$21,MATCH(D390,'Product Master'!$A$2:$A$21,0))</f>
        <v>Slide Sandals</v>
      </c>
      <c r="F390" s="0" t="str">
        <f aca="false">INDEX('Product Master'!$C$2:$C$21,MATCH(D390,'Product Master'!$A$2:$A$21,0))</f>
        <v>Footwear</v>
      </c>
      <c r="G390" s="15" t="n">
        <f aca="false">VALUE(TRIM('Raw Store Exports'!E390&amp;""))</f>
        <v>2</v>
      </c>
      <c r="H390" s="18" t="n">
        <f aca="false">INDEX('Product Master'!$D$2:$D$21,MATCH(D390,'Product Master'!$A$2:$A$21,0))</f>
        <v>25</v>
      </c>
      <c r="I390" s="14" t="n">
        <f aca="false">G390*H390</f>
        <v>50</v>
      </c>
      <c r="J390" s="0" t="str">
        <f aca="false">IF(COUNTIF($A$2:A390,A390)&gt;1,"Duplicate","")</f>
        <v/>
      </c>
    </row>
    <row r="391" customFormat="false" ht="15" hidden="false" customHeight="false" outlineLevel="0" collapsed="false">
      <c r="A391" s="0" t="str">
        <f aca="false">'Raw Store Exports'!A391</f>
        <v>TXN00927</v>
      </c>
      <c r="B391" s="17" t="n">
        <f aca="false">'Raw Store Exports'!C391</f>
        <v>46071</v>
      </c>
      <c r="C391" s="0" t="str">
        <f aca="false">INDEX('Store Mapping'!$C$2:$C$19,MATCH(TRIM('Raw Store Exports'!B391),'Store Mapping'!$A$2:$A$19,0))</f>
        <v>Westside Mall</v>
      </c>
      <c r="D391" s="0" t="str">
        <f aca="false">'Raw Store Exports'!D391</f>
        <v>ACC-303</v>
      </c>
      <c r="E391" s="0" t="str">
        <f aca="false">INDEX('Product Master'!$B$2:$B$21,MATCH(D391,'Product Master'!$A$2:$A$21,0))</f>
        <v>Canvas Tote Bag</v>
      </c>
      <c r="F391" s="0" t="str">
        <f aca="false">INDEX('Product Master'!$C$2:$C$21,MATCH(D391,'Product Master'!$A$2:$A$21,0))</f>
        <v>Accessories</v>
      </c>
      <c r="G391" s="15" t="n">
        <f aca="false">VALUE(TRIM('Raw Store Exports'!E391&amp;""))</f>
        <v>3</v>
      </c>
      <c r="H391" s="18" t="n">
        <f aca="false">INDEX('Product Master'!$D$2:$D$21,MATCH(D391,'Product Master'!$A$2:$A$21,0))</f>
        <v>24</v>
      </c>
      <c r="I391" s="14" t="n">
        <f aca="false">G391*H391</f>
        <v>72</v>
      </c>
      <c r="J391" s="0" t="str">
        <f aca="false">IF(COUNTIF($A$2:A391,A391)&gt;1,"Duplicate","")</f>
        <v/>
      </c>
    </row>
    <row r="392" customFormat="false" ht="15" hidden="false" customHeight="false" outlineLevel="0" collapsed="false">
      <c r="A392" s="0" t="str">
        <f aca="false">'Raw Store Exports'!A392</f>
        <v>TXN01036</v>
      </c>
      <c r="B392" s="17" t="n">
        <f aca="false">'Raw Store Exports'!C392</f>
        <v>46074</v>
      </c>
      <c r="C392" s="0" t="str">
        <f aca="false">INDEX('Store Mapping'!$C$2:$C$19,MATCH(TRIM('Raw Store Exports'!B392),'Store Mapping'!$A$2:$A$19,0))</f>
        <v>Airport Plaza</v>
      </c>
      <c r="D392" s="0" t="str">
        <f aca="false">'Raw Store Exports'!D392</f>
        <v>ACC-304</v>
      </c>
      <c r="E392" s="0" t="str">
        <f aca="false">INDEX('Product Master'!$B$2:$B$21,MATCH(D392,'Product Master'!$A$2:$A$21,0))</f>
        <v>Wool Beanie</v>
      </c>
      <c r="F392" s="0" t="str">
        <f aca="false">INDEX('Product Master'!$C$2:$C$21,MATCH(D392,'Product Master'!$A$2:$A$21,0))</f>
        <v>Accessories</v>
      </c>
      <c r="G392" s="15" t="n">
        <f aca="false">VALUE(TRIM('Raw Store Exports'!E392&amp;""))</f>
        <v>1</v>
      </c>
      <c r="H392" s="18" t="n">
        <f aca="false">INDEX('Product Master'!$D$2:$D$21,MATCH(D392,'Product Master'!$A$2:$A$21,0))</f>
        <v>16</v>
      </c>
      <c r="I392" s="14" t="n">
        <f aca="false">G392*H392</f>
        <v>16</v>
      </c>
      <c r="J392" s="0" t="str">
        <f aca="false">IF(COUNTIF($A$2:A392,A392)&gt;1,"Duplicate","")</f>
        <v/>
      </c>
    </row>
    <row r="393" customFormat="false" ht="15" hidden="false" customHeight="false" outlineLevel="0" collapsed="false">
      <c r="A393" s="0" t="str">
        <f aca="false">'Raw Store Exports'!A393</f>
        <v>TXN00900</v>
      </c>
      <c r="B393" s="17" t="n">
        <f aca="false">'Raw Store Exports'!C393</f>
        <v>46074</v>
      </c>
      <c r="C393" s="0" t="str">
        <f aca="false">INDEX('Store Mapping'!$C$2:$C$19,MATCH(TRIM('Raw Store Exports'!B393),'Store Mapping'!$A$2:$A$19,0))</f>
        <v>Downtown</v>
      </c>
      <c r="D393" s="0" t="str">
        <f aca="false">'Raw Store Exports'!D393</f>
        <v>HOM-504</v>
      </c>
      <c r="E393" s="0" t="str">
        <f aca="false">INDEX('Product Master'!$B$2:$B$21,MATCH(D393,'Product Master'!$A$2:$A$21,0))</f>
        <v>Bamboo Cutting Board</v>
      </c>
      <c r="F393" s="0" t="str">
        <f aca="false">INDEX('Product Master'!$C$2:$C$21,MATCH(D393,'Product Master'!$A$2:$A$21,0))</f>
        <v>Home Goods</v>
      </c>
      <c r="G393" s="15" t="n">
        <f aca="false">VALUE(TRIM('Raw Store Exports'!E393&amp;""))</f>
        <v>3</v>
      </c>
      <c r="H393" s="18" t="n">
        <f aca="false">INDEX('Product Master'!$D$2:$D$21,MATCH(D393,'Product Master'!$A$2:$A$21,0))</f>
        <v>27</v>
      </c>
      <c r="I393" s="14" t="n">
        <f aca="false">G393*H393</f>
        <v>81</v>
      </c>
      <c r="J393" s="0" t="str">
        <f aca="false">IF(COUNTIF($A$2:A393,A393)&gt;1,"Duplicate","")</f>
        <v/>
      </c>
    </row>
    <row r="394" customFormat="false" ht="15" hidden="false" customHeight="false" outlineLevel="0" collapsed="false">
      <c r="A394" s="0" t="str">
        <f aca="false">'Raw Store Exports'!A394</f>
        <v>TXN00911</v>
      </c>
      <c r="B394" s="17" t="n">
        <f aca="false">'Raw Store Exports'!C394</f>
        <v>46073</v>
      </c>
      <c r="C394" s="0" t="str">
        <f aca="false">INDEX('Store Mapping'!$C$2:$C$19,MATCH(TRIM('Raw Store Exports'!B394),'Store Mapping'!$A$2:$A$19,0))</f>
        <v>Downtown</v>
      </c>
      <c r="D394" s="0" t="str">
        <f aca="false">'Raw Store Exports'!D394</f>
        <v>HOM-503</v>
      </c>
      <c r="E394" s="0" t="str">
        <f aca="false">INDEX('Product Master'!$B$2:$B$21,MATCH(D394,'Product Master'!$A$2:$A$21,0))</f>
        <v>Cotton Throw Blanket</v>
      </c>
      <c r="F394" s="0" t="str">
        <f aca="false">INDEX('Product Master'!$C$2:$C$21,MATCH(D394,'Product Master'!$A$2:$A$21,0))</f>
        <v>Home Goods</v>
      </c>
      <c r="G394" s="15" t="n">
        <f aca="false">VALUE(TRIM('Raw Store Exports'!E394&amp;""))</f>
        <v>1</v>
      </c>
      <c r="H394" s="18" t="n">
        <f aca="false">INDEX('Product Master'!$D$2:$D$21,MATCH(D394,'Product Master'!$A$2:$A$21,0))</f>
        <v>38</v>
      </c>
      <c r="I394" s="14" t="n">
        <f aca="false">G394*H394</f>
        <v>38</v>
      </c>
      <c r="J394" s="0" t="str">
        <f aca="false">IF(COUNTIF($A$2:A394,A394)&gt;1,"Duplicate","")</f>
        <v/>
      </c>
    </row>
    <row r="395" customFormat="false" ht="15" hidden="false" customHeight="false" outlineLevel="0" collapsed="false">
      <c r="A395" s="0" t="str">
        <f aca="false">'Raw Store Exports'!A395</f>
        <v>TXN00608</v>
      </c>
      <c r="B395" s="17" t="n">
        <f aca="false">'Raw Store Exports'!C395</f>
        <v>46057</v>
      </c>
      <c r="C395" s="0" t="str">
        <f aca="false">INDEX('Store Mapping'!$C$2:$C$19,MATCH(TRIM('Raw Store Exports'!B395),'Store Mapping'!$A$2:$A$19,0))</f>
        <v>Downtown</v>
      </c>
      <c r="D395" s="0" t="str">
        <f aca="false">'Raw Store Exports'!D395</f>
        <v>ACC-301</v>
      </c>
      <c r="E395" s="0" t="str">
        <f aca="false">INDEX('Product Master'!$B$2:$B$21,MATCH(D395,'Product Master'!$A$2:$A$21,0))</f>
        <v>Leather Belt</v>
      </c>
      <c r="F395" s="0" t="str">
        <f aca="false">INDEX('Product Master'!$C$2:$C$21,MATCH(D395,'Product Master'!$A$2:$A$21,0))</f>
        <v>Accessories</v>
      </c>
      <c r="G395" s="15" t="n">
        <f aca="false">VALUE(TRIM('Raw Store Exports'!E395&amp;""))</f>
        <v>5</v>
      </c>
      <c r="H395" s="18" t="n">
        <f aca="false">INDEX('Product Master'!$D$2:$D$21,MATCH(D395,'Product Master'!$A$2:$A$21,0))</f>
        <v>30</v>
      </c>
      <c r="I395" s="14" t="n">
        <f aca="false">G395*H395</f>
        <v>150</v>
      </c>
      <c r="J395" s="0" t="str">
        <f aca="false">IF(COUNTIF($A$2:A395,A395)&gt;1,"Duplicate","")</f>
        <v/>
      </c>
    </row>
    <row r="396" customFormat="false" ht="15" hidden="false" customHeight="false" outlineLevel="0" collapsed="false">
      <c r="A396" s="0" t="str">
        <f aca="false">'Raw Store Exports'!A396</f>
        <v>TXN00654</v>
      </c>
      <c r="B396" s="17" t="n">
        <f aca="false">'Raw Store Exports'!C396</f>
        <v>46057</v>
      </c>
      <c r="C396" s="0" t="str">
        <f aca="false">INDEX('Store Mapping'!$C$2:$C$19,MATCH(TRIM('Raw Store Exports'!B396),'Store Mapping'!$A$2:$A$19,0))</f>
        <v>Eastgate</v>
      </c>
      <c r="D396" s="0" t="str">
        <f aca="false">'Raw Store Exports'!D396</f>
        <v>FTW-202</v>
      </c>
      <c r="E396" s="0" t="str">
        <f aca="false">INDEX('Product Master'!$B$2:$B$21,MATCH(D396,'Product Master'!$A$2:$A$21,0))</f>
        <v>Canvas Low-Top</v>
      </c>
      <c r="F396" s="0" t="str">
        <f aca="false">INDEX('Product Master'!$C$2:$C$21,MATCH(D396,'Product Master'!$A$2:$A$21,0))</f>
        <v>Footwear</v>
      </c>
      <c r="G396" s="15" t="n">
        <f aca="false">VALUE(TRIM('Raw Store Exports'!E396&amp;""))</f>
        <v>3</v>
      </c>
      <c r="H396" s="18" t="n">
        <f aca="false">INDEX('Product Master'!$D$2:$D$21,MATCH(D396,'Product Master'!$A$2:$A$21,0))</f>
        <v>55</v>
      </c>
      <c r="I396" s="14" t="n">
        <f aca="false">G396*H396</f>
        <v>165</v>
      </c>
      <c r="J396" s="0" t="str">
        <f aca="false">IF(COUNTIF($A$2:A396,A396)&gt;1,"Duplicate","")</f>
        <v/>
      </c>
    </row>
    <row r="397" customFormat="false" ht="15" hidden="false" customHeight="false" outlineLevel="0" collapsed="false">
      <c r="A397" s="0" t="str">
        <f aca="false">'Raw Store Exports'!A397</f>
        <v>TXN01181</v>
      </c>
      <c r="B397" s="17" t="n">
        <f aca="false">'Raw Store Exports'!C397</f>
        <v>46082</v>
      </c>
      <c r="C397" s="0" t="str">
        <f aca="false">INDEX('Store Mapping'!$C$2:$C$19,MATCH(TRIM('Raw Store Exports'!B397),'Store Mapping'!$A$2:$A$19,0))</f>
        <v>Airport Plaza</v>
      </c>
      <c r="D397" s="0" t="str">
        <f aca="false">'Raw Store Exports'!D397</f>
        <v>FTW-201</v>
      </c>
      <c r="E397" s="0" t="str">
        <f aca="false">INDEX('Product Master'!$B$2:$B$21,MATCH(D397,'Product Master'!$A$2:$A$21,0))</f>
        <v>Running Sneakers</v>
      </c>
      <c r="F397" s="0" t="str">
        <f aca="false">INDEX('Product Master'!$C$2:$C$21,MATCH(D397,'Product Master'!$A$2:$A$21,0))</f>
        <v>Footwear</v>
      </c>
      <c r="G397" s="15" t="n">
        <f aca="false">VALUE(TRIM('Raw Store Exports'!E397&amp;""))</f>
        <v>5</v>
      </c>
      <c r="H397" s="18" t="n">
        <f aca="false">INDEX('Product Master'!$D$2:$D$21,MATCH(D397,'Product Master'!$A$2:$A$21,0))</f>
        <v>89</v>
      </c>
      <c r="I397" s="14" t="n">
        <f aca="false">G397*H397</f>
        <v>445</v>
      </c>
      <c r="J397" s="0" t="str">
        <f aca="false">IF(COUNTIF($A$2:A397,A397)&gt;1,"Duplicate","")</f>
        <v/>
      </c>
    </row>
    <row r="398" customFormat="false" ht="15" hidden="false" customHeight="false" outlineLevel="0" collapsed="false">
      <c r="A398" s="0" t="str">
        <f aca="false">'Raw Store Exports'!A398</f>
        <v>TXN01186</v>
      </c>
      <c r="B398" s="17" t="n">
        <f aca="false">'Raw Store Exports'!C398</f>
        <v>46082</v>
      </c>
      <c r="C398" s="0" t="str">
        <f aca="false">INDEX('Store Mapping'!$C$2:$C$19,MATCH(TRIM('Raw Store Exports'!B398),'Store Mapping'!$A$2:$A$19,0))</f>
        <v>Airport Plaza</v>
      </c>
      <c r="D398" s="0" t="str">
        <f aca="false">'Raw Store Exports'!D398</f>
        <v>FTW-202</v>
      </c>
      <c r="E398" s="0" t="str">
        <f aca="false">INDEX('Product Master'!$B$2:$B$21,MATCH(D398,'Product Master'!$A$2:$A$21,0))</f>
        <v>Canvas Low-Top</v>
      </c>
      <c r="F398" s="0" t="str">
        <f aca="false">INDEX('Product Master'!$C$2:$C$21,MATCH(D398,'Product Master'!$A$2:$A$21,0))</f>
        <v>Footwear</v>
      </c>
      <c r="G398" s="15" t="n">
        <f aca="false">VALUE(TRIM('Raw Store Exports'!E398&amp;""))</f>
        <v>6</v>
      </c>
      <c r="H398" s="18" t="n">
        <f aca="false">INDEX('Product Master'!$D$2:$D$21,MATCH(D398,'Product Master'!$A$2:$A$21,0))</f>
        <v>55</v>
      </c>
      <c r="I398" s="14" t="n">
        <f aca="false">G398*H398</f>
        <v>330</v>
      </c>
      <c r="J398" s="0" t="str">
        <f aca="false">IF(COUNTIF($A$2:A398,A398)&gt;1,"Duplicate","")</f>
        <v/>
      </c>
    </row>
    <row r="399" customFormat="false" ht="15" hidden="false" customHeight="false" outlineLevel="0" collapsed="false">
      <c r="A399" s="0" t="str">
        <f aca="false">'Raw Store Exports'!A399</f>
        <v>TXN00024</v>
      </c>
      <c r="B399" s="17" t="n">
        <f aca="false">'Raw Store Exports'!C399</f>
        <v>46031</v>
      </c>
      <c r="C399" s="0" t="str">
        <f aca="false">INDEX('Store Mapping'!$C$2:$C$19,MATCH(TRIM('Raw Store Exports'!B399),'Store Mapping'!$A$2:$A$19,0))</f>
        <v>Westside Mall</v>
      </c>
      <c r="D399" s="0" t="str">
        <f aca="false">'Raw Store Exports'!D399</f>
        <v>ELE-401</v>
      </c>
      <c r="E399" s="0" t="str">
        <f aca="false">INDEX('Product Master'!$B$2:$B$21,MATCH(D399,'Product Master'!$A$2:$A$21,0))</f>
        <v>Wireless Earbuds</v>
      </c>
      <c r="F399" s="0" t="str">
        <f aca="false">INDEX('Product Master'!$C$2:$C$21,MATCH(D399,'Product Master'!$A$2:$A$21,0))</f>
        <v>Electronics</v>
      </c>
      <c r="G399" s="15" t="n">
        <f aca="false">VALUE(TRIM('Raw Store Exports'!E399&amp;""))</f>
        <v>3</v>
      </c>
      <c r="H399" s="18" t="n">
        <f aca="false">INDEX('Product Master'!$D$2:$D$21,MATCH(D399,'Product Master'!$A$2:$A$21,0))</f>
        <v>79</v>
      </c>
      <c r="I399" s="14" t="n">
        <f aca="false">G399*H399</f>
        <v>237</v>
      </c>
      <c r="J399" s="0" t="str">
        <f aca="false">IF(COUNTIF($A$2:A399,A399)&gt;1,"Duplicate","")</f>
        <v/>
      </c>
    </row>
    <row r="400" customFormat="false" ht="15" hidden="false" customHeight="false" outlineLevel="0" collapsed="false">
      <c r="A400" s="0" t="str">
        <f aca="false">'Raw Store Exports'!A400</f>
        <v>TXN01122</v>
      </c>
      <c r="B400" s="17" t="n">
        <f aca="false">'Raw Store Exports'!C400</f>
        <v>46080</v>
      </c>
      <c r="C400" s="0" t="str">
        <f aca="false">INDEX('Store Mapping'!$C$2:$C$19,MATCH(TRIM('Raw Store Exports'!B400),'Store Mapping'!$A$2:$A$19,0))</f>
        <v>Eastgate</v>
      </c>
      <c r="D400" s="0" t="str">
        <f aca="false">'Raw Store Exports'!D400</f>
        <v>FTW-201</v>
      </c>
      <c r="E400" s="0" t="str">
        <f aca="false">INDEX('Product Master'!$B$2:$B$21,MATCH(D400,'Product Master'!$A$2:$A$21,0))</f>
        <v>Running Sneakers</v>
      </c>
      <c r="F400" s="0" t="str">
        <f aca="false">INDEX('Product Master'!$C$2:$C$21,MATCH(D400,'Product Master'!$A$2:$A$21,0))</f>
        <v>Footwear</v>
      </c>
      <c r="G400" s="15" t="n">
        <f aca="false">VALUE(TRIM('Raw Store Exports'!E400&amp;""))</f>
        <v>2</v>
      </c>
      <c r="H400" s="18" t="n">
        <f aca="false">INDEX('Product Master'!$D$2:$D$21,MATCH(D400,'Product Master'!$A$2:$A$21,0))</f>
        <v>89</v>
      </c>
      <c r="I400" s="14" t="n">
        <f aca="false">G400*H400</f>
        <v>178</v>
      </c>
      <c r="J400" s="0" t="str">
        <f aca="false">IF(COUNTIF($A$2:A400,A400)&gt;1,"Duplicate","")</f>
        <v/>
      </c>
    </row>
    <row r="401" customFormat="false" ht="15" hidden="false" customHeight="false" outlineLevel="0" collapsed="false">
      <c r="A401" s="0" t="str">
        <f aca="false">'Raw Store Exports'!A401</f>
        <v>TXN00418</v>
      </c>
      <c r="B401" s="17" t="n">
        <f aca="false">'Raw Store Exports'!C401</f>
        <v>46042</v>
      </c>
      <c r="C401" s="0" t="str">
        <f aca="false">INDEX('Store Mapping'!$C$2:$C$19,MATCH(TRIM('Raw Store Exports'!B401),'Store Mapping'!$A$2:$A$19,0))</f>
        <v>Airport Plaza</v>
      </c>
      <c r="D401" s="0" t="str">
        <f aca="false">'Raw Store Exports'!D401</f>
        <v>ACC-301</v>
      </c>
      <c r="E401" s="0" t="str">
        <f aca="false">INDEX('Product Master'!$B$2:$B$21,MATCH(D401,'Product Master'!$A$2:$A$21,0))</f>
        <v>Leather Belt</v>
      </c>
      <c r="F401" s="0" t="str">
        <f aca="false">INDEX('Product Master'!$C$2:$C$21,MATCH(D401,'Product Master'!$A$2:$A$21,0))</f>
        <v>Accessories</v>
      </c>
      <c r="G401" s="15" t="n">
        <f aca="false">VALUE(TRIM('Raw Store Exports'!E401&amp;""))</f>
        <v>3</v>
      </c>
      <c r="H401" s="18" t="n">
        <f aca="false">INDEX('Product Master'!$D$2:$D$21,MATCH(D401,'Product Master'!$A$2:$A$21,0))</f>
        <v>30</v>
      </c>
      <c r="I401" s="14" t="n">
        <f aca="false">G401*H401</f>
        <v>90</v>
      </c>
      <c r="J401" s="0" t="str">
        <f aca="false">IF(COUNTIF($A$2:A401,A401)&gt;1,"Duplicate","")</f>
        <v/>
      </c>
    </row>
    <row r="402" customFormat="false" ht="15" hidden="false" customHeight="false" outlineLevel="0" collapsed="false">
      <c r="A402" s="0" t="str">
        <f aca="false">'Raw Store Exports'!A402</f>
        <v>TXN00901</v>
      </c>
      <c r="B402" s="17" t="n">
        <f aca="false">'Raw Store Exports'!C402</f>
        <v>46071</v>
      </c>
      <c r="C402" s="0" t="str">
        <f aca="false">INDEX('Store Mapping'!$C$2:$C$19,MATCH(TRIM('Raw Store Exports'!B402),'Store Mapping'!$A$2:$A$19,0))</f>
        <v>Downtown</v>
      </c>
      <c r="D402" s="0" t="str">
        <f aca="false">'Raw Store Exports'!D402</f>
        <v>FTW-203</v>
      </c>
      <c r="E402" s="0" t="str">
        <f aca="false">INDEX('Product Master'!$B$2:$B$21,MATCH(D402,'Product Master'!$A$2:$A$21,0))</f>
        <v>Leather Ankle Boot</v>
      </c>
      <c r="F402" s="0" t="str">
        <f aca="false">INDEX('Product Master'!$C$2:$C$21,MATCH(D402,'Product Master'!$A$2:$A$21,0))</f>
        <v>Footwear</v>
      </c>
      <c r="G402" s="15" t="n">
        <f aca="false">VALUE(TRIM('Raw Store Exports'!E402&amp;""))</f>
        <v>2</v>
      </c>
      <c r="H402" s="18" t="n">
        <f aca="false">INDEX('Product Master'!$D$2:$D$21,MATCH(D402,'Product Master'!$A$2:$A$21,0))</f>
        <v>120</v>
      </c>
      <c r="I402" s="14" t="n">
        <f aca="false">G402*H402</f>
        <v>240</v>
      </c>
      <c r="J402" s="0" t="str">
        <f aca="false">IF(COUNTIF($A$2:A402,A402)&gt;1,"Duplicate","")</f>
        <v/>
      </c>
    </row>
    <row r="403" customFormat="false" ht="15" hidden="false" customHeight="false" outlineLevel="0" collapsed="false">
      <c r="A403" s="0" t="str">
        <f aca="false">'Raw Store Exports'!A403</f>
        <v>TXN00755</v>
      </c>
      <c r="B403" s="17" t="n">
        <f aca="false">'Raw Store Exports'!C403</f>
        <v>46066</v>
      </c>
      <c r="C403" s="0" t="str">
        <f aca="false">INDEX('Store Mapping'!$C$2:$C$19,MATCH(TRIM('Raw Store Exports'!B403),'Store Mapping'!$A$2:$A$19,0))</f>
        <v>Downtown</v>
      </c>
      <c r="D403" s="0" t="str">
        <f aca="false">'Raw Store Exports'!D403</f>
        <v>APP-104</v>
      </c>
      <c r="E403" s="0" t="str">
        <f aca="false">INDEX('Product Master'!$B$2:$B$21,MATCH(D403,'Product Master'!$A$2:$A$21,0))</f>
        <v>Slim Fit Chinos</v>
      </c>
      <c r="F403" s="0" t="str">
        <f aca="false">INDEX('Product Master'!$C$2:$C$21,MATCH(D403,'Product Master'!$A$2:$A$21,0))</f>
        <v>Apparel</v>
      </c>
      <c r="G403" s="15" t="n">
        <f aca="false">VALUE(TRIM('Raw Store Exports'!E403&amp;""))</f>
        <v>5</v>
      </c>
      <c r="H403" s="18" t="n">
        <f aca="false">INDEX('Product Master'!$D$2:$D$21,MATCH(D403,'Product Master'!$A$2:$A$21,0))</f>
        <v>52</v>
      </c>
      <c r="I403" s="14" t="n">
        <f aca="false">G403*H403</f>
        <v>260</v>
      </c>
      <c r="J403" s="0" t="str">
        <f aca="false">IF(COUNTIF($A$2:A403,A403)&gt;1,"Duplicate","")</f>
        <v/>
      </c>
    </row>
    <row r="404" customFormat="false" ht="15" hidden="false" customHeight="false" outlineLevel="0" collapsed="false">
      <c r="A404" s="0" t="str">
        <f aca="false">'Raw Store Exports'!A404</f>
        <v>TXN01092</v>
      </c>
      <c r="B404" s="17" t="n">
        <f aca="false">'Raw Store Exports'!C404</f>
        <v>46081</v>
      </c>
      <c r="C404" s="0" t="str">
        <f aca="false">INDEX('Store Mapping'!$C$2:$C$19,MATCH(TRIM('Raw Store Exports'!B404),'Store Mapping'!$A$2:$A$19,0))</f>
        <v>Westside Mall</v>
      </c>
      <c r="D404" s="0" t="str">
        <f aca="false">'Raw Store Exports'!D404</f>
        <v>HOM-502</v>
      </c>
      <c r="E404" s="0" t="str">
        <f aca="false">INDEX('Product Master'!$B$2:$B$21,MATCH(D404,'Product Master'!$A$2:$A$21,0))</f>
        <v>Scented Candle</v>
      </c>
      <c r="F404" s="0" t="str">
        <f aca="false">INDEX('Product Master'!$C$2:$C$21,MATCH(D404,'Product Master'!$A$2:$A$21,0))</f>
        <v>Home Goods</v>
      </c>
      <c r="G404" s="15" t="n">
        <f aca="false">VALUE(TRIM('Raw Store Exports'!E404&amp;""))</f>
        <v>5</v>
      </c>
      <c r="H404" s="18" t="n">
        <f aca="false">INDEX('Product Master'!$D$2:$D$21,MATCH(D404,'Product Master'!$A$2:$A$21,0))</f>
        <v>15</v>
      </c>
      <c r="I404" s="14" t="n">
        <f aca="false">G404*H404</f>
        <v>75</v>
      </c>
      <c r="J404" s="0" t="str">
        <f aca="false">IF(COUNTIF($A$2:A404,A404)&gt;1,"Duplicate","")</f>
        <v/>
      </c>
    </row>
    <row r="405" customFormat="false" ht="15" hidden="false" customHeight="false" outlineLevel="0" collapsed="false">
      <c r="A405" s="0" t="str">
        <f aca="false">'Raw Store Exports'!A405</f>
        <v>TXN01146</v>
      </c>
      <c r="B405" s="17" t="n">
        <f aca="false">'Raw Store Exports'!C405</f>
        <v>46082</v>
      </c>
      <c r="C405" s="0" t="str">
        <f aca="false">INDEX('Store Mapping'!$C$2:$C$19,MATCH(TRIM('Raw Store Exports'!B405),'Store Mapping'!$A$2:$A$19,0))</f>
        <v>Northpark</v>
      </c>
      <c r="D405" s="0" t="str">
        <f aca="false">'Raw Store Exports'!D405</f>
        <v>HOM-501</v>
      </c>
      <c r="E405" s="0" t="str">
        <f aca="false">INDEX('Product Master'!$B$2:$B$21,MATCH(D405,'Product Master'!$A$2:$A$21,0))</f>
        <v>Ceramic Coffee Mug Set</v>
      </c>
      <c r="F405" s="0" t="str">
        <f aca="false">INDEX('Product Master'!$C$2:$C$21,MATCH(D405,'Product Master'!$A$2:$A$21,0))</f>
        <v>Home Goods</v>
      </c>
      <c r="G405" s="15" t="n">
        <f aca="false">VALUE(TRIM('Raw Store Exports'!E405&amp;""))</f>
        <v>4</v>
      </c>
      <c r="H405" s="18" t="n">
        <f aca="false">INDEX('Product Master'!$D$2:$D$21,MATCH(D405,'Product Master'!$A$2:$A$21,0))</f>
        <v>22</v>
      </c>
      <c r="I405" s="14" t="n">
        <f aca="false">G405*H405</f>
        <v>88</v>
      </c>
      <c r="J405" s="0" t="str">
        <f aca="false">IF(COUNTIF($A$2:A405,A405)&gt;1,"Duplicate","")</f>
        <v/>
      </c>
    </row>
    <row r="406" customFormat="false" ht="15" hidden="false" customHeight="false" outlineLevel="0" collapsed="false">
      <c r="A406" s="0" t="str">
        <f aca="false">'Raw Store Exports'!A406</f>
        <v>TXN00388</v>
      </c>
      <c r="B406" s="17" t="n">
        <f aca="false">'Raw Store Exports'!C406</f>
        <v>46047</v>
      </c>
      <c r="C406" s="0" t="str">
        <f aca="false">INDEX('Store Mapping'!$C$2:$C$19,MATCH(TRIM('Raw Store Exports'!B406),'Store Mapping'!$A$2:$A$19,0))</f>
        <v>Riverside</v>
      </c>
      <c r="D406" s="0" t="str">
        <f aca="false">'Raw Store Exports'!D406</f>
        <v>HOM-502</v>
      </c>
      <c r="E406" s="0" t="str">
        <f aca="false">INDEX('Product Master'!$B$2:$B$21,MATCH(D406,'Product Master'!$A$2:$A$21,0))</f>
        <v>Scented Candle</v>
      </c>
      <c r="F406" s="0" t="str">
        <f aca="false">INDEX('Product Master'!$C$2:$C$21,MATCH(D406,'Product Master'!$A$2:$A$21,0))</f>
        <v>Home Goods</v>
      </c>
      <c r="G406" s="15" t="n">
        <f aca="false">VALUE(TRIM('Raw Store Exports'!E406&amp;""))</f>
        <v>5</v>
      </c>
      <c r="H406" s="18" t="n">
        <f aca="false">INDEX('Product Master'!$D$2:$D$21,MATCH(D406,'Product Master'!$A$2:$A$21,0))</f>
        <v>15</v>
      </c>
      <c r="I406" s="14" t="n">
        <f aca="false">G406*H406</f>
        <v>75</v>
      </c>
      <c r="J406" s="0" t="str">
        <f aca="false">IF(COUNTIF($A$2:A406,A406)&gt;1,"Duplicate","")</f>
        <v/>
      </c>
    </row>
    <row r="407" customFormat="false" ht="15" hidden="false" customHeight="false" outlineLevel="0" collapsed="false">
      <c r="A407" s="0" t="str">
        <f aca="false">'Raw Store Exports'!A407</f>
        <v>TXN00661</v>
      </c>
      <c r="B407" s="17" t="n">
        <f aca="false">'Raw Store Exports'!C407</f>
        <v>46057</v>
      </c>
      <c r="C407" s="0" t="str">
        <f aca="false">INDEX('Store Mapping'!$C$2:$C$19,MATCH(TRIM('Raw Store Exports'!B407),'Store Mapping'!$A$2:$A$19,0))</f>
        <v>Eastgate</v>
      </c>
      <c r="D407" s="0" t="str">
        <f aca="false">'Raw Store Exports'!D407</f>
        <v>FTW-201</v>
      </c>
      <c r="E407" s="0" t="str">
        <f aca="false">INDEX('Product Master'!$B$2:$B$21,MATCH(D407,'Product Master'!$A$2:$A$21,0))</f>
        <v>Running Sneakers</v>
      </c>
      <c r="F407" s="0" t="str">
        <f aca="false">INDEX('Product Master'!$C$2:$C$21,MATCH(D407,'Product Master'!$A$2:$A$21,0))</f>
        <v>Footwear</v>
      </c>
      <c r="G407" s="15" t="n">
        <f aca="false">VALUE(TRIM('Raw Store Exports'!E407&amp;""))</f>
        <v>6</v>
      </c>
      <c r="H407" s="18" t="n">
        <f aca="false">INDEX('Product Master'!$D$2:$D$21,MATCH(D407,'Product Master'!$A$2:$A$21,0))</f>
        <v>89</v>
      </c>
      <c r="I407" s="14" t="n">
        <f aca="false">G407*H407</f>
        <v>534</v>
      </c>
      <c r="J407" s="0" t="str">
        <f aca="false">IF(COUNTIF($A$2:A407,A407)&gt;1,"Duplicate","")</f>
        <v/>
      </c>
    </row>
    <row r="408" customFormat="false" ht="15" hidden="false" customHeight="false" outlineLevel="0" collapsed="false">
      <c r="A408" s="0" t="str">
        <f aca="false">'Raw Store Exports'!A408</f>
        <v>TXN00872</v>
      </c>
      <c r="B408" s="17" t="n">
        <f aca="false">'Raw Store Exports'!C408</f>
        <v>46068</v>
      </c>
      <c r="C408" s="0" t="str">
        <f aca="false">INDEX('Store Mapping'!$C$2:$C$19,MATCH(TRIM('Raw Store Exports'!B408),'Store Mapping'!$A$2:$A$19,0))</f>
        <v>Riverside</v>
      </c>
      <c r="D408" s="0" t="str">
        <f aca="false">'Raw Store Exports'!D408</f>
        <v>APP-103</v>
      </c>
      <c r="E408" s="0" t="str">
        <f aca="false">INDEX('Product Master'!$B$2:$B$21,MATCH(D408,'Product Master'!$A$2:$A$21,0))</f>
        <v>Fleece Pullover Hoodie</v>
      </c>
      <c r="F408" s="0" t="str">
        <f aca="false">INDEX('Product Master'!$C$2:$C$21,MATCH(D408,'Product Master'!$A$2:$A$21,0))</f>
        <v>Apparel</v>
      </c>
      <c r="G408" s="15" t="n">
        <f aca="false">VALUE(TRIM('Raw Store Exports'!E408&amp;""))</f>
        <v>1</v>
      </c>
      <c r="H408" s="18" t="n">
        <f aca="false">INDEX('Product Master'!$D$2:$D$21,MATCH(D408,'Product Master'!$A$2:$A$21,0))</f>
        <v>45</v>
      </c>
      <c r="I408" s="14" t="n">
        <f aca="false">G408*H408</f>
        <v>45</v>
      </c>
      <c r="J408" s="0" t="str">
        <f aca="false">IF(COUNTIF($A$2:A408,A408)&gt;1,"Duplicate","")</f>
        <v/>
      </c>
    </row>
    <row r="409" customFormat="false" ht="15" hidden="false" customHeight="false" outlineLevel="0" collapsed="false">
      <c r="A409" s="0" t="str">
        <f aca="false">'Raw Store Exports'!A409</f>
        <v>TXN00559</v>
      </c>
      <c r="B409" s="17" t="n">
        <f aca="false">'Raw Store Exports'!C409</f>
        <v>46052</v>
      </c>
      <c r="C409" s="0" t="str">
        <f aca="false">INDEX('Store Mapping'!$C$2:$C$19,MATCH(TRIM('Raw Store Exports'!B409),'Store Mapping'!$A$2:$A$19,0))</f>
        <v>Riverside</v>
      </c>
      <c r="D409" s="0" t="str">
        <f aca="false">'Raw Store Exports'!D409</f>
        <v>FTW-201</v>
      </c>
      <c r="E409" s="0" t="str">
        <f aca="false">INDEX('Product Master'!$B$2:$B$21,MATCH(D409,'Product Master'!$A$2:$A$21,0))</f>
        <v>Running Sneakers</v>
      </c>
      <c r="F409" s="0" t="str">
        <f aca="false">INDEX('Product Master'!$C$2:$C$21,MATCH(D409,'Product Master'!$A$2:$A$21,0))</f>
        <v>Footwear</v>
      </c>
      <c r="G409" s="15" t="n">
        <f aca="false">VALUE(TRIM('Raw Store Exports'!E409&amp;""))</f>
        <v>2</v>
      </c>
      <c r="H409" s="18" t="n">
        <f aca="false">INDEX('Product Master'!$D$2:$D$21,MATCH(D409,'Product Master'!$A$2:$A$21,0))</f>
        <v>89</v>
      </c>
      <c r="I409" s="14" t="n">
        <f aca="false">G409*H409</f>
        <v>178</v>
      </c>
      <c r="J409" s="0" t="str">
        <f aca="false">IF(COUNTIF($A$2:A409,A409)&gt;1,"Duplicate","")</f>
        <v/>
      </c>
    </row>
    <row r="410" customFormat="false" ht="15" hidden="false" customHeight="false" outlineLevel="0" collapsed="false">
      <c r="A410" s="0" t="str">
        <f aca="false">'Raw Store Exports'!A410</f>
        <v>TXN00935</v>
      </c>
      <c r="B410" s="17" t="n">
        <f aca="false">'Raw Store Exports'!C410</f>
        <v>46070</v>
      </c>
      <c r="C410" s="0" t="str">
        <f aca="false">INDEX('Store Mapping'!$C$2:$C$19,MATCH(TRIM('Raw Store Exports'!B410),'Store Mapping'!$A$2:$A$19,0))</f>
        <v>Westside Mall</v>
      </c>
      <c r="D410" s="0" t="str">
        <f aca="false">'Raw Store Exports'!D410</f>
        <v>ELE-404</v>
      </c>
      <c r="E410" s="0" t="str">
        <f aca="false">INDEX('Product Master'!$B$2:$B$21,MATCH(D410,'Product Master'!$A$2:$A$21,0))</f>
        <v>Phone Charging Cable</v>
      </c>
      <c r="F410" s="0" t="str">
        <f aca="false">INDEX('Product Master'!$C$2:$C$21,MATCH(D410,'Product Master'!$A$2:$A$21,0))</f>
        <v>Electronics</v>
      </c>
      <c r="G410" s="15" t="n">
        <f aca="false">VALUE(TRIM('Raw Store Exports'!E410&amp;""))</f>
        <v>5</v>
      </c>
      <c r="H410" s="18" t="n">
        <f aca="false">INDEX('Product Master'!$D$2:$D$21,MATCH(D410,'Product Master'!$A$2:$A$21,0))</f>
        <v>12</v>
      </c>
      <c r="I410" s="14" t="n">
        <f aca="false">G410*H410</f>
        <v>60</v>
      </c>
      <c r="J410" s="0" t="str">
        <f aca="false">IF(COUNTIF($A$2:A410,A410)&gt;1,"Duplicate","")</f>
        <v/>
      </c>
    </row>
    <row r="411" customFormat="false" ht="15" hidden="false" customHeight="false" outlineLevel="0" collapsed="false">
      <c r="A411" s="0" t="str">
        <f aca="false">'Raw Store Exports'!A411</f>
        <v>TXN00642</v>
      </c>
      <c r="B411" s="17" t="n">
        <f aca="false">'Raw Store Exports'!C411</f>
        <v>46056</v>
      </c>
      <c r="C411" s="0" t="str">
        <f aca="false">INDEX('Store Mapping'!$C$2:$C$19,MATCH(TRIM('Raw Store Exports'!B411),'Store Mapping'!$A$2:$A$19,0))</f>
        <v>Westside Mall</v>
      </c>
      <c r="D411" s="0" t="str">
        <f aca="false">'Raw Store Exports'!D411</f>
        <v>ELE-403</v>
      </c>
      <c r="E411" s="0" t="str">
        <f aca="false">INDEX('Product Master'!$B$2:$B$21,MATCH(D411,'Product Master'!$A$2:$A$21,0))</f>
        <v>Fitness Tracker Band</v>
      </c>
      <c r="F411" s="0" t="str">
        <f aca="false">INDEX('Product Master'!$C$2:$C$21,MATCH(D411,'Product Master'!$A$2:$A$21,0))</f>
        <v>Electronics</v>
      </c>
      <c r="G411" s="15" t="n">
        <f aca="false">VALUE(TRIM('Raw Store Exports'!E411&amp;""))</f>
        <v>5</v>
      </c>
      <c r="H411" s="18" t="n">
        <f aca="false">INDEX('Product Master'!$D$2:$D$21,MATCH(D411,'Product Master'!$A$2:$A$21,0))</f>
        <v>99</v>
      </c>
      <c r="I411" s="14" t="n">
        <f aca="false">G411*H411</f>
        <v>495</v>
      </c>
      <c r="J411" s="0" t="str">
        <f aca="false">IF(COUNTIF($A$2:A411,A411)&gt;1,"Duplicate","")</f>
        <v/>
      </c>
    </row>
    <row r="412" customFormat="false" ht="15" hidden="false" customHeight="false" outlineLevel="0" collapsed="false">
      <c r="A412" s="0" t="str">
        <f aca="false">'Raw Store Exports'!A412</f>
        <v>TXN01178</v>
      </c>
      <c r="B412" s="17" t="n">
        <f aca="false">'Raw Store Exports'!C412</f>
        <v>46081</v>
      </c>
      <c r="C412" s="0" t="str">
        <f aca="false">INDEX('Store Mapping'!$C$2:$C$19,MATCH(TRIM('Raw Store Exports'!B412),'Store Mapping'!$A$2:$A$19,0))</f>
        <v>Airport Plaza</v>
      </c>
      <c r="D412" s="0" t="str">
        <f aca="false">'Raw Store Exports'!D412</f>
        <v>ACC-304</v>
      </c>
      <c r="E412" s="0" t="str">
        <f aca="false">INDEX('Product Master'!$B$2:$B$21,MATCH(D412,'Product Master'!$A$2:$A$21,0))</f>
        <v>Wool Beanie</v>
      </c>
      <c r="F412" s="0" t="str">
        <f aca="false">INDEX('Product Master'!$C$2:$C$21,MATCH(D412,'Product Master'!$A$2:$A$21,0))</f>
        <v>Accessories</v>
      </c>
      <c r="G412" s="15" t="n">
        <f aca="false">VALUE(TRIM('Raw Store Exports'!E412&amp;""))</f>
        <v>4</v>
      </c>
      <c r="H412" s="18" t="n">
        <f aca="false">INDEX('Product Master'!$D$2:$D$21,MATCH(D412,'Product Master'!$A$2:$A$21,0))</f>
        <v>16</v>
      </c>
      <c r="I412" s="14" t="n">
        <f aca="false">G412*H412</f>
        <v>64</v>
      </c>
      <c r="J412" s="0" t="str">
        <f aca="false">IF(COUNTIF($A$2:A412,A412)&gt;1,"Duplicate","")</f>
        <v/>
      </c>
    </row>
    <row r="413" customFormat="false" ht="15" hidden="false" customHeight="false" outlineLevel="0" collapsed="false">
      <c r="A413" s="0" t="str">
        <f aca="false">'Raw Store Exports'!A413</f>
        <v>TXN00323</v>
      </c>
      <c r="B413" s="17" t="n">
        <f aca="false">'Raw Store Exports'!C413</f>
        <v>46045</v>
      </c>
      <c r="C413" s="0" t="str">
        <f aca="false">INDEX('Store Mapping'!$C$2:$C$19,MATCH(TRIM('Raw Store Exports'!B413),'Store Mapping'!$A$2:$A$19,0))</f>
        <v>Eastgate</v>
      </c>
      <c r="D413" s="0" t="str">
        <f aca="false">'Raw Store Exports'!D413</f>
        <v>FTW-203</v>
      </c>
      <c r="E413" s="0" t="str">
        <f aca="false">INDEX('Product Master'!$B$2:$B$21,MATCH(D413,'Product Master'!$A$2:$A$21,0))</f>
        <v>Leather Ankle Boot</v>
      </c>
      <c r="F413" s="0" t="str">
        <f aca="false">INDEX('Product Master'!$C$2:$C$21,MATCH(D413,'Product Master'!$A$2:$A$21,0))</f>
        <v>Footwear</v>
      </c>
      <c r="G413" s="15" t="n">
        <f aca="false">VALUE(TRIM('Raw Store Exports'!E413&amp;""))</f>
        <v>2</v>
      </c>
      <c r="H413" s="18" t="n">
        <f aca="false">INDEX('Product Master'!$D$2:$D$21,MATCH(D413,'Product Master'!$A$2:$A$21,0))</f>
        <v>120</v>
      </c>
      <c r="I413" s="14" t="n">
        <f aca="false">G413*H413</f>
        <v>240</v>
      </c>
      <c r="J413" s="0" t="str">
        <f aca="false">IF(COUNTIF($A$2:A413,A413)&gt;1,"Duplicate","")</f>
        <v/>
      </c>
    </row>
    <row r="414" customFormat="false" ht="15" hidden="false" customHeight="false" outlineLevel="0" collapsed="false">
      <c r="A414" s="0" t="str">
        <f aca="false">'Raw Store Exports'!A414</f>
        <v>TXN00139</v>
      </c>
      <c r="B414" s="17" t="n">
        <f aca="false">'Raw Store Exports'!C414</f>
        <v>46037</v>
      </c>
      <c r="C414" s="0" t="str">
        <f aca="false">INDEX('Store Mapping'!$C$2:$C$19,MATCH(TRIM('Raw Store Exports'!B414),'Store Mapping'!$A$2:$A$19,0))</f>
        <v>Downtown</v>
      </c>
      <c r="D414" s="0" t="str">
        <f aca="false">'Raw Store Exports'!D414</f>
        <v>HOM-501</v>
      </c>
      <c r="E414" s="0" t="str">
        <f aca="false">INDEX('Product Master'!$B$2:$B$21,MATCH(D414,'Product Master'!$A$2:$A$21,0))</f>
        <v>Ceramic Coffee Mug Set</v>
      </c>
      <c r="F414" s="0" t="str">
        <f aca="false">INDEX('Product Master'!$C$2:$C$21,MATCH(D414,'Product Master'!$A$2:$A$21,0))</f>
        <v>Home Goods</v>
      </c>
      <c r="G414" s="15" t="n">
        <f aca="false">VALUE(TRIM('Raw Store Exports'!E414&amp;""))</f>
        <v>5</v>
      </c>
      <c r="H414" s="18" t="n">
        <f aca="false">INDEX('Product Master'!$D$2:$D$21,MATCH(D414,'Product Master'!$A$2:$A$21,0))</f>
        <v>22</v>
      </c>
      <c r="I414" s="14" t="n">
        <f aca="false">G414*H414</f>
        <v>110</v>
      </c>
      <c r="J414" s="0" t="str">
        <f aca="false">IF(COUNTIF($A$2:A414,A414)&gt;1,"Duplicate","")</f>
        <v/>
      </c>
    </row>
    <row r="415" customFormat="false" ht="15" hidden="false" customHeight="false" outlineLevel="0" collapsed="false">
      <c r="A415" s="0" t="str">
        <f aca="false">'Raw Store Exports'!A415</f>
        <v>TXN01013</v>
      </c>
      <c r="B415" s="17" t="n">
        <f aca="false">'Raw Store Exports'!C415</f>
        <v>46071</v>
      </c>
      <c r="C415" s="0" t="str">
        <f aca="false">INDEX('Store Mapping'!$C$2:$C$19,MATCH(TRIM('Raw Store Exports'!B415),'Store Mapping'!$A$2:$A$19,0))</f>
        <v>Riverside</v>
      </c>
      <c r="D415" s="0" t="str">
        <f aca="false">'Raw Store Exports'!D415</f>
        <v>ELE-401</v>
      </c>
      <c r="E415" s="0" t="str">
        <f aca="false">INDEX('Product Master'!$B$2:$B$21,MATCH(D415,'Product Master'!$A$2:$A$21,0))</f>
        <v>Wireless Earbuds</v>
      </c>
      <c r="F415" s="0" t="str">
        <f aca="false">INDEX('Product Master'!$C$2:$C$21,MATCH(D415,'Product Master'!$A$2:$A$21,0))</f>
        <v>Electronics</v>
      </c>
      <c r="G415" s="15" t="n">
        <f aca="false">VALUE(TRIM('Raw Store Exports'!E415&amp;""))</f>
        <v>2</v>
      </c>
      <c r="H415" s="18" t="n">
        <f aca="false">INDEX('Product Master'!$D$2:$D$21,MATCH(D415,'Product Master'!$A$2:$A$21,0))</f>
        <v>79</v>
      </c>
      <c r="I415" s="14" t="n">
        <f aca="false">G415*H415</f>
        <v>158</v>
      </c>
      <c r="J415" s="0" t="str">
        <f aca="false">IF(COUNTIF($A$2:A415,A415)&gt;1,"Duplicate","")</f>
        <v/>
      </c>
    </row>
    <row r="416" customFormat="false" ht="15" hidden="false" customHeight="false" outlineLevel="0" collapsed="false">
      <c r="A416" s="0" t="str">
        <f aca="false">'Raw Store Exports'!A416</f>
        <v>TXN00754</v>
      </c>
      <c r="B416" s="17" t="n">
        <f aca="false">'Raw Store Exports'!C416</f>
        <v>46067</v>
      </c>
      <c r="C416" s="0" t="str">
        <f aca="false">INDEX('Store Mapping'!$C$2:$C$19,MATCH(TRIM('Raw Store Exports'!B416),'Store Mapping'!$A$2:$A$19,0))</f>
        <v>Downtown</v>
      </c>
      <c r="D416" s="0" t="str">
        <f aca="false">'Raw Store Exports'!D416</f>
        <v>ACC-302</v>
      </c>
      <c r="E416" s="0" t="str">
        <f aca="false">INDEX('Product Master'!$B$2:$B$21,MATCH(D416,'Product Master'!$A$2:$A$21,0))</f>
        <v>Aviator Sunglasses</v>
      </c>
      <c r="F416" s="0" t="str">
        <f aca="false">INDEX('Product Master'!$C$2:$C$21,MATCH(D416,'Product Master'!$A$2:$A$21,0))</f>
        <v>Accessories</v>
      </c>
      <c r="G416" s="15" t="n">
        <f aca="false">VALUE(TRIM('Raw Store Exports'!E416&amp;""))</f>
        <v>1</v>
      </c>
      <c r="H416" s="18" t="n">
        <f aca="false">INDEX('Product Master'!$D$2:$D$21,MATCH(D416,'Product Master'!$A$2:$A$21,0))</f>
        <v>42</v>
      </c>
      <c r="I416" s="14" t="n">
        <f aca="false">G416*H416</f>
        <v>42</v>
      </c>
      <c r="J416" s="0" t="str">
        <f aca="false">IF(COUNTIF($A$2:A416,A416)&gt;1,"Duplicate","")</f>
        <v/>
      </c>
    </row>
    <row r="417" customFormat="false" ht="15" hidden="false" customHeight="false" outlineLevel="0" collapsed="false">
      <c r="A417" s="0" t="str">
        <f aca="false">'Raw Store Exports'!A417</f>
        <v>TXN00057</v>
      </c>
      <c r="B417" s="17" t="n">
        <f aca="false">'Raw Store Exports'!C417</f>
        <v>46027</v>
      </c>
      <c r="C417" s="0" t="str">
        <f aca="false">INDEX('Store Mapping'!$C$2:$C$19,MATCH(TRIM('Raw Store Exports'!B417),'Store Mapping'!$A$2:$A$19,0))</f>
        <v>Eastgate</v>
      </c>
      <c r="D417" s="0" t="str">
        <f aca="false">'Raw Store Exports'!D417</f>
        <v>APP-102</v>
      </c>
      <c r="E417" s="0" t="str">
        <f aca="false">INDEX('Product Master'!$B$2:$B$21,MATCH(D417,'Product Master'!$A$2:$A$21,0))</f>
        <v>Cotton Crew T-Shirt</v>
      </c>
      <c r="F417" s="0" t="str">
        <f aca="false">INDEX('Product Master'!$C$2:$C$21,MATCH(D417,'Product Master'!$A$2:$A$21,0))</f>
        <v>Apparel</v>
      </c>
      <c r="G417" s="15" t="n">
        <f aca="false">VALUE(TRIM('Raw Store Exports'!E417&amp;""))</f>
        <v>5</v>
      </c>
      <c r="H417" s="18" t="n">
        <f aca="false">INDEX('Product Master'!$D$2:$D$21,MATCH(D417,'Product Master'!$A$2:$A$21,0))</f>
        <v>18</v>
      </c>
      <c r="I417" s="14" t="n">
        <f aca="false">G417*H417</f>
        <v>90</v>
      </c>
      <c r="J417" s="0" t="str">
        <f aca="false">IF(COUNTIF($A$2:A417,A417)&gt;1,"Duplicate","")</f>
        <v/>
      </c>
    </row>
    <row r="418" customFormat="false" ht="15" hidden="false" customHeight="false" outlineLevel="0" collapsed="false">
      <c r="A418" s="0" t="str">
        <f aca="false">'Raw Store Exports'!A418</f>
        <v>TXN00462</v>
      </c>
      <c r="B418" s="17" t="n">
        <f aca="false">'Raw Store Exports'!C418</f>
        <v>46049</v>
      </c>
      <c r="C418" s="0" t="str">
        <f aca="false">INDEX('Store Mapping'!$C$2:$C$19,MATCH(TRIM('Raw Store Exports'!B418),'Store Mapping'!$A$2:$A$19,0))</f>
        <v>Westside Mall</v>
      </c>
      <c r="D418" s="0" t="str">
        <f aca="false">'Raw Store Exports'!D418</f>
        <v>ACC-302</v>
      </c>
      <c r="E418" s="0" t="str">
        <f aca="false">INDEX('Product Master'!$B$2:$B$21,MATCH(D418,'Product Master'!$A$2:$A$21,0))</f>
        <v>Aviator Sunglasses</v>
      </c>
      <c r="F418" s="0" t="str">
        <f aca="false">INDEX('Product Master'!$C$2:$C$21,MATCH(D418,'Product Master'!$A$2:$A$21,0))</f>
        <v>Accessories</v>
      </c>
      <c r="G418" s="15" t="n">
        <f aca="false">VALUE(TRIM('Raw Store Exports'!E418&amp;""))</f>
        <v>1</v>
      </c>
      <c r="H418" s="18" t="n">
        <f aca="false">INDEX('Product Master'!$D$2:$D$21,MATCH(D418,'Product Master'!$A$2:$A$21,0))</f>
        <v>42</v>
      </c>
      <c r="I418" s="14" t="n">
        <f aca="false">G418*H418</f>
        <v>42</v>
      </c>
      <c r="J418" s="0" t="str">
        <f aca="false">IF(COUNTIF($A$2:A418,A418)&gt;1,"Duplicate","")</f>
        <v/>
      </c>
    </row>
    <row r="419" customFormat="false" ht="15" hidden="false" customHeight="false" outlineLevel="0" collapsed="false">
      <c r="A419" s="0" t="str">
        <f aca="false">'Raw Store Exports'!A419</f>
        <v>TXN00810</v>
      </c>
      <c r="B419" s="17" t="n">
        <f aca="false">'Raw Store Exports'!C419</f>
        <v>46068</v>
      </c>
      <c r="C419" s="0" t="str">
        <f aca="false">INDEX('Store Mapping'!$C$2:$C$19,MATCH(TRIM('Raw Store Exports'!B419),'Store Mapping'!$A$2:$A$19,0))</f>
        <v>Eastgate</v>
      </c>
      <c r="D419" s="0" t="str">
        <f aca="false">'Raw Store Exports'!D419</f>
        <v>FTW-204</v>
      </c>
      <c r="E419" s="0" t="str">
        <f aca="false">INDEX('Product Master'!$B$2:$B$21,MATCH(D419,'Product Master'!$A$2:$A$21,0))</f>
        <v>Slide Sandals</v>
      </c>
      <c r="F419" s="0" t="str">
        <f aca="false">INDEX('Product Master'!$C$2:$C$21,MATCH(D419,'Product Master'!$A$2:$A$21,0))</f>
        <v>Footwear</v>
      </c>
      <c r="G419" s="15" t="n">
        <f aca="false">VALUE(TRIM('Raw Store Exports'!E419&amp;""))</f>
        <v>2</v>
      </c>
      <c r="H419" s="18" t="n">
        <f aca="false">INDEX('Product Master'!$D$2:$D$21,MATCH(D419,'Product Master'!$A$2:$A$21,0))</f>
        <v>25</v>
      </c>
      <c r="I419" s="14" t="n">
        <f aca="false">G419*H419</f>
        <v>50</v>
      </c>
      <c r="J419" s="0" t="str">
        <f aca="false">IF(COUNTIF($A$2:A419,A419)&gt;1,"Duplicate","")</f>
        <v/>
      </c>
    </row>
    <row r="420" customFormat="false" ht="15" hidden="false" customHeight="false" outlineLevel="0" collapsed="false">
      <c r="A420" s="0" t="str">
        <f aca="false">'Raw Store Exports'!A420</f>
        <v>TXN00086</v>
      </c>
      <c r="B420" s="17" t="n">
        <f aca="false">'Raw Store Exports'!C420</f>
        <v>46031</v>
      </c>
      <c r="C420" s="0" t="str">
        <f aca="false">INDEX('Store Mapping'!$C$2:$C$19,MATCH(TRIM('Raw Store Exports'!B420),'Store Mapping'!$A$2:$A$19,0))</f>
        <v>Northpark</v>
      </c>
      <c r="D420" s="0" t="str">
        <f aca="false">'Raw Store Exports'!D420</f>
        <v>ACC-303</v>
      </c>
      <c r="E420" s="0" t="str">
        <f aca="false">INDEX('Product Master'!$B$2:$B$21,MATCH(D420,'Product Master'!$A$2:$A$21,0))</f>
        <v>Canvas Tote Bag</v>
      </c>
      <c r="F420" s="0" t="str">
        <f aca="false">INDEX('Product Master'!$C$2:$C$21,MATCH(D420,'Product Master'!$A$2:$A$21,0))</f>
        <v>Accessories</v>
      </c>
      <c r="G420" s="15" t="n">
        <f aca="false">VALUE(TRIM('Raw Store Exports'!E420&amp;""))</f>
        <v>1</v>
      </c>
      <c r="H420" s="18" t="n">
        <f aca="false">INDEX('Product Master'!$D$2:$D$21,MATCH(D420,'Product Master'!$A$2:$A$21,0))</f>
        <v>24</v>
      </c>
      <c r="I420" s="14" t="n">
        <f aca="false">G420*H420</f>
        <v>24</v>
      </c>
      <c r="J420" s="0" t="str">
        <f aca="false">IF(COUNTIF($A$2:A420,A420)&gt;1,"Duplicate","")</f>
        <v/>
      </c>
    </row>
    <row r="421" customFormat="false" ht="15" hidden="false" customHeight="false" outlineLevel="0" collapsed="false">
      <c r="A421" s="0" t="str">
        <f aca="false">'Raw Store Exports'!A421</f>
        <v>TXN01082</v>
      </c>
      <c r="B421" s="17" t="n">
        <f aca="false">'Raw Store Exports'!C421</f>
        <v>46080</v>
      </c>
      <c r="C421" s="0" t="str">
        <f aca="false">INDEX('Store Mapping'!$C$2:$C$19,MATCH(TRIM('Raw Store Exports'!B421),'Store Mapping'!$A$2:$A$19,0))</f>
        <v>Westside Mall</v>
      </c>
      <c r="D421" s="0" t="str">
        <f aca="false">'Raw Store Exports'!D421</f>
        <v>ELE-401</v>
      </c>
      <c r="E421" s="0" t="str">
        <f aca="false">INDEX('Product Master'!$B$2:$B$21,MATCH(D421,'Product Master'!$A$2:$A$21,0))</f>
        <v>Wireless Earbuds</v>
      </c>
      <c r="F421" s="0" t="str">
        <f aca="false">INDEX('Product Master'!$C$2:$C$21,MATCH(D421,'Product Master'!$A$2:$A$21,0))</f>
        <v>Electronics</v>
      </c>
      <c r="G421" s="15" t="n">
        <f aca="false">VALUE(TRIM('Raw Store Exports'!E421&amp;""))</f>
        <v>6</v>
      </c>
      <c r="H421" s="18" t="n">
        <f aca="false">INDEX('Product Master'!$D$2:$D$21,MATCH(D421,'Product Master'!$A$2:$A$21,0))</f>
        <v>79</v>
      </c>
      <c r="I421" s="14" t="n">
        <f aca="false">G421*H421</f>
        <v>474</v>
      </c>
      <c r="J421" s="0" t="str">
        <f aca="false">IF(COUNTIF($A$2:A421,A421)&gt;1,"Duplicate","")</f>
        <v/>
      </c>
    </row>
    <row r="422" customFormat="false" ht="15" hidden="false" customHeight="false" outlineLevel="0" collapsed="false">
      <c r="A422" s="0" t="str">
        <f aca="false">'Raw Store Exports'!A422</f>
        <v>TXN00371</v>
      </c>
      <c r="B422" s="17" t="n">
        <f aca="false">'Raw Store Exports'!C422</f>
        <v>46045</v>
      </c>
      <c r="C422" s="0" t="str">
        <f aca="false">INDEX('Store Mapping'!$C$2:$C$19,MATCH(TRIM('Raw Store Exports'!B422),'Store Mapping'!$A$2:$A$19,0))</f>
        <v>Northpark</v>
      </c>
      <c r="D422" s="0" t="str">
        <f aca="false">'Raw Store Exports'!D422</f>
        <v>ELE-401</v>
      </c>
      <c r="E422" s="0" t="str">
        <f aca="false">INDEX('Product Master'!$B$2:$B$21,MATCH(D422,'Product Master'!$A$2:$A$21,0))</f>
        <v>Wireless Earbuds</v>
      </c>
      <c r="F422" s="0" t="str">
        <f aca="false">INDEX('Product Master'!$C$2:$C$21,MATCH(D422,'Product Master'!$A$2:$A$21,0))</f>
        <v>Electronics</v>
      </c>
      <c r="G422" s="15" t="n">
        <f aca="false">VALUE(TRIM('Raw Store Exports'!E422&amp;""))</f>
        <v>2</v>
      </c>
      <c r="H422" s="18" t="n">
        <f aca="false">INDEX('Product Master'!$D$2:$D$21,MATCH(D422,'Product Master'!$A$2:$A$21,0))</f>
        <v>79</v>
      </c>
      <c r="I422" s="14" t="n">
        <f aca="false">G422*H422</f>
        <v>158</v>
      </c>
      <c r="J422" s="0" t="str">
        <f aca="false">IF(COUNTIF($A$2:A422,A422)&gt;1,"Duplicate","")</f>
        <v/>
      </c>
    </row>
    <row r="423" customFormat="false" ht="15" hidden="false" customHeight="false" outlineLevel="0" collapsed="false">
      <c r="A423" s="0" t="str">
        <f aca="false">'Raw Store Exports'!A423</f>
        <v>TXN01007</v>
      </c>
      <c r="B423" s="17" t="n">
        <f aca="false">'Raw Store Exports'!C423</f>
        <v>46075</v>
      </c>
      <c r="C423" s="0" t="str">
        <f aca="false">INDEX('Store Mapping'!$C$2:$C$19,MATCH(TRIM('Raw Store Exports'!B423),'Store Mapping'!$A$2:$A$19,0))</f>
        <v>Riverside</v>
      </c>
      <c r="D423" s="0" t="str">
        <f aca="false">'Raw Store Exports'!D423</f>
        <v>FTW-202</v>
      </c>
      <c r="E423" s="0" t="str">
        <f aca="false">INDEX('Product Master'!$B$2:$B$21,MATCH(D423,'Product Master'!$A$2:$A$21,0))</f>
        <v>Canvas Low-Top</v>
      </c>
      <c r="F423" s="0" t="str">
        <f aca="false">INDEX('Product Master'!$C$2:$C$21,MATCH(D423,'Product Master'!$A$2:$A$21,0))</f>
        <v>Footwear</v>
      </c>
      <c r="G423" s="15" t="n">
        <f aca="false">VALUE(TRIM('Raw Store Exports'!E423&amp;""))</f>
        <v>2</v>
      </c>
      <c r="H423" s="18" t="n">
        <f aca="false">INDEX('Product Master'!$D$2:$D$21,MATCH(D423,'Product Master'!$A$2:$A$21,0))</f>
        <v>55</v>
      </c>
      <c r="I423" s="14" t="n">
        <f aca="false">G423*H423</f>
        <v>110</v>
      </c>
      <c r="J423" s="0" t="str">
        <f aca="false">IF(COUNTIF($A$2:A423,A423)&gt;1,"Duplicate","")</f>
        <v/>
      </c>
    </row>
    <row r="424" customFormat="false" ht="15" hidden="false" customHeight="false" outlineLevel="0" collapsed="false">
      <c r="A424" s="0" t="str">
        <f aca="false">'Raw Store Exports'!A424</f>
        <v>TXN00132</v>
      </c>
      <c r="B424" s="17" t="n">
        <f aca="false">'Raw Store Exports'!C424</f>
        <v>46033</v>
      </c>
      <c r="C424" s="0" t="str">
        <f aca="false">INDEX('Store Mapping'!$C$2:$C$19,MATCH(TRIM('Raw Store Exports'!B424),'Store Mapping'!$A$2:$A$19,0))</f>
        <v>Airport Plaza</v>
      </c>
      <c r="D424" s="0" t="str">
        <f aca="false">'Raw Store Exports'!D424</f>
        <v>APP-101</v>
      </c>
      <c r="E424" s="0" t="str">
        <f aca="false">INDEX('Product Master'!$B$2:$B$21,MATCH(D424,'Product Master'!$A$2:$A$21,0))</f>
        <v>Classic Denim Jacket</v>
      </c>
      <c r="F424" s="0" t="str">
        <f aca="false">INDEX('Product Master'!$C$2:$C$21,MATCH(D424,'Product Master'!$A$2:$A$21,0))</f>
        <v>Apparel</v>
      </c>
      <c r="G424" s="15" t="n">
        <f aca="false">VALUE(TRIM('Raw Store Exports'!E424&amp;""))</f>
        <v>3</v>
      </c>
      <c r="H424" s="18" t="n">
        <f aca="false">INDEX('Product Master'!$D$2:$D$21,MATCH(D424,'Product Master'!$A$2:$A$21,0))</f>
        <v>68</v>
      </c>
      <c r="I424" s="14" t="n">
        <f aca="false">G424*H424</f>
        <v>204</v>
      </c>
      <c r="J424" s="0" t="str">
        <f aca="false">IF(COUNTIF($A$2:A424,A424)&gt;1,"Duplicate","")</f>
        <v/>
      </c>
    </row>
    <row r="425" customFormat="false" ht="15" hidden="false" customHeight="false" outlineLevel="0" collapsed="false">
      <c r="A425" s="0" t="str">
        <f aca="false">'Raw Store Exports'!A425</f>
        <v>TXN01162</v>
      </c>
      <c r="B425" s="17" t="n">
        <f aca="false">'Raw Store Exports'!C425</f>
        <v>46076</v>
      </c>
      <c r="C425" s="0" t="str">
        <f aca="false">INDEX('Store Mapping'!$C$2:$C$19,MATCH(TRIM('Raw Store Exports'!B425),'Store Mapping'!$A$2:$A$19,0))</f>
        <v>Riverside</v>
      </c>
      <c r="D425" s="0" t="str">
        <f aca="false">'Raw Store Exports'!D425</f>
        <v>ACC-302</v>
      </c>
      <c r="E425" s="0" t="str">
        <f aca="false">INDEX('Product Master'!$B$2:$B$21,MATCH(D425,'Product Master'!$A$2:$A$21,0))</f>
        <v>Aviator Sunglasses</v>
      </c>
      <c r="F425" s="0" t="str">
        <f aca="false">INDEX('Product Master'!$C$2:$C$21,MATCH(D425,'Product Master'!$A$2:$A$21,0))</f>
        <v>Accessories</v>
      </c>
      <c r="G425" s="15" t="n">
        <f aca="false">VALUE(TRIM('Raw Store Exports'!E425&amp;""))</f>
        <v>3</v>
      </c>
      <c r="H425" s="18" t="n">
        <f aca="false">INDEX('Product Master'!$D$2:$D$21,MATCH(D425,'Product Master'!$A$2:$A$21,0))</f>
        <v>42</v>
      </c>
      <c r="I425" s="14" t="n">
        <f aca="false">G425*H425</f>
        <v>126</v>
      </c>
      <c r="J425" s="0" t="str">
        <f aca="false">IF(COUNTIF($A$2:A425,A425)&gt;1,"Duplicate","")</f>
        <v/>
      </c>
    </row>
    <row r="426" customFormat="false" ht="15" hidden="false" customHeight="false" outlineLevel="0" collapsed="false">
      <c r="A426" s="0" t="str">
        <f aca="false">'Raw Store Exports'!A426</f>
        <v>TXN00166</v>
      </c>
      <c r="B426" s="17" t="n">
        <f aca="false">'Raw Store Exports'!C426</f>
        <v>46039</v>
      </c>
      <c r="C426" s="0" t="str">
        <f aca="false">INDEX('Store Mapping'!$C$2:$C$19,MATCH(TRIM('Raw Store Exports'!B426),'Store Mapping'!$A$2:$A$19,0))</f>
        <v>Westside Mall</v>
      </c>
      <c r="D426" s="0" t="str">
        <f aca="false">'Raw Store Exports'!D426</f>
        <v>HOM-502</v>
      </c>
      <c r="E426" s="0" t="str">
        <f aca="false">INDEX('Product Master'!$B$2:$B$21,MATCH(D426,'Product Master'!$A$2:$A$21,0))</f>
        <v>Scented Candle</v>
      </c>
      <c r="F426" s="0" t="str">
        <f aca="false">INDEX('Product Master'!$C$2:$C$21,MATCH(D426,'Product Master'!$A$2:$A$21,0))</f>
        <v>Home Goods</v>
      </c>
      <c r="G426" s="15" t="n">
        <f aca="false">VALUE(TRIM('Raw Store Exports'!E426&amp;""))</f>
        <v>2</v>
      </c>
      <c r="H426" s="18" t="n">
        <f aca="false">INDEX('Product Master'!$D$2:$D$21,MATCH(D426,'Product Master'!$A$2:$A$21,0))</f>
        <v>15</v>
      </c>
      <c r="I426" s="14" t="n">
        <f aca="false">G426*H426</f>
        <v>30</v>
      </c>
      <c r="J426" s="0" t="str">
        <f aca="false">IF(COUNTIF($A$2:A426,A426)&gt;1,"Duplicate","")</f>
        <v/>
      </c>
    </row>
    <row r="427" customFormat="false" ht="15" hidden="false" customHeight="false" outlineLevel="0" collapsed="false">
      <c r="A427" s="0" t="str">
        <f aca="false">'Raw Store Exports'!A427</f>
        <v>TXN01164</v>
      </c>
      <c r="B427" s="17" t="n">
        <f aca="false">'Raw Store Exports'!C427</f>
        <v>46079</v>
      </c>
      <c r="C427" s="0" t="str">
        <f aca="false">INDEX('Store Mapping'!$C$2:$C$19,MATCH(TRIM('Raw Store Exports'!B427),'Store Mapping'!$A$2:$A$19,0))</f>
        <v>Riverside</v>
      </c>
      <c r="D427" s="0" t="str">
        <f aca="false">'Raw Store Exports'!D427</f>
        <v>APP-104</v>
      </c>
      <c r="E427" s="0" t="str">
        <f aca="false">INDEX('Product Master'!$B$2:$B$21,MATCH(D427,'Product Master'!$A$2:$A$21,0))</f>
        <v>Slim Fit Chinos</v>
      </c>
      <c r="F427" s="0" t="str">
        <f aca="false">INDEX('Product Master'!$C$2:$C$21,MATCH(D427,'Product Master'!$A$2:$A$21,0))</f>
        <v>Apparel</v>
      </c>
      <c r="G427" s="15" t="n">
        <f aca="false">VALUE(TRIM('Raw Store Exports'!E427&amp;""))</f>
        <v>1</v>
      </c>
      <c r="H427" s="18" t="n">
        <f aca="false">INDEX('Product Master'!$D$2:$D$21,MATCH(D427,'Product Master'!$A$2:$A$21,0))</f>
        <v>52</v>
      </c>
      <c r="I427" s="14" t="n">
        <f aca="false">G427*H427</f>
        <v>52</v>
      </c>
      <c r="J427" s="0" t="str">
        <f aca="false">IF(COUNTIF($A$2:A427,A427)&gt;1,"Duplicate","")</f>
        <v/>
      </c>
    </row>
    <row r="428" customFormat="false" ht="15" hidden="false" customHeight="false" outlineLevel="0" collapsed="false">
      <c r="A428" s="0" t="str">
        <f aca="false">'Raw Store Exports'!A428</f>
        <v>TXN00736</v>
      </c>
      <c r="B428" s="17" t="n">
        <f aca="false">'Raw Store Exports'!C428</f>
        <v>46058</v>
      </c>
      <c r="C428" s="0" t="str">
        <f aca="false">INDEX('Store Mapping'!$C$2:$C$19,MATCH(TRIM('Raw Store Exports'!B428),'Store Mapping'!$A$2:$A$19,0))</f>
        <v>Airport Plaza</v>
      </c>
      <c r="D428" s="0" t="str">
        <f aca="false">'Raw Store Exports'!D428</f>
        <v>ELE-403</v>
      </c>
      <c r="E428" s="0" t="str">
        <f aca="false">INDEX('Product Master'!$B$2:$B$21,MATCH(D428,'Product Master'!$A$2:$A$21,0))</f>
        <v>Fitness Tracker Band</v>
      </c>
      <c r="F428" s="0" t="str">
        <f aca="false">INDEX('Product Master'!$C$2:$C$21,MATCH(D428,'Product Master'!$A$2:$A$21,0))</f>
        <v>Electronics</v>
      </c>
      <c r="G428" s="15" t="n">
        <f aca="false">VALUE(TRIM('Raw Store Exports'!E428&amp;""))</f>
        <v>1</v>
      </c>
      <c r="H428" s="18" t="n">
        <f aca="false">INDEX('Product Master'!$D$2:$D$21,MATCH(D428,'Product Master'!$A$2:$A$21,0))</f>
        <v>99</v>
      </c>
      <c r="I428" s="14" t="n">
        <f aca="false">G428*H428</f>
        <v>99</v>
      </c>
      <c r="J428" s="0" t="str">
        <f aca="false">IF(COUNTIF($A$2:A428,A428)&gt;1,"Duplicate","")</f>
        <v/>
      </c>
    </row>
    <row r="429" customFormat="false" ht="15" hidden="false" customHeight="false" outlineLevel="0" collapsed="false">
      <c r="A429" s="0" t="str">
        <f aca="false">'Raw Store Exports'!A429</f>
        <v>TXN00422</v>
      </c>
      <c r="B429" s="17" t="n">
        <f aca="false">'Raw Store Exports'!C429</f>
        <v>46047</v>
      </c>
      <c r="C429" s="0" t="str">
        <f aca="false">INDEX('Store Mapping'!$C$2:$C$19,MATCH(TRIM('Raw Store Exports'!B429),'Store Mapping'!$A$2:$A$19,0))</f>
        <v>Airport Plaza</v>
      </c>
      <c r="D429" s="0" t="str">
        <f aca="false">'Raw Store Exports'!D429</f>
        <v>ELE-403</v>
      </c>
      <c r="E429" s="0" t="str">
        <f aca="false">INDEX('Product Master'!$B$2:$B$21,MATCH(D429,'Product Master'!$A$2:$A$21,0))</f>
        <v>Fitness Tracker Band</v>
      </c>
      <c r="F429" s="0" t="str">
        <f aca="false">INDEX('Product Master'!$C$2:$C$21,MATCH(D429,'Product Master'!$A$2:$A$21,0))</f>
        <v>Electronics</v>
      </c>
      <c r="G429" s="15" t="n">
        <f aca="false">VALUE(TRIM('Raw Store Exports'!E429&amp;""))</f>
        <v>4</v>
      </c>
      <c r="H429" s="18" t="n">
        <f aca="false">INDEX('Product Master'!$D$2:$D$21,MATCH(D429,'Product Master'!$A$2:$A$21,0))</f>
        <v>99</v>
      </c>
      <c r="I429" s="14" t="n">
        <f aca="false">G429*H429</f>
        <v>396</v>
      </c>
      <c r="J429" s="0" t="str">
        <f aca="false">IF(COUNTIF($A$2:A429,A429)&gt;1,"Duplicate","")</f>
        <v/>
      </c>
    </row>
    <row r="430" customFormat="false" ht="15" hidden="false" customHeight="false" outlineLevel="0" collapsed="false">
      <c r="A430" s="0" t="str">
        <f aca="false">'Raw Store Exports'!A430</f>
        <v>TXN00644</v>
      </c>
      <c r="B430" s="17" t="n">
        <f aca="false">'Raw Store Exports'!C430</f>
        <v>46058</v>
      </c>
      <c r="C430" s="0" t="str">
        <f aca="false">INDEX('Store Mapping'!$C$2:$C$19,MATCH(TRIM('Raw Store Exports'!B430),'Store Mapping'!$A$2:$A$19,0))</f>
        <v>Westside Mall</v>
      </c>
      <c r="D430" s="0" t="str">
        <f aca="false">'Raw Store Exports'!D430</f>
        <v>HOM-501</v>
      </c>
      <c r="E430" s="0" t="str">
        <f aca="false">INDEX('Product Master'!$B$2:$B$21,MATCH(D430,'Product Master'!$A$2:$A$21,0))</f>
        <v>Ceramic Coffee Mug Set</v>
      </c>
      <c r="F430" s="0" t="str">
        <f aca="false">INDEX('Product Master'!$C$2:$C$21,MATCH(D430,'Product Master'!$A$2:$A$21,0))</f>
        <v>Home Goods</v>
      </c>
      <c r="G430" s="15" t="n">
        <f aca="false">VALUE(TRIM('Raw Store Exports'!E430&amp;""))</f>
        <v>4</v>
      </c>
      <c r="H430" s="18" t="n">
        <f aca="false">INDEX('Product Master'!$D$2:$D$21,MATCH(D430,'Product Master'!$A$2:$A$21,0))</f>
        <v>22</v>
      </c>
      <c r="I430" s="14" t="n">
        <f aca="false">G430*H430</f>
        <v>88</v>
      </c>
      <c r="J430" s="0" t="str">
        <f aca="false">IF(COUNTIF($A$2:A430,A430)&gt;1,"Duplicate","")</f>
        <v/>
      </c>
    </row>
    <row r="431" customFormat="false" ht="15" hidden="false" customHeight="false" outlineLevel="0" collapsed="false">
      <c r="A431" s="0" t="str">
        <f aca="false">'Raw Store Exports'!A431</f>
        <v>TXN00749</v>
      </c>
      <c r="B431" s="17" t="n">
        <f aca="false">'Raw Store Exports'!C431</f>
        <v>46064</v>
      </c>
      <c r="C431" s="0" t="str">
        <f aca="false">INDEX('Store Mapping'!$C$2:$C$19,MATCH(TRIM('Raw Store Exports'!B431),'Store Mapping'!$A$2:$A$19,0))</f>
        <v>Downtown</v>
      </c>
      <c r="D431" s="0" t="str">
        <f aca="false">'Raw Store Exports'!D431</f>
        <v>ELE-404</v>
      </c>
      <c r="E431" s="0" t="str">
        <f aca="false">INDEX('Product Master'!$B$2:$B$21,MATCH(D431,'Product Master'!$A$2:$A$21,0))</f>
        <v>Phone Charging Cable</v>
      </c>
      <c r="F431" s="0" t="str">
        <f aca="false">INDEX('Product Master'!$C$2:$C$21,MATCH(D431,'Product Master'!$A$2:$A$21,0))</f>
        <v>Electronics</v>
      </c>
      <c r="G431" s="15" t="n">
        <f aca="false">VALUE(TRIM('Raw Store Exports'!E431&amp;""))</f>
        <v>1</v>
      </c>
      <c r="H431" s="18" t="n">
        <f aca="false">INDEX('Product Master'!$D$2:$D$21,MATCH(D431,'Product Master'!$A$2:$A$21,0))</f>
        <v>12</v>
      </c>
      <c r="I431" s="14" t="n">
        <f aca="false">G431*H431</f>
        <v>12</v>
      </c>
      <c r="J431" s="0" t="str">
        <f aca="false">IF(COUNTIF($A$2:A431,A431)&gt;1,"Duplicate","")</f>
        <v/>
      </c>
    </row>
    <row r="432" customFormat="false" ht="15" hidden="false" customHeight="false" outlineLevel="0" collapsed="false">
      <c r="A432" s="0" t="str">
        <f aca="false">'Raw Store Exports'!A432</f>
        <v>TXN00703</v>
      </c>
      <c r="B432" s="17" t="n">
        <f aca="false">'Raw Store Exports'!C432</f>
        <v>46057</v>
      </c>
      <c r="C432" s="0" t="str">
        <f aca="false">INDEX('Store Mapping'!$C$2:$C$19,MATCH(TRIM('Raw Store Exports'!B432),'Store Mapping'!$A$2:$A$19,0))</f>
        <v>Riverside</v>
      </c>
      <c r="D432" s="0" t="str">
        <f aca="false">'Raw Store Exports'!D432</f>
        <v>ACC-303</v>
      </c>
      <c r="E432" s="0" t="str">
        <f aca="false">INDEX('Product Master'!$B$2:$B$21,MATCH(D432,'Product Master'!$A$2:$A$21,0))</f>
        <v>Canvas Tote Bag</v>
      </c>
      <c r="F432" s="0" t="str">
        <f aca="false">INDEX('Product Master'!$C$2:$C$21,MATCH(D432,'Product Master'!$A$2:$A$21,0))</f>
        <v>Accessories</v>
      </c>
      <c r="G432" s="15" t="n">
        <f aca="false">VALUE(TRIM('Raw Store Exports'!E432&amp;""))</f>
        <v>1</v>
      </c>
      <c r="H432" s="18" t="n">
        <f aca="false">INDEX('Product Master'!$D$2:$D$21,MATCH(D432,'Product Master'!$A$2:$A$21,0))</f>
        <v>24</v>
      </c>
      <c r="I432" s="14" t="n">
        <f aca="false">G432*H432</f>
        <v>24</v>
      </c>
      <c r="J432" s="0" t="str">
        <f aca="false">IF(COUNTIF($A$2:A432,A432)&gt;1,"Duplicate","")</f>
        <v/>
      </c>
    </row>
    <row r="433" customFormat="false" ht="15" hidden="false" customHeight="false" outlineLevel="0" collapsed="false">
      <c r="A433" s="0" t="str">
        <f aca="false">'Raw Store Exports'!A433</f>
        <v>TXN00803</v>
      </c>
      <c r="B433" s="17" t="n">
        <f aca="false">'Raw Store Exports'!C433</f>
        <v>46064</v>
      </c>
      <c r="C433" s="0" t="str">
        <f aca="false">INDEX('Store Mapping'!$C$2:$C$19,MATCH(TRIM('Raw Store Exports'!B433),'Store Mapping'!$A$2:$A$19,0))</f>
        <v>Eastgate</v>
      </c>
      <c r="D433" s="0" t="str">
        <f aca="false">'Raw Store Exports'!D433</f>
        <v>ELE-404</v>
      </c>
      <c r="E433" s="0" t="str">
        <f aca="false">INDEX('Product Master'!$B$2:$B$21,MATCH(D433,'Product Master'!$A$2:$A$21,0))</f>
        <v>Phone Charging Cable</v>
      </c>
      <c r="F433" s="0" t="str">
        <f aca="false">INDEX('Product Master'!$C$2:$C$21,MATCH(D433,'Product Master'!$A$2:$A$21,0))</f>
        <v>Electronics</v>
      </c>
      <c r="G433" s="15" t="n">
        <f aca="false">VALUE(TRIM('Raw Store Exports'!E433&amp;""))</f>
        <v>1</v>
      </c>
      <c r="H433" s="18" t="n">
        <f aca="false">INDEX('Product Master'!$D$2:$D$21,MATCH(D433,'Product Master'!$A$2:$A$21,0))</f>
        <v>12</v>
      </c>
      <c r="I433" s="14" t="n">
        <f aca="false">G433*H433</f>
        <v>12</v>
      </c>
      <c r="J433" s="0" t="str">
        <f aca="false">IF(COUNTIF($A$2:A433,A433)&gt;1,"Duplicate","")</f>
        <v/>
      </c>
    </row>
    <row r="434" customFormat="false" ht="15" hidden="false" customHeight="false" outlineLevel="0" collapsed="false">
      <c r="A434" s="0" t="str">
        <f aca="false">'Raw Store Exports'!A434</f>
        <v>TXN00240</v>
      </c>
      <c r="B434" s="17" t="n">
        <f aca="false">'Raw Store Exports'!C434</f>
        <v>46037</v>
      </c>
      <c r="C434" s="0" t="str">
        <f aca="false">INDEX('Store Mapping'!$C$2:$C$19,MATCH(TRIM('Raw Store Exports'!B434),'Store Mapping'!$A$2:$A$19,0))</f>
        <v>Riverside</v>
      </c>
      <c r="D434" s="0" t="str">
        <f aca="false">'Raw Store Exports'!D434</f>
        <v>APP-103</v>
      </c>
      <c r="E434" s="0" t="str">
        <f aca="false">INDEX('Product Master'!$B$2:$B$21,MATCH(D434,'Product Master'!$A$2:$A$21,0))</f>
        <v>Fleece Pullover Hoodie</v>
      </c>
      <c r="F434" s="0" t="str">
        <f aca="false">INDEX('Product Master'!$C$2:$C$21,MATCH(D434,'Product Master'!$A$2:$A$21,0))</f>
        <v>Apparel</v>
      </c>
      <c r="G434" s="15" t="n">
        <f aca="false">VALUE(TRIM('Raw Store Exports'!E434&amp;""))</f>
        <v>4</v>
      </c>
      <c r="H434" s="18" t="n">
        <f aca="false">INDEX('Product Master'!$D$2:$D$21,MATCH(D434,'Product Master'!$A$2:$A$21,0))</f>
        <v>45</v>
      </c>
      <c r="I434" s="14" t="n">
        <f aca="false">G434*H434</f>
        <v>180</v>
      </c>
      <c r="J434" s="0" t="str">
        <f aca="false">IF(COUNTIF($A$2:A434,A434)&gt;1,"Duplicate","")</f>
        <v/>
      </c>
    </row>
    <row r="435" customFormat="false" ht="15" hidden="false" customHeight="false" outlineLevel="0" collapsed="false">
      <c r="A435" s="0" t="str">
        <f aca="false">'Raw Store Exports'!A435</f>
        <v>TXN00159</v>
      </c>
      <c r="B435" s="17" t="n">
        <f aca="false">'Raw Store Exports'!C435</f>
        <v>46039</v>
      </c>
      <c r="C435" s="0" t="str">
        <f aca="false">INDEX('Store Mapping'!$C$2:$C$19,MATCH(TRIM('Raw Store Exports'!B435),'Store Mapping'!$A$2:$A$19,0))</f>
        <v>Downtown</v>
      </c>
      <c r="D435" s="0" t="str">
        <f aca="false">'Raw Store Exports'!D435</f>
        <v>HOM-503</v>
      </c>
      <c r="E435" s="0" t="str">
        <f aca="false">INDEX('Product Master'!$B$2:$B$21,MATCH(D435,'Product Master'!$A$2:$A$21,0))</f>
        <v>Cotton Throw Blanket</v>
      </c>
      <c r="F435" s="0" t="str">
        <f aca="false">INDEX('Product Master'!$C$2:$C$21,MATCH(D435,'Product Master'!$A$2:$A$21,0))</f>
        <v>Home Goods</v>
      </c>
      <c r="G435" s="15" t="n">
        <f aca="false">VALUE(TRIM('Raw Store Exports'!E435&amp;""))</f>
        <v>4</v>
      </c>
      <c r="H435" s="18" t="n">
        <f aca="false">INDEX('Product Master'!$D$2:$D$21,MATCH(D435,'Product Master'!$A$2:$A$21,0))</f>
        <v>38</v>
      </c>
      <c r="I435" s="14" t="n">
        <f aca="false">G435*H435</f>
        <v>152</v>
      </c>
      <c r="J435" s="0" t="str">
        <f aca="false">IF(COUNTIF($A$2:A435,A435)&gt;1,"Duplicate","")</f>
        <v/>
      </c>
    </row>
    <row r="436" customFormat="false" ht="15" hidden="false" customHeight="false" outlineLevel="0" collapsed="false">
      <c r="A436" s="0" t="str">
        <f aca="false">'Raw Store Exports'!A436</f>
        <v>TXN00555</v>
      </c>
      <c r="B436" s="17" t="n">
        <f aca="false">'Raw Store Exports'!C436</f>
        <v>46048</v>
      </c>
      <c r="C436" s="0" t="str">
        <f aca="false">INDEX('Store Mapping'!$C$2:$C$19,MATCH(TRIM('Raw Store Exports'!B436),'Store Mapping'!$A$2:$A$19,0))</f>
        <v>Riverside</v>
      </c>
      <c r="D436" s="0" t="str">
        <f aca="false">'Raw Store Exports'!D436</f>
        <v>FTW-201</v>
      </c>
      <c r="E436" s="0" t="str">
        <f aca="false">INDEX('Product Master'!$B$2:$B$21,MATCH(D436,'Product Master'!$A$2:$A$21,0))</f>
        <v>Running Sneakers</v>
      </c>
      <c r="F436" s="0" t="str">
        <f aca="false">INDEX('Product Master'!$C$2:$C$21,MATCH(D436,'Product Master'!$A$2:$A$21,0))</f>
        <v>Footwear</v>
      </c>
      <c r="G436" s="15" t="n">
        <f aca="false">VALUE(TRIM('Raw Store Exports'!E436&amp;""))</f>
        <v>2</v>
      </c>
      <c r="H436" s="18" t="n">
        <f aca="false">INDEX('Product Master'!$D$2:$D$21,MATCH(D436,'Product Master'!$A$2:$A$21,0))</f>
        <v>89</v>
      </c>
      <c r="I436" s="14" t="n">
        <f aca="false">G436*H436</f>
        <v>178</v>
      </c>
      <c r="J436" s="0" t="str">
        <f aca="false">IF(COUNTIF($A$2:A436,A436)&gt;1,"Duplicate","")</f>
        <v/>
      </c>
    </row>
    <row r="437" customFormat="false" ht="15" hidden="false" customHeight="false" outlineLevel="0" collapsed="false">
      <c r="A437" s="0" t="str">
        <f aca="false">'Raw Store Exports'!A437</f>
        <v>TXN00951</v>
      </c>
      <c r="B437" s="17" t="n">
        <f aca="false">'Raw Store Exports'!C437</f>
        <v>46075</v>
      </c>
      <c r="C437" s="0" t="str">
        <f aca="false">INDEX('Store Mapping'!$C$2:$C$19,MATCH(TRIM('Raw Store Exports'!B437),'Store Mapping'!$A$2:$A$19,0))</f>
        <v>Eastgate</v>
      </c>
      <c r="D437" s="0" t="str">
        <f aca="false">'Raw Store Exports'!D437</f>
        <v>ACC-304</v>
      </c>
      <c r="E437" s="0" t="str">
        <f aca="false">INDEX('Product Master'!$B$2:$B$21,MATCH(D437,'Product Master'!$A$2:$A$21,0))</f>
        <v>Wool Beanie</v>
      </c>
      <c r="F437" s="0" t="str">
        <f aca="false">INDEX('Product Master'!$C$2:$C$21,MATCH(D437,'Product Master'!$A$2:$A$21,0))</f>
        <v>Accessories</v>
      </c>
      <c r="G437" s="15" t="n">
        <f aca="false">VALUE(TRIM('Raw Store Exports'!E437&amp;""))</f>
        <v>4</v>
      </c>
      <c r="H437" s="18" t="n">
        <f aca="false">INDEX('Product Master'!$D$2:$D$21,MATCH(D437,'Product Master'!$A$2:$A$21,0))</f>
        <v>16</v>
      </c>
      <c r="I437" s="14" t="n">
        <f aca="false">G437*H437</f>
        <v>64</v>
      </c>
      <c r="J437" s="0" t="str">
        <f aca="false">IF(COUNTIF($A$2:A437,A437)&gt;1,"Duplicate","")</f>
        <v/>
      </c>
    </row>
    <row r="438" customFormat="false" ht="15" hidden="false" customHeight="false" outlineLevel="0" collapsed="false">
      <c r="A438" s="0" t="str">
        <f aca="false">'Raw Store Exports'!A438</f>
        <v>TXN00621</v>
      </c>
      <c r="B438" s="17" t="n">
        <f aca="false">'Raw Store Exports'!C438</f>
        <v>46059</v>
      </c>
      <c r="C438" s="0" t="str">
        <f aca="false">INDEX('Store Mapping'!$C$2:$C$19,MATCH(TRIM('Raw Store Exports'!B438),'Store Mapping'!$A$2:$A$19,0))</f>
        <v>Westside Mall</v>
      </c>
      <c r="D438" s="0" t="str">
        <f aca="false">'Raw Store Exports'!D438</f>
        <v>APP-103</v>
      </c>
      <c r="E438" s="0" t="str">
        <f aca="false">INDEX('Product Master'!$B$2:$B$21,MATCH(D438,'Product Master'!$A$2:$A$21,0))</f>
        <v>Fleece Pullover Hoodie</v>
      </c>
      <c r="F438" s="0" t="str">
        <f aca="false">INDEX('Product Master'!$C$2:$C$21,MATCH(D438,'Product Master'!$A$2:$A$21,0))</f>
        <v>Apparel</v>
      </c>
      <c r="G438" s="15" t="n">
        <f aca="false">VALUE(TRIM('Raw Store Exports'!E438&amp;""))</f>
        <v>4</v>
      </c>
      <c r="H438" s="18" t="n">
        <f aca="false">INDEX('Product Master'!$D$2:$D$21,MATCH(D438,'Product Master'!$A$2:$A$21,0))</f>
        <v>45</v>
      </c>
      <c r="I438" s="14" t="n">
        <f aca="false">G438*H438</f>
        <v>180</v>
      </c>
      <c r="J438" s="0" t="str">
        <f aca="false">IF(COUNTIF($A$2:A438,A438)&gt;1,"Duplicate","")</f>
        <v/>
      </c>
    </row>
    <row r="439" customFormat="false" ht="15" hidden="false" customHeight="false" outlineLevel="0" collapsed="false">
      <c r="A439" s="0" t="str">
        <f aca="false">'Raw Store Exports'!A439</f>
        <v>TXN00272</v>
      </c>
      <c r="B439" s="17" t="n">
        <f aca="false">'Raw Store Exports'!C439</f>
        <v>46047</v>
      </c>
      <c r="C439" s="0" t="str">
        <f aca="false">INDEX('Store Mapping'!$C$2:$C$19,MATCH(TRIM('Raw Store Exports'!B439),'Store Mapping'!$A$2:$A$19,0))</f>
        <v>Downtown</v>
      </c>
      <c r="D439" s="0" t="str">
        <f aca="false">'Raw Store Exports'!D439</f>
        <v>APP-102</v>
      </c>
      <c r="E439" s="0" t="str">
        <f aca="false">INDEX('Product Master'!$B$2:$B$21,MATCH(D439,'Product Master'!$A$2:$A$21,0))</f>
        <v>Cotton Crew T-Shirt</v>
      </c>
      <c r="F439" s="0" t="str">
        <f aca="false">INDEX('Product Master'!$C$2:$C$21,MATCH(D439,'Product Master'!$A$2:$A$21,0))</f>
        <v>Apparel</v>
      </c>
      <c r="G439" s="15" t="n">
        <f aca="false">VALUE(TRIM('Raw Store Exports'!E439&amp;""))</f>
        <v>6</v>
      </c>
      <c r="H439" s="18" t="n">
        <f aca="false">INDEX('Product Master'!$D$2:$D$21,MATCH(D439,'Product Master'!$A$2:$A$21,0))</f>
        <v>18</v>
      </c>
      <c r="I439" s="14" t="n">
        <f aca="false">G439*H439</f>
        <v>108</v>
      </c>
      <c r="J439" s="0" t="str">
        <f aca="false">IF(COUNTIF($A$2:A439,A439)&gt;1,"Duplicate","")</f>
        <v/>
      </c>
    </row>
    <row r="440" customFormat="false" ht="15" hidden="false" customHeight="false" outlineLevel="0" collapsed="false">
      <c r="A440" s="0" t="str">
        <f aca="false">'Raw Store Exports'!A440</f>
        <v>TXN00568</v>
      </c>
      <c r="B440" s="17" t="n">
        <f aca="false">'Raw Store Exports'!C440</f>
        <v>46052</v>
      </c>
      <c r="C440" s="0" t="str">
        <f aca="false">INDEX('Store Mapping'!$C$2:$C$19,MATCH(TRIM('Raw Store Exports'!B440),'Store Mapping'!$A$2:$A$19,0))</f>
        <v>Airport Plaza</v>
      </c>
      <c r="D440" s="0" t="str">
        <f aca="false">'Raw Store Exports'!D440</f>
        <v>ELE-402</v>
      </c>
      <c r="E440" s="0" t="str">
        <f aca="false">INDEX('Product Master'!$B$2:$B$21,MATCH(D440,'Product Master'!$A$2:$A$21,0))</f>
        <v>Bluetooth Speaker</v>
      </c>
      <c r="F440" s="0" t="str">
        <f aca="false">INDEX('Product Master'!$C$2:$C$21,MATCH(D440,'Product Master'!$A$2:$A$21,0))</f>
        <v>Electronics</v>
      </c>
      <c r="G440" s="15" t="n">
        <f aca="false">VALUE(TRIM('Raw Store Exports'!E440&amp;""))</f>
        <v>1</v>
      </c>
      <c r="H440" s="18" t="n">
        <f aca="false">INDEX('Product Master'!$D$2:$D$21,MATCH(D440,'Product Master'!$A$2:$A$21,0))</f>
        <v>59</v>
      </c>
      <c r="I440" s="14" t="n">
        <f aca="false">G440*H440</f>
        <v>59</v>
      </c>
      <c r="J440" s="0" t="str">
        <f aca="false">IF(COUNTIF($A$2:A440,A440)&gt;1,"Duplicate","")</f>
        <v/>
      </c>
    </row>
    <row r="441" customFormat="false" ht="15" hidden="false" customHeight="false" outlineLevel="0" collapsed="false">
      <c r="A441" s="0" t="str">
        <f aca="false">'Raw Store Exports'!A441</f>
        <v>TXN00333</v>
      </c>
      <c r="B441" s="17" t="n">
        <f aca="false">'Raw Store Exports'!C441</f>
        <v>46047</v>
      </c>
      <c r="C441" s="0" t="str">
        <f aca="false">INDEX('Store Mapping'!$C$2:$C$19,MATCH(TRIM('Raw Store Exports'!B441),'Store Mapping'!$A$2:$A$19,0))</f>
        <v>Eastgate</v>
      </c>
      <c r="D441" s="0" t="str">
        <f aca="false">'Raw Store Exports'!D441</f>
        <v>FTW-202</v>
      </c>
      <c r="E441" s="0" t="str">
        <f aca="false">INDEX('Product Master'!$B$2:$B$21,MATCH(D441,'Product Master'!$A$2:$A$21,0))</f>
        <v>Canvas Low-Top</v>
      </c>
      <c r="F441" s="0" t="str">
        <f aca="false">INDEX('Product Master'!$C$2:$C$21,MATCH(D441,'Product Master'!$A$2:$A$21,0))</f>
        <v>Footwear</v>
      </c>
      <c r="G441" s="15" t="n">
        <f aca="false">VALUE(TRIM('Raw Store Exports'!E441&amp;""))</f>
        <v>6</v>
      </c>
      <c r="H441" s="18" t="n">
        <f aca="false">INDEX('Product Master'!$D$2:$D$21,MATCH(D441,'Product Master'!$A$2:$A$21,0))</f>
        <v>55</v>
      </c>
      <c r="I441" s="14" t="n">
        <f aca="false">G441*H441</f>
        <v>330</v>
      </c>
      <c r="J441" s="0" t="str">
        <f aca="false">IF(COUNTIF($A$2:A441,A441)&gt;1,"Duplicate","")</f>
        <v/>
      </c>
    </row>
    <row r="442" customFormat="false" ht="15" hidden="false" customHeight="false" outlineLevel="0" collapsed="false">
      <c r="A442" s="0" t="str">
        <f aca="false">'Raw Store Exports'!A442</f>
        <v>TXN00839</v>
      </c>
      <c r="B442" s="17" t="n">
        <f aca="false">'Raw Store Exports'!C442</f>
        <v>46063</v>
      </c>
      <c r="C442" s="0" t="str">
        <f aca="false">INDEX('Store Mapping'!$C$2:$C$19,MATCH(TRIM('Raw Store Exports'!B442),'Store Mapping'!$A$2:$A$19,0))</f>
        <v>Northpark</v>
      </c>
      <c r="D442" s="0" t="str">
        <f aca="false">'Raw Store Exports'!D442</f>
        <v>HOM-502</v>
      </c>
      <c r="E442" s="0" t="str">
        <f aca="false">INDEX('Product Master'!$B$2:$B$21,MATCH(D442,'Product Master'!$A$2:$A$21,0))</f>
        <v>Scented Candle</v>
      </c>
      <c r="F442" s="0" t="str">
        <f aca="false">INDEX('Product Master'!$C$2:$C$21,MATCH(D442,'Product Master'!$A$2:$A$21,0))</f>
        <v>Home Goods</v>
      </c>
      <c r="G442" s="15" t="n">
        <f aca="false">VALUE(TRIM('Raw Store Exports'!E442&amp;""))</f>
        <v>5</v>
      </c>
      <c r="H442" s="18" t="n">
        <f aca="false">INDEX('Product Master'!$D$2:$D$21,MATCH(D442,'Product Master'!$A$2:$A$21,0))</f>
        <v>15</v>
      </c>
      <c r="I442" s="14" t="n">
        <f aca="false">G442*H442</f>
        <v>75</v>
      </c>
      <c r="J442" s="0" t="str">
        <f aca="false">IF(COUNTIF($A$2:A442,A442)&gt;1,"Duplicate","")</f>
        <v/>
      </c>
    </row>
    <row r="443" customFormat="false" ht="15" hidden="false" customHeight="false" outlineLevel="0" collapsed="false">
      <c r="A443" s="0" t="str">
        <f aca="false">'Raw Store Exports'!A443</f>
        <v>TXN00429</v>
      </c>
      <c r="B443" s="17" t="n">
        <f aca="false">'Raw Store Exports'!C443</f>
        <v>46046</v>
      </c>
      <c r="C443" s="0" t="str">
        <f aca="false">INDEX('Store Mapping'!$C$2:$C$19,MATCH(TRIM('Raw Store Exports'!B443),'Store Mapping'!$A$2:$A$19,0))</f>
        <v>Airport Plaza</v>
      </c>
      <c r="D443" s="0" t="str">
        <f aca="false">'Raw Store Exports'!D443</f>
        <v>APP-103</v>
      </c>
      <c r="E443" s="0" t="str">
        <f aca="false">INDEX('Product Master'!$B$2:$B$21,MATCH(D443,'Product Master'!$A$2:$A$21,0))</f>
        <v>Fleece Pullover Hoodie</v>
      </c>
      <c r="F443" s="0" t="str">
        <f aca="false">INDEX('Product Master'!$C$2:$C$21,MATCH(D443,'Product Master'!$A$2:$A$21,0))</f>
        <v>Apparel</v>
      </c>
      <c r="G443" s="15" t="n">
        <f aca="false">VALUE(TRIM('Raw Store Exports'!E443&amp;""))</f>
        <v>5</v>
      </c>
      <c r="H443" s="18" t="n">
        <f aca="false">INDEX('Product Master'!$D$2:$D$21,MATCH(D443,'Product Master'!$A$2:$A$21,0))</f>
        <v>45</v>
      </c>
      <c r="I443" s="14" t="n">
        <f aca="false">G443*H443</f>
        <v>225</v>
      </c>
      <c r="J443" s="0" t="str">
        <f aca="false">IF(COUNTIF($A$2:A443,A443)&gt;1,"Duplicate","")</f>
        <v/>
      </c>
    </row>
    <row r="444" customFormat="false" ht="15" hidden="false" customHeight="false" outlineLevel="0" collapsed="false">
      <c r="A444" s="0" t="str">
        <f aca="false">'Raw Store Exports'!A444</f>
        <v>TXN00840</v>
      </c>
      <c r="B444" s="17" t="n">
        <f aca="false">'Raw Store Exports'!C444</f>
        <v>46065</v>
      </c>
      <c r="C444" s="0" t="str">
        <f aca="false">INDEX('Store Mapping'!$C$2:$C$19,MATCH(TRIM('Raw Store Exports'!B444),'Store Mapping'!$A$2:$A$19,0))</f>
        <v>Northpark</v>
      </c>
      <c r="D444" s="0" t="str">
        <f aca="false">'Raw Store Exports'!D444</f>
        <v>ACC-304</v>
      </c>
      <c r="E444" s="0" t="str">
        <f aca="false">INDEX('Product Master'!$B$2:$B$21,MATCH(D444,'Product Master'!$A$2:$A$21,0))</f>
        <v>Wool Beanie</v>
      </c>
      <c r="F444" s="0" t="str">
        <f aca="false">INDEX('Product Master'!$C$2:$C$21,MATCH(D444,'Product Master'!$A$2:$A$21,0))</f>
        <v>Accessories</v>
      </c>
      <c r="G444" s="15" t="n">
        <f aca="false">VALUE(TRIM('Raw Store Exports'!E444&amp;""))</f>
        <v>3</v>
      </c>
      <c r="H444" s="18" t="n">
        <f aca="false">INDEX('Product Master'!$D$2:$D$21,MATCH(D444,'Product Master'!$A$2:$A$21,0))</f>
        <v>16</v>
      </c>
      <c r="I444" s="14" t="n">
        <f aca="false">G444*H444</f>
        <v>48</v>
      </c>
      <c r="J444" s="0" t="str">
        <f aca="false">IF(COUNTIF($A$2:A444,A444)&gt;1,"Duplicate","")</f>
        <v/>
      </c>
    </row>
    <row r="445" customFormat="false" ht="15" hidden="false" customHeight="false" outlineLevel="0" collapsed="false">
      <c r="A445" s="0" t="str">
        <f aca="false">'Raw Store Exports'!A445</f>
        <v>TXN00921</v>
      </c>
      <c r="B445" s="17" t="n">
        <f aca="false">'Raw Store Exports'!C445</f>
        <v>46074</v>
      </c>
      <c r="C445" s="0" t="str">
        <f aca="false">INDEX('Store Mapping'!$C$2:$C$19,MATCH(TRIM('Raw Store Exports'!B445),'Store Mapping'!$A$2:$A$19,0))</f>
        <v>Westside Mall</v>
      </c>
      <c r="D445" s="0" t="str">
        <f aca="false">'Raw Store Exports'!D445</f>
        <v>FTW-202</v>
      </c>
      <c r="E445" s="0" t="str">
        <f aca="false">INDEX('Product Master'!$B$2:$B$21,MATCH(D445,'Product Master'!$A$2:$A$21,0))</f>
        <v>Canvas Low-Top</v>
      </c>
      <c r="F445" s="0" t="str">
        <f aca="false">INDEX('Product Master'!$C$2:$C$21,MATCH(D445,'Product Master'!$A$2:$A$21,0))</f>
        <v>Footwear</v>
      </c>
      <c r="G445" s="15" t="n">
        <f aca="false">VALUE(TRIM('Raw Store Exports'!E445&amp;""))</f>
        <v>2</v>
      </c>
      <c r="H445" s="18" t="n">
        <f aca="false">INDEX('Product Master'!$D$2:$D$21,MATCH(D445,'Product Master'!$A$2:$A$21,0))</f>
        <v>55</v>
      </c>
      <c r="I445" s="14" t="n">
        <f aca="false">G445*H445</f>
        <v>110</v>
      </c>
      <c r="J445" s="0" t="str">
        <f aca="false">IF(COUNTIF($A$2:A445,A445)&gt;1,"Duplicate","")</f>
        <v/>
      </c>
    </row>
    <row r="446" customFormat="false" ht="15" hidden="false" customHeight="false" outlineLevel="0" collapsed="false">
      <c r="A446" s="0" t="str">
        <f aca="false">'Raw Store Exports'!A446</f>
        <v>TXN00953</v>
      </c>
      <c r="B446" s="17" t="n">
        <f aca="false">'Raw Store Exports'!C446</f>
        <v>46075</v>
      </c>
      <c r="C446" s="0" t="str">
        <f aca="false">INDEX('Store Mapping'!$C$2:$C$19,MATCH(TRIM('Raw Store Exports'!B446),'Store Mapping'!$A$2:$A$19,0))</f>
        <v>Eastgate</v>
      </c>
      <c r="D446" s="0" t="str">
        <f aca="false">'Raw Store Exports'!D446</f>
        <v>ELE-402</v>
      </c>
      <c r="E446" s="0" t="str">
        <f aca="false">INDEX('Product Master'!$B$2:$B$21,MATCH(D446,'Product Master'!$A$2:$A$21,0))</f>
        <v>Bluetooth Speaker</v>
      </c>
      <c r="F446" s="0" t="str">
        <f aca="false">INDEX('Product Master'!$C$2:$C$21,MATCH(D446,'Product Master'!$A$2:$A$21,0))</f>
        <v>Electronics</v>
      </c>
      <c r="G446" s="15" t="n">
        <f aca="false">VALUE(TRIM('Raw Store Exports'!E446&amp;""))</f>
        <v>3</v>
      </c>
      <c r="H446" s="18" t="n">
        <f aca="false">INDEX('Product Master'!$D$2:$D$21,MATCH(D446,'Product Master'!$A$2:$A$21,0))</f>
        <v>59</v>
      </c>
      <c r="I446" s="14" t="n">
        <f aca="false">G446*H446</f>
        <v>177</v>
      </c>
      <c r="J446" s="0" t="str">
        <f aca="false">IF(COUNTIF($A$2:A446,A446)&gt;1,"Duplicate","")</f>
        <v/>
      </c>
    </row>
    <row r="447" customFormat="false" ht="15" hidden="false" customHeight="false" outlineLevel="0" collapsed="false">
      <c r="A447" s="0" t="str">
        <f aca="false">'Raw Store Exports'!A447</f>
        <v>TXN00334</v>
      </c>
      <c r="B447" s="17" t="n">
        <f aca="false">'Raw Store Exports'!C447</f>
        <v>46046</v>
      </c>
      <c r="C447" s="0" t="str">
        <f aca="false">INDEX('Store Mapping'!$C$2:$C$19,MATCH(TRIM('Raw Store Exports'!B447),'Store Mapping'!$A$2:$A$19,0))</f>
        <v>Eastgate</v>
      </c>
      <c r="D447" s="0" t="str">
        <f aca="false">'Raw Store Exports'!D447</f>
        <v>HOM-503</v>
      </c>
      <c r="E447" s="0" t="str">
        <f aca="false">INDEX('Product Master'!$B$2:$B$21,MATCH(D447,'Product Master'!$A$2:$A$21,0))</f>
        <v>Cotton Throw Blanket</v>
      </c>
      <c r="F447" s="0" t="str">
        <f aca="false">INDEX('Product Master'!$C$2:$C$21,MATCH(D447,'Product Master'!$A$2:$A$21,0))</f>
        <v>Home Goods</v>
      </c>
      <c r="G447" s="15" t="n">
        <f aca="false">VALUE(TRIM('Raw Store Exports'!E447&amp;""))</f>
        <v>2</v>
      </c>
      <c r="H447" s="18" t="n">
        <f aca="false">INDEX('Product Master'!$D$2:$D$21,MATCH(D447,'Product Master'!$A$2:$A$21,0))</f>
        <v>38</v>
      </c>
      <c r="I447" s="14" t="n">
        <f aca="false">G447*H447</f>
        <v>76</v>
      </c>
      <c r="J447" s="0" t="str">
        <f aca="false">IF(COUNTIF($A$2:A447,A447)&gt;1,"Duplicate","")</f>
        <v/>
      </c>
    </row>
    <row r="448" customFormat="false" ht="15" hidden="false" customHeight="false" outlineLevel="0" collapsed="false">
      <c r="A448" s="0" t="str">
        <f aca="false">'Raw Store Exports'!A448</f>
        <v>TXN00814</v>
      </c>
      <c r="B448" s="17" t="n">
        <f aca="false">'Raw Store Exports'!C448</f>
        <v>46064</v>
      </c>
      <c r="C448" s="0" t="str">
        <f aca="false">INDEX('Store Mapping'!$C$2:$C$19,MATCH(TRIM('Raw Store Exports'!B448),'Store Mapping'!$A$2:$A$19,0))</f>
        <v>Eastgate</v>
      </c>
      <c r="D448" s="0" t="str">
        <f aca="false">'Raw Store Exports'!D448</f>
        <v>ACC-303</v>
      </c>
      <c r="E448" s="0" t="str">
        <f aca="false">INDEX('Product Master'!$B$2:$B$21,MATCH(D448,'Product Master'!$A$2:$A$21,0))</f>
        <v>Canvas Tote Bag</v>
      </c>
      <c r="F448" s="0" t="str">
        <f aca="false">INDEX('Product Master'!$C$2:$C$21,MATCH(D448,'Product Master'!$A$2:$A$21,0))</f>
        <v>Accessories</v>
      </c>
      <c r="G448" s="15" t="n">
        <f aca="false">VALUE(TRIM('Raw Store Exports'!E448&amp;""))</f>
        <v>3</v>
      </c>
      <c r="H448" s="18" t="n">
        <f aca="false">INDEX('Product Master'!$D$2:$D$21,MATCH(D448,'Product Master'!$A$2:$A$21,0))</f>
        <v>24</v>
      </c>
      <c r="I448" s="14" t="n">
        <f aca="false">G448*H448</f>
        <v>72</v>
      </c>
      <c r="J448" s="0" t="str">
        <f aca="false">IF(COUNTIF($A$2:A448,A448)&gt;1,"Duplicate","")</f>
        <v/>
      </c>
    </row>
    <row r="449" customFormat="false" ht="15" hidden="false" customHeight="false" outlineLevel="0" collapsed="false">
      <c r="A449" s="0" t="str">
        <f aca="false">'Raw Store Exports'!A449</f>
        <v>TXN00306</v>
      </c>
      <c r="B449" s="17" t="n">
        <f aca="false">'Raw Store Exports'!C449</f>
        <v>46041</v>
      </c>
      <c r="C449" s="0" t="str">
        <f aca="false">INDEX('Store Mapping'!$C$2:$C$19,MATCH(TRIM('Raw Store Exports'!B449),'Store Mapping'!$A$2:$A$19,0))</f>
        <v>Westside Mall</v>
      </c>
      <c r="D449" s="0" t="str">
        <f aca="false">'Raw Store Exports'!D449</f>
        <v>ELE-401</v>
      </c>
      <c r="E449" s="0" t="str">
        <f aca="false">INDEX('Product Master'!$B$2:$B$21,MATCH(D449,'Product Master'!$A$2:$A$21,0))</f>
        <v>Wireless Earbuds</v>
      </c>
      <c r="F449" s="0" t="str">
        <f aca="false">INDEX('Product Master'!$C$2:$C$21,MATCH(D449,'Product Master'!$A$2:$A$21,0))</f>
        <v>Electronics</v>
      </c>
      <c r="G449" s="15" t="n">
        <f aca="false">VALUE(TRIM('Raw Store Exports'!E449&amp;""))</f>
        <v>6</v>
      </c>
      <c r="H449" s="18" t="n">
        <f aca="false">INDEX('Product Master'!$D$2:$D$21,MATCH(D449,'Product Master'!$A$2:$A$21,0))</f>
        <v>79</v>
      </c>
      <c r="I449" s="14" t="n">
        <f aca="false">G449*H449</f>
        <v>474</v>
      </c>
      <c r="J449" s="0" t="str">
        <f aca="false">IF(COUNTIF($A$2:A449,A449)&gt;1,"Duplicate","")</f>
        <v/>
      </c>
    </row>
    <row r="450" customFormat="false" ht="15" hidden="false" customHeight="false" outlineLevel="0" collapsed="false">
      <c r="A450" s="0" t="str">
        <f aca="false">'Raw Store Exports'!A450</f>
        <v>TXN00478</v>
      </c>
      <c r="B450" s="17" t="n">
        <f aca="false">'Raw Store Exports'!C450</f>
        <v>46049</v>
      </c>
      <c r="C450" s="0" t="str">
        <f aca="false">INDEX('Store Mapping'!$C$2:$C$19,MATCH(TRIM('Raw Store Exports'!B450),'Store Mapping'!$A$2:$A$19,0))</f>
        <v>Westside Mall</v>
      </c>
      <c r="D450" s="0" t="str">
        <f aca="false">'Raw Store Exports'!D450</f>
        <v>FTW-201</v>
      </c>
      <c r="E450" s="0" t="str">
        <f aca="false">INDEX('Product Master'!$B$2:$B$21,MATCH(D450,'Product Master'!$A$2:$A$21,0))</f>
        <v>Running Sneakers</v>
      </c>
      <c r="F450" s="0" t="str">
        <f aca="false">INDEX('Product Master'!$C$2:$C$21,MATCH(D450,'Product Master'!$A$2:$A$21,0))</f>
        <v>Footwear</v>
      </c>
      <c r="G450" s="15" t="n">
        <f aca="false">VALUE(TRIM('Raw Store Exports'!E450&amp;""))</f>
        <v>4</v>
      </c>
      <c r="H450" s="18" t="n">
        <f aca="false">INDEX('Product Master'!$D$2:$D$21,MATCH(D450,'Product Master'!$A$2:$A$21,0))</f>
        <v>89</v>
      </c>
      <c r="I450" s="14" t="n">
        <f aca="false">G450*H450</f>
        <v>356</v>
      </c>
      <c r="J450" s="0" t="str">
        <f aca="false">IF(COUNTIF($A$2:A450,A450)&gt;1,"Duplicate","")</f>
        <v/>
      </c>
    </row>
    <row r="451" customFormat="false" ht="15" hidden="false" customHeight="false" outlineLevel="0" collapsed="false">
      <c r="A451" s="0" t="str">
        <f aca="false">'Raw Store Exports'!A451</f>
        <v>TXN00118</v>
      </c>
      <c r="B451" s="17" t="n">
        <f aca="false">'Raw Store Exports'!C451</f>
        <v>46030</v>
      </c>
      <c r="C451" s="0" t="str">
        <f aca="false">INDEX('Store Mapping'!$C$2:$C$19,MATCH(TRIM('Raw Store Exports'!B451),'Store Mapping'!$A$2:$A$19,0))</f>
        <v>Airport Plaza</v>
      </c>
      <c r="D451" s="0" t="str">
        <f aca="false">'Raw Store Exports'!D451</f>
        <v>FTW-203</v>
      </c>
      <c r="E451" s="0" t="str">
        <f aca="false">INDEX('Product Master'!$B$2:$B$21,MATCH(D451,'Product Master'!$A$2:$A$21,0))</f>
        <v>Leather Ankle Boot</v>
      </c>
      <c r="F451" s="0" t="str">
        <f aca="false">INDEX('Product Master'!$C$2:$C$21,MATCH(D451,'Product Master'!$A$2:$A$21,0))</f>
        <v>Footwear</v>
      </c>
      <c r="G451" s="15" t="n">
        <f aca="false">VALUE(TRIM('Raw Store Exports'!E451&amp;""))</f>
        <v>3</v>
      </c>
      <c r="H451" s="18" t="n">
        <f aca="false">INDEX('Product Master'!$D$2:$D$21,MATCH(D451,'Product Master'!$A$2:$A$21,0))</f>
        <v>120</v>
      </c>
      <c r="I451" s="14" t="n">
        <f aca="false">G451*H451</f>
        <v>360</v>
      </c>
      <c r="J451" s="0" t="str">
        <f aca="false">IF(COUNTIF($A$2:A451,A451)&gt;1,"Duplicate","")</f>
        <v/>
      </c>
    </row>
    <row r="452" customFormat="false" ht="15" hidden="false" customHeight="false" outlineLevel="0" collapsed="false">
      <c r="A452" s="0" t="str">
        <f aca="false">'Raw Store Exports'!A452</f>
        <v>TXN01101</v>
      </c>
      <c r="B452" s="17" t="n">
        <f aca="false">'Raw Store Exports'!C452</f>
        <v>46078</v>
      </c>
      <c r="C452" s="0" t="str">
        <f aca="false">INDEX('Store Mapping'!$C$2:$C$19,MATCH(TRIM('Raw Store Exports'!B452),'Store Mapping'!$A$2:$A$19,0))</f>
        <v>Westside Mall</v>
      </c>
      <c r="D452" s="0" t="str">
        <f aca="false">'Raw Store Exports'!D452</f>
        <v>ACC-303</v>
      </c>
      <c r="E452" s="0" t="str">
        <f aca="false">INDEX('Product Master'!$B$2:$B$21,MATCH(D452,'Product Master'!$A$2:$A$21,0))</f>
        <v>Canvas Tote Bag</v>
      </c>
      <c r="F452" s="0" t="str">
        <f aca="false">INDEX('Product Master'!$C$2:$C$21,MATCH(D452,'Product Master'!$A$2:$A$21,0))</f>
        <v>Accessories</v>
      </c>
      <c r="G452" s="15" t="n">
        <f aca="false">VALUE(TRIM('Raw Store Exports'!E452&amp;""))</f>
        <v>6</v>
      </c>
      <c r="H452" s="18" t="n">
        <f aca="false">INDEX('Product Master'!$D$2:$D$21,MATCH(D452,'Product Master'!$A$2:$A$21,0))</f>
        <v>24</v>
      </c>
      <c r="I452" s="14" t="n">
        <f aca="false">G452*H452</f>
        <v>144</v>
      </c>
      <c r="J452" s="0" t="str">
        <f aca="false">IF(COUNTIF($A$2:A452,A452)&gt;1,"Duplicate","")</f>
        <v/>
      </c>
    </row>
    <row r="453" customFormat="false" ht="15" hidden="false" customHeight="false" outlineLevel="0" collapsed="false">
      <c r="A453" s="0" t="str">
        <f aca="false">'Raw Store Exports'!A453</f>
        <v>TXN00525</v>
      </c>
      <c r="B453" s="17" t="n">
        <f aca="false">'Raw Store Exports'!C453</f>
        <v>46052</v>
      </c>
      <c r="C453" s="0" t="str">
        <f aca="false">INDEX('Store Mapping'!$C$2:$C$19,MATCH(TRIM('Raw Store Exports'!B453),'Store Mapping'!$A$2:$A$19,0))</f>
        <v>Northpark</v>
      </c>
      <c r="D453" s="0" t="str">
        <f aca="false">'Raw Store Exports'!D453</f>
        <v>ACC-303</v>
      </c>
      <c r="E453" s="0" t="str">
        <f aca="false">INDEX('Product Master'!$B$2:$B$21,MATCH(D453,'Product Master'!$A$2:$A$21,0))</f>
        <v>Canvas Tote Bag</v>
      </c>
      <c r="F453" s="0" t="str">
        <f aca="false">INDEX('Product Master'!$C$2:$C$21,MATCH(D453,'Product Master'!$A$2:$A$21,0))</f>
        <v>Accessories</v>
      </c>
      <c r="G453" s="15" t="n">
        <f aca="false">VALUE(TRIM('Raw Store Exports'!E453&amp;""))</f>
        <v>3</v>
      </c>
      <c r="H453" s="18" t="n">
        <f aca="false">INDEX('Product Master'!$D$2:$D$21,MATCH(D453,'Product Master'!$A$2:$A$21,0))</f>
        <v>24</v>
      </c>
      <c r="I453" s="14" t="n">
        <f aca="false">G453*H453</f>
        <v>72</v>
      </c>
      <c r="J453" s="0" t="str">
        <f aca="false">IF(COUNTIF($A$2:A453,A453)&gt;1,"Duplicate","")</f>
        <v/>
      </c>
    </row>
    <row r="454" customFormat="false" ht="15" hidden="false" customHeight="false" outlineLevel="0" collapsed="false">
      <c r="A454" s="0" t="str">
        <f aca="false">'Raw Store Exports'!A454</f>
        <v>TXN00984</v>
      </c>
      <c r="B454" s="17" t="n">
        <f aca="false">'Raw Store Exports'!C454</f>
        <v>46071</v>
      </c>
      <c r="C454" s="0" t="str">
        <f aca="false">INDEX('Store Mapping'!$C$2:$C$19,MATCH(TRIM('Raw Store Exports'!B454),'Store Mapping'!$A$2:$A$19,0))</f>
        <v>Northpark</v>
      </c>
      <c r="D454" s="0" t="str">
        <f aca="false">'Raw Store Exports'!D454</f>
        <v>APP-103</v>
      </c>
      <c r="E454" s="0" t="str">
        <f aca="false">INDEX('Product Master'!$B$2:$B$21,MATCH(D454,'Product Master'!$A$2:$A$21,0))</f>
        <v>Fleece Pullover Hoodie</v>
      </c>
      <c r="F454" s="0" t="str">
        <f aca="false">INDEX('Product Master'!$C$2:$C$21,MATCH(D454,'Product Master'!$A$2:$A$21,0))</f>
        <v>Apparel</v>
      </c>
      <c r="G454" s="15" t="n">
        <f aca="false">VALUE(TRIM('Raw Store Exports'!E454&amp;""))</f>
        <v>1</v>
      </c>
      <c r="H454" s="18" t="n">
        <f aca="false">INDEX('Product Master'!$D$2:$D$21,MATCH(D454,'Product Master'!$A$2:$A$21,0))</f>
        <v>45</v>
      </c>
      <c r="I454" s="14" t="n">
        <f aca="false">G454*H454</f>
        <v>45</v>
      </c>
      <c r="J454" s="0" t="str">
        <f aca="false">IF(COUNTIF($A$2:A454,A454)&gt;1,"Duplicate","")</f>
        <v/>
      </c>
    </row>
    <row r="455" customFormat="false" ht="15" hidden="false" customHeight="false" outlineLevel="0" collapsed="false">
      <c r="A455" s="0" t="str">
        <f aca="false">'Raw Store Exports'!A455</f>
        <v>TXN00367</v>
      </c>
      <c r="B455" s="17" t="n">
        <f aca="false">'Raw Store Exports'!C455</f>
        <v>46047</v>
      </c>
      <c r="C455" s="0" t="str">
        <f aca="false">INDEX('Store Mapping'!$C$2:$C$19,MATCH(TRIM('Raw Store Exports'!B455),'Store Mapping'!$A$2:$A$19,0))</f>
        <v>Northpark</v>
      </c>
      <c r="D455" s="0" t="str">
        <f aca="false">'Raw Store Exports'!D455</f>
        <v>APP-101</v>
      </c>
      <c r="E455" s="0" t="str">
        <f aca="false">INDEX('Product Master'!$B$2:$B$21,MATCH(D455,'Product Master'!$A$2:$A$21,0))</f>
        <v>Classic Denim Jacket</v>
      </c>
      <c r="F455" s="0" t="str">
        <f aca="false">INDEX('Product Master'!$C$2:$C$21,MATCH(D455,'Product Master'!$A$2:$A$21,0))</f>
        <v>Apparel</v>
      </c>
      <c r="G455" s="15" t="n">
        <f aca="false">VALUE(TRIM('Raw Store Exports'!E455&amp;""))</f>
        <v>5</v>
      </c>
      <c r="H455" s="18" t="n">
        <f aca="false">INDEX('Product Master'!$D$2:$D$21,MATCH(D455,'Product Master'!$A$2:$A$21,0))</f>
        <v>68</v>
      </c>
      <c r="I455" s="14" t="n">
        <f aca="false">G455*H455</f>
        <v>340</v>
      </c>
      <c r="J455" s="0" t="str">
        <f aca="false">IF(COUNTIF($A$2:A455,A455)&gt;1,"Duplicate","")</f>
        <v/>
      </c>
    </row>
    <row r="456" customFormat="false" ht="15" hidden="false" customHeight="false" outlineLevel="0" collapsed="false">
      <c r="A456" s="0" t="str">
        <f aca="false">'Raw Store Exports'!A456</f>
        <v>TXN00743</v>
      </c>
      <c r="B456" s="17" t="n">
        <f aca="false">'Raw Store Exports'!C456</f>
        <v>46057</v>
      </c>
      <c r="C456" s="0" t="str">
        <f aca="false">INDEX('Store Mapping'!$C$2:$C$19,MATCH(TRIM('Raw Store Exports'!B456),'Store Mapping'!$A$2:$A$19,0))</f>
        <v>Airport Plaza</v>
      </c>
      <c r="D456" s="0" t="str">
        <f aca="false">'Raw Store Exports'!D456</f>
        <v>ELE-404</v>
      </c>
      <c r="E456" s="0" t="str">
        <f aca="false">INDEX('Product Master'!$B$2:$B$21,MATCH(D456,'Product Master'!$A$2:$A$21,0))</f>
        <v>Phone Charging Cable</v>
      </c>
      <c r="F456" s="0" t="str">
        <f aca="false">INDEX('Product Master'!$C$2:$C$21,MATCH(D456,'Product Master'!$A$2:$A$21,0))</f>
        <v>Electronics</v>
      </c>
      <c r="G456" s="15" t="n">
        <f aca="false">VALUE(TRIM('Raw Store Exports'!E456&amp;""))</f>
        <v>1</v>
      </c>
      <c r="H456" s="18" t="n">
        <f aca="false">INDEX('Product Master'!$D$2:$D$21,MATCH(D456,'Product Master'!$A$2:$A$21,0))</f>
        <v>12</v>
      </c>
      <c r="I456" s="14" t="n">
        <f aca="false">G456*H456</f>
        <v>12</v>
      </c>
      <c r="J456" s="0" t="str">
        <f aca="false">IF(COUNTIF($A$2:A456,A456)&gt;1,"Duplicate","")</f>
        <v/>
      </c>
    </row>
    <row r="457" customFormat="false" ht="15" hidden="false" customHeight="false" outlineLevel="0" collapsed="false">
      <c r="A457" s="0" t="str">
        <f aca="false">'Raw Store Exports'!A457</f>
        <v>TXN00320</v>
      </c>
      <c r="B457" s="17" t="n">
        <f aca="false">'Raw Store Exports'!C457</f>
        <v>46044</v>
      </c>
      <c r="C457" s="0" t="str">
        <f aca="false">INDEX('Store Mapping'!$C$2:$C$19,MATCH(TRIM('Raw Store Exports'!B457),'Store Mapping'!$A$2:$A$19,0))</f>
        <v>Westside Mall</v>
      </c>
      <c r="D457" s="0" t="str">
        <f aca="false">'Raw Store Exports'!D457</f>
        <v>FTW-202</v>
      </c>
      <c r="E457" s="0" t="str">
        <f aca="false">INDEX('Product Master'!$B$2:$B$21,MATCH(D457,'Product Master'!$A$2:$A$21,0))</f>
        <v>Canvas Low-Top</v>
      </c>
      <c r="F457" s="0" t="str">
        <f aca="false">INDEX('Product Master'!$C$2:$C$21,MATCH(D457,'Product Master'!$A$2:$A$21,0))</f>
        <v>Footwear</v>
      </c>
      <c r="G457" s="15" t="n">
        <f aca="false">VALUE(TRIM('Raw Store Exports'!E457&amp;""))</f>
        <v>5</v>
      </c>
      <c r="H457" s="18" t="n">
        <f aca="false">INDEX('Product Master'!$D$2:$D$21,MATCH(D457,'Product Master'!$A$2:$A$21,0))</f>
        <v>55</v>
      </c>
      <c r="I457" s="14" t="n">
        <f aca="false">G457*H457</f>
        <v>275</v>
      </c>
      <c r="J457" s="0" t="str">
        <f aca="false">IF(COUNTIF($A$2:A457,A457)&gt;1,"Duplicate","")</f>
        <v/>
      </c>
    </row>
    <row r="458" customFormat="false" ht="15" hidden="false" customHeight="false" outlineLevel="0" collapsed="false">
      <c r="A458" s="0" t="str">
        <f aca="false">'Raw Store Exports'!A458</f>
        <v>TXN00628</v>
      </c>
      <c r="B458" s="17" t="n">
        <f aca="false">'Raw Store Exports'!C458</f>
        <v>46059</v>
      </c>
      <c r="C458" s="0" t="str">
        <f aca="false">INDEX('Store Mapping'!$C$2:$C$19,MATCH(TRIM('Raw Store Exports'!B458),'Store Mapping'!$A$2:$A$19,0))</f>
        <v>Westside Mall</v>
      </c>
      <c r="D458" s="0" t="str">
        <f aca="false">'Raw Store Exports'!D458</f>
        <v>APP-103</v>
      </c>
      <c r="E458" s="0" t="str">
        <f aca="false">INDEX('Product Master'!$B$2:$B$21,MATCH(D458,'Product Master'!$A$2:$A$21,0))</f>
        <v>Fleece Pullover Hoodie</v>
      </c>
      <c r="F458" s="0" t="str">
        <f aca="false">INDEX('Product Master'!$C$2:$C$21,MATCH(D458,'Product Master'!$A$2:$A$21,0))</f>
        <v>Apparel</v>
      </c>
      <c r="G458" s="15" t="n">
        <f aca="false">VALUE(TRIM('Raw Store Exports'!E458&amp;""))</f>
        <v>3</v>
      </c>
      <c r="H458" s="18" t="n">
        <f aca="false">INDEX('Product Master'!$D$2:$D$21,MATCH(D458,'Product Master'!$A$2:$A$21,0))</f>
        <v>45</v>
      </c>
      <c r="I458" s="14" t="n">
        <f aca="false">G458*H458</f>
        <v>135</v>
      </c>
      <c r="J458" s="0" t="str">
        <f aca="false">IF(COUNTIF($A$2:A458,A458)&gt;1,"Duplicate","")</f>
        <v/>
      </c>
    </row>
    <row r="459" customFormat="false" ht="15" hidden="false" customHeight="false" outlineLevel="0" collapsed="false">
      <c r="A459" s="0" t="str">
        <f aca="false">'Raw Store Exports'!A459</f>
        <v>TXN00883</v>
      </c>
      <c r="B459" s="17" t="n">
        <f aca="false">'Raw Store Exports'!C459</f>
        <v>46062</v>
      </c>
      <c r="C459" s="0" t="str">
        <f aca="false">INDEX('Store Mapping'!$C$2:$C$19,MATCH(TRIM('Raw Store Exports'!B459),'Store Mapping'!$A$2:$A$19,0))</f>
        <v>Airport Plaza</v>
      </c>
      <c r="D459" s="0" t="str">
        <f aca="false">'Raw Store Exports'!D459</f>
        <v>FTW-203</v>
      </c>
      <c r="E459" s="0" t="str">
        <f aca="false">INDEX('Product Master'!$B$2:$B$21,MATCH(D459,'Product Master'!$A$2:$A$21,0))</f>
        <v>Leather Ankle Boot</v>
      </c>
      <c r="F459" s="0" t="str">
        <f aca="false">INDEX('Product Master'!$C$2:$C$21,MATCH(D459,'Product Master'!$A$2:$A$21,0))</f>
        <v>Footwear</v>
      </c>
      <c r="G459" s="15" t="n">
        <f aca="false">VALUE(TRIM('Raw Store Exports'!E459&amp;""))</f>
        <v>5</v>
      </c>
      <c r="H459" s="18" t="n">
        <f aca="false">INDEX('Product Master'!$D$2:$D$21,MATCH(D459,'Product Master'!$A$2:$A$21,0))</f>
        <v>120</v>
      </c>
      <c r="I459" s="14" t="n">
        <f aca="false">G459*H459</f>
        <v>600</v>
      </c>
      <c r="J459" s="0" t="str">
        <f aca="false">IF(COUNTIF($A$2:A459,A459)&gt;1,"Duplicate","")</f>
        <v/>
      </c>
    </row>
    <row r="460" customFormat="false" ht="15" hidden="false" customHeight="false" outlineLevel="0" collapsed="false">
      <c r="A460" s="0" t="str">
        <f aca="false">'Raw Store Exports'!A460</f>
        <v>TXN00510</v>
      </c>
      <c r="B460" s="17" t="n">
        <f aca="false">'Raw Store Exports'!C460</f>
        <v>46052</v>
      </c>
      <c r="C460" s="0" t="str">
        <f aca="false">INDEX('Store Mapping'!$C$2:$C$19,MATCH(TRIM('Raw Store Exports'!B460),'Store Mapping'!$A$2:$A$19,0))</f>
        <v>Northpark</v>
      </c>
      <c r="D460" s="0" t="str">
        <f aca="false">'Raw Store Exports'!D460</f>
        <v>HOM-503</v>
      </c>
      <c r="E460" s="0" t="str">
        <f aca="false">INDEX('Product Master'!$B$2:$B$21,MATCH(D460,'Product Master'!$A$2:$A$21,0))</f>
        <v>Cotton Throw Blanket</v>
      </c>
      <c r="F460" s="0" t="str">
        <f aca="false">INDEX('Product Master'!$C$2:$C$21,MATCH(D460,'Product Master'!$A$2:$A$21,0))</f>
        <v>Home Goods</v>
      </c>
      <c r="G460" s="15" t="n">
        <f aca="false">VALUE(TRIM('Raw Store Exports'!E460&amp;""))</f>
        <v>4</v>
      </c>
      <c r="H460" s="18" t="n">
        <f aca="false">INDEX('Product Master'!$D$2:$D$21,MATCH(D460,'Product Master'!$A$2:$A$21,0))</f>
        <v>38</v>
      </c>
      <c r="I460" s="14" t="n">
        <f aca="false">G460*H460</f>
        <v>152</v>
      </c>
      <c r="J460" s="0" t="str">
        <f aca="false">IF(COUNTIF($A$2:A460,A460)&gt;1,"Duplicate","")</f>
        <v/>
      </c>
    </row>
    <row r="461" customFormat="false" ht="15" hidden="false" customHeight="false" outlineLevel="0" collapsed="false">
      <c r="A461" s="0" t="str">
        <f aca="false">'Raw Store Exports'!A461</f>
        <v>TXN00924</v>
      </c>
      <c r="B461" s="17" t="n">
        <f aca="false">'Raw Store Exports'!C461</f>
        <v>46071</v>
      </c>
      <c r="C461" s="0" t="str">
        <f aca="false">INDEX('Store Mapping'!$C$2:$C$19,MATCH(TRIM('Raw Store Exports'!B461),'Store Mapping'!$A$2:$A$19,0))</f>
        <v>Westside Mall</v>
      </c>
      <c r="D461" s="0" t="str">
        <f aca="false">'Raw Store Exports'!D461</f>
        <v>HOM-503</v>
      </c>
      <c r="E461" s="0" t="str">
        <f aca="false">INDEX('Product Master'!$B$2:$B$21,MATCH(D461,'Product Master'!$A$2:$A$21,0))</f>
        <v>Cotton Throw Blanket</v>
      </c>
      <c r="F461" s="0" t="str">
        <f aca="false">INDEX('Product Master'!$C$2:$C$21,MATCH(D461,'Product Master'!$A$2:$A$21,0))</f>
        <v>Home Goods</v>
      </c>
      <c r="G461" s="15" t="n">
        <f aca="false">VALUE(TRIM('Raw Store Exports'!E461&amp;""))</f>
        <v>4</v>
      </c>
      <c r="H461" s="18" t="n">
        <f aca="false">INDEX('Product Master'!$D$2:$D$21,MATCH(D461,'Product Master'!$A$2:$A$21,0))</f>
        <v>38</v>
      </c>
      <c r="I461" s="14" t="n">
        <f aca="false">G461*H461</f>
        <v>152</v>
      </c>
      <c r="J461" s="0" t="str">
        <f aca="false">IF(COUNTIF($A$2:A461,A461)&gt;1,"Duplicate","")</f>
        <v/>
      </c>
    </row>
    <row r="462" customFormat="false" ht="15" hidden="false" customHeight="false" outlineLevel="0" collapsed="false">
      <c r="A462" s="0" t="str">
        <f aca="false">'Raw Store Exports'!A462</f>
        <v>TXN00176</v>
      </c>
      <c r="B462" s="17" t="n">
        <f aca="false">'Raw Store Exports'!C462</f>
        <v>46040</v>
      </c>
      <c r="C462" s="0" t="str">
        <f aca="false">INDEX('Store Mapping'!$C$2:$C$19,MATCH(TRIM('Raw Store Exports'!B462),'Store Mapping'!$A$2:$A$19,0))</f>
        <v>Westside Mall</v>
      </c>
      <c r="D462" s="0" t="str">
        <f aca="false">'Raw Store Exports'!D462</f>
        <v>FTW-201</v>
      </c>
      <c r="E462" s="0" t="str">
        <f aca="false">INDEX('Product Master'!$B$2:$B$21,MATCH(D462,'Product Master'!$A$2:$A$21,0))</f>
        <v>Running Sneakers</v>
      </c>
      <c r="F462" s="0" t="str">
        <f aca="false">INDEX('Product Master'!$C$2:$C$21,MATCH(D462,'Product Master'!$A$2:$A$21,0))</f>
        <v>Footwear</v>
      </c>
      <c r="G462" s="15" t="n">
        <f aca="false">VALUE(TRIM('Raw Store Exports'!E462&amp;""))</f>
        <v>1</v>
      </c>
      <c r="H462" s="18" t="n">
        <f aca="false">INDEX('Product Master'!$D$2:$D$21,MATCH(D462,'Product Master'!$A$2:$A$21,0))</f>
        <v>89</v>
      </c>
      <c r="I462" s="14" t="n">
        <f aca="false">G462*H462</f>
        <v>89</v>
      </c>
      <c r="J462" s="0" t="str">
        <f aca="false">IF(COUNTIF($A$2:A462,A462)&gt;1,"Duplicate","")</f>
        <v/>
      </c>
    </row>
    <row r="463" customFormat="false" ht="15" hidden="false" customHeight="false" outlineLevel="0" collapsed="false">
      <c r="A463" s="0" t="str">
        <f aca="false">'Raw Store Exports'!A463</f>
        <v>TXN00165</v>
      </c>
      <c r="B463" s="17" t="n">
        <f aca="false">'Raw Store Exports'!C463</f>
        <v>46034</v>
      </c>
      <c r="C463" s="0" t="str">
        <f aca="false">INDEX('Store Mapping'!$C$2:$C$19,MATCH(TRIM('Raw Store Exports'!B463),'Store Mapping'!$A$2:$A$19,0))</f>
        <v>Westside Mall</v>
      </c>
      <c r="D463" s="0" t="str">
        <f aca="false">'Raw Store Exports'!D463</f>
        <v>ELE-402</v>
      </c>
      <c r="E463" s="0" t="str">
        <f aca="false">INDEX('Product Master'!$B$2:$B$21,MATCH(D463,'Product Master'!$A$2:$A$21,0))</f>
        <v>Bluetooth Speaker</v>
      </c>
      <c r="F463" s="0" t="str">
        <f aca="false">INDEX('Product Master'!$C$2:$C$21,MATCH(D463,'Product Master'!$A$2:$A$21,0))</f>
        <v>Electronics</v>
      </c>
      <c r="G463" s="15" t="n">
        <f aca="false">VALUE(TRIM('Raw Store Exports'!E463&amp;""))</f>
        <v>3</v>
      </c>
      <c r="H463" s="18" t="n">
        <f aca="false">INDEX('Product Master'!$D$2:$D$21,MATCH(D463,'Product Master'!$A$2:$A$21,0))</f>
        <v>59</v>
      </c>
      <c r="I463" s="14" t="n">
        <f aca="false">G463*H463</f>
        <v>177</v>
      </c>
      <c r="J463" s="0" t="str">
        <f aca="false">IF(COUNTIF($A$2:A463,A463)&gt;1,"Duplicate","")</f>
        <v/>
      </c>
    </row>
    <row r="464" customFormat="false" ht="15" hidden="false" customHeight="false" outlineLevel="0" collapsed="false">
      <c r="A464" s="0" t="str">
        <f aca="false">'Raw Store Exports'!A464</f>
        <v>TXN01022</v>
      </c>
      <c r="B464" s="17" t="n">
        <f aca="false">'Raw Store Exports'!C464</f>
        <v>46072</v>
      </c>
      <c r="C464" s="0" t="str">
        <f aca="false">INDEX('Store Mapping'!$C$2:$C$19,MATCH(TRIM('Raw Store Exports'!B464),'Store Mapping'!$A$2:$A$19,0))</f>
        <v>Riverside</v>
      </c>
      <c r="D464" s="0" t="str">
        <f aca="false">'Raw Store Exports'!D464</f>
        <v>ACC-303</v>
      </c>
      <c r="E464" s="0" t="str">
        <f aca="false">INDEX('Product Master'!$B$2:$B$21,MATCH(D464,'Product Master'!$A$2:$A$21,0))</f>
        <v>Canvas Tote Bag</v>
      </c>
      <c r="F464" s="0" t="str">
        <f aca="false">INDEX('Product Master'!$C$2:$C$21,MATCH(D464,'Product Master'!$A$2:$A$21,0))</f>
        <v>Accessories</v>
      </c>
      <c r="G464" s="15" t="n">
        <f aca="false">VALUE(TRIM('Raw Store Exports'!E464&amp;""))</f>
        <v>4</v>
      </c>
      <c r="H464" s="18" t="n">
        <f aca="false">INDEX('Product Master'!$D$2:$D$21,MATCH(D464,'Product Master'!$A$2:$A$21,0))</f>
        <v>24</v>
      </c>
      <c r="I464" s="14" t="n">
        <f aca="false">G464*H464</f>
        <v>96</v>
      </c>
      <c r="J464" s="0" t="str">
        <f aca="false">IF(COUNTIF($A$2:A464,A464)&gt;1,"Duplicate","")</f>
        <v/>
      </c>
    </row>
    <row r="465" customFormat="false" ht="15" hidden="false" customHeight="false" outlineLevel="0" collapsed="false">
      <c r="A465" s="0" t="str">
        <f aca="false">'Raw Store Exports'!A465</f>
        <v>TXN01087</v>
      </c>
      <c r="B465" s="17" t="n">
        <f aca="false">'Raw Store Exports'!C465</f>
        <v>46081</v>
      </c>
      <c r="C465" s="0" t="str">
        <f aca="false">INDEX('Store Mapping'!$C$2:$C$19,MATCH(TRIM('Raw Store Exports'!B465),'Store Mapping'!$A$2:$A$19,0))</f>
        <v>Westside Mall</v>
      </c>
      <c r="D465" s="0" t="str">
        <f aca="false">'Raw Store Exports'!D465</f>
        <v>ELE-402</v>
      </c>
      <c r="E465" s="0" t="str">
        <f aca="false">INDEX('Product Master'!$B$2:$B$21,MATCH(D465,'Product Master'!$A$2:$A$21,0))</f>
        <v>Bluetooth Speaker</v>
      </c>
      <c r="F465" s="0" t="str">
        <f aca="false">INDEX('Product Master'!$C$2:$C$21,MATCH(D465,'Product Master'!$A$2:$A$21,0))</f>
        <v>Electronics</v>
      </c>
      <c r="G465" s="15" t="n">
        <f aca="false">VALUE(TRIM('Raw Store Exports'!E465&amp;""))</f>
        <v>1</v>
      </c>
      <c r="H465" s="18" t="n">
        <f aca="false">INDEX('Product Master'!$D$2:$D$21,MATCH(D465,'Product Master'!$A$2:$A$21,0))</f>
        <v>59</v>
      </c>
      <c r="I465" s="14" t="n">
        <f aca="false">G465*H465</f>
        <v>59</v>
      </c>
      <c r="J465" s="0" t="str">
        <f aca="false">IF(COUNTIF($A$2:A465,A465)&gt;1,"Duplicate","")</f>
        <v/>
      </c>
    </row>
    <row r="466" customFormat="false" ht="15" hidden="false" customHeight="false" outlineLevel="0" collapsed="false">
      <c r="A466" s="0" t="str">
        <f aca="false">'Raw Store Exports'!A466</f>
        <v>TXN00687</v>
      </c>
      <c r="B466" s="17" t="n">
        <f aca="false">'Raw Store Exports'!C466</f>
        <v>46059</v>
      </c>
      <c r="C466" s="0" t="str">
        <f aca="false">INDEX('Store Mapping'!$C$2:$C$19,MATCH(TRIM('Raw Store Exports'!B466),'Store Mapping'!$A$2:$A$19,0))</f>
        <v>Northpark</v>
      </c>
      <c r="D466" s="0" t="str">
        <f aca="false">'Raw Store Exports'!D466</f>
        <v>APP-103</v>
      </c>
      <c r="E466" s="0" t="str">
        <f aca="false">INDEX('Product Master'!$B$2:$B$21,MATCH(D466,'Product Master'!$A$2:$A$21,0))</f>
        <v>Fleece Pullover Hoodie</v>
      </c>
      <c r="F466" s="0" t="str">
        <f aca="false">INDEX('Product Master'!$C$2:$C$21,MATCH(D466,'Product Master'!$A$2:$A$21,0))</f>
        <v>Apparel</v>
      </c>
      <c r="G466" s="15" t="n">
        <f aca="false">VALUE(TRIM('Raw Store Exports'!E466&amp;""))</f>
        <v>2</v>
      </c>
      <c r="H466" s="18" t="n">
        <f aca="false">INDEX('Product Master'!$D$2:$D$21,MATCH(D466,'Product Master'!$A$2:$A$21,0))</f>
        <v>45</v>
      </c>
      <c r="I466" s="14" t="n">
        <f aca="false">G466*H466</f>
        <v>90</v>
      </c>
      <c r="J466" s="0" t="str">
        <f aca="false">IF(COUNTIF($A$2:A466,A466)&gt;1,"Duplicate","")</f>
        <v/>
      </c>
    </row>
    <row r="467" customFormat="false" ht="15" hidden="false" customHeight="false" outlineLevel="0" collapsed="false">
      <c r="A467" s="0" t="str">
        <f aca="false">'Raw Store Exports'!A467</f>
        <v>TXN00985</v>
      </c>
      <c r="B467" s="17" t="n">
        <f aca="false">'Raw Store Exports'!C467</f>
        <v>46074</v>
      </c>
      <c r="C467" s="0" t="str">
        <f aca="false">INDEX('Store Mapping'!$C$2:$C$19,MATCH(TRIM('Raw Store Exports'!B467),'Store Mapping'!$A$2:$A$19,0))</f>
        <v>Northpark</v>
      </c>
      <c r="D467" s="0" t="str">
        <f aca="false">'Raw Store Exports'!D467</f>
        <v>ELE-404</v>
      </c>
      <c r="E467" s="0" t="str">
        <f aca="false">INDEX('Product Master'!$B$2:$B$21,MATCH(D467,'Product Master'!$A$2:$A$21,0))</f>
        <v>Phone Charging Cable</v>
      </c>
      <c r="F467" s="0" t="str">
        <f aca="false">INDEX('Product Master'!$C$2:$C$21,MATCH(D467,'Product Master'!$A$2:$A$21,0))</f>
        <v>Electronics</v>
      </c>
      <c r="G467" s="15" t="n">
        <f aca="false">VALUE(TRIM('Raw Store Exports'!E467&amp;""))</f>
        <v>2</v>
      </c>
      <c r="H467" s="18" t="n">
        <f aca="false">INDEX('Product Master'!$D$2:$D$21,MATCH(D467,'Product Master'!$A$2:$A$21,0))</f>
        <v>12</v>
      </c>
      <c r="I467" s="14" t="n">
        <f aca="false">G467*H467</f>
        <v>24</v>
      </c>
      <c r="J467" s="0" t="str">
        <f aca="false">IF(COUNTIF($A$2:A467,A467)&gt;1,"Duplicate","")</f>
        <v/>
      </c>
    </row>
    <row r="468" customFormat="false" ht="15" hidden="false" customHeight="false" outlineLevel="0" collapsed="false">
      <c r="A468" s="0" t="str">
        <f aca="false">'Raw Store Exports'!A468</f>
        <v>TXN01151</v>
      </c>
      <c r="B468" s="17" t="n">
        <f aca="false">'Raw Store Exports'!C468</f>
        <v>46077</v>
      </c>
      <c r="C468" s="0" t="str">
        <f aca="false">INDEX('Store Mapping'!$C$2:$C$19,MATCH(TRIM('Raw Store Exports'!B468),'Store Mapping'!$A$2:$A$19,0))</f>
        <v>Riverside</v>
      </c>
      <c r="D468" s="0" t="str">
        <f aca="false">'Raw Store Exports'!D468</f>
        <v>FTW-202</v>
      </c>
      <c r="E468" s="0" t="str">
        <f aca="false">INDEX('Product Master'!$B$2:$B$21,MATCH(D468,'Product Master'!$A$2:$A$21,0))</f>
        <v>Canvas Low-Top</v>
      </c>
      <c r="F468" s="0" t="str">
        <f aca="false">INDEX('Product Master'!$C$2:$C$21,MATCH(D468,'Product Master'!$A$2:$A$21,0))</f>
        <v>Footwear</v>
      </c>
      <c r="G468" s="15" t="n">
        <f aca="false">VALUE(TRIM('Raw Store Exports'!E468&amp;""))</f>
        <v>4</v>
      </c>
      <c r="H468" s="18" t="n">
        <f aca="false">INDEX('Product Master'!$D$2:$D$21,MATCH(D468,'Product Master'!$A$2:$A$21,0))</f>
        <v>55</v>
      </c>
      <c r="I468" s="14" t="n">
        <f aca="false">G468*H468</f>
        <v>220</v>
      </c>
      <c r="J468" s="0" t="str">
        <f aca="false">IF(COUNTIF($A$2:A468,A468)&gt;1,"Duplicate","")</f>
        <v/>
      </c>
    </row>
    <row r="469" customFormat="false" ht="15" hidden="false" customHeight="false" outlineLevel="0" collapsed="false">
      <c r="A469" s="0" t="str">
        <f aca="false">'Raw Store Exports'!A469</f>
        <v>TXN00920</v>
      </c>
      <c r="B469" s="17" t="n">
        <f aca="false">'Raw Store Exports'!C469</f>
        <v>46072</v>
      </c>
      <c r="C469" s="0" t="str">
        <f aca="false">INDEX('Store Mapping'!$C$2:$C$19,MATCH(TRIM('Raw Store Exports'!B469),'Store Mapping'!$A$2:$A$19,0))</f>
        <v>Westside Mall</v>
      </c>
      <c r="D469" s="0" t="str">
        <f aca="false">'Raw Store Exports'!D469</f>
        <v>APP-101</v>
      </c>
      <c r="E469" s="0" t="str">
        <f aca="false">INDEX('Product Master'!$B$2:$B$21,MATCH(D469,'Product Master'!$A$2:$A$21,0))</f>
        <v>Classic Denim Jacket</v>
      </c>
      <c r="F469" s="0" t="str">
        <f aca="false">INDEX('Product Master'!$C$2:$C$21,MATCH(D469,'Product Master'!$A$2:$A$21,0))</f>
        <v>Apparel</v>
      </c>
      <c r="G469" s="15" t="n">
        <f aca="false">VALUE(TRIM('Raw Store Exports'!E469&amp;""))</f>
        <v>2</v>
      </c>
      <c r="H469" s="18" t="n">
        <f aca="false">INDEX('Product Master'!$D$2:$D$21,MATCH(D469,'Product Master'!$A$2:$A$21,0))</f>
        <v>68</v>
      </c>
      <c r="I469" s="14" t="n">
        <f aca="false">G469*H469</f>
        <v>136</v>
      </c>
      <c r="J469" s="0" t="str">
        <f aca="false">IF(COUNTIF($A$2:A469,A469)&gt;1,"Duplicate","")</f>
        <v/>
      </c>
    </row>
    <row r="470" customFormat="false" ht="15" hidden="false" customHeight="false" outlineLevel="0" collapsed="false">
      <c r="A470" s="0" t="str">
        <f aca="false">'Raw Store Exports'!A470</f>
        <v>TXN00557</v>
      </c>
      <c r="B470" s="17" t="n">
        <f aca="false">'Raw Store Exports'!C470</f>
        <v>46048</v>
      </c>
      <c r="C470" s="0" t="str">
        <f aca="false">INDEX('Store Mapping'!$C$2:$C$19,MATCH(TRIM('Raw Store Exports'!B470),'Store Mapping'!$A$2:$A$19,0))</f>
        <v>Riverside</v>
      </c>
      <c r="D470" s="0" t="str">
        <f aca="false">'Raw Store Exports'!D470</f>
        <v>ELE-404</v>
      </c>
      <c r="E470" s="0" t="str">
        <f aca="false">INDEX('Product Master'!$B$2:$B$21,MATCH(D470,'Product Master'!$A$2:$A$21,0))</f>
        <v>Phone Charging Cable</v>
      </c>
      <c r="F470" s="0" t="str">
        <f aca="false">INDEX('Product Master'!$C$2:$C$21,MATCH(D470,'Product Master'!$A$2:$A$21,0))</f>
        <v>Electronics</v>
      </c>
      <c r="G470" s="15" t="n">
        <f aca="false">VALUE(TRIM('Raw Store Exports'!E470&amp;""))</f>
        <v>6</v>
      </c>
      <c r="H470" s="18" t="n">
        <f aca="false">INDEX('Product Master'!$D$2:$D$21,MATCH(D470,'Product Master'!$A$2:$A$21,0))</f>
        <v>12</v>
      </c>
      <c r="I470" s="14" t="n">
        <f aca="false">G470*H470</f>
        <v>72</v>
      </c>
      <c r="J470" s="0" t="str">
        <f aca="false">IF(COUNTIF($A$2:A470,A470)&gt;1,"Duplicate","")</f>
        <v/>
      </c>
    </row>
    <row r="471" customFormat="false" ht="15" hidden="false" customHeight="false" outlineLevel="0" collapsed="false">
      <c r="A471" s="0" t="str">
        <f aca="false">'Raw Store Exports'!A471</f>
        <v>TXN00358</v>
      </c>
      <c r="B471" s="17" t="n">
        <f aca="false">'Raw Store Exports'!C471</f>
        <v>46042</v>
      </c>
      <c r="C471" s="0" t="str">
        <f aca="false">INDEX('Store Mapping'!$C$2:$C$19,MATCH(TRIM('Raw Store Exports'!B471),'Store Mapping'!$A$2:$A$19,0))</f>
        <v>Northpark</v>
      </c>
      <c r="D471" s="0" t="str">
        <f aca="false">'Raw Store Exports'!D471</f>
        <v>APP-101</v>
      </c>
      <c r="E471" s="0" t="str">
        <f aca="false">INDEX('Product Master'!$B$2:$B$21,MATCH(D471,'Product Master'!$A$2:$A$21,0))</f>
        <v>Classic Denim Jacket</v>
      </c>
      <c r="F471" s="0" t="str">
        <f aca="false">INDEX('Product Master'!$C$2:$C$21,MATCH(D471,'Product Master'!$A$2:$A$21,0))</f>
        <v>Apparel</v>
      </c>
      <c r="G471" s="15" t="n">
        <f aca="false">VALUE(TRIM('Raw Store Exports'!E471&amp;""))</f>
        <v>4</v>
      </c>
      <c r="H471" s="18" t="n">
        <f aca="false">INDEX('Product Master'!$D$2:$D$21,MATCH(D471,'Product Master'!$A$2:$A$21,0))</f>
        <v>68</v>
      </c>
      <c r="I471" s="14" t="n">
        <f aca="false">G471*H471</f>
        <v>272</v>
      </c>
      <c r="J471" s="0" t="str">
        <f aca="false">IF(COUNTIF($A$2:A471,A471)&gt;1,"Duplicate","")</f>
        <v/>
      </c>
    </row>
    <row r="472" customFormat="false" ht="15" hidden="false" customHeight="false" outlineLevel="0" collapsed="false">
      <c r="A472" s="0" t="str">
        <f aca="false">'Raw Store Exports'!A472</f>
        <v>TXN00539</v>
      </c>
      <c r="B472" s="17" t="n">
        <f aca="false">'Raw Store Exports'!C472</f>
        <v>46054</v>
      </c>
      <c r="C472" s="0" t="str">
        <f aca="false">INDEX('Store Mapping'!$C$2:$C$19,MATCH(TRIM('Raw Store Exports'!B472),'Store Mapping'!$A$2:$A$19,0))</f>
        <v>Riverside</v>
      </c>
      <c r="D472" s="0" t="str">
        <f aca="false">'Raw Store Exports'!D472</f>
        <v>ELE-401</v>
      </c>
      <c r="E472" s="0" t="str">
        <f aca="false">INDEX('Product Master'!$B$2:$B$21,MATCH(D472,'Product Master'!$A$2:$A$21,0))</f>
        <v>Wireless Earbuds</v>
      </c>
      <c r="F472" s="0" t="str">
        <f aca="false">INDEX('Product Master'!$C$2:$C$21,MATCH(D472,'Product Master'!$A$2:$A$21,0))</f>
        <v>Electronics</v>
      </c>
      <c r="G472" s="15" t="n">
        <f aca="false">VALUE(TRIM('Raw Store Exports'!E472&amp;""))</f>
        <v>5</v>
      </c>
      <c r="H472" s="18" t="n">
        <f aca="false">INDEX('Product Master'!$D$2:$D$21,MATCH(D472,'Product Master'!$A$2:$A$21,0))</f>
        <v>79</v>
      </c>
      <c r="I472" s="14" t="n">
        <f aca="false">G472*H472</f>
        <v>395</v>
      </c>
      <c r="J472" s="0" t="str">
        <f aca="false">IF(COUNTIF($A$2:A472,A472)&gt;1,"Duplicate","")</f>
        <v/>
      </c>
    </row>
    <row r="473" customFormat="false" ht="15" hidden="false" customHeight="false" outlineLevel="0" collapsed="false">
      <c r="A473" s="0" t="str">
        <f aca="false">'Raw Store Exports'!A473</f>
        <v>TXN01120</v>
      </c>
      <c r="B473" s="17" t="n">
        <f aca="false">'Raw Store Exports'!C473</f>
        <v>46081</v>
      </c>
      <c r="C473" s="0" t="str">
        <f aca="false">INDEX('Store Mapping'!$C$2:$C$19,MATCH(TRIM('Raw Store Exports'!B473),'Store Mapping'!$A$2:$A$19,0))</f>
        <v>Eastgate</v>
      </c>
      <c r="D473" s="0" t="str">
        <f aca="false">'Raw Store Exports'!D473</f>
        <v>ELE-401</v>
      </c>
      <c r="E473" s="0" t="str">
        <f aca="false">INDEX('Product Master'!$B$2:$B$21,MATCH(D473,'Product Master'!$A$2:$A$21,0))</f>
        <v>Wireless Earbuds</v>
      </c>
      <c r="F473" s="0" t="str">
        <f aca="false">INDEX('Product Master'!$C$2:$C$21,MATCH(D473,'Product Master'!$A$2:$A$21,0))</f>
        <v>Electronics</v>
      </c>
      <c r="G473" s="15" t="n">
        <f aca="false">VALUE(TRIM('Raw Store Exports'!E473&amp;""))</f>
        <v>4</v>
      </c>
      <c r="H473" s="18" t="n">
        <f aca="false">INDEX('Product Master'!$D$2:$D$21,MATCH(D473,'Product Master'!$A$2:$A$21,0))</f>
        <v>79</v>
      </c>
      <c r="I473" s="14" t="n">
        <f aca="false">G473*H473</f>
        <v>316</v>
      </c>
      <c r="J473" s="0" t="str">
        <f aca="false">IF(COUNTIF($A$2:A473,A473)&gt;1,"Duplicate","")</f>
        <v/>
      </c>
    </row>
    <row r="474" customFormat="false" ht="15" hidden="false" customHeight="false" outlineLevel="0" collapsed="false">
      <c r="A474" s="0" t="str">
        <f aca="false">'Raw Store Exports'!A474</f>
        <v>TXN01190</v>
      </c>
      <c r="B474" s="17" t="n">
        <f aca="false">'Raw Store Exports'!C474</f>
        <v>46081</v>
      </c>
      <c r="C474" s="0" t="str">
        <f aca="false">INDEX('Store Mapping'!$C$2:$C$19,MATCH(TRIM('Raw Store Exports'!B474),'Store Mapping'!$A$2:$A$19,0))</f>
        <v>Airport Plaza</v>
      </c>
      <c r="D474" s="0" t="str">
        <f aca="false">'Raw Store Exports'!D474</f>
        <v>HOM-504</v>
      </c>
      <c r="E474" s="0" t="str">
        <f aca="false">INDEX('Product Master'!$B$2:$B$21,MATCH(D474,'Product Master'!$A$2:$A$21,0))</f>
        <v>Bamboo Cutting Board</v>
      </c>
      <c r="F474" s="0" t="str">
        <f aca="false">INDEX('Product Master'!$C$2:$C$21,MATCH(D474,'Product Master'!$A$2:$A$21,0))</f>
        <v>Home Goods</v>
      </c>
      <c r="G474" s="15" t="n">
        <f aca="false">VALUE(TRIM('Raw Store Exports'!E474&amp;""))</f>
        <v>4</v>
      </c>
      <c r="H474" s="18" t="n">
        <f aca="false">INDEX('Product Master'!$D$2:$D$21,MATCH(D474,'Product Master'!$A$2:$A$21,0))</f>
        <v>27</v>
      </c>
      <c r="I474" s="14" t="n">
        <f aca="false">G474*H474</f>
        <v>108</v>
      </c>
      <c r="J474" s="0" t="str">
        <f aca="false">IF(COUNTIF($A$2:A474,A474)&gt;1,"Duplicate","")</f>
        <v/>
      </c>
    </row>
    <row r="475" customFormat="false" ht="15" hidden="false" customHeight="false" outlineLevel="0" collapsed="false">
      <c r="A475" s="0" t="str">
        <f aca="false">'Raw Store Exports'!A475</f>
        <v>TXN00505</v>
      </c>
      <c r="B475" s="17" t="n">
        <f aca="false">'Raw Store Exports'!C475</f>
        <v>46052</v>
      </c>
      <c r="C475" s="0" t="str">
        <f aca="false">INDEX('Store Mapping'!$C$2:$C$19,MATCH(TRIM('Raw Store Exports'!B475),'Store Mapping'!$A$2:$A$19,0))</f>
        <v>Northpark</v>
      </c>
      <c r="D475" s="0" t="str">
        <f aca="false">'Raw Store Exports'!D475</f>
        <v>FTW-202</v>
      </c>
      <c r="E475" s="0" t="str">
        <f aca="false">INDEX('Product Master'!$B$2:$B$21,MATCH(D475,'Product Master'!$A$2:$A$21,0))</f>
        <v>Canvas Low-Top</v>
      </c>
      <c r="F475" s="0" t="str">
        <f aca="false">INDEX('Product Master'!$C$2:$C$21,MATCH(D475,'Product Master'!$A$2:$A$21,0))</f>
        <v>Footwear</v>
      </c>
      <c r="G475" s="15" t="n">
        <f aca="false">VALUE(TRIM('Raw Store Exports'!E475&amp;""))</f>
        <v>3</v>
      </c>
      <c r="H475" s="18" t="n">
        <f aca="false">INDEX('Product Master'!$D$2:$D$21,MATCH(D475,'Product Master'!$A$2:$A$21,0))</f>
        <v>55</v>
      </c>
      <c r="I475" s="14" t="n">
        <f aca="false">G475*H475</f>
        <v>165</v>
      </c>
      <c r="J475" s="0" t="str">
        <f aca="false">IF(COUNTIF($A$2:A475,A475)&gt;1,"Duplicate","")</f>
        <v/>
      </c>
    </row>
    <row r="476" customFormat="false" ht="15" hidden="false" customHeight="false" outlineLevel="0" collapsed="false">
      <c r="A476" s="0" t="str">
        <f aca="false">'Raw Store Exports'!A476</f>
        <v>TXN00937</v>
      </c>
      <c r="B476" s="17" t="n">
        <f aca="false">'Raw Store Exports'!C476</f>
        <v>46072</v>
      </c>
      <c r="C476" s="0" t="str">
        <f aca="false">INDEX('Store Mapping'!$C$2:$C$19,MATCH(TRIM('Raw Store Exports'!B476),'Store Mapping'!$A$2:$A$19,0))</f>
        <v>Westside Mall</v>
      </c>
      <c r="D476" s="0" t="str">
        <f aca="false">'Raw Store Exports'!D476</f>
        <v>FTW-202</v>
      </c>
      <c r="E476" s="0" t="str">
        <f aca="false">INDEX('Product Master'!$B$2:$B$21,MATCH(D476,'Product Master'!$A$2:$A$21,0))</f>
        <v>Canvas Low-Top</v>
      </c>
      <c r="F476" s="0" t="str">
        <f aca="false">INDEX('Product Master'!$C$2:$C$21,MATCH(D476,'Product Master'!$A$2:$A$21,0))</f>
        <v>Footwear</v>
      </c>
      <c r="G476" s="15" t="n">
        <f aca="false">VALUE(TRIM('Raw Store Exports'!E476&amp;""))</f>
        <v>3</v>
      </c>
      <c r="H476" s="18" t="n">
        <f aca="false">INDEX('Product Master'!$D$2:$D$21,MATCH(D476,'Product Master'!$A$2:$A$21,0))</f>
        <v>55</v>
      </c>
      <c r="I476" s="14" t="n">
        <f aca="false">G476*H476</f>
        <v>165</v>
      </c>
      <c r="J476" s="0" t="str">
        <f aca="false">IF(COUNTIF($A$2:A476,A476)&gt;1,"Duplicate","")</f>
        <v/>
      </c>
    </row>
    <row r="477" customFormat="false" ht="15" hidden="false" customHeight="false" outlineLevel="0" collapsed="false">
      <c r="A477" s="0" t="str">
        <f aca="false">'Raw Store Exports'!A477</f>
        <v>TXN00784</v>
      </c>
      <c r="B477" s="17" t="n">
        <f aca="false">'Raw Store Exports'!C477</f>
        <v>46068</v>
      </c>
      <c r="C477" s="0" t="str">
        <f aca="false">INDEX('Store Mapping'!$C$2:$C$19,MATCH(TRIM('Raw Store Exports'!B477),'Store Mapping'!$A$2:$A$19,0))</f>
        <v>Westside Mall</v>
      </c>
      <c r="D477" s="0" t="str">
        <f aca="false">'Raw Store Exports'!D477</f>
        <v>HOM-504</v>
      </c>
      <c r="E477" s="0" t="str">
        <f aca="false">INDEX('Product Master'!$B$2:$B$21,MATCH(D477,'Product Master'!$A$2:$A$21,0))</f>
        <v>Bamboo Cutting Board</v>
      </c>
      <c r="F477" s="0" t="str">
        <f aca="false">INDEX('Product Master'!$C$2:$C$21,MATCH(D477,'Product Master'!$A$2:$A$21,0))</f>
        <v>Home Goods</v>
      </c>
      <c r="G477" s="15" t="n">
        <f aca="false">VALUE(TRIM('Raw Store Exports'!E477&amp;""))</f>
        <v>5</v>
      </c>
      <c r="H477" s="18" t="n">
        <f aca="false">INDEX('Product Master'!$D$2:$D$21,MATCH(D477,'Product Master'!$A$2:$A$21,0))</f>
        <v>27</v>
      </c>
      <c r="I477" s="14" t="n">
        <f aca="false">G477*H477</f>
        <v>135</v>
      </c>
      <c r="J477" s="0" t="str">
        <f aca="false">IF(COUNTIF($A$2:A477,A477)&gt;1,"Duplicate","")</f>
        <v/>
      </c>
    </row>
    <row r="478" customFormat="false" ht="15" hidden="false" customHeight="false" outlineLevel="0" collapsed="false">
      <c r="A478" s="0" t="str">
        <f aca="false">'Raw Store Exports'!A478</f>
        <v>TXN00218</v>
      </c>
      <c r="B478" s="17" t="n">
        <f aca="false">'Raw Store Exports'!C478</f>
        <v>46035</v>
      </c>
      <c r="C478" s="0" t="str">
        <f aca="false">INDEX('Store Mapping'!$C$2:$C$19,MATCH(TRIM('Raw Store Exports'!B478),'Store Mapping'!$A$2:$A$19,0))</f>
        <v>Northpark</v>
      </c>
      <c r="D478" s="0" t="str">
        <f aca="false">'Raw Store Exports'!D478</f>
        <v>ELE-401</v>
      </c>
      <c r="E478" s="0" t="str">
        <f aca="false">INDEX('Product Master'!$B$2:$B$21,MATCH(D478,'Product Master'!$A$2:$A$21,0))</f>
        <v>Wireless Earbuds</v>
      </c>
      <c r="F478" s="0" t="str">
        <f aca="false">INDEX('Product Master'!$C$2:$C$21,MATCH(D478,'Product Master'!$A$2:$A$21,0))</f>
        <v>Electronics</v>
      </c>
      <c r="G478" s="15" t="n">
        <f aca="false">VALUE(TRIM('Raw Store Exports'!E478&amp;""))</f>
        <v>2</v>
      </c>
      <c r="H478" s="18" t="n">
        <f aca="false">INDEX('Product Master'!$D$2:$D$21,MATCH(D478,'Product Master'!$A$2:$A$21,0))</f>
        <v>79</v>
      </c>
      <c r="I478" s="14" t="n">
        <f aca="false">G478*H478</f>
        <v>158</v>
      </c>
      <c r="J478" s="0" t="str">
        <f aca="false">IF(COUNTIF($A$2:A478,A478)&gt;1,"Duplicate","")</f>
        <v/>
      </c>
    </row>
    <row r="479" customFormat="false" ht="15" hidden="false" customHeight="false" outlineLevel="0" collapsed="false">
      <c r="A479" s="0" t="str">
        <f aca="false">'Raw Store Exports'!A479</f>
        <v>TXN00549</v>
      </c>
      <c r="B479" s="17" t="n">
        <f aca="false">'Raw Store Exports'!C479</f>
        <v>46053</v>
      </c>
      <c r="C479" s="0" t="str">
        <f aca="false">INDEX('Store Mapping'!$C$2:$C$19,MATCH(TRIM('Raw Store Exports'!B479),'Store Mapping'!$A$2:$A$19,0))</f>
        <v>Riverside</v>
      </c>
      <c r="D479" s="0" t="str">
        <f aca="false">'Raw Store Exports'!D479</f>
        <v>ACC-303</v>
      </c>
      <c r="E479" s="0" t="str">
        <f aca="false">INDEX('Product Master'!$B$2:$B$21,MATCH(D479,'Product Master'!$A$2:$A$21,0))</f>
        <v>Canvas Tote Bag</v>
      </c>
      <c r="F479" s="0" t="str">
        <f aca="false">INDEX('Product Master'!$C$2:$C$21,MATCH(D479,'Product Master'!$A$2:$A$21,0))</f>
        <v>Accessories</v>
      </c>
      <c r="G479" s="15" t="n">
        <f aca="false">VALUE(TRIM('Raw Store Exports'!E479&amp;""))</f>
        <v>5</v>
      </c>
      <c r="H479" s="18" t="n">
        <f aca="false">INDEX('Product Master'!$D$2:$D$21,MATCH(D479,'Product Master'!$A$2:$A$21,0))</f>
        <v>24</v>
      </c>
      <c r="I479" s="14" t="n">
        <f aca="false">G479*H479</f>
        <v>120</v>
      </c>
      <c r="J479" s="0" t="str">
        <f aca="false">IF(COUNTIF($A$2:A479,A479)&gt;1,"Duplicate","")</f>
        <v/>
      </c>
    </row>
    <row r="480" customFormat="false" ht="15" hidden="false" customHeight="false" outlineLevel="0" collapsed="false">
      <c r="A480" s="0" t="str">
        <f aca="false">'Raw Store Exports'!A480</f>
        <v>TXN01066</v>
      </c>
      <c r="B480" s="17" t="n">
        <f aca="false">'Raw Store Exports'!C480</f>
        <v>46080</v>
      </c>
      <c r="C480" s="0" t="str">
        <f aca="false">INDEX('Store Mapping'!$C$2:$C$19,MATCH(TRIM('Raw Store Exports'!B480),'Store Mapping'!$A$2:$A$19,0))</f>
        <v>Downtown</v>
      </c>
      <c r="D480" s="0" t="str">
        <f aca="false">'Raw Store Exports'!D480</f>
        <v>FTW-203</v>
      </c>
      <c r="E480" s="0" t="str">
        <f aca="false">INDEX('Product Master'!$B$2:$B$21,MATCH(D480,'Product Master'!$A$2:$A$21,0))</f>
        <v>Leather Ankle Boot</v>
      </c>
      <c r="F480" s="0" t="str">
        <f aca="false">INDEX('Product Master'!$C$2:$C$21,MATCH(D480,'Product Master'!$A$2:$A$21,0))</f>
        <v>Footwear</v>
      </c>
      <c r="G480" s="15" t="n">
        <f aca="false">VALUE(TRIM('Raw Store Exports'!E480&amp;""))</f>
        <v>3</v>
      </c>
      <c r="H480" s="18" t="n">
        <f aca="false">INDEX('Product Master'!$D$2:$D$21,MATCH(D480,'Product Master'!$A$2:$A$21,0))</f>
        <v>120</v>
      </c>
      <c r="I480" s="14" t="n">
        <f aca="false">G480*H480</f>
        <v>360</v>
      </c>
      <c r="J480" s="0" t="str">
        <f aca="false">IF(COUNTIF($A$2:A480,A480)&gt;1,"Duplicate","")</f>
        <v/>
      </c>
    </row>
    <row r="481" customFormat="false" ht="15" hidden="false" customHeight="false" outlineLevel="0" collapsed="false">
      <c r="A481" s="0" t="str">
        <f aca="false">'Raw Store Exports'!A481</f>
        <v>TXN00721</v>
      </c>
      <c r="B481" s="17" t="n">
        <f aca="false">'Raw Store Exports'!C481</f>
        <v>46060</v>
      </c>
      <c r="C481" s="0" t="str">
        <f aca="false">INDEX('Store Mapping'!$C$2:$C$19,MATCH(TRIM('Raw Store Exports'!B481),'Store Mapping'!$A$2:$A$19,0))</f>
        <v>Riverside</v>
      </c>
      <c r="D481" s="0" t="str">
        <f aca="false">'Raw Store Exports'!D481</f>
        <v>HOM-503</v>
      </c>
      <c r="E481" s="0" t="str">
        <f aca="false">INDEX('Product Master'!$B$2:$B$21,MATCH(D481,'Product Master'!$A$2:$A$21,0))</f>
        <v>Cotton Throw Blanket</v>
      </c>
      <c r="F481" s="0" t="str">
        <f aca="false">INDEX('Product Master'!$C$2:$C$21,MATCH(D481,'Product Master'!$A$2:$A$21,0))</f>
        <v>Home Goods</v>
      </c>
      <c r="G481" s="15" t="n">
        <f aca="false">VALUE(TRIM('Raw Store Exports'!E481&amp;""))</f>
        <v>2</v>
      </c>
      <c r="H481" s="18" t="n">
        <f aca="false">INDEX('Product Master'!$D$2:$D$21,MATCH(D481,'Product Master'!$A$2:$A$21,0))</f>
        <v>38</v>
      </c>
      <c r="I481" s="14" t="n">
        <f aca="false">G481*H481</f>
        <v>76</v>
      </c>
      <c r="J481" s="0" t="str">
        <f aca="false">IF(COUNTIF($A$2:A481,A481)&gt;1,"Duplicate","")</f>
        <v/>
      </c>
    </row>
    <row r="482" customFormat="false" ht="15" hidden="false" customHeight="false" outlineLevel="0" collapsed="false">
      <c r="A482" s="0" t="str">
        <f aca="false">'Raw Store Exports'!A482</f>
        <v>TXN00680</v>
      </c>
      <c r="B482" s="17" t="n">
        <f aca="false">'Raw Store Exports'!C482</f>
        <v>46057</v>
      </c>
      <c r="C482" s="0" t="str">
        <f aca="false">INDEX('Store Mapping'!$C$2:$C$19,MATCH(TRIM('Raw Store Exports'!B482),'Store Mapping'!$A$2:$A$19,0))</f>
        <v>Northpark</v>
      </c>
      <c r="D482" s="0" t="str">
        <f aca="false">'Raw Store Exports'!D482</f>
        <v>FTW-203</v>
      </c>
      <c r="E482" s="0" t="str">
        <f aca="false">INDEX('Product Master'!$B$2:$B$21,MATCH(D482,'Product Master'!$A$2:$A$21,0))</f>
        <v>Leather Ankle Boot</v>
      </c>
      <c r="F482" s="0" t="str">
        <f aca="false">INDEX('Product Master'!$C$2:$C$21,MATCH(D482,'Product Master'!$A$2:$A$21,0))</f>
        <v>Footwear</v>
      </c>
      <c r="G482" s="15" t="n">
        <f aca="false">VALUE(TRIM('Raw Store Exports'!E482&amp;""))</f>
        <v>4</v>
      </c>
      <c r="H482" s="18" t="n">
        <f aca="false">INDEX('Product Master'!$D$2:$D$21,MATCH(D482,'Product Master'!$A$2:$A$21,0))</f>
        <v>120</v>
      </c>
      <c r="I482" s="14" t="n">
        <f aca="false">G482*H482</f>
        <v>480</v>
      </c>
      <c r="J482" s="0" t="str">
        <f aca="false">IF(COUNTIF($A$2:A482,A482)&gt;1,"Duplicate","")</f>
        <v/>
      </c>
    </row>
    <row r="483" customFormat="false" ht="15" hidden="false" customHeight="false" outlineLevel="0" collapsed="false">
      <c r="A483" s="0" t="str">
        <f aca="false">'Raw Store Exports'!A483</f>
        <v>TXN00917</v>
      </c>
      <c r="B483" s="17" t="n">
        <f aca="false">'Raw Store Exports'!C483</f>
        <v>46071</v>
      </c>
      <c r="C483" s="0" t="str">
        <f aca="false">INDEX('Store Mapping'!$C$2:$C$19,MATCH(TRIM('Raw Store Exports'!B483),'Store Mapping'!$A$2:$A$19,0))</f>
        <v>Downtown</v>
      </c>
      <c r="D483" s="0" t="str">
        <f aca="false">'Raw Store Exports'!D483</f>
        <v>APP-104</v>
      </c>
      <c r="E483" s="0" t="str">
        <f aca="false">INDEX('Product Master'!$B$2:$B$21,MATCH(D483,'Product Master'!$A$2:$A$21,0))</f>
        <v>Slim Fit Chinos</v>
      </c>
      <c r="F483" s="0" t="str">
        <f aca="false">INDEX('Product Master'!$C$2:$C$21,MATCH(D483,'Product Master'!$A$2:$A$21,0))</f>
        <v>Apparel</v>
      </c>
      <c r="G483" s="15" t="n">
        <f aca="false">VALUE(TRIM('Raw Store Exports'!E483&amp;""))</f>
        <v>6</v>
      </c>
      <c r="H483" s="18" t="n">
        <f aca="false">INDEX('Product Master'!$D$2:$D$21,MATCH(D483,'Product Master'!$A$2:$A$21,0))</f>
        <v>52</v>
      </c>
      <c r="I483" s="14" t="n">
        <f aca="false">G483*H483</f>
        <v>312</v>
      </c>
      <c r="J483" s="0" t="str">
        <f aca="false">IF(COUNTIF($A$2:A483,A483)&gt;1,"Duplicate","")</f>
        <v/>
      </c>
    </row>
    <row r="484" customFormat="false" ht="15" hidden="false" customHeight="false" outlineLevel="0" collapsed="false">
      <c r="A484" s="0" t="str">
        <f aca="false">'Raw Store Exports'!A484</f>
        <v>TXN00545</v>
      </c>
      <c r="B484" s="17" t="n">
        <f aca="false">'Raw Store Exports'!C484</f>
        <v>46052</v>
      </c>
      <c r="C484" s="0" t="str">
        <f aca="false">INDEX('Store Mapping'!$C$2:$C$19,MATCH(TRIM('Raw Store Exports'!B484),'Store Mapping'!$A$2:$A$19,0))</f>
        <v>Riverside</v>
      </c>
      <c r="D484" s="0" t="str">
        <f aca="false">'Raw Store Exports'!D484</f>
        <v>HOM-501</v>
      </c>
      <c r="E484" s="0" t="str">
        <f aca="false">INDEX('Product Master'!$B$2:$B$21,MATCH(D484,'Product Master'!$A$2:$A$21,0))</f>
        <v>Ceramic Coffee Mug Set</v>
      </c>
      <c r="F484" s="0" t="str">
        <f aca="false">INDEX('Product Master'!$C$2:$C$21,MATCH(D484,'Product Master'!$A$2:$A$21,0))</f>
        <v>Home Goods</v>
      </c>
      <c r="G484" s="15" t="n">
        <f aca="false">VALUE(TRIM('Raw Store Exports'!E484&amp;""))</f>
        <v>1</v>
      </c>
      <c r="H484" s="18" t="n">
        <f aca="false">INDEX('Product Master'!$D$2:$D$21,MATCH(D484,'Product Master'!$A$2:$A$21,0))</f>
        <v>22</v>
      </c>
      <c r="I484" s="14" t="n">
        <f aca="false">G484*H484</f>
        <v>22</v>
      </c>
      <c r="J484" s="0" t="str">
        <f aca="false">IF(COUNTIF($A$2:A484,A484)&gt;1,"Duplicate","")</f>
        <v/>
      </c>
    </row>
    <row r="485" customFormat="false" ht="15" hidden="false" customHeight="false" outlineLevel="0" collapsed="false">
      <c r="A485" s="0" t="str">
        <f aca="false">'Raw Store Exports'!A485</f>
        <v>TXN00737</v>
      </c>
      <c r="B485" s="17" t="n">
        <f aca="false">'Raw Store Exports'!C485</f>
        <v>46055</v>
      </c>
      <c r="C485" s="0" t="str">
        <f aca="false">INDEX('Store Mapping'!$C$2:$C$19,MATCH(TRIM('Raw Store Exports'!B485),'Store Mapping'!$A$2:$A$19,0))</f>
        <v>Airport Plaza</v>
      </c>
      <c r="D485" s="0" t="str">
        <f aca="false">'Raw Store Exports'!D485</f>
        <v>ACC-303</v>
      </c>
      <c r="E485" s="0" t="str">
        <f aca="false">INDEX('Product Master'!$B$2:$B$21,MATCH(D485,'Product Master'!$A$2:$A$21,0))</f>
        <v>Canvas Tote Bag</v>
      </c>
      <c r="F485" s="0" t="str">
        <f aca="false">INDEX('Product Master'!$C$2:$C$21,MATCH(D485,'Product Master'!$A$2:$A$21,0))</f>
        <v>Accessories</v>
      </c>
      <c r="G485" s="15" t="n">
        <f aca="false">VALUE(TRIM('Raw Store Exports'!E485&amp;""))</f>
        <v>1</v>
      </c>
      <c r="H485" s="18" t="n">
        <f aca="false">INDEX('Product Master'!$D$2:$D$21,MATCH(D485,'Product Master'!$A$2:$A$21,0))</f>
        <v>24</v>
      </c>
      <c r="I485" s="14" t="n">
        <f aca="false">G485*H485</f>
        <v>24</v>
      </c>
      <c r="J485" s="0" t="str">
        <f aca="false">IF(COUNTIF($A$2:A485,A485)&gt;1,"Duplicate","")</f>
        <v/>
      </c>
    </row>
    <row r="486" customFormat="false" ht="15" hidden="false" customHeight="false" outlineLevel="0" collapsed="false">
      <c r="A486" s="0" t="str">
        <f aca="false">'Raw Store Exports'!A486</f>
        <v>TXN00692</v>
      </c>
      <c r="B486" s="17" t="n">
        <f aca="false">'Raw Store Exports'!C486</f>
        <v>46055</v>
      </c>
      <c r="C486" s="0" t="str">
        <f aca="false">INDEX('Store Mapping'!$C$2:$C$19,MATCH(TRIM('Raw Store Exports'!B486),'Store Mapping'!$A$2:$A$19,0))</f>
        <v>Northpark</v>
      </c>
      <c r="D486" s="0" t="str">
        <f aca="false">'Raw Store Exports'!D486</f>
        <v>ELE-402</v>
      </c>
      <c r="E486" s="0" t="str">
        <f aca="false">INDEX('Product Master'!$B$2:$B$21,MATCH(D486,'Product Master'!$A$2:$A$21,0))</f>
        <v>Bluetooth Speaker</v>
      </c>
      <c r="F486" s="0" t="str">
        <f aca="false">INDEX('Product Master'!$C$2:$C$21,MATCH(D486,'Product Master'!$A$2:$A$21,0))</f>
        <v>Electronics</v>
      </c>
      <c r="G486" s="15" t="n">
        <f aca="false">VALUE(TRIM('Raw Store Exports'!E486&amp;""))</f>
        <v>6</v>
      </c>
      <c r="H486" s="18" t="n">
        <f aca="false">INDEX('Product Master'!$D$2:$D$21,MATCH(D486,'Product Master'!$A$2:$A$21,0))</f>
        <v>59</v>
      </c>
      <c r="I486" s="14" t="n">
        <f aca="false">G486*H486</f>
        <v>354</v>
      </c>
      <c r="J486" s="0" t="str">
        <f aca="false">IF(COUNTIF($A$2:A486,A486)&gt;1,"Duplicate","")</f>
        <v/>
      </c>
    </row>
    <row r="487" customFormat="false" ht="15" hidden="false" customHeight="false" outlineLevel="0" collapsed="false">
      <c r="A487" s="0" t="str">
        <f aca="false">'Raw Store Exports'!A487</f>
        <v>TXN00811</v>
      </c>
      <c r="B487" s="17" t="n">
        <f aca="false">'Raw Store Exports'!C487</f>
        <v>46066</v>
      </c>
      <c r="C487" s="0" t="str">
        <f aca="false">INDEX('Store Mapping'!$C$2:$C$19,MATCH(TRIM('Raw Store Exports'!B487),'Store Mapping'!$A$2:$A$19,0))</f>
        <v>Eastgate</v>
      </c>
      <c r="D487" s="0" t="str">
        <f aca="false">'Raw Store Exports'!D487</f>
        <v>HOM-503</v>
      </c>
      <c r="E487" s="0" t="str">
        <f aca="false">INDEX('Product Master'!$B$2:$B$21,MATCH(D487,'Product Master'!$A$2:$A$21,0))</f>
        <v>Cotton Throw Blanket</v>
      </c>
      <c r="F487" s="0" t="str">
        <f aca="false">INDEX('Product Master'!$C$2:$C$21,MATCH(D487,'Product Master'!$A$2:$A$21,0))</f>
        <v>Home Goods</v>
      </c>
      <c r="G487" s="15" t="n">
        <f aca="false">VALUE(TRIM('Raw Store Exports'!E487&amp;""))</f>
        <v>3</v>
      </c>
      <c r="H487" s="18" t="n">
        <f aca="false">INDEX('Product Master'!$D$2:$D$21,MATCH(D487,'Product Master'!$A$2:$A$21,0))</f>
        <v>38</v>
      </c>
      <c r="I487" s="14" t="n">
        <f aca="false">G487*H487</f>
        <v>114</v>
      </c>
      <c r="J487" s="0" t="str">
        <f aca="false">IF(COUNTIF($A$2:A487,A487)&gt;1,"Duplicate","")</f>
        <v/>
      </c>
    </row>
    <row r="488" customFormat="false" ht="15" hidden="false" customHeight="false" outlineLevel="0" collapsed="false">
      <c r="A488" s="0" t="str">
        <f aca="false">'Raw Store Exports'!A488</f>
        <v>TXN00631</v>
      </c>
      <c r="B488" s="17" t="n">
        <f aca="false">'Raw Store Exports'!C488</f>
        <v>46056</v>
      </c>
      <c r="C488" s="0" t="str">
        <f aca="false">INDEX('Store Mapping'!$C$2:$C$19,MATCH(TRIM('Raw Store Exports'!B488),'Store Mapping'!$A$2:$A$19,0))</f>
        <v>Westside Mall</v>
      </c>
      <c r="D488" s="0" t="str">
        <f aca="false">'Raw Store Exports'!D488</f>
        <v>APP-102</v>
      </c>
      <c r="E488" s="0" t="str">
        <f aca="false">INDEX('Product Master'!$B$2:$B$21,MATCH(D488,'Product Master'!$A$2:$A$21,0))</f>
        <v>Cotton Crew T-Shirt</v>
      </c>
      <c r="F488" s="0" t="str">
        <f aca="false">INDEX('Product Master'!$C$2:$C$21,MATCH(D488,'Product Master'!$A$2:$A$21,0))</f>
        <v>Apparel</v>
      </c>
      <c r="G488" s="15" t="n">
        <f aca="false">VALUE(TRIM('Raw Store Exports'!E488&amp;""))</f>
        <v>1</v>
      </c>
      <c r="H488" s="18" t="n">
        <f aca="false">INDEX('Product Master'!$D$2:$D$21,MATCH(D488,'Product Master'!$A$2:$A$21,0))</f>
        <v>18</v>
      </c>
      <c r="I488" s="14" t="n">
        <f aca="false">G488*H488</f>
        <v>18</v>
      </c>
      <c r="J488" s="0" t="str">
        <f aca="false">IF(COUNTIF($A$2:A488,A488)&gt;1,"Duplicate","")</f>
        <v/>
      </c>
    </row>
    <row r="489" customFormat="false" ht="15" hidden="false" customHeight="false" outlineLevel="0" collapsed="false">
      <c r="A489" s="0" t="str">
        <f aca="false">'Raw Store Exports'!A489</f>
        <v>TXN00146</v>
      </c>
      <c r="B489" s="17" t="n">
        <f aca="false">'Raw Store Exports'!C489</f>
        <v>46039</v>
      </c>
      <c r="C489" s="0" t="str">
        <f aca="false">INDEX('Store Mapping'!$C$2:$C$19,MATCH(TRIM('Raw Store Exports'!B489),'Store Mapping'!$A$2:$A$19,0))</f>
        <v>Downtown</v>
      </c>
      <c r="D489" s="0" t="str">
        <f aca="false">'Raw Store Exports'!D489</f>
        <v>ACC-303</v>
      </c>
      <c r="E489" s="0" t="str">
        <f aca="false">INDEX('Product Master'!$B$2:$B$21,MATCH(D489,'Product Master'!$A$2:$A$21,0))</f>
        <v>Canvas Tote Bag</v>
      </c>
      <c r="F489" s="0" t="str">
        <f aca="false">INDEX('Product Master'!$C$2:$C$21,MATCH(D489,'Product Master'!$A$2:$A$21,0))</f>
        <v>Accessories</v>
      </c>
      <c r="G489" s="15" t="n">
        <f aca="false">VALUE(TRIM('Raw Store Exports'!E489&amp;""))</f>
        <v>5</v>
      </c>
      <c r="H489" s="18" t="n">
        <f aca="false">INDEX('Product Master'!$D$2:$D$21,MATCH(D489,'Product Master'!$A$2:$A$21,0))</f>
        <v>24</v>
      </c>
      <c r="I489" s="14" t="n">
        <f aca="false">G489*H489</f>
        <v>120</v>
      </c>
      <c r="J489" s="0" t="str">
        <f aca="false">IF(COUNTIF($A$2:A489,A489)&gt;1,"Duplicate","")</f>
        <v/>
      </c>
    </row>
    <row r="490" customFormat="false" ht="15" hidden="false" customHeight="false" outlineLevel="0" collapsed="false">
      <c r="A490" s="0" t="str">
        <f aca="false">'Raw Store Exports'!A490</f>
        <v>TXN00997</v>
      </c>
      <c r="B490" s="17" t="n">
        <f aca="false">'Raw Store Exports'!C490</f>
        <v>46073</v>
      </c>
      <c r="C490" s="0" t="str">
        <f aca="false">INDEX('Store Mapping'!$C$2:$C$19,MATCH(TRIM('Raw Store Exports'!B490),'Store Mapping'!$A$2:$A$19,0))</f>
        <v>Riverside</v>
      </c>
      <c r="D490" s="0" t="str">
        <f aca="false">'Raw Store Exports'!D490</f>
        <v>ACC-302</v>
      </c>
      <c r="E490" s="0" t="str">
        <f aca="false">INDEX('Product Master'!$B$2:$B$21,MATCH(D490,'Product Master'!$A$2:$A$21,0))</f>
        <v>Aviator Sunglasses</v>
      </c>
      <c r="F490" s="0" t="str">
        <f aca="false">INDEX('Product Master'!$C$2:$C$21,MATCH(D490,'Product Master'!$A$2:$A$21,0))</f>
        <v>Accessories</v>
      </c>
      <c r="G490" s="15" t="n">
        <f aca="false">VALUE(TRIM('Raw Store Exports'!E490&amp;""))</f>
        <v>6</v>
      </c>
      <c r="H490" s="18" t="n">
        <f aca="false">INDEX('Product Master'!$D$2:$D$21,MATCH(D490,'Product Master'!$A$2:$A$21,0))</f>
        <v>42</v>
      </c>
      <c r="I490" s="14" t="n">
        <f aca="false">G490*H490</f>
        <v>252</v>
      </c>
      <c r="J490" s="0" t="str">
        <f aca="false">IF(COUNTIF($A$2:A490,A490)&gt;1,"Duplicate","")</f>
        <v/>
      </c>
    </row>
    <row r="491" customFormat="false" ht="15" hidden="false" customHeight="false" outlineLevel="0" collapsed="false">
      <c r="A491" s="0" t="str">
        <f aca="false">'Raw Store Exports'!A491</f>
        <v>TXN00866</v>
      </c>
      <c r="B491" s="17" t="n">
        <f aca="false">'Raw Store Exports'!C491</f>
        <v>46064</v>
      </c>
      <c r="C491" s="0" t="str">
        <f aca="false">INDEX('Store Mapping'!$C$2:$C$19,MATCH(TRIM('Raw Store Exports'!B491),'Store Mapping'!$A$2:$A$19,0))</f>
        <v>Riverside</v>
      </c>
      <c r="D491" s="0" t="str">
        <f aca="false">'Raw Store Exports'!D491</f>
        <v>HOM-502</v>
      </c>
      <c r="E491" s="0" t="str">
        <f aca="false">INDEX('Product Master'!$B$2:$B$21,MATCH(D491,'Product Master'!$A$2:$A$21,0))</f>
        <v>Scented Candle</v>
      </c>
      <c r="F491" s="0" t="str">
        <f aca="false">INDEX('Product Master'!$C$2:$C$21,MATCH(D491,'Product Master'!$A$2:$A$21,0))</f>
        <v>Home Goods</v>
      </c>
      <c r="G491" s="15" t="n">
        <f aca="false">VALUE(TRIM('Raw Store Exports'!E491&amp;""))</f>
        <v>6</v>
      </c>
      <c r="H491" s="18" t="n">
        <f aca="false">INDEX('Product Master'!$D$2:$D$21,MATCH(D491,'Product Master'!$A$2:$A$21,0))</f>
        <v>15</v>
      </c>
      <c r="I491" s="14" t="n">
        <f aca="false">G491*H491</f>
        <v>90</v>
      </c>
      <c r="J491" s="0" t="str">
        <f aca="false">IF(COUNTIF($A$2:A491,A491)&gt;1,"Duplicate","")</f>
        <v/>
      </c>
    </row>
    <row r="492" customFormat="false" ht="15" hidden="false" customHeight="false" outlineLevel="0" collapsed="false">
      <c r="A492" s="0" t="str">
        <f aca="false">'Raw Store Exports'!A492</f>
        <v>TXN00296</v>
      </c>
      <c r="B492" s="17" t="n">
        <f aca="false">'Raw Store Exports'!C492</f>
        <v>46046</v>
      </c>
      <c r="C492" s="0" t="str">
        <f aca="false">INDEX('Store Mapping'!$C$2:$C$19,MATCH(TRIM('Raw Store Exports'!B492),'Store Mapping'!$A$2:$A$19,0))</f>
        <v>Downtown</v>
      </c>
      <c r="D492" s="0" t="str">
        <f aca="false">'Raw Store Exports'!D492</f>
        <v>HOM-503</v>
      </c>
      <c r="E492" s="0" t="str">
        <f aca="false">INDEX('Product Master'!$B$2:$B$21,MATCH(D492,'Product Master'!$A$2:$A$21,0))</f>
        <v>Cotton Throw Blanket</v>
      </c>
      <c r="F492" s="0" t="str">
        <f aca="false">INDEX('Product Master'!$C$2:$C$21,MATCH(D492,'Product Master'!$A$2:$A$21,0))</f>
        <v>Home Goods</v>
      </c>
      <c r="G492" s="15" t="n">
        <f aca="false">VALUE(TRIM('Raw Store Exports'!E492&amp;""))</f>
        <v>2</v>
      </c>
      <c r="H492" s="18" t="n">
        <f aca="false">INDEX('Product Master'!$D$2:$D$21,MATCH(D492,'Product Master'!$A$2:$A$21,0))</f>
        <v>38</v>
      </c>
      <c r="I492" s="14" t="n">
        <f aca="false">G492*H492</f>
        <v>76</v>
      </c>
      <c r="J492" s="0" t="str">
        <f aca="false">IF(COUNTIF($A$2:A492,A492)&gt;1,"Duplicate","")</f>
        <v/>
      </c>
    </row>
    <row r="493" customFormat="false" ht="15" hidden="false" customHeight="false" outlineLevel="0" collapsed="false">
      <c r="A493" s="0" t="str">
        <f aca="false">'Raw Store Exports'!A493</f>
        <v>TXN01153</v>
      </c>
      <c r="B493" s="17" t="n">
        <f aca="false">'Raw Store Exports'!C493</f>
        <v>46080</v>
      </c>
      <c r="C493" s="0" t="str">
        <f aca="false">INDEX('Store Mapping'!$C$2:$C$19,MATCH(TRIM('Raw Store Exports'!B493),'Store Mapping'!$A$2:$A$19,0))</f>
        <v>Riverside</v>
      </c>
      <c r="D493" s="0" t="str">
        <f aca="false">'Raw Store Exports'!D493</f>
        <v>ACC-304</v>
      </c>
      <c r="E493" s="0" t="str">
        <f aca="false">INDEX('Product Master'!$B$2:$B$21,MATCH(D493,'Product Master'!$A$2:$A$21,0))</f>
        <v>Wool Beanie</v>
      </c>
      <c r="F493" s="0" t="str">
        <f aca="false">INDEX('Product Master'!$C$2:$C$21,MATCH(D493,'Product Master'!$A$2:$A$21,0))</f>
        <v>Accessories</v>
      </c>
      <c r="G493" s="15" t="n">
        <f aca="false">VALUE(TRIM('Raw Store Exports'!E493&amp;""))</f>
        <v>4</v>
      </c>
      <c r="H493" s="18" t="n">
        <f aca="false">INDEX('Product Master'!$D$2:$D$21,MATCH(D493,'Product Master'!$A$2:$A$21,0))</f>
        <v>16</v>
      </c>
      <c r="I493" s="14" t="n">
        <f aca="false">G493*H493</f>
        <v>64</v>
      </c>
      <c r="J493" s="0" t="str">
        <f aca="false">IF(COUNTIF($A$2:A493,A493)&gt;1,"Duplicate","")</f>
        <v/>
      </c>
    </row>
    <row r="494" customFormat="false" ht="15" hidden="false" customHeight="false" outlineLevel="0" collapsed="false">
      <c r="A494" s="0" t="str">
        <f aca="false">'Raw Store Exports'!A494</f>
        <v>TXN00414</v>
      </c>
      <c r="B494" s="17" t="n">
        <f aca="false">'Raw Store Exports'!C494</f>
        <v>46041</v>
      </c>
      <c r="C494" s="0" t="str">
        <f aca="false">INDEX('Store Mapping'!$C$2:$C$19,MATCH(TRIM('Raw Store Exports'!B494),'Store Mapping'!$A$2:$A$19,0))</f>
        <v>Airport Plaza</v>
      </c>
      <c r="D494" s="0" t="str">
        <f aca="false">'Raw Store Exports'!D494</f>
        <v>HOM-502</v>
      </c>
      <c r="E494" s="0" t="str">
        <f aca="false">INDEX('Product Master'!$B$2:$B$21,MATCH(D494,'Product Master'!$A$2:$A$21,0))</f>
        <v>Scented Candle</v>
      </c>
      <c r="F494" s="0" t="str">
        <f aca="false">INDEX('Product Master'!$C$2:$C$21,MATCH(D494,'Product Master'!$A$2:$A$21,0))</f>
        <v>Home Goods</v>
      </c>
      <c r="G494" s="15" t="n">
        <f aca="false">VALUE(TRIM('Raw Store Exports'!E494&amp;""))</f>
        <v>6</v>
      </c>
      <c r="H494" s="18" t="n">
        <f aca="false">INDEX('Product Master'!$D$2:$D$21,MATCH(D494,'Product Master'!$A$2:$A$21,0))</f>
        <v>15</v>
      </c>
      <c r="I494" s="14" t="n">
        <f aca="false">G494*H494</f>
        <v>90</v>
      </c>
      <c r="J494" s="0" t="str">
        <f aca="false">IF(COUNTIF($A$2:A494,A494)&gt;1,"Duplicate","")</f>
        <v/>
      </c>
    </row>
    <row r="495" customFormat="false" ht="15" hidden="false" customHeight="false" outlineLevel="0" collapsed="false">
      <c r="A495" s="0" t="str">
        <f aca="false">'Raw Store Exports'!A495</f>
        <v>TXN00620</v>
      </c>
      <c r="B495" s="17" t="n">
        <f aca="false">'Raw Store Exports'!C495</f>
        <v>46056</v>
      </c>
      <c r="C495" s="0" t="str">
        <f aca="false">INDEX('Store Mapping'!$C$2:$C$19,MATCH(TRIM('Raw Store Exports'!B495),'Store Mapping'!$A$2:$A$19,0))</f>
        <v>Westside Mall</v>
      </c>
      <c r="D495" s="0" t="str">
        <f aca="false">'Raw Store Exports'!D495</f>
        <v>APP-101</v>
      </c>
      <c r="E495" s="0" t="str">
        <f aca="false">INDEX('Product Master'!$B$2:$B$21,MATCH(D495,'Product Master'!$A$2:$A$21,0))</f>
        <v>Classic Denim Jacket</v>
      </c>
      <c r="F495" s="0" t="str">
        <f aca="false">INDEX('Product Master'!$C$2:$C$21,MATCH(D495,'Product Master'!$A$2:$A$21,0))</f>
        <v>Apparel</v>
      </c>
      <c r="G495" s="15" t="n">
        <f aca="false">VALUE(TRIM('Raw Store Exports'!E495&amp;""))</f>
        <v>6</v>
      </c>
      <c r="H495" s="18" t="n">
        <f aca="false">INDEX('Product Master'!$D$2:$D$21,MATCH(D495,'Product Master'!$A$2:$A$21,0))</f>
        <v>68</v>
      </c>
      <c r="I495" s="14" t="n">
        <f aca="false">G495*H495</f>
        <v>408</v>
      </c>
      <c r="J495" s="0" t="str">
        <f aca="false">IF(COUNTIF($A$2:A495,A495)&gt;1,"Duplicate","")</f>
        <v/>
      </c>
    </row>
    <row r="496" customFormat="false" ht="15" hidden="false" customHeight="false" outlineLevel="0" collapsed="false">
      <c r="A496" s="0" t="str">
        <f aca="false">'Raw Store Exports'!A496</f>
        <v>TXN00860</v>
      </c>
      <c r="B496" s="17" t="n">
        <f aca="false">'Raw Store Exports'!C496</f>
        <v>46067</v>
      </c>
      <c r="C496" s="0" t="str">
        <f aca="false">INDEX('Store Mapping'!$C$2:$C$19,MATCH(TRIM('Raw Store Exports'!B496),'Store Mapping'!$A$2:$A$19,0))</f>
        <v>Riverside</v>
      </c>
      <c r="D496" s="0" t="str">
        <f aca="false">'Raw Store Exports'!D496</f>
        <v>ELE-402</v>
      </c>
      <c r="E496" s="0" t="str">
        <f aca="false">INDEX('Product Master'!$B$2:$B$21,MATCH(D496,'Product Master'!$A$2:$A$21,0))</f>
        <v>Bluetooth Speaker</v>
      </c>
      <c r="F496" s="0" t="str">
        <f aca="false">INDEX('Product Master'!$C$2:$C$21,MATCH(D496,'Product Master'!$A$2:$A$21,0))</f>
        <v>Electronics</v>
      </c>
      <c r="G496" s="15" t="n">
        <f aca="false">VALUE(TRIM('Raw Store Exports'!E496&amp;""))</f>
        <v>4</v>
      </c>
      <c r="H496" s="18" t="n">
        <f aca="false">INDEX('Product Master'!$D$2:$D$21,MATCH(D496,'Product Master'!$A$2:$A$21,0))</f>
        <v>59</v>
      </c>
      <c r="I496" s="14" t="n">
        <f aca="false">G496*H496</f>
        <v>236</v>
      </c>
      <c r="J496" s="0" t="str">
        <f aca="false">IF(COUNTIF($A$2:A496,A496)&gt;1,"Duplicate","")</f>
        <v/>
      </c>
    </row>
    <row r="497" customFormat="false" ht="15" hidden="false" customHeight="false" outlineLevel="0" collapsed="false">
      <c r="A497" s="0" t="str">
        <f aca="false">'Raw Store Exports'!A497</f>
        <v>TXN00284</v>
      </c>
      <c r="B497" s="17" t="n">
        <f aca="false">'Raw Store Exports'!C497</f>
        <v>46046</v>
      </c>
      <c r="C497" s="0" t="str">
        <f aca="false">INDEX('Store Mapping'!$C$2:$C$19,MATCH(TRIM('Raw Store Exports'!B497),'Store Mapping'!$A$2:$A$19,0))</f>
        <v>Downtown</v>
      </c>
      <c r="D497" s="0" t="str">
        <f aca="false">'Raw Store Exports'!D497</f>
        <v>ELE-403</v>
      </c>
      <c r="E497" s="0" t="str">
        <f aca="false">INDEX('Product Master'!$B$2:$B$21,MATCH(D497,'Product Master'!$A$2:$A$21,0))</f>
        <v>Fitness Tracker Band</v>
      </c>
      <c r="F497" s="0" t="str">
        <f aca="false">INDEX('Product Master'!$C$2:$C$21,MATCH(D497,'Product Master'!$A$2:$A$21,0))</f>
        <v>Electronics</v>
      </c>
      <c r="G497" s="15" t="n">
        <f aca="false">VALUE(TRIM('Raw Store Exports'!E497&amp;""))</f>
        <v>6</v>
      </c>
      <c r="H497" s="18" t="n">
        <f aca="false">INDEX('Product Master'!$D$2:$D$21,MATCH(D497,'Product Master'!$A$2:$A$21,0))</f>
        <v>99</v>
      </c>
      <c r="I497" s="14" t="n">
        <f aca="false">G497*H497</f>
        <v>594</v>
      </c>
      <c r="J497" s="0" t="str">
        <f aca="false">IF(COUNTIF($A$2:A497,A497)&gt;1,"Duplicate","")</f>
        <v/>
      </c>
    </row>
    <row r="498" customFormat="false" ht="15" hidden="false" customHeight="false" outlineLevel="0" collapsed="false">
      <c r="A498" s="0" t="str">
        <f aca="false">'Raw Store Exports'!A498</f>
        <v>TXN00154</v>
      </c>
      <c r="B498" s="17" t="n">
        <f aca="false">'Raw Store Exports'!C498</f>
        <v>46035</v>
      </c>
      <c r="C498" s="0" t="str">
        <f aca="false">INDEX('Store Mapping'!$C$2:$C$19,MATCH(TRIM('Raw Store Exports'!B498),'Store Mapping'!$A$2:$A$19,0))</f>
        <v>Downtown</v>
      </c>
      <c r="D498" s="0" t="str">
        <f aca="false">'Raw Store Exports'!D498</f>
        <v>HOM-501</v>
      </c>
      <c r="E498" s="0" t="str">
        <f aca="false">INDEX('Product Master'!$B$2:$B$21,MATCH(D498,'Product Master'!$A$2:$A$21,0))</f>
        <v>Ceramic Coffee Mug Set</v>
      </c>
      <c r="F498" s="0" t="str">
        <f aca="false">INDEX('Product Master'!$C$2:$C$21,MATCH(D498,'Product Master'!$A$2:$A$21,0))</f>
        <v>Home Goods</v>
      </c>
      <c r="G498" s="15" t="n">
        <f aca="false">VALUE(TRIM('Raw Store Exports'!E498&amp;""))</f>
        <v>3</v>
      </c>
      <c r="H498" s="18" t="n">
        <f aca="false">INDEX('Product Master'!$D$2:$D$21,MATCH(D498,'Product Master'!$A$2:$A$21,0))</f>
        <v>22</v>
      </c>
      <c r="I498" s="14" t="n">
        <f aca="false">G498*H498</f>
        <v>66</v>
      </c>
      <c r="J498" s="0" t="str">
        <f aca="false">IF(COUNTIF($A$2:A498,A498)&gt;1,"Duplicate","")</f>
        <v/>
      </c>
    </row>
    <row r="499" customFormat="false" ht="15" hidden="false" customHeight="false" outlineLevel="0" collapsed="false">
      <c r="A499" s="0" t="str">
        <f aca="false">'Raw Store Exports'!A499</f>
        <v>TXN00123</v>
      </c>
      <c r="B499" s="17" t="n">
        <f aca="false">'Raw Store Exports'!C499</f>
        <v>46027</v>
      </c>
      <c r="C499" s="0" t="str">
        <f aca="false">INDEX('Store Mapping'!$C$2:$C$19,MATCH(TRIM('Raw Store Exports'!B499),'Store Mapping'!$A$2:$A$19,0))</f>
        <v>Airport Plaza</v>
      </c>
      <c r="D499" s="0" t="str">
        <f aca="false">'Raw Store Exports'!D499</f>
        <v>APP-103</v>
      </c>
      <c r="E499" s="0" t="str">
        <f aca="false">INDEX('Product Master'!$B$2:$B$21,MATCH(D499,'Product Master'!$A$2:$A$21,0))</f>
        <v>Fleece Pullover Hoodie</v>
      </c>
      <c r="F499" s="0" t="str">
        <f aca="false">INDEX('Product Master'!$C$2:$C$21,MATCH(D499,'Product Master'!$A$2:$A$21,0))</f>
        <v>Apparel</v>
      </c>
      <c r="G499" s="15" t="n">
        <f aca="false">VALUE(TRIM('Raw Store Exports'!E499&amp;""))</f>
        <v>4</v>
      </c>
      <c r="H499" s="18" t="n">
        <f aca="false">INDEX('Product Master'!$D$2:$D$21,MATCH(D499,'Product Master'!$A$2:$A$21,0))</f>
        <v>45</v>
      </c>
      <c r="I499" s="14" t="n">
        <f aca="false">G499*H499</f>
        <v>180</v>
      </c>
      <c r="J499" s="0" t="str">
        <f aca="false">IF(COUNTIF($A$2:A499,A499)&gt;1,"Duplicate","")</f>
        <v/>
      </c>
    </row>
    <row r="500" customFormat="false" ht="15" hidden="false" customHeight="false" outlineLevel="0" collapsed="false">
      <c r="A500" s="0" t="str">
        <f aca="false">'Raw Store Exports'!A500</f>
        <v>TXN00274</v>
      </c>
      <c r="B500" s="17" t="n">
        <f aca="false">'Raw Store Exports'!C500</f>
        <v>46043</v>
      </c>
      <c r="C500" s="0" t="str">
        <f aca="false">INDEX('Store Mapping'!$C$2:$C$19,MATCH(TRIM('Raw Store Exports'!B500),'Store Mapping'!$A$2:$A$19,0))</f>
        <v>Downtown</v>
      </c>
      <c r="D500" s="0" t="str">
        <f aca="false">'Raw Store Exports'!D500</f>
        <v>APP-104</v>
      </c>
      <c r="E500" s="0" t="str">
        <f aca="false">INDEX('Product Master'!$B$2:$B$21,MATCH(D500,'Product Master'!$A$2:$A$21,0))</f>
        <v>Slim Fit Chinos</v>
      </c>
      <c r="F500" s="0" t="str">
        <f aca="false">INDEX('Product Master'!$C$2:$C$21,MATCH(D500,'Product Master'!$A$2:$A$21,0))</f>
        <v>Apparel</v>
      </c>
      <c r="G500" s="15" t="n">
        <f aca="false">VALUE(TRIM('Raw Store Exports'!E500&amp;""))</f>
        <v>5</v>
      </c>
      <c r="H500" s="18" t="n">
        <f aca="false">INDEX('Product Master'!$D$2:$D$21,MATCH(D500,'Product Master'!$A$2:$A$21,0))</f>
        <v>52</v>
      </c>
      <c r="I500" s="14" t="n">
        <f aca="false">G500*H500</f>
        <v>260</v>
      </c>
      <c r="J500" s="0" t="str">
        <f aca="false">IF(COUNTIF($A$2:A500,A500)&gt;1,"Duplicate","")</f>
        <v/>
      </c>
    </row>
    <row r="501" customFormat="false" ht="15" hidden="false" customHeight="false" outlineLevel="0" collapsed="false">
      <c r="A501" s="0" t="str">
        <f aca="false">'Raw Store Exports'!A501</f>
        <v>TXN00278</v>
      </c>
      <c r="B501" s="17" t="n">
        <f aca="false">'Raw Store Exports'!C501</f>
        <v>46046</v>
      </c>
      <c r="C501" s="0" t="str">
        <f aca="false">INDEX('Store Mapping'!$C$2:$C$19,MATCH(TRIM('Raw Store Exports'!B501),'Store Mapping'!$A$2:$A$19,0))</f>
        <v>Downtown</v>
      </c>
      <c r="D501" s="0" t="str">
        <f aca="false">'Raw Store Exports'!D501</f>
        <v>FTW-204</v>
      </c>
      <c r="E501" s="0" t="str">
        <f aca="false">INDEX('Product Master'!$B$2:$B$21,MATCH(D501,'Product Master'!$A$2:$A$21,0))</f>
        <v>Slide Sandals</v>
      </c>
      <c r="F501" s="0" t="str">
        <f aca="false">INDEX('Product Master'!$C$2:$C$21,MATCH(D501,'Product Master'!$A$2:$A$21,0))</f>
        <v>Footwear</v>
      </c>
      <c r="G501" s="15" t="n">
        <f aca="false">VALUE(TRIM('Raw Store Exports'!E501&amp;""))</f>
        <v>4</v>
      </c>
      <c r="H501" s="18" t="n">
        <f aca="false">INDEX('Product Master'!$D$2:$D$21,MATCH(D501,'Product Master'!$A$2:$A$21,0))</f>
        <v>25</v>
      </c>
      <c r="I501" s="14" t="n">
        <f aca="false">G501*H501</f>
        <v>100</v>
      </c>
      <c r="J501" s="0" t="str">
        <f aca="false">IF(COUNTIF($A$2:A501,A501)&gt;1,"Duplicate","")</f>
        <v/>
      </c>
    </row>
    <row r="502" customFormat="false" ht="15" hidden="false" customHeight="false" outlineLevel="0" collapsed="false">
      <c r="A502" s="0" t="str">
        <f aca="false">'Raw Store Exports'!A502</f>
        <v>TXN01102</v>
      </c>
      <c r="B502" s="17" t="n">
        <f aca="false">'Raw Store Exports'!C502</f>
        <v>46076</v>
      </c>
      <c r="C502" s="0" t="str">
        <f aca="false">INDEX('Store Mapping'!$C$2:$C$19,MATCH(TRIM('Raw Store Exports'!B502),'Store Mapping'!$A$2:$A$19,0))</f>
        <v>Westside Mall</v>
      </c>
      <c r="D502" s="0" t="str">
        <f aca="false">'Raw Store Exports'!D502</f>
        <v>APP-102</v>
      </c>
      <c r="E502" s="0" t="str">
        <f aca="false">INDEX('Product Master'!$B$2:$B$21,MATCH(D502,'Product Master'!$A$2:$A$21,0))</f>
        <v>Cotton Crew T-Shirt</v>
      </c>
      <c r="F502" s="0" t="str">
        <f aca="false">INDEX('Product Master'!$C$2:$C$21,MATCH(D502,'Product Master'!$A$2:$A$21,0))</f>
        <v>Apparel</v>
      </c>
      <c r="G502" s="15" t="n">
        <f aca="false">VALUE(TRIM('Raw Store Exports'!E502&amp;""))</f>
        <v>6</v>
      </c>
      <c r="H502" s="18" t="n">
        <f aca="false">INDEX('Product Master'!$D$2:$D$21,MATCH(D502,'Product Master'!$A$2:$A$21,0))</f>
        <v>18</v>
      </c>
      <c r="I502" s="14" t="n">
        <f aca="false">G502*H502</f>
        <v>108</v>
      </c>
      <c r="J502" s="0" t="str">
        <f aca="false">IF(COUNTIF($A$2:A502,A502)&gt;1,"Duplicate","")</f>
        <v/>
      </c>
    </row>
    <row r="503" customFormat="false" ht="15" hidden="false" customHeight="false" outlineLevel="0" collapsed="false">
      <c r="A503" s="0" t="str">
        <f aca="false">'Raw Store Exports'!A503</f>
        <v>TXN00134</v>
      </c>
      <c r="B503" s="17" t="n">
        <f aca="false">'Raw Store Exports'!C503</f>
        <v>46029</v>
      </c>
      <c r="C503" s="0" t="str">
        <f aca="false">INDEX('Store Mapping'!$C$2:$C$19,MATCH(TRIM('Raw Store Exports'!B503),'Store Mapping'!$A$2:$A$19,0))</f>
        <v>Airport Plaza</v>
      </c>
      <c r="D503" s="0" t="str">
        <f aca="false">'Raw Store Exports'!D503</f>
        <v>HOM-503</v>
      </c>
      <c r="E503" s="0" t="str">
        <f aca="false">INDEX('Product Master'!$B$2:$B$21,MATCH(D503,'Product Master'!$A$2:$A$21,0))</f>
        <v>Cotton Throw Blanket</v>
      </c>
      <c r="F503" s="0" t="str">
        <f aca="false">INDEX('Product Master'!$C$2:$C$21,MATCH(D503,'Product Master'!$A$2:$A$21,0))</f>
        <v>Home Goods</v>
      </c>
      <c r="G503" s="15" t="n">
        <f aca="false">VALUE(TRIM('Raw Store Exports'!E503&amp;""))</f>
        <v>1</v>
      </c>
      <c r="H503" s="18" t="n">
        <f aca="false">INDEX('Product Master'!$D$2:$D$21,MATCH(D503,'Product Master'!$A$2:$A$21,0))</f>
        <v>38</v>
      </c>
      <c r="I503" s="14" t="n">
        <f aca="false">G503*H503</f>
        <v>38</v>
      </c>
      <c r="J503" s="0" t="str">
        <f aca="false">IF(COUNTIF($A$2:A503,A503)&gt;1,"Duplicate","")</f>
        <v/>
      </c>
    </row>
    <row r="504" customFormat="false" ht="15" hidden="false" customHeight="false" outlineLevel="0" collapsed="false">
      <c r="A504" s="0" t="str">
        <f aca="false">'Raw Store Exports'!A504</f>
        <v>TXN00331</v>
      </c>
      <c r="B504" s="17" t="n">
        <f aca="false">'Raw Store Exports'!C504</f>
        <v>46044</v>
      </c>
      <c r="C504" s="0" t="str">
        <f aca="false">INDEX('Store Mapping'!$C$2:$C$19,MATCH(TRIM('Raw Store Exports'!B504),'Store Mapping'!$A$2:$A$19,0))</f>
        <v>Eastgate</v>
      </c>
      <c r="D504" s="0" t="str">
        <f aca="false">'Raw Store Exports'!D504</f>
        <v>HOM-501</v>
      </c>
      <c r="E504" s="0" t="str">
        <f aca="false">INDEX('Product Master'!$B$2:$B$21,MATCH(D504,'Product Master'!$A$2:$A$21,0))</f>
        <v>Ceramic Coffee Mug Set</v>
      </c>
      <c r="F504" s="0" t="str">
        <f aca="false">INDEX('Product Master'!$C$2:$C$21,MATCH(D504,'Product Master'!$A$2:$A$21,0))</f>
        <v>Home Goods</v>
      </c>
      <c r="G504" s="15" t="n">
        <f aca="false">VALUE(TRIM('Raw Store Exports'!E504&amp;""))</f>
        <v>6</v>
      </c>
      <c r="H504" s="18" t="n">
        <f aca="false">INDEX('Product Master'!$D$2:$D$21,MATCH(D504,'Product Master'!$A$2:$A$21,0))</f>
        <v>22</v>
      </c>
      <c r="I504" s="14" t="n">
        <f aca="false">G504*H504</f>
        <v>132</v>
      </c>
      <c r="J504" s="0" t="str">
        <f aca="false">IF(COUNTIF($A$2:A504,A504)&gt;1,"Duplicate","")</f>
        <v/>
      </c>
    </row>
    <row r="505" customFormat="false" ht="15" hidden="false" customHeight="false" outlineLevel="0" collapsed="false">
      <c r="A505" s="0" t="str">
        <f aca="false">'Raw Store Exports'!A505</f>
        <v>TXN00148</v>
      </c>
      <c r="B505" s="17" t="n">
        <f aca="false">'Raw Store Exports'!C505</f>
        <v>46040</v>
      </c>
      <c r="C505" s="0" t="str">
        <f aca="false">INDEX('Store Mapping'!$C$2:$C$19,MATCH(TRIM('Raw Store Exports'!B505),'Store Mapping'!$A$2:$A$19,0))</f>
        <v>Downtown</v>
      </c>
      <c r="D505" s="0" t="str">
        <f aca="false">'Raw Store Exports'!D505</f>
        <v>FTW-203</v>
      </c>
      <c r="E505" s="0" t="str">
        <f aca="false">INDEX('Product Master'!$B$2:$B$21,MATCH(D505,'Product Master'!$A$2:$A$21,0))</f>
        <v>Leather Ankle Boot</v>
      </c>
      <c r="F505" s="0" t="str">
        <f aca="false">INDEX('Product Master'!$C$2:$C$21,MATCH(D505,'Product Master'!$A$2:$A$21,0))</f>
        <v>Footwear</v>
      </c>
      <c r="G505" s="15" t="n">
        <f aca="false">VALUE(TRIM('Raw Store Exports'!E505&amp;""))</f>
        <v>2</v>
      </c>
      <c r="H505" s="18" t="n">
        <f aca="false">INDEX('Product Master'!$D$2:$D$21,MATCH(D505,'Product Master'!$A$2:$A$21,0))</f>
        <v>120</v>
      </c>
      <c r="I505" s="14" t="n">
        <f aca="false">G505*H505</f>
        <v>240</v>
      </c>
      <c r="J505" s="0" t="str">
        <f aca="false">IF(COUNTIF($A$2:A505,A505)&gt;1,"Duplicate","")</f>
        <v/>
      </c>
    </row>
    <row r="506" customFormat="false" ht="15" hidden="false" customHeight="false" outlineLevel="0" collapsed="false">
      <c r="A506" s="0" t="str">
        <f aca="false">'Raw Store Exports'!A506</f>
        <v>TXN00365</v>
      </c>
      <c r="B506" s="17" t="n">
        <f aca="false">'Raw Store Exports'!C506</f>
        <v>46043</v>
      </c>
      <c r="C506" s="0" t="str">
        <f aca="false">INDEX('Store Mapping'!$C$2:$C$19,MATCH(TRIM('Raw Store Exports'!B506),'Store Mapping'!$A$2:$A$19,0))</f>
        <v>Northpark</v>
      </c>
      <c r="D506" s="0" t="str">
        <f aca="false">'Raw Store Exports'!D506</f>
        <v>APP-101</v>
      </c>
      <c r="E506" s="0" t="str">
        <f aca="false">INDEX('Product Master'!$B$2:$B$21,MATCH(D506,'Product Master'!$A$2:$A$21,0))</f>
        <v>Classic Denim Jacket</v>
      </c>
      <c r="F506" s="0" t="str">
        <f aca="false">INDEX('Product Master'!$C$2:$C$21,MATCH(D506,'Product Master'!$A$2:$A$21,0))</f>
        <v>Apparel</v>
      </c>
      <c r="G506" s="15" t="n">
        <f aca="false">VALUE(TRIM('Raw Store Exports'!E506&amp;""))</f>
        <v>2</v>
      </c>
      <c r="H506" s="18" t="n">
        <f aca="false">INDEX('Product Master'!$D$2:$D$21,MATCH(D506,'Product Master'!$A$2:$A$21,0))</f>
        <v>68</v>
      </c>
      <c r="I506" s="14" t="n">
        <f aca="false">G506*H506</f>
        <v>136</v>
      </c>
      <c r="J506" s="0" t="str">
        <f aca="false">IF(COUNTIF($A$2:A506,A506)&gt;1,"Duplicate","")</f>
        <v/>
      </c>
    </row>
    <row r="507" customFormat="false" ht="15" hidden="false" customHeight="false" outlineLevel="0" collapsed="false">
      <c r="A507" s="0" t="str">
        <f aca="false">'Raw Store Exports'!A507</f>
        <v>TXN00867</v>
      </c>
      <c r="B507" s="17" t="n">
        <f aca="false">'Raw Store Exports'!C507</f>
        <v>46068</v>
      </c>
      <c r="C507" s="0" t="str">
        <f aca="false">INDEX('Store Mapping'!$C$2:$C$19,MATCH(TRIM('Raw Store Exports'!B507),'Store Mapping'!$A$2:$A$19,0))</f>
        <v>Riverside</v>
      </c>
      <c r="D507" s="0" t="str">
        <f aca="false">'Raw Store Exports'!D507</f>
        <v>FTW-203</v>
      </c>
      <c r="E507" s="0" t="str">
        <f aca="false">INDEX('Product Master'!$B$2:$B$21,MATCH(D507,'Product Master'!$A$2:$A$21,0))</f>
        <v>Leather Ankle Boot</v>
      </c>
      <c r="F507" s="0" t="str">
        <f aca="false">INDEX('Product Master'!$C$2:$C$21,MATCH(D507,'Product Master'!$A$2:$A$21,0))</f>
        <v>Footwear</v>
      </c>
      <c r="G507" s="15" t="n">
        <f aca="false">VALUE(TRIM('Raw Store Exports'!E507&amp;""))</f>
        <v>3</v>
      </c>
      <c r="H507" s="18" t="n">
        <f aca="false">INDEX('Product Master'!$D$2:$D$21,MATCH(D507,'Product Master'!$A$2:$A$21,0))</f>
        <v>120</v>
      </c>
      <c r="I507" s="14" t="n">
        <f aca="false">G507*H507</f>
        <v>360</v>
      </c>
      <c r="J507" s="0" t="str">
        <f aca="false">IF(COUNTIF($A$2:A507,A507)&gt;1,"Duplicate","")</f>
        <v/>
      </c>
    </row>
    <row r="508" customFormat="false" ht="15" hidden="false" customHeight="false" outlineLevel="0" collapsed="false">
      <c r="A508" s="0" t="str">
        <f aca="false">'Raw Store Exports'!A508</f>
        <v>TXN00578</v>
      </c>
      <c r="B508" s="17" t="n">
        <f aca="false">'Raw Store Exports'!C508</f>
        <v>46053</v>
      </c>
      <c r="C508" s="0" t="str">
        <f aca="false">INDEX('Store Mapping'!$C$2:$C$19,MATCH(TRIM('Raw Store Exports'!B508),'Store Mapping'!$A$2:$A$19,0))</f>
        <v>Airport Plaza</v>
      </c>
      <c r="D508" s="0" t="str">
        <f aca="false">'Raw Store Exports'!D508</f>
        <v>APP-102</v>
      </c>
      <c r="E508" s="0" t="str">
        <f aca="false">INDEX('Product Master'!$B$2:$B$21,MATCH(D508,'Product Master'!$A$2:$A$21,0))</f>
        <v>Cotton Crew T-Shirt</v>
      </c>
      <c r="F508" s="0" t="str">
        <f aca="false">INDEX('Product Master'!$C$2:$C$21,MATCH(D508,'Product Master'!$A$2:$A$21,0))</f>
        <v>Apparel</v>
      </c>
      <c r="G508" s="15" t="n">
        <f aca="false">VALUE(TRIM('Raw Store Exports'!E508&amp;""))</f>
        <v>4</v>
      </c>
      <c r="H508" s="18" t="n">
        <f aca="false">INDEX('Product Master'!$D$2:$D$21,MATCH(D508,'Product Master'!$A$2:$A$21,0))</f>
        <v>18</v>
      </c>
      <c r="I508" s="14" t="n">
        <f aca="false">G508*H508</f>
        <v>72</v>
      </c>
      <c r="J508" s="0" t="str">
        <f aca="false">IF(COUNTIF($A$2:A508,A508)&gt;1,"Duplicate","")</f>
        <v/>
      </c>
    </row>
    <row r="509" customFormat="false" ht="15" hidden="false" customHeight="false" outlineLevel="0" collapsed="false">
      <c r="A509" s="0" t="str">
        <f aca="false">'Raw Store Exports'!A509</f>
        <v>TXN00420</v>
      </c>
      <c r="B509" s="17" t="n">
        <f aca="false">'Raw Store Exports'!C509</f>
        <v>46041</v>
      </c>
      <c r="C509" s="0" t="str">
        <f aca="false">INDEX('Store Mapping'!$C$2:$C$19,MATCH(TRIM('Raw Store Exports'!B509),'Store Mapping'!$A$2:$A$19,0))</f>
        <v>Airport Plaza</v>
      </c>
      <c r="D509" s="0" t="str">
        <f aca="false">'Raw Store Exports'!D509</f>
        <v>APP-101</v>
      </c>
      <c r="E509" s="0" t="str">
        <f aca="false">INDEX('Product Master'!$B$2:$B$21,MATCH(D509,'Product Master'!$A$2:$A$21,0))</f>
        <v>Classic Denim Jacket</v>
      </c>
      <c r="F509" s="0" t="str">
        <f aca="false">INDEX('Product Master'!$C$2:$C$21,MATCH(D509,'Product Master'!$A$2:$A$21,0))</f>
        <v>Apparel</v>
      </c>
      <c r="G509" s="15" t="n">
        <f aca="false">VALUE(TRIM('Raw Store Exports'!E509&amp;""))</f>
        <v>1</v>
      </c>
      <c r="H509" s="18" t="n">
        <f aca="false">INDEX('Product Master'!$D$2:$D$21,MATCH(D509,'Product Master'!$A$2:$A$21,0))</f>
        <v>68</v>
      </c>
      <c r="I509" s="14" t="n">
        <f aca="false">G509*H509</f>
        <v>68</v>
      </c>
      <c r="J509" s="0" t="str">
        <f aca="false">IF(COUNTIF($A$2:A509,A509)&gt;1,"Duplicate","")</f>
        <v/>
      </c>
    </row>
    <row r="510" customFormat="false" ht="15" hidden="false" customHeight="false" outlineLevel="0" collapsed="false">
      <c r="A510" s="0" t="str">
        <f aca="false">'Raw Store Exports'!A510</f>
        <v>TXN00676</v>
      </c>
      <c r="B510" s="17" t="n">
        <f aca="false">'Raw Store Exports'!C510</f>
        <v>46061</v>
      </c>
      <c r="C510" s="0" t="str">
        <f aca="false">INDEX('Store Mapping'!$C$2:$C$19,MATCH(TRIM('Raw Store Exports'!B510),'Store Mapping'!$A$2:$A$19,0))</f>
        <v>Northpark</v>
      </c>
      <c r="D510" s="0" t="str">
        <f aca="false">'Raw Store Exports'!D510</f>
        <v>APP-104</v>
      </c>
      <c r="E510" s="0" t="str">
        <f aca="false">INDEX('Product Master'!$B$2:$B$21,MATCH(D510,'Product Master'!$A$2:$A$21,0))</f>
        <v>Slim Fit Chinos</v>
      </c>
      <c r="F510" s="0" t="str">
        <f aca="false">INDEX('Product Master'!$C$2:$C$21,MATCH(D510,'Product Master'!$A$2:$A$21,0))</f>
        <v>Apparel</v>
      </c>
      <c r="G510" s="15" t="n">
        <f aca="false">VALUE(TRIM('Raw Store Exports'!E510&amp;""))</f>
        <v>1</v>
      </c>
      <c r="H510" s="18" t="n">
        <f aca="false">INDEX('Product Master'!$D$2:$D$21,MATCH(D510,'Product Master'!$A$2:$A$21,0))</f>
        <v>52</v>
      </c>
      <c r="I510" s="14" t="n">
        <f aca="false">G510*H510</f>
        <v>52</v>
      </c>
      <c r="J510" s="0" t="str">
        <f aca="false">IF(COUNTIF($A$2:A510,A510)&gt;1,"Duplicate","")</f>
        <v/>
      </c>
    </row>
    <row r="511" customFormat="false" ht="15" hidden="false" customHeight="false" outlineLevel="0" collapsed="false">
      <c r="A511" s="0" t="str">
        <f aca="false">'Raw Store Exports'!A511</f>
        <v>TXN00181</v>
      </c>
      <c r="B511" s="17" t="n">
        <f aca="false">'Raw Store Exports'!C511</f>
        <v>46038</v>
      </c>
      <c r="C511" s="0" t="str">
        <f aca="false">INDEX('Store Mapping'!$C$2:$C$19,MATCH(TRIM('Raw Store Exports'!B511),'Store Mapping'!$A$2:$A$19,0))</f>
        <v>Eastgate</v>
      </c>
      <c r="D511" s="0" t="str">
        <f aca="false">'Raw Store Exports'!D511</f>
        <v>ELE-404</v>
      </c>
      <c r="E511" s="0" t="str">
        <f aca="false">INDEX('Product Master'!$B$2:$B$21,MATCH(D511,'Product Master'!$A$2:$A$21,0))</f>
        <v>Phone Charging Cable</v>
      </c>
      <c r="F511" s="0" t="str">
        <f aca="false">INDEX('Product Master'!$C$2:$C$21,MATCH(D511,'Product Master'!$A$2:$A$21,0))</f>
        <v>Electronics</v>
      </c>
      <c r="G511" s="15" t="n">
        <f aca="false">VALUE(TRIM('Raw Store Exports'!E511&amp;""))</f>
        <v>3</v>
      </c>
      <c r="H511" s="18" t="n">
        <f aca="false">INDEX('Product Master'!$D$2:$D$21,MATCH(D511,'Product Master'!$A$2:$A$21,0))</f>
        <v>12</v>
      </c>
      <c r="I511" s="14" t="n">
        <f aca="false">G511*H511</f>
        <v>36</v>
      </c>
      <c r="J511" s="0" t="str">
        <f aca="false">IF(COUNTIF($A$2:A511,A511)&gt;1,"Duplicate","")</f>
        <v/>
      </c>
    </row>
    <row r="512" customFormat="false" ht="15" hidden="false" customHeight="false" outlineLevel="0" collapsed="false">
      <c r="A512" s="0" t="str">
        <f aca="false">'Raw Store Exports'!A512</f>
        <v>TXN00906</v>
      </c>
      <c r="B512" s="17" t="n">
        <f aca="false">'Raw Store Exports'!C512</f>
        <v>46074</v>
      </c>
      <c r="C512" s="0" t="str">
        <f aca="false">INDEX('Store Mapping'!$C$2:$C$19,MATCH(TRIM('Raw Store Exports'!B512),'Store Mapping'!$A$2:$A$19,0))</f>
        <v>Downtown</v>
      </c>
      <c r="D512" s="0" t="str">
        <f aca="false">'Raw Store Exports'!D512</f>
        <v>FTW-203</v>
      </c>
      <c r="E512" s="0" t="str">
        <f aca="false">INDEX('Product Master'!$B$2:$B$21,MATCH(D512,'Product Master'!$A$2:$A$21,0))</f>
        <v>Leather Ankle Boot</v>
      </c>
      <c r="F512" s="0" t="str">
        <f aca="false">INDEX('Product Master'!$C$2:$C$21,MATCH(D512,'Product Master'!$A$2:$A$21,0))</f>
        <v>Footwear</v>
      </c>
      <c r="G512" s="15" t="n">
        <f aca="false">VALUE(TRIM('Raw Store Exports'!E512&amp;""))</f>
        <v>1</v>
      </c>
      <c r="H512" s="18" t="n">
        <f aca="false">INDEX('Product Master'!$D$2:$D$21,MATCH(D512,'Product Master'!$A$2:$A$21,0))</f>
        <v>120</v>
      </c>
      <c r="I512" s="14" t="n">
        <f aca="false">G512*H512</f>
        <v>120</v>
      </c>
      <c r="J512" s="0" t="str">
        <f aca="false">IF(COUNTIF($A$2:A512,A512)&gt;1,"Duplicate","")</f>
        <v/>
      </c>
    </row>
    <row r="513" customFormat="false" ht="15" hidden="false" customHeight="false" outlineLevel="0" collapsed="false">
      <c r="A513" s="0" t="str">
        <f aca="false">'Raw Store Exports'!A513</f>
        <v>TXN00542</v>
      </c>
      <c r="B513" s="17" t="n">
        <f aca="false">'Raw Store Exports'!C513</f>
        <v>46052</v>
      </c>
      <c r="C513" s="0" t="str">
        <f aca="false">INDEX('Store Mapping'!$C$2:$C$19,MATCH(TRIM('Raw Store Exports'!B513),'Store Mapping'!$A$2:$A$19,0))</f>
        <v>Riverside</v>
      </c>
      <c r="D513" s="0" t="str">
        <f aca="false">'Raw Store Exports'!D513</f>
        <v>APP-104</v>
      </c>
      <c r="E513" s="0" t="str">
        <f aca="false">INDEX('Product Master'!$B$2:$B$21,MATCH(D513,'Product Master'!$A$2:$A$21,0))</f>
        <v>Slim Fit Chinos</v>
      </c>
      <c r="F513" s="0" t="str">
        <f aca="false">INDEX('Product Master'!$C$2:$C$21,MATCH(D513,'Product Master'!$A$2:$A$21,0))</f>
        <v>Apparel</v>
      </c>
      <c r="G513" s="15" t="n">
        <f aca="false">VALUE(TRIM('Raw Store Exports'!E513&amp;""))</f>
        <v>4</v>
      </c>
      <c r="H513" s="18" t="n">
        <f aca="false">INDEX('Product Master'!$D$2:$D$21,MATCH(D513,'Product Master'!$A$2:$A$21,0))</f>
        <v>52</v>
      </c>
      <c r="I513" s="14" t="n">
        <f aca="false">G513*H513</f>
        <v>208</v>
      </c>
      <c r="J513" s="0" t="str">
        <f aca="false">IF(COUNTIF($A$2:A513,A513)&gt;1,"Duplicate","")</f>
        <v/>
      </c>
    </row>
    <row r="514" customFormat="false" ht="15" hidden="false" customHeight="false" outlineLevel="0" collapsed="false">
      <c r="A514" s="0" t="str">
        <f aca="false">'Raw Store Exports'!A514</f>
        <v>TXN00405</v>
      </c>
      <c r="B514" s="17" t="n">
        <f aca="false">'Raw Store Exports'!C514</f>
        <v>46045</v>
      </c>
      <c r="C514" s="0" t="str">
        <f aca="false">INDEX('Store Mapping'!$C$2:$C$19,MATCH(TRIM('Raw Store Exports'!B514),'Store Mapping'!$A$2:$A$19,0))</f>
        <v>Airport Plaza</v>
      </c>
      <c r="D514" s="0" t="str">
        <f aca="false">'Raw Store Exports'!D514</f>
        <v>HOM-504</v>
      </c>
      <c r="E514" s="0" t="str">
        <f aca="false">INDEX('Product Master'!$B$2:$B$21,MATCH(D514,'Product Master'!$A$2:$A$21,0))</f>
        <v>Bamboo Cutting Board</v>
      </c>
      <c r="F514" s="0" t="str">
        <f aca="false">INDEX('Product Master'!$C$2:$C$21,MATCH(D514,'Product Master'!$A$2:$A$21,0))</f>
        <v>Home Goods</v>
      </c>
      <c r="G514" s="15" t="n">
        <f aca="false">VALUE(TRIM('Raw Store Exports'!E514&amp;""))</f>
        <v>6</v>
      </c>
      <c r="H514" s="18" t="n">
        <f aca="false">INDEX('Product Master'!$D$2:$D$21,MATCH(D514,'Product Master'!$A$2:$A$21,0))</f>
        <v>27</v>
      </c>
      <c r="I514" s="14" t="n">
        <f aca="false">G514*H514</f>
        <v>162</v>
      </c>
      <c r="J514" s="0" t="str">
        <f aca="false">IF(COUNTIF($A$2:A514,A514)&gt;1,"Duplicate","")</f>
        <v/>
      </c>
    </row>
    <row r="515" customFormat="false" ht="15" hidden="false" customHeight="false" outlineLevel="0" collapsed="false">
      <c r="A515" s="0" t="str">
        <f aca="false">'Raw Store Exports'!A515</f>
        <v>TXN00363</v>
      </c>
      <c r="B515" s="17" t="n">
        <f aca="false">'Raw Store Exports'!C515</f>
        <v>46043</v>
      </c>
      <c r="C515" s="0" t="str">
        <f aca="false">INDEX('Store Mapping'!$C$2:$C$19,MATCH(TRIM('Raw Store Exports'!B515),'Store Mapping'!$A$2:$A$19,0))</f>
        <v>Northpark</v>
      </c>
      <c r="D515" s="0" t="str">
        <f aca="false">'Raw Store Exports'!D515</f>
        <v>ELE-401</v>
      </c>
      <c r="E515" s="0" t="str">
        <f aca="false">INDEX('Product Master'!$B$2:$B$21,MATCH(D515,'Product Master'!$A$2:$A$21,0))</f>
        <v>Wireless Earbuds</v>
      </c>
      <c r="F515" s="0" t="str">
        <f aca="false">INDEX('Product Master'!$C$2:$C$21,MATCH(D515,'Product Master'!$A$2:$A$21,0))</f>
        <v>Electronics</v>
      </c>
      <c r="G515" s="15" t="n">
        <f aca="false">VALUE(TRIM('Raw Store Exports'!E515&amp;""))</f>
        <v>6</v>
      </c>
      <c r="H515" s="18" t="n">
        <f aca="false">INDEX('Product Master'!$D$2:$D$21,MATCH(D515,'Product Master'!$A$2:$A$21,0))</f>
        <v>79</v>
      </c>
      <c r="I515" s="14" t="n">
        <f aca="false">G515*H515</f>
        <v>474</v>
      </c>
      <c r="J515" s="0" t="str">
        <f aca="false">IF(COUNTIF($A$2:A515,A515)&gt;1,"Duplicate","")</f>
        <v/>
      </c>
    </row>
    <row r="516" customFormat="false" ht="15" hidden="false" customHeight="false" outlineLevel="0" collapsed="false">
      <c r="A516" s="0" t="str">
        <f aca="false">'Raw Store Exports'!A516</f>
        <v>TXN00873</v>
      </c>
      <c r="B516" s="17" t="n">
        <f aca="false">'Raw Store Exports'!C516</f>
        <v>46067</v>
      </c>
      <c r="C516" s="0" t="str">
        <f aca="false">INDEX('Store Mapping'!$C$2:$C$19,MATCH(TRIM('Raw Store Exports'!B516),'Store Mapping'!$A$2:$A$19,0))</f>
        <v>Airport Plaza</v>
      </c>
      <c r="D516" s="0" t="str">
        <f aca="false">'Raw Store Exports'!D516</f>
        <v>HOM-501</v>
      </c>
      <c r="E516" s="0" t="str">
        <f aca="false">INDEX('Product Master'!$B$2:$B$21,MATCH(D516,'Product Master'!$A$2:$A$21,0))</f>
        <v>Ceramic Coffee Mug Set</v>
      </c>
      <c r="F516" s="0" t="str">
        <f aca="false">INDEX('Product Master'!$C$2:$C$21,MATCH(D516,'Product Master'!$A$2:$A$21,0))</f>
        <v>Home Goods</v>
      </c>
      <c r="G516" s="15" t="n">
        <f aca="false">VALUE(TRIM('Raw Store Exports'!E516&amp;""))</f>
        <v>5</v>
      </c>
      <c r="H516" s="18" t="n">
        <f aca="false">INDEX('Product Master'!$D$2:$D$21,MATCH(D516,'Product Master'!$A$2:$A$21,0))</f>
        <v>22</v>
      </c>
      <c r="I516" s="14" t="n">
        <f aca="false">G516*H516</f>
        <v>110</v>
      </c>
      <c r="J516" s="0" t="str">
        <f aca="false">IF(COUNTIF($A$2:A516,A516)&gt;1,"Duplicate","")</f>
        <v/>
      </c>
    </row>
    <row r="517" customFormat="false" ht="15" hidden="false" customHeight="false" outlineLevel="0" collapsed="false">
      <c r="A517" s="0" t="str">
        <f aca="false">'Raw Store Exports'!A517</f>
        <v>TXN01187</v>
      </c>
      <c r="B517" s="17" t="n">
        <f aca="false">'Raw Store Exports'!C517</f>
        <v>46077</v>
      </c>
      <c r="C517" s="0" t="str">
        <f aca="false">INDEX('Store Mapping'!$C$2:$C$19,MATCH(TRIM('Raw Store Exports'!B517),'Store Mapping'!$A$2:$A$19,0))</f>
        <v>Airport Plaza</v>
      </c>
      <c r="D517" s="0" t="str">
        <f aca="false">'Raw Store Exports'!D517</f>
        <v>ELE-402</v>
      </c>
      <c r="E517" s="0" t="str">
        <f aca="false">INDEX('Product Master'!$B$2:$B$21,MATCH(D517,'Product Master'!$A$2:$A$21,0))</f>
        <v>Bluetooth Speaker</v>
      </c>
      <c r="F517" s="0" t="str">
        <f aca="false">INDEX('Product Master'!$C$2:$C$21,MATCH(D517,'Product Master'!$A$2:$A$21,0))</f>
        <v>Electronics</v>
      </c>
      <c r="G517" s="15" t="n">
        <f aca="false">VALUE(TRIM('Raw Store Exports'!E517&amp;""))</f>
        <v>1</v>
      </c>
      <c r="H517" s="18" t="n">
        <f aca="false">INDEX('Product Master'!$D$2:$D$21,MATCH(D517,'Product Master'!$A$2:$A$21,0))</f>
        <v>59</v>
      </c>
      <c r="I517" s="14" t="n">
        <f aca="false">G517*H517</f>
        <v>59</v>
      </c>
      <c r="J517" s="0" t="str">
        <f aca="false">IF(COUNTIF($A$2:A517,A517)&gt;1,"Duplicate","")</f>
        <v/>
      </c>
    </row>
    <row r="518" customFormat="false" ht="15" hidden="false" customHeight="false" outlineLevel="0" collapsed="false">
      <c r="A518" s="0" t="str">
        <f aca="false">'Raw Store Exports'!A518</f>
        <v>TXN00254</v>
      </c>
      <c r="B518" s="17" t="n">
        <f aca="false">'Raw Store Exports'!C518</f>
        <v>46040</v>
      </c>
      <c r="C518" s="0" t="str">
        <f aca="false">INDEX('Store Mapping'!$C$2:$C$19,MATCH(TRIM('Raw Store Exports'!B518),'Store Mapping'!$A$2:$A$19,0))</f>
        <v>Airport Plaza</v>
      </c>
      <c r="D518" s="0" t="str">
        <f aca="false">'Raw Store Exports'!D518</f>
        <v>HOM-501</v>
      </c>
      <c r="E518" s="0" t="str">
        <f aca="false">INDEX('Product Master'!$B$2:$B$21,MATCH(D518,'Product Master'!$A$2:$A$21,0))</f>
        <v>Ceramic Coffee Mug Set</v>
      </c>
      <c r="F518" s="0" t="str">
        <f aca="false">INDEX('Product Master'!$C$2:$C$21,MATCH(D518,'Product Master'!$A$2:$A$21,0))</f>
        <v>Home Goods</v>
      </c>
      <c r="G518" s="15" t="n">
        <f aca="false">VALUE(TRIM('Raw Store Exports'!E518&amp;""))</f>
        <v>5</v>
      </c>
      <c r="H518" s="18" t="n">
        <f aca="false">INDEX('Product Master'!$D$2:$D$21,MATCH(D518,'Product Master'!$A$2:$A$21,0))</f>
        <v>22</v>
      </c>
      <c r="I518" s="14" t="n">
        <f aca="false">G518*H518</f>
        <v>110</v>
      </c>
      <c r="J518" s="0" t="str">
        <f aca="false">IF(COUNTIF($A$2:A518,A518)&gt;1,"Duplicate","")</f>
        <v/>
      </c>
    </row>
    <row r="519" customFormat="false" ht="15" hidden="false" customHeight="false" outlineLevel="0" collapsed="false">
      <c r="A519" s="0" t="str">
        <f aca="false">'Raw Store Exports'!A519</f>
        <v>TXN00351</v>
      </c>
      <c r="B519" s="17" t="n">
        <f aca="false">'Raw Store Exports'!C519</f>
        <v>46044</v>
      </c>
      <c r="C519" s="0" t="str">
        <f aca="false">INDEX('Store Mapping'!$C$2:$C$19,MATCH(TRIM('Raw Store Exports'!B519),'Store Mapping'!$A$2:$A$19,0))</f>
        <v>Northpark</v>
      </c>
      <c r="D519" s="0" t="str">
        <f aca="false">'Raw Store Exports'!D519</f>
        <v>APP-104</v>
      </c>
      <c r="E519" s="0" t="str">
        <f aca="false">INDEX('Product Master'!$B$2:$B$21,MATCH(D519,'Product Master'!$A$2:$A$21,0))</f>
        <v>Slim Fit Chinos</v>
      </c>
      <c r="F519" s="0" t="str">
        <f aca="false">INDEX('Product Master'!$C$2:$C$21,MATCH(D519,'Product Master'!$A$2:$A$21,0))</f>
        <v>Apparel</v>
      </c>
      <c r="G519" s="15" t="n">
        <f aca="false">VALUE(TRIM('Raw Store Exports'!E519&amp;""))</f>
        <v>4</v>
      </c>
      <c r="H519" s="18" t="n">
        <f aca="false">INDEX('Product Master'!$D$2:$D$21,MATCH(D519,'Product Master'!$A$2:$A$21,0))</f>
        <v>52</v>
      </c>
      <c r="I519" s="14" t="n">
        <f aca="false">G519*H519</f>
        <v>208</v>
      </c>
      <c r="J519" s="0" t="str">
        <f aca="false">IF(COUNTIF($A$2:A519,A519)&gt;1,"Duplicate","")</f>
        <v/>
      </c>
    </row>
    <row r="520" customFormat="false" ht="15" hidden="false" customHeight="false" outlineLevel="0" collapsed="false">
      <c r="A520" s="0" t="str">
        <f aca="false">'Raw Store Exports'!A520</f>
        <v>TXN00234</v>
      </c>
      <c r="B520" s="17" t="n">
        <f aca="false">'Raw Store Exports'!C520</f>
        <v>46039</v>
      </c>
      <c r="C520" s="0" t="str">
        <f aca="false">INDEX('Store Mapping'!$C$2:$C$19,MATCH(TRIM('Raw Store Exports'!B520),'Store Mapping'!$A$2:$A$19,0))</f>
        <v>Riverside</v>
      </c>
      <c r="D520" s="0" t="str">
        <f aca="false">'Raw Store Exports'!D520</f>
        <v>FTW-203</v>
      </c>
      <c r="E520" s="0" t="str">
        <f aca="false">INDEX('Product Master'!$B$2:$B$21,MATCH(D520,'Product Master'!$A$2:$A$21,0))</f>
        <v>Leather Ankle Boot</v>
      </c>
      <c r="F520" s="0" t="str">
        <f aca="false">INDEX('Product Master'!$C$2:$C$21,MATCH(D520,'Product Master'!$A$2:$A$21,0))</f>
        <v>Footwear</v>
      </c>
      <c r="G520" s="15" t="n">
        <f aca="false">VALUE(TRIM('Raw Store Exports'!E520&amp;""))</f>
        <v>4</v>
      </c>
      <c r="H520" s="18" t="n">
        <f aca="false">INDEX('Product Master'!$D$2:$D$21,MATCH(D520,'Product Master'!$A$2:$A$21,0))</f>
        <v>120</v>
      </c>
      <c r="I520" s="14" t="n">
        <f aca="false">G520*H520</f>
        <v>480</v>
      </c>
      <c r="J520" s="0" t="str">
        <f aca="false">IF(COUNTIF($A$2:A520,A520)&gt;1,"Duplicate","")</f>
        <v/>
      </c>
    </row>
    <row r="521" customFormat="false" ht="15" hidden="false" customHeight="false" outlineLevel="0" collapsed="false">
      <c r="A521" s="0" t="str">
        <f aca="false">'Raw Store Exports'!A521</f>
        <v>TXN00085</v>
      </c>
      <c r="B521" s="17" t="n">
        <f aca="false">'Raw Store Exports'!C521</f>
        <v>46030</v>
      </c>
      <c r="C521" s="0" t="str">
        <f aca="false">INDEX('Store Mapping'!$C$2:$C$19,MATCH(TRIM('Raw Store Exports'!B521),'Store Mapping'!$A$2:$A$19,0))</f>
        <v>Northpark</v>
      </c>
      <c r="D521" s="0" t="str">
        <f aca="false">'Raw Store Exports'!D521</f>
        <v>HOM-504</v>
      </c>
      <c r="E521" s="0" t="str">
        <f aca="false">INDEX('Product Master'!$B$2:$B$21,MATCH(D521,'Product Master'!$A$2:$A$21,0))</f>
        <v>Bamboo Cutting Board</v>
      </c>
      <c r="F521" s="0" t="str">
        <f aca="false">INDEX('Product Master'!$C$2:$C$21,MATCH(D521,'Product Master'!$A$2:$A$21,0))</f>
        <v>Home Goods</v>
      </c>
      <c r="G521" s="15" t="n">
        <f aca="false">VALUE(TRIM('Raw Store Exports'!E521&amp;""))</f>
        <v>3</v>
      </c>
      <c r="H521" s="18" t="n">
        <f aca="false">INDEX('Product Master'!$D$2:$D$21,MATCH(D521,'Product Master'!$A$2:$A$21,0))</f>
        <v>27</v>
      </c>
      <c r="I521" s="14" t="n">
        <f aca="false">G521*H521</f>
        <v>81</v>
      </c>
      <c r="J521" s="0" t="str">
        <f aca="false">IF(COUNTIF($A$2:A521,A521)&gt;1,"Duplicate","")</f>
        <v/>
      </c>
    </row>
    <row r="522" customFormat="false" ht="15" hidden="false" customHeight="false" outlineLevel="0" collapsed="false">
      <c r="A522" s="0" t="str">
        <f aca="false">'Raw Store Exports'!A522</f>
        <v>TXN01056</v>
      </c>
      <c r="B522" s="17" t="n">
        <f aca="false">'Raw Store Exports'!C522</f>
        <v>46079</v>
      </c>
      <c r="C522" s="0" t="str">
        <f aca="false">INDEX('Store Mapping'!$C$2:$C$19,MATCH(TRIM('Raw Store Exports'!B522),'Store Mapping'!$A$2:$A$19,0))</f>
        <v>Downtown</v>
      </c>
      <c r="D522" s="0" t="str">
        <f aca="false">'Raw Store Exports'!D522</f>
        <v>ACC-301</v>
      </c>
      <c r="E522" s="0" t="str">
        <f aca="false">INDEX('Product Master'!$B$2:$B$21,MATCH(D522,'Product Master'!$A$2:$A$21,0))</f>
        <v>Leather Belt</v>
      </c>
      <c r="F522" s="0" t="str">
        <f aca="false">INDEX('Product Master'!$C$2:$C$21,MATCH(D522,'Product Master'!$A$2:$A$21,0))</f>
        <v>Accessories</v>
      </c>
      <c r="G522" s="15" t="n">
        <f aca="false">VALUE(TRIM('Raw Store Exports'!E522&amp;""))</f>
        <v>2</v>
      </c>
      <c r="H522" s="18" t="n">
        <f aca="false">INDEX('Product Master'!$D$2:$D$21,MATCH(D522,'Product Master'!$A$2:$A$21,0))</f>
        <v>30</v>
      </c>
      <c r="I522" s="14" t="n">
        <f aca="false">G522*H522</f>
        <v>60</v>
      </c>
      <c r="J522" s="0" t="str">
        <f aca="false">IF(COUNTIF($A$2:A522,A522)&gt;1,"Duplicate","")</f>
        <v/>
      </c>
    </row>
    <row r="523" customFormat="false" ht="15" hidden="false" customHeight="false" outlineLevel="0" collapsed="false">
      <c r="A523" s="0" t="str">
        <f aca="false">'Raw Store Exports'!A523</f>
        <v>TXN00396</v>
      </c>
      <c r="B523" s="17" t="n">
        <f aca="false">'Raw Store Exports'!C523</f>
        <v>46045</v>
      </c>
      <c r="C523" s="0" t="str">
        <f aca="false">INDEX('Store Mapping'!$C$2:$C$19,MATCH(TRIM('Raw Store Exports'!B523),'Store Mapping'!$A$2:$A$19,0))</f>
        <v>Riverside</v>
      </c>
      <c r="D523" s="0" t="str">
        <f aca="false">'Raw Store Exports'!D523</f>
        <v>ACC-304</v>
      </c>
      <c r="E523" s="0" t="str">
        <f aca="false">INDEX('Product Master'!$B$2:$B$21,MATCH(D523,'Product Master'!$A$2:$A$21,0))</f>
        <v>Wool Beanie</v>
      </c>
      <c r="F523" s="0" t="str">
        <f aca="false">INDEX('Product Master'!$C$2:$C$21,MATCH(D523,'Product Master'!$A$2:$A$21,0))</f>
        <v>Accessories</v>
      </c>
      <c r="G523" s="15" t="n">
        <f aca="false">VALUE(TRIM('Raw Store Exports'!E523&amp;""))</f>
        <v>2</v>
      </c>
      <c r="H523" s="18" t="n">
        <f aca="false">INDEX('Product Master'!$D$2:$D$21,MATCH(D523,'Product Master'!$A$2:$A$21,0))</f>
        <v>16</v>
      </c>
      <c r="I523" s="14" t="n">
        <f aca="false">G523*H523</f>
        <v>32</v>
      </c>
      <c r="J523" s="0" t="str">
        <f aca="false">IF(COUNTIF($A$2:A523,A523)&gt;1,"Duplicate","")</f>
        <v/>
      </c>
    </row>
    <row r="524" customFormat="false" ht="15" hidden="false" customHeight="false" outlineLevel="0" collapsed="false">
      <c r="A524" s="0" t="str">
        <f aca="false">'Raw Store Exports'!A524</f>
        <v>TXN01051</v>
      </c>
      <c r="B524" s="17" t="n">
        <f aca="false">'Raw Store Exports'!C524</f>
        <v>46079</v>
      </c>
      <c r="C524" s="0" t="str">
        <f aca="false">INDEX('Store Mapping'!$C$2:$C$19,MATCH(TRIM('Raw Store Exports'!B524),'Store Mapping'!$A$2:$A$19,0))</f>
        <v>Downtown</v>
      </c>
      <c r="D524" s="0" t="str">
        <f aca="false">'Raw Store Exports'!D524</f>
        <v>ELE-401</v>
      </c>
      <c r="E524" s="0" t="str">
        <f aca="false">INDEX('Product Master'!$B$2:$B$21,MATCH(D524,'Product Master'!$A$2:$A$21,0))</f>
        <v>Wireless Earbuds</v>
      </c>
      <c r="F524" s="0" t="str">
        <f aca="false">INDEX('Product Master'!$C$2:$C$21,MATCH(D524,'Product Master'!$A$2:$A$21,0))</f>
        <v>Electronics</v>
      </c>
      <c r="G524" s="15" t="n">
        <f aca="false">VALUE(TRIM('Raw Store Exports'!E524&amp;""))</f>
        <v>4</v>
      </c>
      <c r="H524" s="18" t="n">
        <f aca="false">INDEX('Product Master'!$D$2:$D$21,MATCH(D524,'Product Master'!$A$2:$A$21,0))</f>
        <v>79</v>
      </c>
      <c r="I524" s="14" t="n">
        <f aca="false">G524*H524</f>
        <v>316</v>
      </c>
      <c r="J524" s="0" t="str">
        <f aca="false">IF(COUNTIF($A$2:A524,A524)&gt;1,"Duplicate","")</f>
        <v/>
      </c>
    </row>
    <row r="525" customFormat="false" ht="15" hidden="false" customHeight="false" outlineLevel="0" collapsed="false">
      <c r="A525" s="0" t="str">
        <f aca="false">'Raw Store Exports'!A525</f>
        <v>TXN01064</v>
      </c>
      <c r="B525" s="17" t="n">
        <f aca="false">'Raw Store Exports'!C525</f>
        <v>46079</v>
      </c>
      <c r="C525" s="0" t="str">
        <f aca="false">INDEX('Store Mapping'!$C$2:$C$19,MATCH(TRIM('Raw Store Exports'!B525),'Store Mapping'!$A$2:$A$19,0))</f>
        <v>Downtown</v>
      </c>
      <c r="D525" s="0" t="str">
        <f aca="false">'Raw Store Exports'!D525</f>
        <v>HOM-501</v>
      </c>
      <c r="E525" s="0" t="str">
        <f aca="false">INDEX('Product Master'!$B$2:$B$21,MATCH(D525,'Product Master'!$A$2:$A$21,0))</f>
        <v>Ceramic Coffee Mug Set</v>
      </c>
      <c r="F525" s="0" t="str">
        <f aca="false">INDEX('Product Master'!$C$2:$C$21,MATCH(D525,'Product Master'!$A$2:$A$21,0))</f>
        <v>Home Goods</v>
      </c>
      <c r="G525" s="15" t="n">
        <f aca="false">VALUE(TRIM('Raw Store Exports'!E525&amp;""))</f>
        <v>3</v>
      </c>
      <c r="H525" s="18" t="n">
        <f aca="false">INDEX('Product Master'!$D$2:$D$21,MATCH(D525,'Product Master'!$A$2:$A$21,0))</f>
        <v>22</v>
      </c>
      <c r="I525" s="14" t="n">
        <f aca="false">G525*H525</f>
        <v>66</v>
      </c>
      <c r="J525" s="0" t="str">
        <f aca="false">IF(COUNTIF($A$2:A525,A525)&gt;1,"Duplicate","")</f>
        <v/>
      </c>
    </row>
    <row r="526" customFormat="false" ht="15" hidden="false" customHeight="false" outlineLevel="0" collapsed="false">
      <c r="A526" s="0" t="str">
        <f aca="false">'Raw Store Exports'!A526</f>
        <v>TXN00751</v>
      </c>
      <c r="B526" s="17" t="n">
        <f aca="false">'Raw Store Exports'!C526</f>
        <v>46063</v>
      </c>
      <c r="C526" s="0" t="str">
        <f aca="false">INDEX('Store Mapping'!$C$2:$C$19,MATCH(TRIM('Raw Store Exports'!B526),'Store Mapping'!$A$2:$A$19,0))</f>
        <v>Downtown</v>
      </c>
      <c r="D526" s="0" t="str">
        <f aca="false">'Raw Store Exports'!D526</f>
        <v>ELE-404</v>
      </c>
      <c r="E526" s="0" t="str">
        <f aca="false">INDEX('Product Master'!$B$2:$B$21,MATCH(D526,'Product Master'!$A$2:$A$21,0))</f>
        <v>Phone Charging Cable</v>
      </c>
      <c r="F526" s="0" t="str">
        <f aca="false">INDEX('Product Master'!$C$2:$C$21,MATCH(D526,'Product Master'!$A$2:$A$21,0))</f>
        <v>Electronics</v>
      </c>
      <c r="G526" s="15" t="n">
        <f aca="false">VALUE(TRIM('Raw Store Exports'!E526&amp;""))</f>
        <v>3</v>
      </c>
      <c r="H526" s="18" t="n">
        <f aca="false">INDEX('Product Master'!$D$2:$D$21,MATCH(D526,'Product Master'!$A$2:$A$21,0))</f>
        <v>12</v>
      </c>
      <c r="I526" s="14" t="n">
        <f aca="false">G526*H526</f>
        <v>36</v>
      </c>
      <c r="J526" s="0" t="str">
        <f aca="false">IF(COUNTIF($A$2:A526,A526)&gt;1,"Duplicate","")</f>
        <v/>
      </c>
    </row>
    <row r="527" customFormat="false" ht="15" hidden="false" customHeight="false" outlineLevel="0" collapsed="false">
      <c r="A527" s="0" t="str">
        <f aca="false">'Raw Store Exports'!A527</f>
        <v>TXN00880</v>
      </c>
      <c r="B527" s="17" t="n">
        <f aca="false">'Raw Store Exports'!C527</f>
        <v>46066</v>
      </c>
      <c r="C527" s="0" t="str">
        <f aca="false">INDEX('Store Mapping'!$C$2:$C$19,MATCH(TRIM('Raw Store Exports'!B527),'Store Mapping'!$A$2:$A$19,0))</f>
        <v>Airport Plaza</v>
      </c>
      <c r="D527" s="0" t="str">
        <f aca="false">'Raw Store Exports'!D527</f>
        <v>ACC-301</v>
      </c>
      <c r="E527" s="0" t="str">
        <f aca="false">INDEX('Product Master'!$B$2:$B$21,MATCH(D527,'Product Master'!$A$2:$A$21,0))</f>
        <v>Leather Belt</v>
      </c>
      <c r="F527" s="0" t="str">
        <f aca="false">INDEX('Product Master'!$C$2:$C$21,MATCH(D527,'Product Master'!$A$2:$A$21,0))</f>
        <v>Accessories</v>
      </c>
      <c r="G527" s="15" t="n">
        <f aca="false">VALUE(TRIM('Raw Store Exports'!E527&amp;""))</f>
        <v>1</v>
      </c>
      <c r="H527" s="18" t="n">
        <f aca="false">INDEX('Product Master'!$D$2:$D$21,MATCH(D527,'Product Master'!$A$2:$A$21,0))</f>
        <v>30</v>
      </c>
      <c r="I527" s="14" t="n">
        <f aca="false">G527*H527</f>
        <v>30</v>
      </c>
      <c r="J527" s="0" t="str">
        <f aca="false">IF(COUNTIF($A$2:A527,A527)&gt;1,"Duplicate","")</f>
        <v/>
      </c>
    </row>
    <row r="528" customFormat="false" ht="15" hidden="false" customHeight="false" outlineLevel="0" collapsed="false">
      <c r="A528" s="0" t="str">
        <f aca="false">'Raw Store Exports'!A528</f>
        <v>TXN00526</v>
      </c>
      <c r="B528" s="17" t="n">
        <f aca="false">'Raw Store Exports'!C528</f>
        <v>46048</v>
      </c>
      <c r="C528" s="0" t="str">
        <f aca="false">INDEX('Store Mapping'!$C$2:$C$19,MATCH(TRIM('Raw Store Exports'!B528),'Store Mapping'!$A$2:$A$19,0))</f>
        <v>Northpark</v>
      </c>
      <c r="D528" s="0" t="str">
        <f aca="false">'Raw Store Exports'!D528</f>
        <v>ACC-301</v>
      </c>
      <c r="E528" s="0" t="str">
        <f aca="false">INDEX('Product Master'!$B$2:$B$21,MATCH(D528,'Product Master'!$A$2:$A$21,0))</f>
        <v>Leather Belt</v>
      </c>
      <c r="F528" s="0" t="str">
        <f aca="false">INDEX('Product Master'!$C$2:$C$21,MATCH(D528,'Product Master'!$A$2:$A$21,0))</f>
        <v>Accessories</v>
      </c>
      <c r="G528" s="15" t="n">
        <f aca="false">VALUE(TRIM('Raw Store Exports'!E528&amp;""))</f>
        <v>4</v>
      </c>
      <c r="H528" s="18" t="n">
        <f aca="false">INDEX('Product Master'!$D$2:$D$21,MATCH(D528,'Product Master'!$A$2:$A$21,0))</f>
        <v>30</v>
      </c>
      <c r="I528" s="14" t="n">
        <f aca="false">G528*H528</f>
        <v>120</v>
      </c>
      <c r="J528" s="0" t="str">
        <f aca="false">IF(COUNTIF($A$2:A528,A528)&gt;1,"Duplicate","")</f>
        <v/>
      </c>
    </row>
    <row r="529" customFormat="false" ht="15" hidden="false" customHeight="false" outlineLevel="0" collapsed="false">
      <c r="A529" s="0" t="str">
        <f aca="false">'Raw Store Exports'!A529</f>
        <v>TXN00706</v>
      </c>
      <c r="B529" s="17" t="n">
        <f aca="false">'Raw Store Exports'!C529</f>
        <v>46058</v>
      </c>
      <c r="C529" s="0" t="str">
        <f aca="false">INDEX('Store Mapping'!$C$2:$C$19,MATCH(TRIM('Raw Store Exports'!B529),'Store Mapping'!$A$2:$A$19,0))</f>
        <v>Riverside</v>
      </c>
      <c r="D529" s="0" t="str">
        <f aca="false">'Raw Store Exports'!D529</f>
        <v>HOM-502</v>
      </c>
      <c r="E529" s="0" t="str">
        <f aca="false">INDEX('Product Master'!$B$2:$B$21,MATCH(D529,'Product Master'!$A$2:$A$21,0))</f>
        <v>Scented Candle</v>
      </c>
      <c r="F529" s="0" t="str">
        <f aca="false">INDEX('Product Master'!$C$2:$C$21,MATCH(D529,'Product Master'!$A$2:$A$21,0))</f>
        <v>Home Goods</v>
      </c>
      <c r="G529" s="15" t="n">
        <f aca="false">VALUE(TRIM('Raw Store Exports'!E529&amp;""))</f>
        <v>4</v>
      </c>
      <c r="H529" s="18" t="n">
        <f aca="false">INDEX('Product Master'!$D$2:$D$21,MATCH(D529,'Product Master'!$A$2:$A$21,0))</f>
        <v>15</v>
      </c>
      <c r="I529" s="14" t="n">
        <f aca="false">G529*H529</f>
        <v>60</v>
      </c>
      <c r="J529" s="0" t="str">
        <f aca="false">IF(COUNTIF($A$2:A529,A529)&gt;1,"Duplicate","")</f>
        <v/>
      </c>
    </row>
    <row r="530" customFormat="false" ht="15" hidden="false" customHeight="false" outlineLevel="0" collapsed="false">
      <c r="A530" s="0" t="str">
        <f aca="false">'Raw Store Exports'!A530</f>
        <v>TXN00430</v>
      </c>
      <c r="B530" s="17" t="n">
        <f aca="false">'Raw Store Exports'!C530</f>
        <v>46042</v>
      </c>
      <c r="C530" s="0" t="str">
        <f aca="false">INDEX('Store Mapping'!$C$2:$C$19,MATCH(TRIM('Raw Store Exports'!B530),'Store Mapping'!$A$2:$A$19,0))</f>
        <v>Airport Plaza</v>
      </c>
      <c r="D530" s="0" t="str">
        <f aca="false">'Raw Store Exports'!D530</f>
        <v>HOM-501</v>
      </c>
      <c r="E530" s="0" t="str">
        <f aca="false">INDEX('Product Master'!$B$2:$B$21,MATCH(D530,'Product Master'!$A$2:$A$21,0))</f>
        <v>Ceramic Coffee Mug Set</v>
      </c>
      <c r="F530" s="0" t="str">
        <f aca="false">INDEX('Product Master'!$C$2:$C$21,MATCH(D530,'Product Master'!$A$2:$A$21,0))</f>
        <v>Home Goods</v>
      </c>
      <c r="G530" s="15" t="n">
        <f aca="false">VALUE(TRIM('Raw Store Exports'!E530&amp;""))</f>
        <v>3</v>
      </c>
      <c r="H530" s="18" t="n">
        <f aca="false">INDEX('Product Master'!$D$2:$D$21,MATCH(D530,'Product Master'!$A$2:$A$21,0))</f>
        <v>22</v>
      </c>
      <c r="I530" s="14" t="n">
        <f aca="false">G530*H530</f>
        <v>66</v>
      </c>
      <c r="J530" s="0" t="str">
        <f aca="false">IF(COUNTIF($A$2:A530,A530)&gt;1,"Duplicate","")</f>
        <v/>
      </c>
    </row>
    <row r="531" customFormat="false" ht="15" hidden="false" customHeight="false" outlineLevel="0" collapsed="false">
      <c r="A531" s="0" t="str">
        <f aca="false">'Raw Store Exports'!A531</f>
        <v>TXN00579</v>
      </c>
      <c r="B531" s="17" t="n">
        <f aca="false">'Raw Store Exports'!C531</f>
        <v>46049</v>
      </c>
      <c r="C531" s="0" t="str">
        <f aca="false">INDEX('Store Mapping'!$C$2:$C$19,MATCH(TRIM('Raw Store Exports'!B531),'Store Mapping'!$A$2:$A$19,0))</f>
        <v>Airport Plaza</v>
      </c>
      <c r="D531" s="0" t="str">
        <f aca="false">'Raw Store Exports'!D531</f>
        <v>ELE-403</v>
      </c>
      <c r="E531" s="0" t="str">
        <f aca="false">INDEX('Product Master'!$B$2:$B$21,MATCH(D531,'Product Master'!$A$2:$A$21,0))</f>
        <v>Fitness Tracker Band</v>
      </c>
      <c r="F531" s="0" t="str">
        <f aca="false">INDEX('Product Master'!$C$2:$C$21,MATCH(D531,'Product Master'!$A$2:$A$21,0))</f>
        <v>Electronics</v>
      </c>
      <c r="G531" s="15" t="n">
        <f aca="false">VALUE(TRIM('Raw Store Exports'!E531&amp;""))</f>
        <v>5</v>
      </c>
      <c r="H531" s="18" t="n">
        <f aca="false">INDEX('Product Master'!$D$2:$D$21,MATCH(D531,'Product Master'!$A$2:$A$21,0))</f>
        <v>99</v>
      </c>
      <c r="I531" s="14" t="n">
        <f aca="false">G531*H531</f>
        <v>495</v>
      </c>
      <c r="J531" s="0" t="str">
        <f aca="false">IF(COUNTIF($A$2:A531,A531)&gt;1,"Duplicate","")</f>
        <v/>
      </c>
    </row>
    <row r="532" customFormat="false" ht="15" hidden="false" customHeight="false" outlineLevel="0" collapsed="false">
      <c r="A532" s="0" t="str">
        <f aca="false">'Raw Store Exports'!A532</f>
        <v>TXN00828</v>
      </c>
      <c r="B532" s="17" t="n">
        <f aca="false">'Raw Store Exports'!C532</f>
        <v>46067</v>
      </c>
      <c r="C532" s="0" t="str">
        <f aca="false">INDEX('Store Mapping'!$C$2:$C$19,MATCH(TRIM('Raw Store Exports'!B532),'Store Mapping'!$A$2:$A$19,0))</f>
        <v>Northpark</v>
      </c>
      <c r="D532" s="0" t="str">
        <f aca="false">'Raw Store Exports'!D532</f>
        <v>ACC-301</v>
      </c>
      <c r="E532" s="0" t="str">
        <f aca="false">INDEX('Product Master'!$B$2:$B$21,MATCH(D532,'Product Master'!$A$2:$A$21,0))</f>
        <v>Leather Belt</v>
      </c>
      <c r="F532" s="0" t="str">
        <f aca="false">INDEX('Product Master'!$C$2:$C$21,MATCH(D532,'Product Master'!$A$2:$A$21,0))</f>
        <v>Accessories</v>
      </c>
      <c r="G532" s="15" t="n">
        <f aca="false">VALUE(TRIM('Raw Store Exports'!E532&amp;""))</f>
        <v>2</v>
      </c>
      <c r="H532" s="18" t="n">
        <f aca="false">INDEX('Product Master'!$D$2:$D$21,MATCH(D532,'Product Master'!$A$2:$A$21,0))</f>
        <v>30</v>
      </c>
      <c r="I532" s="14" t="n">
        <f aca="false">G532*H532</f>
        <v>60</v>
      </c>
      <c r="J532" s="0" t="str">
        <f aca="false">IF(COUNTIF($A$2:A532,A532)&gt;1,"Duplicate","")</f>
        <v/>
      </c>
    </row>
    <row r="533" customFormat="false" ht="15" hidden="false" customHeight="false" outlineLevel="0" collapsed="false">
      <c r="A533" s="0" t="str">
        <f aca="false">'Raw Store Exports'!A533</f>
        <v>TXN00483</v>
      </c>
      <c r="B533" s="17" t="n">
        <f aca="false">'Raw Store Exports'!C533</f>
        <v>46052</v>
      </c>
      <c r="C533" s="0" t="str">
        <f aca="false">INDEX('Store Mapping'!$C$2:$C$19,MATCH(TRIM('Raw Store Exports'!B533),'Store Mapping'!$A$2:$A$19,0))</f>
        <v>Westside Mall</v>
      </c>
      <c r="D533" s="0" t="str">
        <f aca="false">'Raw Store Exports'!D533</f>
        <v>ELE-404</v>
      </c>
      <c r="E533" s="0" t="str">
        <f aca="false">INDEX('Product Master'!$B$2:$B$21,MATCH(D533,'Product Master'!$A$2:$A$21,0))</f>
        <v>Phone Charging Cable</v>
      </c>
      <c r="F533" s="0" t="str">
        <f aca="false">INDEX('Product Master'!$C$2:$C$21,MATCH(D533,'Product Master'!$A$2:$A$21,0))</f>
        <v>Electronics</v>
      </c>
      <c r="G533" s="15" t="n">
        <f aca="false">VALUE(TRIM('Raw Store Exports'!E533&amp;""))</f>
        <v>1</v>
      </c>
      <c r="H533" s="18" t="n">
        <f aca="false">INDEX('Product Master'!$D$2:$D$21,MATCH(D533,'Product Master'!$A$2:$A$21,0))</f>
        <v>12</v>
      </c>
      <c r="I533" s="14" t="n">
        <f aca="false">G533*H533</f>
        <v>12</v>
      </c>
      <c r="J533" s="0" t="str">
        <f aca="false">IF(COUNTIF($A$2:A533,A533)&gt;1,"Duplicate","")</f>
        <v/>
      </c>
    </row>
    <row r="534" customFormat="false" ht="15" hidden="false" customHeight="false" outlineLevel="0" collapsed="false">
      <c r="A534" s="0" t="str">
        <f aca="false">'Raw Store Exports'!A534</f>
        <v>TXN00817</v>
      </c>
      <c r="B534" s="17" t="n">
        <f aca="false">'Raw Store Exports'!C534</f>
        <v>46067</v>
      </c>
      <c r="C534" s="0" t="str">
        <f aca="false">INDEX('Store Mapping'!$C$2:$C$19,MATCH(TRIM('Raw Store Exports'!B534),'Store Mapping'!$A$2:$A$19,0))</f>
        <v>Eastgate</v>
      </c>
      <c r="D534" s="0" t="str">
        <f aca="false">'Raw Store Exports'!D534</f>
        <v>ELE-401</v>
      </c>
      <c r="E534" s="0" t="str">
        <f aca="false">INDEX('Product Master'!$B$2:$B$21,MATCH(D534,'Product Master'!$A$2:$A$21,0))</f>
        <v>Wireless Earbuds</v>
      </c>
      <c r="F534" s="0" t="str">
        <f aca="false">INDEX('Product Master'!$C$2:$C$21,MATCH(D534,'Product Master'!$A$2:$A$21,0))</f>
        <v>Electronics</v>
      </c>
      <c r="G534" s="15" t="n">
        <f aca="false">VALUE(TRIM('Raw Store Exports'!E534&amp;""))</f>
        <v>3</v>
      </c>
      <c r="H534" s="18" t="n">
        <f aca="false">INDEX('Product Master'!$D$2:$D$21,MATCH(D534,'Product Master'!$A$2:$A$21,0))</f>
        <v>79</v>
      </c>
      <c r="I534" s="14" t="n">
        <f aca="false">G534*H534</f>
        <v>237</v>
      </c>
      <c r="J534" s="0" t="str">
        <f aca="false">IF(COUNTIF($A$2:A534,A534)&gt;1,"Duplicate","")</f>
        <v/>
      </c>
    </row>
    <row r="535" customFormat="false" ht="15" hidden="false" customHeight="false" outlineLevel="0" collapsed="false">
      <c r="A535" s="0" t="str">
        <f aca="false">'Raw Store Exports'!A535</f>
        <v>TXN00882</v>
      </c>
      <c r="B535" s="17" t="n">
        <f aca="false">'Raw Store Exports'!C535</f>
        <v>46065</v>
      </c>
      <c r="C535" s="0" t="str">
        <f aca="false">INDEX('Store Mapping'!$C$2:$C$19,MATCH(TRIM('Raw Store Exports'!B535),'Store Mapping'!$A$2:$A$19,0))</f>
        <v>Airport Plaza</v>
      </c>
      <c r="D535" s="0" t="str">
        <f aca="false">'Raw Store Exports'!D535</f>
        <v>ELE-404</v>
      </c>
      <c r="E535" s="0" t="str">
        <f aca="false">INDEX('Product Master'!$B$2:$B$21,MATCH(D535,'Product Master'!$A$2:$A$21,0))</f>
        <v>Phone Charging Cable</v>
      </c>
      <c r="F535" s="0" t="str">
        <f aca="false">INDEX('Product Master'!$C$2:$C$21,MATCH(D535,'Product Master'!$A$2:$A$21,0))</f>
        <v>Electronics</v>
      </c>
      <c r="G535" s="15" t="n">
        <f aca="false">VALUE(TRIM('Raw Store Exports'!E535&amp;""))</f>
        <v>5</v>
      </c>
      <c r="H535" s="18" t="n">
        <f aca="false">INDEX('Product Master'!$D$2:$D$21,MATCH(D535,'Product Master'!$A$2:$A$21,0))</f>
        <v>12</v>
      </c>
      <c r="I535" s="14" t="n">
        <f aca="false">G535*H535</f>
        <v>60</v>
      </c>
      <c r="J535" s="0" t="str">
        <f aca="false">IF(COUNTIF($A$2:A535,A535)&gt;1,"Duplicate","")</f>
        <v/>
      </c>
    </row>
    <row r="536" customFormat="false" ht="15" hidden="false" customHeight="false" outlineLevel="0" collapsed="false">
      <c r="A536" s="0" t="str">
        <f aca="false">'Raw Store Exports'!A536</f>
        <v>TXN00375</v>
      </c>
      <c r="B536" s="17" t="n">
        <f aca="false">'Raw Store Exports'!C536</f>
        <v>46045</v>
      </c>
      <c r="C536" s="0" t="str">
        <f aca="false">INDEX('Store Mapping'!$C$2:$C$19,MATCH(TRIM('Raw Store Exports'!B536),'Store Mapping'!$A$2:$A$19,0))</f>
        <v>Riverside</v>
      </c>
      <c r="D536" s="0" t="str">
        <f aca="false">'Raw Store Exports'!D536</f>
        <v>ACC-301</v>
      </c>
      <c r="E536" s="0" t="str">
        <f aca="false">INDEX('Product Master'!$B$2:$B$21,MATCH(D536,'Product Master'!$A$2:$A$21,0))</f>
        <v>Leather Belt</v>
      </c>
      <c r="F536" s="0" t="str">
        <f aca="false">INDEX('Product Master'!$C$2:$C$21,MATCH(D536,'Product Master'!$A$2:$A$21,0))</f>
        <v>Accessories</v>
      </c>
      <c r="G536" s="15" t="n">
        <f aca="false">VALUE(TRIM('Raw Store Exports'!E536&amp;""))</f>
        <v>1</v>
      </c>
      <c r="H536" s="18" t="n">
        <f aca="false">INDEX('Product Master'!$D$2:$D$21,MATCH(D536,'Product Master'!$A$2:$A$21,0))</f>
        <v>30</v>
      </c>
      <c r="I536" s="14" t="n">
        <f aca="false">G536*H536</f>
        <v>30</v>
      </c>
      <c r="J536" s="0" t="str">
        <f aca="false">IF(COUNTIF($A$2:A536,A536)&gt;1,"Duplicate","")</f>
        <v/>
      </c>
    </row>
    <row r="537" customFormat="false" ht="15" hidden="false" customHeight="false" outlineLevel="0" collapsed="false">
      <c r="A537" s="0" t="str">
        <f aca="false">'Raw Store Exports'!A537</f>
        <v>TXN00491</v>
      </c>
      <c r="B537" s="17" t="n">
        <f aca="false">'Raw Store Exports'!C537</f>
        <v>46049</v>
      </c>
      <c r="C537" s="0" t="str">
        <f aca="false">INDEX('Store Mapping'!$C$2:$C$19,MATCH(TRIM('Raw Store Exports'!B537),'Store Mapping'!$A$2:$A$19,0))</f>
        <v>Eastgate</v>
      </c>
      <c r="D537" s="0" t="str">
        <f aca="false">'Raw Store Exports'!D537</f>
        <v>HOM-502</v>
      </c>
      <c r="E537" s="0" t="str">
        <f aca="false">INDEX('Product Master'!$B$2:$B$21,MATCH(D537,'Product Master'!$A$2:$A$21,0))</f>
        <v>Scented Candle</v>
      </c>
      <c r="F537" s="0" t="str">
        <f aca="false">INDEX('Product Master'!$C$2:$C$21,MATCH(D537,'Product Master'!$A$2:$A$21,0))</f>
        <v>Home Goods</v>
      </c>
      <c r="G537" s="15" t="n">
        <f aca="false">VALUE(TRIM('Raw Store Exports'!E537&amp;""))</f>
        <v>6</v>
      </c>
      <c r="H537" s="18" t="n">
        <f aca="false">INDEX('Product Master'!$D$2:$D$21,MATCH(D537,'Product Master'!$A$2:$A$21,0))</f>
        <v>15</v>
      </c>
      <c r="I537" s="14" t="n">
        <f aca="false">G537*H537</f>
        <v>90</v>
      </c>
      <c r="J537" s="0" t="str">
        <f aca="false">IF(COUNTIF($A$2:A537,A537)&gt;1,"Duplicate","")</f>
        <v/>
      </c>
    </row>
    <row r="538" customFormat="false" ht="15" hidden="false" customHeight="false" outlineLevel="0" collapsed="false">
      <c r="A538" s="0" t="str">
        <f aca="false">'Raw Store Exports'!A538</f>
        <v>TXN00934</v>
      </c>
      <c r="B538" s="17" t="n">
        <f aca="false">'Raw Store Exports'!C538</f>
        <v>46071</v>
      </c>
      <c r="C538" s="0" t="str">
        <f aca="false">INDEX('Store Mapping'!$C$2:$C$19,MATCH(TRIM('Raw Store Exports'!B538),'Store Mapping'!$A$2:$A$19,0))</f>
        <v>Westside Mall</v>
      </c>
      <c r="D538" s="0" t="str">
        <f aca="false">'Raw Store Exports'!D538</f>
        <v>ELE-404</v>
      </c>
      <c r="E538" s="0" t="str">
        <f aca="false">INDEX('Product Master'!$B$2:$B$21,MATCH(D538,'Product Master'!$A$2:$A$21,0))</f>
        <v>Phone Charging Cable</v>
      </c>
      <c r="F538" s="0" t="str">
        <f aca="false">INDEX('Product Master'!$C$2:$C$21,MATCH(D538,'Product Master'!$A$2:$A$21,0))</f>
        <v>Electronics</v>
      </c>
      <c r="G538" s="15" t="n">
        <f aca="false">VALUE(TRIM('Raw Store Exports'!E538&amp;""))</f>
        <v>5</v>
      </c>
      <c r="H538" s="18" t="n">
        <f aca="false">INDEX('Product Master'!$D$2:$D$21,MATCH(D538,'Product Master'!$A$2:$A$21,0))</f>
        <v>12</v>
      </c>
      <c r="I538" s="14" t="n">
        <f aca="false">G538*H538</f>
        <v>60</v>
      </c>
      <c r="J538" s="0" t="str">
        <f aca="false">IF(COUNTIF($A$2:A538,A538)&gt;1,"Duplicate","")</f>
        <v/>
      </c>
    </row>
    <row r="539" customFormat="false" ht="15" hidden="false" customHeight="false" outlineLevel="0" collapsed="false">
      <c r="A539" s="0" t="str">
        <f aca="false">'Raw Store Exports'!A539</f>
        <v>TXN00691</v>
      </c>
      <c r="B539" s="17" t="n">
        <f aca="false">'Raw Store Exports'!C539</f>
        <v>46059</v>
      </c>
      <c r="C539" s="0" t="str">
        <f aca="false">INDEX('Store Mapping'!$C$2:$C$19,MATCH(TRIM('Raw Store Exports'!B539),'Store Mapping'!$A$2:$A$19,0))</f>
        <v>Northpark</v>
      </c>
      <c r="D539" s="0" t="str">
        <f aca="false">'Raw Store Exports'!D539</f>
        <v>HOM-503</v>
      </c>
      <c r="E539" s="0" t="str">
        <f aca="false">INDEX('Product Master'!$B$2:$B$21,MATCH(D539,'Product Master'!$A$2:$A$21,0))</f>
        <v>Cotton Throw Blanket</v>
      </c>
      <c r="F539" s="0" t="str">
        <f aca="false">INDEX('Product Master'!$C$2:$C$21,MATCH(D539,'Product Master'!$A$2:$A$21,0))</f>
        <v>Home Goods</v>
      </c>
      <c r="G539" s="15" t="n">
        <f aca="false">VALUE(TRIM('Raw Store Exports'!E539&amp;""))</f>
        <v>4</v>
      </c>
      <c r="H539" s="18" t="n">
        <f aca="false">INDEX('Product Master'!$D$2:$D$21,MATCH(D539,'Product Master'!$A$2:$A$21,0))</f>
        <v>38</v>
      </c>
      <c r="I539" s="14" t="n">
        <f aca="false">G539*H539</f>
        <v>152</v>
      </c>
      <c r="J539" s="0" t="str">
        <f aca="false">IF(COUNTIF($A$2:A539,A539)&gt;1,"Duplicate","")</f>
        <v/>
      </c>
    </row>
    <row r="540" customFormat="false" ht="15" hidden="false" customHeight="false" outlineLevel="0" collapsed="false">
      <c r="A540" s="0" t="str">
        <f aca="false">'Raw Store Exports'!A540</f>
        <v>TXN01040</v>
      </c>
      <c r="B540" s="17" t="n">
        <f aca="false">'Raw Store Exports'!C540</f>
        <v>46069</v>
      </c>
      <c r="C540" s="0" t="str">
        <f aca="false">INDEX('Store Mapping'!$C$2:$C$19,MATCH(TRIM('Raw Store Exports'!B540),'Store Mapping'!$A$2:$A$19,0))</f>
        <v>Airport Plaza</v>
      </c>
      <c r="D540" s="0" t="str">
        <f aca="false">'Raw Store Exports'!D540</f>
        <v>APP-104</v>
      </c>
      <c r="E540" s="0" t="str">
        <f aca="false">INDEX('Product Master'!$B$2:$B$21,MATCH(D540,'Product Master'!$A$2:$A$21,0))</f>
        <v>Slim Fit Chinos</v>
      </c>
      <c r="F540" s="0" t="str">
        <f aca="false">INDEX('Product Master'!$C$2:$C$21,MATCH(D540,'Product Master'!$A$2:$A$21,0))</f>
        <v>Apparel</v>
      </c>
      <c r="G540" s="15" t="n">
        <f aca="false">VALUE(TRIM('Raw Store Exports'!E540&amp;""))</f>
        <v>3</v>
      </c>
      <c r="H540" s="18" t="n">
        <f aca="false">INDEX('Product Master'!$D$2:$D$21,MATCH(D540,'Product Master'!$A$2:$A$21,0))</f>
        <v>52</v>
      </c>
      <c r="I540" s="14" t="n">
        <f aca="false">G540*H540</f>
        <v>156</v>
      </c>
      <c r="J540" s="0" t="str">
        <f aca="false">IF(COUNTIF($A$2:A540,A540)&gt;1,"Duplicate","")</f>
        <v/>
      </c>
    </row>
    <row r="541" customFormat="false" ht="15" hidden="false" customHeight="false" outlineLevel="0" collapsed="false">
      <c r="A541" s="0" t="str">
        <f aca="false">'Raw Store Exports'!A541</f>
        <v>TXN00267</v>
      </c>
      <c r="B541" s="17" t="n">
        <f aca="false">'Raw Store Exports'!C541</f>
        <v>46039</v>
      </c>
      <c r="C541" s="0" t="str">
        <f aca="false">INDEX('Store Mapping'!$C$2:$C$19,MATCH(TRIM('Raw Store Exports'!B541),'Store Mapping'!$A$2:$A$19,0))</f>
        <v>Airport Plaza</v>
      </c>
      <c r="D541" s="0" t="str">
        <f aca="false">'Raw Store Exports'!D541</f>
        <v>ACC-302</v>
      </c>
      <c r="E541" s="0" t="str">
        <f aca="false">INDEX('Product Master'!$B$2:$B$21,MATCH(D541,'Product Master'!$A$2:$A$21,0))</f>
        <v>Aviator Sunglasses</v>
      </c>
      <c r="F541" s="0" t="str">
        <f aca="false">INDEX('Product Master'!$C$2:$C$21,MATCH(D541,'Product Master'!$A$2:$A$21,0))</f>
        <v>Accessories</v>
      </c>
      <c r="G541" s="15" t="n">
        <f aca="false">VALUE(TRIM('Raw Store Exports'!E541&amp;""))</f>
        <v>6</v>
      </c>
      <c r="H541" s="18" t="n">
        <f aca="false">INDEX('Product Master'!$D$2:$D$21,MATCH(D541,'Product Master'!$A$2:$A$21,0))</f>
        <v>42</v>
      </c>
      <c r="I541" s="14" t="n">
        <f aca="false">G541*H541</f>
        <v>252</v>
      </c>
      <c r="J541" s="0" t="str">
        <f aca="false">IF(COUNTIF($A$2:A541,A541)&gt;1,"Duplicate","")</f>
        <v/>
      </c>
    </row>
    <row r="542" customFormat="false" ht="15" hidden="false" customHeight="false" outlineLevel="0" collapsed="false">
      <c r="A542" s="0" t="str">
        <f aca="false">'Raw Store Exports'!A542</f>
        <v>TXN00715</v>
      </c>
      <c r="B542" s="17" t="n">
        <f aca="false">'Raw Store Exports'!C542</f>
        <v>46058</v>
      </c>
      <c r="C542" s="0" t="str">
        <f aca="false">INDEX('Store Mapping'!$C$2:$C$19,MATCH(TRIM('Raw Store Exports'!B542),'Store Mapping'!$A$2:$A$19,0))</f>
        <v>Riverside</v>
      </c>
      <c r="D542" s="0" t="str">
        <f aca="false">'Raw Store Exports'!D542</f>
        <v>ACC-304</v>
      </c>
      <c r="E542" s="0" t="str">
        <f aca="false">INDEX('Product Master'!$B$2:$B$21,MATCH(D542,'Product Master'!$A$2:$A$21,0))</f>
        <v>Wool Beanie</v>
      </c>
      <c r="F542" s="0" t="str">
        <f aca="false">INDEX('Product Master'!$C$2:$C$21,MATCH(D542,'Product Master'!$A$2:$A$21,0))</f>
        <v>Accessories</v>
      </c>
      <c r="G542" s="15" t="n">
        <f aca="false">VALUE(TRIM('Raw Store Exports'!E542&amp;""))</f>
        <v>1</v>
      </c>
      <c r="H542" s="18" t="n">
        <f aca="false">INDEX('Product Master'!$D$2:$D$21,MATCH(D542,'Product Master'!$A$2:$A$21,0))</f>
        <v>16</v>
      </c>
      <c r="I542" s="14" t="n">
        <f aca="false">G542*H542</f>
        <v>16</v>
      </c>
      <c r="J542" s="0" t="str">
        <f aca="false">IF(COUNTIF($A$2:A542,A542)&gt;1,"Duplicate","")</f>
        <v/>
      </c>
    </row>
    <row r="543" customFormat="false" ht="15" hidden="false" customHeight="false" outlineLevel="0" collapsed="false">
      <c r="A543" s="0" t="str">
        <f aca="false">'Raw Store Exports'!A543</f>
        <v>TXN01168</v>
      </c>
      <c r="B543" s="17" t="n">
        <f aca="false">'Raw Store Exports'!C543</f>
        <v>46077</v>
      </c>
      <c r="C543" s="0" t="str">
        <f aca="false">INDEX('Store Mapping'!$C$2:$C$19,MATCH(TRIM('Raw Store Exports'!B543),'Store Mapping'!$A$2:$A$19,0))</f>
        <v>Riverside</v>
      </c>
      <c r="D543" s="0" t="str">
        <f aca="false">'Raw Store Exports'!D543</f>
        <v>APP-104</v>
      </c>
      <c r="E543" s="0" t="str">
        <f aca="false">INDEX('Product Master'!$B$2:$B$21,MATCH(D543,'Product Master'!$A$2:$A$21,0))</f>
        <v>Slim Fit Chinos</v>
      </c>
      <c r="F543" s="0" t="str">
        <f aca="false">INDEX('Product Master'!$C$2:$C$21,MATCH(D543,'Product Master'!$A$2:$A$21,0))</f>
        <v>Apparel</v>
      </c>
      <c r="G543" s="15" t="n">
        <f aca="false">VALUE(TRIM('Raw Store Exports'!E543&amp;""))</f>
        <v>3</v>
      </c>
      <c r="H543" s="18" t="n">
        <f aca="false">INDEX('Product Master'!$D$2:$D$21,MATCH(D543,'Product Master'!$A$2:$A$21,0))</f>
        <v>52</v>
      </c>
      <c r="I543" s="14" t="n">
        <f aca="false">G543*H543</f>
        <v>156</v>
      </c>
      <c r="J543" s="0" t="str">
        <f aca="false">IF(COUNTIF($A$2:A543,A543)&gt;1,"Duplicate","")</f>
        <v/>
      </c>
    </row>
    <row r="544" customFormat="false" ht="15" hidden="false" customHeight="false" outlineLevel="0" collapsed="false">
      <c r="A544" s="0" t="str">
        <f aca="false">'Raw Store Exports'!A544</f>
        <v>TXN00960</v>
      </c>
      <c r="B544" s="17" t="n">
        <f aca="false">'Raw Store Exports'!C544</f>
        <v>46073</v>
      </c>
      <c r="C544" s="0" t="str">
        <f aca="false">INDEX('Store Mapping'!$C$2:$C$19,MATCH(TRIM('Raw Store Exports'!B544),'Store Mapping'!$A$2:$A$19,0))</f>
        <v>Eastgate</v>
      </c>
      <c r="D544" s="0" t="str">
        <f aca="false">'Raw Store Exports'!D544</f>
        <v>FTW-202</v>
      </c>
      <c r="E544" s="0" t="str">
        <f aca="false">INDEX('Product Master'!$B$2:$B$21,MATCH(D544,'Product Master'!$A$2:$A$21,0))</f>
        <v>Canvas Low-Top</v>
      </c>
      <c r="F544" s="0" t="str">
        <f aca="false">INDEX('Product Master'!$C$2:$C$21,MATCH(D544,'Product Master'!$A$2:$A$21,0))</f>
        <v>Footwear</v>
      </c>
      <c r="G544" s="15" t="n">
        <f aca="false">VALUE(TRIM('Raw Store Exports'!E544&amp;""))</f>
        <v>6</v>
      </c>
      <c r="H544" s="18" t="n">
        <f aca="false">INDEX('Product Master'!$D$2:$D$21,MATCH(D544,'Product Master'!$A$2:$A$21,0))</f>
        <v>55</v>
      </c>
      <c r="I544" s="14" t="n">
        <f aca="false">G544*H544</f>
        <v>330</v>
      </c>
      <c r="J544" s="0" t="str">
        <f aca="false">IF(COUNTIF($A$2:A544,A544)&gt;1,"Duplicate","")</f>
        <v/>
      </c>
    </row>
    <row r="545" customFormat="false" ht="15" hidden="false" customHeight="false" outlineLevel="0" collapsed="false">
      <c r="A545" s="0" t="str">
        <f aca="false">'Raw Store Exports'!A545</f>
        <v>TXN00195</v>
      </c>
      <c r="B545" s="17" t="n">
        <f aca="false">'Raw Store Exports'!C545</f>
        <v>46034</v>
      </c>
      <c r="C545" s="0" t="str">
        <f aca="false">INDEX('Store Mapping'!$C$2:$C$19,MATCH(TRIM('Raw Store Exports'!B545),'Store Mapping'!$A$2:$A$19,0))</f>
        <v>Eastgate</v>
      </c>
      <c r="D545" s="0" t="str">
        <f aca="false">'Raw Store Exports'!D545</f>
        <v>FTW-204</v>
      </c>
      <c r="E545" s="0" t="str">
        <f aca="false">INDEX('Product Master'!$B$2:$B$21,MATCH(D545,'Product Master'!$A$2:$A$21,0))</f>
        <v>Slide Sandals</v>
      </c>
      <c r="F545" s="0" t="str">
        <f aca="false">INDEX('Product Master'!$C$2:$C$21,MATCH(D545,'Product Master'!$A$2:$A$21,0))</f>
        <v>Footwear</v>
      </c>
      <c r="G545" s="15" t="n">
        <f aca="false">VALUE(TRIM('Raw Store Exports'!E545&amp;""))</f>
        <v>3</v>
      </c>
      <c r="H545" s="18" t="n">
        <f aca="false">INDEX('Product Master'!$D$2:$D$21,MATCH(D545,'Product Master'!$A$2:$A$21,0))</f>
        <v>25</v>
      </c>
      <c r="I545" s="14" t="n">
        <f aca="false">G545*H545</f>
        <v>75</v>
      </c>
      <c r="J545" s="0" t="str">
        <f aca="false">IF(COUNTIF($A$2:A545,A545)&gt;1,"Duplicate","")</f>
        <v/>
      </c>
    </row>
    <row r="546" customFormat="false" ht="15" hidden="false" customHeight="false" outlineLevel="0" collapsed="false">
      <c r="A546" s="0" t="str">
        <f aca="false">'Raw Store Exports'!A546</f>
        <v>TXN00326</v>
      </c>
      <c r="B546" s="17" t="n">
        <f aca="false">'Raw Store Exports'!C546</f>
        <v>46041</v>
      </c>
      <c r="C546" s="0" t="str">
        <f aca="false">INDEX('Store Mapping'!$C$2:$C$19,MATCH(TRIM('Raw Store Exports'!B546),'Store Mapping'!$A$2:$A$19,0))</f>
        <v>Eastgate</v>
      </c>
      <c r="D546" s="0" t="str">
        <f aca="false">'Raw Store Exports'!D546</f>
        <v>HOM-504</v>
      </c>
      <c r="E546" s="0" t="str">
        <f aca="false">INDEX('Product Master'!$B$2:$B$21,MATCH(D546,'Product Master'!$A$2:$A$21,0))</f>
        <v>Bamboo Cutting Board</v>
      </c>
      <c r="F546" s="0" t="str">
        <f aca="false">INDEX('Product Master'!$C$2:$C$21,MATCH(D546,'Product Master'!$A$2:$A$21,0))</f>
        <v>Home Goods</v>
      </c>
      <c r="G546" s="15" t="n">
        <f aca="false">VALUE(TRIM('Raw Store Exports'!E546&amp;""))</f>
        <v>2</v>
      </c>
      <c r="H546" s="18" t="n">
        <f aca="false">INDEX('Product Master'!$D$2:$D$21,MATCH(D546,'Product Master'!$A$2:$A$21,0))</f>
        <v>27</v>
      </c>
      <c r="I546" s="14" t="n">
        <f aca="false">G546*H546</f>
        <v>54</v>
      </c>
      <c r="J546" s="0" t="str">
        <f aca="false">IF(COUNTIF($A$2:A546,A546)&gt;1,"Duplicate","")</f>
        <v/>
      </c>
    </row>
    <row r="547" customFormat="false" ht="15" hidden="false" customHeight="false" outlineLevel="0" collapsed="false">
      <c r="A547" s="0" t="str">
        <f aca="false">'Raw Store Exports'!A547</f>
        <v>TXN00663</v>
      </c>
      <c r="B547" s="17" t="n">
        <f aca="false">'Raw Store Exports'!C547</f>
        <v>46056</v>
      </c>
      <c r="C547" s="0" t="str">
        <f aca="false">INDEX('Store Mapping'!$C$2:$C$19,MATCH(TRIM('Raw Store Exports'!B547),'Store Mapping'!$A$2:$A$19,0))</f>
        <v>Eastgate</v>
      </c>
      <c r="D547" s="0" t="str">
        <f aca="false">'Raw Store Exports'!D547</f>
        <v>FTW-201</v>
      </c>
      <c r="E547" s="0" t="str">
        <f aca="false">INDEX('Product Master'!$B$2:$B$21,MATCH(D547,'Product Master'!$A$2:$A$21,0))</f>
        <v>Running Sneakers</v>
      </c>
      <c r="F547" s="0" t="str">
        <f aca="false">INDEX('Product Master'!$C$2:$C$21,MATCH(D547,'Product Master'!$A$2:$A$21,0))</f>
        <v>Footwear</v>
      </c>
      <c r="G547" s="15" t="n">
        <f aca="false">VALUE(TRIM('Raw Store Exports'!E547&amp;""))</f>
        <v>2</v>
      </c>
      <c r="H547" s="18" t="n">
        <f aca="false">INDEX('Product Master'!$D$2:$D$21,MATCH(D547,'Product Master'!$A$2:$A$21,0))</f>
        <v>89</v>
      </c>
      <c r="I547" s="14" t="n">
        <f aca="false">G547*H547</f>
        <v>178</v>
      </c>
      <c r="J547" s="0" t="str">
        <f aca="false">IF(COUNTIF($A$2:A547,A547)&gt;1,"Duplicate","")</f>
        <v/>
      </c>
    </row>
    <row r="548" customFormat="false" ht="15" hidden="false" customHeight="false" outlineLevel="0" collapsed="false">
      <c r="A548" s="0" t="str">
        <f aca="false">'Raw Store Exports'!A548</f>
        <v>TXN01191</v>
      </c>
      <c r="B548" s="17" t="n">
        <f aca="false">'Raw Store Exports'!C548</f>
        <v>46076</v>
      </c>
      <c r="C548" s="0" t="str">
        <f aca="false">INDEX('Store Mapping'!$C$2:$C$19,MATCH(TRIM('Raw Store Exports'!B548),'Store Mapping'!$A$2:$A$19,0))</f>
        <v>Airport Plaza</v>
      </c>
      <c r="D548" s="0" t="str">
        <f aca="false">'Raw Store Exports'!D548</f>
        <v>HOM-501</v>
      </c>
      <c r="E548" s="0" t="str">
        <f aca="false">INDEX('Product Master'!$B$2:$B$21,MATCH(D548,'Product Master'!$A$2:$A$21,0))</f>
        <v>Ceramic Coffee Mug Set</v>
      </c>
      <c r="F548" s="0" t="str">
        <f aca="false">INDEX('Product Master'!$C$2:$C$21,MATCH(D548,'Product Master'!$A$2:$A$21,0))</f>
        <v>Home Goods</v>
      </c>
      <c r="G548" s="15" t="n">
        <f aca="false">VALUE(TRIM('Raw Store Exports'!E548&amp;""))</f>
        <v>2</v>
      </c>
      <c r="H548" s="18" t="n">
        <f aca="false">INDEX('Product Master'!$D$2:$D$21,MATCH(D548,'Product Master'!$A$2:$A$21,0))</f>
        <v>22</v>
      </c>
      <c r="I548" s="14" t="n">
        <f aca="false">G548*H548</f>
        <v>44</v>
      </c>
      <c r="J548" s="0" t="str">
        <f aca="false">IF(COUNTIF($A$2:A548,A548)&gt;1,"Duplicate","")</f>
        <v/>
      </c>
    </row>
    <row r="549" customFormat="false" ht="15" hidden="false" customHeight="false" outlineLevel="0" collapsed="false">
      <c r="A549" s="0" t="str">
        <f aca="false">'Raw Store Exports'!A549</f>
        <v>TXN00077</v>
      </c>
      <c r="B549" s="17" t="n">
        <f aca="false">'Raw Store Exports'!C549</f>
        <v>46033</v>
      </c>
      <c r="C549" s="0" t="str">
        <f aca="false">INDEX('Store Mapping'!$C$2:$C$19,MATCH(TRIM('Raw Store Exports'!B549),'Store Mapping'!$A$2:$A$19,0))</f>
        <v>Eastgate</v>
      </c>
      <c r="D549" s="0" t="str">
        <f aca="false">'Raw Store Exports'!D549</f>
        <v>HOM-501</v>
      </c>
      <c r="E549" s="0" t="str">
        <f aca="false">INDEX('Product Master'!$B$2:$B$21,MATCH(D549,'Product Master'!$A$2:$A$21,0))</f>
        <v>Ceramic Coffee Mug Set</v>
      </c>
      <c r="F549" s="0" t="str">
        <f aca="false">INDEX('Product Master'!$C$2:$C$21,MATCH(D549,'Product Master'!$A$2:$A$21,0))</f>
        <v>Home Goods</v>
      </c>
      <c r="G549" s="15" t="n">
        <f aca="false">VALUE(TRIM('Raw Store Exports'!E549&amp;""))</f>
        <v>6</v>
      </c>
      <c r="H549" s="18" t="n">
        <f aca="false">INDEX('Product Master'!$D$2:$D$21,MATCH(D549,'Product Master'!$A$2:$A$21,0))</f>
        <v>22</v>
      </c>
      <c r="I549" s="14" t="n">
        <f aca="false">G549*H549</f>
        <v>132</v>
      </c>
      <c r="J549" s="0" t="str">
        <f aca="false">IF(COUNTIF($A$2:A549,A549)&gt;1,"Duplicate","")</f>
        <v/>
      </c>
    </row>
    <row r="550" customFormat="false" ht="15" hidden="false" customHeight="false" outlineLevel="0" collapsed="false">
      <c r="A550" s="0" t="str">
        <f aca="false">'Raw Store Exports'!A550</f>
        <v>TXN00398</v>
      </c>
      <c r="B550" s="17" t="n">
        <f aca="false">'Raw Store Exports'!C550</f>
        <v>46046</v>
      </c>
      <c r="C550" s="0" t="str">
        <f aca="false">INDEX('Store Mapping'!$C$2:$C$19,MATCH(TRIM('Raw Store Exports'!B550),'Store Mapping'!$A$2:$A$19,0))</f>
        <v>Riverside</v>
      </c>
      <c r="D550" s="0" t="str">
        <f aca="false">'Raw Store Exports'!D550</f>
        <v>APP-103</v>
      </c>
      <c r="E550" s="0" t="str">
        <f aca="false">INDEX('Product Master'!$B$2:$B$21,MATCH(D550,'Product Master'!$A$2:$A$21,0))</f>
        <v>Fleece Pullover Hoodie</v>
      </c>
      <c r="F550" s="0" t="str">
        <f aca="false">INDEX('Product Master'!$C$2:$C$21,MATCH(D550,'Product Master'!$A$2:$A$21,0))</f>
        <v>Apparel</v>
      </c>
      <c r="G550" s="15" t="n">
        <f aca="false">VALUE(TRIM('Raw Store Exports'!E550&amp;""))</f>
        <v>5</v>
      </c>
      <c r="H550" s="18" t="n">
        <f aca="false">INDEX('Product Master'!$D$2:$D$21,MATCH(D550,'Product Master'!$A$2:$A$21,0))</f>
        <v>45</v>
      </c>
      <c r="I550" s="14" t="n">
        <f aca="false">G550*H550</f>
        <v>225</v>
      </c>
      <c r="J550" s="0" t="str">
        <f aca="false">IF(COUNTIF($A$2:A550,A550)&gt;1,"Duplicate","")</f>
        <v/>
      </c>
    </row>
    <row r="551" customFormat="false" ht="15" hidden="false" customHeight="false" outlineLevel="0" collapsed="false">
      <c r="A551" s="0" t="str">
        <f aca="false">'Raw Store Exports'!A551</f>
        <v>TXN00450</v>
      </c>
      <c r="B551" s="17" t="n">
        <f aca="false">'Raw Store Exports'!C551</f>
        <v>46054</v>
      </c>
      <c r="C551" s="0" t="str">
        <f aca="false">INDEX('Store Mapping'!$C$2:$C$19,MATCH(TRIM('Raw Store Exports'!B551),'Store Mapping'!$A$2:$A$19,0))</f>
        <v>Downtown</v>
      </c>
      <c r="D551" s="0" t="str">
        <f aca="false">'Raw Store Exports'!D551</f>
        <v>HOM-502</v>
      </c>
      <c r="E551" s="0" t="str">
        <f aca="false">INDEX('Product Master'!$B$2:$B$21,MATCH(D551,'Product Master'!$A$2:$A$21,0))</f>
        <v>Scented Candle</v>
      </c>
      <c r="F551" s="0" t="str">
        <f aca="false">INDEX('Product Master'!$C$2:$C$21,MATCH(D551,'Product Master'!$A$2:$A$21,0))</f>
        <v>Home Goods</v>
      </c>
      <c r="G551" s="15" t="n">
        <f aca="false">VALUE(TRIM('Raw Store Exports'!E551&amp;""))</f>
        <v>1</v>
      </c>
      <c r="H551" s="18" t="n">
        <f aca="false">INDEX('Product Master'!$D$2:$D$21,MATCH(D551,'Product Master'!$A$2:$A$21,0))</f>
        <v>15</v>
      </c>
      <c r="I551" s="14" t="n">
        <f aca="false">G551*H551</f>
        <v>15</v>
      </c>
      <c r="J551" s="0" t="str">
        <f aca="false">IF(COUNTIF($A$2:A551,A551)&gt;1,"Duplicate","")</f>
        <v/>
      </c>
    </row>
    <row r="552" customFormat="false" ht="15" hidden="false" customHeight="false" outlineLevel="0" collapsed="false">
      <c r="A552" s="0" t="str">
        <f aca="false">'Raw Store Exports'!A552</f>
        <v>TXN01124</v>
      </c>
      <c r="B552" s="17" t="n">
        <f aca="false">'Raw Store Exports'!C552</f>
        <v>46079</v>
      </c>
      <c r="C552" s="0" t="str">
        <f aca="false">INDEX('Store Mapping'!$C$2:$C$19,MATCH(TRIM('Raw Store Exports'!B552),'Store Mapping'!$A$2:$A$19,0))</f>
        <v>Eastgate</v>
      </c>
      <c r="D552" s="0" t="str">
        <f aca="false">'Raw Store Exports'!D552</f>
        <v>HOM-504</v>
      </c>
      <c r="E552" s="0" t="str">
        <f aca="false">INDEX('Product Master'!$B$2:$B$21,MATCH(D552,'Product Master'!$A$2:$A$21,0))</f>
        <v>Bamboo Cutting Board</v>
      </c>
      <c r="F552" s="0" t="str">
        <f aca="false">INDEX('Product Master'!$C$2:$C$21,MATCH(D552,'Product Master'!$A$2:$A$21,0))</f>
        <v>Home Goods</v>
      </c>
      <c r="G552" s="15" t="n">
        <f aca="false">VALUE(TRIM('Raw Store Exports'!E552&amp;""))</f>
        <v>2</v>
      </c>
      <c r="H552" s="18" t="n">
        <f aca="false">INDEX('Product Master'!$D$2:$D$21,MATCH(D552,'Product Master'!$A$2:$A$21,0))</f>
        <v>27</v>
      </c>
      <c r="I552" s="14" t="n">
        <f aca="false">G552*H552</f>
        <v>54</v>
      </c>
      <c r="J552" s="0" t="str">
        <f aca="false">IF(COUNTIF($A$2:A552,A552)&gt;1,"Duplicate","")</f>
        <v/>
      </c>
    </row>
    <row r="553" customFormat="false" ht="15" hidden="false" customHeight="false" outlineLevel="0" collapsed="false">
      <c r="A553" s="0" t="str">
        <f aca="false">'Raw Store Exports'!A553</f>
        <v>TXN00528</v>
      </c>
      <c r="B553" s="17" t="n">
        <f aca="false">'Raw Store Exports'!C553</f>
        <v>46049</v>
      </c>
      <c r="C553" s="0" t="str">
        <f aca="false">INDEX('Store Mapping'!$C$2:$C$19,MATCH(TRIM('Raw Store Exports'!B553),'Store Mapping'!$A$2:$A$19,0))</f>
        <v>Northpark</v>
      </c>
      <c r="D553" s="0" t="str">
        <f aca="false">'Raw Store Exports'!D553</f>
        <v>ACC-304</v>
      </c>
      <c r="E553" s="0" t="str">
        <f aca="false">INDEX('Product Master'!$B$2:$B$21,MATCH(D553,'Product Master'!$A$2:$A$21,0))</f>
        <v>Wool Beanie</v>
      </c>
      <c r="F553" s="0" t="str">
        <f aca="false">INDEX('Product Master'!$C$2:$C$21,MATCH(D553,'Product Master'!$A$2:$A$21,0))</f>
        <v>Accessories</v>
      </c>
      <c r="G553" s="15" t="n">
        <f aca="false">VALUE(TRIM('Raw Store Exports'!E553&amp;""))</f>
        <v>1</v>
      </c>
      <c r="H553" s="18" t="n">
        <f aca="false">INDEX('Product Master'!$D$2:$D$21,MATCH(D553,'Product Master'!$A$2:$A$21,0))</f>
        <v>16</v>
      </c>
      <c r="I553" s="14" t="n">
        <f aca="false">G553*H553</f>
        <v>16</v>
      </c>
      <c r="J553" s="0" t="str">
        <f aca="false">IF(COUNTIF($A$2:A553,A553)&gt;1,"Duplicate","")</f>
        <v/>
      </c>
    </row>
    <row r="554" customFormat="false" ht="15" hidden="false" customHeight="false" outlineLevel="0" collapsed="false">
      <c r="A554" s="0" t="str">
        <f aca="false">'Raw Store Exports'!A554</f>
        <v>TXN00821</v>
      </c>
      <c r="B554" s="17" t="n">
        <f aca="false">'Raw Store Exports'!C554</f>
        <v>46063</v>
      </c>
      <c r="C554" s="0" t="str">
        <f aca="false">INDEX('Store Mapping'!$C$2:$C$19,MATCH(TRIM('Raw Store Exports'!B554),'Store Mapping'!$A$2:$A$19,0))</f>
        <v>Eastgate</v>
      </c>
      <c r="D554" s="0" t="str">
        <f aca="false">'Raw Store Exports'!D554</f>
        <v>HOM-503</v>
      </c>
      <c r="E554" s="0" t="str">
        <f aca="false">INDEX('Product Master'!$B$2:$B$21,MATCH(D554,'Product Master'!$A$2:$A$21,0))</f>
        <v>Cotton Throw Blanket</v>
      </c>
      <c r="F554" s="0" t="str">
        <f aca="false">INDEX('Product Master'!$C$2:$C$21,MATCH(D554,'Product Master'!$A$2:$A$21,0))</f>
        <v>Home Goods</v>
      </c>
      <c r="G554" s="15" t="n">
        <f aca="false">VALUE(TRIM('Raw Store Exports'!E554&amp;""))</f>
        <v>3</v>
      </c>
      <c r="H554" s="18" t="n">
        <f aca="false">INDEX('Product Master'!$D$2:$D$21,MATCH(D554,'Product Master'!$A$2:$A$21,0))</f>
        <v>38</v>
      </c>
      <c r="I554" s="14" t="n">
        <f aca="false">G554*H554</f>
        <v>114</v>
      </c>
      <c r="J554" s="0" t="str">
        <f aca="false">IF(COUNTIF($A$2:A554,A554)&gt;1,"Duplicate","")</f>
        <v/>
      </c>
    </row>
    <row r="555" customFormat="false" ht="15" hidden="false" customHeight="false" outlineLevel="0" collapsed="false">
      <c r="A555" s="0" t="str">
        <f aca="false">'Raw Store Exports'!A555</f>
        <v>TXN00253</v>
      </c>
      <c r="B555" s="17" t="n">
        <f aca="false">'Raw Store Exports'!C555</f>
        <v>46039</v>
      </c>
      <c r="C555" s="0" t="str">
        <f aca="false">INDEX('Store Mapping'!$C$2:$C$19,MATCH(TRIM('Raw Store Exports'!B555),'Store Mapping'!$A$2:$A$19,0))</f>
        <v>Airport Plaza</v>
      </c>
      <c r="D555" s="0" t="str">
        <f aca="false">'Raw Store Exports'!D555</f>
        <v>ELE-401</v>
      </c>
      <c r="E555" s="0" t="str">
        <f aca="false">INDEX('Product Master'!$B$2:$B$21,MATCH(D555,'Product Master'!$A$2:$A$21,0))</f>
        <v>Wireless Earbuds</v>
      </c>
      <c r="F555" s="0" t="str">
        <f aca="false">INDEX('Product Master'!$C$2:$C$21,MATCH(D555,'Product Master'!$A$2:$A$21,0))</f>
        <v>Electronics</v>
      </c>
      <c r="G555" s="15" t="n">
        <f aca="false">VALUE(TRIM('Raw Store Exports'!E555&amp;""))</f>
        <v>1</v>
      </c>
      <c r="H555" s="18" t="n">
        <f aca="false">INDEX('Product Master'!$D$2:$D$21,MATCH(D555,'Product Master'!$A$2:$A$21,0))</f>
        <v>79</v>
      </c>
      <c r="I555" s="14" t="n">
        <f aca="false">G555*H555</f>
        <v>79</v>
      </c>
      <c r="J555" s="0" t="str">
        <f aca="false">IF(COUNTIF($A$2:A555,A555)&gt;1,"Duplicate","")</f>
        <v/>
      </c>
    </row>
    <row r="556" customFormat="false" ht="15" hidden="false" customHeight="false" outlineLevel="0" collapsed="false">
      <c r="A556" s="0" t="str">
        <f aca="false">'Raw Store Exports'!A556</f>
        <v>TXN00439</v>
      </c>
      <c r="B556" s="17" t="n">
        <f aca="false">'Raw Store Exports'!C556</f>
        <v>46048</v>
      </c>
      <c r="C556" s="0" t="str">
        <f aca="false">INDEX('Store Mapping'!$C$2:$C$19,MATCH(TRIM('Raw Store Exports'!B556),'Store Mapping'!$A$2:$A$19,0))</f>
        <v>Downtown</v>
      </c>
      <c r="D556" s="0" t="str">
        <f aca="false">'Raw Store Exports'!D556</f>
        <v>HOM-504</v>
      </c>
      <c r="E556" s="0" t="str">
        <f aca="false">INDEX('Product Master'!$B$2:$B$21,MATCH(D556,'Product Master'!$A$2:$A$21,0))</f>
        <v>Bamboo Cutting Board</v>
      </c>
      <c r="F556" s="0" t="str">
        <f aca="false">INDEX('Product Master'!$C$2:$C$21,MATCH(D556,'Product Master'!$A$2:$A$21,0))</f>
        <v>Home Goods</v>
      </c>
      <c r="G556" s="15" t="n">
        <f aca="false">VALUE(TRIM('Raw Store Exports'!E556&amp;""))</f>
        <v>3</v>
      </c>
      <c r="H556" s="18" t="n">
        <f aca="false">INDEX('Product Master'!$D$2:$D$21,MATCH(D556,'Product Master'!$A$2:$A$21,0))</f>
        <v>27</v>
      </c>
      <c r="I556" s="14" t="n">
        <f aca="false">G556*H556</f>
        <v>81</v>
      </c>
      <c r="J556" s="0" t="str">
        <f aca="false">IF(COUNTIF($A$2:A556,A556)&gt;1,"Duplicate","")</f>
        <v/>
      </c>
    </row>
    <row r="557" customFormat="false" ht="15" hidden="false" customHeight="false" outlineLevel="0" collapsed="false">
      <c r="A557" s="0" t="str">
        <f aca="false">'Raw Store Exports'!A557</f>
        <v>TXN00612</v>
      </c>
      <c r="B557" s="17" t="n">
        <f aca="false">'Raw Store Exports'!C557</f>
        <v>46056</v>
      </c>
      <c r="C557" s="0" t="str">
        <f aca="false">INDEX('Store Mapping'!$C$2:$C$19,MATCH(TRIM('Raw Store Exports'!B557),'Store Mapping'!$A$2:$A$19,0))</f>
        <v>Downtown</v>
      </c>
      <c r="D557" s="0" t="str">
        <f aca="false">'Raw Store Exports'!D557</f>
        <v>ACC-302</v>
      </c>
      <c r="E557" s="0" t="str">
        <f aca="false">INDEX('Product Master'!$B$2:$B$21,MATCH(D557,'Product Master'!$A$2:$A$21,0))</f>
        <v>Aviator Sunglasses</v>
      </c>
      <c r="F557" s="0" t="str">
        <f aca="false">INDEX('Product Master'!$C$2:$C$21,MATCH(D557,'Product Master'!$A$2:$A$21,0))</f>
        <v>Accessories</v>
      </c>
      <c r="G557" s="15" t="n">
        <f aca="false">VALUE(TRIM('Raw Store Exports'!E557&amp;""))</f>
        <v>3</v>
      </c>
      <c r="H557" s="18" t="n">
        <f aca="false">INDEX('Product Master'!$D$2:$D$21,MATCH(D557,'Product Master'!$A$2:$A$21,0))</f>
        <v>42</v>
      </c>
      <c r="I557" s="14" t="n">
        <f aca="false">G557*H557</f>
        <v>126</v>
      </c>
      <c r="J557" s="0" t="str">
        <f aca="false">IF(COUNTIF($A$2:A557,A557)&gt;1,"Duplicate","")</f>
        <v/>
      </c>
    </row>
    <row r="558" customFormat="false" ht="15" hidden="false" customHeight="false" outlineLevel="0" collapsed="false">
      <c r="A558" s="0" t="str">
        <f aca="false">'Raw Store Exports'!A558</f>
        <v>TXN01147</v>
      </c>
      <c r="B558" s="17" t="n">
        <f aca="false">'Raw Store Exports'!C558</f>
        <v>46081</v>
      </c>
      <c r="C558" s="0" t="str">
        <f aca="false">INDEX('Store Mapping'!$C$2:$C$19,MATCH(TRIM('Raw Store Exports'!B558),'Store Mapping'!$A$2:$A$19,0))</f>
        <v>Riverside</v>
      </c>
      <c r="D558" s="0" t="str">
        <f aca="false">'Raw Store Exports'!D558</f>
        <v>APP-101</v>
      </c>
      <c r="E558" s="0" t="str">
        <f aca="false">INDEX('Product Master'!$B$2:$B$21,MATCH(D558,'Product Master'!$A$2:$A$21,0))</f>
        <v>Classic Denim Jacket</v>
      </c>
      <c r="F558" s="0" t="str">
        <f aca="false">INDEX('Product Master'!$C$2:$C$21,MATCH(D558,'Product Master'!$A$2:$A$21,0))</f>
        <v>Apparel</v>
      </c>
      <c r="G558" s="15" t="n">
        <f aca="false">VALUE(TRIM('Raw Store Exports'!E558&amp;""))</f>
        <v>4</v>
      </c>
      <c r="H558" s="18" t="n">
        <f aca="false">INDEX('Product Master'!$D$2:$D$21,MATCH(D558,'Product Master'!$A$2:$A$21,0))</f>
        <v>68</v>
      </c>
      <c r="I558" s="14" t="n">
        <f aca="false">G558*H558</f>
        <v>272</v>
      </c>
      <c r="J558" s="0" t="str">
        <f aca="false">IF(COUNTIF($A$2:A558,A558)&gt;1,"Duplicate","")</f>
        <v/>
      </c>
    </row>
    <row r="559" customFormat="false" ht="15" hidden="false" customHeight="false" outlineLevel="0" collapsed="false">
      <c r="A559" s="0" t="str">
        <f aca="false">'Raw Store Exports'!A559</f>
        <v>TXN01143</v>
      </c>
      <c r="B559" s="17" t="n">
        <f aca="false">'Raw Store Exports'!C559</f>
        <v>46077</v>
      </c>
      <c r="C559" s="0" t="str">
        <f aca="false">INDEX('Store Mapping'!$C$2:$C$19,MATCH(TRIM('Raw Store Exports'!B559),'Store Mapping'!$A$2:$A$19,0))</f>
        <v>Northpark</v>
      </c>
      <c r="D559" s="0" t="str">
        <f aca="false">'Raw Store Exports'!D559</f>
        <v>APP-103</v>
      </c>
      <c r="E559" s="0" t="str">
        <f aca="false">INDEX('Product Master'!$B$2:$B$21,MATCH(D559,'Product Master'!$A$2:$A$21,0))</f>
        <v>Fleece Pullover Hoodie</v>
      </c>
      <c r="F559" s="0" t="str">
        <f aca="false">INDEX('Product Master'!$C$2:$C$21,MATCH(D559,'Product Master'!$A$2:$A$21,0))</f>
        <v>Apparel</v>
      </c>
      <c r="G559" s="15" t="n">
        <f aca="false">VALUE(TRIM('Raw Store Exports'!E559&amp;""))</f>
        <v>3</v>
      </c>
      <c r="H559" s="18" t="n">
        <f aca="false">INDEX('Product Master'!$D$2:$D$21,MATCH(D559,'Product Master'!$A$2:$A$21,0))</f>
        <v>45</v>
      </c>
      <c r="I559" s="14" t="n">
        <f aca="false">G559*H559</f>
        <v>135</v>
      </c>
      <c r="J559" s="0" t="str">
        <f aca="false">IF(COUNTIF($A$2:A559,A559)&gt;1,"Duplicate","")</f>
        <v/>
      </c>
    </row>
    <row r="560" customFormat="false" ht="15" hidden="false" customHeight="false" outlineLevel="0" collapsed="false">
      <c r="A560" s="0" t="str">
        <f aca="false">'Raw Store Exports'!A560</f>
        <v>TXN00010</v>
      </c>
      <c r="B560" s="17" t="n">
        <f aca="false">'Raw Store Exports'!C560</f>
        <v>46027</v>
      </c>
      <c r="C560" s="0" t="str">
        <f aca="false">INDEX('Store Mapping'!$C$2:$C$19,MATCH(TRIM('Raw Store Exports'!B560),'Store Mapping'!$A$2:$A$19,0))</f>
        <v>Downtown</v>
      </c>
      <c r="D560" s="0" t="str">
        <f aca="false">'Raw Store Exports'!D560</f>
        <v>ELE-402</v>
      </c>
      <c r="E560" s="0" t="str">
        <f aca="false">INDEX('Product Master'!$B$2:$B$21,MATCH(D560,'Product Master'!$A$2:$A$21,0))</f>
        <v>Bluetooth Speaker</v>
      </c>
      <c r="F560" s="0" t="str">
        <f aca="false">INDEX('Product Master'!$C$2:$C$21,MATCH(D560,'Product Master'!$A$2:$A$21,0))</f>
        <v>Electronics</v>
      </c>
      <c r="G560" s="15" t="n">
        <f aca="false">VALUE(TRIM('Raw Store Exports'!E560&amp;""))</f>
        <v>3</v>
      </c>
      <c r="H560" s="18" t="n">
        <f aca="false">INDEX('Product Master'!$D$2:$D$21,MATCH(D560,'Product Master'!$A$2:$A$21,0))</f>
        <v>59</v>
      </c>
      <c r="I560" s="14" t="n">
        <f aca="false">G560*H560</f>
        <v>177</v>
      </c>
      <c r="J560" s="0" t="str">
        <f aca="false">IF(COUNTIF($A$2:A560,A560)&gt;1,"Duplicate","")</f>
        <v/>
      </c>
    </row>
    <row r="561" customFormat="false" ht="15" hidden="false" customHeight="false" outlineLevel="0" collapsed="false">
      <c r="A561" s="0" t="str">
        <f aca="false">'Raw Store Exports'!A561</f>
        <v>TXN00599</v>
      </c>
      <c r="B561" s="17" t="n">
        <f aca="false">'Raw Store Exports'!C561</f>
        <v>46061</v>
      </c>
      <c r="C561" s="0" t="str">
        <f aca="false">INDEX('Store Mapping'!$C$2:$C$19,MATCH(TRIM('Raw Store Exports'!B561),'Store Mapping'!$A$2:$A$19,0))</f>
        <v>Downtown</v>
      </c>
      <c r="D561" s="0" t="str">
        <f aca="false">'Raw Store Exports'!D561</f>
        <v>APP-102</v>
      </c>
      <c r="E561" s="0" t="str">
        <f aca="false">INDEX('Product Master'!$B$2:$B$21,MATCH(D561,'Product Master'!$A$2:$A$21,0))</f>
        <v>Cotton Crew T-Shirt</v>
      </c>
      <c r="F561" s="0" t="str">
        <f aca="false">INDEX('Product Master'!$C$2:$C$21,MATCH(D561,'Product Master'!$A$2:$A$21,0))</f>
        <v>Apparel</v>
      </c>
      <c r="G561" s="15" t="n">
        <f aca="false">VALUE(TRIM('Raw Store Exports'!E561&amp;""))</f>
        <v>6</v>
      </c>
      <c r="H561" s="18" t="n">
        <f aca="false">INDEX('Product Master'!$D$2:$D$21,MATCH(D561,'Product Master'!$A$2:$A$21,0))</f>
        <v>18</v>
      </c>
      <c r="I561" s="14" t="n">
        <f aca="false">G561*H561</f>
        <v>108</v>
      </c>
      <c r="J561" s="0" t="str">
        <f aca="false">IF(COUNTIF($A$2:A561,A561)&gt;1,"Duplicate","")</f>
        <v/>
      </c>
    </row>
    <row r="562" customFormat="false" ht="15" hidden="false" customHeight="false" outlineLevel="0" collapsed="false">
      <c r="A562" s="0" t="str">
        <f aca="false">'Raw Store Exports'!A562</f>
        <v>TXN00220</v>
      </c>
      <c r="B562" s="17" t="n">
        <f aca="false">'Raw Store Exports'!C562</f>
        <v>46040</v>
      </c>
      <c r="C562" s="0" t="str">
        <f aca="false">INDEX('Store Mapping'!$C$2:$C$19,MATCH(TRIM('Raw Store Exports'!B562),'Store Mapping'!$A$2:$A$19,0))</f>
        <v>Northpark</v>
      </c>
      <c r="D562" s="0" t="str">
        <f aca="false">'Raw Store Exports'!D562</f>
        <v>ACC-303</v>
      </c>
      <c r="E562" s="0" t="str">
        <f aca="false">INDEX('Product Master'!$B$2:$B$21,MATCH(D562,'Product Master'!$A$2:$A$21,0))</f>
        <v>Canvas Tote Bag</v>
      </c>
      <c r="F562" s="0" t="str">
        <f aca="false">INDEX('Product Master'!$C$2:$C$21,MATCH(D562,'Product Master'!$A$2:$A$21,0))</f>
        <v>Accessories</v>
      </c>
      <c r="G562" s="15" t="n">
        <f aca="false">VALUE(TRIM('Raw Store Exports'!E562&amp;""))</f>
        <v>1</v>
      </c>
      <c r="H562" s="18" t="n">
        <f aca="false">INDEX('Product Master'!$D$2:$D$21,MATCH(D562,'Product Master'!$A$2:$A$21,0))</f>
        <v>24</v>
      </c>
      <c r="I562" s="14" t="n">
        <f aca="false">G562*H562</f>
        <v>24</v>
      </c>
      <c r="J562" s="0" t="str">
        <f aca="false">IF(COUNTIF($A$2:A562,A562)&gt;1,"Duplicate","")</f>
        <v/>
      </c>
    </row>
    <row r="563" customFormat="false" ht="15" hidden="false" customHeight="false" outlineLevel="0" collapsed="false">
      <c r="A563" s="0" t="str">
        <f aca="false">'Raw Store Exports'!A563</f>
        <v>TXN00877</v>
      </c>
      <c r="B563" s="17" t="n">
        <f aca="false">'Raw Store Exports'!C563</f>
        <v>46068</v>
      </c>
      <c r="C563" s="0" t="str">
        <f aca="false">INDEX('Store Mapping'!$C$2:$C$19,MATCH(TRIM('Raw Store Exports'!B563),'Store Mapping'!$A$2:$A$19,0))</f>
        <v>Airport Plaza</v>
      </c>
      <c r="D563" s="0" t="str">
        <f aca="false">'Raw Store Exports'!D563</f>
        <v>FTW-204</v>
      </c>
      <c r="E563" s="0" t="str">
        <f aca="false">INDEX('Product Master'!$B$2:$B$21,MATCH(D563,'Product Master'!$A$2:$A$21,0))</f>
        <v>Slide Sandals</v>
      </c>
      <c r="F563" s="0" t="str">
        <f aca="false">INDEX('Product Master'!$C$2:$C$21,MATCH(D563,'Product Master'!$A$2:$A$21,0))</f>
        <v>Footwear</v>
      </c>
      <c r="G563" s="15" t="n">
        <f aca="false">VALUE(TRIM('Raw Store Exports'!E563&amp;""))</f>
        <v>6</v>
      </c>
      <c r="H563" s="18" t="n">
        <f aca="false">INDEX('Product Master'!$D$2:$D$21,MATCH(D563,'Product Master'!$A$2:$A$21,0))</f>
        <v>25</v>
      </c>
      <c r="I563" s="14" t="n">
        <f aca="false">G563*H563</f>
        <v>150</v>
      </c>
      <c r="J563" s="0" t="str">
        <f aca="false">IF(COUNTIF($A$2:A563,A563)&gt;1,"Duplicate","")</f>
        <v/>
      </c>
    </row>
    <row r="564" customFormat="false" ht="15" hidden="false" customHeight="false" outlineLevel="0" collapsed="false">
      <c r="A564" s="0" t="str">
        <f aca="false">'Raw Store Exports'!A564</f>
        <v>TXN01060</v>
      </c>
      <c r="B564" s="17" t="n">
        <f aca="false">'Raw Store Exports'!C564</f>
        <v>46078</v>
      </c>
      <c r="C564" s="0" t="str">
        <f aca="false">INDEX('Store Mapping'!$C$2:$C$19,MATCH(TRIM('Raw Store Exports'!B564),'Store Mapping'!$A$2:$A$19,0))</f>
        <v>Downtown</v>
      </c>
      <c r="D564" s="0" t="str">
        <f aca="false">'Raw Store Exports'!D564</f>
        <v>ACC-301</v>
      </c>
      <c r="E564" s="0" t="str">
        <f aca="false">INDEX('Product Master'!$B$2:$B$21,MATCH(D564,'Product Master'!$A$2:$A$21,0))</f>
        <v>Leather Belt</v>
      </c>
      <c r="F564" s="0" t="str">
        <f aca="false">INDEX('Product Master'!$C$2:$C$21,MATCH(D564,'Product Master'!$A$2:$A$21,0))</f>
        <v>Accessories</v>
      </c>
      <c r="G564" s="15" t="n">
        <f aca="false">VALUE(TRIM('Raw Store Exports'!E564&amp;""))</f>
        <v>5</v>
      </c>
      <c r="H564" s="18" t="n">
        <f aca="false">INDEX('Product Master'!$D$2:$D$21,MATCH(D564,'Product Master'!$A$2:$A$21,0))</f>
        <v>30</v>
      </c>
      <c r="I564" s="14" t="n">
        <f aca="false">G564*H564</f>
        <v>150</v>
      </c>
      <c r="J564" s="0" t="str">
        <f aca="false">IF(COUNTIF($A$2:A564,A564)&gt;1,"Duplicate","")</f>
        <v/>
      </c>
    </row>
    <row r="565" customFormat="false" ht="15" hidden="false" customHeight="false" outlineLevel="0" collapsed="false">
      <c r="A565" s="0" t="str">
        <f aca="false">'Raw Store Exports'!A565</f>
        <v>TXN00401</v>
      </c>
      <c r="B565" s="17" t="n">
        <f aca="false">'Raw Store Exports'!C565</f>
        <v>46046</v>
      </c>
      <c r="C565" s="0" t="str">
        <f aca="false">INDEX('Store Mapping'!$C$2:$C$19,MATCH(TRIM('Raw Store Exports'!B565),'Store Mapping'!$A$2:$A$19,0))</f>
        <v>Airport Plaza</v>
      </c>
      <c r="D565" s="0" t="str">
        <f aca="false">'Raw Store Exports'!D565</f>
        <v>APP-103</v>
      </c>
      <c r="E565" s="0" t="str">
        <f aca="false">INDEX('Product Master'!$B$2:$B$21,MATCH(D565,'Product Master'!$A$2:$A$21,0))</f>
        <v>Fleece Pullover Hoodie</v>
      </c>
      <c r="F565" s="0" t="str">
        <f aca="false">INDEX('Product Master'!$C$2:$C$21,MATCH(D565,'Product Master'!$A$2:$A$21,0))</f>
        <v>Apparel</v>
      </c>
      <c r="G565" s="15" t="n">
        <f aca="false">VALUE(TRIM('Raw Store Exports'!E565&amp;""))</f>
        <v>6</v>
      </c>
      <c r="H565" s="18" t="n">
        <f aca="false">INDEX('Product Master'!$D$2:$D$21,MATCH(D565,'Product Master'!$A$2:$A$21,0))</f>
        <v>45</v>
      </c>
      <c r="I565" s="14" t="n">
        <f aca="false">G565*H565</f>
        <v>270</v>
      </c>
      <c r="J565" s="0" t="str">
        <f aca="false">IF(COUNTIF($A$2:A565,A565)&gt;1,"Duplicate","")</f>
        <v/>
      </c>
    </row>
    <row r="566" customFormat="false" ht="15" hidden="false" customHeight="false" outlineLevel="0" collapsed="false">
      <c r="A566" s="0" t="str">
        <f aca="false">'Raw Store Exports'!A566</f>
        <v>TXN00360</v>
      </c>
      <c r="B566" s="17" t="n">
        <f aca="false">'Raw Store Exports'!C566</f>
        <v>46046</v>
      </c>
      <c r="C566" s="0" t="str">
        <f aca="false">INDEX('Store Mapping'!$C$2:$C$19,MATCH(TRIM('Raw Store Exports'!B566),'Store Mapping'!$A$2:$A$19,0))</f>
        <v>Northpark</v>
      </c>
      <c r="D566" s="0" t="str">
        <f aca="false">'Raw Store Exports'!D566</f>
        <v>HOM-504</v>
      </c>
      <c r="E566" s="0" t="str">
        <f aca="false">INDEX('Product Master'!$B$2:$B$21,MATCH(D566,'Product Master'!$A$2:$A$21,0))</f>
        <v>Bamboo Cutting Board</v>
      </c>
      <c r="F566" s="0" t="str">
        <f aca="false">INDEX('Product Master'!$C$2:$C$21,MATCH(D566,'Product Master'!$A$2:$A$21,0))</f>
        <v>Home Goods</v>
      </c>
      <c r="G566" s="15" t="n">
        <f aca="false">VALUE(TRIM('Raw Store Exports'!E566&amp;""))</f>
        <v>4</v>
      </c>
      <c r="H566" s="18" t="n">
        <f aca="false">INDEX('Product Master'!$D$2:$D$21,MATCH(D566,'Product Master'!$A$2:$A$21,0))</f>
        <v>27</v>
      </c>
      <c r="I566" s="14" t="n">
        <f aca="false">G566*H566</f>
        <v>108</v>
      </c>
      <c r="J566" s="0" t="str">
        <f aca="false">IF(COUNTIF($A$2:A566,A566)&gt;1,"Duplicate","")</f>
        <v/>
      </c>
    </row>
    <row r="567" customFormat="false" ht="15" hidden="false" customHeight="false" outlineLevel="0" collapsed="false">
      <c r="A567" s="0" t="str">
        <f aca="false">'Raw Store Exports'!A567</f>
        <v>TXN00270</v>
      </c>
      <c r="B567" s="17" t="n">
        <f aca="false">'Raw Store Exports'!C567</f>
        <v>46038</v>
      </c>
      <c r="C567" s="0" t="str">
        <f aca="false">INDEX('Store Mapping'!$C$2:$C$19,MATCH(TRIM('Raw Store Exports'!B567),'Store Mapping'!$A$2:$A$19,0))</f>
        <v>Airport Plaza</v>
      </c>
      <c r="D567" s="0" t="str">
        <f aca="false">'Raw Store Exports'!D567</f>
        <v>ELE-403</v>
      </c>
      <c r="E567" s="0" t="str">
        <f aca="false">INDEX('Product Master'!$B$2:$B$21,MATCH(D567,'Product Master'!$A$2:$A$21,0))</f>
        <v>Fitness Tracker Band</v>
      </c>
      <c r="F567" s="0" t="str">
        <f aca="false">INDEX('Product Master'!$C$2:$C$21,MATCH(D567,'Product Master'!$A$2:$A$21,0))</f>
        <v>Electronics</v>
      </c>
      <c r="G567" s="15" t="n">
        <f aca="false">VALUE(TRIM('Raw Store Exports'!E567&amp;""))</f>
        <v>6</v>
      </c>
      <c r="H567" s="18" t="n">
        <f aca="false">INDEX('Product Master'!$D$2:$D$21,MATCH(D567,'Product Master'!$A$2:$A$21,0))</f>
        <v>99</v>
      </c>
      <c r="I567" s="14" t="n">
        <f aca="false">G567*H567</f>
        <v>594</v>
      </c>
      <c r="J567" s="0" t="str">
        <f aca="false">IF(COUNTIF($A$2:A567,A567)&gt;1,"Duplicate","")</f>
        <v/>
      </c>
    </row>
    <row r="568" customFormat="false" ht="15" hidden="false" customHeight="false" outlineLevel="0" collapsed="false">
      <c r="A568" s="0" t="str">
        <f aca="false">'Raw Store Exports'!A568</f>
        <v>TXN01029</v>
      </c>
      <c r="B568" s="17" t="n">
        <f aca="false">'Raw Store Exports'!C568</f>
        <v>46073</v>
      </c>
      <c r="C568" s="0" t="str">
        <f aca="false">INDEX('Store Mapping'!$C$2:$C$19,MATCH(TRIM('Raw Store Exports'!B568),'Store Mapping'!$A$2:$A$19,0))</f>
        <v>Airport Plaza</v>
      </c>
      <c r="D568" s="0" t="str">
        <f aca="false">'Raw Store Exports'!D568</f>
        <v>APP-102</v>
      </c>
      <c r="E568" s="0" t="str">
        <f aca="false">INDEX('Product Master'!$B$2:$B$21,MATCH(D568,'Product Master'!$A$2:$A$21,0))</f>
        <v>Cotton Crew T-Shirt</v>
      </c>
      <c r="F568" s="0" t="str">
        <f aca="false">INDEX('Product Master'!$C$2:$C$21,MATCH(D568,'Product Master'!$A$2:$A$21,0))</f>
        <v>Apparel</v>
      </c>
      <c r="G568" s="15" t="n">
        <f aca="false">VALUE(TRIM('Raw Store Exports'!E568&amp;""))</f>
        <v>1</v>
      </c>
      <c r="H568" s="18" t="n">
        <f aca="false">INDEX('Product Master'!$D$2:$D$21,MATCH(D568,'Product Master'!$A$2:$A$21,0))</f>
        <v>18</v>
      </c>
      <c r="I568" s="14" t="n">
        <f aca="false">G568*H568</f>
        <v>18</v>
      </c>
      <c r="J568" s="0" t="str">
        <f aca="false">IF(COUNTIF($A$2:A568,A568)&gt;1,"Duplicate","")</f>
        <v/>
      </c>
    </row>
    <row r="569" customFormat="false" ht="15" hidden="false" customHeight="false" outlineLevel="0" collapsed="false">
      <c r="A569" s="0" t="str">
        <f aca="false">'Raw Store Exports'!A569</f>
        <v>TXN00837</v>
      </c>
      <c r="B569" s="17" t="n">
        <f aca="false">'Raw Store Exports'!C569</f>
        <v>46068</v>
      </c>
      <c r="C569" s="0" t="str">
        <f aca="false">INDEX('Store Mapping'!$C$2:$C$19,MATCH(TRIM('Raw Store Exports'!B569),'Store Mapping'!$A$2:$A$19,0))</f>
        <v>Northpark</v>
      </c>
      <c r="D569" s="0" t="str">
        <f aca="false">'Raw Store Exports'!D569</f>
        <v>FTW-202</v>
      </c>
      <c r="E569" s="0" t="str">
        <f aca="false">INDEX('Product Master'!$B$2:$B$21,MATCH(D569,'Product Master'!$A$2:$A$21,0))</f>
        <v>Canvas Low-Top</v>
      </c>
      <c r="F569" s="0" t="str">
        <f aca="false">INDEX('Product Master'!$C$2:$C$21,MATCH(D569,'Product Master'!$A$2:$A$21,0))</f>
        <v>Footwear</v>
      </c>
      <c r="G569" s="15" t="n">
        <f aca="false">VALUE(TRIM('Raw Store Exports'!E569&amp;""))</f>
        <v>2</v>
      </c>
      <c r="H569" s="18" t="n">
        <f aca="false">INDEX('Product Master'!$D$2:$D$21,MATCH(D569,'Product Master'!$A$2:$A$21,0))</f>
        <v>55</v>
      </c>
      <c r="I569" s="14" t="n">
        <f aca="false">G569*H569</f>
        <v>110</v>
      </c>
      <c r="J569" s="0" t="str">
        <f aca="false">IF(COUNTIF($A$2:A569,A569)&gt;1,"Duplicate","")</f>
        <v/>
      </c>
    </row>
    <row r="570" customFormat="false" ht="15" hidden="false" customHeight="false" outlineLevel="0" collapsed="false">
      <c r="A570" s="0" t="str">
        <f aca="false">'Raw Store Exports'!A570</f>
        <v>TXN01093</v>
      </c>
      <c r="B570" s="17" t="n">
        <f aca="false">'Raw Store Exports'!C570</f>
        <v>46076</v>
      </c>
      <c r="C570" s="0" t="str">
        <f aca="false">INDEX('Store Mapping'!$C$2:$C$19,MATCH(TRIM('Raw Store Exports'!B570),'Store Mapping'!$A$2:$A$19,0))</f>
        <v>Westside Mall</v>
      </c>
      <c r="D570" s="0" t="str">
        <f aca="false">'Raw Store Exports'!D570</f>
        <v>FTW-204</v>
      </c>
      <c r="E570" s="0" t="str">
        <f aca="false">INDEX('Product Master'!$B$2:$B$21,MATCH(D570,'Product Master'!$A$2:$A$21,0))</f>
        <v>Slide Sandals</v>
      </c>
      <c r="F570" s="0" t="str">
        <f aca="false">INDEX('Product Master'!$C$2:$C$21,MATCH(D570,'Product Master'!$A$2:$A$21,0))</f>
        <v>Footwear</v>
      </c>
      <c r="G570" s="15" t="n">
        <f aca="false">VALUE(TRIM('Raw Store Exports'!E570&amp;""))</f>
        <v>1</v>
      </c>
      <c r="H570" s="18" t="n">
        <f aca="false">INDEX('Product Master'!$D$2:$D$21,MATCH(D570,'Product Master'!$A$2:$A$21,0))</f>
        <v>25</v>
      </c>
      <c r="I570" s="14" t="n">
        <f aca="false">G570*H570</f>
        <v>25</v>
      </c>
      <c r="J570" s="0" t="str">
        <f aca="false">IF(COUNTIF($A$2:A570,A570)&gt;1,"Duplicate","")</f>
        <v/>
      </c>
    </row>
    <row r="571" customFormat="false" ht="15" hidden="false" customHeight="false" outlineLevel="0" collapsed="false">
      <c r="A571" s="0" t="str">
        <f aca="false">'Raw Store Exports'!A571</f>
        <v>TXN01115</v>
      </c>
      <c r="B571" s="17" t="n">
        <f aca="false">'Raw Store Exports'!C571</f>
        <v>46081</v>
      </c>
      <c r="C571" s="0" t="str">
        <f aca="false">INDEX('Store Mapping'!$C$2:$C$19,MATCH(TRIM('Raw Store Exports'!B571),'Store Mapping'!$A$2:$A$19,0))</f>
        <v>Eastgate</v>
      </c>
      <c r="D571" s="0" t="str">
        <f aca="false">'Raw Store Exports'!D571</f>
        <v>ACC-304</v>
      </c>
      <c r="E571" s="0" t="str">
        <f aca="false">INDEX('Product Master'!$B$2:$B$21,MATCH(D571,'Product Master'!$A$2:$A$21,0))</f>
        <v>Wool Beanie</v>
      </c>
      <c r="F571" s="0" t="str">
        <f aca="false">INDEX('Product Master'!$C$2:$C$21,MATCH(D571,'Product Master'!$A$2:$A$21,0))</f>
        <v>Accessories</v>
      </c>
      <c r="G571" s="15" t="n">
        <f aca="false">VALUE(TRIM('Raw Store Exports'!E571&amp;""))</f>
        <v>6</v>
      </c>
      <c r="H571" s="18" t="n">
        <f aca="false">INDEX('Product Master'!$D$2:$D$21,MATCH(D571,'Product Master'!$A$2:$A$21,0))</f>
        <v>16</v>
      </c>
      <c r="I571" s="14" t="n">
        <f aca="false">G571*H571</f>
        <v>96</v>
      </c>
      <c r="J571" s="0" t="str">
        <f aca="false">IF(COUNTIF($A$2:A571,A571)&gt;1,"Duplicate","")</f>
        <v/>
      </c>
    </row>
    <row r="572" customFormat="false" ht="15" hidden="false" customHeight="false" outlineLevel="0" collapsed="false">
      <c r="A572" s="0" t="str">
        <f aca="false">'Raw Store Exports'!A572</f>
        <v>TXN00078</v>
      </c>
      <c r="B572" s="17" t="n">
        <f aca="false">'Raw Store Exports'!C572</f>
        <v>46032</v>
      </c>
      <c r="C572" s="0" t="str">
        <f aca="false">INDEX('Store Mapping'!$C$2:$C$19,MATCH(TRIM('Raw Store Exports'!B572),'Store Mapping'!$A$2:$A$19,0))</f>
        <v>Northpark</v>
      </c>
      <c r="D572" s="0" t="str">
        <f aca="false">'Raw Store Exports'!D572</f>
        <v>HOM-503</v>
      </c>
      <c r="E572" s="0" t="str">
        <f aca="false">INDEX('Product Master'!$B$2:$B$21,MATCH(D572,'Product Master'!$A$2:$A$21,0))</f>
        <v>Cotton Throw Blanket</v>
      </c>
      <c r="F572" s="0" t="str">
        <f aca="false">INDEX('Product Master'!$C$2:$C$21,MATCH(D572,'Product Master'!$A$2:$A$21,0))</f>
        <v>Home Goods</v>
      </c>
      <c r="G572" s="15" t="n">
        <f aca="false">VALUE(TRIM('Raw Store Exports'!E572&amp;""))</f>
        <v>3</v>
      </c>
      <c r="H572" s="18" t="n">
        <f aca="false">INDEX('Product Master'!$D$2:$D$21,MATCH(D572,'Product Master'!$A$2:$A$21,0))</f>
        <v>38</v>
      </c>
      <c r="I572" s="14" t="n">
        <f aca="false">G572*H572</f>
        <v>114</v>
      </c>
      <c r="J572" s="0" t="str">
        <f aca="false">IF(COUNTIF($A$2:A572,A572)&gt;1,"Duplicate","")</f>
        <v/>
      </c>
    </row>
    <row r="573" customFormat="false" ht="15" hidden="false" customHeight="false" outlineLevel="0" collapsed="false">
      <c r="A573" s="0" t="str">
        <f aca="false">'Raw Store Exports'!A573</f>
        <v>TXN00051</v>
      </c>
      <c r="B573" s="17" t="n">
        <f aca="false">'Raw Store Exports'!C573</f>
        <v>46027</v>
      </c>
      <c r="C573" s="0" t="str">
        <f aca="false">INDEX('Store Mapping'!$C$2:$C$19,MATCH(TRIM('Raw Store Exports'!B573),'Store Mapping'!$A$2:$A$19,0))</f>
        <v>Eastgate</v>
      </c>
      <c r="D573" s="0" t="str">
        <f aca="false">'Raw Store Exports'!D573</f>
        <v>HOM-503</v>
      </c>
      <c r="E573" s="0" t="str">
        <f aca="false">INDEX('Product Master'!$B$2:$B$21,MATCH(D573,'Product Master'!$A$2:$A$21,0))</f>
        <v>Cotton Throw Blanket</v>
      </c>
      <c r="F573" s="0" t="str">
        <f aca="false">INDEX('Product Master'!$C$2:$C$21,MATCH(D573,'Product Master'!$A$2:$A$21,0))</f>
        <v>Home Goods</v>
      </c>
      <c r="G573" s="15" t="n">
        <f aca="false">VALUE(TRIM('Raw Store Exports'!E573&amp;""))</f>
        <v>5</v>
      </c>
      <c r="H573" s="18" t="n">
        <f aca="false">INDEX('Product Master'!$D$2:$D$21,MATCH(D573,'Product Master'!$A$2:$A$21,0))</f>
        <v>38</v>
      </c>
      <c r="I573" s="14" t="n">
        <f aca="false">G573*H573</f>
        <v>190</v>
      </c>
      <c r="J573" s="0" t="str">
        <f aca="false">IF(COUNTIF($A$2:A573,A573)&gt;1,"Duplicate","")</f>
        <v/>
      </c>
    </row>
    <row r="574" customFormat="false" ht="15" hidden="false" customHeight="false" outlineLevel="0" collapsed="false">
      <c r="A574" s="0" t="str">
        <f aca="false">'Raw Store Exports'!A574</f>
        <v>TXN00117</v>
      </c>
      <c r="B574" s="17" t="n">
        <f aca="false">'Raw Store Exports'!C574</f>
        <v>46028</v>
      </c>
      <c r="C574" s="0" t="str">
        <f aca="false">INDEX('Store Mapping'!$C$2:$C$19,MATCH(TRIM('Raw Store Exports'!B574),'Store Mapping'!$A$2:$A$19,0))</f>
        <v>Riverside</v>
      </c>
      <c r="D574" s="0" t="str">
        <f aca="false">'Raw Store Exports'!D574</f>
        <v>ACC-303</v>
      </c>
      <c r="E574" s="0" t="str">
        <f aca="false">INDEX('Product Master'!$B$2:$B$21,MATCH(D574,'Product Master'!$A$2:$A$21,0))</f>
        <v>Canvas Tote Bag</v>
      </c>
      <c r="F574" s="0" t="str">
        <f aca="false">INDEX('Product Master'!$C$2:$C$21,MATCH(D574,'Product Master'!$A$2:$A$21,0))</f>
        <v>Accessories</v>
      </c>
      <c r="G574" s="15" t="n">
        <f aca="false">VALUE(TRIM('Raw Store Exports'!E574&amp;""))</f>
        <v>4</v>
      </c>
      <c r="H574" s="18" t="n">
        <f aca="false">INDEX('Product Master'!$D$2:$D$21,MATCH(D574,'Product Master'!$A$2:$A$21,0))</f>
        <v>24</v>
      </c>
      <c r="I574" s="14" t="n">
        <f aca="false">G574*H574</f>
        <v>96</v>
      </c>
      <c r="J574" s="0" t="str">
        <f aca="false">IF(COUNTIF($A$2:A574,A574)&gt;1,"Duplicate","")</f>
        <v/>
      </c>
    </row>
    <row r="575" customFormat="false" ht="15" hidden="false" customHeight="false" outlineLevel="0" collapsed="false">
      <c r="A575" s="0" t="str">
        <f aca="false">'Raw Store Exports'!A575</f>
        <v>TXN00304</v>
      </c>
      <c r="B575" s="17" t="n">
        <f aca="false">'Raw Store Exports'!C575</f>
        <v>46045</v>
      </c>
      <c r="C575" s="0" t="str">
        <f aca="false">INDEX('Store Mapping'!$C$2:$C$19,MATCH(TRIM('Raw Store Exports'!B575),'Store Mapping'!$A$2:$A$19,0))</f>
        <v>Westside Mall</v>
      </c>
      <c r="D575" s="0" t="str">
        <f aca="false">'Raw Store Exports'!D575</f>
        <v>FTW-204</v>
      </c>
      <c r="E575" s="0" t="str">
        <f aca="false">INDEX('Product Master'!$B$2:$B$21,MATCH(D575,'Product Master'!$A$2:$A$21,0))</f>
        <v>Slide Sandals</v>
      </c>
      <c r="F575" s="0" t="str">
        <f aca="false">INDEX('Product Master'!$C$2:$C$21,MATCH(D575,'Product Master'!$A$2:$A$21,0))</f>
        <v>Footwear</v>
      </c>
      <c r="G575" s="15" t="n">
        <f aca="false">VALUE(TRIM('Raw Store Exports'!E575&amp;""))</f>
        <v>2</v>
      </c>
      <c r="H575" s="18" t="n">
        <f aca="false">INDEX('Product Master'!$D$2:$D$21,MATCH(D575,'Product Master'!$A$2:$A$21,0))</f>
        <v>25</v>
      </c>
      <c r="I575" s="14" t="n">
        <f aca="false">G575*H575</f>
        <v>50</v>
      </c>
      <c r="J575" s="0" t="str">
        <f aca="false">IF(COUNTIF($A$2:A575,A575)&gt;1,"Duplicate","")</f>
        <v/>
      </c>
    </row>
    <row r="576" customFormat="false" ht="15" hidden="false" customHeight="false" outlineLevel="0" collapsed="false">
      <c r="A576" s="0" t="str">
        <f aca="false">'Raw Store Exports'!A576</f>
        <v>TXN00580</v>
      </c>
      <c r="B576" s="17" t="n">
        <f aca="false">'Raw Store Exports'!C576</f>
        <v>46050</v>
      </c>
      <c r="C576" s="0" t="str">
        <f aca="false">INDEX('Store Mapping'!$C$2:$C$19,MATCH(TRIM('Raw Store Exports'!B576),'Store Mapping'!$A$2:$A$19,0))</f>
        <v>Airport Plaza</v>
      </c>
      <c r="D576" s="0" t="str">
        <f aca="false">'Raw Store Exports'!D576</f>
        <v>HOM-501</v>
      </c>
      <c r="E576" s="0" t="str">
        <f aca="false">INDEX('Product Master'!$B$2:$B$21,MATCH(D576,'Product Master'!$A$2:$A$21,0))</f>
        <v>Ceramic Coffee Mug Set</v>
      </c>
      <c r="F576" s="0" t="str">
        <f aca="false">INDEX('Product Master'!$C$2:$C$21,MATCH(D576,'Product Master'!$A$2:$A$21,0))</f>
        <v>Home Goods</v>
      </c>
      <c r="G576" s="15" t="n">
        <f aca="false">VALUE(TRIM('Raw Store Exports'!E576&amp;""))</f>
        <v>1</v>
      </c>
      <c r="H576" s="18" t="n">
        <f aca="false">INDEX('Product Master'!$D$2:$D$21,MATCH(D576,'Product Master'!$A$2:$A$21,0))</f>
        <v>22</v>
      </c>
      <c r="I576" s="14" t="n">
        <f aca="false">G576*H576</f>
        <v>22</v>
      </c>
      <c r="J576" s="0" t="str">
        <f aca="false">IF(COUNTIF($A$2:A576,A576)&gt;1,"Duplicate","")</f>
        <v/>
      </c>
    </row>
    <row r="577" customFormat="false" ht="15" hidden="false" customHeight="false" outlineLevel="0" collapsed="false">
      <c r="A577" s="0" t="str">
        <f aca="false">'Raw Store Exports'!A577</f>
        <v>TXN00210</v>
      </c>
      <c r="B577" s="17" t="n">
        <f aca="false">'Raw Store Exports'!C577</f>
        <v>46036</v>
      </c>
      <c r="C577" s="0" t="str">
        <f aca="false">INDEX('Store Mapping'!$C$2:$C$19,MATCH(TRIM('Raw Store Exports'!B577),'Store Mapping'!$A$2:$A$19,0))</f>
        <v>Northpark</v>
      </c>
      <c r="D577" s="0" t="str">
        <f aca="false">'Raw Store Exports'!D577</f>
        <v>ELE-403</v>
      </c>
      <c r="E577" s="0" t="str">
        <f aca="false">INDEX('Product Master'!$B$2:$B$21,MATCH(D577,'Product Master'!$A$2:$A$21,0))</f>
        <v>Fitness Tracker Band</v>
      </c>
      <c r="F577" s="0" t="str">
        <f aca="false">INDEX('Product Master'!$C$2:$C$21,MATCH(D577,'Product Master'!$A$2:$A$21,0))</f>
        <v>Electronics</v>
      </c>
      <c r="G577" s="15" t="n">
        <f aca="false">VALUE(TRIM('Raw Store Exports'!E577&amp;""))</f>
        <v>5</v>
      </c>
      <c r="H577" s="18" t="n">
        <f aca="false">INDEX('Product Master'!$D$2:$D$21,MATCH(D577,'Product Master'!$A$2:$A$21,0))</f>
        <v>99</v>
      </c>
      <c r="I577" s="14" t="n">
        <f aca="false">G577*H577</f>
        <v>495</v>
      </c>
      <c r="J577" s="0" t="str">
        <f aca="false">IF(COUNTIF($A$2:A577,A577)&gt;1,"Duplicate","")</f>
        <v/>
      </c>
    </row>
    <row r="578" customFormat="false" ht="15" hidden="false" customHeight="false" outlineLevel="0" collapsed="false">
      <c r="A578" s="0" t="str">
        <f aca="false">'Raw Store Exports'!A578</f>
        <v>TXN01028</v>
      </c>
      <c r="B578" s="17" t="n">
        <f aca="false">'Raw Store Exports'!C578</f>
        <v>46072</v>
      </c>
      <c r="C578" s="0" t="str">
        <f aca="false">INDEX('Store Mapping'!$C$2:$C$19,MATCH(TRIM('Raw Store Exports'!B578),'Store Mapping'!$A$2:$A$19,0))</f>
        <v>Airport Plaza</v>
      </c>
      <c r="D578" s="0" t="str">
        <f aca="false">'Raw Store Exports'!D578</f>
        <v>ACC-303</v>
      </c>
      <c r="E578" s="0" t="str">
        <f aca="false">INDEX('Product Master'!$B$2:$B$21,MATCH(D578,'Product Master'!$A$2:$A$21,0))</f>
        <v>Canvas Tote Bag</v>
      </c>
      <c r="F578" s="0" t="str">
        <f aca="false">INDEX('Product Master'!$C$2:$C$21,MATCH(D578,'Product Master'!$A$2:$A$21,0))</f>
        <v>Accessories</v>
      </c>
      <c r="G578" s="15" t="n">
        <f aca="false">VALUE(TRIM('Raw Store Exports'!E578&amp;""))</f>
        <v>4</v>
      </c>
      <c r="H578" s="18" t="n">
        <f aca="false">INDEX('Product Master'!$D$2:$D$21,MATCH(D578,'Product Master'!$A$2:$A$21,0))</f>
        <v>24</v>
      </c>
      <c r="I578" s="14" t="n">
        <f aca="false">G578*H578</f>
        <v>96</v>
      </c>
      <c r="J578" s="0" t="str">
        <f aca="false">IF(COUNTIF($A$2:A578,A578)&gt;1,"Duplicate","")</f>
        <v/>
      </c>
    </row>
    <row r="579" customFormat="false" ht="15" hidden="false" customHeight="false" outlineLevel="0" collapsed="false">
      <c r="A579" s="0" t="str">
        <f aca="false">'Raw Store Exports'!A579</f>
        <v>TXN00455</v>
      </c>
      <c r="B579" s="17" t="n">
        <f aca="false">'Raw Store Exports'!C579</f>
        <v>46048</v>
      </c>
      <c r="C579" s="0" t="str">
        <f aca="false">INDEX('Store Mapping'!$C$2:$C$19,MATCH(TRIM('Raw Store Exports'!B579),'Store Mapping'!$A$2:$A$19,0))</f>
        <v>Downtown</v>
      </c>
      <c r="D579" s="0" t="str">
        <f aca="false">'Raw Store Exports'!D579</f>
        <v>ACC-301</v>
      </c>
      <c r="E579" s="0" t="str">
        <f aca="false">INDEX('Product Master'!$B$2:$B$21,MATCH(D579,'Product Master'!$A$2:$A$21,0))</f>
        <v>Leather Belt</v>
      </c>
      <c r="F579" s="0" t="str">
        <f aca="false">INDEX('Product Master'!$C$2:$C$21,MATCH(D579,'Product Master'!$A$2:$A$21,0))</f>
        <v>Accessories</v>
      </c>
      <c r="G579" s="15" t="n">
        <f aca="false">VALUE(TRIM('Raw Store Exports'!E579&amp;""))</f>
        <v>4</v>
      </c>
      <c r="H579" s="18" t="n">
        <f aca="false">INDEX('Product Master'!$D$2:$D$21,MATCH(D579,'Product Master'!$A$2:$A$21,0))</f>
        <v>30</v>
      </c>
      <c r="I579" s="14" t="n">
        <f aca="false">G579*H579</f>
        <v>120</v>
      </c>
      <c r="J579" s="0" t="str">
        <f aca="false">IF(COUNTIF($A$2:A579,A579)&gt;1,"Duplicate","")</f>
        <v/>
      </c>
    </row>
    <row r="580" customFormat="false" ht="15" hidden="false" customHeight="false" outlineLevel="0" collapsed="false">
      <c r="A580" s="0" t="str">
        <f aca="false">'Raw Store Exports'!A580</f>
        <v>TXN00662</v>
      </c>
      <c r="B580" s="17" t="n">
        <f aca="false">'Raw Store Exports'!C580</f>
        <v>46060</v>
      </c>
      <c r="C580" s="0" t="str">
        <f aca="false">INDEX('Store Mapping'!$C$2:$C$19,MATCH(TRIM('Raw Store Exports'!B580),'Store Mapping'!$A$2:$A$19,0))</f>
        <v>Eastgate</v>
      </c>
      <c r="D580" s="0" t="str">
        <f aca="false">'Raw Store Exports'!D580</f>
        <v>FTW-203</v>
      </c>
      <c r="E580" s="0" t="str">
        <f aca="false">INDEX('Product Master'!$B$2:$B$21,MATCH(D580,'Product Master'!$A$2:$A$21,0))</f>
        <v>Leather Ankle Boot</v>
      </c>
      <c r="F580" s="0" t="str">
        <f aca="false">INDEX('Product Master'!$C$2:$C$21,MATCH(D580,'Product Master'!$A$2:$A$21,0))</f>
        <v>Footwear</v>
      </c>
      <c r="G580" s="15" t="n">
        <f aca="false">VALUE(TRIM('Raw Store Exports'!E580&amp;""))</f>
        <v>1</v>
      </c>
      <c r="H580" s="18" t="n">
        <f aca="false">INDEX('Product Master'!$D$2:$D$21,MATCH(D580,'Product Master'!$A$2:$A$21,0))</f>
        <v>120</v>
      </c>
      <c r="I580" s="14" t="n">
        <f aca="false">G580*H580</f>
        <v>120</v>
      </c>
      <c r="J580" s="0" t="str">
        <f aca="false">IF(COUNTIF($A$2:A580,A580)&gt;1,"Duplicate","")</f>
        <v/>
      </c>
    </row>
    <row r="581" customFormat="false" ht="15" hidden="false" customHeight="false" outlineLevel="0" collapsed="false">
      <c r="A581" s="0" t="str">
        <f aca="false">'Raw Store Exports'!A581</f>
        <v>TXN00786</v>
      </c>
      <c r="B581" s="17" t="n">
        <f aca="false">'Raw Store Exports'!C581</f>
        <v>46062</v>
      </c>
      <c r="C581" s="0" t="str">
        <f aca="false">INDEX('Store Mapping'!$C$2:$C$19,MATCH(TRIM('Raw Store Exports'!B581),'Store Mapping'!$A$2:$A$19,0))</f>
        <v>Westside Mall</v>
      </c>
      <c r="D581" s="0" t="str">
        <f aca="false">'Raw Store Exports'!D581</f>
        <v>APP-101</v>
      </c>
      <c r="E581" s="0" t="str">
        <f aca="false">INDEX('Product Master'!$B$2:$B$21,MATCH(D581,'Product Master'!$A$2:$A$21,0))</f>
        <v>Classic Denim Jacket</v>
      </c>
      <c r="F581" s="0" t="str">
        <f aca="false">INDEX('Product Master'!$C$2:$C$21,MATCH(D581,'Product Master'!$A$2:$A$21,0))</f>
        <v>Apparel</v>
      </c>
      <c r="G581" s="15" t="n">
        <f aca="false">VALUE(TRIM('Raw Store Exports'!E581&amp;""))</f>
        <v>3</v>
      </c>
      <c r="H581" s="18" t="n">
        <f aca="false">INDEX('Product Master'!$D$2:$D$21,MATCH(D581,'Product Master'!$A$2:$A$21,0))</f>
        <v>68</v>
      </c>
      <c r="I581" s="14" t="n">
        <f aca="false">G581*H581</f>
        <v>204</v>
      </c>
      <c r="J581" s="0" t="str">
        <f aca="false">IF(COUNTIF($A$2:A581,A581)&gt;1,"Duplicate","")</f>
        <v/>
      </c>
    </row>
    <row r="582" customFormat="false" ht="15" hidden="false" customHeight="false" outlineLevel="0" collapsed="false">
      <c r="A582" s="0" t="str">
        <f aca="false">'Raw Store Exports'!A582</f>
        <v>TXN00643</v>
      </c>
      <c r="B582" s="17" t="n">
        <f aca="false">'Raw Store Exports'!C582</f>
        <v>46055</v>
      </c>
      <c r="C582" s="0" t="str">
        <f aca="false">INDEX('Store Mapping'!$C$2:$C$19,MATCH(TRIM('Raw Store Exports'!B582),'Store Mapping'!$A$2:$A$19,0))</f>
        <v>Westside Mall</v>
      </c>
      <c r="D582" s="0" t="str">
        <f aca="false">'Raw Store Exports'!D582</f>
        <v>FTW-201</v>
      </c>
      <c r="E582" s="0" t="str">
        <f aca="false">INDEX('Product Master'!$B$2:$B$21,MATCH(D582,'Product Master'!$A$2:$A$21,0))</f>
        <v>Running Sneakers</v>
      </c>
      <c r="F582" s="0" t="str">
        <f aca="false">INDEX('Product Master'!$C$2:$C$21,MATCH(D582,'Product Master'!$A$2:$A$21,0))</f>
        <v>Footwear</v>
      </c>
      <c r="G582" s="15" t="n">
        <f aca="false">VALUE(TRIM('Raw Store Exports'!E582&amp;""))</f>
        <v>6</v>
      </c>
      <c r="H582" s="18" t="n">
        <f aca="false">INDEX('Product Master'!$D$2:$D$21,MATCH(D582,'Product Master'!$A$2:$A$21,0))</f>
        <v>89</v>
      </c>
      <c r="I582" s="14" t="n">
        <f aca="false">G582*H582</f>
        <v>534</v>
      </c>
      <c r="J582" s="0" t="str">
        <f aca="false">IF(COUNTIF($A$2:A582,A582)&gt;1,"Duplicate","")</f>
        <v/>
      </c>
    </row>
    <row r="583" customFormat="false" ht="15" hidden="false" customHeight="false" outlineLevel="0" collapsed="false">
      <c r="A583" s="0" t="str">
        <f aca="false">'Raw Store Exports'!A583</f>
        <v>TXN00474</v>
      </c>
      <c r="B583" s="17" t="n">
        <f aca="false">'Raw Store Exports'!C583</f>
        <v>46048</v>
      </c>
      <c r="C583" s="0" t="str">
        <f aca="false">INDEX('Store Mapping'!$C$2:$C$19,MATCH(TRIM('Raw Store Exports'!B583),'Store Mapping'!$A$2:$A$19,0))</f>
        <v>Westside Mall</v>
      </c>
      <c r="D583" s="0" t="str">
        <f aca="false">'Raw Store Exports'!D583</f>
        <v>ELE-404</v>
      </c>
      <c r="E583" s="0" t="str">
        <f aca="false">INDEX('Product Master'!$B$2:$B$21,MATCH(D583,'Product Master'!$A$2:$A$21,0))</f>
        <v>Phone Charging Cable</v>
      </c>
      <c r="F583" s="0" t="str">
        <f aca="false">INDEX('Product Master'!$C$2:$C$21,MATCH(D583,'Product Master'!$A$2:$A$21,0))</f>
        <v>Electronics</v>
      </c>
      <c r="G583" s="15" t="n">
        <f aca="false">VALUE(TRIM('Raw Store Exports'!E583&amp;""))</f>
        <v>3</v>
      </c>
      <c r="H583" s="18" t="n">
        <f aca="false">INDEX('Product Master'!$D$2:$D$21,MATCH(D583,'Product Master'!$A$2:$A$21,0))</f>
        <v>12</v>
      </c>
      <c r="I583" s="14" t="n">
        <f aca="false">G583*H583</f>
        <v>36</v>
      </c>
      <c r="J583" s="0" t="str">
        <f aca="false">IF(COUNTIF($A$2:A583,A583)&gt;1,"Duplicate","")</f>
        <v/>
      </c>
    </row>
    <row r="584" customFormat="false" ht="15" hidden="false" customHeight="false" outlineLevel="0" collapsed="false">
      <c r="A584" s="0" t="str">
        <f aca="false">'Raw Store Exports'!A584</f>
        <v>TXN00173</v>
      </c>
      <c r="B584" s="17" t="n">
        <f aca="false">'Raw Store Exports'!C584</f>
        <v>46039</v>
      </c>
      <c r="C584" s="0" t="str">
        <f aca="false">INDEX('Store Mapping'!$C$2:$C$19,MATCH(TRIM('Raw Store Exports'!B584),'Store Mapping'!$A$2:$A$19,0))</f>
        <v>Westside Mall</v>
      </c>
      <c r="D584" s="0" t="str">
        <f aca="false">'Raw Store Exports'!D584</f>
        <v>ELE-404</v>
      </c>
      <c r="E584" s="0" t="str">
        <f aca="false">INDEX('Product Master'!$B$2:$B$21,MATCH(D584,'Product Master'!$A$2:$A$21,0))</f>
        <v>Phone Charging Cable</v>
      </c>
      <c r="F584" s="0" t="str">
        <f aca="false">INDEX('Product Master'!$C$2:$C$21,MATCH(D584,'Product Master'!$A$2:$A$21,0))</f>
        <v>Electronics</v>
      </c>
      <c r="G584" s="15" t="n">
        <f aca="false">VALUE(TRIM('Raw Store Exports'!E584&amp;""))</f>
        <v>4</v>
      </c>
      <c r="H584" s="18" t="n">
        <f aca="false">INDEX('Product Master'!$D$2:$D$21,MATCH(D584,'Product Master'!$A$2:$A$21,0))</f>
        <v>12</v>
      </c>
      <c r="I584" s="14" t="n">
        <f aca="false">G584*H584</f>
        <v>48</v>
      </c>
      <c r="J584" s="0" t="str">
        <f aca="false">IF(COUNTIF($A$2:A584,A584)&gt;1,"Duplicate","")</f>
        <v/>
      </c>
    </row>
    <row r="585" customFormat="false" ht="15" hidden="false" customHeight="false" outlineLevel="0" collapsed="false">
      <c r="A585" s="0" t="str">
        <f aca="false">'Raw Store Exports'!A585</f>
        <v>TXN01121</v>
      </c>
      <c r="B585" s="17" t="n">
        <f aca="false">'Raw Store Exports'!C585</f>
        <v>46076</v>
      </c>
      <c r="C585" s="0" t="str">
        <f aca="false">INDEX('Store Mapping'!$C$2:$C$19,MATCH(TRIM('Raw Store Exports'!B585),'Store Mapping'!$A$2:$A$19,0))</f>
        <v>Eastgate</v>
      </c>
      <c r="D585" s="0" t="str">
        <f aca="false">'Raw Store Exports'!D585</f>
        <v>HOM-502</v>
      </c>
      <c r="E585" s="0" t="str">
        <f aca="false">INDEX('Product Master'!$B$2:$B$21,MATCH(D585,'Product Master'!$A$2:$A$21,0))</f>
        <v>Scented Candle</v>
      </c>
      <c r="F585" s="0" t="str">
        <f aca="false">INDEX('Product Master'!$C$2:$C$21,MATCH(D585,'Product Master'!$A$2:$A$21,0))</f>
        <v>Home Goods</v>
      </c>
      <c r="G585" s="15" t="n">
        <f aca="false">VALUE(TRIM('Raw Store Exports'!E585&amp;""))</f>
        <v>1</v>
      </c>
      <c r="H585" s="18" t="n">
        <f aca="false">INDEX('Product Master'!$D$2:$D$21,MATCH(D585,'Product Master'!$A$2:$A$21,0))</f>
        <v>15</v>
      </c>
      <c r="I585" s="14" t="n">
        <f aca="false">G585*H585</f>
        <v>15</v>
      </c>
      <c r="J585" s="0" t="str">
        <f aca="false">IF(COUNTIF($A$2:A585,A585)&gt;1,"Duplicate","")</f>
        <v/>
      </c>
    </row>
    <row r="586" customFormat="false" ht="15" hidden="false" customHeight="false" outlineLevel="0" collapsed="false">
      <c r="A586" s="0" t="str">
        <f aca="false">'Raw Store Exports'!A586</f>
        <v>TXN00592</v>
      </c>
      <c r="B586" s="17" t="n">
        <f aca="false">'Raw Store Exports'!C586</f>
        <v>46058</v>
      </c>
      <c r="C586" s="0" t="str">
        <f aca="false">INDEX('Store Mapping'!$C$2:$C$19,MATCH(TRIM('Raw Store Exports'!B586),'Store Mapping'!$A$2:$A$19,0))</f>
        <v>Downtown</v>
      </c>
      <c r="D586" s="0" t="str">
        <f aca="false">'Raw Store Exports'!D586</f>
        <v>APP-103</v>
      </c>
      <c r="E586" s="0" t="str">
        <f aca="false">INDEX('Product Master'!$B$2:$B$21,MATCH(D586,'Product Master'!$A$2:$A$21,0))</f>
        <v>Fleece Pullover Hoodie</v>
      </c>
      <c r="F586" s="0" t="str">
        <f aca="false">INDEX('Product Master'!$C$2:$C$21,MATCH(D586,'Product Master'!$A$2:$A$21,0))</f>
        <v>Apparel</v>
      </c>
      <c r="G586" s="15" t="n">
        <f aca="false">VALUE(TRIM('Raw Store Exports'!E586&amp;""))</f>
        <v>6</v>
      </c>
      <c r="H586" s="18" t="n">
        <f aca="false">INDEX('Product Master'!$D$2:$D$21,MATCH(D586,'Product Master'!$A$2:$A$21,0))</f>
        <v>45</v>
      </c>
      <c r="I586" s="14" t="n">
        <f aca="false">G586*H586</f>
        <v>270</v>
      </c>
      <c r="J586" s="0" t="str">
        <f aca="false">IF(COUNTIF($A$2:A586,A586)&gt;1,"Duplicate","")</f>
        <v/>
      </c>
    </row>
    <row r="587" customFormat="false" ht="15" hidden="false" customHeight="false" outlineLevel="0" collapsed="false">
      <c r="A587" s="0" t="str">
        <f aca="false">'Raw Store Exports'!A587</f>
        <v>TXN00488</v>
      </c>
      <c r="B587" s="17" t="n">
        <f aca="false">'Raw Store Exports'!C587</f>
        <v>46053</v>
      </c>
      <c r="C587" s="0" t="str">
        <f aca="false">INDEX('Store Mapping'!$C$2:$C$19,MATCH(TRIM('Raw Store Exports'!B587),'Store Mapping'!$A$2:$A$19,0))</f>
        <v>Eastgate</v>
      </c>
      <c r="D587" s="0" t="str">
        <f aca="false">'Raw Store Exports'!D587</f>
        <v>HOM-501</v>
      </c>
      <c r="E587" s="0" t="str">
        <f aca="false">INDEX('Product Master'!$B$2:$B$21,MATCH(D587,'Product Master'!$A$2:$A$21,0))</f>
        <v>Ceramic Coffee Mug Set</v>
      </c>
      <c r="F587" s="0" t="str">
        <f aca="false">INDEX('Product Master'!$C$2:$C$21,MATCH(D587,'Product Master'!$A$2:$A$21,0))</f>
        <v>Home Goods</v>
      </c>
      <c r="G587" s="15" t="n">
        <f aca="false">VALUE(TRIM('Raw Store Exports'!E587&amp;""))</f>
        <v>1</v>
      </c>
      <c r="H587" s="18" t="n">
        <f aca="false">INDEX('Product Master'!$D$2:$D$21,MATCH(D587,'Product Master'!$A$2:$A$21,0))</f>
        <v>22</v>
      </c>
      <c r="I587" s="14" t="n">
        <f aca="false">G587*H587</f>
        <v>22</v>
      </c>
      <c r="J587" s="0" t="str">
        <f aca="false">IF(COUNTIF($A$2:A587,A587)&gt;1,"Duplicate","")</f>
        <v/>
      </c>
    </row>
    <row r="588" customFormat="false" ht="15" hidden="false" customHeight="false" outlineLevel="0" collapsed="false">
      <c r="A588" s="0" t="str">
        <f aca="false">'Raw Store Exports'!A588</f>
        <v>TXN00746</v>
      </c>
      <c r="B588" s="17" t="n">
        <f aca="false">'Raw Store Exports'!C588</f>
        <v>46065</v>
      </c>
      <c r="C588" s="0" t="str">
        <f aca="false">INDEX('Store Mapping'!$C$2:$C$19,MATCH(TRIM('Raw Store Exports'!B588),'Store Mapping'!$A$2:$A$19,0))</f>
        <v>Downtown</v>
      </c>
      <c r="D588" s="0" t="str">
        <f aca="false">'Raw Store Exports'!D588</f>
        <v>APP-104</v>
      </c>
      <c r="E588" s="0" t="str">
        <f aca="false">INDEX('Product Master'!$B$2:$B$21,MATCH(D588,'Product Master'!$A$2:$A$21,0))</f>
        <v>Slim Fit Chinos</v>
      </c>
      <c r="F588" s="0" t="str">
        <f aca="false">INDEX('Product Master'!$C$2:$C$21,MATCH(D588,'Product Master'!$A$2:$A$21,0))</f>
        <v>Apparel</v>
      </c>
      <c r="G588" s="15" t="n">
        <f aca="false">VALUE(TRIM('Raw Store Exports'!E588&amp;""))</f>
        <v>4</v>
      </c>
      <c r="H588" s="18" t="n">
        <f aca="false">INDEX('Product Master'!$D$2:$D$21,MATCH(D588,'Product Master'!$A$2:$A$21,0))</f>
        <v>52</v>
      </c>
      <c r="I588" s="14" t="n">
        <f aca="false">G588*H588</f>
        <v>208</v>
      </c>
      <c r="J588" s="0" t="str">
        <f aca="false">IF(COUNTIF($A$2:A588,A588)&gt;1,"Duplicate","")</f>
        <v/>
      </c>
    </row>
    <row r="589" customFormat="false" ht="15" hidden="false" customHeight="false" outlineLevel="0" collapsed="false">
      <c r="A589" s="0" t="str">
        <f aca="false">'Raw Store Exports'!A589</f>
        <v>TXN01059</v>
      </c>
      <c r="B589" s="17" t="n">
        <f aca="false">'Raw Store Exports'!C589</f>
        <v>46077</v>
      </c>
      <c r="C589" s="0" t="str">
        <f aca="false">INDEX('Store Mapping'!$C$2:$C$19,MATCH(TRIM('Raw Store Exports'!B589),'Store Mapping'!$A$2:$A$19,0))</f>
        <v>Downtown</v>
      </c>
      <c r="D589" s="0" t="str">
        <f aca="false">'Raw Store Exports'!D589</f>
        <v>HOM-502</v>
      </c>
      <c r="E589" s="0" t="str">
        <f aca="false">INDEX('Product Master'!$B$2:$B$21,MATCH(D589,'Product Master'!$A$2:$A$21,0))</f>
        <v>Scented Candle</v>
      </c>
      <c r="F589" s="0" t="str">
        <f aca="false">INDEX('Product Master'!$C$2:$C$21,MATCH(D589,'Product Master'!$A$2:$A$21,0))</f>
        <v>Home Goods</v>
      </c>
      <c r="G589" s="15" t="n">
        <f aca="false">VALUE(TRIM('Raw Store Exports'!E589&amp;""))</f>
        <v>1</v>
      </c>
      <c r="H589" s="18" t="n">
        <f aca="false">INDEX('Product Master'!$D$2:$D$21,MATCH(D589,'Product Master'!$A$2:$A$21,0))</f>
        <v>15</v>
      </c>
      <c r="I589" s="14" t="n">
        <f aca="false">G589*H589</f>
        <v>15</v>
      </c>
      <c r="J589" s="0" t="str">
        <f aca="false">IF(COUNTIF($A$2:A589,A589)&gt;1,"Duplicate","")</f>
        <v/>
      </c>
    </row>
    <row r="590" customFormat="false" ht="15" hidden="false" customHeight="false" outlineLevel="0" collapsed="false">
      <c r="A590" s="0" t="str">
        <f aca="false">'Raw Store Exports'!A590</f>
        <v>TXN00998</v>
      </c>
      <c r="B590" s="17" t="n">
        <f aca="false">'Raw Store Exports'!C590</f>
        <v>46072</v>
      </c>
      <c r="C590" s="0" t="str">
        <f aca="false">INDEX('Store Mapping'!$C$2:$C$19,MATCH(TRIM('Raw Store Exports'!B590),'Store Mapping'!$A$2:$A$19,0))</f>
        <v>Riverside</v>
      </c>
      <c r="D590" s="0" t="str">
        <f aca="false">'Raw Store Exports'!D590</f>
        <v>FTW-204</v>
      </c>
      <c r="E590" s="0" t="str">
        <f aca="false">INDEX('Product Master'!$B$2:$B$21,MATCH(D590,'Product Master'!$A$2:$A$21,0))</f>
        <v>Slide Sandals</v>
      </c>
      <c r="F590" s="0" t="str">
        <f aca="false">INDEX('Product Master'!$C$2:$C$21,MATCH(D590,'Product Master'!$A$2:$A$21,0))</f>
        <v>Footwear</v>
      </c>
      <c r="G590" s="15" t="n">
        <f aca="false">VALUE(TRIM('Raw Store Exports'!E590&amp;""))</f>
        <v>5</v>
      </c>
      <c r="H590" s="18" t="n">
        <f aca="false">INDEX('Product Master'!$D$2:$D$21,MATCH(D590,'Product Master'!$A$2:$A$21,0))</f>
        <v>25</v>
      </c>
      <c r="I590" s="14" t="n">
        <f aca="false">G590*H590</f>
        <v>125</v>
      </c>
      <c r="J590" s="0" t="str">
        <f aca="false">IF(COUNTIF($A$2:A590,A590)&gt;1,"Duplicate","")</f>
        <v/>
      </c>
    </row>
    <row r="591" customFormat="false" ht="15" hidden="false" customHeight="false" outlineLevel="0" collapsed="false">
      <c r="A591" s="0" t="str">
        <f aca="false">'Raw Store Exports'!A591</f>
        <v>TXN00339</v>
      </c>
      <c r="B591" s="17" t="n">
        <f aca="false">'Raw Store Exports'!C591</f>
        <v>46041</v>
      </c>
      <c r="C591" s="0" t="str">
        <f aca="false">INDEX('Store Mapping'!$C$2:$C$19,MATCH(TRIM('Raw Store Exports'!B591),'Store Mapping'!$A$2:$A$19,0))</f>
        <v>Eastgate</v>
      </c>
      <c r="D591" s="0" t="str">
        <f aca="false">'Raw Store Exports'!D591</f>
        <v>ELE-404</v>
      </c>
      <c r="E591" s="0" t="str">
        <f aca="false">INDEX('Product Master'!$B$2:$B$21,MATCH(D591,'Product Master'!$A$2:$A$21,0))</f>
        <v>Phone Charging Cable</v>
      </c>
      <c r="F591" s="0" t="str">
        <f aca="false">INDEX('Product Master'!$C$2:$C$21,MATCH(D591,'Product Master'!$A$2:$A$21,0))</f>
        <v>Electronics</v>
      </c>
      <c r="G591" s="15" t="n">
        <f aca="false">VALUE(TRIM('Raw Store Exports'!E591&amp;""))</f>
        <v>5</v>
      </c>
      <c r="H591" s="18" t="n">
        <f aca="false">INDEX('Product Master'!$D$2:$D$21,MATCH(D591,'Product Master'!$A$2:$A$21,0))</f>
        <v>12</v>
      </c>
      <c r="I591" s="14" t="n">
        <f aca="false">G591*H591</f>
        <v>60</v>
      </c>
      <c r="J591" s="0" t="str">
        <f aca="false">IF(COUNTIF($A$2:A591,A591)&gt;1,"Duplicate","")</f>
        <v/>
      </c>
    </row>
    <row r="592" customFormat="false" ht="15" hidden="false" customHeight="false" outlineLevel="0" collapsed="false">
      <c r="A592" s="0" t="str">
        <f aca="false">'Raw Store Exports'!A592</f>
        <v>TXN00290</v>
      </c>
      <c r="B592" s="17" t="n">
        <f aca="false">'Raw Store Exports'!C592</f>
        <v>46046</v>
      </c>
      <c r="C592" s="0" t="str">
        <f aca="false">INDEX('Store Mapping'!$C$2:$C$19,MATCH(TRIM('Raw Store Exports'!B592),'Store Mapping'!$A$2:$A$19,0))</f>
        <v>Downtown</v>
      </c>
      <c r="D592" s="0" t="str">
        <f aca="false">'Raw Store Exports'!D592</f>
        <v>FTW-202</v>
      </c>
      <c r="E592" s="0" t="str">
        <f aca="false">INDEX('Product Master'!$B$2:$B$21,MATCH(D592,'Product Master'!$A$2:$A$21,0))</f>
        <v>Canvas Low-Top</v>
      </c>
      <c r="F592" s="0" t="str">
        <f aca="false">INDEX('Product Master'!$C$2:$C$21,MATCH(D592,'Product Master'!$A$2:$A$21,0))</f>
        <v>Footwear</v>
      </c>
      <c r="G592" s="15" t="n">
        <f aca="false">VALUE(TRIM('Raw Store Exports'!E592&amp;""))</f>
        <v>2</v>
      </c>
      <c r="H592" s="18" t="n">
        <f aca="false">INDEX('Product Master'!$D$2:$D$21,MATCH(D592,'Product Master'!$A$2:$A$21,0))</f>
        <v>55</v>
      </c>
      <c r="I592" s="14" t="n">
        <f aca="false">G592*H592</f>
        <v>110</v>
      </c>
      <c r="J592" s="0" t="str">
        <f aca="false">IF(COUNTIF($A$2:A592,A592)&gt;1,"Duplicate","")</f>
        <v/>
      </c>
    </row>
    <row r="593" customFormat="false" ht="15" hidden="false" customHeight="false" outlineLevel="0" collapsed="false">
      <c r="A593" s="0" t="str">
        <f aca="false">'Raw Store Exports'!A593</f>
        <v>TXN00560</v>
      </c>
      <c r="B593" s="17" t="n">
        <f aca="false">'Raw Store Exports'!C593</f>
        <v>46049</v>
      </c>
      <c r="C593" s="0" t="str">
        <f aca="false">INDEX('Store Mapping'!$C$2:$C$19,MATCH(TRIM('Raw Store Exports'!B593),'Store Mapping'!$A$2:$A$19,0))</f>
        <v>Riverside</v>
      </c>
      <c r="D593" s="0" t="str">
        <f aca="false">'Raw Store Exports'!D593</f>
        <v>ELE-402</v>
      </c>
      <c r="E593" s="0" t="str">
        <f aca="false">INDEX('Product Master'!$B$2:$B$21,MATCH(D593,'Product Master'!$A$2:$A$21,0))</f>
        <v>Bluetooth Speaker</v>
      </c>
      <c r="F593" s="0" t="str">
        <f aca="false">INDEX('Product Master'!$C$2:$C$21,MATCH(D593,'Product Master'!$A$2:$A$21,0))</f>
        <v>Electronics</v>
      </c>
      <c r="G593" s="15" t="n">
        <f aca="false">VALUE(TRIM('Raw Store Exports'!E593&amp;""))</f>
        <v>1</v>
      </c>
      <c r="H593" s="18" t="n">
        <f aca="false">INDEX('Product Master'!$D$2:$D$21,MATCH(D593,'Product Master'!$A$2:$A$21,0))</f>
        <v>59</v>
      </c>
      <c r="I593" s="14" t="n">
        <f aca="false">G593*H593</f>
        <v>59</v>
      </c>
      <c r="J593" s="0" t="str">
        <f aca="false">IF(COUNTIF($A$2:A593,A593)&gt;1,"Duplicate","")</f>
        <v/>
      </c>
    </row>
    <row r="594" customFormat="false" ht="15" hidden="false" customHeight="false" outlineLevel="0" collapsed="false">
      <c r="A594" s="0" t="str">
        <f aca="false">'Raw Store Exports'!A594</f>
        <v>TXN00516</v>
      </c>
      <c r="B594" s="17" t="n">
        <f aca="false">'Raw Store Exports'!C594</f>
        <v>46050</v>
      </c>
      <c r="C594" s="0" t="str">
        <f aca="false">INDEX('Store Mapping'!$C$2:$C$19,MATCH(TRIM('Raw Store Exports'!B594),'Store Mapping'!$A$2:$A$19,0))</f>
        <v>Northpark</v>
      </c>
      <c r="D594" s="0" t="str">
        <f aca="false">'Raw Store Exports'!D594</f>
        <v>APP-102</v>
      </c>
      <c r="E594" s="0" t="str">
        <f aca="false">INDEX('Product Master'!$B$2:$B$21,MATCH(D594,'Product Master'!$A$2:$A$21,0))</f>
        <v>Cotton Crew T-Shirt</v>
      </c>
      <c r="F594" s="0" t="str">
        <f aca="false">INDEX('Product Master'!$C$2:$C$21,MATCH(D594,'Product Master'!$A$2:$A$21,0))</f>
        <v>Apparel</v>
      </c>
      <c r="G594" s="15" t="n">
        <f aca="false">VALUE(TRIM('Raw Store Exports'!E594&amp;""))</f>
        <v>4</v>
      </c>
      <c r="H594" s="18" t="n">
        <f aca="false">INDEX('Product Master'!$D$2:$D$21,MATCH(D594,'Product Master'!$A$2:$A$21,0))</f>
        <v>18</v>
      </c>
      <c r="I594" s="14" t="n">
        <f aca="false">G594*H594</f>
        <v>72</v>
      </c>
      <c r="J594" s="0" t="str">
        <f aca="false">IF(COUNTIF($A$2:A594,A594)&gt;1,"Duplicate","")</f>
        <v/>
      </c>
    </row>
    <row r="595" customFormat="false" ht="15" hidden="false" customHeight="false" outlineLevel="0" collapsed="false">
      <c r="A595" s="0" t="str">
        <f aca="false">'Raw Store Exports'!A595</f>
        <v>TXN00796</v>
      </c>
      <c r="B595" s="17" t="n">
        <f aca="false">'Raw Store Exports'!C595</f>
        <v>46068</v>
      </c>
      <c r="C595" s="0" t="str">
        <f aca="false">INDEX('Store Mapping'!$C$2:$C$19,MATCH(TRIM('Raw Store Exports'!B595),'Store Mapping'!$A$2:$A$19,0))</f>
        <v>Westside Mall</v>
      </c>
      <c r="D595" s="0" t="str">
        <f aca="false">'Raw Store Exports'!D595</f>
        <v>ELE-402</v>
      </c>
      <c r="E595" s="0" t="str">
        <f aca="false">INDEX('Product Master'!$B$2:$B$21,MATCH(D595,'Product Master'!$A$2:$A$21,0))</f>
        <v>Bluetooth Speaker</v>
      </c>
      <c r="F595" s="0" t="str">
        <f aca="false">INDEX('Product Master'!$C$2:$C$21,MATCH(D595,'Product Master'!$A$2:$A$21,0))</f>
        <v>Electronics</v>
      </c>
      <c r="G595" s="15" t="n">
        <f aca="false">VALUE(TRIM('Raw Store Exports'!E595&amp;""))</f>
        <v>3</v>
      </c>
      <c r="H595" s="18" t="n">
        <f aca="false">INDEX('Product Master'!$D$2:$D$21,MATCH(D595,'Product Master'!$A$2:$A$21,0))</f>
        <v>59</v>
      </c>
      <c r="I595" s="14" t="n">
        <f aca="false">G595*H595</f>
        <v>177</v>
      </c>
      <c r="J595" s="0" t="str">
        <f aca="false">IF(COUNTIF($A$2:A595,A595)&gt;1,"Duplicate","")</f>
        <v/>
      </c>
    </row>
    <row r="596" customFormat="false" ht="15" hidden="false" customHeight="false" outlineLevel="0" collapsed="false">
      <c r="A596" s="0" t="str">
        <f aca="false">'Raw Store Exports'!A596</f>
        <v>TXN00544</v>
      </c>
      <c r="B596" s="17" t="n">
        <f aca="false">'Raw Store Exports'!C596</f>
        <v>46051</v>
      </c>
      <c r="C596" s="0" t="str">
        <f aca="false">INDEX('Store Mapping'!$C$2:$C$19,MATCH(TRIM('Raw Store Exports'!B596),'Store Mapping'!$A$2:$A$19,0))</f>
        <v>Riverside</v>
      </c>
      <c r="D596" s="0" t="str">
        <f aca="false">'Raw Store Exports'!D596</f>
        <v>APP-101</v>
      </c>
      <c r="E596" s="0" t="str">
        <f aca="false">INDEX('Product Master'!$B$2:$B$21,MATCH(D596,'Product Master'!$A$2:$A$21,0))</f>
        <v>Classic Denim Jacket</v>
      </c>
      <c r="F596" s="0" t="str">
        <f aca="false">INDEX('Product Master'!$C$2:$C$21,MATCH(D596,'Product Master'!$A$2:$A$21,0))</f>
        <v>Apparel</v>
      </c>
      <c r="G596" s="15" t="n">
        <f aca="false">VALUE(TRIM('Raw Store Exports'!E596&amp;""))</f>
        <v>5</v>
      </c>
      <c r="H596" s="18" t="n">
        <f aca="false">INDEX('Product Master'!$D$2:$D$21,MATCH(D596,'Product Master'!$A$2:$A$21,0))</f>
        <v>68</v>
      </c>
      <c r="I596" s="14" t="n">
        <f aca="false">G596*H596</f>
        <v>340</v>
      </c>
      <c r="J596" s="0" t="str">
        <f aca="false">IF(COUNTIF($A$2:A596,A596)&gt;1,"Duplicate","")</f>
        <v/>
      </c>
    </row>
    <row r="597" customFormat="false" ht="15" hidden="false" customHeight="false" outlineLevel="0" collapsed="false">
      <c r="A597" s="0" t="str">
        <f aca="false">'Raw Store Exports'!A597</f>
        <v>TXN00531</v>
      </c>
      <c r="B597" s="17" t="n">
        <f aca="false">'Raw Store Exports'!C597</f>
        <v>46053</v>
      </c>
      <c r="C597" s="0" t="str">
        <f aca="false">INDEX('Store Mapping'!$C$2:$C$19,MATCH(TRIM('Raw Store Exports'!B597),'Store Mapping'!$A$2:$A$19,0))</f>
        <v>Northpark</v>
      </c>
      <c r="D597" s="0" t="str">
        <f aca="false">'Raw Store Exports'!D597</f>
        <v>ACC-302</v>
      </c>
      <c r="E597" s="0" t="str">
        <f aca="false">INDEX('Product Master'!$B$2:$B$21,MATCH(D597,'Product Master'!$A$2:$A$21,0))</f>
        <v>Aviator Sunglasses</v>
      </c>
      <c r="F597" s="0" t="str">
        <f aca="false">INDEX('Product Master'!$C$2:$C$21,MATCH(D597,'Product Master'!$A$2:$A$21,0))</f>
        <v>Accessories</v>
      </c>
      <c r="G597" s="15" t="n">
        <f aca="false">VALUE(TRIM('Raw Store Exports'!E597&amp;""))</f>
        <v>2</v>
      </c>
      <c r="H597" s="18" t="n">
        <f aca="false">INDEX('Product Master'!$D$2:$D$21,MATCH(D597,'Product Master'!$A$2:$A$21,0))</f>
        <v>42</v>
      </c>
      <c r="I597" s="14" t="n">
        <f aca="false">G597*H597</f>
        <v>84</v>
      </c>
      <c r="J597" s="0" t="str">
        <f aca="false">IF(COUNTIF($A$2:A597,A597)&gt;1,"Duplicate","")</f>
        <v/>
      </c>
    </row>
    <row r="598" customFormat="false" ht="15" hidden="false" customHeight="false" outlineLevel="0" collapsed="false">
      <c r="A598" s="0" t="str">
        <f aca="false">'Raw Store Exports'!A598</f>
        <v>TXN00899</v>
      </c>
      <c r="B598" s="17" t="n">
        <f aca="false">'Raw Store Exports'!C598</f>
        <v>46071</v>
      </c>
      <c r="C598" s="0" t="str">
        <f aca="false">INDEX('Store Mapping'!$C$2:$C$19,MATCH(TRIM('Raw Store Exports'!B598),'Store Mapping'!$A$2:$A$19,0))</f>
        <v>Downtown</v>
      </c>
      <c r="D598" s="0" t="str">
        <f aca="false">'Raw Store Exports'!D598</f>
        <v>FTW-201</v>
      </c>
      <c r="E598" s="0" t="str">
        <f aca="false">INDEX('Product Master'!$B$2:$B$21,MATCH(D598,'Product Master'!$A$2:$A$21,0))</f>
        <v>Running Sneakers</v>
      </c>
      <c r="F598" s="0" t="str">
        <f aca="false">INDEX('Product Master'!$C$2:$C$21,MATCH(D598,'Product Master'!$A$2:$A$21,0))</f>
        <v>Footwear</v>
      </c>
      <c r="G598" s="15" t="n">
        <f aca="false">VALUE(TRIM('Raw Store Exports'!E598&amp;""))</f>
        <v>3</v>
      </c>
      <c r="H598" s="18" t="n">
        <f aca="false">INDEX('Product Master'!$D$2:$D$21,MATCH(D598,'Product Master'!$A$2:$A$21,0))</f>
        <v>89</v>
      </c>
      <c r="I598" s="14" t="n">
        <f aca="false">G598*H598</f>
        <v>267</v>
      </c>
      <c r="J598" s="0" t="str">
        <f aca="false">IF(COUNTIF($A$2:A598,A598)&gt;1,"Duplicate","")</f>
        <v/>
      </c>
    </row>
    <row r="599" customFormat="false" ht="15" hidden="false" customHeight="false" outlineLevel="0" collapsed="false">
      <c r="A599" s="0" t="str">
        <f aca="false">'Raw Store Exports'!A599</f>
        <v>TXN00191</v>
      </c>
      <c r="B599" s="17" t="n">
        <f aca="false">'Raw Store Exports'!C599</f>
        <v>46035</v>
      </c>
      <c r="C599" s="0" t="str">
        <f aca="false">INDEX('Store Mapping'!$C$2:$C$19,MATCH(TRIM('Raw Store Exports'!B599),'Store Mapping'!$A$2:$A$19,0))</f>
        <v>Eastgate</v>
      </c>
      <c r="D599" s="0" t="str">
        <f aca="false">'Raw Store Exports'!D599</f>
        <v>FTW-202</v>
      </c>
      <c r="E599" s="0" t="str">
        <f aca="false">INDEX('Product Master'!$B$2:$B$21,MATCH(D599,'Product Master'!$A$2:$A$21,0))</f>
        <v>Canvas Low-Top</v>
      </c>
      <c r="F599" s="0" t="str">
        <f aca="false">INDEX('Product Master'!$C$2:$C$21,MATCH(D599,'Product Master'!$A$2:$A$21,0))</f>
        <v>Footwear</v>
      </c>
      <c r="G599" s="15" t="n">
        <f aca="false">VALUE(TRIM('Raw Store Exports'!E599&amp;""))</f>
        <v>5</v>
      </c>
      <c r="H599" s="18" t="n">
        <f aca="false">INDEX('Product Master'!$D$2:$D$21,MATCH(D599,'Product Master'!$A$2:$A$21,0))</f>
        <v>55</v>
      </c>
      <c r="I599" s="14" t="n">
        <f aca="false">G599*H599</f>
        <v>275</v>
      </c>
      <c r="J599" s="0" t="str">
        <f aca="false">IF(COUNTIF($A$2:A599,A599)&gt;1,"Duplicate","")</f>
        <v/>
      </c>
    </row>
    <row r="600" customFormat="false" ht="15" hidden="false" customHeight="false" outlineLevel="0" collapsed="false">
      <c r="A600" s="0" t="str">
        <f aca="false">'Raw Store Exports'!A600</f>
        <v>TXN00107</v>
      </c>
      <c r="B600" s="17" t="n">
        <f aca="false">'Raw Store Exports'!C600</f>
        <v>46033</v>
      </c>
      <c r="C600" s="0" t="str">
        <f aca="false">INDEX('Store Mapping'!$C$2:$C$19,MATCH(TRIM('Raw Store Exports'!B600),'Store Mapping'!$A$2:$A$19,0))</f>
        <v>Riverside</v>
      </c>
      <c r="D600" s="0" t="str">
        <f aca="false">'Raw Store Exports'!D600</f>
        <v>ELE-401</v>
      </c>
      <c r="E600" s="0" t="str">
        <f aca="false">INDEX('Product Master'!$B$2:$B$21,MATCH(D600,'Product Master'!$A$2:$A$21,0))</f>
        <v>Wireless Earbuds</v>
      </c>
      <c r="F600" s="0" t="str">
        <f aca="false">INDEX('Product Master'!$C$2:$C$21,MATCH(D600,'Product Master'!$A$2:$A$21,0))</f>
        <v>Electronics</v>
      </c>
      <c r="G600" s="15" t="n">
        <f aca="false">VALUE(TRIM('Raw Store Exports'!E600&amp;""))</f>
        <v>5</v>
      </c>
      <c r="H600" s="18" t="n">
        <f aca="false">INDEX('Product Master'!$D$2:$D$21,MATCH(D600,'Product Master'!$A$2:$A$21,0))</f>
        <v>79</v>
      </c>
      <c r="I600" s="14" t="n">
        <f aca="false">G600*H600</f>
        <v>395</v>
      </c>
      <c r="J600" s="0" t="str">
        <f aca="false">IF(COUNTIF($A$2:A600,A600)&gt;1,"Duplicate","")</f>
        <v/>
      </c>
    </row>
    <row r="601" customFormat="false" ht="15" hidden="false" customHeight="false" outlineLevel="0" collapsed="false">
      <c r="A601" s="0" t="str">
        <f aca="false">'Raw Store Exports'!A601</f>
        <v>TXN00634</v>
      </c>
      <c r="B601" s="17" t="n">
        <f aca="false">'Raw Store Exports'!C601</f>
        <v>46057</v>
      </c>
      <c r="C601" s="0" t="str">
        <f aca="false">INDEX('Store Mapping'!$C$2:$C$19,MATCH(TRIM('Raw Store Exports'!B601),'Store Mapping'!$A$2:$A$19,0))</f>
        <v>Westside Mall</v>
      </c>
      <c r="D601" s="0" t="str">
        <f aca="false">'Raw Store Exports'!D601</f>
        <v>ELE-403</v>
      </c>
      <c r="E601" s="0" t="str">
        <f aca="false">INDEX('Product Master'!$B$2:$B$21,MATCH(D601,'Product Master'!$A$2:$A$21,0))</f>
        <v>Fitness Tracker Band</v>
      </c>
      <c r="F601" s="0" t="str">
        <f aca="false">INDEX('Product Master'!$C$2:$C$21,MATCH(D601,'Product Master'!$A$2:$A$21,0))</f>
        <v>Electronics</v>
      </c>
      <c r="G601" s="15" t="n">
        <f aca="false">VALUE(TRIM('Raw Store Exports'!E601&amp;""))</f>
        <v>2</v>
      </c>
      <c r="H601" s="18" t="n">
        <f aca="false">INDEX('Product Master'!$D$2:$D$21,MATCH(D601,'Product Master'!$A$2:$A$21,0))</f>
        <v>99</v>
      </c>
      <c r="I601" s="14" t="n">
        <f aca="false">G601*H601</f>
        <v>198</v>
      </c>
      <c r="J601" s="0" t="str">
        <f aca="false">IF(COUNTIF($A$2:A601,A601)&gt;1,"Duplicate","")</f>
        <v/>
      </c>
    </row>
    <row r="602" customFormat="false" ht="15" hidden="false" customHeight="false" outlineLevel="0" collapsed="false">
      <c r="A602" s="0" t="str">
        <f aca="false">'Raw Store Exports'!A602</f>
        <v>TXN00586</v>
      </c>
      <c r="B602" s="17" t="n">
        <f aca="false">'Raw Store Exports'!C602</f>
        <v>46058</v>
      </c>
      <c r="C602" s="0" t="str">
        <f aca="false">INDEX('Store Mapping'!$C$2:$C$19,MATCH(TRIM('Raw Store Exports'!B602),'Store Mapping'!$A$2:$A$19,0))</f>
        <v>Downtown</v>
      </c>
      <c r="D602" s="0" t="str">
        <f aca="false">'Raw Store Exports'!D602</f>
        <v>FTW-201</v>
      </c>
      <c r="E602" s="0" t="str">
        <f aca="false">INDEX('Product Master'!$B$2:$B$21,MATCH(D602,'Product Master'!$A$2:$A$21,0))</f>
        <v>Running Sneakers</v>
      </c>
      <c r="F602" s="0" t="str">
        <f aca="false">INDEX('Product Master'!$C$2:$C$21,MATCH(D602,'Product Master'!$A$2:$A$21,0))</f>
        <v>Footwear</v>
      </c>
      <c r="G602" s="15" t="n">
        <f aca="false">VALUE(TRIM('Raw Store Exports'!E602&amp;""))</f>
        <v>1</v>
      </c>
      <c r="H602" s="18" t="n">
        <f aca="false">INDEX('Product Master'!$D$2:$D$21,MATCH(D602,'Product Master'!$A$2:$A$21,0))</f>
        <v>89</v>
      </c>
      <c r="I602" s="14" t="n">
        <f aca="false">G602*H602</f>
        <v>89</v>
      </c>
      <c r="J602" s="0" t="str">
        <f aca="false">IF(COUNTIF($A$2:A602,A602)&gt;1,"Duplicate","")</f>
        <v/>
      </c>
    </row>
    <row r="603" customFormat="false" ht="15" hidden="false" customHeight="false" outlineLevel="0" collapsed="false">
      <c r="A603" s="0" t="str">
        <f aca="false">'Raw Store Exports'!A603</f>
        <v>TXN00780</v>
      </c>
      <c r="B603" s="17" t="n">
        <f aca="false">'Raw Store Exports'!C603</f>
        <v>46063</v>
      </c>
      <c r="C603" s="0" t="str">
        <f aca="false">INDEX('Store Mapping'!$C$2:$C$19,MATCH(TRIM('Raw Store Exports'!B603),'Store Mapping'!$A$2:$A$19,0))</f>
        <v>Westside Mall</v>
      </c>
      <c r="D603" s="0" t="str">
        <f aca="false">'Raw Store Exports'!D603</f>
        <v>FTW-201</v>
      </c>
      <c r="E603" s="0" t="str">
        <f aca="false">INDEX('Product Master'!$B$2:$B$21,MATCH(D603,'Product Master'!$A$2:$A$21,0))</f>
        <v>Running Sneakers</v>
      </c>
      <c r="F603" s="0" t="str">
        <f aca="false">INDEX('Product Master'!$C$2:$C$21,MATCH(D603,'Product Master'!$A$2:$A$21,0))</f>
        <v>Footwear</v>
      </c>
      <c r="G603" s="15" t="n">
        <f aca="false">VALUE(TRIM('Raw Store Exports'!E603&amp;""))</f>
        <v>6</v>
      </c>
      <c r="H603" s="18" t="n">
        <f aca="false">INDEX('Product Master'!$D$2:$D$21,MATCH(D603,'Product Master'!$A$2:$A$21,0))</f>
        <v>89</v>
      </c>
      <c r="I603" s="14" t="n">
        <f aca="false">G603*H603</f>
        <v>534</v>
      </c>
      <c r="J603" s="0" t="str">
        <f aca="false">IF(COUNTIF($A$2:A603,A603)&gt;1,"Duplicate","")</f>
        <v/>
      </c>
    </row>
    <row r="604" customFormat="false" ht="15" hidden="false" customHeight="false" outlineLevel="0" collapsed="false">
      <c r="A604" s="0" t="str">
        <f aca="false">'Raw Store Exports'!A604</f>
        <v>TXN00458</v>
      </c>
      <c r="B604" s="17" t="n">
        <f aca="false">'Raw Store Exports'!C604</f>
        <v>46054</v>
      </c>
      <c r="C604" s="0" t="str">
        <f aca="false">INDEX('Store Mapping'!$C$2:$C$19,MATCH(TRIM('Raw Store Exports'!B604),'Store Mapping'!$A$2:$A$19,0))</f>
        <v>Westside Mall</v>
      </c>
      <c r="D604" s="0" t="str">
        <f aca="false">'Raw Store Exports'!D604</f>
        <v>APP-101</v>
      </c>
      <c r="E604" s="0" t="str">
        <f aca="false">INDEX('Product Master'!$B$2:$B$21,MATCH(D604,'Product Master'!$A$2:$A$21,0))</f>
        <v>Classic Denim Jacket</v>
      </c>
      <c r="F604" s="0" t="str">
        <f aca="false">INDEX('Product Master'!$C$2:$C$21,MATCH(D604,'Product Master'!$A$2:$A$21,0))</f>
        <v>Apparel</v>
      </c>
      <c r="G604" s="15" t="n">
        <f aca="false">VALUE(TRIM('Raw Store Exports'!E604&amp;""))</f>
        <v>2</v>
      </c>
      <c r="H604" s="18" t="n">
        <f aca="false">INDEX('Product Master'!$D$2:$D$21,MATCH(D604,'Product Master'!$A$2:$A$21,0))</f>
        <v>68</v>
      </c>
      <c r="I604" s="14" t="n">
        <f aca="false">G604*H604</f>
        <v>136</v>
      </c>
      <c r="J604" s="0" t="str">
        <f aca="false">IF(COUNTIF($A$2:A604,A604)&gt;1,"Duplicate","")</f>
        <v/>
      </c>
    </row>
    <row r="605" customFormat="false" ht="15" hidden="false" customHeight="false" outlineLevel="0" collapsed="false">
      <c r="A605" s="0" t="str">
        <f aca="false">'Raw Store Exports'!A605</f>
        <v>TXN00870</v>
      </c>
      <c r="B605" s="17" t="n">
        <f aca="false">'Raw Store Exports'!C605</f>
        <v>46067</v>
      </c>
      <c r="C605" s="0" t="str">
        <f aca="false">INDEX('Store Mapping'!$C$2:$C$19,MATCH(TRIM('Raw Store Exports'!B605),'Store Mapping'!$A$2:$A$19,0))</f>
        <v>Riverside</v>
      </c>
      <c r="D605" s="0" t="str">
        <f aca="false">'Raw Store Exports'!D605</f>
        <v>APP-102</v>
      </c>
      <c r="E605" s="0" t="str">
        <f aca="false">INDEX('Product Master'!$B$2:$B$21,MATCH(D605,'Product Master'!$A$2:$A$21,0))</f>
        <v>Cotton Crew T-Shirt</v>
      </c>
      <c r="F605" s="0" t="str">
        <f aca="false">INDEX('Product Master'!$C$2:$C$21,MATCH(D605,'Product Master'!$A$2:$A$21,0))</f>
        <v>Apparel</v>
      </c>
      <c r="G605" s="15" t="n">
        <f aca="false">VALUE(TRIM('Raw Store Exports'!E605&amp;""))</f>
        <v>3</v>
      </c>
      <c r="H605" s="18" t="n">
        <f aca="false">INDEX('Product Master'!$D$2:$D$21,MATCH(D605,'Product Master'!$A$2:$A$21,0))</f>
        <v>18</v>
      </c>
      <c r="I605" s="14" t="n">
        <f aca="false">G605*H605</f>
        <v>54</v>
      </c>
      <c r="J605" s="0" t="str">
        <f aca="false">IF(COUNTIF($A$2:A605,A605)&gt;1,"Duplicate","")</f>
        <v/>
      </c>
    </row>
    <row r="606" customFormat="false" ht="15" hidden="false" customHeight="false" outlineLevel="0" collapsed="false">
      <c r="A606" s="0" t="str">
        <f aca="false">'Raw Store Exports'!A606</f>
        <v>TXN00145</v>
      </c>
      <c r="B606" s="17" t="n">
        <f aca="false">'Raw Store Exports'!C606</f>
        <v>46039</v>
      </c>
      <c r="C606" s="0" t="str">
        <f aca="false">INDEX('Store Mapping'!$C$2:$C$19,MATCH(TRIM('Raw Store Exports'!B606),'Store Mapping'!$A$2:$A$19,0))</f>
        <v>Downtown</v>
      </c>
      <c r="D606" s="0" t="str">
        <f aca="false">'Raw Store Exports'!D606</f>
        <v>HOM-501</v>
      </c>
      <c r="E606" s="0" t="str">
        <f aca="false">INDEX('Product Master'!$B$2:$B$21,MATCH(D606,'Product Master'!$A$2:$A$21,0))</f>
        <v>Ceramic Coffee Mug Set</v>
      </c>
      <c r="F606" s="0" t="str">
        <f aca="false">INDEX('Product Master'!$C$2:$C$21,MATCH(D606,'Product Master'!$A$2:$A$21,0))</f>
        <v>Home Goods</v>
      </c>
      <c r="G606" s="15" t="n">
        <f aca="false">VALUE(TRIM('Raw Store Exports'!E606&amp;""))</f>
        <v>5</v>
      </c>
      <c r="H606" s="18" t="n">
        <f aca="false">INDEX('Product Master'!$D$2:$D$21,MATCH(D606,'Product Master'!$A$2:$A$21,0))</f>
        <v>22</v>
      </c>
      <c r="I606" s="14" t="n">
        <f aca="false">G606*H606</f>
        <v>110</v>
      </c>
      <c r="J606" s="0" t="str">
        <f aca="false">IF(COUNTIF($A$2:A606,A606)&gt;1,"Duplicate","")</f>
        <v/>
      </c>
    </row>
    <row r="607" customFormat="false" ht="15" hidden="false" customHeight="false" outlineLevel="0" collapsed="false">
      <c r="A607" s="0" t="str">
        <f aca="false">'Raw Store Exports'!A607</f>
        <v>TXN00668</v>
      </c>
      <c r="B607" s="17" t="n">
        <f aca="false">'Raw Store Exports'!C607</f>
        <v>46058</v>
      </c>
      <c r="C607" s="0" t="str">
        <f aca="false">INDEX('Store Mapping'!$C$2:$C$19,MATCH(TRIM('Raw Store Exports'!B607),'Store Mapping'!$A$2:$A$19,0))</f>
        <v>Northpark</v>
      </c>
      <c r="D607" s="0" t="str">
        <f aca="false">'Raw Store Exports'!D607</f>
        <v>HOM-502</v>
      </c>
      <c r="E607" s="0" t="str">
        <f aca="false">INDEX('Product Master'!$B$2:$B$21,MATCH(D607,'Product Master'!$A$2:$A$21,0))</f>
        <v>Scented Candle</v>
      </c>
      <c r="F607" s="0" t="str">
        <f aca="false">INDEX('Product Master'!$C$2:$C$21,MATCH(D607,'Product Master'!$A$2:$A$21,0))</f>
        <v>Home Goods</v>
      </c>
      <c r="G607" s="15" t="n">
        <f aca="false">VALUE(TRIM('Raw Store Exports'!E607&amp;""))</f>
        <v>6</v>
      </c>
      <c r="H607" s="18" t="n">
        <f aca="false">INDEX('Product Master'!$D$2:$D$21,MATCH(D607,'Product Master'!$A$2:$A$21,0))</f>
        <v>15</v>
      </c>
      <c r="I607" s="14" t="n">
        <f aca="false">G607*H607</f>
        <v>90</v>
      </c>
      <c r="J607" s="0" t="str">
        <f aca="false">IF(COUNTIF($A$2:A607,A607)&gt;1,"Duplicate","")</f>
        <v/>
      </c>
    </row>
    <row r="608" customFormat="false" ht="15" hidden="false" customHeight="false" outlineLevel="0" collapsed="false">
      <c r="A608" s="0" t="str">
        <f aca="false">'Raw Store Exports'!A608</f>
        <v>TXN00091</v>
      </c>
      <c r="B608" s="17" t="n">
        <f aca="false">'Raw Store Exports'!C608</f>
        <v>46033</v>
      </c>
      <c r="C608" s="0" t="str">
        <f aca="false">INDEX('Store Mapping'!$C$2:$C$19,MATCH(TRIM('Raw Store Exports'!B608),'Store Mapping'!$A$2:$A$19,0))</f>
        <v>Northpark</v>
      </c>
      <c r="D608" s="0" t="str">
        <f aca="false">'Raw Store Exports'!D608</f>
        <v>FTW-203</v>
      </c>
      <c r="E608" s="0" t="str">
        <f aca="false">INDEX('Product Master'!$B$2:$B$21,MATCH(D608,'Product Master'!$A$2:$A$21,0))</f>
        <v>Leather Ankle Boot</v>
      </c>
      <c r="F608" s="0" t="str">
        <f aca="false">INDEX('Product Master'!$C$2:$C$21,MATCH(D608,'Product Master'!$A$2:$A$21,0))</f>
        <v>Footwear</v>
      </c>
      <c r="G608" s="15" t="n">
        <f aca="false">VALUE(TRIM('Raw Store Exports'!E608&amp;""))</f>
        <v>6</v>
      </c>
      <c r="H608" s="18" t="n">
        <f aca="false">INDEX('Product Master'!$D$2:$D$21,MATCH(D608,'Product Master'!$A$2:$A$21,0))</f>
        <v>120</v>
      </c>
      <c r="I608" s="14" t="n">
        <f aca="false">G608*H608</f>
        <v>720</v>
      </c>
      <c r="J608" s="0" t="str">
        <f aca="false">IF(COUNTIF($A$2:A608,A608)&gt;1,"Duplicate","")</f>
        <v/>
      </c>
    </row>
    <row r="609" customFormat="false" ht="15" hidden="false" customHeight="false" outlineLevel="0" collapsed="false">
      <c r="A609" s="0" t="str">
        <f aca="false">'Raw Store Exports'!A609</f>
        <v>TXN00416</v>
      </c>
      <c r="B609" s="17" t="n">
        <f aca="false">'Raw Store Exports'!C609</f>
        <v>46047</v>
      </c>
      <c r="C609" s="0" t="str">
        <f aca="false">INDEX('Store Mapping'!$C$2:$C$19,MATCH(TRIM('Raw Store Exports'!B609),'Store Mapping'!$A$2:$A$19,0))</f>
        <v>Airport Plaza</v>
      </c>
      <c r="D609" s="0" t="str">
        <f aca="false">'Raw Store Exports'!D609</f>
        <v>APP-104</v>
      </c>
      <c r="E609" s="0" t="str">
        <f aca="false">INDEX('Product Master'!$B$2:$B$21,MATCH(D609,'Product Master'!$A$2:$A$21,0))</f>
        <v>Slim Fit Chinos</v>
      </c>
      <c r="F609" s="0" t="str">
        <f aca="false">INDEX('Product Master'!$C$2:$C$21,MATCH(D609,'Product Master'!$A$2:$A$21,0))</f>
        <v>Apparel</v>
      </c>
      <c r="G609" s="15" t="n">
        <f aca="false">VALUE(TRIM('Raw Store Exports'!E609&amp;""))</f>
        <v>2</v>
      </c>
      <c r="H609" s="18" t="n">
        <f aca="false">INDEX('Product Master'!$D$2:$D$21,MATCH(D609,'Product Master'!$A$2:$A$21,0))</f>
        <v>52</v>
      </c>
      <c r="I609" s="14" t="n">
        <f aca="false">G609*H609</f>
        <v>104</v>
      </c>
      <c r="J609" s="0" t="str">
        <f aca="false">IF(COUNTIF($A$2:A609,A609)&gt;1,"Duplicate","")</f>
        <v/>
      </c>
    </row>
    <row r="610" customFormat="false" ht="15" hidden="false" customHeight="false" outlineLevel="0" collapsed="false">
      <c r="A610" s="0" t="str">
        <f aca="false">'Raw Store Exports'!A610</f>
        <v>TXN01123</v>
      </c>
      <c r="B610" s="17" t="n">
        <f aca="false">'Raw Store Exports'!C610</f>
        <v>46077</v>
      </c>
      <c r="C610" s="0" t="str">
        <f aca="false">INDEX('Store Mapping'!$C$2:$C$19,MATCH(TRIM('Raw Store Exports'!B610),'Store Mapping'!$A$2:$A$19,0))</f>
        <v>Eastgate</v>
      </c>
      <c r="D610" s="0" t="str">
        <f aca="false">'Raw Store Exports'!D610</f>
        <v>ELE-401</v>
      </c>
      <c r="E610" s="0" t="str">
        <f aca="false">INDEX('Product Master'!$B$2:$B$21,MATCH(D610,'Product Master'!$A$2:$A$21,0))</f>
        <v>Wireless Earbuds</v>
      </c>
      <c r="F610" s="0" t="str">
        <f aca="false">INDEX('Product Master'!$C$2:$C$21,MATCH(D610,'Product Master'!$A$2:$A$21,0))</f>
        <v>Electronics</v>
      </c>
      <c r="G610" s="15" t="n">
        <f aca="false">VALUE(TRIM('Raw Store Exports'!E610&amp;""))</f>
        <v>3</v>
      </c>
      <c r="H610" s="18" t="n">
        <f aca="false">INDEX('Product Master'!$D$2:$D$21,MATCH(D610,'Product Master'!$A$2:$A$21,0))</f>
        <v>79</v>
      </c>
      <c r="I610" s="14" t="n">
        <f aca="false">G610*H610</f>
        <v>237</v>
      </c>
      <c r="J610" s="0" t="str">
        <f aca="false">IF(COUNTIF($A$2:A610,A610)&gt;1,"Duplicate","")</f>
        <v/>
      </c>
    </row>
    <row r="611" customFormat="false" ht="15" hidden="false" customHeight="false" outlineLevel="0" collapsed="false">
      <c r="A611" s="0" t="str">
        <f aca="false">'Raw Store Exports'!A611</f>
        <v>TXN00950</v>
      </c>
      <c r="B611" s="17" t="n">
        <f aca="false">'Raw Store Exports'!C611</f>
        <v>46073</v>
      </c>
      <c r="C611" s="0" t="str">
        <f aca="false">INDEX('Store Mapping'!$C$2:$C$19,MATCH(TRIM('Raw Store Exports'!B611),'Store Mapping'!$A$2:$A$19,0))</f>
        <v>Eastgate</v>
      </c>
      <c r="D611" s="0" t="str">
        <f aca="false">'Raw Store Exports'!D611</f>
        <v>ACC-303</v>
      </c>
      <c r="E611" s="0" t="str">
        <f aca="false">INDEX('Product Master'!$B$2:$B$21,MATCH(D611,'Product Master'!$A$2:$A$21,0))</f>
        <v>Canvas Tote Bag</v>
      </c>
      <c r="F611" s="0" t="str">
        <f aca="false">INDEX('Product Master'!$C$2:$C$21,MATCH(D611,'Product Master'!$A$2:$A$21,0))</f>
        <v>Accessories</v>
      </c>
      <c r="G611" s="15" t="n">
        <f aca="false">VALUE(TRIM('Raw Store Exports'!E611&amp;""))</f>
        <v>4</v>
      </c>
      <c r="H611" s="18" t="n">
        <f aca="false">INDEX('Product Master'!$D$2:$D$21,MATCH(D611,'Product Master'!$A$2:$A$21,0))</f>
        <v>24</v>
      </c>
      <c r="I611" s="14" t="n">
        <f aca="false">G611*H611</f>
        <v>96</v>
      </c>
      <c r="J611" s="0" t="str">
        <f aca="false">IF(COUNTIF($A$2:A611,A611)&gt;1,"Duplicate","")</f>
        <v/>
      </c>
    </row>
    <row r="612" customFormat="false" ht="15" hidden="false" customHeight="false" outlineLevel="0" collapsed="false">
      <c r="A612" s="0" t="str">
        <f aca="false">'Raw Store Exports'!A612</f>
        <v>TXN00101</v>
      </c>
      <c r="B612" s="17" t="n">
        <f aca="false">'Raw Store Exports'!C612</f>
        <v>46027</v>
      </c>
      <c r="C612" s="0" t="str">
        <f aca="false">INDEX('Store Mapping'!$C$2:$C$19,MATCH(TRIM('Raw Store Exports'!B612),'Store Mapping'!$A$2:$A$19,0))</f>
        <v>Riverside</v>
      </c>
      <c r="D612" s="0" t="str">
        <f aca="false">'Raw Store Exports'!D612</f>
        <v>ACC-304</v>
      </c>
      <c r="E612" s="0" t="str">
        <f aca="false">INDEX('Product Master'!$B$2:$B$21,MATCH(D612,'Product Master'!$A$2:$A$21,0))</f>
        <v>Wool Beanie</v>
      </c>
      <c r="F612" s="0" t="str">
        <f aca="false">INDEX('Product Master'!$C$2:$C$21,MATCH(D612,'Product Master'!$A$2:$A$21,0))</f>
        <v>Accessories</v>
      </c>
      <c r="G612" s="15" t="n">
        <f aca="false">VALUE(TRIM('Raw Store Exports'!E612&amp;""))</f>
        <v>3</v>
      </c>
      <c r="H612" s="18" t="n">
        <f aca="false">INDEX('Product Master'!$D$2:$D$21,MATCH(D612,'Product Master'!$A$2:$A$21,0))</f>
        <v>16</v>
      </c>
      <c r="I612" s="14" t="n">
        <f aca="false">G612*H612</f>
        <v>48</v>
      </c>
      <c r="J612" s="0" t="str">
        <f aca="false">IF(COUNTIF($A$2:A612,A612)&gt;1,"Duplicate","")</f>
        <v/>
      </c>
    </row>
    <row r="613" customFormat="false" ht="15" hidden="false" customHeight="false" outlineLevel="0" collapsed="false">
      <c r="A613" s="0" t="str">
        <f aca="false">'Raw Store Exports'!A613</f>
        <v>TXN00107</v>
      </c>
      <c r="B613" s="17" t="n">
        <f aca="false">'Raw Store Exports'!C613</f>
        <v>46033</v>
      </c>
      <c r="C613" s="0" t="str">
        <f aca="false">INDEX('Store Mapping'!$C$2:$C$19,MATCH(TRIM('Raw Store Exports'!B613),'Store Mapping'!$A$2:$A$19,0))</f>
        <v>Riverside</v>
      </c>
      <c r="D613" s="0" t="str">
        <f aca="false">'Raw Store Exports'!D613</f>
        <v>ELE-401</v>
      </c>
      <c r="E613" s="0" t="str">
        <f aca="false">INDEX('Product Master'!$B$2:$B$21,MATCH(D613,'Product Master'!$A$2:$A$21,0))</f>
        <v>Wireless Earbuds</v>
      </c>
      <c r="F613" s="0" t="str">
        <f aca="false">INDEX('Product Master'!$C$2:$C$21,MATCH(D613,'Product Master'!$A$2:$A$21,0))</f>
        <v>Electronics</v>
      </c>
      <c r="G613" s="15" t="n">
        <f aca="false">VALUE(TRIM('Raw Store Exports'!E613&amp;""))</f>
        <v>5</v>
      </c>
      <c r="H613" s="18" t="n">
        <f aca="false">INDEX('Product Master'!$D$2:$D$21,MATCH(D613,'Product Master'!$A$2:$A$21,0))</f>
        <v>79</v>
      </c>
      <c r="I613" s="14" t="n">
        <f aca="false">G613*H613</f>
        <v>395</v>
      </c>
      <c r="J613" s="0" t="str">
        <f aca="false">IF(COUNTIF($A$2:A613,A613)&gt;1,"Duplicate","")</f>
        <v>Duplicate</v>
      </c>
    </row>
    <row r="614" customFormat="false" ht="15" hidden="false" customHeight="false" outlineLevel="0" collapsed="false">
      <c r="A614" s="0" t="str">
        <f aca="false">'Raw Store Exports'!A614</f>
        <v>TXN00013</v>
      </c>
      <c r="B614" s="17" t="n">
        <f aca="false">'Raw Store Exports'!C614</f>
        <v>46029</v>
      </c>
      <c r="C614" s="0" t="str">
        <f aca="false">INDEX('Store Mapping'!$C$2:$C$19,MATCH(TRIM('Raw Store Exports'!B614),'Store Mapping'!$A$2:$A$19,0))</f>
        <v>Downtown</v>
      </c>
      <c r="D614" s="0" t="str">
        <f aca="false">'Raw Store Exports'!D614</f>
        <v>FTW-201</v>
      </c>
      <c r="E614" s="0" t="str">
        <f aca="false">INDEX('Product Master'!$B$2:$B$21,MATCH(D614,'Product Master'!$A$2:$A$21,0))</f>
        <v>Running Sneakers</v>
      </c>
      <c r="F614" s="0" t="str">
        <f aca="false">INDEX('Product Master'!$C$2:$C$21,MATCH(D614,'Product Master'!$A$2:$A$21,0))</f>
        <v>Footwear</v>
      </c>
      <c r="G614" s="15" t="n">
        <f aca="false">VALUE(TRIM('Raw Store Exports'!E614&amp;""))</f>
        <v>6</v>
      </c>
      <c r="H614" s="18" t="n">
        <f aca="false">INDEX('Product Master'!$D$2:$D$21,MATCH(D614,'Product Master'!$A$2:$A$21,0))</f>
        <v>89</v>
      </c>
      <c r="I614" s="14" t="n">
        <f aca="false">G614*H614</f>
        <v>534</v>
      </c>
      <c r="J614" s="0" t="str">
        <f aca="false">IF(COUNTIF($A$2:A614,A614)&gt;1,"Duplicate","")</f>
        <v/>
      </c>
    </row>
    <row r="615" customFormat="false" ht="15" hidden="false" customHeight="false" outlineLevel="0" collapsed="false">
      <c r="A615" s="0" t="str">
        <f aca="false">'Raw Store Exports'!A615</f>
        <v>TXN00385</v>
      </c>
      <c r="B615" s="17" t="n">
        <f aca="false">'Raw Store Exports'!C615</f>
        <v>46047</v>
      </c>
      <c r="C615" s="0" t="str">
        <f aca="false">INDEX('Store Mapping'!$C$2:$C$19,MATCH(TRIM('Raw Store Exports'!B615),'Store Mapping'!$A$2:$A$19,0))</f>
        <v>Riverside</v>
      </c>
      <c r="D615" s="0" t="str">
        <f aca="false">'Raw Store Exports'!D615</f>
        <v>ELE-401</v>
      </c>
      <c r="E615" s="0" t="str">
        <f aca="false">INDEX('Product Master'!$B$2:$B$21,MATCH(D615,'Product Master'!$A$2:$A$21,0))</f>
        <v>Wireless Earbuds</v>
      </c>
      <c r="F615" s="0" t="str">
        <f aca="false">INDEX('Product Master'!$C$2:$C$21,MATCH(D615,'Product Master'!$A$2:$A$21,0))</f>
        <v>Electronics</v>
      </c>
      <c r="G615" s="15" t="n">
        <f aca="false">VALUE(TRIM('Raw Store Exports'!E615&amp;""))</f>
        <v>6</v>
      </c>
      <c r="H615" s="18" t="n">
        <f aca="false">INDEX('Product Master'!$D$2:$D$21,MATCH(D615,'Product Master'!$A$2:$A$21,0))</f>
        <v>79</v>
      </c>
      <c r="I615" s="14" t="n">
        <f aca="false">G615*H615</f>
        <v>474</v>
      </c>
      <c r="J615" s="0" t="str">
        <f aca="false">IF(COUNTIF($A$2:A615,A615)&gt;1,"Duplicate","")</f>
        <v/>
      </c>
    </row>
    <row r="616" customFormat="false" ht="15" hidden="false" customHeight="false" outlineLevel="0" collapsed="false">
      <c r="A616" s="0" t="str">
        <f aca="false">'Raw Store Exports'!A616</f>
        <v>TXN00015</v>
      </c>
      <c r="B616" s="17" t="n">
        <f aca="false">'Raw Store Exports'!C616</f>
        <v>46033</v>
      </c>
      <c r="C616" s="0" t="str">
        <f aca="false">INDEX('Store Mapping'!$C$2:$C$19,MATCH(TRIM('Raw Store Exports'!B616),'Store Mapping'!$A$2:$A$19,0))</f>
        <v>Downtown</v>
      </c>
      <c r="D616" s="0" t="str">
        <f aca="false">'Raw Store Exports'!D616</f>
        <v>APP-103</v>
      </c>
      <c r="E616" s="0" t="str">
        <f aca="false">INDEX('Product Master'!$B$2:$B$21,MATCH(D616,'Product Master'!$A$2:$A$21,0))</f>
        <v>Fleece Pullover Hoodie</v>
      </c>
      <c r="F616" s="0" t="str">
        <f aca="false">INDEX('Product Master'!$C$2:$C$21,MATCH(D616,'Product Master'!$A$2:$A$21,0))</f>
        <v>Apparel</v>
      </c>
      <c r="G616" s="15" t="n">
        <f aca="false">VALUE(TRIM('Raw Store Exports'!E616&amp;""))</f>
        <v>3</v>
      </c>
      <c r="H616" s="18" t="n">
        <f aca="false">INDEX('Product Master'!$D$2:$D$21,MATCH(D616,'Product Master'!$A$2:$A$21,0))</f>
        <v>45</v>
      </c>
      <c r="I616" s="14" t="n">
        <f aca="false">G616*H616</f>
        <v>135</v>
      </c>
      <c r="J616" s="0" t="str">
        <f aca="false">IF(COUNTIF($A$2:A616,A616)&gt;1,"Duplicate","")</f>
        <v/>
      </c>
    </row>
    <row r="617" customFormat="false" ht="15" hidden="false" customHeight="false" outlineLevel="0" collapsed="false">
      <c r="A617" s="0" t="str">
        <f aca="false">'Raw Store Exports'!A617</f>
        <v>TXN00824</v>
      </c>
      <c r="B617" s="17" t="n">
        <f aca="false">'Raw Store Exports'!C617</f>
        <v>46065</v>
      </c>
      <c r="C617" s="0" t="str">
        <f aca="false">INDEX('Store Mapping'!$C$2:$C$19,MATCH(TRIM('Raw Store Exports'!B617),'Store Mapping'!$A$2:$A$19,0))</f>
        <v>Northpark</v>
      </c>
      <c r="D617" s="0" t="str">
        <f aca="false">'Raw Store Exports'!D617</f>
        <v>ELE-404</v>
      </c>
      <c r="E617" s="0" t="str">
        <f aca="false">INDEX('Product Master'!$B$2:$B$21,MATCH(D617,'Product Master'!$A$2:$A$21,0))</f>
        <v>Phone Charging Cable</v>
      </c>
      <c r="F617" s="0" t="str">
        <f aca="false">INDEX('Product Master'!$C$2:$C$21,MATCH(D617,'Product Master'!$A$2:$A$21,0))</f>
        <v>Electronics</v>
      </c>
      <c r="G617" s="15" t="n">
        <f aca="false">VALUE(TRIM('Raw Store Exports'!E617&amp;""))</f>
        <v>2</v>
      </c>
      <c r="H617" s="18" t="n">
        <f aca="false">INDEX('Product Master'!$D$2:$D$21,MATCH(D617,'Product Master'!$A$2:$A$21,0))</f>
        <v>12</v>
      </c>
      <c r="I617" s="14" t="n">
        <f aca="false">G617*H617</f>
        <v>24</v>
      </c>
      <c r="J617" s="0" t="str">
        <f aca="false">IF(COUNTIF($A$2:A617,A617)&gt;1,"Duplicate","")</f>
        <v/>
      </c>
    </row>
    <row r="618" customFormat="false" ht="15" hidden="false" customHeight="false" outlineLevel="0" collapsed="false">
      <c r="A618" s="0" t="str">
        <f aca="false">'Raw Store Exports'!A618</f>
        <v>TXN00353</v>
      </c>
      <c r="B618" s="17" t="n">
        <f aca="false">'Raw Store Exports'!C618</f>
        <v>46044</v>
      </c>
      <c r="C618" s="0" t="str">
        <f aca="false">INDEX('Store Mapping'!$C$2:$C$19,MATCH(TRIM('Raw Store Exports'!B618),'Store Mapping'!$A$2:$A$19,0))</f>
        <v>Northpark</v>
      </c>
      <c r="D618" s="0" t="str">
        <f aca="false">'Raw Store Exports'!D618</f>
        <v>FTW-201</v>
      </c>
      <c r="E618" s="0" t="str">
        <f aca="false">INDEX('Product Master'!$B$2:$B$21,MATCH(D618,'Product Master'!$A$2:$A$21,0))</f>
        <v>Running Sneakers</v>
      </c>
      <c r="F618" s="0" t="str">
        <f aca="false">INDEX('Product Master'!$C$2:$C$21,MATCH(D618,'Product Master'!$A$2:$A$21,0))</f>
        <v>Footwear</v>
      </c>
      <c r="G618" s="15" t="n">
        <f aca="false">VALUE(TRIM('Raw Store Exports'!E618&amp;""))</f>
        <v>1</v>
      </c>
      <c r="H618" s="18" t="n">
        <f aca="false">INDEX('Product Master'!$D$2:$D$21,MATCH(D618,'Product Master'!$A$2:$A$21,0))</f>
        <v>89</v>
      </c>
      <c r="I618" s="14" t="n">
        <f aca="false">G618*H618</f>
        <v>89</v>
      </c>
      <c r="J618" s="0" t="str">
        <f aca="false">IF(COUNTIF($A$2:A618,A618)&gt;1,"Duplicate","")</f>
        <v/>
      </c>
    </row>
    <row r="619" customFormat="false" ht="15" hidden="false" customHeight="false" outlineLevel="0" collapsed="false">
      <c r="A619" s="0" t="str">
        <f aca="false">'Raw Store Exports'!A619</f>
        <v>TXN00752</v>
      </c>
      <c r="B619" s="17" t="n">
        <f aca="false">'Raw Store Exports'!C619</f>
        <v>46067</v>
      </c>
      <c r="C619" s="0" t="str">
        <f aca="false">INDEX('Store Mapping'!$C$2:$C$19,MATCH(TRIM('Raw Store Exports'!B619),'Store Mapping'!$A$2:$A$19,0))</f>
        <v>Downtown</v>
      </c>
      <c r="D619" s="0" t="str">
        <f aca="false">'Raw Store Exports'!D619</f>
        <v>APP-102</v>
      </c>
      <c r="E619" s="0" t="str">
        <f aca="false">INDEX('Product Master'!$B$2:$B$21,MATCH(D619,'Product Master'!$A$2:$A$21,0))</f>
        <v>Cotton Crew T-Shirt</v>
      </c>
      <c r="F619" s="0" t="str">
        <f aca="false">INDEX('Product Master'!$C$2:$C$21,MATCH(D619,'Product Master'!$A$2:$A$21,0))</f>
        <v>Apparel</v>
      </c>
      <c r="G619" s="15" t="n">
        <f aca="false">VALUE(TRIM('Raw Store Exports'!E619&amp;""))</f>
        <v>1</v>
      </c>
      <c r="H619" s="18" t="n">
        <f aca="false">INDEX('Product Master'!$D$2:$D$21,MATCH(D619,'Product Master'!$A$2:$A$21,0))</f>
        <v>18</v>
      </c>
      <c r="I619" s="14" t="n">
        <f aca="false">G619*H619</f>
        <v>18</v>
      </c>
      <c r="J619" s="0" t="str">
        <f aca="false">IF(COUNTIF($A$2:A619,A619)&gt;1,"Duplicate","")</f>
        <v/>
      </c>
    </row>
    <row r="620" customFormat="false" ht="15" hidden="false" customHeight="false" outlineLevel="0" collapsed="false">
      <c r="A620" s="0" t="str">
        <f aca="false">'Raw Store Exports'!A620</f>
        <v>TXN00097</v>
      </c>
      <c r="B620" s="17" t="n">
        <f aca="false">'Raw Store Exports'!C620</f>
        <v>46032</v>
      </c>
      <c r="C620" s="0" t="str">
        <f aca="false">INDEX('Store Mapping'!$C$2:$C$19,MATCH(TRIM('Raw Store Exports'!B620),'Store Mapping'!$A$2:$A$19,0))</f>
        <v>Riverside</v>
      </c>
      <c r="D620" s="0" t="str">
        <f aca="false">'Raw Store Exports'!D620</f>
        <v>ELE-402</v>
      </c>
      <c r="E620" s="0" t="str">
        <f aca="false">INDEX('Product Master'!$B$2:$B$21,MATCH(D620,'Product Master'!$A$2:$A$21,0))</f>
        <v>Bluetooth Speaker</v>
      </c>
      <c r="F620" s="0" t="str">
        <f aca="false">INDEX('Product Master'!$C$2:$C$21,MATCH(D620,'Product Master'!$A$2:$A$21,0))</f>
        <v>Electronics</v>
      </c>
      <c r="G620" s="15" t="n">
        <f aca="false">VALUE(TRIM('Raw Store Exports'!E620&amp;""))</f>
        <v>5</v>
      </c>
      <c r="H620" s="18" t="n">
        <f aca="false">INDEX('Product Master'!$D$2:$D$21,MATCH(D620,'Product Master'!$A$2:$A$21,0))</f>
        <v>59</v>
      </c>
      <c r="I620" s="14" t="n">
        <f aca="false">G620*H620</f>
        <v>295</v>
      </c>
      <c r="J620" s="0" t="str">
        <f aca="false">IF(COUNTIF($A$2:A620,A620)&gt;1,"Duplicate","")</f>
        <v/>
      </c>
    </row>
    <row r="621" customFormat="false" ht="15" hidden="false" customHeight="false" outlineLevel="0" collapsed="false">
      <c r="A621" s="0" t="str">
        <f aca="false">'Raw Store Exports'!A621</f>
        <v>TXN00389</v>
      </c>
      <c r="B621" s="17" t="n">
        <f aca="false">'Raw Store Exports'!C621</f>
        <v>46043</v>
      </c>
      <c r="C621" s="0" t="str">
        <f aca="false">INDEX('Store Mapping'!$C$2:$C$19,MATCH(TRIM('Raw Store Exports'!B621),'Store Mapping'!$A$2:$A$19,0))</f>
        <v>Riverside</v>
      </c>
      <c r="D621" s="0" t="str">
        <f aca="false">'Raw Store Exports'!D621</f>
        <v>FTW-204</v>
      </c>
      <c r="E621" s="0" t="str">
        <f aca="false">INDEX('Product Master'!$B$2:$B$21,MATCH(D621,'Product Master'!$A$2:$A$21,0))</f>
        <v>Slide Sandals</v>
      </c>
      <c r="F621" s="0" t="str">
        <f aca="false">INDEX('Product Master'!$C$2:$C$21,MATCH(D621,'Product Master'!$A$2:$A$21,0))</f>
        <v>Footwear</v>
      </c>
      <c r="G621" s="15" t="n">
        <f aca="false">VALUE(TRIM('Raw Store Exports'!E621&amp;""))</f>
        <v>5</v>
      </c>
      <c r="H621" s="18" t="n">
        <f aca="false">INDEX('Product Master'!$D$2:$D$21,MATCH(D621,'Product Master'!$A$2:$A$21,0))</f>
        <v>25</v>
      </c>
      <c r="I621" s="14" t="n">
        <f aca="false">G621*H621</f>
        <v>125</v>
      </c>
      <c r="J621" s="0" t="str">
        <f aca="false">IF(COUNTIF($A$2:A621,A621)&gt;1,"Duplicate","")</f>
        <v/>
      </c>
    </row>
    <row r="622" customFormat="false" ht="15" hidden="false" customHeight="false" outlineLevel="0" collapsed="false">
      <c r="A622" s="0" t="str">
        <f aca="false">'Raw Store Exports'!A622</f>
        <v>TXN00250</v>
      </c>
      <c r="B622" s="17" t="n">
        <f aca="false">'Raw Store Exports'!C622</f>
        <v>46035</v>
      </c>
      <c r="C622" s="0" t="str">
        <f aca="false">INDEX('Store Mapping'!$C$2:$C$19,MATCH(TRIM('Raw Store Exports'!B622),'Store Mapping'!$A$2:$A$19,0))</f>
        <v>Airport Plaza</v>
      </c>
      <c r="D622" s="0" t="str">
        <f aca="false">'Raw Store Exports'!D622</f>
        <v>APP-104</v>
      </c>
      <c r="E622" s="0" t="str">
        <f aca="false">INDEX('Product Master'!$B$2:$B$21,MATCH(D622,'Product Master'!$A$2:$A$21,0))</f>
        <v>Slim Fit Chinos</v>
      </c>
      <c r="F622" s="0" t="str">
        <f aca="false">INDEX('Product Master'!$C$2:$C$21,MATCH(D622,'Product Master'!$A$2:$A$21,0))</f>
        <v>Apparel</v>
      </c>
      <c r="G622" s="15" t="n">
        <f aca="false">VALUE(TRIM('Raw Store Exports'!E622&amp;""))</f>
        <v>5</v>
      </c>
      <c r="H622" s="18" t="n">
        <f aca="false">INDEX('Product Master'!$D$2:$D$21,MATCH(D622,'Product Master'!$A$2:$A$21,0))</f>
        <v>52</v>
      </c>
      <c r="I622" s="14" t="n">
        <f aca="false">G622*H622</f>
        <v>260</v>
      </c>
      <c r="J622" s="0" t="str">
        <f aca="false">IF(COUNTIF($A$2:A622,A622)&gt;1,"Duplicate","")</f>
        <v/>
      </c>
    </row>
    <row r="623" customFormat="false" ht="15" hidden="false" customHeight="false" outlineLevel="0" collapsed="false">
      <c r="A623" s="0" t="str">
        <f aca="false">'Raw Store Exports'!A623</f>
        <v>TXN00202</v>
      </c>
      <c r="B623" s="17" t="n">
        <f aca="false">'Raw Store Exports'!C623</f>
        <v>46035</v>
      </c>
      <c r="C623" s="0" t="str">
        <f aca="false">INDEX('Store Mapping'!$C$2:$C$19,MATCH(TRIM('Raw Store Exports'!B623),'Store Mapping'!$A$2:$A$19,0))</f>
        <v>Northpark</v>
      </c>
      <c r="D623" s="0" t="str">
        <f aca="false">'Raw Store Exports'!D623</f>
        <v>ACC-301</v>
      </c>
      <c r="E623" s="0" t="str">
        <f aca="false">INDEX('Product Master'!$B$2:$B$21,MATCH(D623,'Product Master'!$A$2:$A$21,0))</f>
        <v>Leather Belt</v>
      </c>
      <c r="F623" s="0" t="str">
        <f aca="false">INDEX('Product Master'!$C$2:$C$21,MATCH(D623,'Product Master'!$A$2:$A$21,0))</f>
        <v>Accessories</v>
      </c>
      <c r="G623" s="15" t="n">
        <f aca="false">VALUE(TRIM('Raw Store Exports'!E623&amp;""))</f>
        <v>6</v>
      </c>
      <c r="H623" s="18" t="n">
        <f aca="false">INDEX('Product Master'!$D$2:$D$21,MATCH(D623,'Product Master'!$A$2:$A$21,0))</f>
        <v>30</v>
      </c>
      <c r="I623" s="14" t="n">
        <f aca="false">G623*H623</f>
        <v>180</v>
      </c>
      <c r="J623" s="0" t="str">
        <f aca="false">IF(COUNTIF($A$2:A623,A623)&gt;1,"Duplicate","")</f>
        <v/>
      </c>
    </row>
    <row r="624" customFormat="false" ht="15" hidden="false" customHeight="false" outlineLevel="0" collapsed="false">
      <c r="A624" s="0" t="str">
        <f aca="false">'Raw Store Exports'!A624</f>
        <v>TXN00359</v>
      </c>
      <c r="B624" s="17" t="n">
        <f aca="false">'Raw Store Exports'!C624</f>
        <v>46046</v>
      </c>
      <c r="C624" s="0" t="str">
        <f aca="false">INDEX('Store Mapping'!$C$2:$C$19,MATCH(TRIM('Raw Store Exports'!B624),'Store Mapping'!$A$2:$A$19,0))</f>
        <v>Northpark</v>
      </c>
      <c r="D624" s="0" t="str">
        <f aca="false">'Raw Store Exports'!D624</f>
        <v>HOM-503</v>
      </c>
      <c r="E624" s="0" t="str">
        <f aca="false">INDEX('Product Master'!$B$2:$B$21,MATCH(D624,'Product Master'!$A$2:$A$21,0))</f>
        <v>Cotton Throw Blanket</v>
      </c>
      <c r="F624" s="0" t="str">
        <f aca="false">INDEX('Product Master'!$C$2:$C$21,MATCH(D624,'Product Master'!$A$2:$A$21,0))</f>
        <v>Home Goods</v>
      </c>
      <c r="G624" s="15" t="n">
        <f aca="false">VALUE(TRIM('Raw Store Exports'!E624&amp;""))</f>
        <v>6</v>
      </c>
      <c r="H624" s="18" t="n">
        <f aca="false">INDEX('Product Master'!$D$2:$D$21,MATCH(D624,'Product Master'!$A$2:$A$21,0))</f>
        <v>38</v>
      </c>
      <c r="I624" s="14" t="n">
        <f aca="false">G624*H624</f>
        <v>228</v>
      </c>
      <c r="J624" s="0" t="str">
        <f aca="false">IF(COUNTIF($A$2:A624,A624)&gt;1,"Duplicate","")</f>
        <v/>
      </c>
    </row>
    <row r="625" customFormat="false" ht="15" hidden="false" customHeight="false" outlineLevel="0" collapsed="false">
      <c r="A625" s="0" t="str">
        <f aca="false">'Raw Store Exports'!A625</f>
        <v>TXN00561</v>
      </c>
      <c r="B625" s="17" t="n">
        <f aca="false">'Raw Store Exports'!C625</f>
        <v>46050</v>
      </c>
      <c r="C625" s="0" t="str">
        <f aca="false">INDEX('Store Mapping'!$C$2:$C$19,MATCH(TRIM('Raw Store Exports'!B625),'Store Mapping'!$A$2:$A$19,0))</f>
        <v>Riverside</v>
      </c>
      <c r="D625" s="0" t="str">
        <f aca="false">'Raw Store Exports'!D625</f>
        <v>ELE-404</v>
      </c>
      <c r="E625" s="0" t="str">
        <f aca="false">INDEX('Product Master'!$B$2:$B$21,MATCH(D625,'Product Master'!$A$2:$A$21,0))</f>
        <v>Phone Charging Cable</v>
      </c>
      <c r="F625" s="0" t="str">
        <f aca="false">INDEX('Product Master'!$C$2:$C$21,MATCH(D625,'Product Master'!$A$2:$A$21,0))</f>
        <v>Electronics</v>
      </c>
      <c r="G625" s="15" t="n">
        <f aca="false">VALUE(TRIM('Raw Store Exports'!E625&amp;""))</f>
        <v>6</v>
      </c>
      <c r="H625" s="18" t="n">
        <f aca="false">INDEX('Product Master'!$D$2:$D$21,MATCH(D625,'Product Master'!$A$2:$A$21,0))</f>
        <v>12</v>
      </c>
      <c r="I625" s="14" t="n">
        <f aca="false">G625*H625</f>
        <v>72</v>
      </c>
      <c r="J625" s="0" t="str">
        <f aca="false">IF(COUNTIF($A$2:A625,A625)&gt;1,"Duplicate","")</f>
        <v/>
      </c>
    </row>
    <row r="626" customFormat="false" ht="15" hidden="false" customHeight="false" outlineLevel="0" collapsed="false">
      <c r="A626" s="0" t="str">
        <f aca="false">'Raw Store Exports'!A626</f>
        <v>TXN00124</v>
      </c>
      <c r="B626" s="17" t="n">
        <f aca="false">'Raw Store Exports'!C626</f>
        <v>46030</v>
      </c>
      <c r="C626" s="0" t="str">
        <f aca="false">INDEX('Store Mapping'!$C$2:$C$19,MATCH(TRIM('Raw Store Exports'!B626),'Store Mapping'!$A$2:$A$19,0))</f>
        <v>Airport Plaza</v>
      </c>
      <c r="D626" s="0" t="str">
        <f aca="false">'Raw Store Exports'!D626</f>
        <v>ACC-304</v>
      </c>
      <c r="E626" s="0" t="str">
        <f aca="false">INDEX('Product Master'!$B$2:$B$21,MATCH(D626,'Product Master'!$A$2:$A$21,0))</f>
        <v>Wool Beanie</v>
      </c>
      <c r="F626" s="0" t="str">
        <f aca="false">INDEX('Product Master'!$C$2:$C$21,MATCH(D626,'Product Master'!$A$2:$A$21,0))</f>
        <v>Accessories</v>
      </c>
      <c r="G626" s="15" t="n">
        <f aca="false">VALUE(TRIM('Raw Store Exports'!E626&amp;""))</f>
        <v>1</v>
      </c>
      <c r="H626" s="18" t="n">
        <f aca="false">INDEX('Product Master'!$D$2:$D$21,MATCH(D626,'Product Master'!$A$2:$A$21,0))</f>
        <v>16</v>
      </c>
      <c r="I626" s="14" t="n">
        <f aca="false">G626*H626</f>
        <v>16</v>
      </c>
      <c r="J626" s="0" t="str">
        <f aca="false">IF(COUNTIF($A$2:A626,A626)&gt;1,"Duplicate","")</f>
        <v/>
      </c>
    </row>
    <row r="627" customFormat="false" ht="15" hidden="false" customHeight="false" outlineLevel="0" collapsed="false">
      <c r="A627" s="0" t="str">
        <f aca="false">'Raw Store Exports'!A627</f>
        <v>TXN00548</v>
      </c>
      <c r="B627" s="17" t="n">
        <f aca="false">'Raw Store Exports'!C627</f>
        <v>46053</v>
      </c>
      <c r="C627" s="0" t="str">
        <f aca="false">INDEX('Store Mapping'!$C$2:$C$19,MATCH(TRIM('Raw Store Exports'!B627),'Store Mapping'!$A$2:$A$19,0))</f>
        <v>Riverside</v>
      </c>
      <c r="D627" s="0" t="str">
        <f aca="false">'Raw Store Exports'!D627</f>
        <v>HOM-501</v>
      </c>
      <c r="E627" s="0" t="str">
        <f aca="false">INDEX('Product Master'!$B$2:$B$21,MATCH(D627,'Product Master'!$A$2:$A$21,0))</f>
        <v>Ceramic Coffee Mug Set</v>
      </c>
      <c r="F627" s="0" t="str">
        <f aca="false">INDEX('Product Master'!$C$2:$C$21,MATCH(D627,'Product Master'!$A$2:$A$21,0))</f>
        <v>Home Goods</v>
      </c>
      <c r="G627" s="15" t="n">
        <f aca="false">VALUE(TRIM('Raw Store Exports'!E627&amp;""))</f>
        <v>5</v>
      </c>
      <c r="H627" s="18" t="n">
        <f aca="false">INDEX('Product Master'!$D$2:$D$21,MATCH(D627,'Product Master'!$A$2:$A$21,0))</f>
        <v>22</v>
      </c>
      <c r="I627" s="14" t="n">
        <f aca="false">G627*H627</f>
        <v>110</v>
      </c>
      <c r="J627" s="0" t="str">
        <f aca="false">IF(COUNTIF($A$2:A627,A627)&gt;1,"Duplicate","")</f>
        <v/>
      </c>
    </row>
    <row r="628" customFormat="false" ht="15" hidden="false" customHeight="false" outlineLevel="0" collapsed="false">
      <c r="A628" s="0" t="str">
        <f aca="false">'Raw Store Exports'!A628</f>
        <v>TXN00297</v>
      </c>
      <c r="B628" s="17" t="n">
        <f aca="false">'Raw Store Exports'!C628</f>
        <v>46046</v>
      </c>
      <c r="C628" s="0" t="str">
        <f aca="false">INDEX('Store Mapping'!$C$2:$C$19,MATCH(TRIM('Raw Store Exports'!B628),'Store Mapping'!$A$2:$A$19,0))</f>
        <v>Downtown</v>
      </c>
      <c r="D628" s="0" t="str">
        <f aca="false">'Raw Store Exports'!D628</f>
        <v>ELE-403</v>
      </c>
      <c r="E628" s="0" t="str">
        <f aca="false">INDEX('Product Master'!$B$2:$B$21,MATCH(D628,'Product Master'!$A$2:$A$21,0))</f>
        <v>Fitness Tracker Band</v>
      </c>
      <c r="F628" s="0" t="str">
        <f aca="false">INDEX('Product Master'!$C$2:$C$21,MATCH(D628,'Product Master'!$A$2:$A$21,0))</f>
        <v>Electronics</v>
      </c>
      <c r="G628" s="15" t="n">
        <f aca="false">VALUE(TRIM('Raw Store Exports'!E628&amp;""))</f>
        <v>3</v>
      </c>
      <c r="H628" s="18" t="n">
        <f aca="false">INDEX('Product Master'!$D$2:$D$21,MATCH(D628,'Product Master'!$A$2:$A$21,0))</f>
        <v>99</v>
      </c>
      <c r="I628" s="14" t="n">
        <f aca="false">G628*H628</f>
        <v>297</v>
      </c>
      <c r="J628" s="0" t="str">
        <f aca="false">IF(COUNTIF($A$2:A628,A628)&gt;1,"Duplicate","")</f>
        <v/>
      </c>
    </row>
    <row r="629" customFormat="false" ht="15" hidden="false" customHeight="false" outlineLevel="0" collapsed="false">
      <c r="A629" s="0" t="str">
        <f aca="false">'Raw Store Exports'!A629</f>
        <v>TXN00991</v>
      </c>
      <c r="B629" s="17" t="n">
        <f aca="false">'Raw Store Exports'!C629</f>
        <v>46074</v>
      </c>
      <c r="C629" s="0" t="str">
        <f aca="false">INDEX('Store Mapping'!$C$2:$C$19,MATCH(TRIM('Raw Store Exports'!B629),'Store Mapping'!$A$2:$A$19,0))</f>
        <v>Northpark</v>
      </c>
      <c r="D629" s="0" t="str">
        <f aca="false">'Raw Store Exports'!D629</f>
        <v>APP-102</v>
      </c>
      <c r="E629" s="0" t="str">
        <f aca="false">INDEX('Product Master'!$B$2:$B$21,MATCH(D629,'Product Master'!$A$2:$A$21,0))</f>
        <v>Cotton Crew T-Shirt</v>
      </c>
      <c r="F629" s="0" t="str">
        <f aca="false">INDEX('Product Master'!$C$2:$C$21,MATCH(D629,'Product Master'!$A$2:$A$21,0))</f>
        <v>Apparel</v>
      </c>
      <c r="G629" s="15" t="n">
        <f aca="false">VALUE(TRIM('Raw Store Exports'!E629&amp;""))</f>
        <v>2</v>
      </c>
      <c r="H629" s="18" t="n">
        <f aca="false">INDEX('Product Master'!$D$2:$D$21,MATCH(D629,'Product Master'!$A$2:$A$21,0))</f>
        <v>18</v>
      </c>
      <c r="I629" s="14" t="n">
        <f aca="false">G629*H629</f>
        <v>36</v>
      </c>
      <c r="J629" s="0" t="str">
        <f aca="false">IF(COUNTIF($A$2:A629,A629)&gt;1,"Duplicate","")</f>
        <v/>
      </c>
    </row>
    <row r="630" customFormat="false" ht="15" hidden="false" customHeight="false" outlineLevel="0" collapsed="false">
      <c r="A630" s="0" t="str">
        <f aca="false">'Raw Store Exports'!A630</f>
        <v>TXN00926</v>
      </c>
      <c r="B630" s="17" t="n">
        <f aca="false">'Raw Store Exports'!C630</f>
        <v>46069</v>
      </c>
      <c r="C630" s="0" t="str">
        <f aca="false">INDEX('Store Mapping'!$C$2:$C$19,MATCH(TRIM('Raw Store Exports'!B630),'Store Mapping'!$A$2:$A$19,0))</f>
        <v>Westside Mall</v>
      </c>
      <c r="D630" s="0" t="str">
        <f aca="false">'Raw Store Exports'!D630</f>
        <v>HOM-502</v>
      </c>
      <c r="E630" s="0" t="str">
        <f aca="false">INDEX('Product Master'!$B$2:$B$21,MATCH(D630,'Product Master'!$A$2:$A$21,0))</f>
        <v>Scented Candle</v>
      </c>
      <c r="F630" s="0" t="str">
        <f aca="false">INDEX('Product Master'!$C$2:$C$21,MATCH(D630,'Product Master'!$A$2:$A$21,0))</f>
        <v>Home Goods</v>
      </c>
      <c r="G630" s="15" t="n">
        <f aca="false">VALUE(TRIM('Raw Store Exports'!E630&amp;""))</f>
        <v>1</v>
      </c>
      <c r="H630" s="18" t="n">
        <f aca="false">INDEX('Product Master'!$D$2:$D$21,MATCH(D630,'Product Master'!$A$2:$A$21,0))</f>
        <v>15</v>
      </c>
      <c r="I630" s="14" t="n">
        <f aca="false">G630*H630</f>
        <v>15</v>
      </c>
      <c r="J630" s="0" t="str">
        <f aca="false">IF(COUNTIF($A$2:A630,A630)&gt;1,"Duplicate","")</f>
        <v/>
      </c>
    </row>
    <row r="631" customFormat="false" ht="15" hidden="false" customHeight="false" outlineLevel="0" collapsed="false">
      <c r="A631" s="0" t="str">
        <f aca="false">'Raw Store Exports'!A631</f>
        <v>TXN00212</v>
      </c>
      <c r="B631" s="17" t="n">
        <f aca="false">'Raw Store Exports'!C631</f>
        <v>46040</v>
      </c>
      <c r="C631" s="0" t="str">
        <f aca="false">INDEX('Store Mapping'!$C$2:$C$19,MATCH(TRIM('Raw Store Exports'!B631),'Store Mapping'!$A$2:$A$19,0))</f>
        <v>Northpark</v>
      </c>
      <c r="D631" s="0" t="str">
        <f aca="false">'Raw Store Exports'!D631</f>
        <v>FTW-203</v>
      </c>
      <c r="E631" s="0" t="str">
        <f aca="false">INDEX('Product Master'!$B$2:$B$21,MATCH(D631,'Product Master'!$A$2:$A$21,0))</f>
        <v>Leather Ankle Boot</v>
      </c>
      <c r="F631" s="0" t="str">
        <f aca="false">INDEX('Product Master'!$C$2:$C$21,MATCH(D631,'Product Master'!$A$2:$A$21,0))</f>
        <v>Footwear</v>
      </c>
      <c r="G631" s="15" t="n">
        <f aca="false">VALUE(TRIM('Raw Store Exports'!E631&amp;""))</f>
        <v>4</v>
      </c>
      <c r="H631" s="18" t="n">
        <f aca="false">INDEX('Product Master'!$D$2:$D$21,MATCH(D631,'Product Master'!$A$2:$A$21,0))</f>
        <v>120</v>
      </c>
      <c r="I631" s="14" t="n">
        <f aca="false">G631*H631</f>
        <v>480</v>
      </c>
      <c r="J631" s="0" t="str">
        <f aca="false">IF(COUNTIF($A$2:A631,A631)&gt;1,"Duplicate","")</f>
        <v/>
      </c>
    </row>
    <row r="632" customFormat="false" ht="15" hidden="false" customHeight="false" outlineLevel="0" collapsed="false">
      <c r="A632" s="0" t="str">
        <f aca="false">'Raw Store Exports'!A632</f>
        <v>TXN00221</v>
      </c>
      <c r="B632" s="17" t="n">
        <f aca="false">'Raw Store Exports'!C632</f>
        <v>46037</v>
      </c>
      <c r="C632" s="0" t="str">
        <f aca="false">INDEX('Store Mapping'!$C$2:$C$19,MATCH(TRIM('Raw Store Exports'!B632),'Store Mapping'!$A$2:$A$19,0))</f>
        <v>Northpark</v>
      </c>
      <c r="D632" s="0" t="str">
        <f aca="false">'Raw Store Exports'!D632</f>
        <v>ELE-401</v>
      </c>
      <c r="E632" s="0" t="str">
        <f aca="false">INDEX('Product Master'!$B$2:$B$21,MATCH(D632,'Product Master'!$A$2:$A$21,0))</f>
        <v>Wireless Earbuds</v>
      </c>
      <c r="F632" s="0" t="str">
        <f aca="false">INDEX('Product Master'!$C$2:$C$21,MATCH(D632,'Product Master'!$A$2:$A$21,0))</f>
        <v>Electronics</v>
      </c>
      <c r="G632" s="15" t="n">
        <f aca="false">VALUE(TRIM('Raw Store Exports'!E632&amp;""))</f>
        <v>5</v>
      </c>
      <c r="H632" s="18" t="n">
        <f aca="false">INDEX('Product Master'!$D$2:$D$21,MATCH(D632,'Product Master'!$A$2:$A$21,0))</f>
        <v>79</v>
      </c>
      <c r="I632" s="14" t="n">
        <f aca="false">G632*H632</f>
        <v>395</v>
      </c>
      <c r="J632" s="0" t="str">
        <f aca="false">IF(COUNTIF($A$2:A632,A632)&gt;1,"Duplicate","")</f>
        <v/>
      </c>
    </row>
    <row r="633" customFormat="false" ht="15" hidden="false" customHeight="false" outlineLevel="0" collapsed="false">
      <c r="A633" s="0" t="str">
        <f aca="false">'Raw Store Exports'!A633</f>
        <v>TXN00656</v>
      </c>
      <c r="B633" s="17" t="n">
        <f aca="false">'Raw Store Exports'!C633</f>
        <v>46055</v>
      </c>
      <c r="C633" s="0" t="str">
        <f aca="false">INDEX('Store Mapping'!$C$2:$C$19,MATCH(TRIM('Raw Store Exports'!B633),'Store Mapping'!$A$2:$A$19,0))</f>
        <v>Eastgate</v>
      </c>
      <c r="D633" s="0" t="str">
        <f aca="false">'Raw Store Exports'!D633</f>
        <v>APP-103</v>
      </c>
      <c r="E633" s="0" t="str">
        <f aca="false">INDEX('Product Master'!$B$2:$B$21,MATCH(D633,'Product Master'!$A$2:$A$21,0))</f>
        <v>Fleece Pullover Hoodie</v>
      </c>
      <c r="F633" s="0" t="str">
        <f aca="false">INDEX('Product Master'!$C$2:$C$21,MATCH(D633,'Product Master'!$A$2:$A$21,0))</f>
        <v>Apparel</v>
      </c>
      <c r="G633" s="15" t="n">
        <f aca="false">VALUE(TRIM('Raw Store Exports'!E633&amp;""))</f>
        <v>2</v>
      </c>
      <c r="H633" s="18" t="n">
        <f aca="false">INDEX('Product Master'!$D$2:$D$21,MATCH(D633,'Product Master'!$A$2:$A$21,0))</f>
        <v>45</v>
      </c>
      <c r="I633" s="14" t="n">
        <f aca="false">G633*H633</f>
        <v>90</v>
      </c>
      <c r="J633" s="0" t="str">
        <f aca="false">IF(COUNTIF($A$2:A633,A633)&gt;1,"Duplicate","")</f>
        <v/>
      </c>
    </row>
    <row r="634" customFormat="false" ht="15" hidden="false" customHeight="false" outlineLevel="0" collapsed="false">
      <c r="A634" s="0" t="str">
        <f aca="false">'Raw Store Exports'!A634</f>
        <v>TXN00722</v>
      </c>
      <c r="B634" s="17" t="n">
        <f aca="false">'Raw Store Exports'!C634</f>
        <v>46059</v>
      </c>
      <c r="C634" s="0" t="str">
        <f aca="false">INDEX('Store Mapping'!$C$2:$C$19,MATCH(TRIM('Raw Store Exports'!B634),'Store Mapping'!$A$2:$A$19,0))</f>
        <v>Riverside</v>
      </c>
      <c r="D634" s="0" t="str">
        <f aca="false">'Raw Store Exports'!D634</f>
        <v>FTW-204</v>
      </c>
      <c r="E634" s="0" t="str">
        <f aca="false">INDEX('Product Master'!$B$2:$B$21,MATCH(D634,'Product Master'!$A$2:$A$21,0))</f>
        <v>Slide Sandals</v>
      </c>
      <c r="F634" s="0" t="str">
        <f aca="false">INDEX('Product Master'!$C$2:$C$21,MATCH(D634,'Product Master'!$A$2:$A$21,0))</f>
        <v>Footwear</v>
      </c>
      <c r="G634" s="15" t="n">
        <f aca="false">VALUE(TRIM('Raw Store Exports'!E634&amp;""))</f>
        <v>2</v>
      </c>
      <c r="H634" s="18" t="n">
        <f aca="false">INDEX('Product Master'!$D$2:$D$21,MATCH(D634,'Product Master'!$A$2:$A$21,0))</f>
        <v>25</v>
      </c>
      <c r="I634" s="14" t="n">
        <f aca="false">G634*H634</f>
        <v>50</v>
      </c>
      <c r="J634" s="0" t="str">
        <f aca="false">IF(COUNTIF($A$2:A634,A634)&gt;1,"Duplicate","")</f>
        <v/>
      </c>
    </row>
    <row r="635" customFormat="false" ht="15" hidden="false" customHeight="false" outlineLevel="0" collapsed="false">
      <c r="A635" s="0" t="str">
        <f aca="false">'Raw Store Exports'!A635</f>
        <v>TXN01081</v>
      </c>
      <c r="B635" s="17" t="n">
        <f aca="false">'Raw Store Exports'!C635</f>
        <v>46078</v>
      </c>
      <c r="C635" s="0" t="str">
        <f aca="false">INDEX('Store Mapping'!$C$2:$C$19,MATCH(TRIM('Raw Store Exports'!B635),'Store Mapping'!$A$2:$A$19,0))</f>
        <v>Westside Mall</v>
      </c>
      <c r="D635" s="0" t="str">
        <f aca="false">'Raw Store Exports'!D635</f>
        <v>ELE-403</v>
      </c>
      <c r="E635" s="0" t="str">
        <f aca="false">INDEX('Product Master'!$B$2:$B$21,MATCH(D635,'Product Master'!$A$2:$A$21,0))</f>
        <v>Fitness Tracker Band</v>
      </c>
      <c r="F635" s="0" t="str">
        <f aca="false">INDEX('Product Master'!$C$2:$C$21,MATCH(D635,'Product Master'!$A$2:$A$21,0))</f>
        <v>Electronics</v>
      </c>
      <c r="G635" s="15" t="n">
        <f aca="false">VALUE(TRIM('Raw Store Exports'!E635&amp;""))</f>
        <v>1</v>
      </c>
      <c r="H635" s="18" t="n">
        <f aca="false">INDEX('Product Master'!$D$2:$D$21,MATCH(D635,'Product Master'!$A$2:$A$21,0))</f>
        <v>99</v>
      </c>
      <c r="I635" s="14" t="n">
        <f aca="false">G635*H635</f>
        <v>99</v>
      </c>
      <c r="J635" s="0" t="str">
        <f aca="false">IF(COUNTIF($A$2:A635,A635)&gt;1,"Duplicate","")</f>
        <v/>
      </c>
    </row>
    <row r="636" customFormat="false" ht="15" hidden="false" customHeight="false" outlineLevel="0" collapsed="false">
      <c r="A636" s="0" t="str">
        <f aca="false">'Raw Store Exports'!A636</f>
        <v>TXN00648</v>
      </c>
      <c r="B636" s="17" t="n">
        <f aca="false">'Raw Store Exports'!C636</f>
        <v>46059</v>
      </c>
      <c r="C636" s="0" t="str">
        <f aca="false">INDEX('Store Mapping'!$C$2:$C$19,MATCH(TRIM('Raw Store Exports'!B636),'Store Mapping'!$A$2:$A$19,0))</f>
        <v>Eastgate</v>
      </c>
      <c r="D636" s="0" t="str">
        <f aca="false">'Raw Store Exports'!D636</f>
        <v>FTW-201</v>
      </c>
      <c r="E636" s="0" t="str">
        <f aca="false">INDEX('Product Master'!$B$2:$B$21,MATCH(D636,'Product Master'!$A$2:$A$21,0))</f>
        <v>Running Sneakers</v>
      </c>
      <c r="F636" s="0" t="str">
        <f aca="false">INDEX('Product Master'!$C$2:$C$21,MATCH(D636,'Product Master'!$A$2:$A$21,0))</f>
        <v>Footwear</v>
      </c>
      <c r="G636" s="15" t="n">
        <f aca="false">VALUE(TRIM('Raw Store Exports'!E636&amp;""))</f>
        <v>6</v>
      </c>
      <c r="H636" s="18" t="n">
        <f aca="false">INDEX('Product Master'!$D$2:$D$21,MATCH(D636,'Product Master'!$A$2:$A$21,0))</f>
        <v>89</v>
      </c>
      <c r="I636" s="14" t="n">
        <f aca="false">G636*H636</f>
        <v>534</v>
      </c>
      <c r="J636" s="0" t="str">
        <f aca="false">IF(COUNTIF($A$2:A636,A636)&gt;1,"Duplicate","")</f>
        <v/>
      </c>
    </row>
    <row r="637" customFormat="false" ht="15" hidden="false" customHeight="false" outlineLevel="0" collapsed="false">
      <c r="A637" s="0" t="str">
        <f aca="false">'Raw Store Exports'!A637</f>
        <v>TXN00415</v>
      </c>
      <c r="B637" s="17" t="n">
        <f aca="false">'Raw Store Exports'!C637</f>
        <v>46042</v>
      </c>
      <c r="C637" s="0" t="str">
        <f aca="false">INDEX('Store Mapping'!$C$2:$C$19,MATCH(TRIM('Raw Store Exports'!B637),'Store Mapping'!$A$2:$A$19,0))</f>
        <v>Airport Plaza</v>
      </c>
      <c r="D637" s="0" t="str">
        <f aca="false">'Raw Store Exports'!D637</f>
        <v>ELE-403</v>
      </c>
      <c r="E637" s="0" t="str">
        <f aca="false">INDEX('Product Master'!$B$2:$B$21,MATCH(D637,'Product Master'!$A$2:$A$21,0))</f>
        <v>Fitness Tracker Band</v>
      </c>
      <c r="F637" s="0" t="str">
        <f aca="false">INDEX('Product Master'!$C$2:$C$21,MATCH(D637,'Product Master'!$A$2:$A$21,0))</f>
        <v>Electronics</v>
      </c>
      <c r="G637" s="15" t="n">
        <f aca="false">VALUE(TRIM('Raw Store Exports'!E637&amp;""))</f>
        <v>4</v>
      </c>
      <c r="H637" s="18" t="n">
        <f aca="false">INDEX('Product Master'!$D$2:$D$21,MATCH(D637,'Product Master'!$A$2:$A$21,0))</f>
        <v>99</v>
      </c>
      <c r="I637" s="14" t="n">
        <f aca="false">G637*H637</f>
        <v>396</v>
      </c>
      <c r="J637" s="0" t="str">
        <f aca="false">IF(COUNTIF($A$2:A637,A637)&gt;1,"Duplicate","")</f>
        <v/>
      </c>
    </row>
    <row r="638" customFormat="false" ht="15" hidden="false" customHeight="false" outlineLevel="0" collapsed="false">
      <c r="A638" s="0" t="str">
        <f aca="false">'Raw Store Exports'!A638</f>
        <v>TXN00065</v>
      </c>
      <c r="B638" s="17" t="n">
        <f aca="false">'Raw Store Exports'!C638</f>
        <v>46031</v>
      </c>
      <c r="C638" s="0" t="str">
        <f aca="false">INDEX('Store Mapping'!$C$2:$C$19,MATCH(TRIM('Raw Store Exports'!B638),'Store Mapping'!$A$2:$A$19,0))</f>
        <v>Eastgate</v>
      </c>
      <c r="D638" s="0" t="str">
        <f aca="false">'Raw Store Exports'!D638</f>
        <v>ELE-404</v>
      </c>
      <c r="E638" s="0" t="str">
        <f aca="false">INDEX('Product Master'!$B$2:$B$21,MATCH(D638,'Product Master'!$A$2:$A$21,0))</f>
        <v>Phone Charging Cable</v>
      </c>
      <c r="F638" s="0" t="str">
        <f aca="false">INDEX('Product Master'!$C$2:$C$21,MATCH(D638,'Product Master'!$A$2:$A$21,0))</f>
        <v>Electronics</v>
      </c>
      <c r="G638" s="15" t="n">
        <f aca="false">VALUE(TRIM('Raw Store Exports'!E638&amp;""))</f>
        <v>1</v>
      </c>
      <c r="H638" s="18" t="n">
        <f aca="false">INDEX('Product Master'!$D$2:$D$21,MATCH(D638,'Product Master'!$A$2:$A$21,0))</f>
        <v>12</v>
      </c>
      <c r="I638" s="14" t="n">
        <f aca="false">G638*H638</f>
        <v>12</v>
      </c>
      <c r="J638" s="0" t="str">
        <f aca="false">IF(COUNTIF($A$2:A638,A638)&gt;1,"Duplicate","")</f>
        <v/>
      </c>
    </row>
    <row r="639" customFormat="false" ht="15" hidden="false" customHeight="false" outlineLevel="0" collapsed="false">
      <c r="A639" s="0" t="str">
        <f aca="false">'Raw Store Exports'!A639</f>
        <v>TXN01083</v>
      </c>
      <c r="B639" s="17" t="n">
        <f aca="false">'Raw Store Exports'!C639</f>
        <v>46080</v>
      </c>
      <c r="C639" s="0" t="str">
        <f aca="false">INDEX('Store Mapping'!$C$2:$C$19,MATCH(TRIM('Raw Store Exports'!B639),'Store Mapping'!$A$2:$A$19,0))</f>
        <v>Westside Mall</v>
      </c>
      <c r="D639" s="0" t="str">
        <f aca="false">'Raw Store Exports'!D639</f>
        <v>FTW-202</v>
      </c>
      <c r="E639" s="0" t="str">
        <f aca="false">INDEX('Product Master'!$B$2:$B$21,MATCH(D639,'Product Master'!$A$2:$A$21,0))</f>
        <v>Canvas Low-Top</v>
      </c>
      <c r="F639" s="0" t="str">
        <f aca="false">INDEX('Product Master'!$C$2:$C$21,MATCH(D639,'Product Master'!$A$2:$A$21,0))</f>
        <v>Footwear</v>
      </c>
      <c r="G639" s="15" t="n">
        <f aca="false">VALUE(TRIM('Raw Store Exports'!E639&amp;""))</f>
        <v>4</v>
      </c>
      <c r="H639" s="18" t="n">
        <f aca="false">INDEX('Product Master'!$D$2:$D$21,MATCH(D639,'Product Master'!$A$2:$A$21,0))</f>
        <v>55</v>
      </c>
      <c r="I639" s="14" t="n">
        <f aca="false">G639*H639</f>
        <v>220</v>
      </c>
      <c r="J639" s="0" t="str">
        <f aca="false">IF(COUNTIF($A$2:A639,A639)&gt;1,"Duplicate","")</f>
        <v/>
      </c>
    </row>
    <row r="640" customFormat="false" ht="15" hidden="false" customHeight="false" outlineLevel="0" collapsed="false">
      <c r="A640" s="0" t="str">
        <f aca="false">'Raw Store Exports'!A640</f>
        <v>TXN01021</v>
      </c>
      <c r="B640" s="17" t="n">
        <f aca="false">'Raw Store Exports'!C640</f>
        <v>46075</v>
      </c>
      <c r="C640" s="0" t="str">
        <f aca="false">INDEX('Store Mapping'!$C$2:$C$19,MATCH(TRIM('Raw Store Exports'!B640),'Store Mapping'!$A$2:$A$19,0))</f>
        <v>Riverside</v>
      </c>
      <c r="D640" s="0" t="str">
        <f aca="false">'Raw Store Exports'!D640</f>
        <v>ACC-302</v>
      </c>
      <c r="E640" s="0" t="str">
        <f aca="false">INDEX('Product Master'!$B$2:$B$21,MATCH(D640,'Product Master'!$A$2:$A$21,0))</f>
        <v>Aviator Sunglasses</v>
      </c>
      <c r="F640" s="0" t="str">
        <f aca="false">INDEX('Product Master'!$C$2:$C$21,MATCH(D640,'Product Master'!$A$2:$A$21,0))</f>
        <v>Accessories</v>
      </c>
      <c r="G640" s="15" t="n">
        <f aca="false">VALUE(TRIM('Raw Store Exports'!E640&amp;""))</f>
        <v>4</v>
      </c>
      <c r="H640" s="18" t="n">
        <f aca="false">INDEX('Product Master'!$D$2:$D$21,MATCH(D640,'Product Master'!$A$2:$A$21,0))</f>
        <v>42</v>
      </c>
      <c r="I640" s="14" t="n">
        <f aca="false">G640*H640</f>
        <v>168</v>
      </c>
      <c r="J640" s="0" t="str">
        <f aca="false">IF(COUNTIF($A$2:A640,A640)&gt;1,"Duplicate","")</f>
        <v/>
      </c>
    </row>
    <row r="641" customFormat="false" ht="15" hidden="false" customHeight="false" outlineLevel="0" collapsed="false">
      <c r="A641" s="0" t="str">
        <f aca="false">'Raw Store Exports'!A641</f>
        <v>TXN00790</v>
      </c>
      <c r="B641" s="17" t="n">
        <f aca="false">'Raw Store Exports'!C641</f>
        <v>46064</v>
      </c>
      <c r="C641" s="0" t="str">
        <f aca="false">INDEX('Store Mapping'!$C$2:$C$19,MATCH(TRIM('Raw Store Exports'!B641),'Store Mapping'!$A$2:$A$19,0))</f>
        <v>Westside Mall</v>
      </c>
      <c r="D641" s="0" t="str">
        <f aca="false">'Raw Store Exports'!D641</f>
        <v>ACC-303</v>
      </c>
      <c r="E641" s="0" t="str">
        <f aca="false">INDEX('Product Master'!$B$2:$B$21,MATCH(D641,'Product Master'!$A$2:$A$21,0))</f>
        <v>Canvas Tote Bag</v>
      </c>
      <c r="F641" s="0" t="str">
        <f aca="false">INDEX('Product Master'!$C$2:$C$21,MATCH(D641,'Product Master'!$A$2:$A$21,0))</f>
        <v>Accessories</v>
      </c>
      <c r="G641" s="15" t="n">
        <f aca="false">VALUE(TRIM('Raw Store Exports'!E641&amp;""))</f>
        <v>3</v>
      </c>
      <c r="H641" s="18" t="n">
        <f aca="false">INDEX('Product Master'!$D$2:$D$21,MATCH(D641,'Product Master'!$A$2:$A$21,0))</f>
        <v>24</v>
      </c>
      <c r="I641" s="14" t="n">
        <f aca="false">G641*H641</f>
        <v>72</v>
      </c>
      <c r="J641" s="0" t="str">
        <f aca="false">IF(COUNTIF($A$2:A641,A641)&gt;1,"Duplicate","")</f>
        <v/>
      </c>
    </row>
    <row r="642" customFormat="false" ht="15" hidden="false" customHeight="false" outlineLevel="0" collapsed="false">
      <c r="A642" s="0" t="str">
        <f aca="false">'Raw Store Exports'!A642</f>
        <v>TXN00142</v>
      </c>
      <c r="B642" s="17" t="n">
        <f aca="false">'Raw Store Exports'!C642</f>
        <v>46039</v>
      </c>
      <c r="C642" s="0" t="str">
        <f aca="false">INDEX('Store Mapping'!$C$2:$C$19,MATCH(TRIM('Raw Store Exports'!B642),'Store Mapping'!$A$2:$A$19,0))</f>
        <v>Downtown</v>
      </c>
      <c r="D642" s="0" t="str">
        <f aca="false">'Raw Store Exports'!D642</f>
        <v>FTW-203</v>
      </c>
      <c r="E642" s="0" t="str">
        <f aca="false">INDEX('Product Master'!$B$2:$B$21,MATCH(D642,'Product Master'!$A$2:$A$21,0))</f>
        <v>Leather Ankle Boot</v>
      </c>
      <c r="F642" s="0" t="str">
        <f aca="false">INDEX('Product Master'!$C$2:$C$21,MATCH(D642,'Product Master'!$A$2:$A$21,0))</f>
        <v>Footwear</v>
      </c>
      <c r="G642" s="15" t="n">
        <f aca="false">VALUE(TRIM('Raw Store Exports'!E642&amp;""))</f>
        <v>2</v>
      </c>
      <c r="H642" s="18" t="n">
        <f aca="false">INDEX('Product Master'!$D$2:$D$21,MATCH(D642,'Product Master'!$A$2:$A$21,0))</f>
        <v>120</v>
      </c>
      <c r="I642" s="14" t="n">
        <f aca="false">G642*H642</f>
        <v>240</v>
      </c>
      <c r="J642" s="0" t="str">
        <f aca="false">IF(COUNTIF($A$2:A642,A642)&gt;1,"Duplicate","")</f>
        <v/>
      </c>
    </row>
    <row r="643" customFormat="false" ht="15" hidden="false" customHeight="false" outlineLevel="0" collapsed="false">
      <c r="A643" s="0" t="str">
        <f aca="false">'Raw Store Exports'!A643</f>
        <v>TXN00120</v>
      </c>
      <c r="B643" s="17" t="n">
        <f aca="false">'Raw Store Exports'!C643</f>
        <v>46027</v>
      </c>
      <c r="C643" s="0" t="str">
        <f aca="false">INDEX('Store Mapping'!$C$2:$C$19,MATCH(TRIM('Raw Store Exports'!B643),'Store Mapping'!$A$2:$A$19,0))</f>
        <v>Airport Plaza</v>
      </c>
      <c r="D643" s="0" t="str">
        <f aca="false">'Raw Store Exports'!D643</f>
        <v>APP-102</v>
      </c>
      <c r="E643" s="0" t="str">
        <f aca="false">INDEX('Product Master'!$B$2:$B$21,MATCH(D643,'Product Master'!$A$2:$A$21,0))</f>
        <v>Cotton Crew T-Shirt</v>
      </c>
      <c r="F643" s="0" t="str">
        <f aca="false">INDEX('Product Master'!$C$2:$C$21,MATCH(D643,'Product Master'!$A$2:$A$21,0))</f>
        <v>Apparel</v>
      </c>
      <c r="G643" s="15" t="n">
        <f aca="false">VALUE(TRIM('Raw Store Exports'!E643&amp;""))</f>
        <v>5</v>
      </c>
      <c r="H643" s="18" t="n">
        <f aca="false">INDEX('Product Master'!$D$2:$D$21,MATCH(D643,'Product Master'!$A$2:$A$21,0))</f>
        <v>18</v>
      </c>
      <c r="I643" s="14" t="n">
        <f aca="false">G643*H643</f>
        <v>90</v>
      </c>
      <c r="J643" s="0" t="str">
        <f aca="false">IF(COUNTIF($A$2:A643,A643)&gt;1,"Duplicate","")</f>
        <v/>
      </c>
    </row>
    <row r="644" customFormat="false" ht="15" hidden="false" customHeight="false" outlineLevel="0" collapsed="false">
      <c r="A644" s="0" t="str">
        <f aca="false">'Raw Store Exports'!A644</f>
        <v>TXN00026</v>
      </c>
      <c r="B644" s="17" t="n">
        <f aca="false">'Raw Store Exports'!C644</f>
        <v>46032</v>
      </c>
      <c r="C644" s="0" t="str">
        <f aca="false">INDEX('Store Mapping'!$C$2:$C$19,MATCH(TRIM('Raw Store Exports'!B644),'Store Mapping'!$A$2:$A$19,0))</f>
        <v>Westside Mall</v>
      </c>
      <c r="D644" s="0" t="str">
        <f aca="false">'Raw Store Exports'!D644</f>
        <v>ACC-304</v>
      </c>
      <c r="E644" s="0" t="str">
        <f aca="false">INDEX('Product Master'!$B$2:$B$21,MATCH(D644,'Product Master'!$A$2:$A$21,0))</f>
        <v>Wool Beanie</v>
      </c>
      <c r="F644" s="0" t="str">
        <f aca="false">INDEX('Product Master'!$C$2:$C$21,MATCH(D644,'Product Master'!$A$2:$A$21,0))</f>
        <v>Accessories</v>
      </c>
      <c r="G644" s="15" t="n">
        <f aca="false">VALUE(TRIM('Raw Store Exports'!E644&amp;""))</f>
        <v>4</v>
      </c>
      <c r="H644" s="18" t="n">
        <f aca="false">INDEX('Product Master'!$D$2:$D$21,MATCH(D644,'Product Master'!$A$2:$A$21,0))</f>
        <v>16</v>
      </c>
      <c r="I644" s="14" t="n">
        <f aca="false">G644*H644</f>
        <v>64</v>
      </c>
      <c r="J644" s="0" t="str">
        <f aca="false">IF(COUNTIF($A$2:A644,A644)&gt;1,"Duplicate","")</f>
        <v/>
      </c>
    </row>
    <row r="645" customFormat="false" ht="15" hidden="false" customHeight="false" outlineLevel="0" collapsed="false">
      <c r="A645" s="0" t="str">
        <f aca="false">'Raw Store Exports'!A645</f>
        <v>TXN00500</v>
      </c>
      <c r="B645" s="17" t="n">
        <f aca="false">'Raw Store Exports'!C645</f>
        <v>46054</v>
      </c>
      <c r="C645" s="0" t="str">
        <f aca="false">INDEX('Store Mapping'!$C$2:$C$19,MATCH(TRIM('Raw Store Exports'!B645),'Store Mapping'!$A$2:$A$19,0))</f>
        <v>Eastgate</v>
      </c>
      <c r="D645" s="0" t="str">
        <f aca="false">'Raw Store Exports'!D645</f>
        <v>ELE-403</v>
      </c>
      <c r="E645" s="0" t="str">
        <f aca="false">INDEX('Product Master'!$B$2:$B$21,MATCH(D645,'Product Master'!$A$2:$A$21,0))</f>
        <v>Fitness Tracker Band</v>
      </c>
      <c r="F645" s="0" t="str">
        <f aca="false">INDEX('Product Master'!$C$2:$C$21,MATCH(D645,'Product Master'!$A$2:$A$21,0))</f>
        <v>Electronics</v>
      </c>
      <c r="G645" s="15" t="n">
        <f aca="false">VALUE(TRIM('Raw Store Exports'!E645&amp;""))</f>
        <v>5</v>
      </c>
      <c r="H645" s="18" t="n">
        <f aca="false">INDEX('Product Master'!$D$2:$D$21,MATCH(D645,'Product Master'!$A$2:$A$21,0))</f>
        <v>99</v>
      </c>
      <c r="I645" s="14" t="n">
        <f aca="false">G645*H645</f>
        <v>495</v>
      </c>
      <c r="J645" s="0" t="str">
        <f aca="false">IF(COUNTIF($A$2:A645,A645)&gt;1,"Duplicate","")</f>
        <v/>
      </c>
    </row>
    <row r="646" customFormat="false" ht="15" hidden="false" customHeight="false" outlineLevel="0" collapsed="false">
      <c r="A646" s="0" t="str">
        <f aca="false">'Raw Store Exports'!A646</f>
        <v>TXN00279</v>
      </c>
      <c r="B646" s="17" t="n">
        <f aca="false">'Raw Store Exports'!C646</f>
        <v>46047</v>
      </c>
      <c r="C646" s="0" t="str">
        <f aca="false">INDEX('Store Mapping'!$C$2:$C$19,MATCH(TRIM('Raw Store Exports'!B646),'Store Mapping'!$A$2:$A$19,0))</f>
        <v>Downtown</v>
      </c>
      <c r="D646" s="0" t="str">
        <f aca="false">'Raw Store Exports'!D646</f>
        <v>APP-103</v>
      </c>
      <c r="E646" s="0" t="str">
        <f aca="false">INDEX('Product Master'!$B$2:$B$21,MATCH(D646,'Product Master'!$A$2:$A$21,0))</f>
        <v>Fleece Pullover Hoodie</v>
      </c>
      <c r="F646" s="0" t="str">
        <f aca="false">INDEX('Product Master'!$C$2:$C$21,MATCH(D646,'Product Master'!$A$2:$A$21,0))</f>
        <v>Apparel</v>
      </c>
      <c r="G646" s="15" t="n">
        <f aca="false">VALUE(TRIM('Raw Store Exports'!E646&amp;""))</f>
        <v>1</v>
      </c>
      <c r="H646" s="18" t="n">
        <f aca="false">INDEX('Product Master'!$D$2:$D$21,MATCH(D646,'Product Master'!$A$2:$A$21,0))</f>
        <v>45</v>
      </c>
      <c r="I646" s="14" t="n">
        <f aca="false">G646*H646</f>
        <v>45</v>
      </c>
      <c r="J646" s="0" t="str">
        <f aca="false">IF(COUNTIF($A$2:A646,A646)&gt;1,"Duplicate","")</f>
        <v/>
      </c>
    </row>
    <row r="647" customFormat="false" ht="15" hidden="false" customHeight="false" outlineLevel="0" collapsed="false">
      <c r="A647" s="0" t="str">
        <f aca="false">'Raw Store Exports'!A647</f>
        <v>TXN01176</v>
      </c>
      <c r="B647" s="17" t="n">
        <f aca="false">'Raw Store Exports'!C647</f>
        <v>46081</v>
      </c>
      <c r="C647" s="0" t="str">
        <f aca="false">INDEX('Store Mapping'!$C$2:$C$19,MATCH(TRIM('Raw Store Exports'!B647),'Store Mapping'!$A$2:$A$19,0))</f>
        <v>Airport Plaza</v>
      </c>
      <c r="D647" s="0" t="str">
        <f aca="false">'Raw Store Exports'!D647</f>
        <v>ELE-404</v>
      </c>
      <c r="E647" s="0" t="str">
        <f aca="false">INDEX('Product Master'!$B$2:$B$21,MATCH(D647,'Product Master'!$A$2:$A$21,0))</f>
        <v>Phone Charging Cable</v>
      </c>
      <c r="F647" s="0" t="str">
        <f aca="false">INDEX('Product Master'!$C$2:$C$21,MATCH(D647,'Product Master'!$A$2:$A$21,0))</f>
        <v>Electronics</v>
      </c>
      <c r="G647" s="15" t="n">
        <f aca="false">VALUE(TRIM('Raw Store Exports'!E647&amp;""))</f>
        <v>1</v>
      </c>
      <c r="H647" s="18" t="n">
        <f aca="false">INDEX('Product Master'!$D$2:$D$21,MATCH(D647,'Product Master'!$A$2:$A$21,0))</f>
        <v>12</v>
      </c>
      <c r="I647" s="14" t="n">
        <f aca="false">G647*H647</f>
        <v>12</v>
      </c>
      <c r="J647" s="0" t="str">
        <f aca="false">IF(COUNTIF($A$2:A647,A647)&gt;1,"Duplicate","")</f>
        <v/>
      </c>
    </row>
    <row r="648" customFormat="false" ht="15" hidden="false" customHeight="false" outlineLevel="0" collapsed="false">
      <c r="A648" s="0" t="str">
        <f aca="false">'Raw Store Exports'!A648</f>
        <v>TXN00707</v>
      </c>
      <c r="B648" s="17" t="n">
        <f aca="false">'Raw Store Exports'!C648</f>
        <v>46058</v>
      </c>
      <c r="C648" s="0" t="str">
        <f aca="false">INDEX('Store Mapping'!$C$2:$C$19,MATCH(TRIM('Raw Store Exports'!B648),'Store Mapping'!$A$2:$A$19,0))</f>
        <v>Riverside</v>
      </c>
      <c r="D648" s="0" t="str">
        <f aca="false">'Raw Store Exports'!D648</f>
        <v>APP-104</v>
      </c>
      <c r="E648" s="0" t="str">
        <f aca="false">INDEX('Product Master'!$B$2:$B$21,MATCH(D648,'Product Master'!$A$2:$A$21,0))</f>
        <v>Slim Fit Chinos</v>
      </c>
      <c r="F648" s="0" t="str">
        <f aca="false">INDEX('Product Master'!$C$2:$C$21,MATCH(D648,'Product Master'!$A$2:$A$21,0))</f>
        <v>Apparel</v>
      </c>
      <c r="G648" s="15" t="n">
        <f aca="false">VALUE(TRIM('Raw Store Exports'!E648&amp;""))</f>
        <v>6</v>
      </c>
      <c r="H648" s="18" t="n">
        <f aca="false">INDEX('Product Master'!$D$2:$D$21,MATCH(D648,'Product Master'!$A$2:$A$21,0))</f>
        <v>52</v>
      </c>
      <c r="I648" s="14" t="n">
        <f aca="false">G648*H648</f>
        <v>312</v>
      </c>
      <c r="J648" s="0" t="str">
        <f aca="false">IF(COUNTIF($A$2:A648,A648)&gt;1,"Duplicate","")</f>
        <v/>
      </c>
    </row>
    <row r="649" customFormat="false" ht="15" hidden="false" customHeight="false" outlineLevel="0" collapsed="false">
      <c r="A649" s="0" t="str">
        <f aca="false">'Raw Store Exports'!A649</f>
        <v>TXN00876</v>
      </c>
      <c r="B649" s="17" t="n">
        <f aca="false">'Raw Store Exports'!C649</f>
        <v>46067</v>
      </c>
      <c r="C649" s="0" t="str">
        <f aca="false">INDEX('Store Mapping'!$C$2:$C$19,MATCH(TRIM('Raw Store Exports'!B649),'Store Mapping'!$A$2:$A$19,0))</f>
        <v>Airport Plaza</v>
      </c>
      <c r="D649" s="0" t="str">
        <f aca="false">'Raw Store Exports'!D649</f>
        <v>HOM-501</v>
      </c>
      <c r="E649" s="0" t="str">
        <f aca="false">INDEX('Product Master'!$B$2:$B$21,MATCH(D649,'Product Master'!$A$2:$A$21,0))</f>
        <v>Ceramic Coffee Mug Set</v>
      </c>
      <c r="F649" s="0" t="str">
        <f aca="false">INDEX('Product Master'!$C$2:$C$21,MATCH(D649,'Product Master'!$A$2:$A$21,0))</f>
        <v>Home Goods</v>
      </c>
      <c r="G649" s="15" t="n">
        <f aca="false">VALUE(TRIM('Raw Store Exports'!E649&amp;""))</f>
        <v>3</v>
      </c>
      <c r="H649" s="18" t="n">
        <f aca="false">INDEX('Product Master'!$D$2:$D$21,MATCH(D649,'Product Master'!$A$2:$A$21,0))</f>
        <v>22</v>
      </c>
      <c r="I649" s="14" t="n">
        <f aca="false">G649*H649</f>
        <v>66</v>
      </c>
      <c r="J649" s="0" t="str">
        <f aca="false">IF(COUNTIF($A$2:A649,A649)&gt;1,"Duplicate","")</f>
        <v/>
      </c>
    </row>
    <row r="650" customFormat="false" ht="15" hidden="false" customHeight="false" outlineLevel="0" collapsed="false">
      <c r="A650" s="0" t="str">
        <f aca="false">'Raw Store Exports'!A650</f>
        <v>TXN00589</v>
      </c>
      <c r="B650" s="17" t="n">
        <f aca="false">'Raw Store Exports'!C650</f>
        <v>46056</v>
      </c>
      <c r="C650" s="0" t="str">
        <f aca="false">INDEX('Store Mapping'!$C$2:$C$19,MATCH(TRIM('Raw Store Exports'!B650),'Store Mapping'!$A$2:$A$19,0))</f>
        <v>Downtown</v>
      </c>
      <c r="D650" s="0" t="str">
        <f aca="false">'Raw Store Exports'!D650</f>
        <v>APP-104</v>
      </c>
      <c r="E650" s="0" t="str">
        <f aca="false">INDEX('Product Master'!$B$2:$B$21,MATCH(D650,'Product Master'!$A$2:$A$21,0))</f>
        <v>Slim Fit Chinos</v>
      </c>
      <c r="F650" s="0" t="str">
        <f aca="false">INDEX('Product Master'!$C$2:$C$21,MATCH(D650,'Product Master'!$A$2:$A$21,0))</f>
        <v>Apparel</v>
      </c>
      <c r="G650" s="15" t="n">
        <f aca="false">VALUE(TRIM('Raw Store Exports'!E650&amp;""))</f>
        <v>5</v>
      </c>
      <c r="H650" s="18" t="n">
        <f aca="false">INDEX('Product Master'!$D$2:$D$21,MATCH(D650,'Product Master'!$A$2:$A$21,0))</f>
        <v>52</v>
      </c>
      <c r="I650" s="14" t="n">
        <f aca="false">G650*H650</f>
        <v>260</v>
      </c>
      <c r="J650" s="0" t="str">
        <f aca="false">IF(COUNTIF($A$2:A650,A650)&gt;1,"Duplicate","")</f>
        <v/>
      </c>
    </row>
    <row r="651" customFormat="false" ht="15" hidden="false" customHeight="false" outlineLevel="0" collapsed="false">
      <c r="A651" s="0" t="str">
        <f aca="false">'Raw Store Exports'!A651</f>
        <v>TXN00402</v>
      </c>
      <c r="B651" s="17" t="n">
        <f aca="false">'Raw Store Exports'!C651</f>
        <v>46047</v>
      </c>
      <c r="C651" s="0" t="str">
        <f aca="false">INDEX('Store Mapping'!$C$2:$C$19,MATCH(TRIM('Raw Store Exports'!B651),'Store Mapping'!$A$2:$A$19,0))</f>
        <v>Airport Plaza</v>
      </c>
      <c r="D651" s="0" t="str">
        <f aca="false">'Raw Store Exports'!D651</f>
        <v>ACC-304</v>
      </c>
      <c r="E651" s="0" t="str">
        <f aca="false">INDEX('Product Master'!$B$2:$B$21,MATCH(D651,'Product Master'!$A$2:$A$21,0))</f>
        <v>Wool Beanie</v>
      </c>
      <c r="F651" s="0" t="str">
        <f aca="false">INDEX('Product Master'!$C$2:$C$21,MATCH(D651,'Product Master'!$A$2:$A$21,0))</f>
        <v>Accessories</v>
      </c>
      <c r="G651" s="15" t="n">
        <f aca="false">VALUE(TRIM('Raw Store Exports'!E651&amp;""))</f>
        <v>1</v>
      </c>
      <c r="H651" s="18" t="n">
        <f aca="false">INDEX('Product Master'!$D$2:$D$21,MATCH(D651,'Product Master'!$A$2:$A$21,0))</f>
        <v>16</v>
      </c>
      <c r="I651" s="14" t="n">
        <f aca="false">G651*H651</f>
        <v>16</v>
      </c>
      <c r="J651" s="0" t="str">
        <f aca="false">IF(COUNTIF($A$2:A651,A651)&gt;1,"Duplicate","")</f>
        <v/>
      </c>
    </row>
    <row r="652" customFormat="false" ht="15" hidden="false" customHeight="false" outlineLevel="0" collapsed="false">
      <c r="A652" s="0" t="str">
        <f aca="false">'Raw Store Exports'!A652</f>
        <v>TXN00694</v>
      </c>
      <c r="B652" s="17" t="n">
        <f aca="false">'Raw Store Exports'!C652</f>
        <v>46055</v>
      </c>
      <c r="C652" s="0" t="str">
        <f aca="false">INDEX('Store Mapping'!$C$2:$C$19,MATCH(TRIM('Raw Store Exports'!B652),'Store Mapping'!$A$2:$A$19,0))</f>
        <v>Northpark</v>
      </c>
      <c r="D652" s="0" t="str">
        <f aca="false">'Raw Store Exports'!D652</f>
        <v>ELE-404</v>
      </c>
      <c r="E652" s="0" t="str">
        <f aca="false">INDEX('Product Master'!$B$2:$B$21,MATCH(D652,'Product Master'!$A$2:$A$21,0))</f>
        <v>Phone Charging Cable</v>
      </c>
      <c r="F652" s="0" t="str">
        <f aca="false">INDEX('Product Master'!$C$2:$C$21,MATCH(D652,'Product Master'!$A$2:$A$21,0))</f>
        <v>Electronics</v>
      </c>
      <c r="G652" s="15" t="n">
        <f aca="false">VALUE(TRIM('Raw Store Exports'!E652&amp;""))</f>
        <v>6</v>
      </c>
      <c r="H652" s="18" t="n">
        <f aca="false">INDEX('Product Master'!$D$2:$D$21,MATCH(D652,'Product Master'!$A$2:$A$21,0))</f>
        <v>12</v>
      </c>
      <c r="I652" s="14" t="n">
        <f aca="false">G652*H652</f>
        <v>72</v>
      </c>
      <c r="J652" s="0" t="str">
        <f aca="false">IF(COUNTIF($A$2:A652,A652)&gt;1,"Duplicate","")</f>
        <v/>
      </c>
    </row>
    <row r="653" customFormat="false" ht="15" hidden="false" customHeight="false" outlineLevel="0" collapsed="false">
      <c r="A653" s="0" t="str">
        <f aca="false">'Raw Store Exports'!A653</f>
        <v>TXN01075</v>
      </c>
      <c r="B653" s="17" t="n">
        <f aca="false">'Raw Store Exports'!C653</f>
        <v>46081</v>
      </c>
      <c r="C653" s="0" t="str">
        <f aca="false">INDEX('Store Mapping'!$C$2:$C$19,MATCH(TRIM('Raw Store Exports'!B653),'Store Mapping'!$A$2:$A$19,0))</f>
        <v>Downtown</v>
      </c>
      <c r="D653" s="0" t="str">
        <f aca="false">'Raw Store Exports'!D653</f>
        <v>HOM-501</v>
      </c>
      <c r="E653" s="0" t="str">
        <f aca="false">INDEX('Product Master'!$B$2:$B$21,MATCH(D653,'Product Master'!$A$2:$A$21,0))</f>
        <v>Ceramic Coffee Mug Set</v>
      </c>
      <c r="F653" s="0" t="str">
        <f aca="false">INDEX('Product Master'!$C$2:$C$21,MATCH(D653,'Product Master'!$A$2:$A$21,0))</f>
        <v>Home Goods</v>
      </c>
      <c r="G653" s="15" t="n">
        <f aca="false">VALUE(TRIM('Raw Store Exports'!E653&amp;""))</f>
        <v>4</v>
      </c>
      <c r="H653" s="18" t="n">
        <f aca="false">INDEX('Product Master'!$D$2:$D$21,MATCH(D653,'Product Master'!$A$2:$A$21,0))</f>
        <v>22</v>
      </c>
      <c r="I653" s="14" t="n">
        <f aca="false">G653*H653</f>
        <v>88</v>
      </c>
      <c r="J653" s="0" t="str">
        <f aca="false">IF(COUNTIF($A$2:A653,A653)&gt;1,"Duplicate","")</f>
        <v/>
      </c>
    </row>
    <row r="654" customFormat="false" ht="15" hidden="false" customHeight="false" outlineLevel="0" collapsed="false">
      <c r="A654" s="0" t="str">
        <f aca="false">'Raw Store Exports'!A654</f>
        <v>TXN01019</v>
      </c>
      <c r="B654" s="17" t="n">
        <f aca="false">'Raw Store Exports'!C654</f>
        <v>46072</v>
      </c>
      <c r="C654" s="0" t="str">
        <f aca="false">INDEX('Store Mapping'!$C$2:$C$19,MATCH(TRIM('Raw Store Exports'!B654),'Store Mapping'!$A$2:$A$19,0))</f>
        <v>Riverside</v>
      </c>
      <c r="D654" s="0" t="str">
        <f aca="false">'Raw Store Exports'!D654</f>
        <v>ELE-402</v>
      </c>
      <c r="E654" s="0" t="str">
        <f aca="false">INDEX('Product Master'!$B$2:$B$21,MATCH(D654,'Product Master'!$A$2:$A$21,0))</f>
        <v>Bluetooth Speaker</v>
      </c>
      <c r="F654" s="0" t="str">
        <f aca="false">INDEX('Product Master'!$C$2:$C$21,MATCH(D654,'Product Master'!$A$2:$A$21,0))</f>
        <v>Electronics</v>
      </c>
      <c r="G654" s="15" t="n">
        <f aca="false">VALUE(TRIM('Raw Store Exports'!E654&amp;""))</f>
        <v>5</v>
      </c>
      <c r="H654" s="18" t="n">
        <f aca="false">INDEX('Product Master'!$D$2:$D$21,MATCH(D654,'Product Master'!$A$2:$A$21,0))</f>
        <v>59</v>
      </c>
      <c r="I654" s="14" t="n">
        <f aca="false">G654*H654</f>
        <v>295</v>
      </c>
      <c r="J654" s="0" t="str">
        <f aca="false">IF(COUNTIF($A$2:A654,A654)&gt;1,"Duplicate","")</f>
        <v/>
      </c>
    </row>
    <row r="655" customFormat="false" ht="15" hidden="false" customHeight="false" outlineLevel="0" collapsed="false">
      <c r="A655" s="0" t="str">
        <f aca="false">'Raw Store Exports'!A655</f>
        <v>TXN01183</v>
      </c>
      <c r="B655" s="17" t="n">
        <f aca="false">'Raw Store Exports'!C655</f>
        <v>46079</v>
      </c>
      <c r="C655" s="0" t="str">
        <f aca="false">INDEX('Store Mapping'!$C$2:$C$19,MATCH(TRIM('Raw Store Exports'!B655),'Store Mapping'!$A$2:$A$19,0))</f>
        <v>Airport Plaza</v>
      </c>
      <c r="D655" s="0" t="str">
        <f aca="false">'Raw Store Exports'!D655</f>
        <v>FTW-201</v>
      </c>
      <c r="E655" s="0" t="str">
        <f aca="false">INDEX('Product Master'!$B$2:$B$21,MATCH(D655,'Product Master'!$A$2:$A$21,0))</f>
        <v>Running Sneakers</v>
      </c>
      <c r="F655" s="0" t="str">
        <f aca="false">INDEX('Product Master'!$C$2:$C$21,MATCH(D655,'Product Master'!$A$2:$A$21,0))</f>
        <v>Footwear</v>
      </c>
      <c r="G655" s="15" t="n">
        <f aca="false">VALUE(TRIM('Raw Store Exports'!E655&amp;""))</f>
        <v>2</v>
      </c>
      <c r="H655" s="18" t="n">
        <f aca="false">INDEX('Product Master'!$D$2:$D$21,MATCH(D655,'Product Master'!$A$2:$A$21,0))</f>
        <v>89</v>
      </c>
      <c r="I655" s="14" t="n">
        <f aca="false">G655*H655</f>
        <v>178</v>
      </c>
      <c r="J655" s="0" t="str">
        <f aca="false">IF(COUNTIF($A$2:A655,A655)&gt;1,"Duplicate","")</f>
        <v/>
      </c>
    </row>
    <row r="656" customFormat="false" ht="15" hidden="false" customHeight="false" outlineLevel="0" collapsed="false">
      <c r="A656" s="0" t="str">
        <f aca="false">'Raw Store Exports'!A656</f>
        <v>TXN01041</v>
      </c>
      <c r="B656" s="17" t="n">
        <f aca="false">'Raw Store Exports'!C656</f>
        <v>46074</v>
      </c>
      <c r="C656" s="0" t="str">
        <f aca="false">INDEX('Store Mapping'!$C$2:$C$19,MATCH(TRIM('Raw Store Exports'!B656),'Store Mapping'!$A$2:$A$19,0))</f>
        <v>Airport Plaza</v>
      </c>
      <c r="D656" s="0" t="str">
        <f aca="false">'Raw Store Exports'!D656</f>
        <v>APP-101</v>
      </c>
      <c r="E656" s="0" t="str">
        <f aca="false">INDEX('Product Master'!$B$2:$B$21,MATCH(D656,'Product Master'!$A$2:$A$21,0))</f>
        <v>Classic Denim Jacket</v>
      </c>
      <c r="F656" s="0" t="str">
        <f aca="false">INDEX('Product Master'!$C$2:$C$21,MATCH(D656,'Product Master'!$A$2:$A$21,0))</f>
        <v>Apparel</v>
      </c>
      <c r="G656" s="15" t="n">
        <f aca="false">VALUE(TRIM('Raw Store Exports'!E656&amp;""))</f>
        <v>6</v>
      </c>
      <c r="H656" s="18" t="n">
        <f aca="false">INDEX('Product Master'!$D$2:$D$21,MATCH(D656,'Product Master'!$A$2:$A$21,0))</f>
        <v>68</v>
      </c>
      <c r="I656" s="14" t="n">
        <f aca="false">G656*H656</f>
        <v>408</v>
      </c>
      <c r="J656" s="0" t="str">
        <f aca="false">IF(COUNTIF($A$2:A656,A656)&gt;1,"Duplicate","")</f>
        <v/>
      </c>
    </row>
    <row r="657" customFormat="false" ht="15" hidden="false" customHeight="false" outlineLevel="0" collapsed="false">
      <c r="A657" s="0" t="str">
        <f aca="false">'Raw Store Exports'!A657</f>
        <v>TXN00180</v>
      </c>
      <c r="B657" s="17" t="n">
        <f aca="false">'Raw Store Exports'!C657</f>
        <v>46035</v>
      </c>
      <c r="C657" s="0" t="str">
        <f aca="false">INDEX('Store Mapping'!$C$2:$C$19,MATCH(TRIM('Raw Store Exports'!B657),'Store Mapping'!$A$2:$A$19,0))</f>
        <v>Eastgate</v>
      </c>
      <c r="D657" s="0" t="str">
        <f aca="false">'Raw Store Exports'!D657</f>
        <v>FTW-201</v>
      </c>
      <c r="E657" s="0" t="str">
        <f aca="false">INDEX('Product Master'!$B$2:$B$21,MATCH(D657,'Product Master'!$A$2:$A$21,0))</f>
        <v>Running Sneakers</v>
      </c>
      <c r="F657" s="0" t="str">
        <f aca="false">INDEX('Product Master'!$C$2:$C$21,MATCH(D657,'Product Master'!$A$2:$A$21,0))</f>
        <v>Footwear</v>
      </c>
      <c r="G657" s="15" t="n">
        <f aca="false">VALUE(TRIM('Raw Store Exports'!E657&amp;""))</f>
        <v>2</v>
      </c>
      <c r="H657" s="18" t="n">
        <f aca="false">INDEX('Product Master'!$D$2:$D$21,MATCH(D657,'Product Master'!$A$2:$A$21,0))</f>
        <v>89</v>
      </c>
      <c r="I657" s="14" t="n">
        <f aca="false">G657*H657</f>
        <v>178</v>
      </c>
      <c r="J657" s="0" t="str">
        <f aca="false">IF(COUNTIF($A$2:A657,A657)&gt;1,"Duplicate","")</f>
        <v/>
      </c>
    </row>
    <row r="658" customFormat="false" ht="15" hidden="false" customHeight="false" outlineLevel="0" collapsed="false">
      <c r="A658" s="0" t="str">
        <f aca="false">'Raw Store Exports'!A658</f>
        <v>TXN00248</v>
      </c>
      <c r="B658" s="17" t="n">
        <f aca="false">'Raw Store Exports'!C658</f>
        <v>46035</v>
      </c>
      <c r="C658" s="0" t="str">
        <f aca="false">INDEX('Store Mapping'!$C$2:$C$19,MATCH(TRIM('Raw Store Exports'!B658),'Store Mapping'!$A$2:$A$19,0))</f>
        <v>Airport Plaza</v>
      </c>
      <c r="D658" s="0" t="str">
        <f aca="false">'Raw Store Exports'!D658</f>
        <v>ACC-303</v>
      </c>
      <c r="E658" s="0" t="str">
        <f aca="false">INDEX('Product Master'!$B$2:$B$21,MATCH(D658,'Product Master'!$A$2:$A$21,0))</f>
        <v>Canvas Tote Bag</v>
      </c>
      <c r="F658" s="0" t="str">
        <f aca="false">INDEX('Product Master'!$C$2:$C$21,MATCH(D658,'Product Master'!$A$2:$A$21,0))</f>
        <v>Accessories</v>
      </c>
      <c r="G658" s="15" t="n">
        <f aca="false">VALUE(TRIM('Raw Store Exports'!E658&amp;""))</f>
        <v>6</v>
      </c>
      <c r="H658" s="18" t="n">
        <f aca="false">INDEX('Product Master'!$D$2:$D$21,MATCH(D658,'Product Master'!$A$2:$A$21,0))</f>
        <v>24</v>
      </c>
      <c r="I658" s="14" t="n">
        <f aca="false">G658*H658</f>
        <v>144</v>
      </c>
      <c r="J658" s="0" t="str">
        <f aca="false">IF(COUNTIF($A$2:A658,A658)&gt;1,"Duplicate","")</f>
        <v/>
      </c>
    </row>
    <row r="659" customFormat="false" ht="15" hidden="false" customHeight="false" outlineLevel="0" collapsed="false">
      <c r="A659" s="0" t="str">
        <f aca="false">'Raw Store Exports'!A659</f>
        <v>TXN01155</v>
      </c>
      <c r="B659" s="17" t="n">
        <f aca="false">'Raw Store Exports'!C659</f>
        <v>46079</v>
      </c>
      <c r="C659" s="0" t="str">
        <f aca="false">INDEX('Store Mapping'!$C$2:$C$19,MATCH(TRIM('Raw Store Exports'!B659),'Store Mapping'!$A$2:$A$19,0))</f>
        <v>Riverside</v>
      </c>
      <c r="D659" s="0" t="str">
        <f aca="false">'Raw Store Exports'!D659</f>
        <v>ACC-302</v>
      </c>
      <c r="E659" s="0" t="str">
        <f aca="false">INDEX('Product Master'!$B$2:$B$21,MATCH(D659,'Product Master'!$A$2:$A$21,0))</f>
        <v>Aviator Sunglasses</v>
      </c>
      <c r="F659" s="0" t="str">
        <f aca="false">INDEX('Product Master'!$C$2:$C$21,MATCH(D659,'Product Master'!$A$2:$A$21,0))</f>
        <v>Accessories</v>
      </c>
      <c r="G659" s="15" t="n">
        <f aca="false">VALUE(TRIM('Raw Store Exports'!E659&amp;""))</f>
        <v>1</v>
      </c>
      <c r="H659" s="18" t="n">
        <f aca="false">INDEX('Product Master'!$D$2:$D$21,MATCH(D659,'Product Master'!$A$2:$A$21,0))</f>
        <v>42</v>
      </c>
      <c r="I659" s="14" t="n">
        <f aca="false">G659*H659</f>
        <v>42</v>
      </c>
      <c r="J659" s="0" t="str">
        <f aca="false">IF(COUNTIF($A$2:A659,A659)&gt;1,"Duplicate","")</f>
        <v/>
      </c>
    </row>
    <row r="660" customFormat="false" ht="15" hidden="false" customHeight="false" outlineLevel="0" collapsed="false">
      <c r="A660" s="0" t="str">
        <f aca="false">'Raw Store Exports'!A660</f>
        <v>TXN00165</v>
      </c>
      <c r="B660" s="17" t="n">
        <f aca="false">'Raw Store Exports'!C660</f>
        <v>46034</v>
      </c>
      <c r="C660" s="0" t="str">
        <f aca="false">INDEX('Store Mapping'!$C$2:$C$19,MATCH(TRIM('Raw Store Exports'!B660),'Store Mapping'!$A$2:$A$19,0))</f>
        <v>Westside Mall</v>
      </c>
      <c r="D660" s="0" t="str">
        <f aca="false">'Raw Store Exports'!D660</f>
        <v>ELE-402</v>
      </c>
      <c r="E660" s="0" t="str">
        <f aca="false">INDEX('Product Master'!$B$2:$B$21,MATCH(D660,'Product Master'!$A$2:$A$21,0))</f>
        <v>Bluetooth Speaker</v>
      </c>
      <c r="F660" s="0" t="str">
        <f aca="false">INDEX('Product Master'!$C$2:$C$21,MATCH(D660,'Product Master'!$A$2:$A$21,0))</f>
        <v>Electronics</v>
      </c>
      <c r="G660" s="15" t="n">
        <f aca="false">VALUE(TRIM('Raw Store Exports'!E660&amp;""))</f>
        <v>3</v>
      </c>
      <c r="H660" s="18" t="n">
        <f aca="false">INDEX('Product Master'!$D$2:$D$21,MATCH(D660,'Product Master'!$A$2:$A$21,0))</f>
        <v>59</v>
      </c>
      <c r="I660" s="14" t="n">
        <f aca="false">G660*H660</f>
        <v>177</v>
      </c>
      <c r="J660" s="0" t="str">
        <f aca="false">IF(COUNTIF($A$2:A660,A660)&gt;1,"Duplicate","")</f>
        <v>Duplicate</v>
      </c>
    </row>
    <row r="661" customFormat="false" ht="15" hidden="false" customHeight="false" outlineLevel="0" collapsed="false">
      <c r="A661" s="0" t="str">
        <f aca="false">'Raw Store Exports'!A661</f>
        <v>TXN00001</v>
      </c>
      <c r="B661" s="17" t="n">
        <f aca="false">'Raw Store Exports'!C661</f>
        <v>46028</v>
      </c>
      <c r="C661" s="0" t="str">
        <f aca="false">INDEX('Store Mapping'!$C$2:$C$19,MATCH(TRIM('Raw Store Exports'!B661),'Store Mapping'!$A$2:$A$19,0))</f>
        <v>Downtown</v>
      </c>
      <c r="D661" s="0" t="str">
        <f aca="false">'Raw Store Exports'!D661</f>
        <v>FTW-201</v>
      </c>
      <c r="E661" s="0" t="str">
        <f aca="false">INDEX('Product Master'!$B$2:$B$21,MATCH(D661,'Product Master'!$A$2:$A$21,0))</f>
        <v>Running Sneakers</v>
      </c>
      <c r="F661" s="0" t="str">
        <f aca="false">INDEX('Product Master'!$C$2:$C$21,MATCH(D661,'Product Master'!$A$2:$A$21,0))</f>
        <v>Footwear</v>
      </c>
      <c r="G661" s="15" t="n">
        <f aca="false">VALUE(TRIM('Raw Store Exports'!E661&amp;""))</f>
        <v>6</v>
      </c>
      <c r="H661" s="18" t="n">
        <f aca="false">INDEX('Product Master'!$D$2:$D$21,MATCH(D661,'Product Master'!$A$2:$A$21,0))</f>
        <v>89</v>
      </c>
      <c r="I661" s="14" t="n">
        <f aca="false">G661*H661</f>
        <v>534</v>
      </c>
      <c r="J661" s="0" t="str">
        <f aca="false">IF(COUNTIF($A$2:A661,A661)&gt;1,"Duplicate","")</f>
        <v/>
      </c>
    </row>
    <row r="662" customFormat="false" ht="15" hidden="false" customHeight="false" outlineLevel="0" collapsed="false">
      <c r="A662" s="0" t="str">
        <f aca="false">'Raw Store Exports'!A662</f>
        <v>TXN00695</v>
      </c>
      <c r="B662" s="17" t="n">
        <f aca="false">'Raw Store Exports'!C662</f>
        <v>46057</v>
      </c>
      <c r="C662" s="0" t="str">
        <f aca="false">INDEX('Store Mapping'!$C$2:$C$19,MATCH(TRIM('Raw Store Exports'!B662),'Store Mapping'!$A$2:$A$19,0))</f>
        <v>Riverside</v>
      </c>
      <c r="D662" s="0" t="str">
        <f aca="false">'Raw Store Exports'!D662</f>
        <v>ACC-303</v>
      </c>
      <c r="E662" s="0" t="str">
        <f aca="false">INDEX('Product Master'!$B$2:$B$21,MATCH(D662,'Product Master'!$A$2:$A$21,0))</f>
        <v>Canvas Tote Bag</v>
      </c>
      <c r="F662" s="0" t="str">
        <f aca="false">INDEX('Product Master'!$C$2:$C$21,MATCH(D662,'Product Master'!$A$2:$A$21,0))</f>
        <v>Accessories</v>
      </c>
      <c r="G662" s="15" t="n">
        <f aca="false">VALUE(TRIM('Raw Store Exports'!E662&amp;""))</f>
        <v>5</v>
      </c>
      <c r="H662" s="18" t="n">
        <f aca="false">INDEX('Product Master'!$D$2:$D$21,MATCH(D662,'Product Master'!$A$2:$A$21,0))</f>
        <v>24</v>
      </c>
      <c r="I662" s="14" t="n">
        <f aca="false">G662*H662</f>
        <v>120</v>
      </c>
      <c r="J662" s="0" t="str">
        <f aca="false">IF(COUNTIF($A$2:A662,A662)&gt;1,"Duplicate","")</f>
        <v/>
      </c>
    </row>
    <row r="663" customFormat="false" ht="15" hidden="false" customHeight="false" outlineLevel="0" collapsed="false">
      <c r="A663" s="0" t="str">
        <f aca="false">'Raw Store Exports'!A663</f>
        <v>TXN00600</v>
      </c>
      <c r="B663" s="17" t="n">
        <f aca="false">'Raw Store Exports'!C663</f>
        <v>46057</v>
      </c>
      <c r="C663" s="0" t="str">
        <f aca="false">INDEX('Store Mapping'!$C$2:$C$19,MATCH(TRIM('Raw Store Exports'!B663),'Store Mapping'!$A$2:$A$19,0))</f>
        <v>Downtown</v>
      </c>
      <c r="D663" s="0" t="str">
        <f aca="false">'Raw Store Exports'!D663</f>
        <v>HOM-503</v>
      </c>
      <c r="E663" s="0" t="str">
        <f aca="false">INDEX('Product Master'!$B$2:$B$21,MATCH(D663,'Product Master'!$A$2:$A$21,0))</f>
        <v>Cotton Throw Blanket</v>
      </c>
      <c r="F663" s="0" t="str">
        <f aca="false">INDEX('Product Master'!$C$2:$C$21,MATCH(D663,'Product Master'!$A$2:$A$21,0))</f>
        <v>Home Goods</v>
      </c>
      <c r="G663" s="15" t="n">
        <f aca="false">VALUE(TRIM('Raw Store Exports'!E663&amp;""))</f>
        <v>4</v>
      </c>
      <c r="H663" s="18" t="n">
        <f aca="false">INDEX('Product Master'!$D$2:$D$21,MATCH(D663,'Product Master'!$A$2:$A$21,0))</f>
        <v>38</v>
      </c>
      <c r="I663" s="14" t="n">
        <f aca="false">G663*H663</f>
        <v>152</v>
      </c>
      <c r="J663" s="0" t="str">
        <f aca="false">IF(COUNTIF($A$2:A663,A663)&gt;1,"Duplicate","")</f>
        <v/>
      </c>
    </row>
    <row r="664" customFormat="false" ht="15" hidden="false" customHeight="false" outlineLevel="0" collapsed="false">
      <c r="A664" s="0" t="str">
        <f aca="false">'Raw Store Exports'!A664</f>
        <v>TXN01031</v>
      </c>
      <c r="B664" s="17" t="n">
        <f aca="false">'Raw Store Exports'!C664</f>
        <v>46070</v>
      </c>
      <c r="C664" s="0" t="str">
        <f aca="false">INDEX('Store Mapping'!$C$2:$C$19,MATCH(TRIM('Raw Store Exports'!B664),'Store Mapping'!$A$2:$A$19,0))</f>
        <v>Airport Plaza</v>
      </c>
      <c r="D664" s="0" t="str">
        <f aca="false">'Raw Store Exports'!D664</f>
        <v>HOM-501</v>
      </c>
      <c r="E664" s="0" t="str">
        <f aca="false">INDEX('Product Master'!$B$2:$B$21,MATCH(D664,'Product Master'!$A$2:$A$21,0))</f>
        <v>Ceramic Coffee Mug Set</v>
      </c>
      <c r="F664" s="0" t="str">
        <f aca="false">INDEX('Product Master'!$C$2:$C$21,MATCH(D664,'Product Master'!$A$2:$A$21,0))</f>
        <v>Home Goods</v>
      </c>
      <c r="G664" s="15" t="n">
        <f aca="false">VALUE(TRIM('Raw Store Exports'!E664&amp;""))</f>
        <v>3</v>
      </c>
      <c r="H664" s="18" t="n">
        <f aca="false">INDEX('Product Master'!$D$2:$D$21,MATCH(D664,'Product Master'!$A$2:$A$21,0))</f>
        <v>22</v>
      </c>
      <c r="I664" s="14" t="n">
        <f aca="false">G664*H664</f>
        <v>66</v>
      </c>
      <c r="J664" s="0" t="str">
        <f aca="false">IF(COUNTIF($A$2:A664,A664)&gt;1,"Duplicate","")</f>
        <v/>
      </c>
    </row>
    <row r="665" customFormat="false" ht="15" hidden="false" customHeight="false" outlineLevel="0" collapsed="false">
      <c r="A665" s="0" t="str">
        <f aca="false">'Raw Store Exports'!A665</f>
        <v>TXN00495</v>
      </c>
      <c r="B665" s="17" t="n">
        <f aca="false">'Raw Store Exports'!C665</f>
        <v>46052</v>
      </c>
      <c r="C665" s="0" t="str">
        <f aca="false">INDEX('Store Mapping'!$C$2:$C$19,MATCH(TRIM('Raw Store Exports'!B665),'Store Mapping'!$A$2:$A$19,0))</f>
        <v>Eastgate</v>
      </c>
      <c r="D665" s="0" t="str">
        <f aca="false">'Raw Store Exports'!D665</f>
        <v>APP-101</v>
      </c>
      <c r="E665" s="0" t="str">
        <f aca="false">INDEX('Product Master'!$B$2:$B$21,MATCH(D665,'Product Master'!$A$2:$A$21,0))</f>
        <v>Classic Denim Jacket</v>
      </c>
      <c r="F665" s="0" t="str">
        <f aca="false">INDEX('Product Master'!$C$2:$C$21,MATCH(D665,'Product Master'!$A$2:$A$21,0))</f>
        <v>Apparel</v>
      </c>
      <c r="G665" s="15" t="n">
        <f aca="false">VALUE(TRIM('Raw Store Exports'!E665&amp;""))</f>
        <v>2</v>
      </c>
      <c r="H665" s="18" t="n">
        <f aca="false">INDEX('Product Master'!$D$2:$D$21,MATCH(D665,'Product Master'!$A$2:$A$21,0))</f>
        <v>68</v>
      </c>
      <c r="I665" s="14" t="n">
        <f aca="false">G665*H665</f>
        <v>136</v>
      </c>
      <c r="J665" s="0" t="str">
        <f aca="false">IF(COUNTIF($A$2:A665,A665)&gt;1,"Duplicate","")</f>
        <v/>
      </c>
    </row>
    <row r="666" customFormat="false" ht="15" hidden="false" customHeight="false" outlineLevel="0" collapsed="false">
      <c r="A666" s="0" t="str">
        <f aca="false">'Raw Store Exports'!A666</f>
        <v>TXN00442</v>
      </c>
      <c r="B666" s="17" t="n">
        <f aca="false">'Raw Store Exports'!C666</f>
        <v>46049</v>
      </c>
      <c r="C666" s="0" t="str">
        <f aca="false">INDEX('Store Mapping'!$C$2:$C$19,MATCH(TRIM('Raw Store Exports'!B666),'Store Mapping'!$A$2:$A$19,0))</f>
        <v>Downtown</v>
      </c>
      <c r="D666" s="0" t="str">
        <f aca="false">'Raw Store Exports'!D666</f>
        <v>APP-102</v>
      </c>
      <c r="E666" s="0" t="str">
        <f aca="false">INDEX('Product Master'!$B$2:$B$21,MATCH(D666,'Product Master'!$A$2:$A$21,0))</f>
        <v>Cotton Crew T-Shirt</v>
      </c>
      <c r="F666" s="0" t="str">
        <f aca="false">INDEX('Product Master'!$C$2:$C$21,MATCH(D666,'Product Master'!$A$2:$A$21,0))</f>
        <v>Apparel</v>
      </c>
      <c r="G666" s="15" t="n">
        <f aca="false">VALUE(TRIM('Raw Store Exports'!E666&amp;""))</f>
        <v>5</v>
      </c>
      <c r="H666" s="18" t="n">
        <f aca="false">INDEX('Product Master'!$D$2:$D$21,MATCH(D666,'Product Master'!$A$2:$A$21,0))</f>
        <v>18</v>
      </c>
      <c r="I666" s="14" t="n">
        <f aca="false">G666*H666</f>
        <v>90</v>
      </c>
      <c r="J666" s="0" t="str">
        <f aca="false">IF(COUNTIF($A$2:A666,A666)&gt;1,"Duplicate","")</f>
        <v/>
      </c>
    </row>
    <row r="667" customFormat="false" ht="15" hidden="false" customHeight="false" outlineLevel="0" collapsed="false">
      <c r="A667" s="0" t="str">
        <f aca="false">'Raw Store Exports'!A667</f>
        <v>TXN00728</v>
      </c>
      <c r="B667" s="17" t="n">
        <f aca="false">'Raw Store Exports'!C667</f>
        <v>46058</v>
      </c>
      <c r="C667" s="0" t="str">
        <f aca="false">INDEX('Store Mapping'!$C$2:$C$19,MATCH(TRIM('Raw Store Exports'!B667),'Store Mapping'!$A$2:$A$19,0))</f>
        <v>Airport Plaza</v>
      </c>
      <c r="D667" s="0" t="str">
        <f aca="false">'Raw Store Exports'!D667</f>
        <v>ELE-404</v>
      </c>
      <c r="E667" s="0" t="str">
        <f aca="false">INDEX('Product Master'!$B$2:$B$21,MATCH(D667,'Product Master'!$A$2:$A$21,0))</f>
        <v>Phone Charging Cable</v>
      </c>
      <c r="F667" s="0" t="str">
        <f aca="false">INDEX('Product Master'!$C$2:$C$21,MATCH(D667,'Product Master'!$A$2:$A$21,0))</f>
        <v>Electronics</v>
      </c>
      <c r="G667" s="15" t="n">
        <f aca="false">VALUE(TRIM('Raw Store Exports'!E667&amp;""))</f>
        <v>2</v>
      </c>
      <c r="H667" s="18" t="n">
        <f aca="false">INDEX('Product Master'!$D$2:$D$21,MATCH(D667,'Product Master'!$A$2:$A$21,0))</f>
        <v>12</v>
      </c>
      <c r="I667" s="14" t="n">
        <f aca="false">G667*H667</f>
        <v>24</v>
      </c>
      <c r="J667" s="0" t="str">
        <f aca="false">IF(COUNTIF($A$2:A667,A667)&gt;1,"Duplicate","")</f>
        <v/>
      </c>
    </row>
    <row r="668" customFormat="false" ht="15" hidden="false" customHeight="false" outlineLevel="0" collapsed="false">
      <c r="A668" s="0" t="str">
        <f aca="false">'Raw Store Exports'!A668</f>
        <v>TXN00801</v>
      </c>
      <c r="B668" s="17" t="n">
        <f aca="false">'Raw Store Exports'!C668</f>
        <v>46063</v>
      </c>
      <c r="C668" s="0" t="str">
        <f aca="false">INDEX('Store Mapping'!$C$2:$C$19,MATCH(TRIM('Raw Store Exports'!B668),'Store Mapping'!$A$2:$A$19,0))</f>
        <v>Eastgate</v>
      </c>
      <c r="D668" s="0" t="str">
        <f aca="false">'Raw Store Exports'!D668</f>
        <v>FTW-202</v>
      </c>
      <c r="E668" s="0" t="str">
        <f aca="false">INDEX('Product Master'!$B$2:$B$21,MATCH(D668,'Product Master'!$A$2:$A$21,0))</f>
        <v>Canvas Low-Top</v>
      </c>
      <c r="F668" s="0" t="str">
        <f aca="false">INDEX('Product Master'!$C$2:$C$21,MATCH(D668,'Product Master'!$A$2:$A$21,0))</f>
        <v>Footwear</v>
      </c>
      <c r="G668" s="15" t="n">
        <f aca="false">VALUE(TRIM('Raw Store Exports'!E668&amp;""))</f>
        <v>4</v>
      </c>
      <c r="H668" s="18" t="n">
        <f aca="false">INDEX('Product Master'!$D$2:$D$21,MATCH(D668,'Product Master'!$A$2:$A$21,0))</f>
        <v>55</v>
      </c>
      <c r="I668" s="14" t="n">
        <f aca="false">G668*H668</f>
        <v>220</v>
      </c>
      <c r="J668" s="0" t="str">
        <f aca="false">IF(COUNTIF($A$2:A668,A668)&gt;1,"Duplicate","")</f>
        <v/>
      </c>
    </row>
    <row r="669" customFormat="false" ht="15" hidden="false" customHeight="false" outlineLevel="0" collapsed="false">
      <c r="A669" s="0" t="str">
        <f aca="false">'Raw Store Exports'!A669</f>
        <v>TXN00410</v>
      </c>
      <c r="B669" s="17" t="n">
        <f aca="false">'Raw Store Exports'!C669</f>
        <v>46045</v>
      </c>
      <c r="C669" s="0" t="str">
        <f aca="false">INDEX('Store Mapping'!$C$2:$C$19,MATCH(TRIM('Raw Store Exports'!B669),'Store Mapping'!$A$2:$A$19,0))</f>
        <v>Airport Plaza</v>
      </c>
      <c r="D669" s="0" t="str">
        <f aca="false">'Raw Store Exports'!D669</f>
        <v>ELE-401</v>
      </c>
      <c r="E669" s="0" t="str">
        <f aca="false">INDEX('Product Master'!$B$2:$B$21,MATCH(D669,'Product Master'!$A$2:$A$21,0))</f>
        <v>Wireless Earbuds</v>
      </c>
      <c r="F669" s="0" t="str">
        <f aca="false">INDEX('Product Master'!$C$2:$C$21,MATCH(D669,'Product Master'!$A$2:$A$21,0))</f>
        <v>Electronics</v>
      </c>
      <c r="G669" s="15" t="n">
        <f aca="false">VALUE(TRIM('Raw Store Exports'!E669&amp;""))</f>
        <v>1</v>
      </c>
      <c r="H669" s="18" t="n">
        <f aca="false">INDEX('Product Master'!$D$2:$D$21,MATCH(D669,'Product Master'!$A$2:$A$21,0))</f>
        <v>79</v>
      </c>
      <c r="I669" s="14" t="n">
        <f aca="false">G669*H669</f>
        <v>79</v>
      </c>
      <c r="J669" s="0" t="str">
        <f aca="false">IF(COUNTIF($A$2:A669,A669)&gt;1,"Duplicate","")</f>
        <v/>
      </c>
    </row>
    <row r="670" customFormat="false" ht="15" hidden="false" customHeight="false" outlineLevel="0" collapsed="false">
      <c r="A670" s="0" t="str">
        <f aca="false">'Raw Store Exports'!A670</f>
        <v>TXN00697</v>
      </c>
      <c r="B670" s="17" t="n">
        <f aca="false">'Raw Store Exports'!C670</f>
        <v>46057</v>
      </c>
      <c r="C670" s="0" t="str">
        <f aca="false">INDEX('Store Mapping'!$C$2:$C$19,MATCH(TRIM('Raw Store Exports'!B670),'Store Mapping'!$A$2:$A$19,0))</f>
        <v>Riverside</v>
      </c>
      <c r="D670" s="0" t="str">
        <f aca="false">'Raw Store Exports'!D670</f>
        <v>ACC-301</v>
      </c>
      <c r="E670" s="0" t="str">
        <f aca="false">INDEX('Product Master'!$B$2:$B$21,MATCH(D670,'Product Master'!$A$2:$A$21,0))</f>
        <v>Leather Belt</v>
      </c>
      <c r="F670" s="0" t="str">
        <f aca="false">INDEX('Product Master'!$C$2:$C$21,MATCH(D670,'Product Master'!$A$2:$A$21,0))</f>
        <v>Accessories</v>
      </c>
      <c r="G670" s="15" t="n">
        <f aca="false">VALUE(TRIM('Raw Store Exports'!E670&amp;""))</f>
        <v>1</v>
      </c>
      <c r="H670" s="18" t="n">
        <f aca="false">INDEX('Product Master'!$D$2:$D$21,MATCH(D670,'Product Master'!$A$2:$A$21,0))</f>
        <v>30</v>
      </c>
      <c r="I670" s="14" t="n">
        <f aca="false">G670*H670</f>
        <v>30</v>
      </c>
      <c r="J670" s="0" t="str">
        <f aca="false">IF(COUNTIF($A$2:A670,A670)&gt;1,"Duplicate","")</f>
        <v/>
      </c>
    </row>
    <row r="671" customFormat="false" ht="15" hidden="false" customHeight="false" outlineLevel="0" collapsed="false">
      <c r="A671" s="0" t="str">
        <f aca="false">'Raw Store Exports'!A671</f>
        <v>TXN00909</v>
      </c>
      <c r="B671" s="17" t="n">
        <f aca="false">'Raw Store Exports'!C671</f>
        <v>46073</v>
      </c>
      <c r="C671" s="0" t="str">
        <f aca="false">INDEX('Store Mapping'!$C$2:$C$19,MATCH(TRIM('Raw Store Exports'!B671),'Store Mapping'!$A$2:$A$19,0))</f>
        <v>Downtown</v>
      </c>
      <c r="D671" s="0" t="str">
        <f aca="false">'Raw Store Exports'!D671</f>
        <v>ELE-402</v>
      </c>
      <c r="E671" s="0" t="str">
        <f aca="false">INDEX('Product Master'!$B$2:$B$21,MATCH(D671,'Product Master'!$A$2:$A$21,0))</f>
        <v>Bluetooth Speaker</v>
      </c>
      <c r="F671" s="0" t="str">
        <f aca="false">INDEX('Product Master'!$C$2:$C$21,MATCH(D671,'Product Master'!$A$2:$A$21,0))</f>
        <v>Electronics</v>
      </c>
      <c r="G671" s="15" t="n">
        <f aca="false">VALUE(TRIM('Raw Store Exports'!E671&amp;""))</f>
        <v>1</v>
      </c>
      <c r="H671" s="18" t="n">
        <f aca="false">INDEX('Product Master'!$D$2:$D$21,MATCH(D671,'Product Master'!$A$2:$A$21,0))</f>
        <v>59</v>
      </c>
      <c r="I671" s="14" t="n">
        <f aca="false">G671*H671</f>
        <v>59</v>
      </c>
      <c r="J671" s="0" t="str">
        <f aca="false">IF(COUNTIF($A$2:A671,A671)&gt;1,"Duplicate","")</f>
        <v/>
      </c>
    </row>
    <row r="672" customFormat="false" ht="15" hidden="false" customHeight="false" outlineLevel="0" collapsed="false">
      <c r="A672" s="0" t="str">
        <f aca="false">'Raw Store Exports'!A672</f>
        <v>TXN00128</v>
      </c>
      <c r="B672" s="17" t="n">
        <f aca="false">'Raw Store Exports'!C672</f>
        <v>46032</v>
      </c>
      <c r="C672" s="0" t="str">
        <f aca="false">INDEX('Store Mapping'!$C$2:$C$19,MATCH(TRIM('Raw Store Exports'!B672),'Store Mapping'!$A$2:$A$19,0))</f>
        <v>Airport Plaza</v>
      </c>
      <c r="D672" s="0" t="str">
        <f aca="false">'Raw Store Exports'!D672</f>
        <v>FTW-203</v>
      </c>
      <c r="E672" s="0" t="str">
        <f aca="false">INDEX('Product Master'!$B$2:$B$21,MATCH(D672,'Product Master'!$A$2:$A$21,0))</f>
        <v>Leather Ankle Boot</v>
      </c>
      <c r="F672" s="0" t="str">
        <f aca="false">INDEX('Product Master'!$C$2:$C$21,MATCH(D672,'Product Master'!$A$2:$A$21,0))</f>
        <v>Footwear</v>
      </c>
      <c r="G672" s="15" t="n">
        <f aca="false">VALUE(TRIM('Raw Store Exports'!E672&amp;""))</f>
        <v>6</v>
      </c>
      <c r="H672" s="18" t="n">
        <f aca="false">INDEX('Product Master'!$D$2:$D$21,MATCH(D672,'Product Master'!$A$2:$A$21,0))</f>
        <v>120</v>
      </c>
      <c r="I672" s="14" t="n">
        <f aca="false">G672*H672</f>
        <v>720</v>
      </c>
      <c r="J672" s="0" t="str">
        <f aca="false">IF(COUNTIF($A$2:A672,A672)&gt;1,"Duplicate","")</f>
        <v/>
      </c>
    </row>
    <row r="673" customFormat="false" ht="15" hidden="false" customHeight="false" outlineLevel="0" collapsed="false">
      <c r="A673" s="0" t="str">
        <f aca="false">'Raw Store Exports'!A673</f>
        <v>TXN00321</v>
      </c>
      <c r="B673" s="17" t="n">
        <f aca="false">'Raw Store Exports'!C673</f>
        <v>46042</v>
      </c>
      <c r="C673" s="0" t="str">
        <f aca="false">INDEX('Store Mapping'!$C$2:$C$19,MATCH(TRIM('Raw Store Exports'!B673),'Store Mapping'!$A$2:$A$19,0))</f>
        <v>Eastgate</v>
      </c>
      <c r="D673" s="0" t="str">
        <f aca="false">'Raw Store Exports'!D673</f>
        <v>ELE-403</v>
      </c>
      <c r="E673" s="0" t="str">
        <f aca="false">INDEX('Product Master'!$B$2:$B$21,MATCH(D673,'Product Master'!$A$2:$A$21,0))</f>
        <v>Fitness Tracker Band</v>
      </c>
      <c r="F673" s="0" t="str">
        <f aca="false">INDEX('Product Master'!$C$2:$C$21,MATCH(D673,'Product Master'!$A$2:$A$21,0))</f>
        <v>Electronics</v>
      </c>
      <c r="G673" s="15" t="n">
        <f aca="false">VALUE(TRIM('Raw Store Exports'!E673&amp;""))</f>
        <v>3</v>
      </c>
      <c r="H673" s="18" t="n">
        <f aca="false">INDEX('Product Master'!$D$2:$D$21,MATCH(D673,'Product Master'!$A$2:$A$21,0))</f>
        <v>99</v>
      </c>
      <c r="I673" s="14" t="n">
        <f aca="false">G673*H673</f>
        <v>297</v>
      </c>
      <c r="J673" s="0" t="str">
        <f aca="false">IF(COUNTIF($A$2:A673,A673)&gt;1,"Duplicate","")</f>
        <v/>
      </c>
    </row>
    <row r="674" customFormat="false" ht="15" hidden="false" customHeight="false" outlineLevel="0" collapsed="false">
      <c r="A674" s="0" t="str">
        <f aca="false">'Raw Store Exports'!A674</f>
        <v>TXN00641</v>
      </c>
      <c r="B674" s="17" t="n">
        <f aca="false">'Raw Store Exports'!C674</f>
        <v>46055</v>
      </c>
      <c r="C674" s="0" t="str">
        <f aca="false">INDEX('Store Mapping'!$C$2:$C$19,MATCH(TRIM('Raw Store Exports'!B674),'Store Mapping'!$A$2:$A$19,0))</f>
        <v>Westside Mall</v>
      </c>
      <c r="D674" s="0" t="str">
        <f aca="false">'Raw Store Exports'!D674</f>
        <v>APP-103</v>
      </c>
      <c r="E674" s="0" t="str">
        <f aca="false">INDEX('Product Master'!$B$2:$B$21,MATCH(D674,'Product Master'!$A$2:$A$21,0))</f>
        <v>Fleece Pullover Hoodie</v>
      </c>
      <c r="F674" s="0" t="str">
        <f aca="false">INDEX('Product Master'!$C$2:$C$21,MATCH(D674,'Product Master'!$A$2:$A$21,0))</f>
        <v>Apparel</v>
      </c>
      <c r="G674" s="15" t="n">
        <f aca="false">VALUE(TRIM('Raw Store Exports'!E674&amp;""))</f>
        <v>4</v>
      </c>
      <c r="H674" s="18" t="n">
        <f aca="false">INDEX('Product Master'!$D$2:$D$21,MATCH(D674,'Product Master'!$A$2:$A$21,0))</f>
        <v>45</v>
      </c>
      <c r="I674" s="14" t="n">
        <f aca="false">G674*H674</f>
        <v>180</v>
      </c>
      <c r="J674" s="0" t="str">
        <f aca="false">IF(COUNTIF($A$2:A674,A674)&gt;1,"Duplicate","")</f>
        <v/>
      </c>
    </row>
    <row r="675" customFormat="false" ht="15" hidden="false" customHeight="false" outlineLevel="0" collapsed="false">
      <c r="A675" s="0" t="str">
        <f aca="false">'Raw Store Exports'!A675</f>
        <v>TXN00470</v>
      </c>
      <c r="B675" s="17" t="n">
        <f aca="false">'Raw Store Exports'!C675</f>
        <v>46051</v>
      </c>
      <c r="C675" s="0" t="str">
        <f aca="false">INDEX('Store Mapping'!$C$2:$C$19,MATCH(TRIM('Raw Store Exports'!B675),'Store Mapping'!$A$2:$A$19,0))</f>
        <v>Westside Mall</v>
      </c>
      <c r="D675" s="0" t="str">
        <f aca="false">'Raw Store Exports'!D675</f>
        <v>ELE-402</v>
      </c>
      <c r="E675" s="0" t="str">
        <f aca="false">INDEX('Product Master'!$B$2:$B$21,MATCH(D675,'Product Master'!$A$2:$A$21,0))</f>
        <v>Bluetooth Speaker</v>
      </c>
      <c r="F675" s="0" t="str">
        <f aca="false">INDEX('Product Master'!$C$2:$C$21,MATCH(D675,'Product Master'!$A$2:$A$21,0))</f>
        <v>Electronics</v>
      </c>
      <c r="G675" s="15" t="n">
        <f aca="false">VALUE(TRIM('Raw Store Exports'!E675&amp;""))</f>
        <v>1</v>
      </c>
      <c r="H675" s="18" t="n">
        <f aca="false">INDEX('Product Master'!$D$2:$D$21,MATCH(D675,'Product Master'!$A$2:$A$21,0))</f>
        <v>59</v>
      </c>
      <c r="I675" s="14" t="n">
        <f aca="false">G675*H675</f>
        <v>59</v>
      </c>
      <c r="J675" s="0" t="str">
        <f aca="false">IF(COUNTIF($A$2:A675,A675)&gt;1,"Duplicate","")</f>
        <v/>
      </c>
    </row>
    <row r="676" customFormat="false" ht="15" hidden="false" customHeight="false" outlineLevel="0" collapsed="false">
      <c r="A676" s="0" t="str">
        <f aca="false">'Raw Store Exports'!A676</f>
        <v>TXN00804</v>
      </c>
      <c r="B676" s="17" t="n">
        <f aca="false">'Raw Store Exports'!C676</f>
        <v>46068</v>
      </c>
      <c r="C676" s="0" t="str">
        <f aca="false">INDEX('Store Mapping'!$C$2:$C$19,MATCH(TRIM('Raw Store Exports'!B676),'Store Mapping'!$A$2:$A$19,0))</f>
        <v>Eastgate</v>
      </c>
      <c r="D676" s="0" t="str">
        <f aca="false">'Raw Store Exports'!D676</f>
        <v>ACC-304</v>
      </c>
      <c r="E676" s="0" t="str">
        <f aca="false">INDEX('Product Master'!$B$2:$B$21,MATCH(D676,'Product Master'!$A$2:$A$21,0))</f>
        <v>Wool Beanie</v>
      </c>
      <c r="F676" s="0" t="str">
        <f aca="false">INDEX('Product Master'!$C$2:$C$21,MATCH(D676,'Product Master'!$A$2:$A$21,0))</f>
        <v>Accessories</v>
      </c>
      <c r="G676" s="15" t="n">
        <f aca="false">VALUE(TRIM('Raw Store Exports'!E676&amp;""))</f>
        <v>3</v>
      </c>
      <c r="H676" s="18" t="n">
        <f aca="false">INDEX('Product Master'!$D$2:$D$21,MATCH(D676,'Product Master'!$A$2:$A$21,0))</f>
        <v>16</v>
      </c>
      <c r="I676" s="14" t="n">
        <f aca="false">G676*H676</f>
        <v>48</v>
      </c>
      <c r="J676" s="0" t="str">
        <f aca="false">IF(COUNTIF($A$2:A676,A676)&gt;1,"Duplicate","")</f>
        <v/>
      </c>
    </row>
    <row r="677" customFormat="false" ht="15" hidden="false" customHeight="false" outlineLevel="0" collapsed="false">
      <c r="A677" s="0" t="str">
        <f aca="false">'Raw Store Exports'!A677</f>
        <v>TXN00838</v>
      </c>
      <c r="B677" s="17" t="n">
        <f aca="false">'Raw Store Exports'!C677</f>
        <v>46067</v>
      </c>
      <c r="C677" s="0" t="str">
        <f aca="false">INDEX('Store Mapping'!$C$2:$C$19,MATCH(TRIM('Raw Store Exports'!B677),'Store Mapping'!$A$2:$A$19,0))</f>
        <v>Northpark</v>
      </c>
      <c r="D677" s="0" t="str">
        <f aca="false">'Raw Store Exports'!D677</f>
        <v>ACC-302</v>
      </c>
      <c r="E677" s="0" t="str">
        <f aca="false">INDEX('Product Master'!$B$2:$B$21,MATCH(D677,'Product Master'!$A$2:$A$21,0))</f>
        <v>Aviator Sunglasses</v>
      </c>
      <c r="F677" s="0" t="str">
        <f aca="false">INDEX('Product Master'!$C$2:$C$21,MATCH(D677,'Product Master'!$A$2:$A$21,0))</f>
        <v>Accessories</v>
      </c>
      <c r="G677" s="15" t="n">
        <f aca="false">VALUE(TRIM('Raw Store Exports'!E677&amp;""))</f>
        <v>6</v>
      </c>
      <c r="H677" s="18" t="n">
        <f aca="false">INDEX('Product Master'!$D$2:$D$21,MATCH(D677,'Product Master'!$A$2:$A$21,0))</f>
        <v>42</v>
      </c>
      <c r="I677" s="14" t="n">
        <f aca="false">G677*H677</f>
        <v>252</v>
      </c>
      <c r="J677" s="0" t="str">
        <f aca="false">IF(COUNTIF($A$2:A677,A677)&gt;1,"Duplicate","")</f>
        <v/>
      </c>
    </row>
    <row r="678" customFormat="false" ht="15" hidden="false" customHeight="false" outlineLevel="0" collapsed="false">
      <c r="A678" s="0" t="str">
        <f aca="false">'Raw Store Exports'!A678</f>
        <v>TXN00242</v>
      </c>
      <c r="B678" s="17" t="n">
        <f aca="false">'Raw Store Exports'!C678</f>
        <v>46036</v>
      </c>
      <c r="C678" s="0" t="str">
        <f aca="false">INDEX('Store Mapping'!$C$2:$C$19,MATCH(TRIM('Raw Store Exports'!B678),'Store Mapping'!$A$2:$A$19,0))</f>
        <v>Riverside</v>
      </c>
      <c r="D678" s="0" t="str">
        <f aca="false">'Raw Store Exports'!D678</f>
        <v>ACC-302</v>
      </c>
      <c r="E678" s="0" t="str">
        <f aca="false">INDEX('Product Master'!$B$2:$B$21,MATCH(D678,'Product Master'!$A$2:$A$21,0))</f>
        <v>Aviator Sunglasses</v>
      </c>
      <c r="F678" s="0" t="str">
        <f aca="false">INDEX('Product Master'!$C$2:$C$21,MATCH(D678,'Product Master'!$A$2:$A$21,0))</f>
        <v>Accessories</v>
      </c>
      <c r="G678" s="15" t="n">
        <f aca="false">VALUE(TRIM('Raw Store Exports'!E678&amp;""))</f>
        <v>5</v>
      </c>
      <c r="H678" s="18" t="n">
        <f aca="false">INDEX('Product Master'!$D$2:$D$21,MATCH(D678,'Product Master'!$A$2:$A$21,0))</f>
        <v>42</v>
      </c>
      <c r="I678" s="14" t="n">
        <f aca="false">G678*H678</f>
        <v>210</v>
      </c>
      <c r="J678" s="0" t="str">
        <f aca="false">IF(COUNTIF($A$2:A678,A678)&gt;1,"Duplicate","")</f>
        <v/>
      </c>
    </row>
    <row r="679" customFormat="false" ht="15" hidden="false" customHeight="false" outlineLevel="0" collapsed="false">
      <c r="A679" s="0" t="str">
        <f aca="false">'Raw Store Exports'!A679</f>
        <v>TXN00805</v>
      </c>
      <c r="B679" s="17" t="n">
        <f aca="false">'Raw Store Exports'!C679</f>
        <v>46067</v>
      </c>
      <c r="C679" s="0" t="str">
        <f aca="false">INDEX('Store Mapping'!$C$2:$C$19,MATCH(TRIM('Raw Store Exports'!B679),'Store Mapping'!$A$2:$A$19,0))</f>
        <v>Eastgate</v>
      </c>
      <c r="D679" s="0" t="str">
        <f aca="false">'Raw Store Exports'!D679</f>
        <v>APP-104</v>
      </c>
      <c r="E679" s="0" t="str">
        <f aca="false">INDEX('Product Master'!$B$2:$B$21,MATCH(D679,'Product Master'!$A$2:$A$21,0))</f>
        <v>Slim Fit Chinos</v>
      </c>
      <c r="F679" s="0" t="str">
        <f aca="false">INDEX('Product Master'!$C$2:$C$21,MATCH(D679,'Product Master'!$A$2:$A$21,0))</f>
        <v>Apparel</v>
      </c>
      <c r="G679" s="15" t="n">
        <f aca="false">VALUE(TRIM('Raw Store Exports'!E679&amp;""))</f>
        <v>1</v>
      </c>
      <c r="H679" s="18" t="n">
        <f aca="false">INDEX('Product Master'!$D$2:$D$21,MATCH(D679,'Product Master'!$A$2:$A$21,0))</f>
        <v>52</v>
      </c>
      <c r="I679" s="14" t="n">
        <f aca="false">G679*H679</f>
        <v>52</v>
      </c>
      <c r="J679" s="0" t="str">
        <f aca="false">IF(COUNTIF($A$2:A679,A679)&gt;1,"Duplicate","")</f>
        <v/>
      </c>
    </row>
    <row r="680" customFormat="false" ht="15" hidden="false" customHeight="false" outlineLevel="0" collapsed="false">
      <c r="A680" s="0" t="str">
        <f aca="false">'Raw Store Exports'!A680</f>
        <v>TXN00307</v>
      </c>
      <c r="B680" s="17" t="n">
        <f aca="false">'Raw Store Exports'!C680</f>
        <v>46045</v>
      </c>
      <c r="C680" s="0" t="str">
        <f aca="false">INDEX('Store Mapping'!$C$2:$C$19,MATCH(TRIM('Raw Store Exports'!B680),'Store Mapping'!$A$2:$A$19,0))</f>
        <v>Westside Mall</v>
      </c>
      <c r="D680" s="0" t="str">
        <f aca="false">'Raw Store Exports'!D680</f>
        <v>HOM-501</v>
      </c>
      <c r="E680" s="0" t="str">
        <f aca="false">INDEX('Product Master'!$B$2:$B$21,MATCH(D680,'Product Master'!$A$2:$A$21,0))</f>
        <v>Ceramic Coffee Mug Set</v>
      </c>
      <c r="F680" s="0" t="str">
        <f aca="false">INDEX('Product Master'!$C$2:$C$21,MATCH(D680,'Product Master'!$A$2:$A$21,0))</f>
        <v>Home Goods</v>
      </c>
      <c r="G680" s="15" t="n">
        <f aca="false">VALUE(TRIM('Raw Store Exports'!E680&amp;""))</f>
        <v>2</v>
      </c>
      <c r="H680" s="18" t="n">
        <f aca="false">INDEX('Product Master'!$D$2:$D$21,MATCH(D680,'Product Master'!$A$2:$A$21,0))</f>
        <v>22</v>
      </c>
      <c r="I680" s="14" t="n">
        <f aca="false">G680*H680</f>
        <v>44</v>
      </c>
      <c r="J680" s="0" t="str">
        <f aca="false">IF(COUNTIF($A$2:A680,A680)&gt;1,"Duplicate","")</f>
        <v/>
      </c>
    </row>
    <row r="681" customFormat="false" ht="15" hidden="false" customHeight="false" outlineLevel="0" collapsed="false">
      <c r="A681" s="0" t="str">
        <f aca="false">'Raw Store Exports'!A681</f>
        <v>TXN00689</v>
      </c>
      <c r="B681" s="17" t="n">
        <f aca="false">'Raw Store Exports'!C681</f>
        <v>46058</v>
      </c>
      <c r="C681" s="0" t="str">
        <f aca="false">INDEX('Store Mapping'!$C$2:$C$19,MATCH(TRIM('Raw Store Exports'!B681),'Store Mapping'!$A$2:$A$19,0))</f>
        <v>Northpark</v>
      </c>
      <c r="D681" s="0" t="str">
        <f aca="false">'Raw Store Exports'!D681</f>
        <v>ACC-301</v>
      </c>
      <c r="E681" s="0" t="str">
        <f aca="false">INDEX('Product Master'!$B$2:$B$21,MATCH(D681,'Product Master'!$A$2:$A$21,0))</f>
        <v>Leather Belt</v>
      </c>
      <c r="F681" s="0" t="str">
        <f aca="false">INDEX('Product Master'!$C$2:$C$21,MATCH(D681,'Product Master'!$A$2:$A$21,0))</f>
        <v>Accessories</v>
      </c>
      <c r="G681" s="15" t="n">
        <f aca="false">VALUE(TRIM('Raw Store Exports'!E681&amp;""))</f>
        <v>6</v>
      </c>
      <c r="H681" s="18" t="n">
        <f aca="false">INDEX('Product Master'!$D$2:$D$21,MATCH(D681,'Product Master'!$A$2:$A$21,0))</f>
        <v>30</v>
      </c>
      <c r="I681" s="14" t="n">
        <f aca="false">G681*H681</f>
        <v>180</v>
      </c>
      <c r="J681" s="0" t="str">
        <f aca="false">IF(COUNTIF($A$2:A681,A681)&gt;1,"Duplicate","")</f>
        <v/>
      </c>
    </row>
    <row r="682" customFormat="false" ht="15" hidden="false" customHeight="false" outlineLevel="0" collapsed="false">
      <c r="A682" s="0" t="str">
        <f aca="false">'Raw Store Exports'!A682</f>
        <v>TXN00563</v>
      </c>
      <c r="B682" s="17" t="n">
        <f aca="false">'Raw Store Exports'!C682</f>
        <v>46049</v>
      </c>
      <c r="C682" s="0" t="str">
        <f aca="false">INDEX('Store Mapping'!$C$2:$C$19,MATCH(TRIM('Raw Store Exports'!B682),'Store Mapping'!$A$2:$A$19,0))</f>
        <v>Riverside</v>
      </c>
      <c r="D682" s="0" t="str">
        <f aca="false">'Raw Store Exports'!D682</f>
        <v>ELE-403</v>
      </c>
      <c r="E682" s="0" t="str">
        <f aca="false">INDEX('Product Master'!$B$2:$B$21,MATCH(D682,'Product Master'!$A$2:$A$21,0))</f>
        <v>Fitness Tracker Band</v>
      </c>
      <c r="F682" s="0" t="str">
        <f aca="false">INDEX('Product Master'!$C$2:$C$21,MATCH(D682,'Product Master'!$A$2:$A$21,0))</f>
        <v>Electronics</v>
      </c>
      <c r="G682" s="15" t="n">
        <f aca="false">VALUE(TRIM('Raw Store Exports'!E682&amp;""))</f>
        <v>1</v>
      </c>
      <c r="H682" s="18" t="n">
        <f aca="false">INDEX('Product Master'!$D$2:$D$21,MATCH(D682,'Product Master'!$A$2:$A$21,0))</f>
        <v>99</v>
      </c>
      <c r="I682" s="14" t="n">
        <f aca="false">G682*H682</f>
        <v>99</v>
      </c>
      <c r="J682" s="0" t="str">
        <f aca="false">IF(COUNTIF($A$2:A682,A682)&gt;1,"Duplicate","")</f>
        <v/>
      </c>
    </row>
    <row r="683" customFormat="false" ht="15" hidden="false" customHeight="false" outlineLevel="0" collapsed="false">
      <c r="A683" s="0" t="str">
        <f aca="false">'Raw Store Exports'!A683</f>
        <v>TXN00305</v>
      </c>
      <c r="B683" s="17" t="n">
        <f aca="false">'Raw Store Exports'!C683</f>
        <v>46047</v>
      </c>
      <c r="C683" s="0" t="str">
        <f aca="false">INDEX('Store Mapping'!$C$2:$C$19,MATCH(TRIM('Raw Store Exports'!B683),'Store Mapping'!$A$2:$A$19,0))</f>
        <v>Westside Mall</v>
      </c>
      <c r="D683" s="0" t="str">
        <f aca="false">'Raw Store Exports'!D683</f>
        <v>HOM-501</v>
      </c>
      <c r="E683" s="0" t="str">
        <f aca="false">INDEX('Product Master'!$B$2:$B$21,MATCH(D683,'Product Master'!$A$2:$A$21,0))</f>
        <v>Ceramic Coffee Mug Set</v>
      </c>
      <c r="F683" s="0" t="str">
        <f aca="false">INDEX('Product Master'!$C$2:$C$21,MATCH(D683,'Product Master'!$A$2:$A$21,0))</f>
        <v>Home Goods</v>
      </c>
      <c r="G683" s="15" t="n">
        <f aca="false">VALUE(TRIM('Raw Store Exports'!E683&amp;""))</f>
        <v>1</v>
      </c>
      <c r="H683" s="18" t="n">
        <f aca="false">INDEX('Product Master'!$D$2:$D$21,MATCH(D683,'Product Master'!$A$2:$A$21,0))</f>
        <v>22</v>
      </c>
      <c r="I683" s="14" t="n">
        <f aca="false">G683*H683</f>
        <v>22</v>
      </c>
      <c r="J683" s="0" t="str">
        <f aca="false">IF(COUNTIF($A$2:A683,A683)&gt;1,"Duplicate","")</f>
        <v/>
      </c>
    </row>
    <row r="684" customFormat="false" ht="15" hidden="false" customHeight="false" outlineLevel="0" collapsed="false">
      <c r="A684" s="0" t="str">
        <f aca="false">'Raw Store Exports'!A684</f>
        <v>TXN01052</v>
      </c>
      <c r="B684" s="17" t="n">
        <f aca="false">'Raw Store Exports'!C684</f>
        <v>46082</v>
      </c>
      <c r="C684" s="0" t="str">
        <f aca="false">INDEX('Store Mapping'!$C$2:$C$19,MATCH(TRIM('Raw Store Exports'!B684),'Store Mapping'!$A$2:$A$19,0))</f>
        <v>Downtown</v>
      </c>
      <c r="D684" s="0" t="str">
        <f aca="false">'Raw Store Exports'!D684</f>
        <v>ELE-404</v>
      </c>
      <c r="E684" s="0" t="str">
        <f aca="false">INDEX('Product Master'!$B$2:$B$21,MATCH(D684,'Product Master'!$A$2:$A$21,0))</f>
        <v>Phone Charging Cable</v>
      </c>
      <c r="F684" s="0" t="str">
        <f aca="false">INDEX('Product Master'!$C$2:$C$21,MATCH(D684,'Product Master'!$A$2:$A$21,0))</f>
        <v>Electronics</v>
      </c>
      <c r="G684" s="15" t="n">
        <f aca="false">VALUE(TRIM('Raw Store Exports'!E684&amp;""))</f>
        <v>2</v>
      </c>
      <c r="H684" s="18" t="n">
        <f aca="false">INDEX('Product Master'!$D$2:$D$21,MATCH(D684,'Product Master'!$A$2:$A$21,0))</f>
        <v>12</v>
      </c>
      <c r="I684" s="14" t="n">
        <f aca="false">G684*H684</f>
        <v>24</v>
      </c>
      <c r="J684" s="0" t="str">
        <f aca="false">IF(COUNTIF($A$2:A684,A684)&gt;1,"Duplicate","")</f>
        <v/>
      </c>
    </row>
    <row r="685" customFormat="false" ht="15" hidden="false" customHeight="false" outlineLevel="0" collapsed="false">
      <c r="A685" s="0" t="str">
        <f aca="false">'Raw Store Exports'!A685</f>
        <v>TXN00923</v>
      </c>
      <c r="B685" s="17" t="n">
        <f aca="false">'Raw Store Exports'!C685</f>
        <v>46069</v>
      </c>
      <c r="C685" s="0" t="str">
        <f aca="false">INDEX('Store Mapping'!$C$2:$C$19,MATCH(TRIM('Raw Store Exports'!B685),'Store Mapping'!$A$2:$A$19,0))</f>
        <v>Westside Mall</v>
      </c>
      <c r="D685" s="0" t="str">
        <f aca="false">'Raw Store Exports'!D685</f>
        <v>APP-103</v>
      </c>
      <c r="E685" s="0" t="str">
        <f aca="false">INDEX('Product Master'!$B$2:$B$21,MATCH(D685,'Product Master'!$A$2:$A$21,0))</f>
        <v>Fleece Pullover Hoodie</v>
      </c>
      <c r="F685" s="0" t="str">
        <f aca="false">INDEX('Product Master'!$C$2:$C$21,MATCH(D685,'Product Master'!$A$2:$A$21,0))</f>
        <v>Apparel</v>
      </c>
      <c r="G685" s="15" t="n">
        <f aca="false">VALUE(TRIM('Raw Store Exports'!E685&amp;""))</f>
        <v>3</v>
      </c>
      <c r="H685" s="18" t="n">
        <f aca="false">INDEX('Product Master'!$D$2:$D$21,MATCH(D685,'Product Master'!$A$2:$A$21,0))</f>
        <v>45</v>
      </c>
      <c r="I685" s="14" t="n">
        <f aca="false">G685*H685</f>
        <v>135</v>
      </c>
      <c r="J685" s="0" t="str">
        <f aca="false">IF(COUNTIF($A$2:A685,A685)&gt;1,"Duplicate","")</f>
        <v/>
      </c>
    </row>
    <row r="686" customFormat="false" ht="15" hidden="false" customHeight="false" outlineLevel="0" collapsed="false">
      <c r="A686" s="0" t="str">
        <f aca="false">'Raw Store Exports'!A686</f>
        <v>TXN00059</v>
      </c>
      <c r="B686" s="17" t="n">
        <f aca="false">'Raw Store Exports'!C686</f>
        <v>46029</v>
      </c>
      <c r="C686" s="0" t="str">
        <f aca="false">INDEX('Store Mapping'!$C$2:$C$19,MATCH(TRIM('Raw Store Exports'!B686),'Store Mapping'!$A$2:$A$19,0))</f>
        <v>Eastgate</v>
      </c>
      <c r="D686" s="0" t="str">
        <f aca="false">'Raw Store Exports'!D686</f>
        <v>ELE-404</v>
      </c>
      <c r="E686" s="0" t="str">
        <f aca="false">INDEX('Product Master'!$B$2:$B$21,MATCH(D686,'Product Master'!$A$2:$A$21,0))</f>
        <v>Phone Charging Cable</v>
      </c>
      <c r="F686" s="0" t="str">
        <f aca="false">INDEX('Product Master'!$C$2:$C$21,MATCH(D686,'Product Master'!$A$2:$A$21,0))</f>
        <v>Electronics</v>
      </c>
      <c r="G686" s="15" t="n">
        <f aca="false">VALUE(TRIM('Raw Store Exports'!E686&amp;""))</f>
        <v>1</v>
      </c>
      <c r="H686" s="18" t="n">
        <f aca="false">INDEX('Product Master'!$D$2:$D$21,MATCH(D686,'Product Master'!$A$2:$A$21,0))</f>
        <v>12</v>
      </c>
      <c r="I686" s="14" t="n">
        <f aca="false">G686*H686</f>
        <v>12</v>
      </c>
      <c r="J686" s="0" t="str">
        <f aca="false">IF(COUNTIF($A$2:A686,A686)&gt;1,"Duplicate","")</f>
        <v/>
      </c>
    </row>
    <row r="687" customFormat="false" ht="15" hidden="false" customHeight="false" outlineLevel="0" collapsed="false">
      <c r="A687" s="0" t="str">
        <f aca="false">'Raw Store Exports'!A687</f>
        <v>TXN00185</v>
      </c>
      <c r="B687" s="17" t="n">
        <f aca="false">'Raw Store Exports'!C687</f>
        <v>46040</v>
      </c>
      <c r="C687" s="0" t="str">
        <f aca="false">INDEX('Store Mapping'!$C$2:$C$19,MATCH(TRIM('Raw Store Exports'!B687),'Store Mapping'!$A$2:$A$19,0))</f>
        <v>Eastgate</v>
      </c>
      <c r="D687" s="0" t="str">
        <f aca="false">'Raw Store Exports'!D687</f>
        <v>ACC-302</v>
      </c>
      <c r="E687" s="0" t="str">
        <f aca="false">INDEX('Product Master'!$B$2:$B$21,MATCH(D687,'Product Master'!$A$2:$A$21,0))</f>
        <v>Aviator Sunglasses</v>
      </c>
      <c r="F687" s="0" t="str">
        <f aca="false">INDEX('Product Master'!$C$2:$C$21,MATCH(D687,'Product Master'!$A$2:$A$21,0))</f>
        <v>Accessories</v>
      </c>
      <c r="G687" s="15" t="n">
        <f aca="false">VALUE(TRIM('Raw Store Exports'!E687&amp;""))</f>
        <v>6</v>
      </c>
      <c r="H687" s="18" t="n">
        <f aca="false">INDEX('Product Master'!$D$2:$D$21,MATCH(D687,'Product Master'!$A$2:$A$21,0))</f>
        <v>42</v>
      </c>
      <c r="I687" s="14" t="n">
        <f aca="false">G687*H687</f>
        <v>252</v>
      </c>
      <c r="J687" s="0" t="str">
        <f aca="false">IF(COUNTIF($A$2:A687,A687)&gt;1,"Duplicate","")</f>
        <v/>
      </c>
    </row>
    <row r="688" customFormat="false" ht="15" hidden="false" customHeight="false" outlineLevel="0" collapsed="false">
      <c r="A688" s="0" t="str">
        <f aca="false">'Raw Store Exports'!A688</f>
        <v>TXN00995</v>
      </c>
      <c r="B688" s="17" t="n">
        <f aca="false">'Raw Store Exports'!C688</f>
        <v>46074</v>
      </c>
      <c r="C688" s="0" t="str">
        <f aca="false">INDEX('Store Mapping'!$C$2:$C$19,MATCH(TRIM('Raw Store Exports'!B688),'Store Mapping'!$A$2:$A$19,0))</f>
        <v>Riverside</v>
      </c>
      <c r="D688" s="0" t="str">
        <f aca="false">'Raw Store Exports'!D688</f>
        <v>FTW-202</v>
      </c>
      <c r="E688" s="0" t="str">
        <f aca="false">INDEX('Product Master'!$B$2:$B$21,MATCH(D688,'Product Master'!$A$2:$A$21,0))</f>
        <v>Canvas Low-Top</v>
      </c>
      <c r="F688" s="0" t="str">
        <f aca="false">INDEX('Product Master'!$C$2:$C$21,MATCH(D688,'Product Master'!$A$2:$A$21,0))</f>
        <v>Footwear</v>
      </c>
      <c r="G688" s="15" t="n">
        <f aca="false">VALUE(TRIM('Raw Store Exports'!E688&amp;""))</f>
        <v>1</v>
      </c>
      <c r="H688" s="18" t="n">
        <f aca="false">INDEX('Product Master'!$D$2:$D$21,MATCH(D688,'Product Master'!$A$2:$A$21,0))</f>
        <v>55</v>
      </c>
      <c r="I688" s="14" t="n">
        <f aca="false">G688*H688</f>
        <v>55</v>
      </c>
      <c r="J688" s="0" t="str">
        <f aca="false">IF(COUNTIF($A$2:A688,A688)&gt;1,"Duplicate","")</f>
        <v/>
      </c>
    </row>
    <row r="689" customFormat="false" ht="15" hidden="false" customHeight="false" outlineLevel="0" collapsed="false">
      <c r="A689" s="0" t="str">
        <f aca="false">'Raw Store Exports'!A689</f>
        <v>TXN00299</v>
      </c>
      <c r="B689" s="17" t="n">
        <f aca="false">'Raw Store Exports'!C689</f>
        <v>46045</v>
      </c>
      <c r="C689" s="0" t="str">
        <f aca="false">INDEX('Store Mapping'!$C$2:$C$19,MATCH(TRIM('Raw Store Exports'!B689),'Store Mapping'!$A$2:$A$19,0))</f>
        <v>Downtown</v>
      </c>
      <c r="D689" s="0" t="str">
        <f aca="false">'Raw Store Exports'!D689</f>
        <v>ACC-303</v>
      </c>
      <c r="E689" s="0" t="str">
        <f aca="false">INDEX('Product Master'!$B$2:$B$21,MATCH(D689,'Product Master'!$A$2:$A$21,0))</f>
        <v>Canvas Tote Bag</v>
      </c>
      <c r="F689" s="0" t="str">
        <f aca="false">INDEX('Product Master'!$C$2:$C$21,MATCH(D689,'Product Master'!$A$2:$A$21,0))</f>
        <v>Accessories</v>
      </c>
      <c r="G689" s="15" t="n">
        <f aca="false">VALUE(TRIM('Raw Store Exports'!E689&amp;""))</f>
        <v>6</v>
      </c>
      <c r="H689" s="18" t="n">
        <f aca="false">INDEX('Product Master'!$D$2:$D$21,MATCH(D689,'Product Master'!$A$2:$A$21,0))</f>
        <v>24</v>
      </c>
      <c r="I689" s="14" t="n">
        <f aca="false">G689*H689</f>
        <v>144</v>
      </c>
      <c r="J689" s="0" t="str">
        <f aca="false">IF(COUNTIF($A$2:A689,A689)&gt;1,"Duplicate","")</f>
        <v/>
      </c>
    </row>
    <row r="690" customFormat="false" ht="15" hidden="false" customHeight="false" outlineLevel="0" collapsed="false">
      <c r="A690" s="0" t="str">
        <f aca="false">'Raw Store Exports'!A690</f>
        <v>TXN00547</v>
      </c>
      <c r="B690" s="17" t="n">
        <f aca="false">'Raw Store Exports'!C690</f>
        <v>46050</v>
      </c>
      <c r="C690" s="0" t="str">
        <f aca="false">INDEX('Store Mapping'!$C$2:$C$19,MATCH(TRIM('Raw Store Exports'!B690),'Store Mapping'!$A$2:$A$19,0))</f>
        <v>Riverside</v>
      </c>
      <c r="D690" s="0" t="str">
        <f aca="false">'Raw Store Exports'!D690</f>
        <v>APP-103</v>
      </c>
      <c r="E690" s="0" t="str">
        <f aca="false">INDEX('Product Master'!$B$2:$B$21,MATCH(D690,'Product Master'!$A$2:$A$21,0))</f>
        <v>Fleece Pullover Hoodie</v>
      </c>
      <c r="F690" s="0" t="str">
        <f aca="false">INDEX('Product Master'!$C$2:$C$21,MATCH(D690,'Product Master'!$A$2:$A$21,0))</f>
        <v>Apparel</v>
      </c>
      <c r="G690" s="15" t="n">
        <f aca="false">VALUE(TRIM('Raw Store Exports'!E690&amp;""))</f>
        <v>2</v>
      </c>
      <c r="H690" s="18" t="n">
        <f aca="false">INDEX('Product Master'!$D$2:$D$21,MATCH(D690,'Product Master'!$A$2:$A$21,0))</f>
        <v>45</v>
      </c>
      <c r="I690" s="14" t="n">
        <f aca="false">G690*H690</f>
        <v>90</v>
      </c>
      <c r="J690" s="0" t="str">
        <f aca="false">IF(COUNTIF($A$2:A690,A690)&gt;1,"Duplicate","")</f>
        <v/>
      </c>
    </row>
    <row r="691" customFormat="false" ht="15" hidden="false" customHeight="false" outlineLevel="0" collapsed="false">
      <c r="A691" s="0" t="str">
        <f aca="false">'Raw Store Exports'!A691</f>
        <v>TXN00889</v>
      </c>
      <c r="B691" s="17" t="n">
        <f aca="false">'Raw Store Exports'!C691</f>
        <v>46066</v>
      </c>
      <c r="C691" s="0" t="str">
        <f aca="false">INDEX('Store Mapping'!$C$2:$C$19,MATCH(TRIM('Raw Store Exports'!B691),'Store Mapping'!$A$2:$A$19,0))</f>
        <v>Airport Plaza</v>
      </c>
      <c r="D691" s="0" t="str">
        <f aca="false">'Raw Store Exports'!D691</f>
        <v>FTW-204</v>
      </c>
      <c r="E691" s="0" t="str">
        <f aca="false">INDEX('Product Master'!$B$2:$B$21,MATCH(D691,'Product Master'!$A$2:$A$21,0))</f>
        <v>Slide Sandals</v>
      </c>
      <c r="F691" s="0" t="str">
        <f aca="false">INDEX('Product Master'!$C$2:$C$21,MATCH(D691,'Product Master'!$A$2:$A$21,0))</f>
        <v>Footwear</v>
      </c>
      <c r="G691" s="15" t="n">
        <f aca="false">VALUE(TRIM('Raw Store Exports'!E691&amp;""))</f>
        <v>1</v>
      </c>
      <c r="H691" s="18" t="n">
        <f aca="false">INDEX('Product Master'!$D$2:$D$21,MATCH(D691,'Product Master'!$A$2:$A$21,0))</f>
        <v>25</v>
      </c>
      <c r="I691" s="14" t="n">
        <f aca="false">G691*H691</f>
        <v>25</v>
      </c>
      <c r="J691" s="0" t="str">
        <f aca="false">IF(COUNTIF($A$2:A691,A691)&gt;1,"Duplicate","")</f>
        <v/>
      </c>
    </row>
    <row r="692" customFormat="false" ht="15" hidden="false" customHeight="false" outlineLevel="0" collapsed="false">
      <c r="A692" s="0" t="str">
        <f aca="false">'Raw Store Exports'!A692</f>
        <v>TXN00681</v>
      </c>
      <c r="B692" s="17" t="n">
        <f aca="false">'Raw Store Exports'!C692</f>
        <v>46057</v>
      </c>
      <c r="C692" s="0" t="str">
        <f aca="false">INDEX('Store Mapping'!$C$2:$C$19,MATCH(TRIM('Raw Store Exports'!B692),'Store Mapping'!$A$2:$A$19,0))</f>
        <v>Northpark</v>
      </c>
      <c r="D692" s="0" t="str">
        <f aca="false">'Raw Store Exports'!D692</f>
        <v>APP-103</v>
      </c>
      <c r="E692" s="0" t="str">
        <f aca="false">INDEX('Product Master'!$B$2:$B$21,MATCH(D692,'Product Master'!$A$2:$A$21,0))</f>
        <v>Fleece Pullover Hoodie</v>
      </c>
      <c r="F692" s="0" t="str">
        <f aca="false">INDEX('Product Master'!$C$2:$C$21,MATCH(D692,'Product Master'!$A$2:$A$21,0))</f>
        <v>Apparel</v>
      </c>
      <c r="G692" s="15" t="n">
        <f aca="false">VALUE(TRIM('Raw Store Exports'!E692&amp;""))</f>
        <v>5</v>
      </c>
      <c r="H692" s="18" t="n">
        <f aca="false">INDEX('Product Master'!$D$2:$D$21,MATCH(D692,'Product Master'!$A$2:$A$21,0))</f>
        <v>45</v>
      </c>
      <c r="I692" s="14" t="n">
        <f aca="false">G692*H692</f>
        <v>225</v>
      </c>
      <c r="J692" s="0" t="str">
        <f aca="false">IF(COUNTIF($A$2:A692,A692)&gt;1,"Duplicate","")</f>
        <v/>
      </c>
    </row>
    <row r="693" customFormat="false" ht="15" hidden="false" customHeight="false" outlineLevel="0" collapsed="false">
      <c r="A693" s="0" t="str">
        <f aca="false">'Raw Store Exports'!A693</f>
        <v>TXN00264</v>
      </c>
      <c r="B693" s="17" t="n">
        <f aca="false">'Raw Store Exports'!C693</f>
        <v>46036</v>
      </c>
      <c r="C693" s="0" t="str">
        <f aca="false">INDEX('Store Mapping'!$C$2:$C$19,MATCH(TRIM('Raw Store Exports'!B693),'Store Mapping'!$A$2:$A$19,0))</f>
        <v>Airport Plaza</v>
      </c>
      <c r="D693" s="0" t="str">
        <f aca="false">'Raw Store Exports'!D693</f>
        <v>ACC-301</v>
      </c>
      <c r="E693" s="0" t="str">
        <f aca="false">INDEX('Product Master'!$B$2:$B$21,MATCH(D693,'Product Master'!$A$2:$A$21,0))</f>
        <v>Leather Belt</v>
      </c>
      <c r="F693" s="0" t="str">
        <f aca="false">INDEX('Product Master'!$C$2:$C$21,MATCH(D693,'Product Master'!$A$2:$A$21,0))</f>
        <v>Accessories</v>
      </c>
      <c r="G693" s="15" t="n">
        <f aca="false">VALUE(TRIM('Raw Store Exports'!E693&amp;""))</f>
        <v>1</v>
      </c>
      <c r="H693" s="18" t="n">
        <f aca="false">INDEX('Product Master'!$D$2:$D$21,MATCH(D693,'Product Master'!$A$2:$A$21,0))</f>
        <v>30</v>
      </c>
      <c r="I693" s="14" t="n">
        <f aca="false">G693*H693</f>
        <v>30</v>
      </c>
      <c r="J693" s="0" t="str">
        <f aca="false">IF(COUNTIF($A$2:A693,A693)&gt;1,"Duplicate","")</f>
        <v/>
      </c>
    </row>
    <row r="694" customFormat="false" ht="15" hidden="false" customHeight="false" outlineLevel="0" collapsed="false">
      <c r="A694" s="0" t="str">
        <f aca="false">'Raw Store Exports'!A694</f>
        <v>TXN00225</v>
      </c>
      <c r="B694" s="17" t="n">
        <f aca="false">'Raw Store Exports'!C694</f>
        <v>46040</v>
      </c>
      <c r="C694" s="0" t="str">
        <f aca="false">INDEX('Store Mapping'!$C$2:$C$19,MATCH(TRIM('Raw Store Exports'!B694),'Store Mapping'!$A$2:$A$19,0))</f>
        <v>Northpark</v>
      </c>
      <c r="D694" s="0" t="str">
        <f aca="false">'Raw Store Exports'!D694</f>
        <v>FTW-202</v>
      </c>
      <c r="E694" s="0" t="str">
        <f aca="false">INDEX('Product Master'!$B$2:$B$21,MATCH(D694,'Product Master'!$A$2:$A$21,0))</f>
        <v>Canvas Low-Top</v>
      </c>
      <c r="F694" s="0" t="str">
        <f aca="false">INDEX('Product Master'!$C$2:$C$21,MATCH(D694,'Product Master'!$A$2:$A$21,0))</f>
        <v>Footwear</v>
      </c>
      <c r="G694" s="15" t="n">
        <f aca="false">VALUE(TRIM('Raw Store Exports'!E694&amp;""))</f>
        <v>2</v>
      </c>
      <c r="H694" s="18" t="n">
        <f aca="false">INDEX('Product Master'!$D$2:$D$21,MATCH(D694,'Product Master'!$A$2:$A$21,0))</f>
        <v>55</v>
      </c>
      <c r="I694" s="14" t="n">
        <f aca="false">G694*H694</f>
        <v>110</v>
      </c>
      <c r="J694" s="0" t="str">
        <f aca="false">IF(COUNTIF($A$2:A694,A694)&gt;1,"Duplicate","")</f>
        <v/>
      </c>
    </row>
    <row r="695" customFormat="false" ht="15" hidden="false" customHeight="false" outlineLevel="0" collapsed="false">
      <c r="A695" s="0" t="str">
        <f aca="false">'Raw Store Exports'!A695</f>
        <v>TXN01035</v>
      </c>
      <c r="B695" s="17" t="n">
        <f aca="false">'Raw Store Exports'!C695</f>
        <v>46074</v>
      </c>
      <c r="C695" s="0" t="str">
        <f aca="false">INDEX('Store Mapping'!$C$2:$C$19,MATCH(TRIM('Raw Store Exports'!B695),'Store Mapping'!$A$2:$A$19,0))</f>
        <v>Airport Plaza</v>
      </c>
      <c r="D695" s="0" t="str">
        <f aca="false">'Raw Store Exports'!D695</f>
        <v>ELE-403</v>
      </c>
      <c r="E695" s="0" t="str">
        <f aca="false">INDEX('Product Master'!$B$2:$B$21,MATCH(D695,'Product Master'!$A$2:$A$21,0))</f>
        <v>Fitness Tracker Band</v>
      </c>
      <c r="F695" s="0" t="str">
        <f aca="false">INDEX('Product Master'!$C$2:$C$21,MATCH(D695,'Product Master'!$A$2:$A$21,0))</f>
        <v>Electronics</v>
      </c>
      <c r="G695" s="15" t="n">
        <f aca="false">VALUE(TRIM('Raw Store Exports'!E695&amp;""))</f>
        <v>1</v>
      </c>
      <c r="H695" s="18" t="n">
        <f aca="false">INDEX('Product Master'!$D$2:$D$21,MATCH(D695,'Product Master'!$A$2:$A$21,0))</f>
        <v>99</v>
      </c>
      <c r="I695" s="14" t="n">
        <f aca="false">G695*H695</f>
        <v>99</v>
      </c>
      <c r="J695" s="0" t="str">
        <f aca="false">IF(COUNTIF($A$2:A695,A695)&gt;1,"Duplicate","")</f>
        <v/>
      </c>
    </row>
    <row r="696" customFormat="false" ht="15" hidden="false" customHeight="false" outlineLevel="0" collapsed="false">
      <c r="A696" s="0" t="str">
        <f aca="false">'Raw Store Exports'!A696</f>
        <v>TXN00611</v>
      </c>
      <c r="B696" s="17" t="n">
        <f aca="false">'Raw Store Exports'!C696</f>
        <v>46058</v>
      </c>
      <c r="C696" s="0" t="str">
        <f aca="false">INDEX('Store Mapping'!$C$2:$C$19,MATCH(TRIM('Raw Store Exports'!B696),'Store Mapping'!$A$2:$A$19,0))</f>
        <v>Downtown</v>
      </c>
      <c r="D696" s="0" t="str">
        <f aca="false">'Raw Store Exports'!D696</f>
        <v>HOM-503</v>
      </c>
      <c r="E696" s="0" t="str">
        <f aca="false">INDEX('Product Master'!$B$2:$B$21,MATCH(D696,'Product Master'!$A$2:$A$21,0))</f>
        <v>Cotton Throw Blanket</v>
      </c>
      <c r="F696" s="0" t="str">
        <f aca="false">INDEX('Product Master'!$C$2:$C$21,MATCH(D696,'Product Master'!$A$2:$A$21,0))</f>
        <v>Home Goods</v>
      </c>
      <c r="G696" s="15" t="n">
        <f aca="false">VALUE(TRIM('Raw Store Exports'!E696&amp;""))</f>
        <v>2</v>
      </c>
      <c r="H696" s="18" t="n">
        <f aca="false">INDEX('Product Master'!$D$2:$D$21,MATCH(D696,'Product Master'!$A$2:$A$21,0))</f>
        <v>38</v>
      </c>
      <c r="I696" s="14" t="n">
        <f aca="false">G696*H696</f>
        <v>76</v>
      </c>
      <c r="J696" s="0" t="str">
        <f aca="false">IF(COUNTIF($A$2:A696,A696)&gt;1,"Duplicate","")</f>
        <v/>
      </c>
    </row>
    <row r="697" customFormat="false" ht="15" hidden="false" customHeight="false" outlineLevel="0" collapsed="false">
      <c r="A697" s="0" t="str">
        <f aca="false">'Raw Store Exports'!A697</f>
        <v>TXN01193</v>
      </c>
      <c r="B697" s="17" t="n">
        <f aca="false">'Raw Store Exports'!C697</f>
        <v>46080</v>
      </c>
      <c r="C697" s="0" t="str">
        <f aca="false">INDEX('Store Mapping'!$C$2:$C$19,MATCH(TRIM('Raw Store Exports'!B697),'Store Mapping'!$A$2:$A$19,0))</f>
        <v>Airport Plaza</v>
      </c>
      <c r="D697" s="0" t="str">
        <f aca="false">'Raw Store Exports'!D697</f>
        <v>FTW-201</v>
      </c>
      <c r="E697" s="0" t="str">
        <f aca="false">INDEX('Product Master'!$B$2:$B$21,MATCH(D697,'Product Master'!$A$2:$A$21,0))</f>
        <v>Running Sneakers</v>
      </c>
      <c r="F697" s="0" t="str">
        <f aca="false">INDEX('Product Master'!$C$2:$C$21,MATCH(D697,'Product Master'!$A$2:$A$21,0))</f>
        <v>Footwear</v>
      </c>
      <c r="G697" s="15" t="n">
        <f aca="false">VALUE(TRIM('Raw Store Exports'!E697&amp;""))</f>
        <v>2</v>
      </c>
      <c r="H697" s="18" t="n">
        <f aca="false">INDEX('Product Master'!$D$2:$D$21,MATCH(D697,'Product Master'!$A$2:$A$21,0))</f>
        <v>89</v>
      </c>
      <c r="I697" s="14" t="n">
        <f aca="false">G697*H697</f>
        <v>178</v>
      </c>
      <c r="J697" s="0" t="str">
        <f aca="false">IF(COUNTIF($A$2:A697,A697)&gt;1,"Duplicate","")</f>
        <v/>
      </c>
    </row>
    <row r="698" customFormat="false" ht="15" hidden="false" customHeight="false" outlineLevel="0" collapsed="false">
      <c r="A698" s="0" t="str">
        <f aca="false">'Raw Store Exports'!A698</f>
        <v>TXN01074</v>
      </c>
      <c r="B698" s="17" t="n">
        <f aca="false">'Raw Store Exports'!C698</f>
        <v>46082</v>
      </c>
      <c r="C698" s="0" t="str">
        <f aca="false">INDEX('Store Mapping'!$C$2:$C$19,MATCH(TRIM('Raw Store Exports'!B698),'Store Mapping'!$A$2:$A$19,0))</f>
        <v>Downtown</v>
      </c>
      <c r="D698" s="0" t="str">
        <f aca="false">'Raw Store Exports'!D698</f>
        <v>ACC-303</v>
      </c>
      <c r="E698" s="0" t="str">
        <f aca="false">INDEX('Product Master'!$B$2:$B$21,MATCH(D698,'Product Master'!$A$2:$A$21,0))</f>
        <v>Canvas Tote Bag</v>
      </c>
      <c r="F698" s="0" t="str">
        <f aca="false">INDEX('Product Master'!$C$2:$C$21,MATCH(D698,'Product Master'!$A$2:$A$21,0))</f>
        <v>Accessories</v>
      </c>
      <c r="G698" s="15" t="n">
        <f aca="false">VALUE(TRIM('Raw Store Exports'!E698&amp;""))</f>
        <v>6</v>
      </c>
      <c r="H698" s="18" t="n">
        <f aca="false">INDEX('Product Master'!$D$2:$D$21,MATCH(D698,'Product Master'!$A$2:$A$21,0))</f>
        <v>24</v>
      </c>
      <c r="I698" s="14" t="n">
        <f aca="false">G698*H698</f>
        <v>144</v>
      </c>
      <c r="J698" s="0" t="str">
        <f aca="false">IF(COUNTIF($A$2:A698,A698)&gt;1,"Duplicate","")</f>
        <v/>
      </c>
    </row>
    <row r="699" customFormat="false" ht="15" hidden="false" customHeight="false" outlineLevel="0" collapsed="false">
      <c r="A699" s="0" t="str">
        <f aca="false">'Raw Store Exports'!A699</f>
        <v>TXN00820</v>
      </c>
      <c r="B699" s="17" t="n">
        <f aca="false">'Raw Store Exports'!C699</f>
        <v>46065</v>
      </c>
      <c r="C699" s="0" t="str">
        <f aca="false">INDEX('Store Mapping'!$C$2:$C$19,MATCH(TRIM('Raw Store Exports'!B699),'Store Mapping'!$A$2:$A$19,0))</f>
        <v>Eastgate</v>
      </c>
      <c r="D699" s="0" t="str">
        <f aca="false">'Raw Store Exports'!D699</f>
        <v>ACC-304</v>
      </c>
      <c r="E699" s="0" t="str">
        <f aca="false">INDEX('Product Master'!$B$2:$B$21,MATCH(D699,'Product Master'!$A$2:$A$21,0))</f>
        <v>Wool Beanie</v>
      </c>
      <c r="F699" s="0" t="str">
        <f aca="false">INDEX('Product Master'!$C$2:$C$21,MATCH(D699,'Product Master'!$A$2:$A$21,0))</f>
        <v>Accessories</v>
      </c>
      <c r="G699" s="15" t="n">
        <f aca="false">VALUE(TRIM('Raw Store Exports'!E699&amp;""))</f>
        <v>2</v>
      </c>
      <c r="H699" s="18" t="n">
        <f aca="false">INDEX('Product Master'!$D$2:$D$21,MATCH(D699,'Product Master'!$A$2:$A$21,0))</f>
        <v>16</v>
      </c>
      <c r="I699" s="14" t="n">
        <f aca="false">G699*H699</f>
        <v>32</v>
      </c>
      <c r="J699" s="0" t="str">
        <f aca="false">IF(COUNTIF($A$2:A699,A699)&gt;1,"Duplicate","")</f>
        <v/>
      </c>
    </row>
    <row r="700" customFormat="false" ht="15" hidden="false" customHeight="false" outlineLevel="0" collapsed="false">
      <c r="A700" s="0" t="str">
        <f aca="false">'Raw Store Exports'!A700</f>
        <v>TXN00543</v>
      </c>
      <c r="B700" s="17" t="n">
        <f aca="false">'Raw Store Exports'!C700</f>
        <v>46053</v>
      </c>
      <c r="C700" s="0" t="str">
        <f aca="false">INDEX('Store Mapping'!$C$2:$C$19,MATCH(TRIM('Raw Store Exports'!B700),'Store Mapping'!$A$2:$A$19,0))</f>
        <v>Riverside</v>
      </c>
      <c r="D700" s="0" t="str">
        <f aca="false">'Raw Store Exports'!D700</f>
        <v>FTW-202</v>
      </c>
      <c r="E700" s="0" t="str">
        <f aca="false">INDEX('Product Master'!$B$2:$B$21,MATCH(D700,'Product Master'!$A$2:$A$21,0))</f>
        <v>Canvas Low-Top</v>
      </c>
      <c r="F700" s="0" t="str">
        <f aca="false">INDEX('Product Master'!$C$2:$C$21,MATCH(D700,'Product Master'!$A$2:$A$21,0))</f>
        <v>Footwear</v>
      </c>
      <c r="G700" s="15" t="n">
        <f aca="false">VALUE(TRIM('Raw Store Exports'!E700&amp;""))</f>
        <v>2</v>
      </c>
      <c r="H700" s="18" t="n">
        <f aca="false">INDEX('Product Master'!$D$2:$D$21,MATCH(D700,'Product Master'!$A$2:$A$21,0))</f>
        <v>55</v>
      </c>
      <c r="I700" s="14" t="n">
        <f aca="false">G700*H700</f>
        <v>110</v>
      </c>
      <c r="J700" s="0" t="str">
        <f aca="false">IF(COUNTIF($A$2:A700,A700)&gt;1,"Duplicate","")</f>
        <v/>
      </c>
    </row>
    <row r="701" customFormat="false" ht="15" hidden="false" customHeight="false" outlineLevel="0" collapsed="false">
      <c r="A701" s="0" t="str">
        <f aca="false">'Raw Store Exports'!A701</f>
        <v>TXN00383</v>
      </c>
      <c r="B701" s="17" t="n">
        <f aca="false">'Raw Store Exports'!C701</f>
        <v>46045</v>
      </c>
      <c r="C701" s="0" t="str">
        <f aca="false">INDEX('Store Mapping'!$C$2:$C$19,MATCH(TRIM('Raw Store Exports'!B701),'Store Mapping'!$A$2:$A$19,0))</f>
        <v>Riverside</v>
      </c>
      <c r="D701" s="0" t="str">
        <f aca="false">'Raw Store Exports'!D701</f>
        <v>FTW-204</v>
      </c>
      <c r="E701" s="0" t="str">
        <f aca="false">INDEX('Product Master'!$B$2:$B$21,MATCH(D701,'Product Master'!$A$2:$A$21,0))</f>
        <v>Slide Sandals</v>
      </c>
      <c r="F701" s="0" t="str">
        <f aca="false">INDEX('Product Master'!$C$2:$C$21,MATCH(D701,'Product Master'!$A$2:$A$21,0))</f>
        <v>Footwear</v>
      </c>
      <c r="G701" s="15" t="n">
        <f aca="false">VALUE(TRIM('Raw Store Exports'!E701&amp;""))</f>
        <v>2</v>
      </c>
      <c r="H701" s="18" t="n">
        <f aca="false">INDEX('Product Master'!$D$2:$D$21,MATCH(D701,'Product Master'!$A$2:$A$21,0))</f>
        <v>25</v>
      </c>
      <c r="I701" s="14" t="n">
        <f aca="false">G701*H701</f>
        <v>50</v>
      </c>
      <c r="J701" s="0" t="str">
        <f aca="false">IF(COUNTIF($A$2:A701,A701)&gt;1,"Duplicate","")</f>
        <v/>
      </c>
    </row>
    <row r="702" customFormat="false" ht="15" hidden="false" customHeight="false" outlineLevel="0" collapsed="false">
      <c r="A702" s="0" t="str">
        <f aca="false">'Raw Store Exports'!A702</f>
        <v>TXN00211</v>
      </c>
      <c r="B702" s="17" t="n">
        <f aca="false">'Raw Store Exports'!C702</f>
        <v>46034</v>
      </c>
      <c r="C702" s="0" t="str">
        <f aca="false">INDEX('Store Mapping'!$C$2:$C$19,MATCH(TRIM('Raw Store Exports'!B702),'Store Mapping'!$A$2:$A$19,0))</f>
        <v>Northpark</v>
      </c>
      <c r="D702" s="0" t="str">
        <f aca="false">'Raw Store Exports'!D702</f>
        <v>HOM-503</v>
      </c>
      <c r="E702" s="0" t="str">
        <f aca="false">INDEX('Product Master'!$B$2:$B$21,MATCH(D702,'Product Master'!$A$2:$A$21,0))</f>
        <v>Cotton Throw Blanket</v>
      </c>
      <c r="F702" s="0" t="str">
        <f aca="false">INDEX('Product Master'!$C$2:$C$21,MATCH(D702,'Product Master'!$A$2:$A$21,0))</f>
        <v>Home Goods</v>
      </c>
      <c r="G702" s="15" t="n">
        <f aca="false">VALUE(TRIM('Raw Store Exports'!E702&amp;""))</f>
        <v>1</v>
      </c>
      <c r="H702" s="18" t="n">
        <f aca="false">INDEX('Product Master'!$D$2:$D$21,MATCH(D702,'Product Master'!$A$2:$A$21,0))</f>
        <v>38</v>
      </c>
      <c r="I702" s="14" t="n">
        <f aca="false">G702*H702</f>
        <v>38</v>
      </c>
      <c r="J702" s="0" t="str">
        <f aca="false">IF(COUNTIF($A$2:A702,A702)&gt;1,"Duplicate","")</f>
        <v/>
      </c>
    </row>
    <row r="703" customFormat="false" ht="15" hidden="false" customHeight="false" outlineLevel="0" collapsed="false">
      <c r="A703" s="0" t="str">
        <f aca="false">'Raw Store Exports'!A703</f>
        <v>TXN01165</v>
      </c>
      <c r="B703" s="17" t="n">
        <f aca="false">'Raw Store Exports'!C703</f>
        <v>46082</v>
      </c>
      <c r="C703" s="0" t="str">
        <f aca="false">INDEX('Store Mapping'!$C$2:$C$19,MATCH(TRIM('Raw Store Exports'!B703),'Store Mapping'!$A$2:$A$19,0))</f>
        <v>Riverside</v>
      </c>
      <c r="D703" s="0" t="str">
        <f aca="false">'Raw Store Exports'!D703</f>
        <v>ACC-301</v>
      </c>
      <c r="E703" s="0" t="str">
        <f aca="false">INDEX('Product Master'!$B$2:$B$21,MATCH(D703,'Product Master'!$A$2:$A$21,0))</f>
        <v>Leather Belt</v>
      </c>
      <c r="F703" s="0" t="str">
        <f aca="false">INDEX('Product Master'!$C$2:$C$21,MATCH(D703,'Product Master'!$A$2:$A$21,0))</f>
        <v>Accessories</v>
      </c>
      <c r="G703" s="15" t="n">
        <f aca="false">VALUE(TRIM('Raw Store Exports'!E703&amp;""))</f>
        <v>3</v>
      </c>
      <c r="H703" s="18" t="n">
        <f aca="false">INDEX('Product Master'!$D$2:$D$21,MATCH(D703,'Product Master'!$A$2:$A$21,0))</f>
        <v>30</v>
      </c>
      <c r="I703" s="14" t="n">
        <f aca="false">G703*H703</f>
        <v>90</v>
      </c>
      <c r="J703" s="0" t="str">
        <f aca="false">IF(COUNTIF($A$2:A703,A703)&gt;1,"Duplicate","")</f>
        <v/>
      </c>
    </row>
    <row r="704" customFormat="false" ht="15" hidden="false" customHeight="false" outlineLevel="0" collapsed="false">
      <c r="A704" s="0" t="str">
        <f aca="false">'Raw Store Exports'!A704</f>
        <v>TXN00012</v>
      </c>
      <c r="B704" s="17" t="n">
        <f aca="false">'Raw Store Exports'!C704</f>
        <v>46028</v>
      </c>
      <c r="C704" s="0" t="str">
        <f aca="false">INDEX('Store Mapping'!$C$2:$C$19,MATCH(TRIM('Raw Store Exports'!B704),'Store Mapping'!$A$2:$A$19,0))</f>
        <v>Downtown</v>
      </c>
      <c r="D704" s="0" t="str">
        <f aca="false">'Raw Store Exports'!D704</f>
        <v>ACC-302</v>
      </c>
      <c r="E704" s="0" t="str">
        <f aca="false">INDEX('Product Master'!$B$2:$B$21,MATCH(D704,'Product Master'!$A$2:$A$21,0))</f>
        <v>Aviator Sunglasses</v>
      </c>
      <c r="F704" s="0" t="str">
        <f aca="false">INDEX('Product Master'!$C$2:$C$21,MATCH(D704,'Product Master'!$A$2:$A$21,0))</f>
        <v>Accessories</v>
      </c>
      <c r="G704" s="15" t="n">
        <f aca="false">VALUE(TRIM('Raw Store Exports'!E704&amp;""))</f>
        <v>5</v>
      </c>
      <c r="H704" s="18" t="n">
        <f aca="false">INDEX('Product Master'!$D$2:$D$21,MATCH(D704,'Product Master'!$A$2:$A$21,0))</f>
        <v>42</v>
      </c>
      <c r="I704" s="14" t="n">
        <f aca="false">G704*H704</f>
        <v>210</v>
      </c>
      <c r="J704" s="0" t="str">
        <f aca="false">IF(COUNTIF($A$2:A704,A704)&gt;1,"Duplicate","")</f>
        <v/>
      </c>
    </row>
    <row r="705" customFormat="false" ht="15" hidden="false" customHeight="false" outlineLevel="0" collapsed="false">
      <c r="A705" s="0" t="str">
        <f aca="false">'Raw Store Exports'!A705</f>
        <v>TXN00387</v>
      </c>
      <c r="B705" s="17" t="n">
        <f aca="false">'Raw Store Exports'!C705</f>
        <v>46047</v>
      </c>
      <c r="C705" s="0" t="str">
        <f aca="false">INDEX('Store Mapping'!$C$2:$C$19,MATCH(TRIM('Raw Store Exports'!B705),'Store Mapping'!$A$2:$A$19,0))</f>
        <v>Riverside</v>
      </c>
      <c r="D705" s="0" t="str">
        <f aca="false">'Raw Store Exports'!D705</f>
        <v>ELE-404</v>
      </c>
      <c r="E705" s="0" t="str">
        <f aca="false">INDEX('Product Master'!$B$2:$B$21,MATCH(D705,'Product Master'!$A$2:$A$21,0))</f>
        <v>Phone Charging Cable</v>
      </c>
      <c r="F705" s="0" t="str">
        <f aca="false">INDEX('Product Master'!$C$2:$C$21,MATCH(D705,'Product Master'!$A$2:$A$21,0))</f>
        <v>Electronics</v>
      </c>
      <c r="G705" s="15" t="n">
        <f aca="false">VALUE(TRIM('Raw Store Exports'!E705&amp;""))</f>
        <v>1</v>
      </c>
      <c r="H705" s="18" t="n">
        <f aca="false">INDEX('Product Master'!$D$2:$D$21,MATCH(D705,'Product Master'!$A$2:$A$21,0))</f>
        <v>12</v>
      </c>
      <c r="I705" s="14" t="n">
        <f aca="false">G705*H705</f>
        <v>12</v>
      </c>
      <c r="J705" s="0" t="str">
        <f aca="false">IF(COUNTIF($A$2:A705,A705)&gt;1,"Duplicate","")</f>
        <v/>
      </c>
    </row>
    <row r="706" customFormat="false" ht="15" hidden="false" customHeight="false" outlineLevel="0" collapsed="false">
      <c r="A706" s="0" t="str">
        <f aca="false">'Raw Store Exports'!A706</f>
        <v>TXN00190</v>
      </c>
      <c r="B706" s="17" t="n">
        <f aca="false">'Raw Store Exports'!C706</f>
        <v>46039</v>
      </c>
      <c r="C706" s="0" t="str">
        <f aca="false">INDEX('Store Mapping'!$C$2:$C$19,MATCH(TRIM('Raw Store Exports'!B706),'Store Mapping'!$A$2:$A$19,0))</f>
        <v>Eastgate</v>
      </c>
      <c r="D706" s="0" t="str">
        <f aca="false">'Raw Store Exports'!D706</f>
        <v>FTW-203</v>
      </c>
      <c r="E706" s="0" t="str">
        <f aca="false">INDEX('Product Master'!$B$2:$B$21,MATCH(D706,'Product Master'!$A$2:$A$21,0))</f>
        <v>Leather Ankle Boot</v>
      </c>
      <c r="F706" s="0" t="str">
        <f aca="false">INDEX('Product Master'!$C$2:$C$21,MATCH(D706,'Product Master'!$A$2:$A$21,0))</f>
        <v>Footwear</v>
      </c>
      <c r="G706" s="15" t="n">
        <f aca="false">VALUE(TRIM('Raw Store Exports'!E706&amp;""))</f>
        <v>1</v>
      </c>
      <c r="H706" s="18" t="n">
        <f aca="false">INDEX('Product Master'!$D$2:$D$21,MATCH(D706,'Product Master'!$A$2:$A$21,0))</f>
        <v>120</v>
      </c>
      <c r="I706" s="14" t="n">
        <f aca="false">G706*H706</f>
        <v>120</v>
      </c>
      <c r="J706" s="0" t="str">
        <f aca="false">IF(COUNTIF($A$2:A706,A706)&gt;1,"Duplicate","")</f>
        <v/>
      </c>
    </row>
    <row r="707" customFormat="false" ht="15" hidden="false" customHeight="false" outlineLevel="0" collapsed="false">
      <c r="A707" s="0" t="str">
        <f aca="false">'Raw Store Exports'!A707</f>
        <v>TXN00286</v>
      </c>
      <c r="B707" s="17" t="n">
        <f aca="false">'Raw Store Exports'!C707</f>
        <v>46046</v>
      </c>
      <c r="C707" s="0" t="str">
        <f aca="false">INDEX('Store Mapping'!$C$2:$C$19,MATCH(TRIM('Raw Store Exports'!B707),'Store Mapping'!$A$2:$A$19,0))</f>
        <v>Downtown</v>
      </c>
      <c r="D707" s="0" t="str">
        <f aca="false">'Raw Store Exports'!D707</f>
        <v>HOM-504</v>
      </c>
      <c r="E707" s="0" t="str">
        <f aca="false">INDEX('Product Master'!$B$2:$B$21,MATCH(D707,'Product Master'!$A$2:$A$21,0))</f>
        <v>Bamboo Cutting Board</v>
      </c>
      <c r="F707" s="0" t="str">
        <f aca="false">INDEX('Product Master'!$C$2:$C$21,MATCH(D707,'Product Master'!$A$2:$A$21,0))</f>
        <v>Home Goods</v>
      </c>
      <c r="G707" s="15" t="n">
        <f aca="false">VALUE(TRIM('Raw Store Exports'!E707&amp;""))</f>
        <v>1</v>
      </c>
      <c r="H707" s="18" t="n">
        <f aca="false">INDEX('Product Master'!$D$2:$D$21,MATCH(D707,'Product Master'!$A$2:$A$21,0))</f>
        <v>27</v>
      </c>
      <c r="I707" s="14" t="n">
        <f aca="false">G707*H707</f>
        <v>27</v>
      </c>
      <c r="J707" s="0" t="str">
        <f aca="false">IF(COUNTIF($A$2:A707,A707)&gt;1,"Duplicate","")</f>
        <v/>
      </c>
    </row>
    <row r="708" customFormat="false" ht="15" hidden="false" customHeight="false" outlineLevel="0" collapsed="false">
      <c r="A708" s="0" t="str">
        <f aca="false">'Raw Store Exports'!A708</f>
        <v>TXN00177</v>
      </c>
      <c r="B708" s="17" t="n">
        <f aca="false">'Raw Store Exports'!C708</f>
        <v>46035</v>
      </c>
      <c r="C708" s="0" t="str">
        <f aca="false">INDEX('Store Mapping'!$C$2:$C$19,MATCH(TRIM('Raw Store Exports'!B708),'Store Mapping'!$A$2:$A$19,0))</f>
        <v>Westside Mall</v>
      </c>
      <c r="D708" s="0" t="str">
        <f aca="false">'Raw Store Exports'!D708</f>
        <v>ELE-402</v>
      </c>
      <c r="E708" s="0" t="str">
        <f aca="false">INDEX('Product Master'!$B$2:$B$21,MATCH(D708,'Product Master'!$A$2:$A$21,0))</f>
        <v>Bluetooth Speaker</v>
      </c>
      <c r="F708" s="0" t="str">
        <f aca="false">INDEX('Product Master'!$C$2:$C$21,MATCH(D708,'Product Master'!$A$2:$A$21,0))</f>
        <v>Electronics</v>
      </c>
      <c r="G708" s="15" t="n">
        <f aca="false">VALUE(TRIM('Raw Store Exports'!E708&amp;""))</f>
        <v>5</v>
      </c>
      <c r="H708" s="18" t="n">
        <f aca="false">INDEX('Product Master'!$D$2:$D$21,MATCH(D708,'Product Master'!$A$2:$A$21,0))</f>
        <v>59</v>
      </c>
      <c r="I708" s="14" t="n">
        <f aca="false">G708*H708</f>
        <v>295</v>
      </c>
      <c r="J708" s="0" t="str">
        <f aca="false">IF(COUNTIF($A$2:A708,A708)&gt;1,"Duplicate","")</f>
        <v/>
      </c>
    </row>
    <row r="709" customFormat="false" ht="15" hidden="false" customHeight="false" outlineLevel="0" collapsed="false">
      <c r="A709" s="0" t="str">
        <f aca="false">'Raw Store Exports'!A709</f>
        <v>TXN01130</v>
      </c>
      <c r="B709" s="17" t="n">
        <f aca="false">'Raw Store Exports'!C709</f>
        <v>46081</v>
      </c>
      <c r="C709" s="0" t="str">
        <f aca="false">INDEX('Store Mapping'!$C$2:$C$19,MATCH(TRIM('Raw Store Exports'!B709),'Store Mapping'!$A$2:$A$19,0))</f>
        <v>Northpark</v>
      </c>
      <c r="D709" s="0" t="str">
        <f aca="false">'Raw Store Exports'!D709</f>
        <v>ACC-304</v>
      </c>
      <c r="E709" s="0" t="str">
        <f aca="false">INDEX('Product Master'!$B$2:$B$21,MATCH(D709,'Product Master'!$A$2:$A$21,0))</f>
        <v>Wool Beanie</v>
      </c>
      <c r="F709" s="0" t="str">
        <f aca="false">INDEX('Product Master'!$C$2:$C$21,MATCH(D709,'Product Master'!$A$2:$A$21,0))</f>
        <v>Accessories</v>
      </c>
      <c r="G709" s="15" t="n">
        <f aca="false">VALUE(TRIM('Raw Store Exports'!E709&amp;""))</f>
        <v>3</v>
      </c>
      <c r="H709" s="18" t="n">
        <f aca="false">INDEX('Product Master'!$D$2:$D$21,MATCH(D709,'Product Master'!$A$2:$A$21,0))</f>
        <v>16</v>
      </c>
      <c r="I709" s="14" t="n">
        <f aca="false">G709*H709</f>
        <v>48</v>
      </c>
      <c r="J709" s="0" t="str">
        <f aca="false">IF(COUNTIF($A$2:A709,A709)&gt;1,"Duplicate","")</f>
        <v/>
      </c>
    </row>
    <row r="710" customFormat="false" ht="15" hidden="false" customHeight="false" outlineLevel="0" collapsed="false">
      <c r="A710" s="0" t="str">
        <f aca="false">'Raw Store Exports'!A710</f>
        <v>TXN00230</v>
      </c>
      <c r="B710" s="17" t="n">
        <f aca="false">'Raw Store Exports'!C710</f>
        <v>46040</v>
      </c>
      <c r="C710" s="0" t="str">
        <f aca="false">INDEX('Store Mapping'!$C$2:$C$19,MATCH(TRIM('Raw Store Exports'!B710),'Store Mapping'!$A$2:$A$19,0))</f>
        <v>Riverside</v>
      </c>
      <c r="D710" s="0" t="str">
        <f aca="false">'Raw Store Exports'!D710</f>
        <v>FTW-204</v>
      </c>
      <c r="E710" s="0" t="str">
        <f aca="false">INDEX('Product Master'!$B$2:$B$21,MATCH(D710,'Product Master'!$A$2:$A$21,0))</f>
        <v>Slide Sandals</v>
      </c>
      <c r="F710" s="0" t="str">
        <f aca="false">INDEX('Product Master'!$C$2:$C$21,MATCH(D710,'Product Master'!$A$2:$A$21,0))</f>
        <v>Footwear</v>
      </c>
      <c r="G710" s="15" t="n">
        <f aca="false">VALUE(TRIM('Raw Store Exports'!E710&amp;""))</f>
        <v>2</v>
      </c>
      <c r="H710" s="18" t="n">
        <f aca="false">INDEX('Product Master'!$D$2:$D$21,MATCH(D710,'Product Master'!$A$2:$A$21,0))</f>
        <v>25</v>
      </c>
      <c r="I710" s="14" t="n">
        <f aca="false">G710*H710</f>
        <v>50</v>
      </c>
      <c r="J710" s="0" t="str">
        <f aca="false">IF(COUNTIF($A$2:A710,A710)&gt;1,"Duplicate","")</f>
        <v/>
      </c>
    </row>
    <row r="711" customFormat="false" ht="15" hidden="false" customHeight="false" outlineLevel="0" collapsed="false">
      <c r="A711" s="0" t="str">
        <f aca="false">'Raw Store Exports'!A711</f>
        <v>TXN00102</v>
      </c>
      <c r="B711" s="17" t="n">
        <f aca="false">'Raw Store Exports'!C711</f>
        <v>46033</v>
      </c>
      <c r="C711" s="0" t="str">
        <f aca="false">INDEX('Store Mapping'!$C$2:$C$19,MATCH(TRIM('Raw Store Exports'!B711),'Store Mapping'!$A$2:$A$19,0))</f>
        <v>Riverside</v>
      </c>
      <c r="D711" s="0" t="str">
        <f aca="false">'Raw Store Exports'!D711</f>
        <v>APP-102</v>
      </c>
      <c r="E711" s="0" t="str">
        <f aca="false">INDEX('Product Master'!$B$2:$B$21,MATCH(D711,'Product Master'!$A$2:$A$21,0))</f>
        <v>Cotton Crew T-Shirt</v>
      </c>
      <c r="F711" s="0" t="str">
        <f aca="false">INDEX('Product Master'!$C$2:$C$21,MATCH(D711,'Product Master'!$A$2:$A$21,0))</f>
        <v>Apparel</v>
      </c>
      <c r="G711" s="15" t="n">
        <f aca="false">VALUE(TRIM('Raw Store Exports'!E711&amp;""))</f>
        <v>2</v>
      </c>
      <c r="H711" s="18" t="n">
        <f aca="false">INDEX('Product Master'!$D$2:$D$21,MATCH(D711,'Product Master'!$A$2:$A$21,0))</f>
        <v>18</v>
      </c>
      <c r="I711" s="14" t="n">
        <f aca="false">G711*H711</f>
        <v>36</v>
      </c>
      <c r="J711" s="0" t="str">
        <f aca="false">IF(COUNTIF($A$2:A711,A711)&gt;1,"Duplicate","")</f>
        <v/>
      </c>
    </row>
    <row r="712" customFormat="false" ht="15" hidden="false" customHeight="false" outlineLevel="0" collapsed="false">
      <c r="A712" s="0" t="str">
        <f aca="false">'Raw Store Exports'!A712</f>
        <v>TXN00200</v>
      </c>
      <c r="B712" s="17" t="n">
        <f aca="false">'Raw Store Exports'!C712</f>
        <v>46040</v>
      </c>
      <c r="C712" s="0" t="str">
        <f aca="false">INDEX('Store Mapping'!$C$2:$C$19,MATCH(TRIM('Raw Store Exports'!B712),'Store Mapping'!$A$2:$A$19,0))</f>
        <v>Northpark</v>
      </c>
      <c r="D712" s="0" t="str">
        <f aca="false">'Raw Store Exports'!D712</f>
        <v>ELE-402</v>
      </c>
      <c r="E712" s="0" t="str">
        <f aca="false">INDEX('Product Master'!$B$2:$B$21,MATCH(D712,'Product Master'!$A$2:$A$21,0))</f>
        <v>Bluetooth Speaker</v>
      </c>
      <c r="F712" s="0" t="str">
        <f aca="false">INDEX('Product Master'!$C$2:$C$21,MATCH(D712,'Product Master'!$A$2:$A$21,0))</f>
        <v>Electronics</v>
      </c>
      <c r="G712" s="15" t="n">
        <f aca="false">VALUE(TRIM('Raw Store Exports'!E712&amp;""))</f>
        <v>4</v>
      </c>
      <c r="H712" s="18" t="n">
        <f aca="false">INDEX('Product Master'!$D$2:$D$21,MATCH(D712,'Product Master'!$A$2:$A$21,0))</f>
        <v>59</v>
      </c>
      <c r="I712" s="14" t="n">
        <f aca="false">G712*H712</f>
        <v>236</v>
      </c>
      <c r="J712" s="0" t="str">
        <f aca="false">IF(COUNTIF($A$2:A712,A712)&gt;1,"Duplicate","")</f>
        <v/>
      </c>
    </row>
    <row r="713" customFormat="false" ht="15" hidden="false" customHeight="false" outlineLevel="0" collapsed="false">
      <c r="A713" s="0" t="str">
        <f aca="false">'Raw Store Exports'!A713</f>
        <v>TXN00686</v>
      </c>
      <c r="B713" s="17" t="n">
        <f aca="false">'Raw Store Exports'!C713</f>
        <v>46056</v>
      </c>
      <c r="C713" s="0" t="str">
        <f aca="false">INDEX('Store Mapping'!$C$2:$C$19,MATCH(TRIM('Raw Store Exports'!B713),'Store Mapping'!$A$2:$A$19,0))</f>
        <v>Northpark</v>
      </c>
      <c r="D713" s="0" t="str">
        <f aca="false">'Raw Store Exports'!D713</f>
        <v>HOM-502</v>
      </c>
      <c r="E713" s="0" t="str">
        <f aca="false">INDEX('Product Master'!$B$2:$B$21,MATCH(D713,'Product Master'!$A$2:$A$21,0))</f>
        <v>Scented Candle</v>
      </c>
      <c r="F713" s="0" t="str">
        <f aca="false">INDEX('Product Master'!$C$2:$C$21,MATCH(D713,'Product Master'!$A$2:$A$21,0))</f>
        <v>Home Goods</v>
      </c>
      <c r="G713" s="15" t="n">
        <f aca="false">VALUE(TRIM('Raw Store Exports'!E713&amp;""))</f>
        <v>3</v>
      </c>
      <c r="H713" s="18" t="n">
        <f aca="false">INDEX('Product Master'!$D$2:$D$21,MATCH(D713,'Product Master'!$A$2:$A$21,0))</f>
        <v>15</v>
      </c>
      <c r="I713" s="14" t="n">
        <f aca="false">G713*H713</f>
        <v>45</v>
      </c>
      <c r="J713" s="0" t="str">
        <f aca="false">IF(COUNTIF($A$2:A713,A713)&gt;1,"Duplicate","")</f>
        <v/>
      </c>
    </row>
    <row r="714" customFormat="false" ht="15" hidden="false" customHeight="false" outlineLevel="0" collapsed="false">
      <c r="A714" s="0" t="str">
        <f aca="false">'Raw Store Exports'!A714</f>
        <v>TXN00574</v>
      </c>
      <c r="B714" s="17" t="n">
        <f aca="false">'Raw Store Exports'!C714</f>
        <v>46051</v>
      </c>
      <c r="C714" s="0" t="str">
        <f aca="false">INDEX('Store Mapping'!$C$2:$C$19,MATCH(TRIM('Raw Store Exports'!B714),'Store Mapping'!$A$2:$A$19,0))</f>
        <v>Airport Plaza</v>
      </c>
      <c r="D714" s="0" t="str">
        <f aca="false">'Raw Store Exports'!D714</f>
        <v>FTW-204</v>
      </c>
      <c r="E714" s="0" t="str">
        <f aca="false">INDEX('Product Master'!$B$2:$B$21,MATCH(D714,'Product Master'!$A$2:$A$21,0))</f>
        <v>Slide Sandals</v>
      </c>
      <c r="F714" s="0" t="str">
        <f aca="false">INDEX('Product Master'!$C$2:$C$21,MATCH(D714,'Product Master'!$A$2:$A$21,0))</f>
        <v>Footwear</v>
      </c>
      <c r="G714" s="15" t="n">
        <f aca="false">VALUE(TRIM('Raw Store Exports'!E714&amp;""))</f>
        <v>4</v>
      </c>
      <c r="H714" s="18" t="n">
        <f aca="false">INDEX('Product Master'!$D$2:$D$21,MATCH(D714,'Product Master'!$A$2:$A$21,0))</f>
        <v>25</v>
      </c>
      <c r="I714" s="14" t="n">
        <f aca="false">G714*H714</f>
        <v>100</v>
      </c>
      <c r="J714" s="0" t="str">
        <f aca="false">IF(COUNTIF($A$2:A714,A714)&gt;1,"Duplicate","")</f>
        <v/>
      </c>
    </row>
    <row r="715" customFormat="false" ht="15" hidden="false" customHeight="false" outlineLevel="0" collapsed="false">
      <c r="A715" s="0" t="str">
        <f aca="false">'Raw Store Exports'!A715</f>
        <v>TXN00294</v>
      </c>
      <c r="B715" s="17" t="n">
        <f aca="false">'Raw Store Exports'!C715</f>
        <v>46042</v>
      </c>
      <c r="C715" s="0" t="str">
        <f aca="false">INDEX('Store Mapping'!$C$2:$C$19,MATCH(TRIM('Raw Store Exports'!B715),'Store Mapping'!$A$2:$A$19,0))</f>
        <v>Downtown</v>
      </c>
      <c r="D715" s="0" t="str">
        <f aca="false">'Raw Store Exports'!D715</f>
        <v>APP-103</v>
      </c>
      <c r="E715" s="0" t="str">
        <f aca="false">INDEX('Product Master'!$B$2:$B$21,MATCH(D715,'Product Master'!$A$2:$A$21,0))</f>
        <v>Fleece Pullover Hoodie</v>
      </c>
      <c r="F715" s="0" t="str">
        <f aca="false">INDEX('Product Master'!$C$2:$C$21,MATCH(D715,'Product Master'!$A$2:$A$21,0))</f>
        <v>Apparel</v>
      </c>
      <c r="G715" s="15" t="n">
        <f aca="false">VALUE(TRIM('Raw Store Exports'!E715&amp;""))</f>
        <v>3</v>
      </c>
      <c r="H715" s="18" t="n">
        <f aca="false">INDEX('Product Master'!$D$2:$D$21,MATCH(D715,'Product Master'!$A$2:$A$21,0))</f>
        <v>45</v>
      </c>
      <c r="I715" s="14" t="n">
        <f aca="false">G715*H715</f>
        <v>135</v>
      </c>
      <c r="J715" s="0" t="str">
        <f aca="false">IF(COUNTIF($A$2:A715,A715)&gt;1,"Duplicate","")</f>
        <v/>
      </c>
    </row>
    <row r="716" customFormat="false" ht="15" hidden="false" customHeight="false" outlineLevel="0" collapsed="false">
      <c r="A716" s="0" t="str">
        <f aca="false">'Raw Store Exports'!A716</f>
        <v>TXN01141</v>
      </c>
      <c r="B716" s="17" t="n">
        <f aca="false">'Raw Store Exports'!C716</f>
        <v>46076</v>
      </c>
      <c r="C716" s="0" t="str">
        <f aca="false">INDEX('Store Mapping'!$C$2:$C$19,MATCH(TRIM('Raw Store Exports'!B716),'Store Mapping'!$A$2:$A$19,0))</f>
        <v>Northpark</v>
      </c>
      <c r="D716" s="0" t="str">
        <f aca="false">'Raw Store Exports'!D716</f>
        <v>FTW-202</v>
      </c>
      <c r="E716" s="0" t="str">
        <f aca="false">INDEX('Product Master'!$B$2:$B$21,MATCH(D716,'Product Master'!$A$2:$A$21,0))</f>
        <v>Canvas Low-Top</v>
      </c>
      <c r="F716" s="0" t="str">
        <f aca="false">INDEX('Product Master'!$C$2:$C$21,MATCH(D716,'Product Master'!$A$2:$A$21,0))</f>
        <v>Footwear</v>
      </c>
      <c r="G716" s="15" t="n">
        <f aca="false">VALUE(TRIM('Raw Store Exports'!E716&amp;""))</f>
        <v>2</v>
      </c>
      <c r="H716" s="18" t="n">
        <f aca="false">INDEX('Product Master'!$D$2:$D$21,MATCH(D716,'Product Master'!$A$2:$A$21,0))</f>
        <v>55</v>
      </c>
      <c r="I716" s="14" t="n">
        <f aca="false">G716*H716</f>
        <v>110</v>
      </c>
      <c r="J716" s="0" t="str">
        <f aca="false">IF(COUNTIF($A$2:A716,A716)&gt;1,"Duplicate","")</f>
        <v/>
      </c>
    </row>
    <row r="717" customFormat="false" ht="15" hidden="false" customHeight="false" outlineLevel="0" collapsed="false">
      <c r="A717" s="0" t="str">
        <f aca="false">'Raw Store Exports'!A717</f>
        <v>TXN00576</v>
      </c>
      <c r="B717" s="17" t="n">
        <f aca="false">'Raw Store Exports'!C717</f>
        <v>46048</v>
      </c>
      <c r="C717" s="0" t="str">
        <f aca="false">INDEX('Store Mapping'!$C$2:$C$19,MATCH(TRIM('Raw Store Exports'!B717),'Store Mapping'!$A$2:$A$19,0))</f>
        <v>Airport Plaza</v>
      </c>
      <c r="D717" s="0" t="str">
        <f aca="false">'Raw Store Exports'!D717</f>
        <v>ACC-302</v>
      </c>
      <c r="E717" s="0" t="str">
        <f aca="false">INDEX('Product Master'!$B$2:$B$21,MATCH(D717,'Product Master'!$A$2:$A$21,0))</f>
        <v>Aviator Sunglasses</v>
      </c>
      <c r="F717" s="0" t="str">
        <f aca="false">INDEX('Product Master'!$C$2:$C$21,MATCH(D717,'Product Master'!$A$2:$A$21,0))</f>
        <v>Accessories</v>
      </c>
      <c r="G717" s="15" t="n">
        <f aca="false">VALUE(TRIM('Raw Store Exports'!E717&amp;""))</f>
        <v>6</v>
      </c>
      <c r="H717" s="18" t="n">
        <f aca="false">INDEX('Product Master'!$D$2:$D$21,MATCH(D717,'Product Master'!$A$2:$A$21,0))</f>
        <v>42</v>
      </c>
      <c r="I717" s="14" t="n">
        <f aca="false">G717*H717</f>
        <v>252</v>
      </c>
      <c r="J717" s="0" t="str">
        <f aca="false">IF(COUNTIF($A$2:A717,A717)&gt;1,"Duplicate","")</f>
        <v/>
      </c>
    </row>
    <row r="718" customFormat="false" ht="15" hidden="false" customHeight="false" outlineLevel="0" collapsed="false">
      <c r="A718" s="0" t="str">
        <f aca="false">'Raw Store Exports'!A718</f>
        <v>TXN00633</v>
      </c>
      <c r="B718" s="17" t="n">
        <f aca="false">'Raw Store Exports'!C718</f>
        <v>46057</v>
      </c>
      <c r="C718" s="0" t="str">
        <f aca="false">INDEX('Store Mapping'!$C$2:$C$19,MATCH(TRIM('Raw Store Exports'!B718),'Store Mapping'!$A$2:$A$19,0))</f>
        <v>Westside Mall</v>
      </c>
      <c r="D718" s="0" t="str">
        <f aca="false">'Raw Store Exports'!D718</f>
        <v>ELE-402</v>
      </c>
      <c r="E718" s="0" t="str">
        <f aca="false">INDEX('Product Master'!$B$2:$B$21,MATCH(D718,'Product Master'!$A$2:$A$21,0))</f>
        <v>Bluetooth Speaker</v>
      </c>
      <c r="F718" s="0" t="str">
        <f aca="false">INDEX('Product Master'!$C$2:$C$21,MATCH(D718,'Product Master'!$A$2:$A$21,0))</f>
        <v>Electronics</v>
      </c>
      <c r="G718" s="15" t="n">
        <f aca="false">VALUE(TRIM('Raw Store Exports'!E718&amp;""))</f>
        <v>6</v>
      </c>
      <c r="H718" s="18" t="n">
        <f aca="false">INDEX('Product Master'!$D$2:$D$21,MATCH(D718,'Product Master'!$A$2:$A$21,0))</f>
        <v>59</v>
      </c>
      <c r="I718" s="14" t="n">
        <f aca="false">G718*H718</f>
        <v>354</v>
      </c>
      <c r="J718" s="0" t="str">
        <f aca="false">IF(COUNTIF($A$2:A718,A718)&gt;1,"Duplicate","")</f>
        <v/>
      </c>
    </row>
    <row r="719" customFormat="false" ht="15" hidden="false" customHeight="false" outlineLevel="0" collapsed="false">
      <c r="A719" s="0" t="str">
        <f aca="false">'Raw Store Exports'!A719</f>
        <v>TXN00510</v>
      </c>
      <c r="B719" s="17" t="n">
        <f aca="false">'Raw Store Exports'!C719</f>
        <v>46052</v>
      </c>
      <c r="C719" s="0" t="str">
        <f aca="false">INDEX('Store Mapping'!$C$2:$C$19,MATCH(TRIM('Raw Store Exports'!B719),'Store Mapping'!$A$2:$A$19,0))</f>
        <v>Northpark</v>
      </c>
      <c r="D719" s="0" t="str">
        <f aca="false">'Raw Store Exports'!D719</f>
        <v>HOM-503</v>
      </c>
      <c r="E719" s="0" t="str">
        <f aca="false">INDEX('Product Master'!$B$2:$B$21,MATCH(D719,'Product Master'!$A$2:$A$21,0))</f>
        <v>Cotton Throw Blanket</v>
      </c>
      <c r="F719" s="0" t="str">
        <f aca="false">INDEX('Product Master'!$C$2:$C$21,MATCH(D719,'Product Master'!$A$2:$A$21,0))</f>
        <v>Home Goods</v>
      </c>
      <c r="G719" s="15" t="n">
        <f aca="false">VALUE(TRIM('Raw Store Exports'!E719&amp;""))</f>
        <v>4</v>
      </c>
      <c r="H719" s="18" t="n">
        <f aca="false">INDEX('Product Master'!$D$2:$D$21,MATCH(D719,'Product Master'!$A$2:$A$21,0))</f>
        <v>38</v>
      </c>
      <c r="I719" s="14" t="n">
        <f aca="false">G719*H719</f>
        <v>152</v>
      </c>
      <c r="J719" s="0" t="str">
        <f aca="false">IF(COUNTIF($A$2:A719,A719)&gt;1,"Duplicate","")</f>
        <v>Duplicate</v>
      </c>
    </row>
    <row r="720" customFormat="false" ht="15" hidden="false" customHeight="false" outlineLevel="0" collapsed="false">
      <c r="A720" s="0" t="str">
        <f aca="false">'Raw Store Exports'!A720</f>
        <v>TXN00639</v>
      </c>
      <c r="B720" s="17" t="n">
        <f aca="false">'Raw Store Exports'!C720</f>
        <v>46056</v>
      </c>
      <c r="C720" s="0" t="str">
        <f aca="false">INDEX('Store Mapping'!$C$2:$C$19,MATCH(TRIM('Raw Store Exports'!B720),'Store Mapping'!$A$2:$A$19,0))</f>
        <v>Westside Mall</v>
      </c>
      <c r="D720" s="0" t="str">
        <f aca="false">'Raw Store Exports'!D720</f>
        <v>HOM-502</v>
      </c>
      <c r="E720" s="0" t="str">
        <f aca="false">INDEX('Product Master'!$B$2:$B$21,MATCH(D720,'Product Master'!$A$2:$A$21,0))</f>
        <v>Scented Candle</v>
      </c>
      <c r="F720" s="0" t="str">
        <f aca="false">INDEX('Product Master'!$C$2:$C$21,MATCH(D720,'Product Master'!$A$2:$A$21,0))</f>
        <v>Home Goods</v>
      </c>
      <c r="G720" s="15" t="n">
        <f aca="false">VALUE(TRIM('Raw Store Exports'!E720&amp;""))</f>
        <v>3</v>
      </c>
      <c r="H720" s="18" t="n">
        <f aca="false">INDEX('Product Master'!$D$2:$D$21,MATCH(D720,'Product Master'!$A$2:$A$21,0))</f>
        <v>15</v>
      </c>
      <c r="I720" s="14" t="n">
        <f aca="false">G720*H720</f>
        <v>45</v>
      </c>
      <c r="J720" s="0" t="str">
        <f aca="false">IF(COUNTIF($A$2:A720,A720)&gt;1,"Duplicate","")</f>
        <v>Duplicate</v>
      </c>
    </row>
    <row r="721" customFormat="false" ht="15" hidden="false" customHeight="false" outlineLevel="0" collapsed="false">
      <c r="A721" s="0" t="str">
        <f aca="false">'Raw Store Exports'!A721</f>
        <v>TXN01174</v>
      </c>
      <c r="B721" s="17" t="n">
        <f aca="false">'Raw Store Exports'!C721</f>
        <v>46081</v>
      </c>
      <c r="C721" s="0" t="str">
        <f aca="false">INDEX('Store Mapping'!$C$2:$C$19,MATCH(TRIM('Raw Store Exports'!B721),'Store Mapping'!$A$2:$A$19,0))</f>
        <v>Riverside</v>
      </c>
      <c r="D721" s="0" t="str">
        <f aca="false">'Raw Store Exports'!D721</f>
        <v>ACC-303</v>
      </c>
      <c r="E721" s="0" t="str">
        <f aca="false">INDEX('Product Master'!$B$2:$B$21,MATCH(D721,'Product Master'!$A$2:$A$21,0))</f>
        <v>Canvas Tote Bag</v>
      </c>
      <c r="F721" s="0" t="str">
        <f aca="false">INDEX('Product Master'!$C$2:$C$21,MATCH(D721,'Product Master'!$A$2:$A$21,0))</f>
        <v>Accessories</v>
      </c>
      <c r="G721" s="15" t="n">
        <f aca="false">VALUE(TRIM('Raw Store Exports'!E721&amp;""))</f>
        <v>4</v>
      </c>
      <c r="H721" s="18" t="n">
        <f aca="false">INDEX('Product Master'!$D$2:$D$21,MATCH(D721,'Product Master'!$A$2:$A$21,0))</f>
        <v>24</v>
      </c>
      <c r="I721" s="14" t="n">
        <f aca="false">G721*H721</f>
        <v>96</v>
      </c>
      <c r="J721" s="0" t="str">
        <f aca="false">IF(COUNTIF($A$2:A721,A721)&gt;1,"Duplicate","")</f>
        <v/>
      </c>
    </row>
    <row r="722" customFormat="false" ht="15" hidden="false" customHeight="false" outlineLevel="0" collapsed="false">
      <c r="A722" s="0" t="str">
        <f aca="false">'Raw Store Exports'!A722</f>
        <v>TXN00626</v>
      </c>
      <c r="B722" s="17" t="n">
        <f aca="false">'Raw Store Exports'!C722</f>
        <v>46058</v>
      </c>
      <c r="C722" s="0" t="str">
        <f aca="false">INDEX('Store Mapping'!$C$2:$C$19,MATCH(TRIM('Raw Store Exports'!B722),'Store Mapping'!$A$2:$A$19,0))</f>
        <v>Westside Mall</v>
      </c>
      <c r="D722" s="0" t="str">
        <f aca="false">'Raw Store Exports'!D722</f>
        <v>FTW-201</v>
      </c>
      <c r="E722" s="0" t="str">
        <f aca="false">INDEX('Product Master'!$B$2:$B$21,MATCH(D722,'Product Master'!$A$2:$A$21,0))</f>
        <v>Running Sneakers</v>
      </c>
      <c r="F722" s="0" t="str">
        <f aca="false">INDEX('Product Master'!$C$2:$C$21,MATCH(D722,'Product Master'!$A$2:$A$21,0))</f>
        <v>Footwear</v>
      </c>
      <c r="G722" s="15" t="n">
        <f aca="false">VALUE(TRIM('Raw Store Exports'!E722&amp;""))</f>
        <v>4</v>
      </c>
      <c r="H722" s="18" t="n">
        <f aca="false">INDEX('Product Master'!$D$2:$D$21,MATCH(D722,'Product Master'!$A$2:$A$21,0))</f>
        <v>89</v>
      </c>
      <c r="I722" s="14" t="n">
        <f aca="false">G722*H722</f>
        <v>356</v>
      </c>
      <c r="J722" s="0" t="str">
        <f aca="false">IF(COUNTIF($A$2:A722,A722)&gt;1,"Duplicate","")</f>
        <v/>
      </c>
    </row>
    <row r="723" customFormat="false" ht="15" hidden="false" customHeight="false" outlineLevel="0" collapsed="false">
      <c r="A723" s="0" t="str">
        <f aca="false">'Raw Store Exports'!A723</f>
        <v>TXN00919</v>
      </c>
      <c r="B723" s="17" t="n">
        <f aca="false">'Raw Store Exports'!C723</f>
        <v>46071</v>
      </c>
      <c r="C723" s="0" t="str">
        <f aca="false">INDEX('Store Mapping'!$C$2:$C$19,MATCH(TRIM('Raw Store Exports'!B723),'Store Mapping'!$A$2:$A$19,0))</f>
        <v>Westside Mall</v>
      </c>
      <c r="D723" s="0" t="str">
        <f aca="false">'Raw Store Exports'!D723</f>
        <v>ELE-401</v>
      </c>
      <c r="E723" s="0" t="str">
        <f aca="false">INDEX('Product Master'!$B$2:$B$21,MATCH(D723,'Product Master'!$A$2:$A$21,0))</f>
        <v>Wireless Earbuds</v>
      </c>
      <c r="F723" s="0" t="str">
        <f aca="false">INDEX('Product Master'!$C$2:$C$21,MATCH(D723,'Product Master'!$A$2:$A$21,0))</f>
        <v>Electronics</v>
      </c>
      <c r="G723" s="15" t="n">
        <f aca="false">VALUE(TRIM('Raw Store Exports'!E723&amp;""))</f>
        <v>3</v>
      </c>
      <c r="H723" s="18" t="n">
        <f aca="false">INDEX('Product Master'!$D$2:$D$21,MATCH(D723,'Product Master'!$A$2:$A$21,0))</f>
        <v>79</v>
      </c>
      <c r="I723" s="14" t="n">
        <f aca="false">G723*H723</f>
        <v>237</v>
      </c>
      <c r="J723" s="0" t="str">
        <f aca="false">IF(COUNTIF($A$2:A723,A723)&gt;1,"Duplicate","")</f>
        <v/>
      </c>
    </row>
    <row r="724" customFormat="false" ht="15" hidden="false" customHeight="false" outlineLevel="0" collapsed="false">
      <c r="A724" s="0" t="str">
        <f aca="false">'Raw Store Exports'!A724</f>
        <v>TXN01062</v>
      </c>
      <c r="B724" s="17" t="n">
        <f aca="false">'Raw Store Exports'!C724</f>
        <v>46079</v>
      </c>
      <c r="C724" s="0" t="str">
        <f aca="false">INDEX('Store Mapping'!$C$2:$C$19,MATCH(TRIM('Raw Store Exports'!B724),'Store Mapping'!$A$2:$A$19,0))</f>
        <v>Downtown</v>
      </c>
      <c r="D724" s="0" t="str">
        <f aca="false">'Raw Store Exports'!D724</f>
        <v>ACC-302</v>
      </c>
      <c r="E724" s="0" t="str">
        <f aca="false">INDEX('Product Master'!$B$2:$B$21,MATCH(D724,'Product Master'!$A$2:$A$21,0))</f>
        <v>Aviator Sunglasses</v>
      </c>
      <c r="F724" s="0" t="str">
        <f aca="false">INDEX('Product Master'!$C$2:$C$21,MATCH(D724,'Product Master'!$A$2:$A$21,0))</f>
        <v>Accessories</v>
      </c>
      <c r="G724" s="15" t="n">
        <f aca="false">VALUE(TRIM('Raw Store Exports'!E724&amp;""))</f>
        <v>3</v>
      </c>
      <c r="H724" s="18" t="n">
        <f aca="false">INDEX('Product Master'!$D$2:$D$21,MATCH(D724,'Product Master'!$A$2:$A$21,0))</f>
        <v>42</v>
      </c>
      <c r="I724" s="14" t="n">
        <f aca="false">G724*H724</f>
        <v>126</v>
      </c>
      <c r="J724" s="0" t="str">
        <f aca="false">IF(COUNTIF($A$2:A724,A724)&gt;1,"Duplicate","")</f>
        <v/>
      </c>
    </row>
    <row r="725" customFormat="false" ht="15" hidden="false" customHeight="false" outlineLevel="0" collapsed="false">
      <c r="A725" s="0" t="str">
        <f aca="false">'Raw Store Exports'!A725</f>
        <v>TXN00452</v>
      </c>
      <c r="B725" s="17" t="n">
        <f aca="false">'Raw Store Exports'!C725</f>
        <v>46054</v>
      </c>
      <c r="C725" s="0" t="str">
        <f aca="false">INDEX('Store Mapping'!$C$2:$C$19,MATCH(TRIM('Raw Store Exports'!B725),'Store Mapping'!$A$2:$A$19,0))</f>
        <v>Downtown</v>
      </c>
      <c r="D725" s="0" t="str">
        <f aca="false">'Raw Store Exports'!D725</f>
        <v>APP-101</v>
      </c>
      <c r="E725" s="0" t="str">
        <f aca="false">INDEX('Product Master'!$B$2:$B$21,MATCH(D725,'Product Master'!$A$2:$A$21,0))</f>
        <v>Classic Denim Jacket</v>
      </c>
      <c r="F725" s="0" t="str">
        <f aca="false">INDEX('Product Master'!$C$2:$C$21,MATCH(D725,'Product Master'!$A$2:$A$21,0))</f>
        <v>Apparel</v>
      </c>
      <c r="G725" s="15" t="n">
        <f aca="false">VALUE(TRIM('Raw Store Exports'!E725&amp;""))</f>
        <v>3</v>
      </c>
      <c r="H725" s="18" t="n">
        <f aca="false">INDEX('Product Master'!$D$2:$D$21,MATCH(D725,'Product Master'!$A$2:$A$21,0))</f>
        <v>68</v>
      </c>
      <c r="I725" s="14" t="n">
        <f aca="false">G725*H725</f>
        <v>204</v>
      </c>
      <c r="J725" s="0" t="str">
        <f aca="false">IF(COUNTIF($A$2:A725,A725)&gt;1,"Duplicate","")</f>
        <v/>
      </c>
    </row>
    <row r="726" customFormat="false" ht="15" hidden="false" customHeight="false" outlineLevel="0" collapsed="false">
      <c r="A726" s="0" t="str">
        <f aca="false">'Raw Store Exports'!A726</f>
        <v>TXN00672</v>
      </c>
      <c r="B726" s="17" t="n">
        <f aca="false">'Raw Store Exports'!C726</f>
        <v>46058</v>
      </c>
      <c r="C726" s="0" t="str">
        <f aca="false">INDEX('Store Mapping'!$C$2:$C$19,MATCH(TRIM('Raw Store Exports'!B726),'Store Mapping'!$A$2:$A$19,0))</f>
        <v>Northpark</v>
      </c>
      <c r="D726" s="0" t="str">
        <f aca="false">'Raw Store Exports'!D726</f>
        <v>ACC-303</v>
      </c>
      <c r="E726" s="0" t="str">
        <f aca="false">INDEX('Product Master'!$B$2:$B$21,MATCH(D726,'Product Master'!$A$2:$A$21,0))</f>
        <v>Canvas Tote Bag</v>
      </c>
      <c r="F726" s="0" t="str">
        <f aca="false">INDEX('Product Master'!$C$2:$C$21,MATCH(D726,'Product Master'!$A$2:$A$21,0))</f>
        <v>Accessories</v>
      </c>
      <c r="G726" s="15" t="n">
        <f aca="false">VALUE(TRIM('Raw Store Exports'!E726&amp;""))</f>
        <v>3</v>
      </c>
      <c r="H726" s="18" t="n">
        <f aca="false">INDEX('Product Master'!$D$2:$D$21,MATCH(D726,'Product Master'!$A$2:$A$21,0))</f>
        <v>24</v>
      </c>
      <c r="I726" s="14" t="n">
        <f aca="false">G726*H726</f>
        <v>72</v>
      </c>
      <c r="J726" s="0" t="str">
        <f aca="false">IF(COUNTIF($A$2:A726,A726)&gt;1,"Duplicate","")</f>
        <v/>
      </c>
    </row>
    <row r="727" customFormat="false" ht="15" hidden="false" customHeight="false" outlineLevel="0" collapsed="false">
      <c r="A727" s="0" t="str">
        <f aca="false">'Raw Store Exports'!A727</f>
        <v>TXN00537</v>
      </c>
      <c r="B727" s="17" t="n">
        <f aca="false">'Raw Store Exports'!C727</f>
        <v>46049</v>
      </c>
      <c r="C727" s="0" t="str">
        <f aca="false">INDEX('Store Mapping'!$C$2:$C$19,MATCH(TRIM('Raw Store Exports'!B727),'Store Mapping'!$A$2:$A$19,0))</f>
        <v>Riverside</v>
      </c>
      <c r="D727" s="0" t="str">
        <f aca="false">'Raw Store Exports'!D727</f>
        <v>HOM-501</v>
      </c>
      <c r="E727" s="0" t="str">
        <f aca="false">INDEX('Product Master'!$B$2:$B$21,MATCH(D727,'Product Master'!$A$2:$A$21,0))</f>
        <v>Ceramic Coffee Mug Set</v>
      </c>
      <c r="F727" s="0" t="str">
        <f aca="false">INDEX('Product Master'!$C$2:$C$21,MATCH(D727,'Product Master'!$A$2:$A$21,0))</f>
        <v>Home Goods</v>
      </c>
      <c r="G727" s="15" t="n">
        <f aca="false">VALUE(TRIM('Raw Store Exports'!E727&amp;""))</f>
        <v>5</v>
      </c>
      <c r="H727" s="18" t="n">
        <f aca="false">INDEX('Product Master'!$D$2:$D$21,MATCH(D727,'Product Master'!$A$2:$A$21,0))</f>
        <v>22</v>
      </c>
      <c r="I727" s="14" t="n">
        <f aca="false">G727*H727</f>
        <v>110</v>
      </c>
      <c r="J727" s="0" t="str">
        <f aca="false">IF(COUNTIF($A$2:A727,A727)&gt;1,"Duplicate","")</f>
        <v/>
      </c>
    </row>
    <row r="728" customFormat="false" ht="15" hidden="false" customHeight="false" outlineLevel="0" collapsed="false">
      <c r="A728" s="0" t="str">
        <f aca="false">'Raw Store Exports'!A728</f>
        <v>TXN00999</v>
      </c>
      <c r="B728" s="17" t="n">
        <f aca="false">'Raw Store Exports'!C728</f>
        <v>46069</v>
      </c>
      <c r="C728" s="0" t="str">
        <f aca="false">INDEX('Store Mapping'!$C$2:$C$19,MATCH(TRIM('Raw Store Exports'!B728),'Store Mapping'!$A$2:$A$19,0))</f>
        <v>Riverside</v>
      </c>
      <c r="D728" s="0" t="str">
        <f aca="false">'Raw Store Exports'!D728</f>
        <v>ELE-403</v>
      </c>
      <c r="E728" s="0" t="str">
        <f aca="false">INDEX('Product Master'!$B$2:$B$21,MATCH(D728,'Product Master'!$A$2:$A$21,0))</f>
        <v>Fitness Tracker Band</v>
      </c>
      <c r="F728" s="0" t="str">
        <f aca="false">INDEX('Product Master'!$C$2:$C$21,MATCH(D728,'Product Master'!$A$2:$A$21,0))</f>
        <v>Electronics</v>
      </c>
      <c r="G728" s="15" t="n">
        <f aca="false">VALUE(TRIM('Raw Store Exports'!E728&amp;""))</f>
        <v>3</v>
      </c>
      <c r="H728" s="18" t="n">
        <f aca="false">INDEX('Product Master'!$D$2:$D$21,MATCH(D728,'Product Master'!$A$2:$A$21,0))</f>
        <v>99</v>
      </c>
      <c r="I728" s="14" t="n">
        <f aca="false">G728*H728</f>
        <v>297</v>
      </c>
      <c r="J728" s="0" t="str">
        <f aca="false">IF(COUNTIF($A$2:A728,A728)&gt;1,"Duplicate","")</f>
        <v/>
      </c>
    </row>
    <row r="729" customFormat="false" ht="15" hidden="false" customHeight="false" outlineLevel="0" collapsed="false">
      <c r="A729" s="0" t="str">
        <f aca="false">'Raw Store Exports'!A729</f>
        <v>TXN00972</v>
      </c>
      <c r="B729" s="17" t="n">
        <f aca="false">'Raw Store Exports'!C729</f>
        <v>46071</v>
      </c>
      <c r="C729" s="0" t="str">
        <f aca="false">INDEX('Store Mapping'!$C$2:$C$19,MATCH(TRIM('Raw Store Exports'!B729),'Store Mapping'!$A$2:$A$19,0))</f>
        <v>Eastgate</v>
      </c>
      <c r="D729" s="0" t="str">
        <f aca="false">'Raw Store Exports'!D729</f>
        <v>ELE-404</v>
      </c>
      <c r="E729" s="0" t="str">
        <f aca="false">INDEX('Product Master'!$B$2:$B$21,MATCH(D729,'Product Master'!$A$2:$A$21,0))</f>
        <v>Phone Charging Cable</v>
      </c>
      <c r="F729" s="0" t="str">
        <f aca="false">INDEX('Product Master'!$C$2:$C$21,MATCH(D729,'Product Master'!$A$2:$A$21,0))</f>
        <v>Electronics</v>
      </c>
      <c r="G729" s="15" t="n">
        <f aca="false">VALUE(TRIM('Raw Store Exports'!E729&amp;""))</f>
        <v>1</v>
      </c>
      <c r="H729" s="18" t="n">
        <f aca="false">INDEX('Product Master'!$D$2:$D$21,MATCH(D729,'Product Master'!$A$2:$A$21,0))</f>
        <v>12</v>
      </c>
      <c r="I729" s="14" t="n">
        <f aca="false">G729*H729</f>
        <v>12</v>
      </c>
      <c r="J729" s="0" t="str">
        <f aca="false">IF(COUNTIF($A$2:A729,A729)&gt;1,"Duplicate","")</f>
        <v/>
      </c>
    </row>
    <row r="730" customFormat="false" ht="15" hidden="false" customHeight="false" outlineLevel="0" collapsed="false">
      <c r="A730" s="0" t="str">
        <f aca="false">'Raw Store Exports'!A730</f>
        <v>TXN00035</v>
      </c>
      <c r="B730" s="17" t="n">
        <f aca="false">'Raw Store Exports'!C730</f>
        <v>46028</v>
      </c>
      <c r="C730" s="0" t="str">
        <f aca="false">INDEX('Store Mapping'!$C$2:$C$19,MATCH(TRIM('Raw Store Exports'!B730),'Store Mapping'!$A$2:$A$19,0))</f>
        <v>Westside Mall</v>
      </c>
      <c r="D730" s="0" t="str">
        <f aca="false">'Raw Store Exports'!D730</f>
        <v>ELE-402</v>
      </c>
      <c r="E730" s="0" t="str">
        <f aca="false">INDEX('Product Master'!$B$2:$B$21,MATCH(D730,'Product Master'!$A$2:$A$21,0))</f>
        <v>Bluetooth Speaker</v>
      </c>
      <c r="F730" s="0" t="str">
        <f aca="false">INDEX('Product Master'!$C$2:$C$21,MATCH(D730,'Product Master'!$A$2:$A$21,0))</f>
        <v>Electronics</v>
      </c>
      <c r="G730" s="15" t="n">
        <f aca="false">VALUE(TRIM('Raw Store Exports'!E730&amp;""))</f>
        <v>2</v>
      </c>
      <c r="H730" s="18" t="n">
        <f aca="false">INDEX('Product Master'!$D$2:$D$21,MATCH(D730,'Product Master'!$A$2:$A$21,0))</f>
        <v>59</v>
      </c>
      <c r="I730" s="14" t="n">
        <f aca="false">G730*H730</f>
        <v>118</v>
      </c>
      <c r="J730" s="0" t="str">
        <f aca="false">IF(COUNTIF($A$2:A730,A730)&gt;1,"Duplicate","")</f>
        <v/>
      </c>
    </row>
    <row r="731" customFormat="false" ht="15" hidden="false" customHeight="false" outlineLevel="0" collapsed="false">
      <c r="A731" s="0" t="str">
        <f aca="false">'Raw Store Exports'!A731</f>
        <v>TXN00074</v>
      </c>
      <c r="B731" s="17" t="n">
        <f aca="false">'Raw Store Exports'!C731</f>
        <v>46028</v>
      </c>
      <c r="C731" s="0" t="str">
        <f aca="false">INDEX('Store Mapping'!$C$2:$C$19,MATCH(TRIM('Raw Store Exports'!B731),'Store Mapping'!$A$2:$A$19,0))</f>
        <v>Eastgate</v>
      </c>
      <c r="D731" s="0" t="str">
        <f aca="false">'Raw Store Exports'!D731</f>
        <v>ACC-304</v>
      </c>
      <c r="E731" s="0" t="str">
        <f aca="false">INDEX('Product Master'!$B$2:$B$21,MATCH(D731,'Product Master'!$A$2:$A$21,0))</f>
        <v>Wool Beanie</v>
      </c>
      <c r="F731" s="0" t="str">
        <f aca="false">INDEX('Product Master'!$C$2:$C$21,MATCH(D731,'Product Master'!$A$2:$A$21,0))</f>
        <v>Accessories</v>
      </c>
      <c r="G731" s="15" t="n">
        <f aca="false">VALUE(TRIM('Raw Store Exports'!E731&amp;""))</f>
        <v>4</v>
      </c>
      <c r="H731" s="18" t="n">
        <f aca="false">INDEX('Product Master'!$D$2:$D$21,MATCH(D731,'Product Master'!$A$2:$A$21,0))</f>
        <v>16</v>
      </c>
      <c r="I731" s="14" t="n">
        <f aca="false">G731*H731</f>
        <v>64</v>
      </c>
      <c r="J731" s="0" t="str">
        <f aca="false">IF(COUNTIF($A$2:A731,A731)&gt;1,"Duplicate","")</f>
        <v/>
      </c>
    </row>
    <row r="732" customFormat="false" ht="15" hidden="false" customHeight="false" outlineLevel="0" collapsed="false">
      <c r="A732" s="0" t="str">
        <f aca="false">'Raw Store Exports'!A732</f>
        <v>TXN00679</v>
      </c>
      <c r="B732" s="17" t="n">
        <f aca="false">'Raw Store Exports'!C732</f>
        <v>46056</v>
      </c>
      <c r="C732" s="0" t="str">
        <f aca="false">INDEX('Store Mapping'!$C$2:$C$19,MATCH(TRIM('Raw Store Exports'!B732),'Store Mapping'!$A$2:$A$19,0))</f>
        <v>Northpark</v>
      </c>
      <c r="D732" s="0" t="str">
        <f aca="false">'Raw Store Exports'!D732</f>
        <v>APP-101</v>
      </c>
      <c r="E732" s="0" t="str">
        <f aca="false">INDEX('Product Master'!$B$2:$B$21,MATCH(D732,'Product Master'!$A$2:$A$21,0))</f>
        <v>Classic Denim Jacket</v>
      </c>
      <c r="F732" s="0" t="str">
        <f aca="false">INDEX('Product Master'!$C$2:$C$21,MATCH(D732,'Product Master'!$A$2:$A$21,0))</f>
        <v>Apparel</v>
      </c>
      <c r="G732" s="15" t="n">
        <f aca="false">VALUE(TRIM('Raw Store Exports'!E732&amp;""))</f>
        <v>3</v>
      </c>
      <c r="H732" s="18" t="n">
        <f aca="false">INDEX('Product Master'!$D$2:$D$21,MATCH(D732,'Product Master'!$A$2:$A$21,0))</f>
        <v>68</v>
      </c>
      <c r="I732" s="14" t="n">
        <f aca="false">G732*H732</f>
        <v>204</v>
      </c>
      <c r="J732" s="0" t="str">
        <f aca="false">IF(COUNTIF($A$2:A732,A732)&gt;1,"Duplicate","")</f>
        <v/>
      </c>
    </row>
    <row r="733" customFormat="false" ht="15" hidden="false" customHeight="false" outlineLevel="0" collapsed="false">
      <c r="A733" s="0" t="str">
        <f aca="false">'Raw Store Exports'!A733</f>
        <v>TXN01037</v>
      </c>
      <c r="B733" s="17" t="n">
        <f aca="false">'Raw Store Exports'!C733</f>
        <v>46073</v>
      </c>
      <c r="C733" s="0" t="str">
        <f aca="false">INDEX('Store Mapping'!$C$2:$C$19,MATCH(TRIM('Raw Store Exports'!B733),'Store Mapping'!$A$2:$A$19,0))</f>
        <v>Airport Plaza</v>
      </c>
      <c r="D733" s="0" t="str">
        <f aca="false">'Raw Store Exports'!D733</f>
        <v>HOM-503</v>
      </c>
      <c r="E733" s="0" t="str">
        <f aca="false">INDEX('Product Master'!$B$2:$B$21,MATCH(D733,'Product Master'!$A$2:$A$21,0))</f>
        <v>Cotton Throw Blanket</v>
      </c>
      <c r="F733" s="0" t="str">
        <f aca="false">INDEX('Product Master'!$C$2:$C$21,MATCH(D733,'Product Master'!$A$2:$A$21,0))</f>
        <v>Home Goods</v>
      </c>
      <c r="G733" s="15" t="n">
        <f aca="false">VALUE(TRIM('Raw Store Exports'!E733&amp;""))</f>
        <v>3</v>
      </c>
      <c r="H733" s="18" t="n">
        <f aca="false">INDEX('Product Master'!$D$2:$D$21,MATCH(D733,'Product Master'!$A$2:$A$21,0))</f>
        <v>38</v>
      </c>
      <c r="I733" s="14" t="n">
        <f aca="false">G733*H733</f>
        <v>114</v>
      </c>
      <c r="J733" s="0" t="str">
        <f aca="false">IF(COUNTIF($A$2:A733,A733)&gt;1,"Duplicate","")</f>
        <v/>
      </c>
    </row>
    <row r="734" customFormat="false" ht="15" hidden="false" customHeight="false" outlineLevel="0" collapsed="false">
      <c r="A734" s="0" t="str">
        <f aca="false">'Raw Store Exports'!A734</f>
        <v>TXN00311</v>
      </c>
      <c r="B734" s="17" t="n">
        <f aca="false">'Raw Store Exports'!C734</f>
        <v>46043</v>
      </c>
      <c r="C734" s="0" t="str">
        <f aca="false">INDEX('Store Mapping'!$C$2:$C$19,MATCH(TRIM('Raw Store Exports'!B734),'Store Mapping'!$A$2:$A$19,0))</f>
        <v>Westside Mall</v>
      </c>
      <c r="D734" s="0" t="str">
        <f aca="false">'Raw Store Exports'!D734</f>
        <v>ELE-404</v>
      </c>
      <c r="E734" s="0" t="str">
        <f aca="false">INDEX('Product Master'!$B$2:$B$21,MATCH(D734,'Product Master'!$A$2:$A$21,0))</f>
        <v>Phone Charging Cable</v>
      </c>
      <c r="F734" s="0" t="str">
        <f aca="false">INDEX('Product Master'!$C$2:$C$21,MATCH(D734,'Product Master'!$A$2:$A$21,0))</f>
        <v>Electronics</v>
      </c>
      <c r="G734" s="15" t="n">
        <f aca="false">VALUE(TRIM('Raw Store Exports'!E734&amp;""))</f>
        <v>3</v>
      </c>
      <c r="H734" s="18" t="n">
        <f aca="false">INDEX('Product Master'!$D$2:$D$21,MATCH(D734,'Product Master'!$A$2:$A$21,0))</f>
        <v>12</v>
      </c>
      <c r="I734" s="14" t="n">
        <f aca="false">G734*H734</f>
        <v>36</v>
      </c>
      <c r="J734" s="0" t="str">
        <f aca="false">IF(COUNTIF($A$2:A734,A734)&gt;1,"Duplicate","")</f>
        <v/>
      </c>
    </row>
    <row r="735" customFormat="false" ht="15" hidden="false" customHeight="false" outlineLevel="0" collapsed="false">
      <c r="A735" s="0" t="str">
        <f aca="false">'Raw Store Exports'!A735</f>
        <v>TXN00391</v>
      </c>
      <c r="B735" s="17" t="n">
        <f aca="false">'Raw Store Exports'!C735</f>
        <v>46046</v>
      </c>
      <c r="C735" s="0" t="str">
        <f aca="false">INDEX('Store Mapping'!$C$2:$C$19,MATCH(TRIM('Raw Store Exports'!B735),'Store Mapping'!$A$2:$A$19,0))</f>
        <v>Riverside</v>
      </c>
      <c r="D735" s="0" t="str">
        <f aca="false">'Raw Store Exports'!D735</f>
        <v>APP-102</v>
      </c>
      <c r="E735" s="0" t="str">
        <f aca="false">INDEX('Product Master'!$B$2:$B$21,MATCH(D735,'Product Master'!$A$2:$A$21,0))</f>
        <v>Cotton Crew T-Shirt</v>
      </c>
      <c r="F735" s="0" t="str">
        <f aca="false">INDEX('Product Master'!$C$2:$C$21,MATCH(D735,'Product Master'!$A$2:$A$21,0))</f>
        <v>Apparel</v>
      </c>
      <c r="G735" s="15" t="n">
        <f aca="false">VALUE(TRIM('Raw Store Exports'!E735&amp;""))</f>
        <v>4</v>
      </c>
      <c r="H735" s="18" t="n">
        <f aca="false">INDEX('Product Master'!$D$2:$D$21,MATCH(D735,'Product Master'!$A$2:$A$21,0))</f>
        <v>18</v>
      </c>
      <c r="I735" s="14" t="n">
        <f aca="false">G735*H735</f>
        <v>72</v>
      </c>
      <c r="J735" s="0" t="str">
        <f aca="false">IF(COUNTIF($A$2:A735,A735)&gt;1,"Duplicate","")</f>
        <v/>
      </c>
    </row>
    <row r="736" customFormat="false" ht="15" hidden="false" customHeight="false" outlineLevel="0" collapsed="false">
      <c r="A736" s="0" t="str">
        <f aca="false">'Raw Store Exports'!A736</f>
        <v>TXN00158</v>
      </c>
      <c r="B736" s="17" t="n">
        <f aca="false">'Raw Store Exports'!C736</f>
        <v>46036</v>
      </c>
      <c r="C736" s="0" t="str">
        <f aca="false">INDEX('Store Mapping'!$C$2:$C$19,MATCH(TRIM('Raw Store Exports'!B736),'Store Mapping'!$A$2:$A$19,0))</f>
        <v>Downtown</v>
      </c>
      <c r="D736" s="0" t="str">
        <f aca="false">'Raw Store Exports'!D736</f>
        <v>ELE-402</v>
      </c>
      <c r="E736" s="0" t="str">
        <f aca="false">INDEX('Product Master'!$B$2:$B$21,MATCH(D736,'Product Master'!$A$2:$A$21,0))</f>
        <v>Bluetooth Speaker</v>
      </c>
      <c r="F736" s="0" t="str">
        <f aca="false">INDEX('Product Master'!$C$2:$C$21,MATCH(D736,'Product Master'!$A$2:$A$21,0))</f>
        <v>Electronics</v>
      </c>
      <c r="G736" s="15" t="n">
        <f aca="false">VALUE(TRIM('Raw Store Exports'!E736&amp;""))</f>
        <v>1</v>
      </c>
      <c r="H736" s="18" t="n">
        <f aca="false">INDEX('Product Master'!$D$2:$D$21,MATCH(D736,'Product Master'!$A$2:$A$21,0))</f>
        <v>59</v>
      </c>
      <c r="I736" s="14" t="n">
        <f aca="false">G736*H736</f>
        <v>59</v>
      </c>
      <c r="J736" s="0" t="str">
        <f aca="false">IF(COUNTIF($A$2:A736,A736)&gt;1,"Duplicate","")</f>
        <v/>
      </c>
    </row>
    <row r="737" customFormat="false" ht="15" hidden="false" customHeight="false" outlineLevel="0" collapsed="false">
      <c r="A737" s="0" t="str">
        <f aca="false">'Raw Store Exports'!A737</f>
        <v>TXN00175</v>
      </c>
      <c r="B737" s="17" t="n">
        <f aca="false">'Raw Store Exports'!C737</f>
        <v>46037</v>
      </c>
      <c r="C737" s="0" t="str">
        <f aca="false">INDEX('Store Mapping'!$C$2:$C$19,MATCH(TRIM('Raw Store Exports'!B737),'Store Mapping'!$A$2:$A$19,0))</f>
        <v>Westside Mall</v>
      </c>
      <c r="D737" s="0" t="str">
        <f aca="false">'Raw Store Exports'!D737</f>
        <v>APP-104</v>
      </c>
      <c r="E737" s="0" t="str">
        <f aca="false">INDEX('Product Master'!$B$2:$B$21,MATCH(D737,'Product Master'!$A$2:$A$21,0))</f>
        <v>Slim Fit Chinos</v>
      </c>
      <c r="F737" s="0" t="str">
        <f aca="false">INDEX('Product Master'!$C$2:$C$21,MATCH(D737,'Product Master'!$A$2:$A$21,0))</f>
        <v>Apparel</v>
      </c>
      <c r="G737" s="15" t="n">
        <f aca="false">VALUE(TRIM('Raw Store Exports'!E737&amp;""))</f>
        <v>2</v>
      </c>
      <c r="H737" s="18" t="n">
        <f aca="false">INDEX('Product Master'!$D$2:$D$21,MATCH(D737,'Product Master'!$A$2:$A$21,0))</f>
        <v>52</v>
      </c>
      <c r="I737" s="14" t="n">
        <f aca="false">G737*H737</f>
        <v>104</v>
      </c>
      <c r="J737" s="0" t="str">
        <f aca="false">IF(COUNTIF($A$2:A737,A737)&gt;1,"Duplicate","")</f>
        <v/>
      </c>
    </row>
    <row r="738" customFormat="false" ht="15" hidden="false" customHeight="false" outlineLevel="0" collapsed="false">
      <c r="A738" s="0" t="str">
        <f aca="false">'Raw Store Exports'!A738</f>
        <v>TXN01161</v>
      </c>
      <c r="B738" s="17" t="n">
        <f aca="false">'Raw Store Exports'!C738</f>
        <v>46077</v>
      </c>
      <c r="C738" s="0" t="str">
        <f aca="false">INDEX('Store Mapping'!$C$2:$C$19,MATCH(TRIM('Raw Store Exports'!B738),'Store Mapping'!$A$2:$A$19,0))</f>
        <v>Riverside</v>
      </c>
      <c r="D738" s="0" t="str">
        <f aca="false">'Raw Store Exports'!D738</f>
        <v>ACC-303</v>
      </c>
      <c r="E738" s="0" t="str">
        <f aca="false">INDEX('Product Master'!$B$2:$B$21,MATCH(D738,'Product Master'!$A$2:$A$21,0))</f>
        <v>Canvas Tote Bag</v>
      </c>
      <c r="F738" s="0" t="str">
        <f aca="false">INDEX('Product Master'!$C$2:$C$21,MATCH(D738,'Product Master'!$A$2:$A$21,0))</f>
        <v>Accessories</v>
      </c>
      <c r="G738" s="15" t="n">
        <f aca="false">VALUE(TRIM('Raw Store Exports'!E738&amp;""))</f>
        <v>6</v>
      </c>
      <c r="H738" s="18" t="n">
        <f aca="false">INDEX('Product Master'!$D$2:$D$21,MATCH(D738,'Product Master'!$A$2:$A$21,0))</f>
        <v>24</v>
      </c>
      <c r="I738" s="14" t="n">
        <f aca="false">G738*H738</f>
        <v>144</v>
      </c>
      <c r="J738" s="0" t="str">
        <f aca="false">IF(COUNTIF($A$2:A738,A738)&gt;1,"Duplicate","")</f>
        <v/>
      </c>
    </row>
    <row r="739" customFormat="false" ht="15" hidden="false" customHeight="false" outlineLevel="0" collapsed="false">
      <c r="A739" s="0" t="str">
        <f aca="false">'Raw Store Exports'!A739</f>
        <v>TXN00043</v>
      </c>
      <c r="B739" s="17" t="n">
        <f aca="false">'Raw Store Exports'!C739</f>
        <v>46032</v>
      </c>
      <c r="C739" s="0" t="str">
        <f aca="false">INDEX('Store Mapping'!$C$2:$C$19,MATCH(TRIM('Raw Store Exports'!B739),'Store Mapping'!$A$2:$A$19,0))</f>
        <v>Westside Mall</v>
      </c>
      <c r="D739" s="0" t="str">
        <f aca="false">'Raw Store Exports'!D739</f>
        <v>HOM-501</v>
      </c>
      <c r="E739" s="0" t="str">
        <f aca="false">INDEX('Product Master'!$B$2:$B$21,MATCH(D739,'Product Master'!$A$2:$A$21,0))</f>
        <v>Ceramic Coffee Mug Set</v>
      </c>
      <c r="F739" s="0" t="str">
        <f aca="false">INDEX('Product Master'!$C$2:$C$21,MATCH(D739,'Product Master'!$A$2:$A$21,0))</f>
        <v>Home Goods</v>
      </c>
      <c r="G739" s="15" t="n">
        <f aca="false">VALUE(TRIM('Raw Store Exports'!E739&amp;""))</f>
        <v>6</v>
      </c>
      <c r="H739" s="18" t="n">
        <f aca="false">INDEX('Product Master'!$D$2:$D$21,MATCH(D739,'Product Master'!$A$2:$A$21,0))</f>
        <v>22</v>
      </c>
      <c r="I739" s="14" t="n">
        <f aca="false">G739*H739</f>
        <v>132</v>
      </c>
      <c r="J739" s="0" t="str">
        <f aca="false">IF(COUNTIF($A$2:A739,A739)&gt;1,"Duplicate","")</f>
        <v/>
      </c>
    </row>
    <row r="740" customFormat="false" ht="15" hidden="false" customHeight="false" outlineLevel="0" collapsed="false">
      <c r="A740" s="0" t="str">
        <f aca="false">'Raw Store Exports'!A740</f>
        <v>TXN00020</v>
      </c>
      <c r="B740" s="17" t="n">
        <f aca="false">'Raw Store Exports'!C740</f>
        <v>46028</v>
      </c>
      <c r="C740" s="0" t="str">
        <f aca="false">INDEX('Store Mapping'!$C$2:$C$19,MATCH(TRIM('Raw Store Exports'!B740),'Store Mapping'!$A$2:$A$19,0))</f>
        <v>Westside Mall</v>
      </c>
      <c r="D740" s="0" t="str">
        <f aca="false">'Raw Store Exports'!D740</f>
        <v>ACC-301</v>
      </c>
      <c r="E740" s="0" t="str">
        <f aca="false">INDEX('Product Master'!$B$2:$B$21,MATCH(D740,'Product Master'!$A$2:$A$21,0))</f>
        <v>Leather Belt</v>
      </c>
      <c r="F740" s="0" t="str">
        <f aca="false">INDEX('Product Master'!$C$2:$C$21,MATCH(D740,'Product Master'!$A$2:$A$21,0))</f>
        <v>Accessories</v>
      </c>
      <c r="G740" s="15" t="n">
        <f aca="false">VALUE(TRIM('Raw Store Exports'!E740&amp;""))</f>
        <v>1</v>
      </c>
      <c r="H740" s="18" t="n">
        <f aca="false">INDEX('Product Master'!$D$2:$D$21,MATCH(D740,'Product Master'!$A$2:$A$21,0))</f>
        <v>30</v>
      </c>
      <c r="I740" s="14" t="n">
        <f aca="false">G740*H740</f>
        <v>30</v>
      </c>
      <c r="J740" s="0" t="str">
        <f aca="false">IF(COUNTIF($A$2:A740,A740)&gt;1,"Duplicate","")</f>
        <v/>
      </c>
    </row>
    <row r="741" customFormat="false" ht="15" hidden="false" customHeight="false" outlineLevel="0" collapsed="false">
      <c r="A741" s="0" t="str">
        <f aca="false">'Raw Store Exports'!A741</f>
        <v>TXN01148</v>
      </c>
      <c r="B741" s="17" t="n">
        <f aca="false">'Raw Store Exports'!C741</f>
        <v>46076</v>
      </c>
      <c r="C741" s="0" t="str">
        <f aca="false">INDEX('Store Mapping'!$C$2:$C$19,MATCH(TRIM('Raw Store Exports'!B741),'Store Mapping'!$A$2:$A$19,0))</f>
        <v>Riverside</v>
      </c>
      <c r="D741" s="0" t="str">
        <f aca="false">'Raw Store Exports'!D741</f>
        <v>FTW-202</v>
      </c>
      <c r="E741" s="0" t="str">
        <f aca="false">INDEX('Product Master'!$B$2:$B$21,MATCH(D741,'Product Master'!$A$2:$A$21,0))</f>
        <v>Canvas Low-Top</v>
      </c>
      <c r="F741" s="0" t="str">
        <f aca="false">INDEX('Product Master'!$C$2:$C$21,MATCH(D741,'Product Master'!$A$2:$A$21,0))</f>
        <v>Footwear</v>
      </c>
      <c r="G741" s="15" t="n">
        <f aca="false">VALUE(TRIM('Raw Store Exports'!E741&amp;""))</f>
        <v>2</v>
      </c>
      <c r="H741" s="18" t="n">
        <f aca="false">INDEX('Product Master'!$D$2:$D$21,MATCH(D741,'Product Master'!$A$2:$A$21,0))</f>
        <v>55</v>
      </c>
      <c r="I741" s="14" t="n">
        <f aca="false">G741*H741</f>
        <v>110</v>
      </c>
      <c r="J741" s="0" t="str">
        <f aca="false">IF(COUNTIF($A$2:A741,A741)&gt;1,"Duplicate","")</f>
        <v/>
      </c>
    </row>
    <row r="742" customFormat="false" ht="15" hidden="false" customHeight="false" outlineLevel="0" collapsed="false">
      <c r="A742" s="0" t="str">
        <f aca="false">'Raw Store Exports'!A742</f>
        <v>TXN00572</v>
      </c>
      <c r="B742" s="17" t="n">
        <f aca="false">'Raw Store Exports'!C742</f>
        <v>46049</v>
      </c>
      <c r="C742" s="0" t="str">
        <f aca="false">INDEX('Store Mapping'!$C$2:$C$19,MATCH(TRIM('Raw Store Exports'!B742),'Store Mapping'!$A$2:$A$19,0))</f>
        <v>Airport Plaza</v>
      </c>
      <c r="D742" s="0" t="str">
        <f aca="false">'Raw Store Exports'!D742</f>
        <v>ACC-301</v>
      </c>
      <c r="E742" s="0" t="str">
        <f aca="false">INDEX('Product Master'!$B$2:$B$21,MATCH(D742,'Product Master'!$A$2:$A$21,0))</f>
        <v>Leather Belt</v>
      </c>
      <c r="F742" s="0" t="str">
        <f aca="false">INDEX('Product Master'!$C$2:$C$21,MATCH(D742,'Product Master'!$A$2:$A$21,0))</f>
        <v>Accessories</v>
      </c>
      <c r="G742" s="15" t="n">
        <f aca="false">VALUE(TRIM('Raw Store Exports'!E742&amp;""))</f>
        <v>1</v>
      </c>
      <c r="H742" s="18" t="n">
        <f aca="false">INDEX('Product Master'!$D$2:$D$21,MATCH(D742,'Product Master'!$A$2:$A$21,0))</f>
        <v>30</v>
      </c>
      <c r="I742" s="14" t="n">
        <f aca="false">G742*H742</f>
        <v>30</v>
      </c>
      <c r="J742" s="0" t="str">
        <f aca="false">IF(COUNTIF($A$2:A742,A742)&gt;1,"Duplicate","")</f>
        <v/>
      </c>
    </row>
    <row r="743" customFormat="false" ht="15" hidden="false" customHeight="false" outlineLevel="0" collapsed="false">
      <c r="A743" s="0" t="str">
        <f aca="false">'Raw Store Exports'!A743</f>
        <v>TXN00302</v>
      </c>
      <c r="B743" s="17" t="n">
        <f aca="false">'Raw Store Exports'!C743</f>
        <v>46046</v>
      </c>
      <c r="C743" s="0" t="str">
        <f aca="false">INDEX('Store Mapping'!$C$2:$C$19,MATCH(TRIM('Raw Store Exports'!B743),'Store Mapping'!$A$2:$A$19,0))</f>
        <v>Westside Mall</v>
      </c>
      <c r="D743" s="0" t="str">
        <f aca="false">'Raw Store Exports'!D743</f>
        <v>APP-102</v>
      </c>
      <c r="E743" s="0" t="str">
        <f aca="false">INDEX('Product Master'!$B$2:$B$21,MATCH(D743,'Product Master'!$A$2:$A$21,0))</f>
        <v>Cotton Crew T-Shirt</v>
      </c>
      <c r="F743" s="0" t="str">
        <f aca="false">INDEX('Product Master'!$C$2:$C$21,MATCH(D743,'Product Master'!$A$2:$A$21,0))</f>
        <v>Apparel</v>
      </c>
      <c r="G743" s="15" t="n">
        <f aca="false">VALUE(TRIM('Raw Store Exports'!E743&amp;""))</f>
        <v>2</v>
      </c>
      <c r="H743" s="18" t="n">
        <f aca="false">INDEX('Product Master'!$D$2:$D$21,MATCH(D743,'Product Master'!$A$2:$A$21,0))</f>
        <v>18</v>
      </c>
      <c r="I743" s="14" t="n">
        <f aca="false">G743*H743</f>
        <v>36</v>
      </c>
      <c r="J743" s="0" t="str">
        <f aca="false">IF(COUNTIF($A$2:A743,A743)&gt;1,"Duplicate","")</f>
        <v/>
      </c>
    </row>
    <row r="744" customFormat="false" ht="15" hidden="false" customHeight="false" outlineLevel="0" collapsed="false">
      <c r="A744" s="0" t="str">
        <f aca="false">'Raw Store Exports'!A744</f>
        <v>TXN00635</v>
      </c>
      <c r="B744" s="17" t="n">
        <f aca="false">'Raw Store Exports'!C744</f>
        <v>46061</v>
      </c>
      <c r="C744" s="0" t="str">
        <f aca="false">INDEX('Store Mapping'!$C$2:$C$19,MATCH(TRIM('Raw Store Exports'!B744),'Store Mapping'!$A$2:$A$19,0))</f>
        <v>Westside Mall</v>
      </c>
      <c r="D744" s="0" t="str">
        <f aca="false">'Raw Store Exports'!D744</f>
        <v>FTW-201</v>
      </c>
      <c r="E744" s="0" t="str">
        <f aca="false">INDEX('Product Master'!$B$2:$B$21,MATCH(D744,'Product Master'!$A$2:$A$21,0))</f>
        <v>Running Sneakers</v>
      </c>
      <c r="F744" s="0" t="str">
        <f aca="false">INDEX('Product Master'!$C$2:$C$21,MATCH(D744,'Product Master'!$A$2:$A$21,0))</f>
        <v>Footwear</v>
      </c>
      <c r="G744" s="15" t="n">
        <f aca="false">VALUE(TRIM('Raw Store Exports'!E744&amp;""))</f>
        <v>3</v>
      </c>
      <c r="H744" s="18" t="n">
        <f aca="false">INDEX('Product Master'!$D$2:$D$21,MATCH(D744,'Product Master'!$A$2:$A$21,0))</f>
        <v>89</v>
      </c>
      <c r="I744" s="14" t="n">
        <f aca="false">G744*H744</f>
        <v>267</v>
      </c>
      <c r="J744" s="0" t="str">
        <f aca="false">IF(COUNTIF($A$2:A744,A744)&gt;1,"Duplicate","")</f>
        <v/>
      </c>
    </row>
    <row r="745" customFormat="false" ht="15" hidden="false" customHeight="false" outlineLevel="0" collapsed="false">
      <c r="A745" s="0" t="str">
        <f aca="false">'Raw Store Exports'!A745</f>
        <v>TXN00673</v>
      </c>
      <c r="B745" s="17" t="n">
        <f aca="false">'Raw Store Exports'!C745</f>
        <v>46061</v>
      </c>
      <c r="C745" s="0" t="str">
        <f aca="false">INDEX('Store Mapping'!$C$2:$C$19,MATCH(TRIM('Raw Store Exports'!B745),'Store Mapping'!$A$2:$A$19,0))</f>
        <v>Northpark</v>
      </c>
      <c r="D745" s="0" t="str">
        <f aca="false">'Raw Store Exports'!D745</f>
        <v>HOM-501</v>
      </c>
      <c r="E745" s="0" t="str">
        <f aca="false">INDEX('Product Master'!$B$2:$B$21,MATCH(D745,'Product Master'!$A$2:$A$21,0))</f>
        <v>Ceramic Coffee Mug Set</v>
      </c>
      <c r="F745" s="0" t="str">
        <f aca="false">INDEX('Product Master'!$C$2:$C$21,MATCH(D745,'Product Master'!$A$2:$A$21,0))</f>
        <v>Home Goods</v>
      </c>
      <c r="G745" s="15" t="n">
        <f aca="false">VALUE(TRIM('Raw Store Exports'!E745&amp;""))</f>
        <v>4</v>
      </c>
      <c r="H745" s="18" t="n">
        <f aca="false">INDEX('Product Master'!$D$2:$D$21,MATCH(D745,'Product Master'!$A$2:$A$21,0))</f>
        <v>22</v>
      </c>
      <c r="I745" s="14" t="n">
        <f aca="false">G745*H745</f>
        <v>88</v>
      </c>
      <c r="J745" s="0" t="str">
        <f aca="false">IF(COUNTIF($A$2:A745,A745)&gt;1,"Duplicate","")</f>
        <v/>
      </c>
    </row>
    <row r="746" customFormat="false" ht="15" hidden="false" customHeight="false" outlineLevel="0" collapsed="false">
      <c r="A746" s="0" t="str">
        <f aca="false">'Raw Store Exports'!A746</f>
        <v>TXN00875</v>
      </c>
      <c r="B746" s="17" t="n">
        <f aca="false">'Raw Store Exports'!C746</f>
        <v>46063</v>
      </c>
      <c r="C746" s="0" t="str">
        <f aca="false">INDEX('Store Mapping'!$C$2:$C$19,MATCH(TRIM('Raw Store Exports'!B746),'Store Mapping'!$A$2:$A$19,0))</f>
        <v>Airport Plaza</v>
      </c>
      <c r="D746" s="0" t="str">
        <f aca="false">'Raw Store Exports'!D746</f>
        <v>ACC-302</v>
      </c>
      <c r="E746" s="0" t="str">
        <f aca="false">INDEX('Product Master'!$B$2:$B$21,MATCH(D746,'Product Master'!$A$2:$A$21,0))</f>
        <v>Aviator Sunglasses</v>
      </c>
      <c r="F746" s="0" t="str">
        <f aca="false">INDEX('Product Master'!$C$2:$C$21,MATCH(D746,'Product Master'!$A$2:$A$21,0))</f>
        <v>Accessories</v>
      </c>
      <c r="G746" s="15" t="n">
        <f aca="false">VALUE(TRIM('Raw Store Exports'!E746&amp;""))</f>
        <v>3</v>
      </c>
      <c r="H746" s="18" t="n">
        <f aca="false">INDEX('Product Master'!$D$2:$D$21,MATCH(D746,'Product Master'!$A$2:$A$21,0))</f>
        <v>42</v>
      </c>
      <c r="I746" s="14" t="n">
        <f aca="false">G746*H746</f>
        <v>126</v>
      </c>
      <c r="J746" s="0" t="str">
        <f aca="false">IF(COUNTIF($A$2:A746,A746)&gt;1,"Duplicate","")</f>
        <v/>
      </c>
    </row>
    <row r="747" customFormat="false" ht="15" hidden="false" customHeight="false" outlineLevel="0" collapsed="false">
      <c r="A747" s="0" t="str">
        <f aca="false">'Raw Store Exports'!A747</f>
        <v>TXN00651</v>
      </c>
      <c r="B747" s="17" t="n">
        <f aca="false">'Raw Store Exports'!C747</f>
        <v>46059</v>
      </c>
      <c r="C747" s="0" t="str">
        <f aca="false">INDEX('Store Mapping'!$C$2:$C$19,MATCH(TRIM('Raw Store Exports'!B747),'Store Mapping'!$A$2:$A$19,0))</f>
        <v>Eastgate</v>
      </c>
      <c r="D747" s="0" t="str">
        <f aca="false">'Raw Store Exports'!D747</f>
        <v>APP-102</v>
      </c>
      <c r="E747" s="0" t="str">
        <f aca="false">INDEX('Product Master'!$B$2:$B$21,MATCH(D747,'Product Master'!$A$2:$A$21,0))</f>
        <v>Cotton Crew T-Shirt</v>
      </c>
      <c r="F747" s="0" t="str">
        <f aca="false">INDEX('Product Master'!$C$2:$C$21,MATCH(D747,'Product Master'!$A$2:$A$21,0))</f>
        <v>Apparel</v>
      </c>
      <c r="G747" s="15" t="n">
        <f aca="false">VALUE(TRIM('Raw Store Exports'!E747&amp;""))</f>
        <v>6</v>
      </c>
      <c r="H747" s="18" t="n">
        <f aca="false">INDEX('Product Master'!$D$2:$D$21,MATCH(D747,'Product Master'!$A$2:$A$21,0))</f>
        <v>18</v>
      </c>
      <c r="I747" s="14" t="n">
        <f aca="false">G747*H747</f>
        <v>108</v>
      </c>
      <c r="J747" s="0" t="str">
        <f aca="false">IF(COUNTIF($A$2:A747,A747)&gt;1,"Duplicate","")</f>
        <v/>
      </c>
    </row>
    <row r="748" customFormat="false" ht="15" hidden="false" customHeight="false" outlineLevel="0" collapsed="false">
      <c r="A748" s="0" t="str">
        <f aca="false">'Raw Store Exports'!A748</f>
        <v>TXN00094</v>
      </c>
      <c r="B748" s="17" t="n">
        <f aca="false">'Raw Store Exports'!C748</f>
        <v>46033</v>
      </c>
      <c r="C748" s="0" t="str">
        <f aca="false">INDEX('Store Mapping'!$C$2:$C$19,MATCH(TRIM('Raw Store Exports'!B748),'Store Mapping'!$A$2:$A$19,0))</f>
        <v>Northpark</v>
      </c>
      <c r="D748" s="0" t="str">
        <f aca="false">'Raw Store Exports'!D748</f>
        <v>ELE-401</v>
      </c>
      <c r="E748" s="0" t="str">
        <f aca="false">INDEX('Product Master'!$B$2:$B$21,MATCH(D748,'Product Master'!$A$2:$A$21,0))</f>
        <v>Wireless Earbuds</v>
      </c>
      <c r="F748" s="0" t="str">
        <f aca="false">INDEX('Product Master'!$C$2:$C$21,MATCH(D748,'Product Master'!$A$2:$A$21,0))</f>
        <v>Electronics</v>
      </c>
      <c r="G748" s="15" t="n">
        <f aca="false">VALUE(TRIM('Raw Store Exports'!E748&amp;""))</f>
        <v>3</v>
      </c>
      <c r="H748" s="18" t="n">
        <f aca="false">INDEX('Product Master'!$D$2:$D$21,MATCH(D748,'Product Master'!$A$2:$A$21,0))</f>
        <v>79</v>
      </c>
      <c r="I748" s="14" t="n">
        <f aca="false">G748*H748</f>
        <v>237</v>
      </c>
      <c r="J748" s="0" t="str">
        <f aca="false">IF(COUNTIF($A$2:A748,A748)&gt;1,"Duplicate","")</f>
        <v/>
      </c>
    </row>
    <row r="749" customFormat="false" ht="15" hidden="false" customHeight="false" outlineLevel="0" collapsed="false">
      <c r="A749" s="0" t="str">
        <f aca="false">'Raw Store Exports'!A749</f>
        <v>TXN00966</v>
      </c>
      <c r="B749" s="17" t="n">
        <f aca="false">'Raw Store Exports'!C749</f>
        <v>46072</v>
      </c>
      <c r="C749" s="0" t="str">
        <f aca="false">INDEX('Store Mapping'!$C$2:$C$19,MATCH(TRIM('Raw Store Exports'!B749),'Store Mapping'!$A$2:$A$19,0))</f>
        <v>Eastgate</v>
      </c>
      <c r="D749" s="0" t="str">
        <f aca="false">'Raw Store Exports'!D749</f>
        <v>FTW-201</v>
      </c>
      <c r="E749" s="0" t="str">
        <f aca="false">INDEX('Product Master'!$B$2:$B$21,MATCH(D749,'Product Master'!$A$2:$A$21,0))</f>
        <v>Running Sneakers</v>
      </c>
      <c r="F749" s="0" t="str">
        <f aca="false">INDEX('Product Master'!$C$2:$C$21,MATCH(D749,'Product Master'!$A$2:$A$21,0))</f>
        <v>Footwear</v>
      </c>
      <c r="G749" s="15" t="n">
        <f aca="false">VALUE(TRIM('Raw Store Exports'!E749&amp;""))</f>
        <v>1</v>
      </c>
      <c r="H749" s="18" t="n">
        <f aca="false">INDEX('Product Master'!$D$2:$D$21,MATCH(D749,'Product Master'!$A$2:$A$21,0))</f>
        <v>89</v>
      </c>
      <c r="I749" s="14" t="n">
        <f aca="false">G749*H749</f>
        <v>89</v>
      </c>
      <c r="J749" s="0" t="str">
        <f aca="false">IF(COUNTIF($A$2:A749,A749)&gt;1,"Duplicate","")</f>
        <v/>
      </c>
    </row>
    <row r="750" customFormat="false" ht="15" hidden="false" customHeight="false" outlineLevel="0" collapsed="false">
      <c r="A750" s="0" t="str">
        <f aca="false">'Raw Store Exports'!A750</f>
        <v>TXN00894</v>
      </c>
      <c r="B750" s="17" t="n">
        <f aca="false">'Raw Store Exports'!C750</f>
        <v>46063</v>
      </c>
      <c r="C750" s="0" t="str">
        <f aca="false">INDEX('Store Mapping'!$C$2:$C$19,MATCH(TRIM('Raw Store Exports'!B750),'Store Mapping'!$A$2:$A$19,0))</f>
        <v>Airport Plaza</v>
      </c>
      <c r="D750" s="0" t="str">
        <f aca="false">'Raw Store Exports'!D750</f>
        <v>ELE-402</v>
      </c>
      <c r="E750" s="0" t="str">
        <f aca="false">INDEX('Product Master'!$B$2:$B$21,MATCH(D750,'Product Master'!$A$2:$A$21,0))</f>
        <v>Bluetooth Speaker</v>
      </c>
      <c r="F750" s="0" t="str">
        <f aca="false">INDEX('Product Master'!$C$2:$C$21,MATCH(D750,'Product Master'!$A$2:$A$21,0))</f>
        <v>Electronics</v>
      </c>
      <c r="G750" s="15" t="n">
        <f aca="false">VALUE(TRIM('Raw Store Exports'!E750&amp;""))</f>
        <v>2</v>
      </c>
      <c r="H750" s="18" t="n">
        <f aca="false">INDEX('Product Master'!$D$2:$D$21,MATCH(D750,'Product Master'!$A$2:$A$21,0))</f>
        <v>59</v>
      </c>
      <c r="I750" s="14" t="n">
        <f aca="false">G750*H750</f>
        <v>118</v>
      </c>
      <c r="J750" s="0" t="str">
        <f aca="false">IF(COUNTIF($A$2:A750,A750)&gt;1,"Duplicate","")</f>
        <v/>
      </c>
    </row>
    <row r="751" customFormat="false" ht="15" hidden="false" customHeight="false" outlineLevel="0" collapsed="false">
      <c r="A751" s="0" t="str">
        <f aca="false">'Raw Store Exports'!A751</f>
        <v>TXN00313</v>
      </c>
      <c r="B751" s="17" t="n">
        <f aca="false">'Raw Store Exports'!C751</f>
        <v>46045</v>
      </c>
      <c r="C751" s="0" t="str">
        <f aca="false">INDEX('Store Mapping'!$C$2:$C$19,MATCH(TRIM('Raw Store Exports'!B751),'Store Mapping'!$A$2:$A$19,0))</f>
        <v>Westside Mall</v>
      </c>
      <c r="D751" s="0" t="str">
        <f aca="false">'Raw Store Exports'!D751</f>
        <v>ELE-401</v>
      </c>
      <c r="E751" s="0" t="str">
        <f aca="false">INDEX('Product Master'!$B$2:$B$21,MATCH(D751,'Product Master'!$A$2:$A$21,0))</f>
        <v>Wireless Earbuds</v>
      </c>
      <c r="F751" s="0" t="str">
        <f aca="false">INDEX('Product Master'!$C$2:$C$21,MATCH(D751,'Product Master'!$A$2:$A$21,0))</f>
        <v>Electronics</v>
      </c>
      <c r="G751" s="15" t="n">
        <f aca="false">VALUE(TRIM('Raw Store Exports'!E751&amp;""))</f>
        <v>6</v>
      </c>
      <c r="H751" s="18" t="n">
        <f aca="false">INDEX('Product Master'!$D$2:$D$21,MATCH(D751,'Product Master'!$A$2:$A$21,0))</f>
        <v>79</v>
      </c>
      <c r="I751" s="14" t="n">
        <f aca="false">G751*H751</f>
        <v>474</v>
      </c>
      <c r="J751" s="0" t="str">
        <f aca="false">IF(COUNTIF($A$2:A751,A751)&gt;1,"Duplicate","")</f>
        <v/>
      </c>
    </row>
    <row r="752" customFormat="false" ht="15" hidden="false" customHeight="false" outlineLevel="0" collapsed="false">
      <c r="A752" s="0" t="str">
        <f aca="false">'Raw Store Exports'!A752</f>
        <v>TXN00131</v>
      </c>
      <c r="B752" s="17" t="n">
        <f aca="false">'Raw Store Exports'!C752</f>
        <v>46030</v>
      </c>
      <c r="C752" s="0" t="str">
        <f aca="false">INDEX('Store Mapping'!$C$2:$C$19,MATCH(TRIM('Raw Store Exports'!B752),'Store Mapping'!$A$2:$A$19,0))</f>
        <v>Airport Plaza</v>
      </c>
      <c r="D752" s="0" t="str">
        <f aca="false">'Raw Store Exports'!D752</f>
        <v>APP-102</v>
      </c>
      <c r="E752" s="0" t="str">
        <f aca="false">INDEX('Product Master'!$B$2:$B$21,MATCH(D752,'Product Master'!$A$2:$A$21,0))</f>
        <v>Cotton Crew T-Shirt</v>
      </c>
      <c r="F752" s="0" t="str">
        <f aca="false">INDEX('Product Master'!$C$2:$C$21,MATCH(D752,'Product Master'!$A$2:$A$21,0))</f>
        <v>Apparel</v>
      </c>
      <c r="G752" s="15" t="n">
        <f aca="false">VALUE(TRIM('Raw Store Exports'!E752&amp;""))</f>
        <v>5</v>
      </c>
      <c r="H752" s="18" t="n">
        <f aca="false">INDEX('Product Master'!$D$2:$D$21,MATCH(D752,'Product Master'!$A$2:$A$21,0))</f>
        <v>18</v>
      </c>
      <c r="I752" s="14" t="n">
        <f aca="false">G752*H752</f>
        <v>90</v>
      </c>
      <c r="J752" s="0" t="str">
        <f aca="false">IF(COUNTIF($A$2:A752,A752)&gt;1,"Duplicate","")</f>
        <v/>
      </c>
    </row>
    <row r="753" customFormat="false" ht="15" hidden="false" customHeight="false" outlineLevel="0" collapsed="false">
      <c r="A753" s="0" t="str">
        <f aca="false">'Raw Store Exports'!A753</f>
        <v>TXN01149</v>
      </c>
      <c r="B753" s="17" t="n">
        <f aca="false">'Raw Store Exports'!C753</f>
        <v>46081</v>
      </c>
      <c r="C753" s="0" t="str">
        <f aca="false">INDEX('Store Mapping'!$C$2:$C$19,MATCH(TRIM('Raw Store Exports'!B753),'Store Mapping'!$A$2:$A$19,0))</f>
        <v>Riverside</v>
      </c>
      <c r="D753" s="0" t="str">
        <f aca="false">'Raw Store Exports'!D753</f>
        <v>APP-101</v>
      </c>
      <c r="E753" s="0" t="str">
        <f aca="false">INDEX('Product Master'!$B$2:$B$21,MATCH(D753,'Product Master'!$A$2:$A$21,0))</f>
        <v>Classic Denim Jacket</v>
      </c>
      <c r="F753" s="0" t="str">
        <f aca="false">INDEX('Product Master'!$C$2:$C$21,MATCH(D753,'Product Master'!$A$2:$A$21,0))</f>
        <v>Apparel</v>
      </c>
      <c r="G753" s="15" t="n">
        <f aca="false">VALUE(TRIM('Raw Store Exports'!E753&amp;""))</f>
        <v>4</v>
      </c>
      <c r="H753" s="18" t="n">
        <f aca="false">INDEX('Product Master'!$D$2:$D$21,MATCH(D753,'Product Master'!$A$2:$A$21,0))</f>
        <v>68</v>
      </c>
      <c r="I753" s="14" t="n">
        <f aca="false">G753*H753</f>
        <v>272</v>
      </c>
      <c r="J753" s="0" t="str">
        <f aca="false">IF(COUNTIF($A$2:A753,A753)&gt;1,"Duplicate","")</f>
        <v/>
      </c>
    </row>
    <row r="754" customFormat="false" ht="15" hidden="false" customHeight="false" outlineLevel="0" collapsed="false">
      <c r="A754" s="0" t="str">
        <f aca="false">'Raw Store Exports'!A754</f>
        <v>TXN00044</v>
      </c>
      <c r="B754" s="17" t="n">
        <f aca="false">'Raw Store Exports'!C754</f>
        <v>46027</v>
      </c>
      <c r="C754" s="0" t="str">
        <f aca="false">INDEX('Store Mapping'!$C$2:$C$19,MATCH(TRIM('Raw Store Exports'!B754),'Store Mapping'!$A$2:$A$19,0))</f>
        <v>Westside Mall</v>
      </c>
      <c r="D754" s="0" t="str">
        <f aca="false">'Raw Store Exports'!D754</f>
        <v>ELE-401</v>
      </c>
      <c r="E754" s="0" t="str">
        <f aca="false">INDEX('Product Master'!$B$2:$B$21,MATCH(D754,'Product Master'!$A$2:$A$21,0))</f>
        <v>Wireless Earbuds</v>
      </c>
      <c r="F754" s="0" t="str">
        <f aca="false">INDEX('Product Master'!$C$2:$C$21,MATCH(D754,'Product Master'!$A$2:$A$21,0))</f>
        <v>Electronics</v>
      </c>
      <c r="G754" s="15" t="n">
        <f aca="false">VALUE(TRIM('Raw Store Exports'!E754&amp;""))</f>
        <v>4</v>
      </c>
      <c r="H754" s="18" t="n">
        <f aca="false">INDEX('Product Master'!$D$2:$D$21,MATCH(D754,'Product Master'!$A$2:$A$21,0))</f>
        <v>79</v>
      </c>
      <c r="I754" s="14" t="n">
        <f aca="false">G754*H754</f>
        <v>316</v>
      </c>
      <c r="J754" s="0" t="str">
        <f aca="false">IF(COUNTIF($A$2:A754,A754)&gt;1,"Duplicate","")</f>
        <v/>
      </c>
    </row>
    <row r="755" customFormat="false" ht="15" hidden="false" customHeight="false" outlineLevel="0" collapsed="false">
      <c r="A755" s="0" t="str">
        <f aca="false">'Raw Store Exports'!A755</f>
        <v>TXN00861</v>
      </c>
      <c r="B755" s="17" t="n">
        <f aca="false">'Raw Store Exports'!C755</f>
        <v>46064</v>
      </c>
      <c r="C755" s="0" t="str">
        <f aca="false">INDEX('Store Mapping'!$C$2:$C$19,MATCH(TRIM('Raw Store Exports'!B755),'Store Mapping'!$A$2:$A$19,0))</f>
        <v>Riverside</v>
      </c>
      <c r="D755" s="0" t="str">
        <f aca="false">'Raw Store Exports'!D755</f>
        <v>HOM-501</v>
      </c>
      <c r="E755" s="0" t="str">
        <f aca="false">INDEX('Product Master'!$B$2:$B$21,MATCH(D755,'Product Master'!$A$2:$A$21,0))</f>
        <v>Ceramic Coffee Mug Set</v>
      </c>
      <c r="F755" s="0" t="str">
        <f aca="false">INDEX('Product Master'!$C$2:$C$21,MATCH(D755,'Product Master'!$A$2:$A$21,0))</f>
        <v>Home Goods</v>
      </c>
      <c r="G755" s="15" t="n">
        <f aca="false">VALUE(TRIM('Raw Store Exports'!E755&amp;""))</f>
        <v>5</v>
      </c>
      <c r="H755" s="18" t="n">
        <f aca="false">INDEX('Product Master'!$D$2:$D$21,MATCH(D755,'Product Master'!$A$2:$A$21,0))</f>
        <v>22</v>
      </c>
      <c r="I755" s="14" t="n">
        <f aca="false">G755*H755</f>
        <v>110</v>
      </c>
      <c r="J755" s="0" t="str">
        <f aca="false">IF(COUNTIF($A$2:A755,A755)&gt;1,"Duplicate","")</f>
        <v/>
      </c>
    </row>
    <row r="756" customFormat="false" ht="15" hidden="false" customHeight="false" outlineLevel="0" collapsed="false">
      <c r="A756" s="0" t="str">
        <f aca="false">'Raw Store Exports'!A756</f>
        <v>TXN00899</v>
      </c>
      <c r="B756" s="17" t="n">
        <f aca="false">'Raw Store Exports'!C756</f>
        <v>46071</v>
      </c>
      <c r="C756" s="0" t="str">
        <f aca="false">INDEX('Store Mapping'!$C$2:$C$19,MATCH(TRIM('Raw Store Exports'!B756),'Store Mapping'!$A$2:$A$19,0))</f>
        <v>Downtown</v>
      </c>
      <c r="D756" s="0" t="str">
        <f aca="false">'Raw Store Exports'!D756</f>
        <v>FTW-201</v>
      </c>
      <c r="E756" s="0" t="str">
        <f aca="false">INDEX('Product Master'!$B$2:$B$21,MATCH(D756,'Product Master'!$A$2:$A$21,0))</f>
        <v>Running Sneakers</v>
      </c>
      <c r="F756" s="0" t="str">
        <f aca="false">INDEX('Product Master'!$C$2:$C$21,MATCH(D756,'Product Master'!$A$2:$A$21,0))</f>
        <v>Footwear</v>
      </c>
      <c r="G756" s="15" t="n">
        <f aca="false">VALUE(TRIM('Raw Store Exports'!E756&amp;""))</f>
        <v>3</v>
      </c>
      <c r="H756" s="18" t="n">
        <f aca="false">INDEX('Product Master'!$D$2:$D$21,MATCH(D756,'Product Master'!$A$2:$A$21,0))</f>
        <v>89</v>
      </c>
      <c r="I756" s="14" t="n">
        <f aca="false">G756*H756</f>
        <v>267</v>
      </c>
      <c r="J756" s="0" t="str">
        <f aca="false">IF(COUNTIF($A$2:A756,A756)&gt;1,"Duplicate","")</f>
        <v>Duplicate</v>
      </c>
    </row>
    <row r="757" customFormat="false" ht="15" hidden="false" customHeight="false" outlineLevel="0" collapsed="false">
      <c r="A757" s="0" t="str">
        <f aca="false">'Raw Store Exports'!A757</f>
        <v>TXN00216</v>
      </c>
      <c r="B757" s="17" t="n">
        <f aca="false">'Raw Store Exports'!C757</f>
        <v>46038</v>
      </c>
      <c r="C757" s="0" t="str">
        <f aca="false">INDEX('Store Mapping'!$C$2:$C$19,MATCH(TRIM('Raw Store Exports'!B757),'Store Mapping'!$A$2:$A$19,0))</f>
        <v>Northpark</v>
      </c>
      <c r="D757" s="0" t="str">
        <f aca="false">'Raw Store Exports'!D757</f>
        <v>ACC-303</v>
      </c>
      <c r="E757" s="0" t="str">
        <f aca="false">INDEX('Product Master'!$B$2:$B$21,MATCH(D757,'Product Master'!$A$2:$A$21,0))</f>
        <v>Canvas Tote Bag</v>
      </c>
      <c r="F757" s="0" t="str">
        <f aca="false">INDEX('Product Master'!$C$2:$C$21,MATCH(D757,'Product Master'!$A$2:$A$21,0))</f>
        <v>Accessories</v>
      </c>
      <c r="G757" s="15" t="n">
        <f aca="false">VALUE(TRIM('Raw Store Exports'!E757&amp;""))</f>
        <v>2</v>
      </c>
      <c r="H757" s="18" t="n">
        <f aca="false">INDEX('Product Master'!$D$2:$D$21,MATCH(D757,'Product Master'!$A$2:$A$21,0))</f>
        <v>24</v>
      </c>
      <c r="I757" s="14" t="n">
        <f aca="false">G757*H757</f>
        <v>48</v>
      </c>
      <c r="J757" s="0" t="str">
        <f aca="false">IF(COUNTIF($A$2:A757,A757)&gt;1,"Duplicate","")</f>
        <v/>
      </c>
    </row>
    <row r="758" customFormat="false" ht="15" hidden="false" customHeight="false" outlineLevel="0" collapsed="false">
      <c r="A758" s="0" t="str">
        <f aca="false">'Raw Store Exports'!A758</f>
        <v>TXN00514</v>
      </c>
      <c r="B758" s="17" t="n">
        <f aca="false">'Raw Store Exports'!C758</f>
        <v>46049</v>
      </c>
      <c r="C758" s="0" t="str">
        <f aca="false">INDEX('Store Mapping'!$C$2:$C$19,MATCH(TRIM('Raw Store Exports'!B758),'Store Mapping'!$A$2:$A$19,0))</f>
        <v>Northpark</v>
      </c>
      <c r="D758" s="0" t="str">
        <f aca="false">'Raw Store Exports'!D758</f>
        <v>ELE-401</v>
      </c>
      <c r="E758" s="0" t="str">
        <f aca="false">INDEX('Product Master'!$B$2:$B$21,MATCH(D758,'Product Master'!$A$2:$A$21,0))</f>
        <v>Wireless Earbuds</v>
      </c>
      <c r="F758" s="0" t="str">
        <f aca="false">INDEX('Product Master'!$C$2:$C$21,MATCH(D758,'Product Master'!$A$2:$A$21,0))</f>
        <v>Electronics</v>
      </c>
      <c r="G758" s="15" t="n">
        <f aca="false">VALUE(TRIM('Raw Store Exports'!E758&amp;""))</f>
        <v>5</v>
      </c>
      <c r="H758" s="18" t="n">
        <f aca="false">INDEX('Product Master'!$D$2:$D$21,MATCH(D758,'Product Master'!$A$2:$A$21,0))</f>
        <v>79</v>
      </c>
      <c r="I758" s="14" t="n">
        <f aca="false">G758*H758</f>
        <v>395</v>
      </c>
      <c r="J758" s="0" t="str">
        <f aca="false">IF(COUNTIF($A$2:A758,A758)&gt;1,"Duplicate","")</f>
        <v/>
      </c>
    </row>
    <row r="759" customFormat="false" ht="15" hidden="false" customHeight="false" outlineLevel="0" collapsed="false">
      <c r="A759" s="0" t="str">
        <f aca="false">'Raw Store Exports'!A759</f>
        <v>TXN00942</v>
      </c>
      <c r="B759" s="17" t="n">
        <f aca="false">'Raw Store Exports'!C759</f>
        <v>46069</v>
      </c>
      <c r="C759" s="0" t="str">
        <f aca="false">INDEX('Store Mapping'!$C$2:$C$19,MATCH(TRIM('Raw Store Exports'!B759),'Store Mapping'!$A$2:$A$19,0))</f>
        <v>Westside Mall</v>
      </c>
      <c r="D759" s="0" t="str">
        <f aca="false">'Raw Store Exports'!D759</f>
        <v>APP-103</v>
      </c>
      <c r="E759" s="0" t="str">
        <f aca="false">INDEX('Product Master'!$B$2:$B$21,MATCH(D759,'Product Master'!$A$2:$A$21,0))</f>
        <v>Fleece Pullover Hoodie</v>
      </c>
      <c r="F759" s="0" t="str">
        <f aca="false">INDEX('Product Master'!$C$2:$C$21,MATCH(D759,'Product Master'!$A$2:$A$21,0))</f>
        <v>Apparel</v>
      </c>
      <c r="G759" s="15" t="n">
        <f aca="false">VALUE(TRIM('Raw Store Exports'!E759&amp;""))</f>
        <v>5</v>
      </c>
      <c r="H759" s="18" t="n">
        <f aca="false">INDEX('Product Master'!$D$2:$D$21,MATCH(D759,'Product Master'!$A$2:$A$21,0))</f>
        <v>45</v>
      </c>
      <c r="I759" s="14" t="n">
        <f aca="false">G759*H759</f>
        <v>225</v>
      </c>
      <c r="J759" s="0" t="str">
        <f aca="false">IF(COUNTIF($A$2:A759,A759)&gt;1,"Duplicate","")</f>
        <v/>
      </c>
    </row>
    <row r="760" customFormat="false" ht="15" hidden="false" customHeight="false" outlineLevel="0" collapsed="false">
      <c r="A760" s="0" t="str">
        <f aca="false">'Raw Store Exports'!A760</f>
        <v>TXN00356</v>
      </c>
      <c r="B760" s="17" t="n">
        <f aca="false">'Raw Store Exports'!C760</f>
        <v>46047</v>
      </c>
      <c r="C760" s="0" t="str">
        <f aca="false">INDEX('Store Mapping'!$C$2:$C$19,MATCH(TRIM('Raw Store Exports'!B760),'Store Mapping'!$A$2:$A$19,0))</f>
        <v>Northpark</v>
      </c>
      <c r="D760" s="0" t="str">
        <f aca="false">'Raw Store Exports'!D760</f>
        <v>ELE-402</v>
      </c>
      <c r="E760" s="0" t="str">
        <f aca="false">INDEX('Product Master'!$B$2:$B$21,MATCH(D760,'Product Master'!$A$2:$A$21,0))</f>
        <v>Bluetooth Speaker</v>
      </c>
      <c r="F760" s="0" t="str">
        <f aca="false">INDEX('Product Master'!$C$2:$C$21,MATCH(D760,'Product Master'!$A$2:$A$21,0))</f>
        <v>Electronics</v>
      </c>
      <c r="G760" s="15" t="n">
        <f aca="false">VALUE(TRIM('Raw Store Exports'!E760&amp;""))</f>
        <v>1</v>
      </c>
      <c r="H760" s="18" t="n">
        <f aca="false">INDEX('Product Master'!$D$2:$D$21,MATCH(D760,'Product Master'!$A$2:$A$21,0))</f>
        <v>59</v>
      </c>
      <c r="I760" s="14" t="n">
        <f aca="false">G760*H760</f>
        <v>59</v>
      </c>
      <c r="J760" s="0" t="str">
        <f aca="false">IF(COUNTIF($A$2:A760,A760)&gt;1,"Duplicate","")</f>
        <v/>
      </c>
    </row>
    <row r="761" customFormat="false" ht="15" hidden="false" customHeight="false" outlineLevel="0" collapsed="false">
      <c r="A761" s="0" t="str">
        <f aca="false">'Raw Store Exports'!A761</f>
        <v>TXN00482</v>
      </c>
      <c r="B761" s="17" t="n">
        <f aca="false">'Raw Store Exports'!C761</f>
        <v>46053</v>
      </c>
      <c r="C761" s="0" t="str">
        <f aca="false">INDEX('Store Mapping'!$C$2:$C$19,MATCH(TRIM('Raw Store Exports'!B761),'Store Mapping'!$A$2:$A$19,0))</f>
        <v>Westside Mall</v>
      </c>
      <c r="D761" s="0" t="str">
        <f aca="false">'Raw Store Exports'!D761</f>
        <v>FTW-204</v>
      </c>
      <c r="E761" s="0" t="str">
        <f aca="false">INDEX('Product Master'!$B$2:$B$21,MATCH(D761,'Product Master'!$A$2:$A$21,0))</f>
        <v>Slide Sandals</v>
      </c>
      <c r="F761" s="0" t="str">
        <f aca="false">INDEX('Product Master'!$C$2:$C$21,MATCH(D761,'Product Master'!$A$2:$A$21,0))</f>
        <v>Footwear</v>
      </c>
      <c r="G761" s="15" t="n">
        <f aca="false">VALUE(TRIM('Raw Store Exports'!E761&amp;""))</f>
        <v>3</v>
      </c>
      <c r="H761" s="18" t="n">
        <f aca="false">INDEX('Product Master'!$D$2:$D$21,MATCH(D761,'Product Master'!$A$2:$A$21,0))</f>
        <v>25</v>
      </c>
      <c r="I761" s="14" t="n">
        <f aca="false">G761*H761</f>
        <v>75</v>
      </c>
      <c r="J761" s="0" t="str">
        <f aca="false">IF(COUNTIF($A$2:A761,A761)&gt;1,"Duplicate","")</f>
        <v/>
      </c>
    </row>
    <row r="762" customFormat="false" ht="15" hidden="false" customHeight="false" outlineLevel="0" collapsed="false">
      <c r="A762" s="0" t="str">
        <f aca="false">'Raw Store Exports'!A762</f>
        <v>TXN00767</v>
      </c>
      <c r="B762" s="17" t="n">
        <f aca="false">'Raw Store Exports'!C762</f>
        <v>46066</v>
      </c>
      <c r="C762" s="0" t="str">
        <f aca="false">INDEX('Store Mapping'!$C$2:$C$19,MATCH(TRIM('Raw Store Exports'!B762),'Store Mapping'!$A$2:$A$19,0))</f>
        <v>Downtown</v>
      </c>
      <c r="D762" s="0" t="str">
        <f aca="false">'Raw Store Exports'!D762</f>
        <v>ELE-402</v>
      </c>
      <c r="E762" s="0" t="str">
        <f aca="false">INDEX('Product Master'!$B$2:$B$21,MATCH(D762,'Product Master'!$A$2:$A$21,0))</f>
        <v>Bluetooth Speaker</v>
      </c>
      <c r="F762" s="0" t="str">
        <f aca="false">INDEX('Product Master'!$C$2:$C$21,MATCH(D762,'Product Master'!$A$2:$A$21,0))</f>
        <v>Electronics</v>
      </c>
      <c r="G762" s="15" t="n">
        <f aca="false">VALUE(TRIM('Raw Store Exports'!E762&amp;""))</f>
        <v>2</v>
      </c>
      <c r="H762" s="18" t="n">
        <f aca="false">INDEX('Product Master'!$D$2:$D$21,MATCH(D762,'Product Master'!$A$2:$A$21,0))</f>
        <v>59</v>
      </c>
      <c r="I762" s="14" t="n">
        <f aca="false">G762*H762</f>
        <v>118</v>
      </c>
      <c r="J762" s="0" t="str">
        <f aca="false">IF(COUNTIF($A$2:A762,A762)&gt;1,"Duplicate","")</f>
        <v/>
      </c>
    </row>
    <row r="763" customFormat="false" ht="15" hidden="false" customHeight="false" outlineLevel="0" collapsed="false">
      <c r="A763" s="0" t="str">
        <f aca="false">'Raw Store Exports'!A763</f>
        <v>TXN00513</v>
      </c>
      <c r="B763" s="17" t="n">
        <f aca="false">'Raw Store Exports'!C763</f>
        <v>46054</v>
      </c>
      <c r="C763" s="0" t="str">
        <f aca="false">INDEX('Store Mapping'!$C$2:$C$19,MATCH(TRIM('Raw Store Exports'!B763),'Store Mapping'!$A$2:$A$19,0))</f>
        <v>Northpark</v>
      </c>
      <c r="D763" s="0" t="str">
        <f aca="false">'Raw Store Exports'!D763</f>
        <v>FTW-201</v>
      </c>
      <c r="E763" s="0" t="str">
        <f aca="false">INDEX('Product Master'!$B$2:$B$21,MATCH(D763,'Product Master'!$A$2:$A$21,0))</f>
        <v>Running Sneakers</v>
      </c>
      <c r="F763" s="0" t="str">
        <f aca="false">INDEX('Product Master'!$C$2:$C$21,MATCH(D763,'Product Master'!$A$2:$A$21,0))</f>
        <v>Footwear</v>
      </c>
      <c r="G763" s="15" t="n">
        <f aca="false">VALUE(TRIM('Raw Store Exports'!E763&amp;""))</f>
        <v>4</v>
      </c>
      <c r="H763" s="18" t="n">
        <f aca="false">INDEX('Product Master'!$D$2:$D$21,MATCH(D763,'Product Master'!$A$2:$A$21,0))</f>
        <v>89</v>
      </c>
      <c r="I763" s="14" t="n">
        <f aca="false">G763*H763</f>
        <v>356</v>
      </c>
      <c r="J763" s="0" t="str">
        <f aca="false">IF(COUNTIF($A$2:A763,A763)&gt;1,"Duplicate","")</f>
        <v/>
      </c>
    </row>
    <row r="764" customFormat="false" ht="15" hidden="false" customHeight="false" outlineLevel="0" collapsed="false">
      <c r="A764" s="0" t="str">
        <f aca="false">'Raw Store Exports'!A764</f>
        <v>TXN00233</v>
      </c>
      <c r="B764" s="17" t="n">
        <f aca="false">'Raw Store Exports'!C764</f>
        <v>46037</v>
      </c>
      <c r="C764" s="0" t="str">
        <f aca="false">INDEX('Store Mapping'!$C$2:$C$19,MATCH(TRIM('Raw Store Exports'!B764),'Store Mapping'!$A$2:$A$19,0))</f>
        <v>Riverside</v>
      </c>
      <c r="D764" s="0" t="str">
        <f aca="false">'Raw Store Exports'!D764</f>
        <v>HOM-504</v>
      </c>
      <c r="E764" s="0" t="str">
        <f aca="false">INDEX('Product Master'!$B$2:$B$21,MATCH(D764,'Product Master'!$A$2:$A$21,0))</f>
        <v>Bamboo Cutting Board</v>
      </c>
      <c r="F764" s="0" t="str">
        <f aca="false">INDEX('Product Master'!$C$2:$C$21,MATCH(D764,'Product Master'!$A$2:$A$21,0))</f>
        <v>Home Goods</v>
      </c>
      <c r="G764" s="15" t="n">
        <f aca="false">VALUE(TRIM('Raw Store Exports'!E764&amp;""))</f>
        <v>5</v>
      </c>
      <c r="H764" s="18" t="n">
        <f aca="false">INDEX('Product Master'!$D$2:$D$21,MATCH(D764,'Product Master'!$A$2:$A$21,0))</f>
        <v>27</v>
      </c>
      <c r="I764" s="14" t="n">
        <f aca="false">G764*H764</f>
        <v>135</v>
      </c>
      <c r="J764" s="0" t="str">
        <f aca="false">IF(COUNTIF($A$2:A764,A764)&gt;1,"Duplicate","")</f>
        <v/>
      </c>
    </row>
    <row r="765" customFormat="false" ht="15" hidden="false" customHeight="false" outlineLevel="0" collapsed="false">
      <c r="A765" s="0" t="str">
        <f aca="false">'Raw Store Exports'!A765</f>
        <v>TXN00073</v>
      </c>
      <c r="B765" s="17" t="n">
        <f aca="false">'Raw Store Exports'!C765</f>
        <v>46031</v>
      </c>
      <c r="C765" s="0" t="str">
        <f aca="false">INDEX('Store Mapping'!$C$2:$C$19,MATCH(TRIM('Raw Store Exports'!B765),'Store Mapping'!$A$2:$A$19,0))</f>
        <v>Eastgate</v>
      </c>
      <c r="D765" s="0" t="str">
        <f aca="false">'Raw Store Exports'!D765</f>
        <v>FTW-201</v>
      </c>
      <c r="E765" s="0" t="str">
        <f aca="false">INDEX('Product Master'!$B$2:$B$21,MATCH(D765,'Product Master'!$A$2:$A$21,0))</f>
        <v>Running Sneakers</v>
      </c>
      <c r="F765" s="0" t="str">
        <f aca="false">INDEX('Product Master'!$C$2:$C$21,MATCH(D765,'Product Master'!$A$2:$A$21,0))</f>
        <v>Footwear</v>
      </c>
      <c r="G765" s="15" t="n">
        <f aca="false">VALUE(TRIM('Raw Store Exports'!E765&amp;""))</f>
        <v>4</v>
      </c>
      <c r="H765" s="18" t="n">
        <f aca="false">INDEX('Product Master'!$D$2:$D$21,MATCH(D765,'Product Master'!$A$2:$A$21,0))</f>
        <v>89</v>
      </c>
      <c r="I765" s="14" t="n">
        <f aca="false">G765*H765</f>
        <v>356</v>
      </c>
      <c r="J765" s="0" t="str">
        <f aca="false">IF(COUNTIF($A$2:A765,A765)&gt;1,"Duplicate","")</f>
        <v/>
      </c>
    </row>
    <row r="766" customFormat="false" ht="15" hidden="false" customHeight="false" outlineLevel="0" collapsed="false">
      <c r="A766" s="0" t="str">
        <f aca="false">'Raw Store Exports'!A766</f>
        <v>TXN00733</v>
      </c>
      <c r="B766" s="17" t="n">
        <f aca="false">'Raw Store Exports'!C766</f>
        <v>46058</v>
      </c>
      <c r="C766" s="0" t="str">
        <f aca="false">INDEX('Store Mapping'!$C$2:$C$19,MATCH(TRIM('Raw Store Exports'!B766),'Store Mapping'!$A$2:$A$19,0))</f>
        <v>Airport Plaza</v>
      </c>
      <c r="D766" s="0" t="str">
        <f aca="false">'Raw Store Exports'!D766</f>
        <v>APP-102</v>
      </c>
      <c r="E766" s="0" t="str">
        <f aca="false">INDEX('Product Master'!$B$2:$B$21,MATCH(D766,'Product Master'!$A$2:$A$21,0))</f>
        <v>Cotton Crew T-Shirt</v>
      </c>
      <c r="F766" s="0" t="str">
        <f aca="false">INDEX('Product Master'!$C$2:$C$21,MATCH(D766,'Product Master'!$A$2:$A$21,0))</f>
        <v>Apparel</v>
      </c>
      <c r="G766" s="15" t="n">
        <f aca="false">VALUE(TRIM('Raw Store Exports'!E766&amp;""))</f>
        <v>4</v>
      </c>
      <c r="H766" s="18" t="n">
        <f aca="false">INDEX('Product Master'!$D$2:$D$21,MATCH(D766,'Product Master'!$A$2:$A$21,0))</f>
        <v>18</v>
      </c>
      <c r="I766" s="14" t="n">
        <f aca="false">G766*H766</f>
        <v>72</v>
      </c>
      <c r="J766" s="0" t="str">
        <f aca="false">IF(COUNTIF($A$2:A766,A766)&gt;1,"Duplicate","")</f>
        <v/>
      </c>
    </row>
    <row r="767" customFormat="false" ht="15" hidden="false" customHeight="false" outlineLevel="0" collapsed="false">
      <c r="A767" s="0" t="str">
        <f aca="false">'Raw Store Exports'!A767</f>
        <v>TXN00406</v>
      </c>
      <c r="B767" s="17" t="n">
        <f aca="false">'Raw Store Exports'!C767</f>
        <v>46044</v>
      </c>
      <c r="C767" s="0" t="str">
        <f aca="false">INDEX('Store Mapping'!$C$2:$C$19,MATCH(TRIM('Raw Store Exports'!B767),'Store Mapping'!$A$2:$A$19,0))</f>
        <v>Airport Plaza</v>
      </c>
      <c r="D767" s="0" t="str">
        <f aca="false">'Raw Store Exports'!D767</f>
        <v>ELE-402</v>
      </c>
      <c r="E767" s="0" t="str">
        <f aca="false">INDEX('Product Master'!$B$2:$B$21,MATCH(D767,'Product Master'!$A$2:$A$21,0))</f>
        <v>Bluetooth Speaker</v>
      </c>
      <c r="F767" s="0" t="str">
        <f aca="false">INDEX('Product Master'!$C$2:$C$21,MATCH(D767,'Product Master'!$A$2:$A$21,0))</f>
        <v>Electronics</v>
      </c>
      <c r="G767" s="15" t="n">
        <f aca="false">VALUE(TRIM('Raw Store Exports'!E767&amp;""))</f>
        <v>3</v>
      </c>
      <c r="H767" s="18" t="n">
        <f aca="false">INDEX('Product Master'!$D$2:$D$21,MATCH(D767,'Product Master'!$A$2:$A$21,0))</f>
        <v>59</v>
      </c>
      <c r="I767" s="14" t="n">
        <f aca="false">G767*H767</f>
        <v>177</v>
      </c>
      <c r="J767" s="0" t="str">
        <f aca="false">IF(COUNTIF($A$2:A767,A767)&gt;1,"Duplicate","")</f>
        <v/>
      </c>
    </row>
    <row r="768" customFormat="false" ht="15" hidden="false" customHeight="false" outlineLevel="0" collapsed="false">
      <c r="A768" s="0" t="str">
        <f aca="false">'Raw Store Exports'!A768</f>
        <v>TXN00319</v>
      </c>
      <c r="B768" s="17" t="n">
        <f aca="false">'Raw Store Exports'!C768</f>
        <v>46043</v>
      </c>
      <c r="C768" s="0" t="str">
        <f aca="false">INDEX('Store Mapping'!$C$2:$C$19,MATCH(TRIM('Raw Store Exports'!B768),'Store Mapping'!$A$2:$A$19,0))</f>
        <v>Westside Mall</v>
      </c>
      <c r="D768" s="0" t="str">
        <f aca="false">'Raw Store Exports'!D768</f>
        <v>ELE-403</v>
      </c>
      <c r="E768" s="0" t="str">
        <f aca="false">INDEX('Product Master'!$B$2:$B$21,MATCH(D768,'Product Master'!$A$2:$A$21,0))</f>
        <v>Fitness Tracker Band</v>
      </c>
      <c r="F768" s="0" t="str">
        <f aca="false">INDEX('Product Master'!$C$2:$C$21,MATCH(D768,'Product Master'!$A$2:$A$21,0))</f>
        <v>Electronics</v>
      </c>
      <c r="G768" s="15" t="n">
        <f aca="false">VALUE(TRIM('Raw Store Exports'!E768&amp;""))</f>
        <v>6</v>
      </c>
      <c r="H768" s="18" t="n">
        <f aca="false">INDEX('Product Master'!$D$2:$D$21,MATCH(D768,'Product Master'!$A$2:$A$21,0))</f>
        <v>99</v>
      </c>
      <c r="I768" s="14" t="n">
        <f aca="false">G768*H768</f>
        <v>594</v>
      </c>
      <c r="J768" s="0" t="str">
        <f aca="false">IF(COUNTIF($A$2:A768,A768)&gt;1,"Duplicate","")</f>
        <v/>
      </c>
    </row>
    <row r="769" customFormat="false" ht="15" hidden="false" customHeight="false" outlineLevel="0" collapsed="false">
      <c r="A769" s="0" t="str">
        <f aca="false">'Raw Store Exports'!A769</f>
        <v>TXN00276</v>
      </c>
      <c r="B769" s="17" t="n">
        <f aca="false">'Raw Store Exports'!C769</f>
        <v>46045</v>
      </c>
      <c r="C769" s="0" t="str">
        <f aca="false">INDEX('Store Mapping'!$C$2:$C$19,MATCH(TRIM('Raw Store Exports'!B769),'Store Mapping'!$A$2:$A$19,0))</f>
        <v>Downtown</v>
      </c>
      <c r="D769" s="0" t="str">
        <f aca="false">'Raw Store Exports'!D769</f>
        <v>FTW-201</v>
      </c>
      <c r="E769" s="0" t="str">
        <f aca="false">INDEX('Product Master'!$B$2:$B$21,MATCH(D769,'Product Master'!$A$2:$A$21,0))</f>
        <v>Running Sneakers</v>
      </c>
      <c r="F769" s="0" t="str">
        <f aca="false">INDEX('Product Master'!$C$2:$C$21,MATCH(D769,'Product Master'!$A$2:$A$21,0))</f>
        <v>Footwear</v>
      </c>
      <c r="G769" s="15" t="n">
        <f aca="false">VALUE(TRIM('Raw Store Exports'!E769&amp;""))</f>
        <v>5</v>
      </c>
      <c r="H769" s="18" t="n">
        <f aca="false">INDEX('Product Master'!$D$2:$D$21,MATCH(D769,'Product Master'!$A$2:$A$21,0))</f>
        <v>89</v>
      </c>
      <c r="I769" s="14" t="n">
        <f aca="false">G769*H769</f>
        <v>445</v>
      </c>
      <c r="J769" s="0" t="str">
        <f aca="false">IF(COUNTIF($A$2:A769,A769)&gt;1,"Duplicate","")</f>
        <v/>
      </c>
    </row>
    <row r="770" customFormat="false" ht="15" hidden="false" customHeight="false" outlineLevel="0" collapsed="false">
      <c r="A770" s="0" t="str">
        <f aca="false">'Raw Store Exports'!A770</f>
        <v>TXN00473</v>
      </c>
      <c r="B770" s="17" t="n">
        <f aca="false">'Raw Store Exports'!C770</f>
        <v>46054</v>
      </c>
      <c r="C770" s="0" t="str">
        <f aca="false">INDEX('Store Mapping'!$C$2:$C$19,MATCH(TRIM('Raw Store Exports'!B770),'Store Mapping'!$A$2:$A$19,0))</f>
        <v>Westside Mall</v>
      </c>
      <c r="D770" s="0" t="str">
        <f aca="false">'Raw Store Exports'!D770</f>
        <v>ELE-404</v>
      </c>
      <c r="E770" s="0" t="str">
        <f aca="false">INDEX('Product Master'!$B$2:$B$21,MATCH(D770,'Product Master'!$A$2:$A$21,0))</f>
        <v>Phone Charging Cable</v>
      </c>
      <c r="F770" s="0" t="str">
        <f aca="false">INDEX('Product Master'!$C$2:$C$21,MATCH(D770,'Product Master'!$A$2:$A$21,0))</f>
        <v>Electronics</v>
      </c>
      <c r="G770" s="15" t="n">
        <f aca="false">VALUE(TRIM('Raw Store Exports'!E770&amp;""))</f>
        <v>2</v>
      </c>
      <c r="H770" s="18" t="n">
        <f aca="false">INDEX('Product Master'!$D$2:$D$21,MATCH(D770,'Product Master'!$A$2:$A$21,0))</f>
        <v>12</v>
      </c>
      <c r="I770" s="14" t="n">
        <f aca="false">G770*H770</f>
        <v>24</v>
      </c>
      <c r="J770" s="0" t="str">
        <f aca="false">IF(COUNTIF($A$2:A770,A770)&gt;1,"Duplicate","")</f>
        <v/>
      </c>
    </row>
    <row r="771" customFormat="false" ht="15" hidden="false" customHeight="false" outlineLevel="0" collapsed="false">
      <c r="A771" s="0" t="str">
        <f aca="false">'Raw Store Exports'!A771</f>
        <v>TXN00072</v>
      </c>
      <c r="B771" s="17" t="n">
        <f aca="false">'Raw Store Exports'!C771</f>
        <v>46028</v>
      </c>
      <c r="C771" s="0" t="str">
        <f aca="false">INDEX('Store Mapping'!$C$2:$C$19,MATCH(TRIM('Raw Store Exports'!B771),'Store Mapping'!$A$2:$A$19,0))</f>
        <v>Eastgate</v>
      </c>
      <c r="D771" s="0" t="str">
        <f aca="false">'Raw Store Exports'!D771</f>
        <v>APP-103</v>
      </c>
      <c r="E771" s="0" t="str">
        <f aca="false">INDEX('Product Master'!$B$2:$B$21,MATCH(D771,'Product Master'!$A$2:$A$21,0))</f>
        <v>Fleece Pullover Hoodie</v>
      </c>
      <c r="F771" s="0" t="str">
        <f aca="false">INDEX('Product Master'!$C$2:$C$21,MATCH(D771,'Product Master'!$A$2:$A$21,0))</f>
        <v>Apparel</v>
      </c>
      <c r="G771" s="15" t="n">
        <f aca="false">VALUE(TRIM('Raw Store Exports'!E771&amp;""))</f>
        <v>3</v>
      </c>
      <c r="H771" s="18" t="n">
        <f aca="false">INDEX('Product Master'!$D$2:$D$21,MATCH(D771,'Product Master'!$A$2:$A$21,0))</f>
        <v>45</v>
      </c>
      <c r="I771" s="14" t="n">
        <f aca="false">G771*H771</f>
        <v>135</v>
      </c>
      <c r="J771" s="0" t="str">
        <f aca="false">IF(COUNTIF($A$2:A771,A771)&gt;1,"Duplicate","")</f>
        <v/>
      </c>
    </row>
    <row r="772" customFormat="false" ht="15" hidden="false" customHeight="false" outlineLevel="0" collapsed="false">
      <c r="A772" s="0" t="str">
        <f aca="false">'Raw Store Exports'!A772</f>
        <v>TXN01184</v>
      </c>
      <c r="B772" s="17" t="n">
        <f aca="false">'Raw Store Exports'!C772</f>
        <v>46076</v>
      </c>
      <c r="C772" s="0" t="str">
        <f aca="false">INDEX('Store Mapping'!$C$2:$C$19,MATCH(TRIM('Raw Store Exports'!B772),'Store Mapping'!$A$2:$A$19,0))</f>
        <v>Airport Plaza</v>
      </c>
      <c r="D772" s="0" t="str">
        <f aca="false">'Raw Store Exports'!D772</f>
        <v>ACC-303</v>
      </c>
      <c r="E772" s="0" t="str">
        <f aca="false">INDEX('Product Master'!$B$2:$B$21,MATCH(D772,'Product Master'!$A$2:$A$21,0))</f>
        <v>Canvas Tote Bag</v>
      </c>
      <c r="F772" s="0" t="str">
        <f aca="false">INDEX('Product Master'!$C$2:$C$21,MATCH(D772,'Product Master'!$A$2:$A$21,0))</f>
        <v>Accessories</v>
      </c>
      <c r="G772" s="15" t="n">
        <f aca="false">VALUE(TRIM('Raw Store Exports'!E772&amp;""))</f>
        <v>5</v>
      </c>
      <c r="H772" s="18" t="n">
        <f aca="false">INDEX('Product Master'!$D$2:$D$21,MATCH(D772,'Product Master'!$A$2:$A$21,0))</f>
        <v>24</v>
      </c>
      <c r="I772" s="14" t="n">
        <f aca="false">G772*H772</f>
        <v>120</v>
      </c>
      <c r="J772" s="0" t="str">
        <f aca="false">IF(COUNTIF($A$2:A772,A772)&gt;1,"Duplicate","")</f>
        <v/>
      </c>
    </row>
    <row r="773" customFormat="false" ht="15" hidden="false" customHeight="false" outlineLevel="0" collapsed="false">
      <c r="A773" s="0" t="str">
        <f aca="false">'Raw Store Exports'!A773</f>
        <v>TXN00103</v>
      </c>
      <c r="B773" s="17" t="n">
        <f aca="false">'Raw Store Exports'!C773</f>
        <v>46030</v>
      </c>
      <c r="C773" s="0" t="str">
        <f aca="false">INDEX('Store Mapping'!$C$2:$C$19,MATCH(TRIM('Raw Store Exports'!B773),'Store Mapping'!$A$2:$A$19,0))</f>
        <v>Riverside</v>
      </c>
      <c r="D773" s="0" t="str">
        <f aca="false">'Raw Store Exports'!D773</f>
        <v>HOM-502</v>
      </c>
      <c r="E773" s="0" t="str">
        <f aca="false">INDEX('Product Master'!$B$2:$B$21,MATCH(D773,'Product Master'!$A$2:$A$21,0))</f>
        <v>Scented Candle</v>
      </c>
      <c r="F773" s="0" t="str">
        <f aca="false">INDEX('Product Master'!$C$2:$C$21,MATCH(D773,'Product Master'!$A$2:$A$21,0))</f>
        <v>Home Goods</v>
      </c>
      <c r="G773" s="15" t="n">
        <f aca="false">VALUE(TRIM('Raw Store Exports'!E773&amp;""))</f>
        <v>2</v>
      </c>
      <c r="H773" s="18" t="n">
        <f aca="false">INDEX('Product Master'!$D$2:$D$21,MATCH(D773,'Product Master'!$A$2:$A$21,0))</f>
        <v>15</v>
      </c>
      <c r="I773" s="14" t="n">
        <f aca="false">G773*H773</f>
        <v>30</v>
      </c>
      <c r="J773" s="0" t="str">
        <f aca="false">IF(COUNTIF($A$2:A773,A773)&gt;1,"Duplicate","")</f>
        <v/>
      </c>
    </row>
    <row r="774" customFormat="false" ht="15" hidden="false" customHeight="false" outlineLevel="0" collapsed="false">
      <c r="A774" s="0" t="str">
        <f aca="false">'Raw Store Exports'!A774</f>
        <v>TXN00099</v>
      </c>
      <c r="B774" s="17" t="n">
        <f aca="false">'Raw Store Exports'!C774</f>
        <v>46030</v>
      </c>
      <c r="C774" s="0" t="str">
        <f aca="false">INDEX('Store Mapping'!$C$2:$C$19,MATCH(TRIM('Raw Store Exports'!B774),'Store Mapping'!$A$2:$A$19,0))</f>
        <v>Riverside</v>
      </c>
      <c r="D774" s="0" t="str">
        <f aca="false">'Raw Store Exports'!D774</f>
        <v>ACC-301</v>
      </c>
      <c r="E774" s="0" t="str">
        <f aca="false">INDEX('Product Master'!$B$2:$B$21,MATCH(D774,'Product Master'!$A$2:$A$21,0))</f>
        <v>Leather Belt</v>
      </c>
      <c r="F774" s="0" t="str">
        <f aca="false">INDEX('Product Master'!$C$2:$C$21,MATCH(D774,'Product Master'!$A$2:$A$21,0))</f>
        <v>Accessories</v>
      </c>
      <c r="G774" s="15" t="n">
        <f aca="false">VALUE(TRIM('Raw Store Exports'!E774&amp;""))</f>
        <v>4</v>
      </c>
      <c r="H774" s="18" t="n">
        <f aca="false">INDEX('Product Master'!$D$2:$D$21,MATCH(D774,'Product Master'!$A$2:$A$21,0))</f>
        <v>30</v>
      </c>
      <c r="I774" s="14" t="n">
        <f aca="false">G774*H774</f>
        <v>120</v>
      </c>
      <c r="J774" s="0" t="str">
        <f aca="false">IF(COUNTIF($A$2:A774,A774)&gt;1,"Duplicate","")</f>
        <v/>
      </c>
    </row>
    <row r="775" customFormat="false" ht="15" hidden="false" customHeight="false" outlineLevel="0" collapsed="false">
      <c r="A775" s="0" t="str">
        <f aca="false">'Raw Store Exports'!A775</f>
        <v>TXN00269</v>
      </c>
      <c r="B775" s="17" t="n">
        <f aca="false">'Raw Store Exports'!C775</f>
        <v>46036</v>
      </c>
      <c r="C775" s="0" t="str">
        <f aca="false">INDEX('Store Mapping'!$C$2:$C$19,MATCH(TRIM('Raw Store Exports'!B775),'Store Mapping'!$A$2:$A$19,0))</f>
        <v>Airport Plaza</v>
      </c>
      <c r="D775" s="0" t="str">
        <f aca="false">'Raw Store Exports'!D775</f>
        <v>FTW-201</v>
      </c>
      <c r="E775" s="0" t="str">
        <f aca="false">INDEX('Product Master'!$B$2:$B$21,MATCH(D775,'Product Master'!$A$2:$A$21,0))</f>
        <v>Running Sneakers</v>
      </c>
      <c r="F775" s="0" t="str">
        <f aca="false">INDEX('Product Master'!$C$2:$C$21,MATCH(D775,'Product Master'!$A$2:$A$21,0))</f>
        <v>Footwear</v>
      </c>
      <c r="G775" s="15" t="n">
        <f aca="false">VALUE(TRIM('Raw Store Exports'!E775&amp;""))</f>
        <v>6</v>
      </c>
      <c r="H775" s="18" t="n">
        <f aca="false">INDEX('Product Master'!$D$2:$D$21,MATCH(D775,'Product Master'!$A$2:$A$21,0))</f>
        <v>89</v>
      </c>
      <c r="I775" s="14" t="n">
        <f aca="false">G775*H775</f>
        <v>534</v>
      </c>
      <c r="J775" s="0" t="str">
        <f aca="false">IF(COUNTIF($A$2:A775,A775)&gt;1,"Duplicate","")</f>
        <v/>
      </c>
    </row>
    <row r="776" customFormat="false" ht="15" hidden="false" customHeight="false" outlineLevel="0" collapsed="false">
      <c r="A776" s="0" t="str">
        <f aca="false">'Raw Store Exports'!A776</f>
        <v>TXN00436</v>
      </c>
      <c r="B776" s="17" t="n">
        <f aca="false">'Raw Store Exports'!C776</f>
        <v>46049</v>
      </c>
      <c r="C776" s="0" t="str">
        <f aca="false">INDEX('Store Mapping'!$C$2:$C$19,MATCH(TRIM('Raw Store Exports'!B776),'Store Mapping'!$A$2:$A$19,0))</f>
        <v>Downtown</v>
      </c>
      <c r="D776" s="0" t="str">
        <f aca="false">'Raw Store Exports'!D776</f>
        <v>FTW-202</v>
      </c>
      <c r="E776" s="0" t="str">
        <f aca="false">INDEX('Product Master'!$B$2:$B$21,MATCH(D776,'Product Master'!$A$2:$A$21,0))</f>
        <v>Canvas Low-Top</v>
      </c>
      <c r="F776" s="0" t="str">
        <f aca="false">INDEX('Product Master'!$C$2:$C$21,MATCH(D776,'Product Master'!$A$2:$A$21,0))</f>
        <v>Footwear</v>
      </c>
      <c r="G776" s="15" t="n">
        <f aca="false">VALUE(TRIM('Raw Store Exports'!E776&amp;""))</f>
        <v>5</v>
      </c>
      <c r="H776" s="18" t="n">
        <f aca="false">INDEX('Product Master'!$D$2:$D$21,MATCH(D776,'Product Master'!$A$2:$A$21,0))</f>
        <v>55</v>
      </c>
      <c r="I776" s="14" t="n">
        <f aca="false">G776*H776</f>
        <v>275</v>
      </c>
      <c r="J776" s="0" t="str">
        <f aca="false">IF(COUNTIF($A$2:A776,A776)&gt;1,"Duplicate","")</f>
        <v/>
      </c>
    </row>
    <row r="777" customFormat="false" ht="15" hidden="false" customHeight="false" outlineLevel="0" collapsed="false">
      <c r="A777" s="0" t="str">
        <f aca="false">'Raw Store Exports'!A777</f>
        <v>TXN00453</v>
      </c>
      <c r="B777" s="17" t="n">
        <f aca="false">'Raw Store Exports'!C777</f>
        <v>46053</v>
      </c>
      <c r="C777" s="0" t="str">
        <f aca="false">INDEX('Store Mapping'!$C$2:$C$19,MATCH(TRIM('Raw Store Exports'!B777),'Store Mapping'!$A$2:$A$19,0))</f>
        <v>Downtown</v>
      </c>
      <c r="D777" s="0" t="str">
        <f aca="false">'Raw Store Exports'!D777</f>
        <v>APP-103</v>
      </c>
      <c r="E777" s="0" t="str">
        <f aca="false">INDEX('Product Master'!$B$2:$B$21,MATCH(D777,'Product Master'!$A$2:$A$21,0))</f>
        <v>Fleece Pullover Hoodie</v>
      </c>
      <c r="F777" s="0" t="str">
        <f aca="false">INDEX('Product Master'!$C$2:$C$21,MATCH(D777,'Product Master'!$A$2:$A$21,0))</f>
        <v>Apparel</v>
      </c>
      <c r="G777" s="15" t="n">
        <f aca="false">VALUE(TRIM('Raw Store Exports'!E777&amp;""))</f>
        <v>5</v>
      </c>
      <c r="H777" s="18" t="n">
        <f aca="false">INDEX('Product Master'!$D$2:$D$21,MATCH(D777,'Product Master'!$A$2:$A$21,0))</f>
        <v>45</v>
      </c>
      <c r="I777" s="14" t="n">
        <f aca="false">G777*H777</f>
        <v>225</v>
      </c>
      <c r="J777" s="0" t="str">
        <f aca="false">IF(COUNTIF($A$2:A777,A777)&gt;1,"Duplicate","")</f>
        <v/>
      </c>
    </row>
    <row r="778" customFormat="false" ht="15" hidden="false" customHeight="false" outlineLevel="0" collapsed="false">
      <c r="A778" s="0" t="str">
        <f aca="false">'Raw Store Exports'!A778</f>
        <v>TXN01027</v>
      </c>
      <c r="B778" s="17" t="n">
        <f aca="false">'Raw Store Exports'!C778</f>
        <v>46071</v>
      </c>
      <c r="C778" s="0" t="str">
        <f aca="false">INDEX('Store Mapping'!$C$2:$C$19,MATCH(TRIM('Raw Store Exports'!B778),'Store Mapping'!$A$2:$A$19,0))</f>
        <v>Airport Plaza</v>
      </c>
      <c r="D778" s="0" t="str">
        <f aca="false">'Raw Store Exports'!D778</f>
        <v>HOM-504</v>
      </c>
      <c r="E778" s="0" t="str">
        <f aca="false">INDEX('Product Master'!$B$2:$B$21,MATCH(D778,'Product Master'!$A$2:$A$21,0))</f>
        <v>Bamboo Cutting Board</v>
      </c>
      <c r="F778" s="0" t="str">
        <f aca="false">INDEX('Product Master'!$C$2:$C$21,MATCH(D778,'Product Master'!$A$2:$A$21,0))</f>
        <v>Home Goods</v>
      </c>
      <c r="G778" s="15" t="n">
        <f aca="false">VALUE(TRIM('Raw Store Exports'!E778&amp;""))</f>
        <v>3</v>
      </c>
      <c r="H778" s="18" t="n">
        <f aca="false">INDEX('Product Master'!$D$2:$D$21,MATCH(D778,'Product Master'!$A$2:$A$21,0))</f>
        <v>27</v>
      </c>
      <c r="I778" s="14" t="n">
        <f aca="false">G778*H778</f>
        <v>81</v>
      </c>
      <c r="J778" s="0" t="str">
        <f aca="false">IF(COUNTIF($A$2:A778,A778)&gt;1,"Duplicate","")</f>
        <v/>
      </c>
    </row>
    <row r="779" customFormat="false" ht="15" hidden="false" customHeight="false" outlineLevel="0" collapsed="false">
      <c r="A779" s="0" t="str">
        <f aca="false">'Raw Store Exports'!A779</f>
        <v>TXN01094</v>
      </c>
      <c r="B779" s="17" t="n">
        <f aca="false">'Raw Store Exports'!C779</f>
        <v>46080</v>
      </c>
      <c r="C779" s="0" t="str">
        <f aca="false">INDEX('Store Mapping'!$C$2:$C$19,MATCH(TRIM('Raw Store Exports'!B779),'Store Mapping'!$A$2:$A$19,0))</f>
        <v>Westside Mall</v>
      </c>
      <c r="D779" s="0" t="str">
        <f aca="false">'Raw Store Exports'!D779</f>
        <v>ACC-304</v>
      </c>
      <c r="E779" s="0" t="str">
        <f aca="false">INDEX('Product Master'!$B$2:$B$21,MATCH(D779,'Product Master'!$A$2:$A$21,0))</f>
        <v>Wool Beanie</v>
      </c>
      <c r="F779" s="0" t="str">
        <f aca="false">INDEX('Product Master'!$C$2:$C$21,MATCH(D779,'Product Master'!$A$2:$A$21,0))</f>
        <v>Accessories</v>
      </c>
      <c r="G779" s="15" t="n">
        <f aca="false">VALUE(TRIM('Raw Store Exports'!E779&amp;""))</f>
        <v>5</v>
      </c>
      <c r="H779" s="18" t="n">
        <f aca="false">INDEX('Product Master'!$D$2:$D$21,MATCH(D779,'Product Master'!$A$2:$A$21,0))</f>
        <v>16</v>
      </c>
      <c r="I779" s="14" t="n">
        <f aca="false">G779*H779</f>
        <v>80</v>
      </c>
      <c r="J779" s="0" t="str">
        <f aca="false">IF(COUNTIF($A$2:A779,A779)&gt;1,"Duplicate","")</f>
        <v/>
      </c>
    </row>
    <row r="780" customFormat="false" ht="15" hidden="false" customHeight="false" outlineLevel="0" collapsed="false">
      <c r="A780" s="0" t="str">
        <f aca="false">'Raw Store Exports'!A780</f>
        <v>TXN00943</v>
      </c>
      <c r="B780" s="17" t="n">
        <f aca="false">'Raw Store Exports'!C780</f>
        <v>46072</v>
      </c>
      <c r="C780" s="0" t="str">
        <f aca="false">INDEX('Store Mapping'!$C$2:$C$19,MATCH(TRIM('Raw Store Exports'!B780),'Store Mapping'!$A$2:$A$19,0))</f>
        <v>Westside Mall</v>
      </c>
      <c r="D780" s="0" t="str">
        <f aca="false">'Raw Store Exports'!D780</f>
        <v>APP-102</v>
      </c>
      <c r="E780" s="0" t="str">
        <f aca="false">INDEX('Product Master'!$B$2:$B$21,MATCH(D780,'Product Master'!$A$2:$A$21,0))</f>
        <v>Cotton Crew T-Shirt</v>
      </c>
      <c r="F780" s="0" t="str">
        <f aca="false">INDEX('Product Master'!$C$2:$C$21,MATCH(D780,'Product Master'!$A$2:$A$21,0))</f>
        <v>Apparel</v>
      </c>
      <c r="G780" s="15" t="n">
        <f aca="false">VALUE(TRIM('Raw Store Exports'!E780&amp;""))</f>
        <v>1</v>
      </c>
      <c r="H780" s="18" t="n">
        <f aca="false">INDEX('Product Master'!$D$2:$D$21,MATCH(D780,'Product Master'!$A$2:$A$21,0))</f>
        <v>18</v>
      </c>
      <c r="I780" s="14" t="n">
        <f aca="false">G780*H780</f>
        <v>18</v>
      </c>
      <c r="J780" s="0" t="str">
        <f aca="false">IF(COUNTIF($A$2:A780,A780)&gt;1,"Duplicate","")</f>
        <v/>
      </c>
    </row>
    <row r="781" customFormat="false" ht="15" hidden="false" customHeight="false" outlineLevel="0" collapsed="false">
      <c r="A781" s="0" t="str">
        <f aca="false">'Raw Store Exports'!A781</f>
        <v>TXN00122</v>
      </c>
      <c r="B781" s="17" t="n">
        <f aca="false">'Raw Store Exports'!C781</f>
        <v>46030</v>
      </c>
      <c r="C781" s="0" t="str">
        <f aca="false">INDEX('Store Mapping'!$C$2:$C$19,MATCH(TRIM('Raw Store Exports'!B781),'Store Mapping'!$A$2:$A$19,0))</f>
        <v>Airport Plaza</v>
      </c>
      <c r="D781" s="0" t="str">
        <f aca="false">'Raw Store Exports'!D781</f>
        <v>APP-104</v>
      </c>
      <c r="E781" s="0" t="str">
        <f aca="false">INDEX('Product Master'!$B$2:$B$21,MATCH(D781,'Product Master'!$A$2:$A$21,0))</f>
        <v>Slim Fit Chinos</v>
      </c>
      <c r="F781" s="0" t="str">
        <f aca="false">INDEX('Product Master'!$C$2:$C$21,MATCH(D781,'Product Master'!$A$2:$A$21,0))</f>
        <v>Apparel</v>
      </c>
      <c r="G781" s="15" t="n">
        <f aca="false">VALUE(TRIM('Raw Store Exports'!E781&amp;""))</f>
        <v>6</v>
      </c>
      <c r="H781" s="18" t="n">
        <f aca="false">INDEX('Product Master'!$D$2:$D$21,MATCH(D781,'Product Master'!$A$2:$A$21,0))</f>
        <v>52</v>
      </c>
      <c r="I781" s="14" t="n">
        <f aca="false">G781*H781</f>
        <v>312</v>
      </c>
      <c r="J781" s="0" t="str">
        <f aca="false">IF(COUNTIF($A$2:A781,A781)&gt;1,"Duplicate","")</f>
        <v/>
      </c>
    </row>
    <row r="782" customFormat="false" ht="15" hidden="false" customHeight="false" outlineLevel="0" collapsed="false">
      <c r="A782" s="0" t="str">
        <f aca="false">'Raw Store Exports'!A782</f>
        <v>TXN00701</v>
      </c>
      <c r="B782" s="17" t="n">
        <f aca="false">'Raw Store Exports'!C782</f>
        <v>46056</v>
      </c>
      <c r="C782" s="0" t="str">
        <f aca="false">INDEX('Store Mapping'!$C$2:$C$19,MATCH(TRIM('Raw Store Exports'!B782),'Store Mapping'!$A$2:$A$19,0))</f>
        <v>Riverside</v>
      </c>
      <c r="D782" s="0" t="str">
        <f aca="false">'Raw Store Exports'!D782</f>
        <v>ELE-403</v>
      </c>
      <c r="E782" s="0" t="str">
        <f aca="false">INDEX('Product Master'!$B$2:$B$21,MATCH(D782,'Product Master'!$A$2:$A$21,0))</f>
        <v>Fitness Tracker Band</v>
      </c>
      <c r="F782" s="0" t="str">
        <f aca="false">INDEX('Product Master'!$C$2:$C$21,MATCH(D782,'Product Master'!$A$2:$A$21,0))</f>
        <v>Electronics</v>
      </c>
      <c r="G782" s="15" t="n">
        <f aca="false">VALUE(TRIM('Raw Store Exports'!E782&amp;""))</f>
        <v>6</v>
      </c>
      <c r="H782" s="18" t="n">
        <f aca="false">INDEX('Product Master'!$D$2:$D$21,MATCH(D782,'Product Master'!$A$2:$A$21,0))</f>
        <v>99</v>
      </c>
      <c r="I782" s="14" t="n">
        <f aca="false">G782*H782</f>
        <v>594</v>
      </c>
      <c r="J782" s="0" t="str">
        <f aca="false">IF(COUNTIF($A$2:A782,A782)&gt;1,"Duplicate","")</f>
        <v/>
      </c>
    </row>
    <row r="783" customFormat="false" ht="15" hidden="false" customHeight="false" outlineLevel="0" collapsed="false">
      <c r="A783" s="0" t="str">
        <f aca="false">'Raw Store Exports'!A783</f>
        <v>TXN00759</v>
      </c>
      <c r="B783" s="17" t="n">
        <f aca="false">'Raw Store Exports'!C783</f>
        <v>46068</v>
      </c>
      <c r="C783" s="0" t="str">
        <f aca="false">INDEX('Store Mapping'!$C$2:$C$19,MATCH(TRIM('Raw Store Exports'!B783),'Store Mapping'!$A$2:$A$19,0))</f>
        <v>Downtown</v>
      </c>
      <c r="D783" s="0" t="str">
        <f aca="false">'Raw Store Exports'!D783</f>
        <v>FTW-202</v>
      </c>
      <c r="E783" s="0" t="str">
        <f aca="false">INDEX('Product Master'!$B$2:$B$21,MATCH(D783,'Product Master'!$A$2:$A$21,0))</f>
        <v>Canvas Low-Top</v>
      </c>
      <c r="F783" s="0" t="str">
        <f aca="false">INDEX('Product Master'!$C$2:$C$21,MATCH(D783,'Product Master'!$A$2:$A$21,0))</f>
        <v>Footwear</v>
      </c>
      <c r="G783" s="15" t="n">
        <f aca="false">VALUE(TRIM('Raw Store Exports'!E783&amp;""))</f>
        <v>4</v>
      </c>
      <c r="H783" s="18" t="n">
        <f aca="false">INDEX('Product Master'!$D$2:$D$21,MATCH(D783,'Product Master'!$A$2:$A$21,0))</f>
        <v>55</v>
      </c>
      <c r="I783" s="14" t="n">
        <f aca="false">G783*H783</f>
        <v>220</v>
      </c>
      <c r="J783" s="0" t="str">
        <f aca="false">IF(COUNTIF($A$2:A783,A783)&gt;1,"Duplicate","")</f>
        <v/>
      </c>
    </row>
    <row r="784" customFormat="false" ht="15" hidden="false" customHeight="false" outlineLevel="0" collapsed="false">
      <c r="A784" s="0" t="str">
        <f aca="false">'Raw Store Exports'!A784</f>
        <v>TXN01194</v>
      </c>
      <c r="B784" s="17" t="n">
        <f aca="false">'Raw Store Exports'!C784</f>
        <v>46076</v>
      </c>
      <c r="C784" s="0" t="str">
        <f aca="false">INDEX('Store Mapping'!$C$2:$C$19,MATCH(TRIM('Raw Store Exports'!B784),'Store Mapping'!$A$2:$A$19,0))</f>
        <v>Airport Plaza</v>
      </c>
      <c r="D784" s="0" t="str">
        <f aca="false">'Raw Store Exports'!D784</f>
        <v>HOM-504</v>
      </c>
      <c r="E784" s="0" t="str">
        <f aca="false">INDEX('Product Master'!$B$2:$B$21,MATCH(D784,'Product Master'!$A$2:$A$21,0))</f>
        <v>Bamboo Cutting Board</v>
      </c>
      <c r="F784" s="0" t="str">
        <f aca="false">INDEX('Product Master'!$C$2:$C$21,MATCH(D784,'Product Master'!$A$2:$A$21,0))</f>
        <v>Home Goods</v>
      </c>
      <c r="G784" s="15" t="n">
        <f aca="false">VALUE(TRIM('Raw Store Exports'!E784&amp;""))</f>
        <v>4</v>
      </c>
      <c r="H784" s="18" t="n">
        <f aca="false">INDEX('Product Master'!$D$2:$D$21,MATCH(D784,'Product Master'!$A$2:$A$21,0))</f>
        <v>27</v>
      </c>
      <c r="I784" s="14" t="n">
        <f aca="false">G784*H784</f>
        <v>108</v>
      </c>
      <c r="J784" s="0" t="str">
        <f aca="false">IF(COUNTIF($A$2:A784,A784)&gt;1,"Duplicate","")</f>
        <v/>
      </c>
    </row>
    <row r="785" customFormat="false" ht="15" hidden="false" customHeight="false" outlineLevel="0" collapsed="false">
      <c r="A785" s="0" t="str">
        <f aca="false">'Raw Store Exports'!A785</f>
        <v>TXN00256</v>
      </c>
      <c r="B785" s="17" t="n">
        <f aca="false">'Raw Store Exports'!C785</f>
        <v>46037</v>
      </c>
      <c r="C785" s="0" t="str">
        <f aca="false">INDEX('Store Mapping'!$C$2:$C$19,MATCH(TRIM('Raw Store Exports'!B785),'Store Mapping'!$A$2:$A$19,0))</f>
        <v>Airport Plaza</v>
      </c>
      <c r="D785" s="0" t="str">
        <f aca="false">'Raw Store Exports'!D785</f>
        <v>FTW-202</v>
      </c>
      <c r="E785" s="0" t="str">
        <f aca="false">INDEX('Product Master'!$B$2:$B$21,MATCH(D785,'Product Master'!$A$2:$A$21,0))</f>
        <v>Canvas Low-Top</v>
      </c>
      <c r="F785" s="0" t="str">
        <f aca="false">INDEX('Product Master'!$C$2:$C$21,MATCH(D785,'Product Master'!$A$2:$A$21,0))</f>
        <v>Footwear</v>
      </c>
      <c r="G785" s="15" t="n">
        <f aca="false">VALUE(TRIM('Raw Store Exports'!E785&amp;""))</f>
        <v>1</v>
      </c>
      <c r="H785" s="18" t="n">
        <f aca="false">INDEX('Product Master'!$D$2:$D$21,MATCH(D785,'Product Master'!$A$2:$A$21,0))</f>
        <v>55</v>
      </c>
      <c r="I785" s="14" t="n">
        <f aca="false">G785*H785</f>
        <v>55</v>
      </c>
      <c r="J785" s="0" t="str">
        <f aca="false">IF(COUNTIF($A$2:A785,A785)&gt;1,"Duplicate","")</f>
        <v/>
      </c>
    </row>
    <row r="786" customFormat="false" ht="15" hidden="false" customHeight="false" outlineLevel="0" collapsed="false">
      <c r="A786" s="0" t="str">
        <f aca="false">'Raw Store Exports'!A786</f>
        <v>TXN00106</v>
      </c>
      <c r="B786" s="17" t="n">
        <f aca="false">'Raw Store Exports'!C786</f>
        <v>46028</v>
      </c>
      <c r="C786" s="0" t="str">
        <f aca="false">INDEX('Store Mapping'!$C$2:$C$19,MATCH(TRIM('Raw Store Exports'!B786),'Store Mapping'!$A$2:$A$19,0))</f>
        <v>Riverside</v>
      </c>
      <c r="D786" s="0" t="str">
        <f aca="false">'Raw Store Exports'!D786</f>
        <v>FTW-204</v>
      </c>
      <c r="E786" s="0" t="str">
        <f aca="false">INDEX('Product Master'!$B$2:$B$21,MATCH(D786,'Product Master'!$A$2:$A$21,0))</f>
        <v>Slide Sandals</v>
      </c>
      <c r="F786" s="0" t="str">
        <f aca="false">INDEX('Product Master'!$C$2:$C$21,MATCH(D786,'Product Master'!$A$2:$A$21,0))</f>
        <v>Footwear</v>
      </c>
      <c r="G786" s="15" t="n">
        <f aca="false">VALUE(TRIM('Raw Store Exports'!E786&amp;""))</f>
        <v>3</v>
      </c>
      <c r="H786" s="18" t="n">
        <f aca="false">INDEX('Product Master'!$D$2:$D$21,MATCH(D786,'Product Master'!$A$2:$A$21,0))</f>
        <v>25</v>
      </c>
      <c r="I786" s="14" t="n">
        <f aca="false">G786*H786</f>
        <v>75</v>
      </c>
      <c r="J786" s="0" t="str">
        <f aca="false">IF(COUNTIF($A$2:A786,A786)&gt;1,"Duplicate","")</f>
        <v/>
      </c>
    </row>
    <row r="787" customFormat="false" ht="15" hidden="false" customHeight="false" outlineLevel="0" collapsed="false">
      <c r="A787" s="0" t="str">
        <f aca="false">'Raw Store Exports'!A787</f>
        <v>TXN00384</v>
      </c>
      <c r="B787" s="17" t="n">
        <f aca="false">'Raw Store Exports'!C787</f>
        <v>46047</v>
      </c>
      <c r="C787" s="0" t="str">
        <f aca="false">INDEX('Store Mapping'!$C$2:$C$19,MATCH(TRIM('Raw Store Exports'!B787),'Store Mapping'!$A$2:$A$19,0))</f>
        <v>Riverside</v>
      </c>
      <c r="D787" s="0" t="str">
        <f aca="false">'Raw Store Exports'!D787</f>
        <v>ELE-403</v>
      </c>
      <c r="E787" s="0" t="str">
        <f aca="false">INDEX('Product Master'!$B$2:$B$21,MATCH(D787,'Product Master'!$A$2:$A$21,0))</f>
        <v>Fitness Tracker Band</v>
      </c>
      <c r="F787" s="0" t="str">
        <f aca="false">INDEX('Product Master'!$C$2:$C$21,MATCH(D787,'Product Master'!$A$2:$A$21,0))</f>
        <v>Electronics</v>
      </c>
      <c r="G787" s="15" t="n">
        <f aca="false">VALUE(TRIM('Raw Store Exports'!E787&amp;""))</f>
        <v>1</v>
      </c>
      <c r="H787" s="18" t="n">
        <f aca="false">INDEX('Product Master'!$D$2:$D$21,MATCH(D787,'Product Master'!$A$2:$A$21,0))</f>
        <v>99</v>
      </c>
      <c r="I787" s="14" t="n">
        <f aca="false">G787*H787</f>
        <v>99</v>
      </c>
      <c r="J787" s="0" t="str">
        <f aca="false">IF(COUNTIF($A$2:A787,A787)&gt;1,"Duplicate","")</f>
        <v/>
      </c>
    </row>
    <row r="788" customFormat="false" ht="15" hidden="false" customHeight="false" outlineLevel="0" collapsed="false">
      <c r="A788" s="0" t="str">
        <f aca="false">'Raw Store Exports'!A788</f>
        <v>TXN00855</v>
      </c>
      <c r="B788" s="17" t="n">
        <f aca="false">'Raw Store Exports'!C788</f>
        <v>46066</v>
      </c>
      <c r="C788" s="0" t="str">
        <f aca="false">INDEX('Store Mapping'!$C$2:$C$19,MATCH(TRIM('Raw Store Exports'!B788),'Store Mapping'!$A$2:$A$19,0))</f>
        <v>Riverside</v>
      </c>
      <c r="D788" s="0" t="str">
        <f aca="false">'Raw Store Exports'!D788</f>
        <v>ACC-304</v>
      </c>
      <c r="E788" s="0" t="str">
        <f aca="false">INDEX('Product Master'!$B$2:$B$21,MATCH(D788,'Product Master'!$A$2:$A$21,0))</f>
        <v>Wool Beanie</v>
      </c>
      <c r="F788" s="0" t="str">
        <f aca="false">INDEX('Product Master'!$C$2:$C$21,MATCH(D788,'Product Master'!$A$2:$A$21,0))</f>
        <v>Accessories</v>
      </c>
      <c r="G788" s="15" t="n">
        <f aca="false">VALUE(TRIM('Raw Store Exports'!E788&amp;""))</f>
        <v>2</v>
      </c>
      <c r="H788" s="18" t="n">
        <f aca="false">INDEX('Product Master'!$D$2:$D$21,MATCH(D788,'Product Master'!$A$2:$A$21,0))</f>
        <v>16</v>
      </c>
      <c r="I788" s="14" t="n">
        <f aca="false">G788*H788</f>
        <v>32</v>
      </c>
      <c r="J788" s="0" t="str">
        <f aca="false">IF(COUNTIF($A$2:A788,A788)&gt;1,"Duplicate","")</f>
        <v/>
      </c>
    </row>
    <row r="789" customFormat="false" ht="15" hidden="false" customHeight="false" outlineLevel="0" collapsed="false">
      <c r="A789" s="0" t="str">
        <f aca="false">'Raw Store Exports'!A789</f>
        <v>TXN01171</v>
      </c>
      <c r="B789" s="17" t="n">
        <f aca="false">'Raw Store Exports'!C789</f>
        <v>46079</v>
      </c>
      <c r="C789" s="0" t="str">
        <f aca="false">INDEX('Store Mapping'!$C$2:$C$19,MATCH(TRIM('Raw Store Exports'!B789),'Store Mapping'!$A$2:$A$19,0))</f>
        <v>Riverside</v>
      </c>
      <c r="D789" s="0" t="str">
        <f aca="false">'Raw Store Exports'!D789</f>
        <v>FTW-203</v>
      </c>
      <c r="E789" s="0" t="str">
        <f aca="false">INDEX('Product Master'!$B$2:$B$21,MATCH(D789,'Product Master'!$A$2:$A$21,0))</f>
        <v>Leather Ankle Boot</v>
      </c>
      <c r="F789" s="0" t="str">
        <f aca="false">INDEX('Product Master'!$C$2:$C$21,MATCH(D789,'Product Master'!$A$2:$A$21,0))</f>
        <v>Footwear</v>
      </c>
      <c r="G789" s="15" t="n">
        <f aca="false">VALUE(TRIM('Raw Store Exports'!E789&amp;""))</f>
        <v>1</v>
      </c>
      <c r="H789" s="18" t="n">
        <f aca="false">INDEX('Product Master'!$D$2:$D$21,MATCH(D789,'Product Master'!$A$2:$A$21,0))</f>
        <v>120</v>
      </c>
      <c r="I789" s="14" t="n">
        <f aca="false">G789*H789</f>
        <v>120</v>
      </c>
      <c r="J789" s="0" t="str">
        <f aca="false">IF(COUNTIF($A$2:A789,A789)&gt;1,"Duplicate","")</f>
        <v/>
      </c>
    </row>
    <row r="790" customFormat="false" ht="15" hidden="false" customHeight="false" outlineLevel="0" collapsed="false">
      <c r="A790" s="0" t="str">
        <f aca="false">'Raw Store Exports'!A790</f>
        <v>TXN01127</v>
      </c>
      <c r="B790" s="17" t="n">
        <f aca="false">'Raw Store Exports'!C790</f>
        <v>46077</v>
      </c>
      <c r="C790" s="0" t="str">
        <f aca="false">INDEX('Store Mapping'!$C$2:$C$19,MATCH(TRIM('Raw Store Exports'!B790),'Store Mapping'!$A$2:$A$19,0))</f>
        <v>Northpark</v>
      </c>
      <c r="D790" s="0" t="str">
        <f aca="false">'Raw Store Exports'!D790</f>
        <v>HOM-502</v>
      </c>
      <c r="E790" s="0" t="str">
        <f aca="false">INDEX('Product Master'!$B$2:$B$21,MATCH(D790,'Product Master'!$A$2:$A$21,0))</f>
        <v>Scented Candle</v>
      </c>
      <c r="F790" s="0" t="str">
        <f aca="false">INDEX('Product Master'!$C$2:$C$21,MATCH(D790,'Product Master'!$A$2:$A$21,0))</f>
        <v>Home Goods</v>
      </c>
      <c r="G790" s="15" t="n">
        <f aca="false">VALUE(TRIM('Raw Store Exports'!E790&amp;""))</f>
        <v>4</v>
      </c>
      <c r="H790" s="18" t="n">
        <f aca="false">INDEX('Product Master'!$D$2:$D$21,MATCH(D790,'Product Master'!$A$2:$A$21,0))</f>
        <v>15</v>
      </c>
      <c r="I790" s="14" t="n">
        <f aca="false">G790*H790</f>
        <v>60</v>
      </c>
      <c r="J790" s="0" t="str">
        <f aca="false">IF(COUNTIF($A$2:A790,A790)&gt;1,"Duplicate","")</f>
        <v/>
      </c>
    </row>
    <row r="791" customFormat="false" ht="15" hidden="false" customHeight="false" outlineLevel="0" collapsed="false">
      <c r="A791" s="0" t="str">
        <f aca="false">'Raw Store Exports'!A791</f>
        <v>TXN00851</v>
      </c>
      <c r="B791" s="17" t="n">
        <f aca="false">'Raw Store Exports'!C791</f>
        <v>46067</v>
      </c>
      <c r="C791" s="0" t="str">
        <f aca="false">INDEX('Store Mapping'!$C$2:$C$19,MATCH(TRIM('Raw Store Exports'!B791),'Store Mapping'!$A$2:$A$19,0))</f>
        <v>Northpark</v>
      </c>
      <c r="D791" s="0" t="str">
        <f aca="false">'Raw Store Exports'!D791</f>
        <v>APP-102</v>
      </c>
      <c r="E791" s="0" t="str">
        <f aca="false">INDEX('Product Master'!$B$2:$B$21,MATCH(D791,'Product Master'!$A$2:$A$21,0))</f>
        <v>Cotton Crew T-Shirt</v>
      </c>
      <c r="F791" s="0" t="str">
        <f aca="false">INDEX('Product Master'!$C$2:$C$21,MATCH(D791,'Product Master'!$A$2:$A$21,0))</f>
        <v>Apparel</v>
      </c>
      <c r="G791" s="15" t="n">
        <f aca="false">VALUE(TRIM('Raw Store Exports'!E791&amp;""))</f>
        <v>1</v>
      </c>
      <c r="H791" s="18" t="n">
        <f aca="false">INDEX('Product Master'!$D$2:$D$21,MATCH(D791,'Product Master'!$A$2:$A$21,0))</f>
        <v>18</v>
      </c>
      <c r="I791" s="14" t="n">
        <f aca="false">G791*H791</f>
        <v>18</v>
      </c>
      <c r="J791" s="0" t="str">
        <f aca="false">IF(COUNTIF($A$2:A791,A791)&gt;1,"Duplicate","")</f>
        <v/>
      </c>
    </row>
    <row r="792" customFormat="false" ht="15" hidden="false" customHeight="false" outlineLevel="0" collapsed="false">
      <c r="A792" s="0" t="str">
        <f aca="false">'Raw Store Exports'!A792</f>
        <v>TXN00792</v>
      </c>
      <c r="B792" s="17" t="n">
        <f aca="false">'Raw Store Exports'!C792</f>
        <v>46065</v>
      </c>
      <c r="C792" s="0" t="str">
        <f aca="false">INDEX('Store Mapping'!$C$2:$C$19,MATCH(TRIM('Raw Store Exports'!B792),'Store Mapping'!$A$2:$A$19,0))</f>
        <v>Westside Mall</v>
      </c>
      <c r="D792" s="0" t="str">
        <f aca="false">'Raw Store Exports'!D792</f>
        <v>HOM-502</v>
      </c>
      <c r="E792" s="0" t="str">
        <f aca="false">INDEX('Product Master'!$B$2:$B$21,MATCH(D792,'Product Master'!$A$2:$A$21,0))</f>
        <v>Scented Candle</v>
      </c>
      <c r="F792" s="0" t="str">
        <f aca="false">INDEX('Product Master'!$C$2:$C$21,MATCH(D792,'Product Master'!$A$2:$A$21,0))</f>
        <v>Home Goods</v>
      </c>
      <c r="G792" s="15" t="n">
        <f aca="false">VALUE(TRIM('Raw Store Exports'!E792&amp;""))</f>
        <v>6</v>
      </c>
      <c r="H792" s="18" t="n">
        <f aca="false">INDEX('Product Master'!$D$2:$D$21,MATCH(D792,'Product Master'!$A$2:$A$21,0))</f>
        <v>15</v>
      </c>
      <c r="I792" s="14" t="n">
        <f aca="false">G792*H792</f>
        <v>90</v>
      </c>
      <c r="J792" s="0" t="str">
        <f aca="false">IF(COUNTIF($A$2:A792,A792)&gt;1,"Duplicate","")</f>
        <v/>
      </c>
    </row>
    <row r="793" customFormat="false" ht="15" hidden="false" customHeight="false" outlineLevel="0" collapsed="false">
      <c r="A793" s="0" t="str">
        <f aca="false">'Raw Store Exports'!A793</f>
        <v>TXN00155</v>
      </c>
      <c r="B793" s="17" t="n">
        <f aca="false">'Raw Store Exports'!C793</f>
        <v>46036</v>
      </c>
      <c r="C793" s="0" t="str">
        <f aca="false">INDEX('Store Mapping'!$C$2:$C$19,MATCH(TRIM('Raw Store Exports'!B793),'Store Mapping'!$A$2:$A$19,0))</f>
        <v>Downtown</v>
      </c>
      <c r="D793" s="0" t="str">
        <f aca="false">'Raw Store Exports'!D793</f>
        <v>HOM-502</v>
      </c>
      <c r="E793" s="0" t="str">
        <f aca="false">INDEX('Product Master'!$B$2:$B$21,MATCH(D793,'Product Master'!$A$2:$A$21,0))</f>
        <v>Scented Candle</v>
      </c>
      <c r="F793" s="0" t="str">
        <f aca="false">INDEX('Product Master'!$C$2:$C$21,MATCH(D793,'Product Master'!$A$2:$A$21,0))</f>
        <v>Home Goods</v>
      </c>
      <c r="G793" s="15" t="n">
        <f aca="false">VALUE(TRIM('Raw Store Exports'!E793&amp;""))</f>
        <v>4</v>
      </c>
      <c r="H793" s="18" t="n">
        <f aca="false">INDEX('Product Master'!$D$2:$D$21,MATCH(D793,'Product Master'!$A$2:$A$21,0))</f>
        <v>15</v>
      </c>
      <c r="I793" s="14" t="n">
        <f aca="false">G793*H793</f>
        <v>60</v>
      </c>
      <c r="J793" s="0" t="str">
        <f aca="false">IF(COUNTIF($A$2:A793,A793)&gt;1,"Duplicate","")</f>
        <v/>
      </c>
    </row>
    <row r="794" customFormat="false" ht="15" hidden="false" customHeight="false" outlineLevel="0" collapsed="false">
      <c r="A794" s="0" t="str">
        <f aca="false">'Raw Store Exports'!A794</f>
        <v>TXN00986</v>
      </c>
      <c r="B794" s="17" t="n">
        <f aca="false">'Raw Store Exports'!C794</f>
        <v>46071</v>
      </c>
      <c r="C794" s="0" t="str">
        <f aca="false">INDEX('Store Mapping'!$C$2:$C$19,MATCH(TRIM('Raw Store Exports'!B794),'Store Mapping'!$A$2:$A$19,0))</f>
        <v>Northpark</v>
      </c>
      <c r="D794" s="0" t="str">
        <f aca="false">'Raw Store Exports'!D794</f>
        <v>HOM-502</v>
      </c>
      <c r="E794" s="0" t="str">
        <f aca="false">INDEX('Product Master'!$B$2:$B$21,MATCH(D794,'Product Master'!$A$2:$A$21,0))</f>
        <v>Scented Candle</v>
      </c>
      <c r="F794" s="0" t="str">
        <f aca="false">INDEX('Product Master'!$C$2:$C$21,MATCH(D794,'Product Master'!$A$2:$A$21,0))</f>
        <v>Home Goods</v>
      </c>
      <c r="G794" s="15" t="n">
        <f aca="false">VALUE(TRIM('Raw Store Exports'!E794&amp;""))</f>
        <v>1</v>
      </c>
      <c r="H794" s="18" t="n">
        <f aca="false">INDEX('Product Master'!$D$2:$D$21,MATCH(D794,'Product Master'!$A$2:$A$21,0))</f>
        <v>15</v>
      </c>
      <c r="I794" s="14" t="n">
        <f aca="false">G794*H794</f>
        <v>15</v>
      </c>
      <c r="J794" s="0" t="str">
        <f aca="false">IF(COUNTIF($A$2:A794,A794)&gt;1,"Duplicate","")</f>
        <v/>
      </c>
    </row>
    <row r="795" customFormat="false" ht="15" hidden="false" customHeight="false" outlineLevel="0" collapsed="false">
      <c r="A795" s="0" t="str">
        <f aca="false">'Raw Store Exports'!A795</f>
        <v>TXN00564</v>
      </c>
      <c r="B795" s="17" t="n">
        <f aca="false">'Raw Store Exports'!C795</f>
        <v>46051</v>
      </c>
      <c r="C795" s="0" t="str">
        <f aca="false">INDEX('Store Mapping'!$C$2:$C$19,MATCH(TRIM('Raw Store Exports'!B795),'Store Mapping'!$A$2:$A$19,0))</f>
        <v>Riverside</v>
      </c>
      <c r="D795" s="0" t="str">
        <f aca="false">'Raw Store Exports'!D795</f>
        <v>APP-101</v>
      </c>
      <c r="E795" s="0" t="str">
        <f aca="false">INDEX('Product Master'!$B$2:$B$21,MATCH(D795,'Product Master'!$A$2:$A$21,0))</f>
        <v>Classic Denim Jacket</v>
      </c>
      <c r="F795" s="0" t="str">
        <f aca="false">INDEX('Product Master'!$C$2:$C$21,MATCH(D795,'Product Master'!$A$2:$A$21,0))</f>
        <v>Apparel</v>
      </c>
      <c r="G795" s="15" t="n">
        <f aca="false">VALUE(TRIM('Raw Store Exports'!E795&amp;""))</f>
        <v>2</v>
      </c>
      <c r="H795" s="18" t="n">
        <f aca="false">INDEX('Product Master'!$D$2:$D$21,MATCH(D795,'Product Master'!$A$2:$A$21,0))</f>
        <v>68</v>
      </c>
      <c r="I795" s="14" t="n">
        <f aca="false">G795*H795</f>
        <v>136</v>
      </c>
      <c r="J795" s="0" t="str">
        <f aca="false">IF(COUNTIF($A$2:A795,A795)&gt;1,"Duplicate","")</f>
        <v/>
      </c>
    </row>
    <row r="796" customFormat="false" ht="15" hidden="false" customHeight="false" outlineLevel="0" collapsed="false">
      <c r="A796" s="0" t="str">
        <f aca="false">'Raw Store Exports'!A796</f>
        <v>TXN00301</v>
      </c>
      <c r="B796" s="17" t="n">
        <f aca="false">'Raw Store Exports'!C796</f>
        <v>46045</v>
      </c>
      <c r="C796" s="0" t="str">
        <f aca="false">INDEX('Store Mapping'!$C$2:$C$19,MATCH(TRIM('Raw Store Exports'!B796),'Store Mapping'!$A$2:$A$19,0))</f>
        <v>Downtown</v>
      </c>
      <c r="D796" s="0" t="str">
        <f aca="false">'Raw Store Exports'!D796</f>
        <v>ELE-404</v>
      </c>
      <c r="E796" s="0" t="str">
        <f aca="false">INDEX('Product Master'!$B$2:$B$21,MATCH(D796,'Product Master'!$A$2:$A$21,0))</f>
        <v>Phone Charging Cable</v>
      </c>
      <c r="F796" s="0" t="str">
        <f aca="false">INDEX('Product Master'!$C$2:$C$21,MATCH(D796,'Product Master'!$A$2:$A$21,0))</f>
        <v>Electronics</v>
      </c>
      <c r="G796" s="15" t="n">
        <f aca="false">VALUE(TRIM('Raw Store Exports'!E796&amp;""))</f>
        <v>1</v>
      </c>
      <c r="H796" s="18" t="n">
        <f aca="false">INDEX('Product Master'!$D$2:$D$21,MATCH(D796,'Product Master'!$A$2:$A$21,0))</f>
        <v>12</v>
      </c>
      <c r="I796" s="14" t="n">
        <f aca="false">G796*H796</f>
        <v>12</v>
      </c>
      <c r="J796" s="0" t="str">
        <f aca="false">IF(COUNTIF($A$2:A796,A796)&gt;1,"Duplicate","")</f>
        <v/>
      </c>
    </row>
    <row r="797" customFormat="false" ht="15" hidden="false" customHeight="false" outlineLevel="0" collapsed="false">
      <c r="A797" s="0" t="str">
        <f aca="false">'Raw Store Exports'!A797</f>
        <v>TXN00581</v>
      </c>
      <c r="B797" s="17" t="n">
        <f aca="false">'Raw Store Exports'!C797</f>
        <v>46049</v>
      </c>
      <c r="C797" s="0" t="str">
        <f aca="false">INDEX('Store Mapping'!$C$2:$C$19,MATCH(TRIM('Raw Store Exports'!B797),'Store Mapping'!$A$2:$A$19,0))</f>
        <v>Airport Plaza</v>
      </c>
      <c r="D797" s="0" t="str">
        <f aca="false">'Raw Store Exports'!D797</f>
        <v>ACC-304</v>
      </c>
      <c r="E797" s="0" t="str">
        <f aca="false">INDEX('Product Master'!$B$2:$B$21,MATCH(D797,'Product Master'!$A$2:$A$21,0))</f>
        <v>Wool Beanie</v>
      </c>
      <c r="F797" s="0" t="str">
        <f aca="false">INDEX('Product Master'!$C$2:$C$21,MATCH(D797,'Product Master'!$A$2:$A$21,0))</f>
        <v>Accessories</v>
      </c>
      <c r="G797" s="15" t="n">
        <f aca="false">VALUE(TRIM('Raw Store Exports'!E797&amp;""))</f>
        <v>3</v>
      </c>
      <c r="H797" s="18" t="n">
        <f aca="false">INDEX('Product Master'!$D$2:$D$21,MATCH(D797,'Product Master'!$A$2:$A$21,0))</f>
        <v>16</v>
      </c>
      <c r="I797" s="14" t="n">
        <f aca="false">G797*H797</f>
        <v>48</v>
      </c>
      <c r="J797" s="0" t="str">
        <f aca="false">IF(COUNTIF($A$2:A797,A797)&gt;1,"Duplicate","")</f>
        <v/>
      </c>
    </row>
    <row r="798" customFormat="false" ht="15" hidden="false" customHeight="false" outlineLevel="0" collapsed="false">
      <c r="A798" s="0" t="str">
        <f aca="false">'Raw Store Exports'!A798</f>
        <v>TXN01001</v>
      </c>
      <c r="B798" s="17" t="n">
        <f aca="false">'Raw Store Exports'!C798</f>
        <v>46070</v>
      </c>
      <c r="C798" s="0" t="str">
        <f aca="false">INDEX('Store Mapping'!$C$2:$C$19,MATCH(TRIM('Raw Store Exports'!B798),'Store Mapping'!$A$2:$A$19,0))</f>
        <v>Riverside</v>
      </c>
      <c r="D798" s="0" t="str">
        <f aca="false">'Raw Store Exports'!D798</f>
        <v>APP-102</v>
      </c>
      <c r="E798" s="0" t="str">
        <f aca="false">INDEX('Product Master'!$B$2:$B$21,MATCH(D798,'Product Master'!$A$2:$A$21,0))</f>
        <v>Cotton Crew T-Shirt</v>
      </c>
      <c r="F798" s="0" t="str">
        <f aca="false">INDEX('Product Master'!$C$2:$C$21,MATCH(D798,'Product Master'!$A$2:$A$21,0))</f>
        <v>Apparel</v>
      </c>
      <c r="G798" s="15" t="n">
        <f aca="false">VALUE(TRIM('Raw Store Exports'!E798&amp;""))</f>
        <v>3</v>
      </c>
      <c r="H798" s="18" t="n">
        <f aca="false">INDEX('Product Master'!$D$2:$D$21,MATCH(D798,'Product Master'!$A$2:$A$21,0))</f>
        <v>18</v>
      </c>
      <c r="I798" s="14" t="n">
        <f aca="false">G798*H798</f>
        <v>54</v>
      </c>
      <c r="J798" s="0" t="str">
        <f aca="false">IF(COUNTIF($A$2:A798,A798)&gt;1,"Duplicate","")</f>
        <v/>
      </c>
    </row>
    <row r="799" customFormat="false" ht="15" hidden="false" customHeight="false" outlineLevel="0" collapsed="false">
      <c r="A799" s="0" t="str">
        <f aca="false">'Raw Store Exports'!A799</f>
        <v>TXN00825</v>
      </c>
      <c r="B799" s="17" t="n">
        <f aca="false">'Raw Store Exports'!C799</f>
        <v>46063</v>
      </c>
      <c r="C799" s="0" t="str">
        <f aca="false">INDEX('Store Mapping'!$C$2:$C$19,MATCH(TRIM('Raw Store Exports'!B799),'Store Mapping'!$A$2:$A$19,0))</f>
        <v>Northpark</v>
      </c>
      <c r="D799" s="0" t="str">
        <f aca="false">'Raw Store Exports'!D799</f>
        <v>FTW-204</v>
      </c>
      <c r="E799" s="0" t="str">
        <f aca="false">INDEX('Product Master'!$B$2:$B$21,MATCH(D799,'Product Master'!$A$2:$A$21,0))</f>
        <v>Slide Sandals</v>
      </c>
      <c r="F799" s="0" t="str">
        <f aca="false">INDEX('Product Master'!$C$2:$C$21,MATCH(D799,'Product Master'!$A$2:$A$21,0))</f>
        <v>Footwear</v>
      </c>
      <c r="G799" s="15" t="n">
        <f aca="false">VALUE(TRIM('Raw Store Exports'!E799&amp;""))</f>
        <v>5</v>
      </c>
      <c r="H799" s="18" t="n">
        <f aca="false">INDEX('Product Master'!$D$2:$D$21,MATCH(D799,'Product Master'!$A$2:$A$21,0))</f>
        <v>25</v>
      </c>
      <c r="I799" s="14" t="n">
        <f aca="false">G799*H799</f>
        <v>125</v>
      </c>
      <c r="J799" s="0" t="str">
        <f aca="false">IF(COUNTIF($A$2:A799,A799)&gt;1,"Duplicate","")</f>
        <v/>
      </c>
    </row>
    <row r="800" customFormat="false" ht="15" hidden="false" customHeight="false" outlineLevel="0" collapsed="false">
      <c r="A800" s="0" t="str">
        <f aca="false">'Raw Store Exports'!A800</f>
        <v>TXN00209</v>
      </c>
      <c r="B800" s="17" t="n">
        <f aca="false">'Raw Store Exports'!C800</f>
        <v>46034</v>
      </c>
      <c r="C800" s="0" t="str">
        <f aca="false">INDEX('Store Mapping'!$C$2:$C$19,MATCH(TRIM('Raw Store Exports'!B800),'Store Mapping'!$A$2:$A$19,0))</f>
        <v>Northpark</v>
      </c>
      <c r="D800" s="0" t="str">
        <f aca="false">'Raw Store Exports'!D800</f>
        <v>ELE-404</v>
      </c>
      <c r="E800" s="0" t="str">
        <f aca="false">INDEX('Product Master'!$B$2:$B$21,MATCH(D800,'Product Master'!$A$2:$A$21,0))</f>
        <v>Phone Charging Cable</v>
      </c>
      <c r="F800" s="0" t="str">
        <f aca="false">INDEX('Product Master'!$C$2:$C$21,MATCH(D800,'Product Master'!$A$2:$A$21,0))</f>
        <v>Electronics</v>
      </c>
      <c r="G800" s="15" t="n">
        <f aca="false">VALUE(TRIM('Raw Store Exports'!E800&amp;""))</f>
        <v>5</v>
      </c>
      <c r="H800" s="18" t="n">
        <f aca="false">INDEX('Product Master'!$D$2:$D$21,MATCH(D800,'Product Master'!$A$2:$A$21,0))</f>
        <v>12</v>
      </c>
      <c r="I800" s="14" t="n">
        <f aca="false">G800*H800</f>
        <v>60</v>
      </c>
      <c r="J800" s="0" t="str">
        <f aca="false">IF(COUNTIF($A$2:A800,A800)&gt;1,"Duplicate","")</f>
        <v/>
      </c>
    </row>
    <row r="801" customFormat="false" ht="15" hidden="false" customHeight="false" outlineLevel="0" collapsed="false">
      <c r="A801" s="0" t="str">
        <f aca="false">'Raw Store Exports'!A801</f>
        <v>TXN00283</v>
      </c>
      <c r="B801" s="17" t="n">
        <f aca="false">'Raw Store Exports'!C801</f>
        <v>46041</v>
      </c>
      <c r="C801" s="0" t="str">
        <f aca="false">INDEX('Store Mapping'!$C$2:$C$19,MATCH(TRIM('Raw Store Exports'!B801),'Store Mapping'!$A$2:$A$19,0))</f>
        <v>Downtown</v>
      </c>
      <c r="D801" s="0" t="str">
        <f aca="false">'Raw Store Exports'!D801</f>
        <v>FTW-201</v>
      </c>
      <c r="E801" s="0" t="str">
        <f aca="false">INDEX('Product Master'!$B$2:$B$21,MATCH(D801,'Product Master'!$A$2:$A$21,0))</f>
        <v>Running Sneakers</v>
      </c>
      <c r="F801" s="0" t="str">
        <f aca="false">INDEX('Product Master'!$C$2:$C$21,MATCH(D801,'Product Master'!$A$2:$A$21,0))</f>
        <v>Footwear</v>
      </c>
      <c r="G801" s="15" t="n">
        <f aca="false">VALUE(TRIM('Raw Store Exports'!E801&amp;""))</f>
        <v>2</v>
      </c>
      <c r="H801" s="18" t="n">
        <f aca="false">INDEX('Product Master'!$D$2:$D$21,MATCH(D801,'Product Master'!$A$2:$A$21,0))</f>
        <v>89</v>
      </c>
      <c r="I801" s="14" t="n">
        <f aca="false">G801*H801</f>
        <v>178</v>
      </c>
      <c r="J801" s="0" t="str">
        <f aca="false">IF(COUNTIF($A$2:A801,A801)&gt;1,"Duplicate","")</f>
        <v/>
      </c>
    </row>
    <row r="802" customFormat="false" ht="15" hidden="false" customHeight="false" outlineLevel="0" collapsed="false">
      <c r="A802" s="0" t="str">
        <f aca="false">'Raw Store Exports'!A802</f>
        <v>TXN00854</v>
      </c>
      <c r="B802" s="17" t="n">
        <f aca="false">'Raw Store Exports'!C802</f>
        <v>46064</v>
      </c>
      <c r="C802" s="0" t="str">
        <f aca="false">INDEX('Store Mapping'!$C$2:$C$19,MATCH(TRIM('Raw Store Exports'!B802),'Store Mapping'!$A$2:$A$19,0))</f>
        <v>Riverside</v>
      </c>
      <c r="D802" s="0" t="str">
        <f aca="false">'Raw Store Exports'!D802</f>
        <v>FTW-203</v>
      </c>
      <c r="E802" s="0" t="str">
        <f aca="false">INDEX('Product Master'!$B$2:$B$21,MATCH(D802,'Product Master'!$A$2:$A$21,0))</f>
        <v>Leather Ankle Boot</v>
      </c>
      <c r="F802" s="0" t="str">
        <f aca="false">INDEX('Product Master'!$C$2:$C$21,MATCH(D802,'Product Master'!$A$2:$A$21,0))</f>
        <v>Footwear</v>
      </c>
      <c r="G802" s="15" t="n">
        <f aca="false">VALUE(TRIM('Raw Store Exports'!E802&amp;""))</f>
        <v>1</v>
      </c>
      <c r="H802" s="18" t="n">
        <f aca="false">INDEX('Product Master'!$D$2:$D$21,MATCH(D802,'Product Master'!$A$2:$A$21,0))</f>
        <v>120</v>
      </c>
      <c r="I802" s="14" t="n">
        <f aca="false">G802*H802</f>
        <v>120</v>
      </c>
      <c r="J802" s="0" t="str">
        <f aca="false">IF(COUNTIF($A$2:A802,A802)&gt;1,"Duplicate","")</f>
        <v/>
      </c>
    </row>
    <row r="803" customFormat="false" ht="15" hidden="false" customHeight="false" outlineLevel="0" collapsed="false">
      <c r="A803" s="0" t="str">
        <f aca="false">'Raw Store Exports'!A803</f>
        <v>TXN00277</v>
      </c>
      <c r="B803" s="17" t="n">
        <f aca="false">'Raw Store Exports'!C803</f>
        <v>46044</v>
      </c>
      <c r="C803" s="0" t="str">
        <f aca="false">INDEX('Store Mapping'!$C$2:$C$19,MATCH(TRIM('Raw Store Exports'!B803),'Store Mapping'!$A$2:$A$19,0))</f>
        <v>Downtown</v>
      </c>
      <c r="D803" s="0" t="str">
        <f aca="false">'Raw Store Exports'!D803</f>
        <v>ACC-304</v>
      </c>
      <c r="E803" s="0" t="str">
        <f aca="false">INDEX('Product Master'!$B$2:$B$21,MATCH(D803,'Product Master'!$A$2:$A$21,0))</f>
        <v>Wool Beanie</v>
      </c>
      <c r="F803" s="0" t="str">
        <f aca="false">INDEX('Product Master'!$C$2:$C$21,MATCH(D803,'Product Master'!$A$2:$A$21,0))</f>
        <v>Accessories</v>
      </c>
      <c r="G803" s="15" t="n">
        <f aca="false">VALUE(TRIM('Raw Store Exports'!E803&amp;""))</f>
        <v>3</v>
      </c>
      <c r="H803" s="18" t="n">
        <f aca="false">INDEX('Product Master'!$D$2:$D$21,MATCH(D803,'Product Master'!$A$2:$A$21,0))</f>
        <v>16</v>
      </c>
      <c r="I803" s="14" t="n">
        <f aca="false">G803*H803</f>
        <v>48</v>
      </c>
      <c r="J803" s="0" t="str">
        <f aca="false">IF(COUNTIF($A$2:A803,A803)&gt;1,"Duplicate","")</f>
        <v/>
      </c>
    </row>
    <row r="804" customFormat="false" ht="15" hidden="false" customHeight="false" outlineLevel="0" collapsed="false">
      <c r="A804" s="0" t="str">
        <f aca="false">'Raw Store Exports'!A804</f>
        <v>TXN00193</v>
      </c>
      <c r="B804" s="17" t="n">
        <f aca="false">'Raw Store Exports'!C804</f>
        <v>46040</v>
      </c>
      <c r="C804" s="0" t="str">
        <f aca="false">INDEX('Store Mapping'!$C$2:$C$19,MATCH(TRIM('Raw Store Exports'!B804),'Store Mapping'!$A$2:$A$19,0))</f>
        <v>Eastgate</v>
      </c>
      <c r="D804" s="0" t="str">
        <f aca="false">'Raw Store Exports'!D804</f>
        <v>ELE-403</v>
      </c>
      <c r="E804" s="0" t="str">
        <f aca="false">INDEX('Product Master'!$B$2:$B$21,MATCH(D804,'Product Master'!$A$2:$A$21,0))</f>
        <v>Fitness Tracker Band</v>
      </c>
      <c r="F804" s="0" t="str">
        <f aca="false">INDEX('Product Master'!$C$2:$C$21,MATCH(D804,'Product Master'!$A$2:$A$21,0))</f>
        <v>Electronics</v>
      </c>
      <c r="G804" s="15" t="n">
        <f aca="false">VALUE(TRIM('Raw Store Exports'!E804&amp;""))</f>
        <v>2</v>
      </c>
      <c r="H804" s="18" t="n">
        <f aca="false">INDEX('Product Master'!$D$2:$D$21,MATCH(D804,'Product Master'!$A$2:$A$21,0))</f>
        <v>99</v>
      </c>
      <c r="I804" s="14" t="n">
        <f aca="false">G804*H804</f>
        <v>198</v>
      </c>
      <c r="J804" s="0" t="str">
        <f aca="false">IF(COUNTIF($A$2:A804,A804)&gt;1,"Duplicate","")</f>
        <v/>
      </c>
    </row>
    <row r="805" customFormat="false" ht="15" hidden="false" customHeight="false" outlineLevel="0" collapsed="false">
      <c r="A805" s="0" t="str">
        <f aca="false">'Raw Store Exports'!A805</f>
        <v>TXN00499</v>
      </c>
      <c r="B805" s="17" t="n">
        <f aca="false">'Raw Store Exports'!C805</f>
        <v>46051</v>
      </c>
      <c r="C805" s="0" t="str">
        <f aca="false">INDEX('Store Mapping'!$C$2:$C$19,MATCH(TRIM('Raw Store Exports'!B805),'Store Mapping'!$A$2:$A$19,0))</f>
        <v>Eastgate</v>
      </c>
      <c r="D805" s="0" t="str">
        <f aca="false">'Raw Store Exports'!D805</f>
        <v>APP-104</v>
      </c>
      <c r="E805" s="0" t="str">
        <f aca="false">INDEX('Product Master'!$B$2:$B$21,MATCH(D805,'Product Master'!$A$2:$A$21,0))</f>
        <v>Slim Fit Chinos</v>
      </c>
      <c r="F805" s="0" t="str">
        <f aca="false">INDEX('Product Master'!$C$2:$C$21,MATCH(D805,'Product Master'!$A$2:$A$21,0))</f>
        <v>Apparel</v>
      </c>
      <c r="G805" s="15" t="n">
        <f aca="false">VALUE(TRIM('Raw Store Exports'!E805&amp;""))</f>
        <v>4</v>
      </c>
      <c r="H805" s="18" t="n">
        <f aca="false">INDEX('Product Master'!$D$2:$D$21,MATCH(D805,'Product Master'!$A$2:$A$21,0))</f>
        <v>52</v>
      </c>
      <c r="I805" s="14" t="n">
        <f aca="false">G805*H805</f>
        <v>208</v>
      </c>
      <c r="J805" s="0" t="str">
        <f aca="false">IF(COUNTIF($A$2:A805,A805)&gt;1,"Duplicate","")</f>
        <v/>
      </c>
    </row>
    <row r="806" customFormat="false" ht="15" hidden="false" customHeight="false" outlineLevel="0" collapsed="false">
      <c r="A806" s="0" t="str">
        <f aca="false">'Raw Store Exports'!A806</f>
        <v>TXN00468</v>
      </c>
      <c r="B806" s="17" t="n">
        <f aca="false">'Raw Store Exports'!C806</f>
        <v>46053</v>
      </c>
      <c r="C806" s="0" t="str">
        <f aca="false">INDEX('Store Mapping'!$C$2:$C$19,MATCH(TRIM('Raw Store Exports'!B806),'Store Mapping'!$A$2:$A$19,0))</f>
        <v>Westside Mall</v>
      </c>
      <c r="D806" s="0" t="str">
        <f aca="false">'Raw Store Exports'!D806</f>
        <v>HOM-504</v>
      </c>
      <c r="E806" s="0" t="str">
        <f aca="false">INDEX('Product Master'!$B$2:$B$21,MATCH(D806,'Product Master'!$A$2:$A$21,0))</f>
        <v>Bamboo Cutting Board</v>
      </c>
      <c r="F806" s="0" t="str">
        <f aca="false">INDEX('Product Master'!$C$2:$C$21,MATCH(D806,'Product Master'!$A$2:$A$21,0))</f>
        <v>Home Goods</v>
      </c>
      <c r="G806" s="15" t="n">
        <f aca="false">VALUE(TRIM('Raw Store Exports'!E806&amp;""))</f>
        <v>5</v>
      </c>
      <c r="H806" s="18" t="n">
        <f aca="false">INDEX('Product Master'!$D$2:$D$21,MATCH(D806,'Product Master'!$A$2:$A$21,0))</f>
        <v>27</v>
      </c>
      <c r="I806" s="14" t="n">
        <f aca="false">G806*H806</f>
        <v>135</v>
      </c>
      <c r="J806" s="0" t="str">
        <f aca="false">IF(COUNTIF($A$2:A806,A806)&gt;1,"Duplicate","")</f>
        <v/>
      </c>
    </row>
    <row r="807" customFormat="false" ht="15" hidden="false" customHeight="false" outlineLevel="0" collapsed="false">
      <c r="A807" s="0" t="str">
        <f aca="false">'Raw Store Exports'!A807</f>
        <v>TXN00958</v>
      </c>
      <c r="B807" s="17" t="n">
        <f aca="false">'Raw Store Exports'!C807</f>
        <v>46070</v>
      </c>
      <c r="C807" s="0" t="str">
        <f aca="false">INDEX('Store Mapping'!$C$2:$C$19,MATCH(TRIM('Raw Store Exports'!B807),'Store Mapping'!$A$2:$A$19,0))</f>
        <v>Eastgate</v>
      </c>
      <c r="D807" s="0" t="str">
        <f aca="false">'Raw Store Exports'!D807</f>
        <v>ELE-404</v>
      </c>
      <c r="E807" s="0" t="str">
        <f aca="false">INDEX('Product Master'!$B$2:$B$21,MATCH(D807,'Product Master'!$A$2:$A$21,0))</f>
        <v>Phone Charging Cable</v>
      </c>
      <c r="F807" s="0" t="str">
        <f aca="false">INDEX('Product Master'!$C$2:$C$21,MATCH(D807,'Product Master'!$A$2:$A$21,0))</f>
        <v>Electronics</v>
      </c>
      <c r="G807" s="15" t="n">
        <f aca="false">VALUE(TRIM('Raw Store Exports'!E807&amp;""))</f>
        <v>4</v>
      </c>
      <c r="H807" s="18" t="n">
        <f aca="false">INDEX('Product Master'!$D$2:$D$21,MATCH(D807,'Product Master'!$A$2:$A$21,0))</f>
        <v>12</v>
      </c>
      <c r="I807" s="14" t="n">
        <f aca="false">G807*H807</f>
        <v>48</v>
      </c>
      <c r="J807" s="0" t="str">
        <f aca="false">IF(COUNTIF($A$2:A807,A807)&gt;1,"Duplicate","")</f>
        <v/>
      </c>
    </row>
    <row r="808" customFormat="false" ht="15" hidden="false" customHeight="false" outlineLevel="0" collapsed="false">
      <c r="A808" s="0" t="str">
        <f aca="false">'Raw Store Exports'!A808</f>
        <v>TXN00504</v>
      </c>
      <c r="B808" s="17" t="n">
        <f aca="false">'Raw Store Exports'!C808</f>
        <v>46053</v>
      </c>
      <c r="C808" s="0" t="str">
        <f aca="false">INDEX('Store Mapping'!$C$2:$C$19,MATCH(TRIM('Raw Store Exports'!B808),'Store Mapping'!$A$2:$A$19,0))</f>
        <v>Eastgate</v>
      </c>
      <c r="D808" s="0" t="str">
        <f aca="false">'Raw Store Exports'!D808</f>
        <v>FTW-203</v>
      </c>
      <c r="E808" s="0" t="str">
        <f aca="false">INDEX('Product Master'!$B$2:$B$21,MATCH(D808,'Product Master'!$A$2:$A$21,0))</f>
        <v>Leather Ankle Boot</v>
      </c>
      <c r="F808" s="0" t="str">
        <f aca="false">INDEX('Product Master'!$C$2:$C$21,MATCH(D808,'Product Master'!$A$2:$A$21,0))</f>
        <v>Footwear</v>
      </c>
      <c r="G808" s="15" t="n">
        <f aca="false">VALUE(TRIM('Raw Store Exports'!E808&amp;""))</f>
        <v>3</v>
      </c>
      <c r="H808" s="18" t="n">
        <f aca="false">INDEX('Product Master'!$D$2:$D$21,MATCH(D808,'Product Master'!$A$2:$A$21,0))</f>
        <v>120</v>
      </c>
      <c r="I808" s="14" t="n">
        <f aca="false">G808*H808</f>
        <v>360</v>
      </c>
      <c r="J808" s="0" t="str">
        <f aca="false">IF(COUNTIF($A$2:A808,A808)&gt;1,"Duplicate","")</f>
        <v/>
      </c>
    </row>
    <row r="809" customFormat="false" ht="15" hidden="false" customHeight="false" outlineLevel="0" collapsed="false">
      <c r="A809" s="0" t="str">
        <f aca="false">'Raw Store Exports'!A809</f>
        <v>TXN00163</v>
      </c>
      <c r="B809" s="17" t="n">
        <f aca="false">'Raw Store Exports'!C809</f>
        <v>46038</v>
      </c>
      <c r="C809" s="0" t="str">
        <f aca="false">INDEX('Store Mapping'!$C$2:$C$19,MATCH(TRIM('Raw Store Exports'!B809),'Store Mapping'!$A$2:$A$19,0))</f>
        <v>Westside Mall</v>
      </c>
      <c r="D809" s="0" t="str">
        <f aca="false">'Raw Store Exports'!D809</f>
        <v>FTW-204</v>
      </c>
      <c r="E809" s="0" t="str">
        <f aca="false">INDEX('Product Master'!$B$2:$B$21,MATCH(D809,'Product Master'!$A$2:$A$21,0))</f>
        <v>Slide Sandals</v>
      </c>
      <c r="F809" s="0" t="str">
        <f aca="false">INDEX('Product Master'!$C$2:$C$21,MATCH(D809,'Product Master'!$A$2:$A$21,0))</f>
        <v>Footwear</v>
      </c>
      <c r="G809" s="15" t="n">
        <f aca="false">VALUE(TRIM('Raw Store Exports'!E809&amp;""))</f>
        <v>2</v>
      </c>
      <c r="H809" s="18" t="n">
        <f aca="false">INDEX('Product Master'!$D$2:$D$21,MATCH(D809,'Product Master'!$A$2:$A$21,0))</f>
        <v>25</v>
      </c>
      <c r="I809" s="14" t="n">
        <f aca="false">G809*H809</f>
        <v>50</v>
      </c>
      <c r="J809" s="0" t="str">
        <f aca="false">IF(COUNTIF($A$2:A809,A809)&gt;1,"Duplicate","")</f>
        <v/>
      </c>
    </row>
    <row r="810" customFormat="false" ht="15" hidden="false" customHeight="false" outlineLevel="0" collapsed="false">
      <c r="A810" s="0" t="str">
        <f aca="false">'Raw Store Exports'!A810</f>
        <v>TXN00516</v>
      </c>
      <c r="B810" s="17" t="n">
        <f aca="false">'Raw Store Exports'!C810</f>
        <v>46050</v>
      </c>
      <c r="C810" s="0" t="str">
        <f aca="false">INDEX('Store Mapping'!$C$2:$C$19,MATCH(TRIM('Raw Store Exports'!B810),'Store Mapping'!$A$2:$A$19,0))</f>
        <v>Northpark</v>
      </c>
      <c r="D810" s="0" t="str">
        <f aca="false">'Raw Store Exports'!D810</f>
        <v>APP-102</v>
      </c>
      <c r="E810" s="0" t="str">
        <f aca="false">INDEX('Product Master'!$B$2:$B$21,MATCH(D810,'Product Master'!$A$2:$A$21,0))</f>
        <v>Cotton Crew T-Shirt</v>
      </c>
      <c r="F810" s="0" t="str">
        <f aca="false">INDEX('Product Master'!$C$2:$C$21,MATCH(D810,'Product Master'!$A$2:$A$21,0))</f>
        <v>Apparel</v>
      </c>
      <c r="G810" s="15" t="n">
        <f aca="false">VALUE(TRIM('Raw Store Exports'!E810&amp;""))</f>
        <v>4</v>
      </c>
      <c r="H810" s="18" t="n">
        <f aca="false">INDEX('Product Master'!$D$2:$D$21,MATCH(D810,'Product Master'!$A$2:$A$21,0))</f>
        <v>18</v>
      </c>
      <c r="I810" s="14" t="n">
        <f aca="false">G810*H810</f>
        <v>72</v>
      </c>
      <c r="J810" s="0" t="str">
        <f aca="false">IF(COUNTIF($A$2:A810,A810)&gt;1,"Duplicate","")</f>
        <v>Duplicate</v>
      </c>
    </row>
    <row r="811" customFormat="false" ht="15" hidden="false" customHeight="false" outlineLevel="0" collapsed="false">
      <c r="A811" s="0" t="str">
        <f aca="false">'Raw Store Exports'!A811</f>
        <v>TXN00848</v>
      </c>
      <c r="B811" s="17" t="n">
        <f aca="false">'Raw Store Exports'!C811</f>
        <v>46068</v>
      </c>
      <c r="C811" s="0" t="str">
        <f aca="false">INDEX('Store Mapping'!$C$2:$C$19,MATCH(TRIM('Raw Store Exports'!B811),'Store Mapping'!$A$2:$A$19,0))</f>
        <v>Northpark</v>
      </c>
      <c r="D811" s="0" t="str">
        <f aca="false">'Raw Store Exports'!D811</f>
        <v>FTW-204</v>
      </c>
      <c r="E811" s="0" t="str">
        <f aca="false">INDEX('Product Master'!$B$2:$B$21,MATCH(D811,'Product Master'!$A$2:$A$21,0))</f>
        <v>Slide Sandals</v>
      </c>
      <c r="F811" s="0" t="str">
        <f aca="false">INDEX('Product Master'!$C$2:$C$21,MATCH(D811,'Product Master'!$A$2:$A$21,0))</f>
        <v>Footwear</v>
      </c>
      <c r="G811" s="15" t="n">
        <f aca="false">VALUE(TRIM('Raw Store Exports'!E811&amp;""))</f>
        <v>4</v>
      </c>
      <c r="H811" s="18" t="n">
        <f aca="false">INDEX('Product Master'!$D$2:$D$21,MATCH(D811,'Product Master'!$A$2:$A$21,0))</f>
        <v>25</v>
      </c>
      <c r="I811" s="14" t="n">
        <f aca="false">G811*H811</f>
        <v>100</v>
      </c>
      <c r="J811" s="0" t="str">
        <f aca="false">IF(COUNTIF($A$2:A811,A811)&gt;1,"Duplicate","")</f>
        <v/>
      </c>
    </row>
    <row r="812" customFormat="false" ht="15" hidden="false" customHeight="false" outlineLevel="0" collapsed="false">
      <c r="A812" s="0" t="str">
        <f aca="false">'Raw Store Exports'!A812</f>
        <v>TXN00490</v>
      </c>
      <c r="B812" s="17" t="n">
        <f aca="false">'Raw Store Exports'!C812</f>
        <v>46054</v>
      </c>
      <c r="C812" s="0" t="str">
        <f aca="false">INDEX('Store Mapping'!$C$2:$C$19,MATCH(TRIM('Raw Store Exports'!B812),'Store Mapping'!$A$2:$A$19,0))</f>
        <v>Eastgate</v>
      </c>
      <c r="D812" s="0" t="str">
        <f aca="false">'Raw Store Exports'!D812</f>
        <v>ELE-403</v>
      </c>
      <c r="E812" s="0" t="str">
        <f aca="false">INDEX('Product Master'!$B$2:$B$21,MATCH(D812,'Product Master'!$A$2:$A$21,0))</f>
        <v>Fitness Tracker Band</v>
      </c>
      <c r="F812" s="0" t="str">
        <f aca="false">INDEX('Product Master'!$C$2:$C$21,MATCH(D812,'Product Master'!$A$2:$A$21,0))</f>
        <v>Electronics</v>
      </c>
      <c r="G812" s="15" t="n">
        <f aca="false">VALUE(TRIM('Raw Store Exports'!E812&amp;""))</f>
        <v>1</v>
      </c>
      <c r="H812" s="18" t="n">
        <f aca="false">INDEX('Product Master'!$D$2:$D$21,MATCH(D812,'Product Master'!$A$2:$A$21,0))</f>
        <v>99</v>
      </c>
      <c r="I812" s="14" t="n">
        <f aca="false">G812*H812</f>
        <v>99</v>
      </c>
      <c r="J812" s="0" t="str">
        <f aca="false">IF(COUNTIF($A$2:A812,A812)&gt;1,"Duplicate","")</f>
        <v/>
      </c>
    </row>
    <row r="813" customFormat="false" ht="15" hidden="false" customHeight="false" outlineLevel="0" collapsed="false">
      <c r="A813" s="0" t="str">
        <f aca="false">'Raw Store Exports'!A813</f>
        <v>TXN01009</v>
      </c>
      <c r="B813" s="17" t="n">
        <f aca="false">'Raw Store Exports'!C813</f>
        <v>46070</v>
      </c>
      <c r="C813" s="0" t="str">
        <f aca="false">INDEX('Store Mapping'!$C$2:$C$19,MATCH(TRIM('Raw Store Exports'!B813),'Store Mapping'!$A$2:$A$19,0))</f>
        <v>Riverside</v>
      </c>
      <c r="D813" s="0" t="str">
        <f aca="false">'Raw Store Exports'!D813</f>
        <v>APP-101</v>
      </c>
      <c r="E813" s="0" t="str">
        <f aca="false">INDEX('Product Master'!$B$2:$B$21,MATCH(D813,'Product Master'!$A$2:$A$21,0))</f>
        <v>Classic Denim Jacket</v>
      </c>
      <c r="F813" s="0" t="str">
        <f aca="false">INDEX('Product Master'!$C$2:$C$21,MATCH(D813,'Product Master'!$A$2:$A$21,0))</f>
        <v>Apparel</v>
      </c>
      <c r="G813" s="15" t="n">
        <f aca="false">VALUE(TRIM('Raw Store Exports'!E813&amp;""))</f>
        <v>1</v>
      </c>
      <c r="H813" s="18" t="n">
        <f aca="false">INDEX('Product Master'!$D$2:$D$21,MATCH(D813,'Product Master'!$A$2:$A$21,0))</f>
        <v>68</v>
      </c>
      <c r="I813" s="14" t="n">
        <f aca="false">G813*H813</f>
        <v>68</v>
      </c>
      <c r="J813" s="0" t="str">
        <f aca="false">IF(COUNTIF($A$2:A813,A813)&gt;1,"Duplicate","")</f>
        <v/>
      </c>
    </row>
    <row r="814" customFormat="false" ht="15" hidden="false" customHeight="false" outlineLevel="0" collapsed="false">
      <c r="A814" s="0" t="str">
        <f aca="false">'Raw Store Exports'!A814</f>
        <v>TXN00172</v>
      </c>
      <c r="B814" s="17" t="n">
        <f aca="false">'Raw Store Exports'!C814</f>
        <v>46035</v>
      </c>
      <c r="C814" s="0" t="str">
        <f aca="false">INDEX('Store Mapping'!$C$2:$C$19,MATCH(TRIM('Raw Store Exports'!B814),'Store Mapping'!$A$2:$A$19,0))</f>
        <v>Westside Mall</v>
      </c>
      <c r="D814" s="0" t="str">
        <f aca="false">'Raw Store Exports'!D814</f>
        <v>APP-104</v>
      </c>
      <c r="E814" s="0" t="str">
        <f aca="false">INDEX('Product Master'!$B$2:$B$21,MATCH(D814,'Product Master'!$A$2:$A$21,0))</f>
        <v>Slim Fit Chinos</v>
      </c>
      <c r="F814" s="0" t="str">
        <f aca="false">INDEX('Product Master'!$C$2:$C$21,MATCH(D814,'Product Master'!$A$2:$A$21,0))</f>
        <v>Apparel</v>
      </c>
      <c r="G814" s="15" t="n">
        <f aca="false">VALUE(TRIM('Raw Store Exports'!E814&amp;""))</f>
        <v>2</v>
      </c>
      <c r="H814" s="18" t="n">
        <f aca="false">INDEX('Product Master'!$D$2:$D$21,MATCH(D814,'Product Master'!$A$2:$A$21,0))</f>
        <v>52</v>
      </c>
      <c r="I814" s="14" t="n">
        <f aca="false">G814*H814</f>
        <v>104</v>
      </c>
      <c r="J814" s="0" t="str">
        <f aca="false">IF(COUNTIF($A$2:A814,A814)&gt;1,"Duplicate","")</f>
        <v/>
      </c>
    </row>
    <row r="815" customFormat="false" ht="15" hidden="false" customHeight="false" outlineLevel="0" collapsed="false">
      <c r="A815" s="0" t="str">
        <f aca="false">'Raw Store Exports'!A815</f>
        <v>TXN00255</v>
      </c>
      <c r="B815" s="17" t="n">
        <f aca="false">'Raw Store Exports'!C815</f>
        <v>46039</v>
      </c>
      <c r="C815" s="0" t="str">
        <f aca="false">INDEX('Store Mapping'!$C$2:$C$19,MATCH(TRIM('Raw Store Exports'!B815),'Store Mapping'!$A$2:$A$19,0))</f>
        <v>Airport Plaza</v>
      </c>
      <c r="D815" s="0" t="str">
        <f aca="false">'Raw Store Exports'!D815</f>
        <v>APP-101</v>
      </c>
      <c r="E815" s="0" t="str">
        <f aca="false">INDEX('Product Master'!$B$2:$B$21,MATCH(D815,'Product Master'!$A$2:$A$21,0))</f>
        <v>Classic Denim Jacket</v>
      </c>
      <c r="F815" s="0" t="str">
        <f aca="false">INDEX('Product Master'!$C$2:$C$21,MATCH(D815,'Product Master'!$A$2:$A$21,0))</f>
        <v>Apparel</v>
      </c>
      <c r="G815" s="15" t="n">
        <f aca="false">VALUE(TRIM('Raw Store Exports'!E815&amp;""))</f>
        <v>1</v>
      </c>
      <c r="H815" s="18" t="n">
        <f aca="false">INDEX('Product Master'!$D$2:$D$21,MATCH(D815,'Product Master'!$A$2:$A$21,0))</f>
        <v>68</v>
      </c>
      <c r="I815" s="14" t="n">
        <f aca="false">G815*H815</f>
        <v>68</v>
      </c>
      <c r="J815" s="0" t="str">
        <f aca="false">IF(COUNTIF($A$2:A815,A815)&gt;1,"Duplicate","")</f>
        <v/>
      </c>
    </row>
    <row r="816" customFormat="false" ht="15" hidden="false" customHeight="false" outlineLevel="0" collapsed="false">
      <c r="A816" s="0" t="str">
        <f aca="false">'Raw Store Exports'!A816</f>
        <v>TXN00061</v>
      </c>
      <c r="B816" s="17" t="n">
        <f aca="false">'Raw Store Exports'!C816</f>
        <v>46028</v>
      </c>
      <c r="C816" s="0" t="str">
        <f aca="false">INDEX('Store Mapping'!$C$2:$C$19,MATCH(TRIM('Raw Store Exports'!B816),'Store Mapping'!$A$2:$A$19,0))</f>
        <v>Eastgate</v>
      </c>
      <c r="D816" s="0" t="str">
        <f aca="false">'Raw Store Exports'!D816</f>
        <v>ACC-303</v>
      </c>
      <c r="E816" s="0" t="str">
        <f aca="false">INDEX('Product Master'!$B$2:$B$21,MATCH(D816,'Product Master'!$A$2:$A$21,0))</f>
        <v>Canvas Tote Bag</v>
      </c>
      <c r="F816" s="0" t="str">
        <f aca="false">INDEX('Product Master'!$C$2:$C$21,MATCH(D816,'Product Master'!$A$2:$A$21,0))</f>
        <v>Accessories</v>
      </c>
      <c r="G816" s="15" t="n">
        <f aca="false">VALUE(TRIM('Raw Store Exports'!E816&amp;""))</f>
        <v>1</v>
      </c>
      <c r="H816" s="18" t="n">
        <f aca="false">INDEX('Product Master'!$D$2:$D$21,MATCH(D816,'Product Master'!$A$2:$A$21,0))</f>
        <v>24</v>
      </c>
      <c r="I816" s="14" t="n">
        <f aca="false">G816*H816</f>
        <v>24</v>
      </c>
      <c r="J816" s="0" t="str">
        <f aca="false">IF(COUNTIF($A$2:A816,A816)&gt;1,"Duplicate","")</f>
        <v/>
      </c>
    </row>
    <row r="817" customFormat="false" ht="15" hidden="false" customHeight="false" outlineLevel="0" collapsed="false">
      <c r="A817" s="0" t="str">
        <f aca="false">'Raw Store Exports'!A817</f>
        <v>TXN00052</v>
      </c>
      <c r="B817" s="17" t="n">
        <f aca="false">'Raw Store Exports'!C817</f>
        <v>46027</v>
      </c>
      <c r="C817" s="0" t="str">
        <f aca="false">INDEX('Store Mapping'!$C$2:$C$19,MATCH(TRIM('Raw Store Exports'!B817),'Store Mapping'!$A$2:$A$19,0))</f>
        <v>Eastgate</v>
      </c>
      <c r="D817" s="0" t="str">
        <f aca="false">'Raw Store Exports'!D817</f>
        <v>ELE-404</v>
      </c>
      <c r="E817" s="0" t="str">
        <f aca="false">INDEX('Product Master'!$B$2:$B$21,MATCH(D817,'Product Master'!$A$2:$A$21,0))</f>
        <v>Phone Charging Cable</v>
      </c>
      <c r="F817" s="0" t="str">
        <f aca="false">INDEX('Product Master'!$C$2:$C$21,MATCH(D817,'Product Master'!$A$2:$A$21,0))</f>
        <v>Electronics</v>
      </c>
      <c r="G817" s="15" t="n">
        <f aca="false">VALUE(TRIM('Raw Store Exports'!E817&amp;""))</f>
        <v>3</v>
      </c>
      <c r="H817" s="18" t="n">
        <f aca="false">INDEX('Product Master'!$D$2:$D$21,MATCH(D817,'Product Master'!$A$2:$A$21,0))</f>
        <v>12</v>
      </c>
      <c r="I817" s="14" t="n">
        <f aca="false">G817*H817</f>
        <v>36</v>
      </c>
      <c r="J817" s="0" t="str">
        <f aca="false">IF(COUNTIF($A$2:A817,A817)&gt;1,"Duplicate","")</f>
        <v/>
      </c>
    </row>
    <row r="818" customFormat="false" ht="15" hidden="false" customHeight="false" outlineLevel="0" collapsed="false">
      <c r="A818" s="0" t="str">
        <f aca="false">'Raw Store Exports'!A818</f>
        <v>TXN00236</v>
      </c>
      <c r="B818" s="17" t="n">
        <f aca="false">'Raw Store Exports'!C818</f>
        <v>46036</v>
      </c>
      <c r="C818" s="0" t="str">
        <f aca="false">INDEX('Store Mapping'!$C$2:$C$19,MATCH(TRIM('Raw Store Exports'!B818),'Store Mapping'!$A$2:$A$19,0))</f>
        <v>Riverside</v>
      </c>
      <c r="D818" s="0" t="str">
        <f aca="false">'Raw Store Exports'!D818</f>
        <v>ACC-302</v>
      </c>
      <c r="E818" s="0" t="str">
        <f aca="false">INDEX('Product Master'!$B$2:$B$21,MATCH(D818,'Product Master'!$A$2:$A$21,0))</f>
        <v>Aviator Sunglasses</v>
      </c>
      <c r="F818" s="0" t="str">
        <f aca="false">INDEX('Product Master'!$C$2:$C$21,MATCH(D818,'Product Master'!$A$2:$A$21,0))</f>
        <v>Accessories</v>
      </c>
      <c r="G818" s="15" t="n">
        <f aca="false">VALUE(TRIM('Raw Store Exports'!E818&amp;""))</f>
        <v>4</v>
      </c>
      <c r="H818" s="18" t="n">
        <f aca="false">INDEX('Product Master'!$D$2:$D$21,MATCH(D818,'Product Master'!$A$2:$A$21,0))</f>
        <v>42</v>
      </c>
      <c r="I818" s="14" t="n">
        <f aca="false">G818*H818</f>
        <v>168</v>
      </c>
      <c r="J818" s="0" t="str">
        <f aca="false">IF(COUNTIF($A$2:A818,A818)&gt;1,"Duplicate","")</f>
        <v/>
      </c>
    </row>
    <row r="819" customFormat="false" ht="15" hidden="false" customHeight="false" outlineLevel="0" collapsed="false">
      <c r="A819" s="0" t="str">
        <f aca="false">'Raw Store Exports'!A819</f>
        <v>TXN01079</v>
      </c>
      <c r="B819" s="17" t="n">
        <f aca="false">'Raw Store Exports'!C819</f>
        <v>46078</v>
      </c>
      <c r="C819" s="0" t="str">
        <f aca="false">INDEX('Store Mapping'!$C$2:$C$19,MATCH(TRIM('Raw Store Exports'!B819),'Store Mapping'!$A$2:$A$19,0))</f>
        <v>Downtown</v>
      </c>
      <c r="D819" s="0" t="str">
        <f aca="false">'Raw Store Exports'!D819</f>
        <v>ACC-301</v>
      </c>
      <c r="E819" s="0" t="str">
        <f aca="false">INDEX('Product Master'!$B$2:$B$21,MATCH(D819,'Product Master'!$A$2:$A$21,0))</f>
        <v>Leather Belt</v>
      </c>
      <c r="F819" s="0" t="str">
        <f aca="false">INDEX('Product Master'!$C$2:$C$21,MATCH(D819,'Product Master'!$A$2:$A$21,0))</f>
        <v>Accessories</v>
      </c>
      <c r="G819" s="15" t="n">
        <f aca="false">VALUE(TRIM('Raw Store Exports'!E819&amp;""))</f>
        <v>6</v>
      </c>
      <c r="H819" s="18" t="n">
        <f aca="false">INDEX('Product Master'!$D$2:$D$21,MATCH(D819,'Product Master'!$A$2:$A$21,0))</f>
        <v>30</v>
      </c>
      <c r="I819" s="14" t="n">
        <f aca="false">G819*H819</f>
        <v>180</v>
      </c>
      <c r="J819" s="0" t="str">
        <f aca="false">IF(COUNTIF($A$2:A819,A819)&gt;1,"Duplicate","")</f>
        <v/>
      </c>
    </row>
    <row r="820" customFormat="false" ht="15" hidden="false" customHeight="false" outlineLevel="0" collapsed="false">
      <c r="A820" s="0" t="str">
        <f aca="false">'Raw Store Exports'!A820</f>
        <v>TXN00372</v>
      </c>
      <c r="B820" s="17" t="n">
        <f aca="false">'Raw Store Exports'!C820</f>
        <v>46041</v>
      </c>
      <c r="C820" s="0" t="str">
        <f aca="false">INDEX('Store Mapping'!$C$2:$C$19,MATCH(TRIM('Raw Store Exports'!B820),'Store Mapping'!$A$2:$A$19,0))</f>
        <v>Northpark</v>
      </c>
      <c r="D820" s="0" t="str">
        <f aca="false">'Raw Store Exports'!D820</f>
        <v>FTW-203</v>
      </c>
      <c r="E820" s="0" t="str">
        <f aca="false">INDEX('Product Master'!$B$2:$B$21,MATCH(D820,'Product Master'!$A$2:$A$21,0))</f>
        <v>Leather Ankle Boot</v>
      </c>
      <c r="F820" s="0" t="str">
        <f aca="false">INDEX('Product Master'!$C$2:$C$21,MATCH(D820,'Product Master'!$A$2:$A$21,0))</f>
        <v>Footwear</v>
      </c>
      <c r="G820" s="15" t="n">
        <f aca="false">VALUE(TRIM('Raw Store Exports'!E820&amp;""))</f>
        <v>1</v>
      </c>
      <c r="H820" s="18" t="n">
        <f aca="false">INDEX('Product Master'!$D$2:$D$21,MATCH(D820,'Product Master'!$A$2:$A$21,0))</f>
        <v>120</v>
      </c>
      <c r="I820" s="14" t="n">
        <f aca="false">G820*H820</f>
        <v>120</v>
      </c>
      <c r="J820" s="0" t="str">
        <f aca="false">IF(COUNTIF($A$2:A820,A820)&gt;1,"Duplicate","")</f>
        <v/>
      </c>
    </row>
    <row r="821" customFormat="false" ht="15" hidden="false" customHeight="false" outlineLevel="0" collapsed="false">
      <c r="A821" s="0" t="str">
        <f aca="false">'Raw Store Exports'!A821</f>
        <v>TXN00247</v>
      </c>
      <c r="B821" s="17" t="n">
        <f aca="false">'Raw Store Exports'!C821</f>
        <v>46037</v>
      </c>
      <c r="C821" s="0" t="str">
        <f aca="false">INDEX('Store Mapping'!$C$2:$C$19,MATCH(TRIM('Raw Store Exports'!B821),'Store Mapping'!$A$2:$A$19,0))</f>
        <v>Riverside</v>
      </c>
      <c r="D821" s="0" t="str">
        <f aca="false">'Raw Store Exports'!D821</f>
        <v>FTW-203</v>
      </c>
      <c r="E821" s="0" t="str">
        <f aca="false">INDEX('Product Master'!$B$2:$B$21,MATCH(D821,'Product Master'!$A$2:$A$21,0))</f>
        <v>Leather Ankle Boot</v>
      </c>
      <c r="F821" s="0" t="str">
        <f aca="false">INDEX('Product Master'!$C$2:$C$21,MATCH(D821,'Product Master'!$A$2:$A$21,0))</f>
        <v>Footwear</v>
      </c>
      <c r="G821" s="15" t="n">
        <f aca="false">VALUE(TRIM('Raw Store Exports'!E821&amp;""))</f>
        <v>6</v>
      </c>
      <c r="H821" s="18" t="n">
        <f aca="false">INDEX('Product Master'!$D$2:$D$21,MATCH(D821,'Product Master'!$A$2:$A$21,0))</f>
        <v>120</v>
      </c>
      <c r="I821" s="14" t="n">
        <f aca="false">G821*H821</f>
        <v>720</v>
      </c>
      <c r="J821" s="0" t="str">
        <f aca="false">IF(COUNTIF($A$2:A821,A821)&gt;1,"Duplicate","")</f>
        <v/>
      </c>
    </row>
    <row r="822" customFormat="false" ht="15" hidden="false" customHeight="false" outlineLevel="0" collapsed="false">
      <c r="A822" s="0" t="str">
        <f aca="false">'Raw Store Exports'!A822</f>
        <v>TXN00340</v>
      </c>
      <c r="B822" s="17" t="n">
        <f aca="false">'Raw Store Exports'!C822</f>
        <v>46045</v>
      </c>
      <c r="C822" s="0" t="str">
        <f aca="false">INDEX('Store Mapping'!$C$2:$C$19,MATCH(TRIM('Raw Store Exports'!B822),'Store Mapping'!$A$2:$A$19,0))</f>
        <v>Eastgate</v>
      </c>
      <c r="D822" s="0" t="str">
        <f aca="false">'Raw Store Exports'!D822</f>
        <v>ELE-402</v>
      </c>
      <c r="E822" s="0" t="str">
        <f aca="false">INDEX('Product Master'!$B$2:$B$21,MATCH(D822,'Product Master'!$A$2:$A$21,0))</f>
        <v>Bluetooth Speaker</v>
      </c>
      <c r="F822" s="0" t="str">
        <f aca="false">INDEX('Product Master'!$C$2:$C$21,MATCH(D822,'Product Master'!$A$2:$A$21,0))</f>
        <v>Electronics</v>
      </c>
      <c r="G822" s="15" t="n">
        <f aca="false">VALUE(TRIM('Raw Store Exports'!E822&amp;""))</f>
        <v>4</v>
      </c>
      <c r="H822" s="18" t="n">
        <f aca="false">INDEX('Product Master'!$D$2:$D$21,MATCH(D822,'Product Master'!$A$2:$A$21,0))</f>
        <v>59</v>
      </c>
      <c r="I822" s="14" t="n">
        <f aca="false">G822*H822</f>
        <v>236</v>
      </c>
      <c r="J822" s="0" t="str">
        <f aca="false">IF(COUNTIF($A$2:A822,A822)&gt;1,"Duplicate","")</f>
        <v/>
      </c>
    </row>
    <row r="823" customFormat="false" ht="15" hidden="false" customHeight="false" outlineLevel="0" collapsed="false">
      <c r="A823" s="0" t="str">
        <f aca="false">'Raw Store Exports'!A823</f>
        <v>TXN00048</v>
      </c>
      <c r="B823" s="17" t="n">
        <f aca="false">'Raw Store Exports'!C823</f>
        <v>46029</v>
      </c>
      <c r="C823" s="0" t="str">
        <f aca="false">INDEX('Store Mapping'!$C$2:$C$19,MATCH(TRIM('Raw Store Exports'!B823),'Store Mapping'!$A$2:$A$19,0))</f>
        <v>Eastgate</v>
      </c>
      <c r="D823" s="0" t="str">
        <f aca="false">'Raw Store Exports'!D823</f>
        <v>APP-101</v>
      </c>
      <c r="E823" s="0" t="str">
        <f aca="false">INDEX('Product Master'!$B$2:$B$21,MATCH(D823,'Product Master'!$A$2:$A$21,0))</f>
        <v>Classic Denim Jacket</v>
      </c>
      <c r="F823" s="0" t="str">
        <f aca="false">INDEX('Product Master'!$C$2:$C$21,MATCH(D823,'Product Master'!$A$2:$A$21,0))</f>
        <v>Apparel</v>
      </c>
      <c r="G823" s="15" t="n">
        <f aca="false">VALUE(TRIM('Raw Store Exports'!E823&amp;""))</f>
        <v>1</v>
      </c>
      <c r="H823" s="18" t="n">
        <f aca="false">INDEX('Product Master'!$D$2:$D$21,MATCH(D823,'Product Master'!$A$2:$A$21,0))</f>
        <v>68</v>
      </c>
      <c r="I823" s="14" t="n">
        <f aca="false">G823*H823</f>
        <v>68</v>
      </c>
      <c r="J823" s="0" t="str">
        <f aca="false">IF(COUNTIF($A$2:A823,A823)&gt;1,"Duplicate","")</f>
        <v/>
      </c>
    </row>
    <row r="824" customFormat="false" ht="15" hidden="false" customHeight="false" outlineLevel="0" collapsed="false">
      <c r="A824" s="0" t="str">
        <f aca="false">'Raw Store Exports'!A824</f>
        <v>TXN00609</v>
      </c>
      <c r="B824" s="17" t="n">
        <f aca="false">'Raw Store Exports'!C824</f>
        <v>46056</v>
      </c>
      <c r="C824" s="0" t="str">
        <f aca="false">INDEX('Store Mapping'!$C$2:$C$19,MATCH(TRIM('Raw Store Exports'!B824),'Store Mapping'!$A$2:$A$19,0))</f>
        <v>Downtown</v>
      </c>
      <c r="D824" s="0" t="str">
        <f aca="false">'Raw Store Exports'!D824</f>
        <v>FTW-202</v>
      </c>
      <c r="E824" s="0" t="str">
        <f aca="false">INDEX('Product Master'!$B$2:$B$21,MATCH(D824,'Product Master'!$A$2:$A$21,0))</f>
        <v>Canvas Low-Top</v>
      </c>
      <c r="F824" s="0" t="str">
        <f aca="false">INDEX('Product Master'!$C$2:$C$21,MATCH(D824,'Product Master'!$A$2:$A$21,0))</f>
        <v>Footwear</v>
      </c>
      <c r="G824" s="15" t="n">
        <f aca="false">VALUE(TRIM('Raw Store Exports'!E824&amp;""))</f>
        <v>2</v>
      </c>
      <c r="H824" s="18" t="n">
        <f aca="false">INDEX('Product Master'!$D$2:$D$21,MATCH(D824,'Product Master'!$A$2:$A$21,0))</f>
        <v>55</v>
      </c>
      <c r="I824" s="14" t="n">
        <f aca="false">G824*H824</f>
        <v>110</v>
      </c>
      <c r="J824" s="0" t="str">
        <f aca="false">IF(COUNTIF($A$2:A824,A824)&gt;1,"Duplicate","")</f>
        <v/>
      </c>
    </row>
    <row r="825" customFormat="false" ht="15" hidden="false" customHeight="false" outlineLevel="0" collapsed="false">
      <c r="A825" s="0" t="str">
        <f aca="false">'Raw Store Exports'!A825</f>
        <v>TXN00337</v>
      </c>
      <c r="B825" s="17" t="n">
        <f aca="false">'Raw Store Exports'!C825</f>
        <v>46042</v>
      </c>
      <c r="C825" s="0" t="str">
        <f aca="false">INDEX('Store Mapping'!$C$2:$C$19,MATCH(TRIM('Raw Store Exports'!B825),'Store Mapping'!$A$2:$A$19,0))</f>
        <v>Eastgate</v>
      </c>
      <c r="D825" s="0" t="str">
        <f aca="false">'Raw Store Exports'!D825</f>
        <v>ELE-401</v>
      </c>
      <c r="E825" s="0" t="str">
        <f aca="false">INDEX('Product Master'!$B$2:$B$21,MATCH(D825,'Product Master'!$A$2:$A$21,0))</f>
        <v>Wireless Earbuds</v>
      </c>
      <c r="F825" s="0" t="str">
        <f aca="false">INDEX('Product Master'!$C$2:$C$21,MATCH(D825,'Product Master'!$A$2:$A$21,0))</f>
        <v>Electronics</v>
      </c>
      <c r="G825" s="15" t="n">
        <f aca="false">VALUE(TRIM('Raw Store Exports'!E825&amp;""))</f>
        <v>2</v>
      </c>
      <c r="H825" s="18" t="n">
        <f aca="false">INDEX('Product Master'!$D$2:$D$21,MATCH(D825,'Product Master'!$A$2:$A$21,0))</f>
        <v>79</v>
      </c>
      <c r="I825" s="14" t="n">
        <f aca="false">G825*H825</f>
        <v>158</v>
      </c>
      <c r="J825" s="0" t="str">
        <f aca="false">IF(COUNTIF($A$2:A825,A825)&gt;1,"Duplicate","")</f>
        <v/>
      </c>
    </row>
    <row r="826" customFormat="false" ht="15" hidden="false" customHeight="false" outlineLevel="0" collapsed="false">
      <c r="A826" s="0" t="str">
        <f aca="false">'Raw Store Exports'!A826</f>
        <v>TXN00050</v>
      </c>
      <c r="B826" s="17" t="n">
        <f aca="false">'Raw Store Exports'!C826</f>
        <v>46029</v>
      </c>
      <c r="C826" s="0" t="str">
        <f aca="false">INDEX('Store Mapping'!$C$2:$C$19,MATCH(TRIM('Raw Store Exports'!B826),'Store Mapping'!$A$2:$A$19,0))</f>
        <v>Eastgate</v>
      </c>
      <c r="D826" s="0" t="str">
        <f aca="false">'Raw Store Exports'!D826</f>
        <v>ELE-402</v>
      </c>
      <c r="E826" s="0" t="str">
        <f aca="false">INDEX('Product Master'!$B$2:$B$21,MATCH(D826,'Product Master'!$A$2:$A$21,0))</f>
        <v>Bluetooth Speaker</v>
      </c>
      <c r="F826" s="0" t="str">
        <f aca="false">INDEX('Product Master'!$C$2:$C$21,MATCH(D826,'Product Master'!$A$2:$A$21,0))</f>
        <v>Electronics</v>
      </c>
      <c r="G826" s="15" t="n">
        <f aca="false">VALUE(TRIM('Raw Store Exports'!E826&amp;""))</f>
        <v>6</v>
      </c>
      <c r="H826" s="18" t="n">
        <f aca="false">INDEX('Product Master'!$D$2:$D$21,MATCH(D826,'Product Master'!$A$2:$A$21,0))</f>
        <v>59</v>
      </c>
      <c r="I826" s="14" t="n">
        <f aca="false">G826*H826</f>
        <v>354</v>
      </c>
      <c r="J826" s="0" t="str">
        <f aca="false">IF(COUNTIF($A$2:A826,A826)&gt;1,"Duplicate","")</f>
        <v/>
      </c>
    </row>
    <row r="827" customFormat="false" ht="15" hidden="false" customHeight="false" outlineLevel="0" collapsed="false">
      <c r="A827" s="0" t="str">
        <f aca="false">'Raw Store Exports'!A827</f>
        <v>TXN00325</v>
      </c>
      <c r="B827" s="17" t="n">
        <f aca="false">'Raw Store Exports'!C827</f>
        <v>46045</v>
      </c>
      <c r="C827" s="0" t="str">
        <f aca="false">INDEX('Store Mapping'!$C$2:$C$19,MATCH(TRIM('Raw Store Exports'!B827),'Store Mapping'!$A$2:$A$19,0))</f>
        <v>Eastgate</v>
      </c>
      <c r="D827" s="0" t="str">
        <f aca="false">'Raw Store Exports'!D827</f>
        <v>ELE-404</v>
      </c>
      <c r="E827" s="0" t="str">
        <f aca="false">INDEX('Product Master'!$B$2:$B$21,MATCH(D827,'Product Master'!$A$2:$A$21,0))</f>
        <v>Phone Charging Cable</v>
      </c>
      <c r="F827" s="0" t="str">
        <f aca="false">INDEX('Product Master'!$C$2:$C$21,MATCH(D827,'Product Master'!$A$2:$A$21,0))</f>
        <v>Electronics</v>
      </c>
      <c r="G827" s="15" t="n">
        <f aca="false">VALUE(TRIM('Raw Store Exports'!E827&amp;""))</f>
        <v>5</v>
      </c>
      <c r="H827" s="18" t="n">
        <f aca="false">INDEX('Product Master'!$D$2:$D$21,MATCH(D827,'Product Master'!$A$2:$A$21,0))</f>
        <v>12</v>
      </c>
      <c r="I827" s="14" t="n">
        <f aca="false">G827*H827</f>
        <v>60</v>
      </c>
      <c r="J827" s="0" t="str">
        <f aca="false">IF(COUNTIF($A$2:A827,A827)&gt;1,"Duplicate","")</f>
        <v/>
      </c>
    </row>
    <row r="828" customFormat="false" ht="15" hidden="false" customHeight="false" outlineLevel="0" collapsed="false">
      <c r="A828" s="0" t="str">
        <f aca="false">'Raw Store Exports'!A828</f>
        <v>TXN01192</v>
      </c>
      <c r="B828" s="17" t="n">
        <f aca="false">'Raw Store Exports'!C828</f>
        <v>46080</v>
      </c>
      <c r="C828" s="0" t="str">
        <f aca="false">INDEX('Store Mapping'!$C$2:$C$19,MATCH(TRIM('Raw Store Exports'!B828),'Store Mapping'!$A$2:$A$19,0))</f>
        <v>Airport Plaza</v>
      </c>
      <c r="D828" s="0" t="str">
        <f aca="false">'Raw Store Exports'!D828</f>
        <v>HOM-503</v>
      </c>
      <c r="E828" s="0" t="str">
        <f aca="false">INDEX('Product Master'!$B$2:$B$21,MATCH(D828,'Product Master'!$A$2:$A$21,0))</f>
        <v>Cotton Throw Blanket</v>
      </c>
      <c r="F828" s="0" t="str">
        <f aca="false">INDEX('Product Master'!$C$2:$C$21,MATCH(D828,'Product Master'!$A$2:$A$21,0))</f>
        <v>Home Goods</v>
      </c>
      <c r="G828" s="15" t="n">
        <f aca="false">VALUE(TRIM('Raw Store Exports'!E828&amp;""))</f>
        <v>2</v>
      </c>
      <c r="H828" s="18" t="n">
        <f aca="false">INDEX('Product Master'!$D$2:$D$21,MATCH(D828,'Product Master'!$A$2:$A$21,0))</f>
        <v>38</v>
      </c>
      <c r="I828" s="14" t="n">
        <f aca="false">G828*H828</f>
        <v>76</v>
      </c>
      <c r="J828" s="0" t="str">
        <f aca="false">IF(COUNTIF($A$2:A828,A828)&gt;1,"Duplicate","")</f>
        <v/>
      </c>
    </row>
    <row r="829" customFormat="false" ht="15" hidden="false" customHeight="false" outlineLevel="0" collapsed="false">
      <c r="A829" s="0" t="str">
        <f aca="false">'Raw Store Exports'!A829</f>
        <v>TXN00524</v>
      </c>
      <c r="B829" s="17" t="n">
        <f aca="false">'Raw Store Exports'!C829</f>
        <v>46054</v>
      </c>
      <c r="C829" s="0" t="str">
        <f aca="false">INDEX('Store Mapping'!$C$2:$C$19,MATCH(TRIM('Raw Store Exports'!B829),'Store Mapping'!$A$2:$A$19,0))</f>
        <v>Northpark</v>
      </c>
      <c r="D829" s="0" t="str">
        <f aca="false">'Raw Store Exports'!D829</f>
        <v>ELE-401</v>
      </c>
      <c r="E829" s="0" t="str">
        <f aca="false">INDEX('Product Master'!$B$2:$B$21,MATCH(D829,'Product Master'!$A$2:$A$21,0))</f>
        <v>Wireless Earbuds</v>
      </c>
      <c r="F829" s="0" t="str">
        <f aca="false">INDEX('Product Master'!$C$2:$C$21,MATCH(D829,'Product Master'!$A$2:$A$21,0))</f>
        <v>Electronics</v>
      </c>
      <c r="G829" s="15" t="n">
        <f aca="false">VALUE(TRIM('Raw Store Exports'!E829&amp;""))</f>
        <v>3</v>
      </c>
      <c r="H829" s="18" t="n">
        <f aca="false">INDEX('Product Master'!$D$2:$D$21,MATCH(D829,'Product Master'!$A$2:$A$21,0))</f>
        <v>79</v>
      </c>
      <c r="I829" s="14" t="n">
        <f aca="false">G829*H829</f>
        <v>237</v>
      </c>
      <c r="J829" s="0" t="str">
        <f aca="false">IF(COUNTIF($A$2:A829,A829)&gt;1,"Duplicate","")</f>
        <v/>
      </c>
    </row>
    <row r="830" customFormat="false" ht="15" hidden="false" customHeight="false" outlineLevel="0" collapsed="false">
      <c r="A830" s="0" t="str">
        <f aca="false">'Raw Store Exports'!A830</f>
        <v>TXN00993</v>
      </c>
      <c r="B830" s="17" t="n">
        <f aca="false">'Raw Store Exports'!C830</f>
        <v>46074</v>
      </c>
      <c r="C830" s="0" t="str">
        <f aca="false">INDEX('Store Mapping'!$C$2:$C$19,MATCH(TRIM('Raw Store Exports'!B830),'Store Mapping'!$A$2:$A$19,0))</f>
        <v>Northpark</v>
      </c>
      <c r="D830" s="0" t="str">
        <f aca="false">'Raw Store Exports'!D830</f>
        <v>FTW-202</v>
      </c>
      <c r="E830" s="0" t="str">
        <f aca="false">INDEX('Product Master'!$B$2:$B$21,MATCH(D830,'Product Master'!$A$2:$A$21,0))</f>
        <v>Canvas Low-Top</v>
      </c>
      <c r="F830" s="0" t="str">
        <f aca="false">INDEX('Product Master'!$C$2:$C$21,MATCH(D830,'Product Master'!$A$2:$A$21,0))</f>
        <v>Footwear</v>
      </c>
      <c r="G830" s="15" t="n">
        <f aca="false">VALUE(TRIM('Raw Store Exports'!E830&amp;""))</f>
        <v>3</v>
      </c>
      <c r="H830" s="18" t="n">
        <f aca="false">INDEX('Product Master'!$D$2:$D$21,MATCH(D830,'Product Master'!$A$2:$A$21,0))</f>
        <v>55</v>
      </c>
      <c r="I830" s="14" t="n">
        <f aca="false">G830*H830</f>
        <v>165</v>
      </c>
      <c r="J830" s="0" t="str">
        <f aca="false">IF(COUNTIF($A$2:A830,A830)&gt;1,"Duplicate","")</f>
        <v/>
      </c>
    </row>
    <row r="831" customFormat="false" ht="15" hidden="false" customHeight="false" outlineLevel="0" collapsed="false">
      <c r="A831" s="0" t="str">
        <f aca="false">'Raw Store Exports'!A831</f>
        <v>TXN00613</v>
      </c>
      <c r="B831" s="17" t="n">
        <f aca="false">'Raw Store Exports'!C831</f>
        <v>46056</v>
      </c>
      <c r="C831" s="0" t="str">
        <f aca="false">INDEX('Store Mapping'!$C$2:$C$19,MATCH(TRIM('Raw Store Exports'!B831),'Store Mapping'!$A$2:$A$19,0))</f>
        <v>Downtown</v>
      </c>
      <c r="D831" s="0" t="str">
        <f aca="false">'Raw Store Exports'!D831</f>
        <v>ELE-402</v>
      </c>
      <c r="E831" s="0" t="str">
        <f aca="false">INDEX('Product Master'!$B$2:$B$21,MATCH(D831,'Product Master'!$A$2:$A$21,0))</f>
        <v>Bluetooth Speaker</v>
      </c>
      <c r="F831" s="0" t="str">
        <f aca="false">INDEX('Product Master'!$C$2:$C$21,MATCH(D831,'Product Master'!$A$2:$A$21,0))</f>
        <v>Electronics</v>
      </c>
      <c r="G831" s="15" t="n">
        <f aca="false">VALUE(TRIM('Raw Store Exports'!E831&amp;""))</f>
        <v>2</v>
      </c>
      <c r="H831" s="18" t="n">
        <f aca="false">INDEX('Product Master'!$D$2:$D$21,MATCH(D831,'Product Master'!$A$2:$A$21,0))</f>
        <v>59</v>
      </c>
      <c r="I831" s="14" t="n">
        <f aca="false">G831*H831</f>
        <v>118</v>
      </c>
      <c r="J831" s="0" t="str">
        <f aca="false">IF(COUNTIF($A$2:A831,A831)&gt;1,"Duplicate","")</f>
        <v/>
      </c>
    </row>
    <row r="832" customFormat="false" ht="15" hidden="false" customHeight="false" outlineLevel="0" collapsed="false">
      <c r="A832" s="0" t="str">
        <f aca="false">'Raw Store Exports'!A832</f>
        <v>TXN00713</v>
      </c>
      <c r="B832" s="17" t="n">
        <f aca="false">'Raw Store Exports'!C832</f>
        <v>46058</v>
      </c>
      <c r="C832" s="0" t="str">
        <f aca="false">INDEX('Store Mapping'!$C$2:$C$19,MATCH(TRIM('Raw Store Exports'!B832),'Store Mapping'!$A$2:$A$19,0))</f>
        <v>Riverside</v>
      </c>
      <c r="D832" s="0" t="str">
        <f aca="false">'Raw Store Exports'!D832</f>
        <v>APP-102</v>
      </c>
      <c r="E832" s="0" t="str">
        <f aca="false">INDEX('Product Master'!$B$2:$B$21,MATCH(D832,'Product Master'!$A$2:$A$21,0))</f>
        <v>Cotton Crew T-Shirt</v>
      </c>
      <c r="F832" s="0" t="str">
        <f aca="false">INDEX('Product Master'!$C$2:$C$21,MATCH(D832,'Product Master'!$A$2:$A$21,0))</f>
        <v>Apparel</v>
      </c>
      <c r="G832" s="15" t="n">
        <f aca="false">VALUE(TRIM('Raw Store Exports'!E832&amp;""))</f>
        <v>3</v>
      </c>
      <c r="H832" s="18" t="n">
        <f aca="false">INDEX('Product Master'!$D$2:$D$21,MATCH(D832,'Product Master'!$A$2:$A$21,0))</f>
        <v>18</v>
      </c>
      <c r="I832" s="14" t="n">
        <f aca="false">G832*H832</f>
        <v>54</v>
      </c>
      <c r="J832" s="0" t="str">
        <f aca="false">IF(COUNTIF($A$2:A832,A832)&gt;1,"Duplicate","")</f>
        <v/>
      </c>
    </row>
    <row r="833" customFormat="false" ht="15" hidden="false" customHeight="false" outlineLevel="0" collapsed="false">
      <c r="A833" s="0" t="str">
        <f aca="false">'Raw Store Exports'!A833</f>
        <v>TXN00847</v>
      </c>
      <c r="B833" s="17" t="n">
        <f aca="false">'Raw Store Exports'!C833</f>
        <v>46064</v>
      </c>
      <c r="C833" s="0" t="str">
        <f aca="false">INDEX('Store Mapping'!$C$2:$C$19,MATCH(TRIM('Raw Store Exports'!B833),'Store Mapping'!$A$2:$A$19,0))</f>
        <v>Northpark</v>
      </c>
      <c r="D833" s="0" t="str">
        <f aca="false">'Raw Store Exports'!D833</f>
        <v>ELE-401</v>
      </c>
      <c r="E833" s="0" t="str">
        <f aca="false">INDEX('Product Master'!$B$2:$B$21,MATCH(D833,'Product Master'!$A$2:$A$21,0))</f>
        <v>Wireless Earbuds</v>
      </c>
      <c r="F833" s="0" t="str">
        <f aca="false">INDEX('Product Master'!$C$2:$C$21,MATCH(D833,'Product Master'!$A$2:$A$21,0))</f>
        <v>Electronics</v>
      </c>
      <c r="G833" s="15" t="n">
        <f aca="false">VALUE(TRIM('Raw Store Exports'!E833&amp;""))</f>
        <v>5</v>
      </c>
      <c r="H833" s="18" t="n">
        <f aca="false">INDEX('Product Master'!$D$2:$D$21,MATCH(D833,'Product Master'!$A$2:$A$21,0))</f>
        <v>79</v>
      </c>
      <c r="I833" s="14" t="n">
        <f aca="false">G833*H833</f>
        <v>395</v>
      </c>
      <c r="J833" s="0" t="str">
        <f aca="false">IF(COUNTIF($A$2:A833,A833)&gt;1,"Duplicate","")</f>
        <v/>
      </c>
    </row>
    <row r="834" customFormat="false" ht="15" hidden="false" customHeight="false" outlineLevel="0" collapsed="false">
      <c r="A834" s="0" t="str">
        <f aca="false">'Raw Store Exports'!A834</f>
        <v>TXN00869</v>
      </c>
      <c r="B834" s="17" t="n">
        <f aca="false">'Raw Store Exports'!C834</f>
        <v>46066</v>
      </c>
      <c r="C834" s="0" t="str">
        <f aca="false">INDEX('Store Mapping'!$C$2:$C$19,MATCH(TRIM('Raw Store Exports'!B834),'Store Mapping'!$A$2:$A$19,0))</f>
        <v>Riverside</v>
      </c>
      <c r="D834" s="0" t="str">
        <f aca="false">'Raw Store Exports'!D834</f>
        <v>ELE-401</v>
      </c>
      <c r="E834" s="0" t="str">
        <f aca="false">INDEX('Product Master'!$B$2:$B$21,MATCH(D834,'Product Master'!$A$2:$A$21,0))</f>
        <v>Wireless Earbuds</v>
      </c>
      <c r="F834" s="0" t="str">
        <f aca="false">INDEX('Product Master'!$C$2:$C$21,MATCH(D834,'Product Master'!$A$2:$A$21,0))</f>
        <v>Electronics</v>
      </c>
      <c r="G834" s="15" t="n">
        <f aca="false">VALUE(TRIM('Raw Store Exports'!E834&amp;""))</f>
        <v>3</v>
      </c>
      <c r="H834" s="18" t="n">
        <f aca="false">INDEX('Product Master'!$D$2:$D$21,MATCH(D834,'Product Master'!$A$2:$A$21,0))</f>
        <v>79</v>
      </c>
      <c r="I834" s="14" t="n">
        <f aca="false">G834*H834</f>
        <v>237</v>
      </c>
      <c r="J834" s="0" t="str">
        <f aca="false">IF(COUNTIF($A$2:A834,A834)&gt;1,"Duplicate","")</f>
        <v/>
      </c>
    </row>
    <row r="835" customFormat="false" ht="15" hidden="false" customHeight="false" outlineLevel="0" collapsed="false">
      <c r="A835" s="0" t="str">
        <f aca="false">'Raw Store Exports'!A835</f>
        <v>TXN00386</v>
      </c>
      <c r="B835" s="17" t="n">
        <f aca="false">'Raw Store Exports'!C835</f>
        <v>46045</v>
      </c>
      <c r="C835" s="0" t="str">
        <f aca="false">INDEX('Store Mapping'!$C$2:$C$19,MATCH(TRIM('Raw Store Exports'!B835),'Store Mapping'!$A$2:$A$19,0))</f>
        <v>Riverside</v>
      </c>
      <c r="D835" s="0" t="str">
        <f aca="false">'Raw Store Exports'!D835</f>
        <v>FTW-203</v>
      </c>
      <c r="E835" s="0" t="str">
        <f aca="false">INDEX('Product Master'!$B$2:$B$21,MATCH(D835,'Product Master'!$A$2:$A$21,0))</f>
        <v>Leather Ankle Boot</v>
      </c>
      <c r="F835" s="0" t="str">
        <f aca="false">INDEX('Product Master'!$C$2:$C$21,MATCH(D835,'Product Master'!$A$2:$A$21,0))</f>
        <v>Footwear</v>
      </c>
      <c r="G835" s="15" t="n">
        <f aca="false">VALUE(TRIM('Raw Store Exports'!E835&amp;""))</f>
        <v>1</v>
      </c>
      <c r="H835" s="18" t="n">
        <f aca="false">INDEX('Product Master'!$D$2:$D$21,MATCH(D835,'Product Master'!$A$2:$A$21,0))</f>
        <v>120</v>
      </c>
      <c r="I835" s="14" t="n">
        <f aca="false">G835*H835</f>
        <v>120</v>
      </c>
      <c r="J835" s="0" t="str">
        <f aca="false">IF(COUNTIF($A$2:A835,A835)&gt;1,"Duplicate","")</f>
        <v/>
      </c>
    </row>
    <row r="836" customFormat="false" ht="15" hidden="false" customHeight="false" outlineLevel="0" collapsed="false">
      <c r="A836" s="0" t="str">
        <f aca="false">'Raw Store Exports'!A836</f>
        <v>TXN00069</v>
      </c>
      <c r="B836" s="17" t="n">
        <f aca="false">'Raw Store Exports'!C836</f>
        <v>46032</v>
      </c>
      <c r="C836" s="0" t="str">
        <f aca="false">INDEX('Store Mapping'!$C$2:$C$19,MATCH(TRIM('Raw Store Exports'!B836),'Store Mapping'!$A$2:$A$19,0))</f>
        <v>Eastgate</v>
      </c>
      <c r="D836" s="0" t="str">
        <f aca="false">'Raw Store Exports'!D836</f>
        <v>ACC-302</v>
      </c>
      <c r="E836" s="0" t="str">
        <f aca="false">INDEX('Product Master'!$B$2:$B$21,MATCH(D836,'Product Master'!$A$2:$A$21,0))</f>
        <v>Aviator Sunglasses</v>
      </c>
      <c r="F836" s="0" t="str">
        <f aca="false">INDEX('Product Master'!$C$2:$C$21,MATCH(D836,'Product Master'!$A$2:$A$21,0))</f>
        <v>Accessories</v>
      </c>
      <c r="G836" s="15" t="n">
        <f aca="false">VALUE(TRIM('Raw Store Exports'!E836&amp;""))</f>
        <v>3</v>
      </c>
      <c r="H836" s="18" t="n">
        <f aca="false">INDEX('Product Master'!$D$2:$D$21,MATCH(D836,'Product Master'!$A$2:$A$21,0))</f>
        <v>42</v>
      </c>
      <c r="I836" s="14" t="n">
        <f aca="false">G836*H836</f>
        <v>126</v>
      </c>
      <c r="J836" s="0" t="str">
        <f aca="false">IF(COUNTIF($A$2:A836,A836)&gt;1,"Duplicate","")</f>
        <v/>
      </c>
    </row>
    <row r="837" customFormat="false" ht="15" hidden="false" customHeight="false" outlineLevel="0" collapsed="false">
      <c r="A837" s="0" t="str">
        <f aca="false">'Raw Store Exports'!A837</f>
        <v>TXN00060</v>
      </c>
      <c r="B837" s="17" t="n">
        <f aca="false">'Raw Store Exports'!C837</f>
        <v>46033</v>
      </c>
      <c r="C837" s="0" t="str">
        <f aca="false">INDEX('Store Mapping'!$C$2:$C$19,MATCH(TRIM('Raw Store Exports'!B837),'Store Mapping'!$A$2:$A$19,0))</f>
        <v>Eastgate</v>
      </c>
      <c r="D837" s="0" t="str">
        <f aca="false">'Raw Store Exports'!D837</f>
        <v>FTW-204</v>
      </c>
      <c r="E837" s="0" t="str">
        <f aca="false">INDEX('Product Master'!$B$2:$B$21,MATCH(D837,'Product Master'!$A$2:$A$21,0))</f>
        <v>Slide Sandals</v>
      </c>
      <c r="F837" s="0" t="str">
        <f aca="false">INDEX('Product Master'!$C$2:$C$21,MATCH(D837,'Product Master'!$A$2:$A$21,0))</f>
        <v>Footwear</v>
      </c>
      <c r="G837" s="15" t="n">
        <f aca="false">VALUE(TRIM('Raw Store Exports'!E837&amp;""))</f>
        <v>1</v>
      </c>
      <c r="H837" s="18" t="n">
        <f aca="false">INDEX('Product Master'!$D$2:$D$21,MATCH(D837,'Product Master'!$A$2:$A$21,0))</f>
        <v>25</v>
      </c>
      <c r="I837" s="14" t="n">
        <f aca="false">G837*H837</f>
        <v>25</v>
      </c>
      <c r="J837" s="0" t="str">
        <f aca="false">IF(COUNTIF($A$2:A837,A837)&gt;1,"Duplicate","")</f>
        <v/>
      </c>
    </row>
    <row r="838" customFormat="false" ht="15" hidden="false" customHeight="false" outlineLevel="0" collapsed="false">
      <c r="A838" s="0" t="str">
        <f aca="false">'Raw Store Exports'!A838</f>
        <v>TXN01043</v>
      </c>
      <c r="B838" s="17" t="n">
        <f aca="false">'Raw Store Exports'!C838</f>
        <v>46069</v>
      </c>
      <c r="C838" s="0" t="str">
        <f aca="false">INDEX('Store Mapping'!$C$2:$C$19,MATCH(TRIM('Raw Store Exports'!B838),'Store Mapping'!$A$2:$A$19,0))</f>
        <v>Airport Plaza</v>
      </c>
      <c r="D838" s="0" t="str">
        <f aca="false">'Raw Store Exports'!D838</f>
        <v>HOM-503</v>
      </c>
      <c r="E838" s="0" t="str">
        <f aca="false">INDEX('Product Master'!$B$2:$B$21,MATCH(D838,'Product Master'!$A$2:$A$21,0))</f>
        <v>Cotton Throw Blanket</v>
      </c>
      <c r="F838" s="0" t="str">
        <f aca="false">INDEX('Product Master'!$C$2:$C$21,MATCH(D838,'Product Master'!$A$2:$A$21,0))</f>
        <v>Home Goods</v>
      </c>
      <c r="G838" s="15" t="n">
        <f aca="false">VALUE(TRIM('Raw Store Exports'!E838&amp;""))</f>
        <v>2</v>
      </c>
      <c r="H838" s="18" t="n">
        <f aca="false">INDEX('Product Master'!$D$2:$D$21,MATCH(D838,'Product Master'!$A$2:$A$21,0))</f>
        <v>38</v>
      </c>
      <c r="I838" s="14" t="n">
        <f aca="false">G838*H838</f>
        <v>76</v>
      </c>
      <c r="J838" s="0" t="str">
        <f aca="false">IF(COUNTIF($A$2:A838,A838)&gt;1,"Duplicate","")</f>
        <v/>
      </c>
    </row>
    <row r="839" customFormat="false" ht="15" hidden="false" customHeight="false" outlineLevel="0" collapsed="false">
      <c r="A839" s="0" t="str">
        <f aca="false">'Raw Store Exports'!A839</f>
        <v>TXN00305</v>
      </c>
      <c r="B839" s="17" t="n">
        <f aca="false">'Raw Store Exports'!C839</f>
        <v>46047</v>
      </c>
      <c r="C839" s="0" t="str">
        <f aca="false">INDEX('Store Mapping'!$C$2:$C$19,MATCH(TRIM('Raw Store Exports'!B839),'Store Mapping'!$A$2:$A$19,0))</f>
        <v>Westside Mall</v>
      </c>
      <c r="D839" s="0" t="str">
        <f aca="false">'Raw Store Exports'!D839</f>
        <v>HOM-501</v>
      </c>
      <c r="E839" s="0" t="str">
        <f aca="false">INDEX('Product Master'!$B$2:$B$21,MATCH(D839,'Product Master'!$A$2:$A$21,0))</f>
        <v>Ceramic Coffee Mug Set</v>
      </c>
      <c r="F839" s="0" t="str">
        <f aca="false">INDEX('Product Master'!$C$2:$C$21,MATCH(D839,'Product Master'!$A$2:$A$21,0))</f>
        <v>Home Goods</v>
      </c>
      <c r="G839" s="15" t="n">
        <f aca="false">VALUE(TRIM('Raw Store Exports'!E839&amp;""))</f>
        <v>1</v>
      </c>
      <c r="H839" s="18" t="n">
        <f aca="false">INDEX('Product Master'!$D$2:$D$21,MATCH(D839,'Product Master'!$A$2:$A$21,0))</f>
        <v>22</v>
      </c>
      <c r="I839" s="14" t="n">
        <f aca="false">G839*H839</f>
        <v>22</v>
      </c>
      <c r="J839" s="0" t="str">
        <f aca="false">IF(COUNTIF($A$2:A839,A839)&gt;1,"Duplicate","")</f>
        <v>Duplicate</v>
      </c>
    </row>
    <row r="840" customFormat="false" ht="15" hidden="false" customHeight="false" outlineLevel="0" collapsed="false">
      <c r="A840" s="0" t="str">
        <f aca="false">'Raw Store Exports'!A840</f>
        <v>TXN00004</v>
      </c>
      <c r="B840" s="17" t="n">
        <f aca="false">'Raw Store Exports'!C840</f>
        <v>46030</v>
      </c>
      <c r="C840" s="0" t="str">
        <f aca="false">INDEX('Store Mapping'!$C$2:$C$19,MATCH(TRIM('Raw Store Exports'!B840),'Store Mapping'!$A$2:$A$19,0))</f>
        <v>Downtown</v>
      </c>
      <c r="D840" s="0" t="str">
        <f aca="false">'Raw Store Exports'!D840</f>
        <v>ACC-303</v>
      </c>
      <c r="E840" s="0" t="str">
        <f aca="false">INDEX('Product Master'!$B$2:$B$21,MATCH(D840,'Product Master'!$A$2:$A$21,0))</f>
        <v>Canvas Tote Bag</v>
      </c>
      <c r="F840" s="0" t="str">
        <f aca="false">INDEX('Product Master'!$C$2:$C$21,MATCH(D840,'Product Master'!$A$2:$A$21,0))</f>
        <v>Accessories</v>
      </c>
      <c r="G840" s="15" t="n">
        <f aca="false">VALUE(TRIM('Raw Store Exports'!E840&amp;""))</f>
        <v>6</v>
      </c>
      <c r="H840" s="18" t="n">
        <f aca="false">INDEX('Product Master'!$D$2:$D$21,MATCH(D840,'Product Master'!$A$2:$A$21,0))</f>
        <v>24</v>
      </c>
      <c r="I840" s="14" t="n">
        <f aca="false">G840*H840</f>
        <v>144</v>
      </c>
      <c r="J840" s="0" t="str">
        <f aca="false">IF(COUNTIF($A$2:A840,A840)&gt;1,"Duplicate","")</f>
        <v/>
      </c>
    </row>
    <row r="841" customFormat="false" ht="15" hidden="false" customHeight="false" outlineLevel="0" collapsed="false">
      <c r="A841" s="0" t="str">
        <f aca="false">'Raw Store Exports'!A841</f>
        <v>TXN00988</v>
      </c>
      <c r="B841" s="17" t="n">
        <f aca="false">'Raw Store Exports'!C841</f>
        <v>46075</v>
      </c>
      <c r="C841" s="0" t="str">
        <f aca="false">INDEX('Store Mapping'!$C$2:$C$19,MATCH(TRIM('Raw Store Exports'!B841),'Store Mapping'!$A$2:$A$19,0))</f>
        <v>Northpark</v>
      </c>
      <c r="D841" s="0" t="str">
        <f aca="false">'Raw Store Exports'!D841</f>
        <v>APP-101</v>
      </c>
      <c r="E841" s="0" t="str">
        <f aca="false">INDEX('Product Master'!$B$2:$B$21,MATCH(D841,'Product Master'!$A$2:$A$21,0))</f>
        <v>Classic Denim Jacket</v>
      </c>
      <c r="F841" s="0" t="str">
        <f aca="false">INDEX('Product Master'!$C$2:$C$21,MATCH(D841,'Product Master'!$A$2:$A$21,0))</f>
        <v>Apparel</v>
      </c>
      <c r="G841" s="15" t="n">
        <f aca="false">VALUE(TRIM('Raw Store Exports'!E841&amp;""))</f>
        <v>3</v>
      </c>
      <c r="H841" s="18" t="n">
        <f aca="false">INDEX('Product Master'!$D$2:$D$21,MATCH(D841,'Product Master'!$A$2:$A$21,0))</f>
        <v>68</v>
      </c>
      <c r="I841" s="14" t="n">
        <f aca="false">G841*H841</f>
        <v>204</v>
      </c>
      <c r="J841" s="0" t="str">
        <f aca="false">IF(COUNTIF($A$2:A841,A841)&gt;1,"Duplicate","")</f>
        <v/>
      </c>
    </row>
    <row r="842" customFormat="false" ht="15" hidden="false" customHeight="false" outlineLevel="0" collapsed="false">
      <c r="A842" s="0" t="str">
        <f aca="false">'Raw Store Exports'!A842</f>
        <v>TXN01188</v>
      </c>
      <c r="B842" s="17" t="n">
        <f aca="false">'Raw Store Exports'!C842</f>
        <v>46079</v>
      </c>
      <c r="C842" s="0" t="str">
        <f aca="false">INDEX('Store Mapping'!$C$2:$C$19,MATCH(TRIM('Raw Store Exports'!B842),'Store Mapping'!$A$2:$A$19,0))</f>
        <v>Airport Plaza</v>
      </c>
      <c r="D842" s="0" t="str">
        <f aca="false">'Raw Store Exports'!D842</f>
        <v>HOM-501</v>
      </c>
      <c r="E842" s="0" t="str">
        <f aca="false">INDEX('Product Master'!$B$2:$B$21,MATCH(D842,'Product Master'!$A$2:$A$21,0))</f>
        <v>Ceramic Coffee Mug Set</v>
      </c>
      <c r="F842" s="0" t="str">
        <f aca="false">INDEX('Product Master'!$C$2:$C$21,MATCH(D842,'Product Master'!$A$2:$A$21,0))</f>
        <v>Home Goods</v>
      </c>
      <c r="G842" s="15" t="n">
        <f aca="false">VALUE(TRIM('Raw Store Exports'!E842&amp;""))</f>
        <v>5</v>
      </c>
      <c r="H842" s="18" t="n">
        <f aca="false">INDEX('Product Master'!$D$2:$D$21,MATCH(D842,'Product Master'!$A$2:$A$21,0))</f>
        <v>22</v>
      </c>
      <c r="I842" s="14" t="n">
        <f aca="false">G842*H842</f>
        <v>110</v>
      </c>
      <c r="J842" s="0" t="str">
        <f aca="false">IF(COUNTIF($A$2:A842,A842)&gt;1,"Duplicate","")</f>
        <v/>
      </c>
    </row>
    <row r="843" customFormat="false" ht="15" hidden="false" customHeight="false" outlineLevel="0" collapsed="false">
      <c r="A843" s="0" t="str">
        <f aca="false">'Raw Store Exports'!A843</f>
        <v>TXN00745</v>
      </c>
      <c r="B843" s="17" t="n">
        <f aca="false">'Raw Store Exports'!C843</f>
        <v>46066</v>
      </c>
      <c r="C843" s="0" t="str">
        <f aca="false">INDEX('Store Mapping'!$C$2:$C$19,MATCH(TRIM('Raw Store Exports'!B843),'Store Mapping'!$A$2:$A$19,0))</f>
        <v>Downtown</v>
      </c>
      <c r="D843" s="0" t="str">
        <f aca="false">'Raw Store Exports'!D843</f>
        <v>ACC-303</v>
      </c>
      <c r="E843" s="0" t="str">
        <f aca="false">INDEX('Product Master'!$B$2:$B$21,MATCH(D843,'Product Master'!$A$2:$A$21,0))</f>
        <v>Canvas Tote Bag</v>
      </c>
      <c r="F843" s="0" t="str">
        <f aca="false">INDEX('Product Master'!$C$2:$C$21,MATCH(D843,'Product Master'!$A$2:$A$21,0))</f>
        <v>Accessories</v>
      </c>
      <c r="G843" s="15" t="n">
        <f aca="false">VALUE(TRIM('Raw Store Exports'!E843&amp;""))</f>
        <v>3</v>
      </c>
      <c r="H843" s="18" t="n">
        <f aca="false">INDEX('Product Master'!$D$2:$D$21,MATCH(D843,'Product Master'!$A$2:$A$21,0))</f>
        <v>24</v>
      </c>
      <c r="I843" s="14" t="n">
        <f aca="false">G843*H843</f>
        <v>72</v>
      </c>
      <c r="J843" s="0" t="str">
        <f aca="false">IF(COUNTIF($A$2:A843,A843)&gt;1,"Duplicate","")</f>
        <v/>
      </c>
    </row>
    <row r="844" customFormat="false" ht="15" hidden="false" customHeight="false" outlineLevel="0" collapsed="false">
      <c r="A844" s="0" t="str">
        <f aca="false">'Raw Store Exports'!A844</f>
        <v>TXN00666</v>
      </c>
      <c r="B844" s="17" t="n">
        <f aca="false">'Raw Store Exports'!C844</f>
        <v>46059</v>
      </c>
      <c r="C844" s="0" t="str">
        <f aca="false">INDEX('Store Mapping'!$C$2:$C$19,MATCH(TRIM('Raw Store Exports'!B844),'Store Mapping'!$A$2:$A$19,0))</f>
        <v>Northpark</v>
      </c>
      <c r="D844" s="0" t="str">
        <f aca="false">'Raw Store Exports'!D844</f>
        <v>ACC-303</v>
      </c>
      <c r="E844" s="0" t="str">
        <f aca="false">INDEX('Product Master'!$B$2:$B$21,MATCH(D844,'Product Master'!$A$2:$A$21,0))</f>
        <v>Canvas Tote Bag</v>
      </c>
      <c r="F844" s="0" t="str">
        <f aca="false">INDEX('Product Master'!$C$2:$C$21,MATCH(D844,'Product Master'!$A$2:$A$21,0))</f>
        <v>Accessories</v>
      </c>
      <c r="G844" s="15" t="n">
        <f aca="false">VALUE(TRIM('Raw Store Exports'!E844&amp;""))</f>
        <v>2</v>
      </c>
      <c r="H844" s="18" t="n">
        <f aca="false">INDEX('Product Master'!$D$2:$D$21,MATCH(D844,'Product Master'!$A$2:$A$21,0))</f>
        <v>24</v>
      </c>
      <c r="I844" s="14" t="n">
        <f aca="false">G844*H844</f>
        <v>48</v>
      </c>
      <c r="J844" s="0" t="str">
        <f aca="false">IF(COUNTIF($A$2:A844,A844)&gt;1,"Duplicate","")</f>
        <v/>
      </c>
    </row>
    <row r="845" customFormat="false" ht="15" hidden="false" customHeight="false" outlineLevel="0" collapsed="false">
      <c r="A845" s="0" t="str">
        <f aca="false">'Raw Store Exports'!A845</f>
        <v>TXN00556</v>
      </c>
      <c r="B845" s="17" t="n">
        <f aca="false">'Raw Store Exports'!C845</f>
        <v>46052</v>
      </c>
      <c r="C845" s="0" t="str">
        <f aca="false">INDEX('Store Mapping'!$C$2:$C$19,MATCH(TRIM('Raw Store Exports'!B845),'Store Mapping'!$A$2:$A$19,0))</f>
        <v>Riverside</v>
      </c>
      <c r="D845" s="0" t="str">
        <f aca="false">'Raw Store Exports'!D845</f>
        <v>FTW-201</v>
      </c>
      <c r="E845" s="0" t="str">
        <f aca="false">INDEX('Product Master'!$B$2:$B$21,MATCH(D845,'Product Master'!$A$2:$A$21,0))</f>
        <v>Running Sneakers</v>
      </c>
      <c r="F845" s="0" t="str">
        <f aca="false">INDEX('Product Master'!$C$2:$C$21,MATCH(D845,'Product Master'!$A$2:$A$21,0))</f>
        <v>Footwear</v>
      </c>
      <c r="G845" s="15" t="n">
        <f aca="false">VALUE(TRIM('Raw Store Exports'!E845&amp;""))</f>
        <v>2</v>
      </c>
      <c r="H845" s="18" t="n">
        <f aca="false">INDEX('Product Master'!$D$2:$D$21,MATCH(D845,'Product Master'!$A$2:$A$21,0))</f>
        <v>89</v>
      </c>
      <c r="I845" s="14" t="n">
        <f aca="false">G845*H845</f>
        <v>178</v>
      </c>
      <c r="J845" s="0" t="str">
        <f aca="false">IF(COUNTIF($A$2:A845,A845)&gt;1,"Duplicate","")</f>
        <v/>
      </c>
    </row>
    <row r="846" customFormat="false" ht="15" hidden="false" customHeight="false" outlineLevel="0" collapsed="false">
      <c r="A846" s="0" t="str">
        <f aca="false">'Raw Store Exports'!A846</f>
        <v>TXN00918</v>
      </c>
      <c r="B846" s="17" t="n">
        <f aca="false">'Raw Store Exports'!C846</f>
        <v>46069</v>
      </c>
      <c r="C846" s="0" t="str">
        <f aca="false">INDEX('Store Mapping'!$C$2:$C$19,MATCH(TRIM('Raw Store Exports'!B846),'Store Mapping'!$A$2:$A$19,0))</f>
        <v>Westside Mall</v>
      </c>
      <c r="D846" s="0" t="str">
        <f aca="false">'Raw Store Exports'!D846</f>
        <v>FTW-204</v>
      </c>
      <c r="E846" s="0" t="str">
        <f aca="false">INDEX('Product Master'!$B$2:$B$21,MATCH(D846,'Product Master'!$A$2:$A$21,0))</f>
        <v>Slide Sandals</v>
      </c>
      <c r="F846" s="0" t="str">
        <f aca="false">INDEX('Product Master'!$C$2:$C$21,MATCH(D846,'Product Master'!$A$2:$A$21,0))</f>
        <v>Footwear</v>
      </c>
      <c r="G846" s="15" t="n">
        <f aca="false">VALUE(TRIM('Raw Store Exports'!E846&amp;""))</f>
        <v>2</v>
      </c>
      <c r="H846" s="18" t="n">
        <f aca="false">INDEX('Product Master'!$D$2:$D$21,MATCH(D846,'Product Master'!$A$2:$A$21,0))</f>
        <v>25</v>
      </c>
      <c r="I846" s="14" t="n">
        <f aca="false">G846*H846</f>
        <v>50</v>
      </c>
      <c r="J846" s="0" t="str">
        <f aca="false">IF(COUNTIF($A$2:A846,A846)&gt;1,"Duplicate","")</f>
        <v>Duplicate</v>
      </c>
    </row>
    <row r="847" customFormat="false" ht="15" hidden="false" customHeight="false" outlineLevel="0" collapsed="false">
      <c r="A847" s="0" t="str">
        <f aca="false">'Raw Store Exports'!A847</f>
        <v>TXN00946</v>
      </c>
      <c r="B847" s="17" t="n">
        <f aca="false">'Raw Store Exports'!C847</f>
        <v>46071</v>
      </c>
      <c r="C847" s="0" t="str">
        <f aca="false">INDEX('Store Mapping'!$C$2:$C$19,MATCH(TRIM('Raw Store Exports'!B847),'Store Mapping'!$A$2:$A$19,0))</f>
        <v>Eastgate</v>
      </c>
      <c r="D847" s="0" t="str">
        <f aca="false">'Raw Store Exports'!D847</f>
        <v>APP-102</v>
      </c>
      <c r="E847" s="0" t="str">
        <f aca="false">INDEX('Product Master'!$B$2:$B$21,MATCH(D847,'Product Master'!$A$2:$A$21,0))</f>
        <v>Cotton Crew T-Shirt</v>
      </c>
      <c r="F847" s="0" t="str">
        <f aca="false">INDEX('Product Master'!$C$2:$C$21,MATCH(D847,'Product Master'!$A$2:$A$21,0))</f>
        <v>Apparel</v>
      </c>
      <c r="G847" s="15" t="n">
        <f aca="false">VALUE(TRIM('Raw Store Exports'!E847&amp;""))</f>
        <v>5</v>
      </c>
      <c r="H847" s="18" t="n">
        <f aca="false">INDEX('Product Master'!$D$2:$D$21,MATCH(D847,'Product Master'!$A$2:$A$21,0))</f>
        <v>18</v>
      </c>
      <c r="I847" s="14" t="n">
        <f aca="false">G847*H847</f>
        <v>90</v>
      </c>
      <c r="J847" s="0" t="str">
        <f aca="false">IF(COUNTIF($A$2:A847,A847)&gt;1,"Duplicate","")</f>
        <v/>
      </c>
    </row>
    <row r="848" customFormat="false" ht="15" hidden="false" customHeight="false" outlineLevel="0" collapsed="false">
      <c r="A848" s="0" t="str">
        <f aca="false">'Raw Store Exports'!A848</f>
        <v>TXN00487</v>
      </c>
      <c r="B848" s="17" t="n">
        <f aca="false">'Raw Store Exports'!C848</f>
        <v>46052</v>
      </c>
      <c r="C848" s="0" t="str">
        <f aca="false">INDEX('Store Mapping'!$C$2:$C$19,MATCH(TRIM('Raw Store Exports'!B848),'Store Mapping'!$A$2:$A$19,0))</f>
        <v>Eastgate</v>
      </c>
      <c r="D848" s="0" t="str">
        <f aca="false">'Raw Store Exports'!D848</f>
        <v>ACC-304</v>
      </c>
      <c r="E848" s="0" t="str">
        <f aca="false">INDEX('Product Master'!$B$2:$B$21,MATCH(D848,'Product Master'!$A$2:$A$21,0))</f>
        <v>Wool Beanie</v>
      </c>
      <c r="F848" s="0" t="str">
        <f aca="false">INDEX('Product Master'!$C$2:$C$21,MATCH(D848,'Product Master'!$A$2:$A$21,0))</f>
        <v>Accessories</v>
      </c>
      <c r="G848" s="15" t="n">
        <f aca="false">VALUE(TRIM('Raw Store Exports'!E848&amp;""))</f>
        <v>4</v>
      </c>
      <c r="H848" s="18" t="n">
        <f aca="false">INDEX('Product Master'!$D$2:$D$21,MATCH(D848,'Product Master'!$A$2:$A$21,0))</f>
        <v>16</v>
      </c>
      <c r="I848" s="14" t="n">
        <f aca="false">G848*H848</f>
        <v>64</v>
      </c>
      <c r="J848" s="0" t="str">
        <f aca="false">IF(COUNTIF($A$2:A848,A848)&gt;1,"Duplicate","")</f>
        <v/>
      </c>
    </row>
    <row r="849" customFormat="false" ht="15" hidden="false" customHeight="false" outlineLevel="0" collapsed="false">
      <c r="A849" s="0" t="str">
        <f aca="false">'Raw Store Exports'!A849</f>
        <v>TXN00484</v>
      </c>
      <c r="B849" s="17" t="n">
        <f aca="false">'Raw Store Exports'!C849</f>
        <v>46053</v>
      </c>
      <c r="C849" s="0" t="str">
        <f aca="false">INDEX('Store Mapping'!$C$2:$C$19,MATCH(TRIM('Raw Store Exports'!B849),'Store Mapping'!$A$2:$A$19,0))</f>
        <v>Westside Mall</v>
      </c>
      <c r="D849" s="0" t="str">
        <f aca="false">'Raw Store Exports'!D849</f>
        <v>APP-102</v>
      </c>
      <c r="E849" s="0" t="str">
        <f aca="false">INDEX('Product Master'!$B$2:$B$21,MATCH(D849,'Product Master'!$A$2:$A$21,0))</f>
        <v>Cotton Crew T-Shirt</v>
      </c>
      <c r="F849" s="0" t="str">
        <f aca="false">INDEX('Product Master'!$C$2:$C$21,MATCH(D849,'Product Master'!$A$2:$A$21,0))</f>
        <v>Apparel</v>
      </c>
      <c r="G849" s="15" t="n">
        <f aca="false">VALUE(TRIM('Raw Store Exports'!E849&amp;""))</f>
        <v>4</v>
      </c>
      <c r="H849" s="18" t="n">
        <f aca="false">INDEX('Product Master'!$D$2:$D$21,MATCH(D849,'Product Master'!$A$2:$A$21,0))</f>
        <v>18</v>
      </c>
      <c r="I849" s="14" t="n">
        <f aca="false">G849*H849</f>
        <v>72</v>
      </c>
      <c r="J849" s="0" t="str">
        <f aca="false">IF(COUNTIF($A$2:A849,A849)&gt;1,"Duplicate","")</f>
        <v/>
      </c>
    </row>
    <row r="850" customFormat="false" ht="15" hidden="false" customHeight="false" outlineLevel="0" collapsed="false">
      <c r="A850" s="0" t="str">
        <f aca="false">'Raw Store Exports'!A850</f>
        <v>TXN00959</v>
      </c>
      <c r="B850" s="17" t="n">
        <f aca="false">'Raw Store Exports'!C850</f>
        <v>46069</v>
      </c>
      <c r="C850" s="0" t="str">
        <f aca="false">INDEX('Store Mapping'!$C$2:$C$19,MATCH(TRIM('Raw Store Exports'!B850),'Store Mapping'!$A$2:$A$19,0))</f>
        <v>Eastgate</v>
      </c>
      <c r="D850" s="0" t="str">
        <f aca="false">'Raw Store Exports'!D850</f>
        <v>HOM-503</v>
      </c>
      <c r="E850" s="0" t="str">
        <f aca="false">INDEX('Product Master'!$B$2:$B$21,MATCH(D850,'Product Master'!$A$2:$A$21,0))</f>
        <v>Cotton Throw Blanket</v>
      </c>
      <c r="F850" s="0" t="str">
        <f aca="false">INDEX('Product Master'!$C$2:$C$21,MATCH(D850,'Product Master'!$A$2:$A$21,0))</f>
        <v>Home Goods</v>
      </c>
      <c r="G850" s="15" t="n">
        <f aca="false">VALUE(TRIM('Raw Store Exports'!E850&amp;""))</f>
        <v>3</v>
      </c>
      <c r="H850" s="18" t="n">
        <f aca="false">INDEX('Product Master'!$D$2:$D$21,MATCH(D850,'Product Master'!$A$2:$A$21,0))</f>
        <v>38</v>
      </c>
      <c r="I850" s="14" t="n">
        <f aca="false">G850*H850</f>
        <v>114</v>
      </c>
      <c r="J850" s="0" t="str">
        <f aca="false">IF(COUNTIF($A$2:A850,A850)&gt;1,"Duplicate","")</f>
        <v/>
      </c>
    </row>
    <row r="851" customFormat="false" ht="15" hidden="false" customHeight="false" outlineLevel="0" collapsed="false">
      <c r="A851" s="0" t="str">
        <f aca="false">'Raw Store Exports'!A851</f>
        <v>TXN00021</v>
      </c>
      <c r="B851" s="17" t="n">
        <f aca="false">'Raw Store Exports'!C851</f>
        <v>46032</v>
      </c>
      <c r="C851" s="0" t="str">
        <f aca="false">INDEX('Store Mapping'!$C$2:$C$19,MATCH(TRIM('Raw Store Exports'!B851),'Store Mapping'!$A$2:$A$19,0))</f>
        <v>Westside Mall</v>
      </c>
      <c r="D851" s="0" t="str">
        <f aca="false">'Raw Store Exports'!D851</f>
        <v>ACC-304</v>
      </c>
      <c r="E851" s="0" t="str">
        <f aca="false">INDEX('Product Master'!$B$2:$B$21,MATCH(D851,'Product Master'!$A$2:$A$21,0))</f>
        <v>Wool Beanie</v>
      </c>
      <c r="F851" s="0" t="str">
        <f aca="false">INDEX('Product Master'!$C$2:$C$21,MATCH(D851,'Product Master'!$A$2:$A$21,0))</f>
        <v>Accessories</v>
      </c>
      <c r="G851" s="15" t="n">
        <f aca="false">VALUE(TRIM('Raw Store Exports'!E851&amp;""))</f>
        <v>4</v>
      </c>
      <c r="H851" s="18" t="n">
        <f aca="false">INDEX('Product Master'!$D$2:$D$21,MATCH(D851,'Product Master'!$A$2:$A$21,0))</f>
        <v>16</v>
      </c>
      <c r="I851" s="14" t="n">
        <f aca="false">G851*H851</f>
        <v>64</v>
      </c>
      <c r="J851" s="0" t="str">
        <f aca="false">IF(COUNTIF($A$2:A851,A851)&gt;1,"Duplicate","")</f>
        <v/>
      </c>
    </row>
    <row r="852" customFormat="false" ht="15" hidden="false" customHeight="false" outlineLevel="0" collapsed="false">
      <c r="A852" s="0" t="str">
        <f aca="false">'Raw Store Exports'!A852</f>
        <v>TXN01092</v>
      </c>
      <c r="B852" s="17" t="n">
        <f aca="false">'Raw Store Exports'!C852</f>
        <v>46081</v>
      </c>
      <c r="C852" s="0" t="str">
        <f aca="false">INDEX('Store Mapping'!$C$2:$C$19,MATCH(TRIM('Raw Store Exports'!B852),'Store Mapping'!$A$2:$A$19,0))</f>
        <v>Westside Mall</v>
      </c>
      <c r="D852" s="0" t="str">
        <f aca="false">'Raw Store Exports'!D852</f>
        <v>HOM-502</v>
      </c>
      <c r="E852" s="0" t="str">
        <f aca="false">INDEX('Product Master'!$B$2:$B$21,MATCH(D852,'Product Master'!$A$2:$A$21,0))</f>
        <v>Scented Candle</v>
      </c>
      <c r="F852" s="0" t="str">
        <f aca="false">INDEX('Product Master'!$C$2:$C$21,MATCH(D852,'Product Master'!$A$2:$A$21,0))</f>
        <v>Home Goods</v>
      </c>
      <c r="G852" s="15" t="n">
        <f aca="false">VALUE(TRIM('Raw Store Exports'!E852&amp;""))</f>
        <v>5</v>
      </c>
      <c r="H852" s="18" t="n">
        <f aca="false">INDEX('Product Master'!$D$2:$D$21,MATCH(D852,'Product Master'!$A$2:$A$21,0))</f>
        <v>15</v>
      </c>
      <c r="I852" s="14" t="n">
        <f aca="false">G852*H852</f>
        <v>75</v>
      </c>
      <c r="J852" s="0" t="str">
        <f aca="false">IF(COUNTIF($A$2:A852,A852)&gt;1,"Duplicate","")</f>
        <v>Duplicate</v>
      </c>
    </row>
    <row r="853" customFormat="false" ht="15" hidden="false" customHeight="false" outlineLevel="0" collapsed="false">
      <c r="A853" s="0" t="str">
        <f aca="false">'Raw Store Exports'!A853</f>
        <v>TXN00167</v>
      </c>
      <c r="B853" s="17" t="n">
        <f aca="false">'Raw Store Exports'!C853</f>
        <v>46040</v>
      </c>
      <c r="C853" s="0" t="str">
        <f aca="false">INDEX('Store Mapping'!$C$2:$C$19,MATCH(TRIM('Raw Store Exports'!B853),'Store Mapping'!$A$2:$A$19,0))</f>
        <v>Westside Mall</v>
      </c>
      <c r="D853" s="0" t="str">
        <f aca="false">'Raw Store Exports'!D853</f>
        <v>HOM-504</v>
      </c>
      <c r="E853" s="0" t="str">
        <f aca="false">INDEX('Product Master'!$B$2:$B$21,MATCH(D853,'Product Master'!$A$2:$A$21,0))</f>
        <v>Bamboo Cutting Board</v>
      </c>
      <c r="F853" s="0" t="str">
        <f aca="false">INDEX('Product Master'!$C$2:$C$21,MATCH(D853,'Product Master'!$A$2:$A$21,0))</f>
        <v>Home Goods</v>
      </c>
      <c r="G853" s="15" t="n">
        <f aca="false">VALUE(TRIM('Raw Store Exports'!E853&amp;""))</f>
        <v>2</v>
      </c>
      <c r="H853" s="18" t="n">
        <f aca="false">INDEX('Product Master'!$D$2:$D$21,MATCH(D853,'Product Master'!$A$2:$A$21,0))</f>
        <v>27</v>
      </c>
      <c r="I853" s="14" t="n">
        <f aca="false">G853*H853</f>
        <v>54</v>
      </c>
      <c r="J853" s="0" t="str">
        <f aca="false">IF(COUNTIF($A$2:A853,A853)&gt;1,"Duplicate","")</f>
        <v/>
      </c>
    </row>
    <row r="854" customFormat="false" ht="15" hidden="false" customHeight="false" outlineLevel="0" collapsed="false">
      <c r="A854" s="0" t="str">
        <f aca="false">'Raw Store Exports'!A854</f>
        <v>TXN00366</v>
      </c>
      <c r="B854" s="17" t="n">
        <f aca="false">'Raw Store Exports'!C854</f>
        <v>46046</v>
      </c>
      <c r="C854" s="0" t="str">
        <f aca="false">INDEX('Store Mapping'!$C$2:$C$19,MATCH(TRIM('Raw Store Exports'!B854),'Store Mapping'!$A$2:$A$19,0))</f>
        <v>Northpark</v>
      </c>
      <c r="D854" s="0" t="str">
        <f aca="false">'Raw Store Exports'!D854</f>
        <v>FTW-204</v>
      </c>
      <c r="E854" s="0" t="str">
        <f aca="false">INDEX('Product Master'!$B$2:$B$21,MATCH(D854,'Product Master'!$A$2:$A$21,0))</f>
        <v>Slide Sandals</v>
      </c>
      <c r="F854" s="0" t="str">
        <f aca="false">INDEX('Product Master'!$C$2:$C$21,MATCH(D854,'Product Master'!$A$2:$A$21,0))</f>
        <v>Footwear</v>
      </c>
      <c r="G854" s="15" t="n">
        <f aca="false">VALUE(TRIM('Raw Store Exports'!E854&amp;""))</f>
        <v>2</v>
      </c>
      <c r="H854" s="18" t="n">
        <f aca="false">INDEX('Product Master'!$D$2:$D$21,MATCH(D854,'Product Master'!$A$2:$A$21,0))</f>
        <v>25</v>
      </c>
      <c r="I854" s="14" t="n">
        <f aca="false">G854*H854</f>
        <v>50</v>
      </c>
      <c r="J854" s="0" t="str">
        <f aca="false">IF(COUNTIF($A$2:A854,A854)&gt;1,"Duplicate","")</f>
        <v/>
      </c>
    </row>
    <row r="855" customFormat="false" ht="15" hidden="false" customHeight="false" outlineLevel="0" collapsed="false">
      <c r="A855" s="0" t="str">
        <f aca="false">'Raw Store Exports'!A855</f>
        <v>TXN00949</v>
      </c>
      <c r="B855" s="17" t="n">
        <f aca="false">'Raw Store Exports'!C855</f>
        <v>46072</v>
      </c>
      <c r="C855" s="0" t="str">
        <f aca="false">INDEX('Store Mapping'!$C$2:$C$19,MATCH(TRIM('Raw Store Exports'!B855),'Store Mapping'!$A$2:$A$19,0))</f>
        <v>Eastgate</v>
      </c>
      <c r="D855" s="0" t="str">
        <f aca="false">'Raw Store Exports'!D855</f>
        <v>FTW-203</v>
      </c>
      <c r="E855" s="0" t="str">
        <f aca="false">INDEX('Product Master'!$B$2:$B$21,MATCH(D855,'Product Master'!$A$2:$A$21,0))</f>
        <v>Leather Ankle Boot</v>
      </c>
      <c r="F855" s="0" t="str">
        <f aca="false">INDEX('Product Master'!$C$2:$C$21,MATCH(D855,'Product Master'!$A$2:$A$21,0))</f>
        <v>Footwear</v>
      </c>
      <c r="G855" s="15" t="n">
        <f aca="false">VALUE(TRIM('Raw Store Exports'!E855&amp;""))</f>
        <v>6</v>
      </c>
      <c r="H855" s="18" t="n">
        <f aca="false">INDEX('Product Master'!$D$2:$D$21,MATCH(D855,'Product Master'!$A$2:$A$21,0))</f>
        <v>120</v>
      </c>
      <c r="I855" s="14" t="n">
        <f aca="false">G855*H855</f>
        <v>720</v>
      </c>
      <c r="J855" s="0" t="str">
        <f aca="false">IF(COUNTIF($A$2:A855,A855)&gt;1,"Duplicate","")</f>
        <v/>
      </c>
    </row>
    <row r="856" customFormat="false" ht="15" hidden="false" customHeight="false" outlineLevel="0" collapsed="false">
      <c r="A856" s="0" t="str">
        <f aca="false">'Raw Store Exports'!A856</f>
        <v>TXN00856</v>
      </c>
      <c r="B856" s="17" t="n">
        <f aca="false">'Raw Store Exports'!C856</f>
        <v>46067</v>
      </c>
      <c r="C856" s="0" t="str">
        <f aca="false">INDEX('Store Mapping'!$C$2:$C$19,MATCH(TRIM('Raw Store Exports'!B856),'Store Mapping'!$A$2:$A$19,0))</f>
        <v>Riverside</v>
      </c>
      <c r="D856" s="0" t="str">
        <f aca="false">'Raw Store Exports'!D856</f>
        <v>ACC-301</v>
      </c>
      <c r="E856" s="0" t="str">
        <f aca="false">INDEX('Product Master'!$B$2:$B$21,MATCH(D856,'Product Master'!$A$2:$A$21,0))</f>
        <v>Leather Belt</v>
      </c>
      <c r="F856" s="0" t="str">
        <f aca="false">INDEX('Product Master'!$C$2:$C$21,MATCH(D856,'Product Master'!$A$2:$A$21,0))</f>
        <v>Accessories</v>
      </c>
      <c r="G856" s="15" t="n">
        <f aca="false">VALUE(TRIM('Raw Store Exports'!E856&amp;""))</f>
        <v>4</v>
      </c>
      <c r="H856" s="18" t="n">
        <f aca="false">INDEX('Product Master'!$D$2:$D$21,MATCH(D856,'Product Master'!$A$2:$A$21,0))</f>
        <v>30</v>
      </c>
      <c r="I856" s="14" t="n">
        <f aca="false">G856*H856</f>
        <v>120</v>
      </c>
      <c r="J856" s="0" t="str">
        <f aca="false">IF(COUNTIF($A$2:A856,A856)&gt;1,"Duplicate","")</f>
        <v/>
      </c>
    </row>
    <row r="857" customFormat="false" ht="15" hidden="false" customHeight="false" outlineLevel="0" collapsed="false">
      <c r="A857" s="0" t="str">
        <f aca="false">'Raw Store Exports'!A857</f>
        <v>TXN00062</v>
      </c>
      <c r="B857" s="17" t="n">
        <f aca="false">'Raw Store Exports'!C857</f>
        <v>46031</v>
      </c>
      <c r="C857" s="0" t="str">
        <f aca="false">INDEX('Store Mapping'!$C$2:$C$19,MATCH(TRIM('Raw Store Exports'!B857),'Store Mapping'!$A$2:$A$19,0))</f>
        <v>Eastgate</v>
      </c>
      <c r="D857" s="0" t="str">
        <f aca="false">'Raw Store Exports'!D857</f>
        <v>FTW-202</v>
      </c>
      <c r="E857" s="0" t="str">
        <f aca="false">INDEX('Product Master'!$B$2:$B$21,MATCH(D857,'Product Master'!$A$2:$A$21,0))</f>
        <v>Canvas Low-Top</v>
      </c>
      <c r="F857" s="0" t="str">
        <f aca="false">INDEX('Product Master'!$C$2:$C$21,MATCH(D857,'Product Master'!$A$2:$A$21,0))</f>
        <v>Footwear</v>
      </c>
      <c r="G857" s="15" t="n">
        <f aca="false">VALUE(TRIM('Raw Store Exports'!E857&amp;""))</f>
        <v>6</v>
      </c>
      <c r="H857" s="18" t="n">
        <f aca="false">INDEX('Product Master'!$D$2:$D$21,MATCH(D857,'Product Master'!$A$2:$A$21,0))</f>
        <v>55</v>
      </c>
      <c r="I857" s="14" t="n">
        <f aca="false">G857*H857</f>
        <v>330</v>
      </c>
      <c r="J857" s="0" t="str">
        <f aca="false">IF(COUNTIF($A$2:A857,A857)&gt;1,"Duplicate","")</f>
        <v/>
      </c>
    </row>
    <row r="858" customFormat="false" ht="15" hidden="false" customHeight="false" outlineLevel="0" collapsed="false">
      <c r="A858" s="0" t="str">
        <f aca="false">'Raw Store Exports'!A858</f>
        <v>TXN01103</v>
      </c>
      <c r="B858" s="17" t="n">
        <f aca="false">'Raw Store Exports'!C858</f>
        <v>46076</v>
      </c>
      <c r="C858" s="0" t="str">
        <f aca="false">INDEX('Store Mapping'!$C$2:$C$19,MATCH(TRIM('Raw Store Exports'!B858),'Store Mapping'!$A$2:$A$19,0))</f>
        <v>Westside Mall</v>
      </c>
      <c r="D858" s="0" t="str">
        <f aca="false">'Raw Store Exports'!D858</f>
        <v>ACC-304</v>
      </c>
      <c r="E858" s="0" t="str">
        <f aca="false">INDEX('Product Master'!$B$2:$B$21,MATCH(D858,'Product Master'!$A$2:$A$21,0))</f>
        <v>Wool Beanie</v>
      </c>
      <c r="F858" s="0" t="str">
        <f aca="false">INDEX('Product Master'!$C$2:$C$21,MATCH(D858,'Product Master'!$A$2:$A$21,0))</f>
        <v>Accessories</v>
      </c>
      <c r="G858" s="15" t="n">
        <f aca="false">VALUE(TRIM('Raw Store Exports'!E858&amp;""))</f>
        <v>3</v>
      </c>
      <c r="H858" s="18" t="n">
        <f aca="false">INDEX('Product Master'!$D$2:$D$21,MATCH(D858,'Product Master'!$A$2:$A$21,0))</f>
        <v>16</v>
      </c>
      <c r="I858" s="14" t="n">
        <f aca="false">G858*H858</f>
        <v>48</v>
      </c>
      <c r="J858" s="0" t="str">
        <f aca="false">IF(COUNTIF($A$2:A858,A858)&gt;1,"Duplicate","")</f>
        <v/>
      </c>
    </row>
    <row r="859" customFormat="false" ht="15" hidden="false" customHeight="false" outlineLevel="0" collapsed="false">
      <c r="A859" s="0" t="str">
        <f aca="false">'Raw Store Exports'!A859</f>
        <v>TXN00403</v>
      </c>
      <c r="B859" s="17" t="n">
        <f aca="false">'Raw Store Exports'!C859</f>
        <v>46042</v>
      </c>
      <c r="C859" s="0" t="str">
        <f aca="false">INDEX('Store Mapping'!$C$2:$C$19,MATCH(TRIM('Raw Store Exports'!B859),'Store Mapping'!$A$2:$A$19,0))</f>
        <v>Airport Plaza</v>
      </c>
      <c r="D859" s="0" t="str">
        <f aca="false">'Raw Store Exports'!D859</f>
        <v>FTW-204</v>
      </c>
      <c r="E859" s="0" t="str">
        <f aca="false">INDEX('Product Master'!$B$2:$B$21,MATCH(D859,'Product Master'!$A$2:$A$21,0))</f>
        <v>Slide Sandals</v>
      </c>
      <c r="F859" s="0" t="str">
        <f aca="false">INDEX('Product Master'!$C$2:$C$21,MATCH(D859,'Product Master'!$A$2:$A$21,0))</f>
        <v>Footwear</v>
      </c>
      <c r="G859" s="15" t="n">
        <f aca="false">VALUE(TRIM('Raw Store Exports'!E859&amp;""))</f>
        <v>5</v>
      </c>
      <c r="H859" s="18" t="n">
        <f aca="false">INDEX('Product Master'!$D$2:$D$21,MATCH(D859,'Product Master'!$A$2:$A$21,0))</f>
        <v>25</v>
      </c>
      <c r="I859" s="14" t="n">
        <f aca="false">G859*H859</f>
        <v>125</v>
      </c>
      <c r="J859" s="0" t="str">
        <f aca="false">IF(COUNTIF($A$2:A859,A859)&gt;1,"Duplicate","")</f>
        <v/>
      </c>
    </row>
    <row r="860" customFormat="false" ht="15" hidden="false" customHeight="false" outlineLevel="0" collapsed="false">
      <c r="A860" s="0" t="str">
        <f aca="false">'Raw Store Exports'!A860</f>
        <v>TXN01045</v>
      </c>
      <c r="B860" s="17" t="n">
        <f aca="false">'Raw Store Exports'!C860</f>
        <v>46075</v>
      </c>
      <c r="C860" s="0" t="str">
        <f aca="false">INDEX('Store Mapping'!$C$2:$C$19,MATCH(TRIM('Raw Store Exports'!B860),'Store Mapping'!$A$2:$A$19,0))</f>
        <v>Airport Plaza</v>
      </c>
      <c r="D860" s="0" t="str">
        <f aca="false">'Raw Store Exports'!D860</f>
        <v>ACC-303</v>
      </c>
      <c r="E860" s="0" t="str">
        <f aca="false">INDEX('Product Master'!$B$2:$B$21,MATCH(D860,'Product Master'!$A$2:$A$21,0))</f>
        <v>Canvas Tote Bag</v>
      </c>
      <c r="F860" s="0" t="str">
        <f aca="false">INDEX('Product Master'!$C$2:$C$21,MATCH(D860,'Product Master'!$A$2:$A$21,0))</f>
        <v>Accessories</v>
      </c>
      <c r="G860" s="15" t="n">
        <f aca="false">VALUE(TRIM('Raw Store Exports'!E860&amp;""))</f>
        <v>5</v>
      </c>
      <c r="H860" s="18" t="n">
        <f aca="false">INDEX('Product Master'!$D$2:$D$21,MATCH(D860,'Product Master'!$A$2:$A$21,0))</f>
        <v>24</v>
      </c>
      <c r="I860" s="14" t="n">
        <f aca="false">G860*H860</f>
        <v>120</v>
      </c>
      <c r="J860" s="0" t="str">
        <f aca="false">IF(COUNTIF($A$2:A860,A860)&gt;1,"Duplicate","")</f>
        <v/>
      </c>
    </row>
    <row r="861" customFormat="false" ht="15" hidden="false" customHeight="false" outlineLevel="0" collapsed="false">
      <c r="A861" s="0" t="str">
        <f aca="false">'Raw Store Exports'!A861</f>
        <v>TXN00262</v>
      </c>
      <c r="B861" s="17" t="n">
        <f aca="false">'Raw Store Exports'!C861</f>
        <v>46039</v>
      </c>
      <c r="C861" s="0" t="str">
        <f aca="false">INDEX('Store Mapping'!$C$2:$C$19,MATCH(TRIM('Raw Store Exports'!B861),'Store Mapping'!$A$2:$A$19,0))</f>
        <v>Airport Plaza</v>
      </c>
      <c r="D861" s="0" t="str">
        <f aca="false">'Raw Store Exports'!D861</f>
        <v>ELE-401</v>
      </c>
      <c r="E861" s="0" t="str">
        <f aca="false">INDEX('Product Master'!$B$2:$B$21,MATCH(D861,'Product Master'!$A$2:$A$21,0))</f>
        <v>Wireless Earbuds</v>
      </c>
      <c r="F861" s="0" t="str">
        <f aca="false">INDEX('Product Master'!$C$2:$C$21,MATCH(D861,'Product Master'!$A$2:$A$21,0))</f>
        <v>Electronics</v>
      </c>
      <c r="G861" s="15" t="n">
        <f aca="false">VALUE(TRIM('Raw Store Exports'!E861&amp;""))</f>
        <v>1</v>
      </c>
      <c r="H861" s="18" t="n">
        <f aca="false">INDEX('Product Master'!$D$2:$D$21,MATCH(D861,'Product Master'!$A$2:$A$21,0))</f>
        <v>79</v>
      </c>
      <c r="I861" s="14" t="n">
        <f aca="false">G861*H861</f>
        <v>79</v>
      </c>
      <c r="J861" s="0" t="str">
        <f aca="false">IF(COUNTIF($A$2:A861,A861)&gt;1,"Duplicate","")</f>
        <v/>
      </c>
    </row>
    <row r="862" customFormat="false" ht="15" hidden="false" customHeight="false" outlineLevel="0" collapsed="false">
      <c r="A862" s="0" t="str">
        <f aca="false">'Raw Store Exports'!A862</f>
        <v>TXN01008</v>
      </c>
      <c r="B862" s="17" t="n">
        <f aca="false">'Raw Store Exports'!C862</f>
        <v>46069</v>
      </c>
      <c r="C862" s="0" t="str">
        <f aca="false">INDEX('Store Mapping'!$C$2:$C$19,MATCH(TRIM('Raw Store Exports'!B862),'Store Mapping'!$A$2:$A$19,0))</f>
        <v>Riverside</v>
      </c>
      <c r="D862" s="0" t="str">
        <f aca="false">'Raw Store Exports'!D862</f>
        <v>HOM-504</v>
      </c>
      <c r="E862" s="0" t="str">
        <f aca="false">INDEX('Product Master'!$B$2:$B$21,MATCH(D862,'Product Master'!$A$2:$A$21,0))</f>
        <v>Bamboo Cutting Board</v>
      </c>
      <c r="F862" s="0" t="str">
        <f aca="false">INDEX('Product Master'!$C$2:$C$21,MATCH(D862,'Product Master'!$A$2:$A$21,0))</f>
        <v>Home Goods</v>
      </c>
      <c r="G862" s="15" t="n">
        <f aca="false">VALUE(TRIM('Raw Store Exports'!E862&amp;""))</f>
        <v>3</v>
      </c>
      <c r="H862" s="18" t="n">
        <f aca="false">INDEX('Product Master'!$D$2:$D$21,MATCH(D862,'Product Master'!$A$2:$A$21,0))</f>
        <v>27</v>
      </c>
      <c r="I862" s="14" t="n">
        <f aca="false">G862*H862</f>
        <v>81</v>
      </c>
      <c r="J862" s="0" t="str">
        <f aca="false">IF(COUNTIF($A$2:A862,A862)&gt;1,"Duplicate","")</f>
        <v/>
      </c>
    </row>
    <row r="863" customFormat="false" ht="15" hidden="false" customHeight="false" outlineLevel="0" collapsed="false">
      <c r="A863" s="0" t="str">
        <f aca="false">'Raw Store Exports'!A863</f>
        <v>TXN00454</v>
      </c>
      <c r="B863" s="17" t="n">
        <f aca="false">'Raw Store Exports'!C863</f>
        <v>46050</v>
      </c>
      <c r="C863" s="0" t="str">
        <f aca="false">INDEX('Store Mapping'!$C$2:$C$19,MATCH(TRIM('Raw Store Exports'!B863),'Store Mapping'!$A$2:$A$19,0))</f>
        <v>Downtown</v>
      </c>
      <c r="D863" s="0" t="str">
        <f aca="false">'Raw Store Exports'!D863</f>
        <v>APP-104</v>
      </c>
      <c r="E863" s="0" t="str">
        <f aca="false">INDEX('Product Master'!$B$2:$B$21,MATCH(D863,'Product Master'!$A$2:$A$21,0))</f>
        <v>Slim Fit Chinos</v>
      </c>
      <c r="F863" s="0" t="str">
        <f aca="false">INDEX('Product Master'!$C$2:$C$21,MATCH(D863,'Product Master'!$A$2:$A$21,0))</f>
        <v>Apparel</v>
      </c>
      <c r="G863" s="15" t="n">
        <f aca="false">VALUE(TRIM('Raw Store Exports'!E863&amp;""))</f>
        <v>2</v>
      </c>
      <c r="H863" s="18" t="n">
        <f aca="false">INDEX('Product Master'!$D$2:$D$21,MATCH(D863,'Product Master'!$A$2:$A$21,0))</f>
        <v>52</v>
      </c>
      <c r="I863" s="14" t="n">
        <f aca="false">G863*H863</f>
        <v>104</v>
      </c>
      <c r="J863" s="0" t="str">
        <f aca="false">IF(COUNTIF($A$2:A863,A863)&gt;1,"Duplicate","")</f>
        <v/>
      </c>
    </row>
    <row r="864" customFormat="false" ht="15" hidden="false" customHeight="false" outlineLevel="0" collapsed="false">
      <c r="A864" s="0" t="str">
        <f aca="false">'Raw Store Exports'!A864</f>
        <v>TXN00735</v>
      </c>
      <c r="B864" s="17" t="n">
        <f aca="false">'Raw Store Exports'!C864</f>
        <v>46055</v>
      </c>
      <c r="C864" s="0" t="str">
        <f aca="false">INDEX('Store Mapping'!$C$2:$C$19,MATCH(TRIM('Raw Store Exports'!B864),'Store Mapping'!$A$2:$A$19,0))</f>
        <v>Airport Plaza</v>
      </c>
      <c r="D864" s="0" t="str">
        <f aca="false">'Raw Store Exports'!D864</f>
        <v>APP-101</v>
      </c>
      <c r="E864" s="0" t="str">
        <f aca="false">INDEX('Product Master'!$B$2:$B$21,MATCH(D864,'Product Master'!$A$2:$A$21,0))</f>
        <v>Classic Denim Jacket</v>
      </c>
      <c r="F864" s="0" t="str">
        <f aca="false">INDEX('Product Master'!$C$2:$C$21,MATCH(D864,'Product Master'!$A$2:$A$21,0))</f>
        <v>Apparel</v>
      </c>
      <c r="G864" s="15" t="n">
        <f aca="false">VALUE(TRIM('Raw Store Exports'!E864&amp;""))</f>
        <v>5</v>
      </c>
      <c r="H864" s="18" t="n">
        <f aca="false">INDEX('Product Master'!$D$2:$D$21,MATCH(D864,'Product Master'!$A$2:$A$21,0))</f>
        <v>68</v>
      </c>
      <c r="I864" s="14" t="n">
        <f aca="false">G864*H864</f>
        <v>340</v>
      </c>
      <c r="J864" s="0" t="str">
        <f aca="false">IF(COUNTIF($A$2:A864,A864)&gt;1,"Duplicate","")</f>
        <v/>
      </c>
    </row>
    <row r="865" customFormat="false" ht="15" hidden="false" customHeight="false" outlineLevel="0" collapsed="false">
      <c r="A865" s="0" t="str">
        <f aca="false">'Raw Store Exports'!A865</f>
        <v>TXN00690</v>
      </c>
      <c r="B865" s="17" t="n">
        <f aca="false">'Raw Store Exports'!C865</f>
        <v>46056</v>
      </c>
      <c r="C865" s="0" t="str">
        <f aca="false">INDEX('Store Mapping'!$C$2:$C$19,MATCH(TRIM('Raw Store Exports'!B865),'Store Mapping'!$A$2:$A$19,0))</f>
        <v>Northpark</v>
      </c>
      <c r="D865" s="0" t="str">
        <f aca="false">'Raw Store Exports'!D865</f>
        <v>FTW-201</v>
      </c>
      <c r="E865" s="0" t="str">
        <f aca="false">INDEX('Product Master'!$B$2:$B$21,MATCH(D865,'Product Master'!$A$2:$A$21,0))</f>
        <v>Running Sneakers</v>
      </c>
      <c r="F865" s="0" t="str">
        <f aca="false">INDEX('Product Master'!$C$2:$C$21,MATCH(D865,'Product Master'!$A$2:$A$21,0))</f>
        <v>Footwear</v>
      </c>
      <c r="G865" s="15" t="n">
        <f aca="false">VALUE(TRIM('Raw Store Exports'!E865&amp;""))</f>
        <v>2</v>
      </c>
      <c r="H865" s="18" t="n">
        <f aca="false">INDEX('Product Master'!$D$2:$D$21,MATCH(D865,'Product Master'!$A$2:$A$21,0))</f>
        <v>89</v>
      </c>
      <c r="I865" s="14" t="n">
        <f aca="false">G865*H865</f>
        <v>178</v>
      </c>
      <c r="J865" s="0" t="str">
        <f aca="false">IF(COUNTIF($A$2:A865,A865)&gt;1,"Duplicate","")</f>
        <v/>
      </c>
    </row>
    <row r="866" customFormat="false" ht="15" hidden="false" customHeight="false" outlineLevel="0" collapsed="false">
      <c r="A866" s="0" t="str">
        <f aca="false">'Raw Store Exports'!A866</f>
        <v>TXN00932</v>
      </c>
      <c r="B866" s="17" t="n">
        <f aca="false">'Raw Store Exports'!C866</f>
        <v>46069</v>
      </c>
      <c r="C866" s="0" t="str">
        <f aca="false">INDEX('Store Mapping'!$C$2:$C$19,MATCH(TRIM('Raw Store Exports'!B866),'Store Mapping'!$A$2:$A$19,0))</f>
        <v>Westside Mall</v>
      </c>
      <c r="D866" s="0" t="str">
        <f aca="false">'Raw Store Exports'!D866</f>
        <v>FTW-202</v>
      </c>
      <c r="E866" s="0" t="str">
        <f aca="false">INDEX('Product Master'!$B$2:$B$21,MATCH(D866,'Product Master'!$A$2:$A$21,0))</f>
        <v>Canvas Low-Top</v>
      </c>
      <c r="F866" s="0" t="str">
        <f aca="false">INDEX('Product Master'!$C$2:$C$21,MATCH(D866,'Product Master'!$A$2:$A$21,0))</f>
        <v>Footwear</v>
      </c>
      <c r="G866" s="15" t="n">
        <f aca="false">VALUE(TRIM('Raw Store Exports'!E866&amp;""))</f>
        <v>4</v>
      </c>
      <c r="H866" s="18" t="n">
        <f aca="false">INDEX('Product Master'!$D$2:$D$21,MATCH(D866,'Product Master'!$A$2:$A$21,0))</f>
        <v>55</v>
      </c>
      <c r="I866" s="14" t="n">
        <f aca="false">G866*H866</f>
        <v>220</v>
      </c>
      <c r="J866" s="0" t="str">
        <f aca="false">IF(COUNTIF($A$2:A866,A866)&gt;1,"Duplicate","")</f>
        <v/>
      </c>
    </row>
    <row r="867" customFormat="false" ht="15" hidden="false" customHeight="false" outlineLevel="0" collapsed="false">
      <c r="A867" s="0" t="str">
        <f aca="false">'Raw Store Exports'!A867</f>
        <v>TXN00602</v>
      </c>
      <c r="B867" s="17" t="n">
        <f aca="false">'Raw Store Exports'!C867</f>
        <v>46056</v>
      </c>
      <c r="C867" s="0" t="str">
        <f aca="false">INDEX('Store Mapping'!$C$2:$C$19,MATCH(TRIM('Raw Store Exports'!B867),'Store Mapping'!$A$2:$A$19,0))</f>
        <v>Downtown</v>
      </c>
      <c r="D867" s="0" t="str">
        <f aca="false">'Raw Store Exports'!D867</f>
        <v>HOM-501</v>
      </c>
      <c r="E867" s="0" t="str">
        <f aca="false">INDEX('Product Master'!$B$2:$B$21,MATCH(D867,'Product Master'!$A$2:$A$21,0))</f>
        <v>Ceramic Coffee Mug Set</v>
      </c>
      <c r="F867" s="0" t="str">
        <f aca="false">INDEX('Product Master'!$C$2:$C$21,MATCH(D867,'Product Master'!$A$2:$A$21,0))</f>
        <v>Home Goods</v>
      </c>
      <c r="G867" s="15" t="n">
        <f aca="false">VALUE(TRIM('Raw Store Exports'!E867&amp;""))</f>
        <v>1</v>
      </c>
      <c r="H867" s="18" t="n">
        <f aca="false">INDEX('Product Master'!$D$2:$D$21,MATCH(D867,'Product Master'!$A$2:$A$21,0))</f>
        <v>22</v>
      </c>
      <c r="I867" s="14" t="n">
        <f aca="false">G867*H867</f>
        <v>22</v>
      </c>
      <c r="J867" s="0" t="str">
        <f aca="false">IF(COUNTIF($A$2:A867,A867)&gt;1,"Duplicate","")</f>
        <v/>
      </c>
    </row>
    <row r="868" customFormat="false" ht="15" hidden="false" customHeight="false" outlineLevel="0" collapsed="false">
      <c r="A868" s="0" t="str">
        <f aca="false">'Raw Store Exports'!A868</f>
        <v>TXN01137</v>
      </c>
      <c r="B868" s="17" t="n">
        <f aca="false">'Raw Store Exports'!C868</f>
        <v>46080</v>
      </c>
      <c r="C868" s="0" t="str">
        <f aca="false">INDEX('Store Mapping'!$C$2:$C$19,MATCH(TRIM('Raw Store Exports'!B868),'Store Mapping'!$A$2:$A$19,0))</f>
        <v>Northpark</v>
      </c>
      <c r="D868" s="0" t="str">
        <f aca="false">'Raw Store Exports'!D868</f>
        <v>ACC-303</v>
      </c>
      <c r="E868" s="0" t="str">
        <f aca="false">INDEX('Product Master'!$B$2:$B$21,MATCH(D868,'Product Master'!$A$2:$A$21,0))</f>
        <v>Canvas Tote Bag</v>
      </c>
      <c r="F868" s="0" t="str">
        <f aca="false">INDEX('Product Master'!$C$2:$C$21,MATCH(D868,'Product Master'!$A$2:$A$21,0))</f>
        <v>Accessories</v>
      </c>
      <c r="G868" s="15" t="n">
        <f aca="false">VALUE(TRIM('Raw Store Exports'!E868&amp;""))</f>
        <v>3</v>
      </c>
      <c r="H868" s="18" t="n">
        <f aca="false">INDEX('Product Master'!$D$2:$D$21,MATCH(D868,'Product Master'!$A$2:$A$21,0))</f>
        <v>24</v>
      </c>
      <c r="I868" s="14" t="n">
        <f aca="false">G868*H868</f>
        <v>72</v>
      </c>
      <c r="J868" s="0" t="str">
        <f aca="false">IF(COUNTIF($A$2:A868,A868)&gt;1,"Duplicate","")</f>
        <v/>
      </c>
    </row>
    <row r="869" customFormat="false" ht="15" hidden="false" customHeight="false" outlineLevel="0" collapsed="false">
      <c r="A869" s="0" t="str">
        <f aca="false">'Raw Store Exports'!A869</f>
        <v>TXN00955</v>
      </c>
      <c r="B869" s="17" t="n">
        <f aca="false">'Raw Store Exports'!C869</f>
        <v>46075</v>
      </c>
      <c r="C869" s="0" t="str">
        <f aca="false">INDEX('Store Mapping'!$C$2:$C$19,MATCH(TRIM('Raw Store Exports'!B869),'Store Mapping'!$A$2:$A$19,0))</f>
        <v>Eastgate</v>
      </c>
      <c r="D869" s="0" t="str">
        <f aca="false">'Raw Store Exports'!D869</f>
        <v>ACC-304</v>
      </c>
      <c r="E869" s="0" t="str">
        <f aca="false">INDEX('Product Master'!$B$2:$B$21,MATCH(D869,'Product Master'!$A$2:$A$21,0))</f>
        <v>Wool Beanie</v>
      </c>
      <c r="F869" s="0" t="str">
        <f aca="false">INDEX('Product Master'!$C$2:$C$21,MATCH(D869,'Product Master'!$A$2:$A$21,0))</f>
        <v>Accessories</v>
      </c>
      <c r="G869" s="15" t="n">
        <f aca="false">VALUE(TRIM('Raw Store Exports'!E869&amp;""))</f>
        <v>3</v>
      </c>
      <c r="H869" s="18" t="n">
        <f aca="false">INDEX('Product Master'!$D$2:$D$21,MATCH(D869,'Product Master'!$A$2:$A$21,0))</f>
        <v>16</v>
      </c>
      <c r="I869" s="14" t="n">
        <f aca="false">G869*H869</f>
        <v>48</v>
      </c>
      <c r="J869" s="0" t="str">
        <f aca="false">IF(COUNTIF($A$2:A869,A869)&gt;1,"Duplicate","")</f>
        <v/>
      </c>
    </row>
    <row r="870" customFormat="false" ht="15" hidden="false" customHeight="false" outlineLevel="0" collapsed="false">
      <c r="A870" s="0" t="str">
        <f aca="false">'Raw Store Exports'!A870</f>
        <v>TXN00047</v>
      </c>
      <c r="B870" s="17" t="n">
        <f aca="false">'Raw Store Exports'!C870</f>
        <v>46032</v>
      </c>
      <c r="C870" s="0" t="str">
        <f aca="false">INDEX('Store Mapping'!$C$2:$C$19,MATCH(TRIM('Raw Store Exports'!B870),'Store Mapping'!$A$2:$A$19,0))</f>
        <v>Eastgate</v>
      </c>
      <c r="D870" s="0" t="str">
        <f aca="false">'Raw Store Exports'!D870</f>
        <v>APP-103</v>
      </c>
      <c r="E870" s="0" t="str">
        <f aca="false">INDEX('Product Master'!$B$2:$B$21,MATCH(D870,'Product Master'!$A$2:$A$21,0))</f>
        <v>Fleece Pullover Hoodie</v>
      </c>
      <c r="F870" s="0" t="str">
        <f aca="false">INDEX('Product Master'!$C$2:$C$21,MATCH(D870,'Product Master'!$A$2:$A$21,0))</f>
        <v>Apparel</v>
      </c>
      <c r="G870" s="15" t="n">
        <f aca="false">VALUE(TRIM('Raw Store Exports'!E870&amp;""))</f>
        <v>4</v>
      </c>
      <c r="H870" s="18" t="n">
        <f aca="false">INDEX('Product Master'!$D$2:$D$21,MATCH(D870,'Product Master'!$A$2:$A$21,0))</f>
        <v>45</v>
      </c>
      <c r="I870" s="14" t="n">
        <f aca="false">G870*H870</f>
        <v>180</v>
      </c>
      <c r="J870" s="0" t="str">
        <f aca="false">IF(COUNTIF($A$2:A870,A870)&gt;1,"Duplicate","")</f>
        <v/>
      </c>
    </row>
    <row r="871" customFormat="false" ht="15" hidden="false" customHeight="false" outlineLevel="0" collapsed="false">
      <c r="A871" s="0" t="str">
        <f aca="false">'Raw Store Exports'!A871</f>
        <v>TXN00231</v>
      </c>
      <c r="B871" s="17" t="n">
        <f aca="false">'Raw Store Exports'!C871</f>
        <v>46037</v>
      </c>
      <c r="C871" s="0" t="str">
        <f aca="false">INDEX('Store Mapping'!$C$2:$C$19,MATCH(TRIM('Raw Store Exports'!B871),'Store Mapping'!$A$2:$A$19,0))</f>
        <v>Riverside</v>
      </c>
      <c r="D871" s="0" t="str">
        <f aca="false">'Raw Store Exports'!D871</f>
        <v>APP-103</v>
      </c>
      <c r="E871" s="0" t="str">
        <f aca="false">INDEX('Product Master'!$B$2:$B$21,MATCH(D871,'Product Master'!$A$2:$A$21,0))</f>
        <v>Fleece Pullover Hoodie</v>
      </c>
      <c r="F871" s="0" t="str">
        <f aca="false">INDEX('Product Master'!$C$2:$C$21,MATCH(D871,'Product Master'!$A$2:$A$21,0))</f>
        <v>Apparel</v>
      </c>
      <c r="G871" s="15" t="n">
        <f aca="false">VALUE(TRIM('Raw Store Exports'!E871&amp;""))</f>
        <v>2</v>
      </c>
      <c r="H871" s="18" t="n">
        <f aca="false">INDEX('Product Master'!$D$2:$D$21,MATCH(D871,'Product Master'!$A$2:$A$21,0))</f>
        <v>45</v>
      </c>
      <c r="I871" s="14" t="n">
        <f aca="false">G871*H871</f>
        <v>90</v>
      </c>
      <c r="J871" s="0" t="str">
        <f aca="false">IF(COUNTIF($A$2:A871,A871)&gt;1,"Duplicate","")</f>
        <v/>
      </c>
    </row>
    <row r="872" customFormat="false" ht="15" hidden="false" customHeight="false" outlineLevel="0" collapsed="false">
      <c r="A872" s="0" t="str">
        <f aca="false">'Raw Store Exports'!A872</f>
        <v>TXN01150</v>
      </c>
      <c r="B872" s="17" t="n">
        <f aca="false">'Raw Store Exports'!C872</f>
        <v>46076</v>
      </c>
      <c r="C872" s="0" t="str">
        <f aca="false">INDEX('Store Mapping'!$C$2:$C$19,MATCH(TRIM('Raw Store Exports'!B872),'Store Mapping'!$A$2:$A$19,0))</f>
        <v>Riverside</v>
      </c>
      <c r="D872" s="0" t="str">
        <f aca="false">'Raw Store Exports'!D872</f>
        <v>ELE-403</v>
      </c>
      <c r="E872" s="0" t="str">
        <f aca="false">INDEX('Product Master'!$B$2:$B$21,MATCH(D872,'Product Master'!$A$2:$A$21,0))</f>
        <v>Fitness Tracker Band</v>
      </c>
      <c r="F872" s="0" t="str">
        <f aca="false">INDEX('Product Master'!$C$2:$C$21,MATCH(D872,'Product Master'!$A$2:$A$21,0))</f>
        <v>Electronics</v>
      </c>
      <c r="G872" s="15" t="n">
        <f aca="false">VALUE(TRIM('Raw Store Exports'!E872&amp;""))</f>
        <v>3</v>
      </c>
      <c r="H872" s="18" t="n">
        <f aca="false">INDEX('Product Master'!$D$2:$D$21,MATCH(D872,'Product Master'!$A$2:$A$21,0))</f>
        <v>99</v>
      </c>
      <c r="I872" s="14" t="n">
        <f aca="false">G872*H872</f>
        <v>297</v>
      </c>
      <c r="J872" s="0" t="str">
        <f aca="false">IF(COUNTIF($A$2:A872,A872)&gt;1,"Duplicate","")</f>
        <v/>
      </c>
    </row>
    <row r="873" customFormat="false" ht="15" hidden="false" customHeight="false" outlineLevel="0" collapsed="false">
      <c r="A873" s="0" t="str">
        <f aca="false">'Raw Store Exports'!A873</f>
        <v>TXN01076</v>
      </c>
      <c r="B873" s="17" t="n">
        <f aca="false">'Raw Store Exports'!C873</f>
        <v>46076</v>
      </c>
      <c r="C873" s="0" t="str">
        <f aca="false">INDEX('Store Mapping'!$C$2:$C$19,MATCH(TRIM('Raw Store Exports'!B873),'Store Mapping'!$A$2:$A$19,0))</f>
        <v>Downtown</v>
      </c>
      <c r="D873" s="0" t="str">
        <f aca="false">'Raw Store Exports'!D873</f>
        <v>ELE-402</v>
      </c>
      <c r="E873" s="0" t="str">
        <f aca="false">INDEX('Product Master'!$B$2:$B$21,MATCH(D873,'Product Master'!$A$2:$A$21,0))</f>
        <v>Bluetooth Speaker</v>
      </c>
      <c r="F873" s="0" t="str">
        <f aca="false">INDEX('Product Master'!$C$2:$C$21,MATCH(D873,'Product Master'!$A$2:$A$21,0))</f>
        <v>Electronics</v>
      </c>
      <c r="G873" s="15" t="n">
        <f aca="false">VALUE(TRIM('Raw Store Exports'!E873&amp;""))</f>
        <v>5</v>
      </c>
      <c r="H873" s="18" t="n">
        <f aca="false">INDEX('Product Master'!$D$2:$D$21,MATCH(D873,'Product Master'!$A$2:$A$21,0))</f>
        <v>59</v>
      </c>
      <c r="I873" s="14" t="n">
        <f aca="false">G873*H873</f>
        <v>295</v>
      </c>
      <c r="J873" s="0" t="str">
        <f aca="false">IF(COUNTIF($A$2:A873,A873)&gt;1,"Duplicate","")</f>
        <v/>
      </c>
    </row>
    <row r="874" customFormat="false" ht="15" hidden="false" customHeight="false" outlineLevel="0" collapsed="false">
      <c r="A874" s="0" t="str">
        <f aca="false">'Raw Store Exports'!A874</f>
        <v>TXN00427</v>
      </c>
      <c r="B874" s="17" t="n">
        <f aca="false">'Raw Store Exports'!C874</f>
        <v>46041</v>
      </c>
      <c r="C874" s="0" t="str">
        <f aca="false">INDEX('Store Mapping'!$C$2:$C$19,MATCH(TRIM('Raw Store Exports'!B874),'Store Mapping'!$A$2:$A$19,0))</f>
        <v>Airport Plaza</v>
      </c>
      <c r="D874" s="0" t="str">
        <f aca="false">'Raw Store Exports'!D874</f>
        <v>HOM-502</v>
      </c>
      <c r="E874" s="0" t="str">
        <f aca="false">INDEX('Product Master'!$B$2:$B$21,MATCH(D874,'Product Master'!$A$2:$A$21,0))</f>
        <v>Scented Candle</v>
      </c>
      <c r="F874" s="0" t="str">
        <f aca="false">INDEX('Product Master'!$C$2:$C$21,MATCH(D874,'Product Master'!$A$2:$A$21,0))</f>
        <v>Home Goods</v>
      </c>
      <c r="G874" s="15" t="n">
        <f aca="false">VALUE(TRIM('Raw Store Exports'!E874&amp;""))</f>
        <v>5</v>
      </c>
      <c r="H874" s="18" t="n">
        <f aca="false">INDEX('Product Master'!$D$2:$D$21,MATCH(D874,'Product Master'!$A$2:$A$21,0))</f>
        <v>15</v>
      </c>
      <c r="I874" s="14" t="n">
        <f aca="false">G874*H874</f>
        <v>75</v>
      </c>
      <c r="J874" s="0" t="str">
        <f aca="false">IF(COUNTIF($A$2:A874,A874)&gt;1,"Duplicate","")</f>
        <v/>
      </c>
    </row>
    <row r="875" customFormat="false" ht="15" hidden="false" customHeight="false" outlineLevel="0" collapsed="false">
      <c r="A875" s="0" t="str">
        <f aca="false">'Raw Store Exports'!A875</f>
        <v>TXN00598</v>
      </c>
      <c r="B875" s="17" t="n">
        <f aca="false">'Raw Store Exports'!C875</f>
        <v>46055</v>
      </c>
      <c r="C875" s="0" t="str">
        <f aca="false">INDEX('Store Mapping'!$C$2:$C$19,MATCH(TRIM('Raw Store Exports'!B875),'Store Mapping'!$A$2:$A$19,0))</f>
        <v>Downtown</v>
      </c>
      <c r="D875" s="0" t="str">
        <f aca="false">'Raw Store Exports'!D875</f>
        <v>APP-102</v>
      </c>
      <c r="E875" s="0" t="str">
        <f aca="false">INDEX('Product Master'!$B$2:$B$21,MATCH(D875,'Product Master'!$A$2:$A$21,0))</f>
        <v>Cotton Crew T-Shirt</v>
      </c>
      <c r="F875" s="0" t="str">
        <f aca="false">INDEX('Product Master'!$C$2:$C$21,MATCH(D875,'Product Master'!$A$2:$A$21,0))</f>
        <v>Apparel</v>
      </c>
      <c r="G875" s="15" t="n">
        <f aca="false">VALUE(TRIM('Raw Store Exports'!E875&amp;""))</f>
        <v>6</v>
      </c>
      <c r="H875" s="18" t="n">
        <f aca="false">INDEX('Product Master'!$D$2:$D$21,MATCH(D875,'Product Master'!$A$2:$A$21,0))</f>
        <v>18</v>
      </c>
      <c r="I875" s="14" t="n">
        <f aca="false">G875*H875</f>
        <v>108</v>
      </c>
      <c r="J875" s="0" t="str">
        <f aca="false">IF(COUNTIF($A$2:A875,A875)&gt;1,"Duplicate","")</f>
        <v/>
      </c>
    </row>
    <row r="876" customFormat="false" ht="15" hidden="false" customHeight="false" outlineLevel="0" collapsed="false">
      <c r="A876" s="0" t="str">
        <f aca="false">'Raw Store Exports'!A876</f>
        <v>TXN00800</v>
      </c>
      <c r="B876" s="17" t="n">
        <f aca="false">'Raw Store Exports'!C876</f>
        <v>46068</v>
      </c>
      <c r="C876" s="0" t="str">
        <f aca="false">INDEX('Store Mapping'!$C$2:$C$19,MATCH(TRIM('Raw Store Exports'!B876),'Store Mapping'!$A$2:$A$19,0))</f>
        <v>Eastgate</v>
      </c>
      <c r="D876" s="0" t="str">
        <f aca="false">'Raw Store Exports'!D876</f>
        <v>APP-102</v>
      </c>
      <c r="E876" s="0" t="str">
        <f aca="false">INDEX('Product Master'!$B$2:$B$21,MATCH(D876,'Product Master'!$A$2:$A$21,0))</f>
        <v>Cotton Crew T-Shirt</v>
      </c>
      <c r="F876" s="0" t="str">
        <f aca="false">INDEX('Product Master'!$C$2:$C$21,MATCH(D876,'Product Master'!$A$2:$A$21,0))</f>
        <v>Apparel</v>
      </c>
      <c r="G876" s="15" t="n">
        <f aca="false">VALUE(TRIM('Raw Store Exports'!E876&amp;""))</f>
        <v>5</v>
      </c>
      <c r="H876" s="18" t="n">
        <f aca="false">INDEX('Product Master'!$D$2:$D$21,MATCH(D876,'Product Master'!$A$2:$A$21,0))</f>
        <v>18</v>
      </c>
      <c r="I876" s="14" t="n">
        <f aca="false">G876*H876</f>
        <v>90</v>
      </c>
      <c r="J876" s="0" t="str">
        <f aca="false">IF(COUNTIF($A$2:A876,A876)&gt;1,"Duplicate","")</f>
        <v/>
      </c>
    </row>
    <row r="877" customFormat="false" ht="15" hidden="false" customHeight="false" outlineLevel="0" collapsed="false">
      <c r="A877" s="0" t="str">
        <f aca="false">'Raw Store Exports'!A877</f>
        <v>TXN00503</v>
      </c>
      <c r="B877" s="17" t="n">
        <f aca="false">'Raw Store Exports'!C877</f>
        <v>46050</v>
      </c>
      <c r="C877" s="0" t="str">
        <f aca="false">INDEX('Store Mapping'!$C$2:$C$19,MATCH(TRIM('Raw Store Exports'!B877),'Store Mapping'!$A$2:$A$19,0))</f>
        <v>Eastgate</v>
      </c>
      <c r="D877" s="0" t="str">
        <f aca="false">'Raw Store Exports'!D877</f>
        <v>ELE-404</v>
      </c>
      <c r="E877" s="0" t="str">
        <f aca="false">INDEX('Product Master'!$B$2:$B$21,MATCH(D877,'Product Master'!$A$2:$A$21,0))</f>
        <v>Phone Charging Cable</v>
      </c>
      <c r="F877" s="0" t="str">
        <f aca="false">INDEX('Product Master'!$C$2:$C$21,MATCH(D877,'Product Master'!$A$2:$A$21,0))</f>
        <v>Electronics</v>
      </c>
      <c r="G877" s="15" t="n">
        <f aca="false">VALUE(TRIM('Raw Store Exports'!E877&amp;""))</f>
        <v>3</v>
      </c>
      <c r="H877" s="18" t="n">
        <f aca="false">INDEX('Product Master'!$D$2:$D$21,MATCH(D877,'Product Master'!$A$2:$A$21,0))</f>
        <v>12</v>
      </c>
      <c r="I877" s="14" t="n">
        <f aca="false">G877*H877</f>
        <v>36</v>
      </c>
      <c r="J877" s="0" t="str">
        <f aca="false">IF(COUNTIF($A$2:A877,A877)&gt;1,"Duplicate","")</f>
        <v/>
      </c>
    </row>
    <row r="878" customFormat="false" ht="15" hidden="false" customHeight="false" outlineLevel="0" collapsed="false">
      <c r="A878" s="0" t="str">
        <f aca="false">'Raw Store Exports'!A878</f>
        <v>TXN00175</v>
      </c>
      <c r="B878" s="17" t="n">
        <f aca="false">'Raw Store Exports'!C878</f>
        <v>46037</v>
      </c>
      <c r="C878" s="0" t="str">
        <f aca="false">INDEX('Store Mapping'!$C$2:$C$19,MATCH(TRIM('Raw Store Exports'!B878),'Store Mapping'!$A$2:$A$19,0))</f>
        <v>Westside Mall</v>
      </c>
      <c r="D878" s="0" t="str">
        <f aca="false">'Raw Store Exports'!D878</f>
        <v>APP-104</v>
      </c>
      <c r="E878" s="0" t="str">
        <f aca="false">INDEX('Product Master'!$B$2:$B$21,MATCH(D878,'Product Master'!$A$2:$A$21,0))</f>
        <v>Slim Fit Chinos</v>
      </c>
      <c r="F878" s="0" t="str">
        <f aca="false">INDEX('Product Master'!$C$2:$C$21,MATCH(D878,'Product Master'!$A$2:$A$21,0))</f>
        <v>Apparel</v>
      </c>
      <c r="G878" s="15" t="n">
        <f aca="false">VALUE(TRIM('Raw Store Exports'!E878&amp;""))</f>
        <v>2</v>
      </c>
      <c r="H878" s="18" t="n">
        <f aca="false">INDEX('Product Master'!$D$2:$D$21,MATCH(D878,'Product Master'!$A$2:$A$21,0))</f>
        <v>52</v>
      </c>
      <c r="I878" s="14" t="n">
        <f aca="false">G878*H878</f>
        <v>104</v>
      </c>
      <c r="J878" s="0" t="str">
        <f aca="false">IF(COUNTIF($A$2:A878,A878)&gt;1,"Duplicate","")</f>
        <v>Duplicate</v>
      </c>
    </row>
    <row r="879" customFormat="false" ht="15" hidden="false" customHeight="false" outlineLevel="0" collapsed="false">
      <c r="A879" s="0" t="str">
        <f aca="false">'Raw Store Exports'!A879</f>
        <v>TXN00989</v>
      </c>
      <c r="B879" s="17" t="n">
        <f aca="false">'Raw Store Exports'!C879</f>
        <v>46070</v>
      </c>
      <c r="C879" s="0" t="str">
        <f aca="false">INDEX('Store Mapping'!$C$2:$C$19,MATCH(TRIM('Raw Store Exports'!B879),'Store Mapping'!$A$2:$A$19,0))</f>
        <v>Northpark</v>
      </c>
      <c r="D879" s="0" t="str">
        <f aca="false">'Raw Store Exports'!D879</f>
        <v>ELE-402</v>
      </c>
      <c r="E879" s="0" t="str">
        <f aca="false">INDEX('Product Master'!$B$2:$B$21,MATCH(D879,'Product Master'!$A$2:$A$21,0))</f>
        <v>Bluetooth Speaker</v>
      </c>
      <c r="F879" s="0" t="str">
        <f aca="false">INDEX('Product Master'!$C$2:$C$21,MATCH(D879,'Product Master'!$A$2:$A$21,0))</f>
        <v>Electronics</v>
      </c>
      <c r="G879" s="15" t="n">
        <f aca="false">VALUE(TRIM('Raw Store Exports'!E879&amp;""))</f>
        <v>3</v>
      </c>
      <c r="H879" s="18" t="n">
        <f aca="false">INDEX('Product Master'!$D$2:$D$21,MATCH(D879,'Product Master'!$A$2:$A$21,0))</f>
        <v>59</v>
      </c>
      <c r="I879" s="14" t="n">
        <f aca="false">G879*H879</f>
        <v>177</v>
      </c>
      <c r="J879" s="0" t="str">
        <f aca="false">IF(COUNTIF($A$2:A879,A879)&gt;1,"Duplicate","")</f>
        <v/>
      </c>
    </row>
    <row r="880" customFormat="false" ht="15" hidden="false" customHeight="false" outlineLevel="0" collapsed="false">
      <c r="A880" s="0" t="str">
        <f aca="false">'Raw Store Exports'!A880</f>
        <v>TXN00053</v>
      </c>
      <c r="B880" s="17" t="n">
        <f aca="false">'Raw Store Exports'!C880</f>
        <v>46033</v>
      </c>
      <c r="C880" s="0" t="str">
        <f aca="false">INDEX('Store Mapping'!$C$2:$C$19,MATCH(TRIM('Raw Store Exports'!B880),'Store Mapping'!$A$2:$A$19,0))</f>
        <v>Eastgate</v>
      </c>
      <c r="D880" s="0" t="str">
        <f aca="false">'Raw Store Exports'!D880</f>
        <v>HOM-504</v>
      </c>
      <c r="E880" s="0" t="str">
        <f aca="false">INDEX('Product Master'!$B$2:$B$21,MATCH(D880,'Product Master'!$A$2:$A$21,0))</f>
        <v>Bamboo Cutting Board</v>
      </c>
      <c r="F880" s="0" t="str">
        <f aca="false">INDEX('Product Master'!$C$2:$C$21,MATCH(D880,'Product Master'!$A$2:$A$21,0))</f>
        <v>Home Goods</v>
      </c>
      <c r="G880" s="15" t="n">
        <f aca="false">VALUE(TRIM('Raw Store Exports'!E880&amp;""))</f>
        <v>4</v>
      </c>
      <c r="H880" s="18" t="n">
        <f aca="false">INDEX('Product Master'!$D$2:$D$21,MATCH(D880,'Product Master'!$A$2:$A$21,0))</f>
        <v>27</v>
      </c>
      <c r="I880" s="14" t="n">
        <f aca="false">G880*H880</f>
        <v>108</v>
      </c>
      <c r="J880" s="0" t="str">
        <f aca="false">IF(COUNTIF($A$2:A880,A880)&gt;1,"Duplicate","")</f>
        <v/>
      </c>
    </row>
    <row r="881" customFormat="false" ht="15" hidden="false" customHeight="false" outlineLevel="0" collapsed="false">
      <c r="A881" s="0" t="str">
        <f aca="false">'Raw Store Exports'!A881</f>
        <v>TXN00977</v>
      </c>
      <c r="B881" s="17" t="n">
        <f aca="false">'Raw Store Exports'!C881</f>
        <v>46074</v>
      </c>
      <c r="C881" s="0" t="str">
        <f aca="false">INDEX('Store Mapping'!$C$2:$C$19,MATCH(TRIM('Raw Store Exports'!B881),'Store Mapping'!$A$2:$A$19,0))</f>
        <v>Northpark</v>
      </c>
      <c r="D881" s="0" t="str">
        <f aca="false">'Raw Store Exports'!D881</f>
        <v>ELE-401</v>
      </c>
      <c r="E881" s="0" t="str">
        <f aca="false">INDEX('Product Master'!$B$2:$B$21,MATCH(D881,'Product Master'!$A$2:$A$21,0))</f>
        <v>Wireless Earbuds</v>
      </c>
      <c r="F881" s="0" t="str">
        <f aca="false">INDEX('Product Master'!$C$2:$C$21,MATCH(D881,'Product Master'!$A$2:$A$21,0))</f>
        <v>Electronics</v>
      </c>
      <c r="G881" s="15" t="n">
        <f aca="false">VALUE(TRIM('Raw Store Exports'!E881&amp;""))</f>
        <v>1</v>
      </c>
      <c r="H881" s="18" t="n">
        <f aca="false">INDEX('Product Master'!$D$2:$D$21,MATCH(D881,'Product Master'!$A$2:$A$21,0))</f>
        <v>79</v>
      </c>
      <c r="I881" s="14" t="n">
        <f aca="false">G881*H881</f>
        <v>79</v>
      </c>
      <c r="J881" s="0" t="str">
        <f aca="false">IF(COUNTIF($A$2:A881,A881)&gt;1,"Duplicate","")</f>
        <v/>
      </c>
    </row>
    <row r="882" customFormat="false" ht="15" hidden="false" customHeight="false" outlineLevel="0" collapsed="false">
      <c r="A882" s="0" t="str">
        <f aca="false">'Raw Store Exports'!A882</f>
        <v>TXN00364</v>
      </c>
      <c r="B882" s="17" t="n">
        <f aca="false">'Raw Store Exports'!C882</f>
        <v>46047</v>
      </c>
      <c r="C882" s="0" t="str">
        <f aca="false">INDEX('Store Mapping'!$C$2:$C$19,MATCH(TRIM('Raw Store Exports'!B882),'Store Mapping'!$A$2:$A$19,0))</f>
        <v>Northpark</v>
      </c>
      <c r="D882" s="0" t="str">
        <f aca="false">'Raw Store Exports'!D882</f>
        <v>ELE-401</v>
      </c>
      <c r="E882" s="0" t="str">
        <f aca="false">INDEX('Product Master'!$B$2:$B$21,MATCH(D882,'Product Master'!$A$2:$A$21,0))</f>
        <v>Wireless Earbuds</v>
      </c>
      <c r="F882" s="0" t="str">
        <f aca="false">INDEX('Product Master'!$C$2:$C$21,MATCH(D882,'Product Master'!$A$2:$A$21,0))</f>
        <v>Electronics</v>
      </c>
      <c r="G882" s="15" t="n">
        <f aca="false">VALUE(TRIM('Raw Store Exports'!E882&amp;""))</f>
        <v>4</v>
      </c>
      <c r="H882" s="18" t="n">
        <f aca="false">INDEX('Product Master'!$D$2:$D$21,MATCH(D882,'Product Master'!$A$2:$A$21,0))</f>
        <v>79</v>
      </c>
      <c r="I882" s="14" t="n">
        <f aca="false">G882*H882</f>
        <v>316</v>
      </c>
      <c r="J882" s="0" t="str">
        <f aca="false">IF(COUNTIF($A$2:A882,A882)&gt;1,"Duplicate","")</f>
        <v/>
      </c>
    </row>
    <row r="883" customFormat="false" ht="15" hidden="false" customHeight="false" outlineLevel="0" collapsed="false">
      <c r="A883" s="0" t="str">
        <f aca="false">'Raw Store Exports'!A883</f>
        <v>TXN00147</v>
      </c>
      <c r="B883" s="17" t="n">
        <f aca="false">'Raw Store Exports'!C883</f>
        <v>46036</v>
      </c>
      <c r="C883" s="0" t="str">
        <f aca="false">INDEX('Store Mapping'!$C$2:$C$19,MATCH(TRIM('Raw Store Exports'!B883),'Store Mapping'!$A$2:$A$19,0))</f>
        <v>Downtown</v>
      </c>
      <c r="D883" s="0" t="str">
        <f aca="false">'Raw Store Exports'!D883</f>
        <v>ELE-403</v>
      </c>
      <c r="E883" s="0" t="str">
        <f aca="false">INDEX('Product Master'!$B$2:$B$21,MATCH(D883,'Product Master'!$A$2:$A$21,0))</f>
        <v>Fitness Tracker Band</v>
      </c>
      <c r="F883" s="0" t="str">
        <f aca="false">INDEX('Product Master'!$C$2:$C$21,MATCH(D883,'Product Master'!$A$2:$A$21,0))</f>
        <v>Electronics</v>
      </c>
      <c r="G883" s="15" t="n">
        <f aca="false">VALUE(TRIM('Raw Store Exports'!E883&amp;""))</f>
        <v>1</v>
      </c>
      <c r="H883" s="18" t="n">
        <f aca="false">INDEX('Product Master'!$D$2:$D$21,MATCH(D883,'Product Master'!$A$2:$A$21,0))</f>
        <v>99</v>
      </c>
      <c r="I883" s="14" t="n">
        <f aca="false">G883*H883</f>
        <v>99</v>
      </c>
      <c r="J883" s="0" t="str">
        <f aca="false">IF(COUNTIF($A$2:A883,A883)&gt;1,"Duplicate","")</f>
        <v/>
      </c>
    </row>
    <row r="884" customFormat="false" ht="15" hidden="false" customHeight="false" outlineLevel="0" collapsed="false">
      <c r="A884" s="0" t="str">
        <f aca="false">'Raw Store Exports'!A884</f>
        <v>TXN00295</v>
      </c>
      <c r="B884" s="17" t="n">
        <f aca="false">'Raw Store Exports'!C884</f>
        <v>46045</v>
      </c>
      <c r="C884" s="0" t="str">
        <f aca="false">INDEX('Store Mapping'!$C$2:$C$19,MATCH(TRIM('Raw Store Exports'!B884),'Store Mapping'!$A$2:$A$19,0))</f>
        <v>Downtown</v>
      </c>
      <c r="D884" s="0" t="str">
        <f aca="false">'Raw Store Exports'!D884</f>
        <v>FTW-203</v>
      </c>
      <c r="E884" s="0" t="str">
        <f aca="false">INDEX('Product Master'!$B$2:$B$21,MATCH(D884,'Product Master'!$A$2:$A$21,0))</f>
        <v>Leather Ankle Boot</v>
      </c>
      <c r="F884" s="0" t="str">
        <f aca="false">INDEX('Product Master'!$C$2:$C$21,MATCH(D884,'Product Master'!$A$2:$A$21,0))</f>
        <v>Footwear</v>
      </c>
      <c r="G884" s="15" t="n">
        <f aca="false">VALUE(TRIM('Raw Store Exports'!E884&amp;""))</f>
        <v>6</v>
      </c>
      <c r="H884" s="18" t="n">
        <f aca="false">INDEX('Product Master'!$D$2:$D$21,MATCH(D884,'Product Master'!$A$2:$A$21,0))</f>
        <v>120</v>
      </c>
      <c r="I884" s="14" t="n">
        <f aca="false">G884*H884</f>
        <v>720</v>
      </c>
      <c r="J884" s="0" t="str">
        <f aca="false">IF(COUNTIF($A$2:A884,A884)&gt;1,"Duplicate","")</f>
        <v/>
      </c>
    </row>
    <row r="885" customFormat="false" ht="15" hidden="false" customHeight="false" outlineLevel="0" collapsed="false">
      <c r="A885" s="0" t="str">
        <f aca="false">'Raw Store Exports'!A885</f>
        <v>TXN00710</v>
      </c>
      <c r="B885" s="17" t="n">
        <f aca="false">'Raw Store Exports'!C885</f>
        <v>46056</v>
      </c>
      <c r="C885" s="0" t="str">
        <f aca="false">INDEX('Store Mapping'!$C$2:$C$19,MATCH(TRIM('Raw Store Exports'!B885),'Store Mapping'!$A$2:$A$19,0))</f>
        <v>Riverside</v>
      </c>
      <c r="D885" s="0" t="str">
        <f aca="false">'Raw Store Exports'!D885</f>
        <v>ELE-401</v>
      </c>
      <c r="E885" s="0" t="str">
        <f aca="false">INDEX('Product Master'!$B$2:$B$21,MATCH(D885,'Product Master'!$A$2:$A$21,0))</f>
        <v>Wireless Earbuds</v>
      </c>
      <c r="F885" s="0" t="str">
        <f aca="false">INDEX('Product Master'!$C$2:$C$21,MATCH(D885,'Product Master'!$A$2:$A$21,0))</f>
        <v>Electronics</v>
      </c>
      <c r="G885" s="15" t="n">
        <f aca="false">VALUE(TRIM('Raw Store Exports'!E885&amp;""))</f>
        <v>1</v>
      </c>
      <c r="H885" s="18" t="n">
        <f aca="false">INDEX('Product Master'!$D$2:$D$21,MATCH(D885,'Product Master'!$A$2:$A$21,0))</f>
        <v>79</v>
      </c>
      <c r="I885" s="14" t="n">
        <f aca="false">G885*H885</f>
        <v>79</v>
      </c>
      <c r="J885" s="0" t="str">
        <f aca="false">IF(COUNTIF($A$2:A885,A885)&gt;1,"Duplicate","")</f>
        <v/>
      </c>
    </row>
    <row r="886" customFormat="false" ht="15" hidden="false" customHeight="false" outlineLevel="0" collapsed="false">
      <c r="A886" s="0" t="str">
        <f aca="false">'Raw Store Exports'!A886</f>
        <v>TXN01084</v>
      </c>
      <c r="B886" s="17" t="n">
        <f aca="false">'Raw Store Exports'!C886</f>
        <v>46079</v>
      </c>
      <c r="C886" s="0" t="str">
        <f aca="false">INDEX('Store Mapping'!$C$2:$C$19,MATCH(TRIM('Raw Store Exports'!B886),'Store Mapping'!$A$2:$A$19,0))</f>
        <v>Westside Mall</v>
      </c>
      <c r="D886" s="0" t="str">
        <f aca="false">'Raw Store Exports'!D886</f>
        <v>HOM-502</v>
      </c>
      <c r="E886" s="0" t="str">
        <f aca="false">INDEX('Product Master'!$B$2:$B$21,MATCH(D886,'Product Master'!$A$2:$A$21,0))</f>
        <v>Scented Candle</v>
      </c>
      <c r="F886" s="0" t="str">
        <f aca="false">INDEX('Product Master'!$C$2:$C$21,MATCH(D886,'Product Master'!$A$2:$A$21,0))</f>
        <v>Home Goods</v>
      </c>
      <c r="G886" s="15" t="n">
        <f aca="false">VALUE(TRIM('Raw Store Exports'!E886&amp;""))</f>
        <v>4</v>
      </c>
      <c r="H886" s="18" t="n">
        <f aca="false">INDEX('Product Master'!$D$2:$D$21,MATCH(D886,'Product Master'!$A$2:$A$21,0))</f>
        <v>15</v>
      </c>
      <c r="I886" s="14" t="n">
        <f aca="false">G886*H886</f>
        <v>60</v>
      </c>
      <c r="J886" s="0" t="str">
        <f aca="false">IF(COUNTIF($A$2:A886,A886)&gt;1,"Duplicate","")</f>
        <v/>
      </c>
    </row>
    <row r="887" customFormat="false" ht="15" hidden="false" customHeight="false" outlineLevel="0" collapsed="false">
      <c r="A887" s="0" t="str">
        <f aca="false">'Raw Store Exports'!A887</f>
        <v>TXN00763</v>
      </c>
      <c r="B887" s="17" t="n">
        <f aca="false">'Raw Store Exports'!C887</f>
        <v>46066</v>
      </c>
      <c r="C887" s="0" t="str">
        <f aca="false">INDEX('Store Mapping'!$C$2:$C$19,MATCH(TRIM('Raw Store Exports'!B887),'Store Mapping'!$A$2:$A$19,0))</f>
        <v>Downtown</v>
      </c>
      <c r="D887" s="0" t="str">
        <f aca="false">'Raw Store Exports'!D887</f>
        <v>APP-101</v>
      </c>
      <c r="E887" s="0" t="str">
        <f aca="false">INDEX('Product Master'!$B$2:$B$21,MATCH(D887,'Product Master'!$A$2:$A$21,0))</f>
        <v>Classic Denim Jacket</v>
      </c>
      <c r="F887" s="0" t="str">
        <f aca="false">INDEX('Product Master'!$C$2:$C$21,MATCH(D887,'Product Master'!$A$2:$A$21,0))</f>
        <v>Apparel</v>
      </c>
      <c r="G887" s="15" t="n">
        <f aca="false">VALUE(TRIM('Raw Store Exports'!E887&amp;""))</f>
        <v>5</v>
      </c>
      <c r="H887" s="18" t="n">
        <f aca="false">INDEX('Product Master'!$D$2:$D$21,MATCH(D887,'Product Master'!$A$2:$A$21,0))</f>
        <v>68</v>
      </c>
      <c r="I887" s="14" t="n">
        <f aca="false">G887*H887</f>
        <v>340</v>
      </c>
      <c r="J887" s="0" t="str">
        <f aca="false">IF(COUNTIF($A$2:A887,A887)&gt;1,"Duplicate","")</f>
        <v/>
      </c>
    </row>
    <row r="888" customFormat="false" ht="15" hidden="false" customHeight="false" outlineLevel="0" collapsed="false">
      <c r="A888" s="0" t="str">
        <f aca="false">'Raw Store Exports'!A888</f>
        <v>TXN00273</v>
      </c>
      <c r="B888" s="17" t="n">
        <f aca="false">'Raw Store Exports'!C888</f>
        <v>46042</v>
      </c>
      <c r="C888" s="0" t="str">
        <f aca="false">INDEX('Store Mapping'!$C$2:$C$19,MATCH(TRIM('Raw Store Exports'!B888),'Store Mapping'!$A$2:$A$19,0))</f>
        <v>Downtown</v>
      </c>
      <c r="D888" s="0" t="str">
        <f aca="false">'Raw Store Exports'!D888</f>
        <v>HOM-503</v>
      </c>
      <c r="E888" s="0" t="str">
        <f aca="false">INDEX('Product Master'!$B$2:$B$21,MATCH(D888,'Product Master'!$A$2:$A$21,0))</f>
        <v>Cotton Throw Blanket</v>
      </c>
      <c r="F888" s="0" t="str">
        <f aca="false">INDEX('Product Master'!$C$2:$C$21,MATCH(D888,'Product Master'!$A$2:$A$21,0))</f>
        <v>Home Goods</v>
      </c>
      <c r="G888" s="15" t="n">
        <f aca="false">VALUE(TRIM('Raw Store Exports'!E888&amp;""))</f>
        <v>1</v>
      </c>
      <c r="H888" s="18" t="n">
        <f aca="false">INDEX('Product Master'!$D$2:$D$21,MATCH(D888,'Product Master'!$A$2:$A$21,0))</f>
        <v>38</v>
      </c>
      <c r="I888" s="14" t="n">
        <f aca="false">G888*H888</f>
        <v>38</v>
      </c>
      <c r="J888" s="0" t="str">
        <f aca="false">IF(COUNTIF($A$2:A888,A888)&gt;1,"Duplicate","")</f>
        <v/>
      </c>
    </row>
    <row r="889" customFormat="false" ht="15" hidden="false" customHeight="false" outlineLevel="0" collapsed="false">
      <c r="A889" s="0" t="str">
        <f aca="false">'Raw Store Exports'!A889</f>
        <v>TXN00975</v>
      </c>
      <c r="B889" s="17" t="n">
        <f aca="false">'Raw Store Exports'!C889</f>
        <v>46075</v>
      </c>
      <c r="C889" s="0" t="str">
        <f aca="false">INDEX('Store Mapping'!$C$2:$C$19,MATCH(TRIM('Raw Store Exports'!B889),'Store Mapping'!$A$2:$A$19,0))</f>
        <v>Northpark</v>
      </c>
      <c r="D889" s="0" t="str">
        <f aca="false">'Raw Store Exports'!D889</f>
        <v>ELE-404</v>
      </c>
      <c r="E889" s="0" t="str">
        <f aca="false">INDEX('Product Master'!$B$2:$B$21,MATCH(D889,'Product Master'!$A$2:$A$21,0))</f>
        <v>Phone Charging Cable</v>
      </c>
      <c r="F889" s="0" t="str">
        <f aca="false">INDEX('Product Master'!$C$2:$C$21,MATCH(D889,'Product Master'!$A$2:$A$21,0))</f>
        <v>Electronics</v>
      </c>
      <c r="G889" s="15" t="n">
        <f aca="false">VALUE(TRIM('Raw Store Exports'!E889&amp;""))</f>
        <v>4</v>
      </c>
      <c r="H889" s="18" t="n">
        <f aca="false">INDEX('Product Master'!$D$2:$D$21,MATCH(D889,'Product Master'!$A$2:$A$21,0))</f>
        <v>12</v>
      </c>
      <c r="I889" s="14" t="n">
        <f aca="false">G889*H889</f>
        <v>48</v>
      </c>
      <c r="J889" s="0" t="str">
        <f aca="false">IF(COUNTIF($A$2:A889,A889)&gt;1,"Duplicate","")</f>
        <v/>
      </c>
    </row>
    <row r="890" customFormat="false" ht="15" hidden="false" customHeight="false" outlineLevel="0" collapsed="false">
      <c r="A890" s="0" t="str">
        <f aca="false">'Raw Store Exports'!A890</f>
        <v>TXN00303</v>
      </c>
      <c r="B890" s="17" t="n">
        <f aca="false">'Raw Store Exports'!C890</f>
        <v>46045</v>
      </c>
      <c r="C890" s="0" t="str">
        <f aca="false">INDEX('Store Mapping'!$C$2:$C$19,MATCH(TRIM('Raw Store Exports'!B890),'Store Mapping'!$A$2:$A$19,0))</f>
        <v>Westside Mall</v>
      </c>
      <c r="D890" s="0" t="str">
        <f aca="false">'Raw Store Exports'!D890</f>
        <v>APP-103</v>
      </c>
      <c r="E890" s="0" t="str">
        <f aca="false">INDEX('Product Master'!$B$2:$B$21,MATCH(D890,'Product Master'!$A$2:$A$21,0))</f>
        <v>Fleece Pullover Hoodie</v>
      </c>
      <c r="F890" s="0" t="str">
        <f aca="false">INDEX('Product Master'!$C$2:$C$21,MATCH(D890,'Product Master'!$A$2:$A$21,0))</f>
        <v>Apparel</v>
      </c>
      <c r="G890" s="15" t="n">
        <f aca="false">VALUE(TRIM('Raw Store Exports'!E890&amp;""))</f>
        <v>6</v>
      </c>
      <c r="H890" s="18" t="n">
        <f aca="false">INDEX('Product Master'!$D$2:$D$21,MATCH(D890,'Product Master'!$A$2:$A$21,0))</f>
        <v>45</v>
      </c>
      <c r="I890" s="14" t="n">
        <f aca="false">G890*H890</f>
        <v>270</v>
      </c>
      <c r="J890" s="0" t="str">
        <f aca="false">IF(COUNTIF($A$2:A890,A890)&gt;1,"Duplicate","")</f>
        <v/>
      </c>
    </row>
    <row r="891" customFormat="false" ht="15" hidden="false" customHeight="false" outlineLevel="0" collapsed="false">
      <c r="A891" s="0" t="str">
        <f aca="false">'Raw Store Exports'!A891</f>
        <v>TXN00076</v>
      </c>
      <c r="B891" s="17" t="n">
        <f aca="false">'Raw Store Exports'!C891</f>
        <v>46033</v>
      </c>
      <c r="C891" s="0" t="str">
        <f aca="false">INDEX('Store Mapping'!$C$2:$C$19,MATCH(TRIM('Raw Store Exports'!B891),'Store Mapping'!$A$2:$A$19,0))</f>
        <v>Eastgate</v>
      </c>
      <c r="D891" s="0" t="str">
        <f aca="false">'Raw Store Exports'!D891</f>
        <v>ELE-402</v>
      </c>
      <c r="E891" s="0" t="str">
        <f aca="false">INDEX('Product Master'!$B$2:$B$21,MATCH(D891,'Product Master'!$A$2:$A$21,0))</f>
        <v>Bluetooth Speaker</v>
      </c>
      <c r="F891" s="0" t="str">
        <f aca="false">INDEX('Product Master'!$C$2:$C$21,MATCH(D891,'Product Master'!$A$2:$A$21,0))</f>
        <v>Electronics</v>
      </c>
      <c r="G891" s="15" t="n">
        <f aca="false">VALUE(TRIM('Raw Store Exports'!E891&amp;""))</f>
        <v>1</v>
      </c>
      <c r="H891" s="18" t="n">
        <f aca="false">INDEX('Product Master'!$D$2:$D$21,MATCH(D891,'Product Master'!$A$2:$A$21,0))</f>
        <v>59</v>
      </c>
      <c r="I891" s="14" t="n">
        <f aca="false">G891*H891</f>
        <v>59</v>
      </c>
      <c r="J891" s="0" t="str">
        <f aca="false">IF(COUNTIF($A$2:A891,A891)&gt;1,"Duplicate","")</f>
        <v/>
      </c>
    </row>
    <row r="892" customFormat="false" ht="15" hidden="false" customHeight="false" outlineLevel="0" collapsed="false">
      <c r="A892" s="0" t="str">
        <f aca="false">'Raw Store Exports'!A892</f>
        <v>TXN00856</v>
      </c>
      <c r="B892" s="17" t="n">
        <f aca="false">'Raw Store Exports'!C892</f>
        <v>46067</v>
      </c>
      <c r="C892" s="0" t="str">
        <f aca="false">INDEX('Store Mapping'!$C$2:$C$19,MATCH(TRIM('Raw Store Exports'!B892),'Store Mapping'!$A$2:$A$19,0))</f>
        <v>Riverside</v>
      </c>
      <c r="D892" s="0" t="str">
        <f aca="false">'Raw Store Exports'!D892</f>
        <v>ACC-301</v>
      </c>
      <c r="E892" s="0" t="str">
        <f aca="false">INDEX('Product Master'!$B$2:$B$21,MATCH(D892,'Product Master'!$A$2:$A$21,0))</f>
        <v>Leather Belt</v>
      </c>
      <c r="F892" s="0" t="str">
        <f aca="false">INDEX('Product Master'!$C$2:$C$21,MATCH(D892,'Product Master'!$A$2:$A$21,0))</f>
        <v>Accessories</v>
      </c>
      <c r="G892" s="15" t="n">
        <f aca="false">VALUE(TRIM('Raw Store Exports'!E892&amp;""))</f>
        <v>4</v>
      </c>
      <c r="H892" s="18" t="n">
        <f aca="false">INDEX('Product Master'!$D$2:$D$21,MATCH(D892,'Product Master'!$A$2:$A$21,0))</f>
        <v>30</v>
      </c>
      <c r="I892" s="14" t="n">
        <f aca="false">G892*H892</f>
        <v>120</v>
      </c>
      <c r="J892" s="0" t="str">
        <f aca="false">IF(COUNTIF($A$2:A892,A892)&gt;1,"Duplicate","")</f>
        <v>Duplicate</v>
      </c>
    </row>
    <row r="893" customFormat="false" ht="15" hidden="false" customHeight="false" outlineLevel="0" collapsed="false">
      <c r="A893" s="0" t="str">
        <f aca="false">'Raw Store Exports'!A893</f>
        <v>TXN00740</v>
      </c>
      <c r="B893" s="17" t="n">
        <f aca="false">'Raw Store Exports'!C893</f>
        <v>46056</v>
      </c>
      <c r="C893" s="0" t="str">
        <f aca="false">INDEX('Store Mapping'!$C$2:$C$19,MATCH(TRIM('Raw Store Exports'!B893),'Store Mapping'!$A$2:$A$19,0))</f>
        <v>Airport Plaza</v>
      </c>
      <c r="D893" s="0" t="str">
        <f aca="false">'Raw Store Exports'!D893</f>
        <v>APP-103</v>
      </c>
      <c r="E893" s="0" t="str">
        <f aca="false">INDEX('Product Master'!$B$2:$B$21,MATCH(D893,'Product Master'!$A$2:$A$21,0))</f>
        <v>Fleece Pullover Hoodie</v>
      </c>
      <c r="F893" s="0" t="str">
        <f aca="false">INDEX('Product Master'!$C$2:$C$21,MATCH(D893,'Product Master'!$A$2:$A$21,0))</f>
        <v>Apparel</v>
      </c>
      <c r="G893" s="15" t="n">
        <f aca="false">VALUE(TRIM('Raw Store Exports'!E893&amp;""))</f>
        <v>2</v>
      </c>
      <c r="H893" s="18" t="n">
        <f aca="false">INDEX('Product Master'!$D$2:$D$21,MATCH(D893,'Product Master'!$A$2:$A$21,0))</f>
        <v>45</v>
      </c>
      <c r="I893" s="14" t="n">
        <f aca="false">G893*H893</f>
        <v>90</v>
      </c>
      <c r="J893" s="0" t="str">
        <f aca="false">IF(COUNTIF($A$2:A893,A893)&gt;1,"Duplicate","")</f>
        <v/>
      </c>
    </row>
    <row r="894" customFormat="false" ht="15" hidden="false" customHeight="false" outlineLevel="0" collapsed="false">
      <c r="A894" s="0" t="str">
        <f aca="false">'Raw Store Exports'!A894</f>
        <v>TXN00184</v>
      </c>
      <c r="B894" s="17" t="n">
        <f aca="false">'Raw Store Exports'!C894</f>
        <v>46037</v>
      </c>
      <c r="C894" s="0" t="str">
        <f aca="false">INDEX('Store Mapping'!$C$2:$C$19,MATCH(TRIM('Raw Store Exports'!B894),'Store Mapping'!$A$2:$A$19,0))</f>
        <v>Eastgate</v>
      </c>
      <c r="D894" s="0" t="str">
        <f aca="false">'Raw Store Exports'!D894</f>
        <v>APP-104</v>
      </c>
      <c r="E894" s="0" t="str">
        <f aca="false">INDEX('Product Master'!$B$2:$B$21,MATCH(D894,'Product Master'!$A$2:$A$21,0))</f>
        <v>Slim Fit Chinos</v>
      </c>
      <c r="F894" s="0" t="str">
        <f aca="false">INDEX('Product Master'!$C$2:$C$21,MATCH(D894,'Product Master'!$A$2:$A$21,0))</f>
        <v>Apparel</v>
      </c>
      <c r="G894" s="15" t="n">
        <f aca="false">VALUE(TRIM('Raw Store Exports'!E894&amp;""))</f>
        <v>6</v>
      </c>
      <c r="H894" s="18" t="n">
        <f aca="false">INDEX('Product Master'!$D$2:$D$21,MATCH(D894,'Product Master'!$A$2:$A$21,0))</f>
        <v>52</v>
      </c>
      <c r="I894" s="14" t="n">
        <f aca="false">G894*H894</f>
        <v>312</v>
      </c>
      <c r="J894" s="0" t="str">
        <f aca="false">IF(COUNTIF($A$2:A894,A894)&gt;1,"Duplicate","")</f>
        <v/>
      </c>
    </row>
    <row r="895" customFormat="false" ht="15" hidden="false" customHeight="false" outlineLevel="0" collapsed="false">
      <c r="A895" s="0" t="str">
        <f aca="false">'Raw Store Exports'!A895</f>
        <v>TXN01104</v>
      </c>
      <c r="B895" s="17" t="n">
        <f aca="false">'Raw Store Exports'!C895</f>
        <v>46076</v>
      </c>
      <c r="C895" s="0" t="str">
        <f aca="false">INDEX('Store Mapping'!$C$2:$C$19,MATCH(TRIM('Raw Store Exports'!B895),'Store Mapping'!$A$2:$A$19,0))</f>
        <v>Eastgate</v>
      </c>
      <c r="D895" s="0" t="str">
        <f aca="false">'Raw Store Exports'!D895</f>
        <v>FTW-204</v>
      </c>
      <c r="E895" s="0" t="str">
        <f aca="false">INDEX('Product Master'!$B$2:$B$21,MATCH(D895,'Product Master'!$A$2:$A$21,0))</f>
        <v>Slide Sandals</v>
      </c>
      <c r="F895" s="0" t="str">
        <f aca="false">INDEX('Product Master'!$C$2:$C$21,MATCH(D895,'Product Master'!$A$2:$A$21,0))</f>
        <v>Footwear</v>
      </c>
      <c r="G895" s="15" t="n">
        <f aca="false">VALUE(TRIM('Raw Store Exports'!E895&amp;""))</f>
        <v>1</v>
      </c>
      <c r="H895" s="18" t="n">
        <f aca="false">INDEX('Product Master'!$D$2:$D$21,MATCH(D895,'Product Master'!$A$2:$A$21,0))</f>
        <v>25</v>
      </c>
      <c r="I895" s="14" t="n">
        <f aca="false">G895*H895</f>
        <v>25</v>
      </c>
      <c r="J895" s="0" t="str">
        <f aca="false">IF(COUNTIF($A$2:A895,A895)&gt;1,"Duplicate","")</f>
        <v/>
      </c>
    </row>
    <row r="896" customFormat="false" ht="15" hidden="false" customHeight="false" outlineLevel="0" collapsed="false">
      <c r="A896" s="0" t="str">
        <f aca="false">'Raw Store Exports'!A896</f>
        <v>TXN00606</v>
      </c>
      <c r="B896" s="17" t="n">
        <f aca="false">'Raw Store Exports'!C896</f>
        <v>46060</v>
      </c>
      <c r="C896" s="0" t="str">
        <f aca="false">INDEX('Store Mapping'!$C$2:$C$19,MATCH(TRIM('Raw Store Exports'!B896),'Store Mapping'!$A$2:$A$19,0))</f>
        <v>Downtown</v>
      </c>
      <c r="D896" s="0" t="str">
        <f aca="false">'Raw Store Exports'!D896</f>
        <v>ELE-401</v>
      </c>
      <c r="E896" s="0" t="str">
        <f aca="false">INDEX('Product Master'!$B$2:$B$21,MATCH(D896,'Product Master'!$A$2:$A$21,0))</f>
        <v>Wireless Earbuds</v>
      </c>
      <c r="F896" s="0" t="str">
        <f aca="false">INDEX('Product Master'!$C$2:$C$21,MATCH(D896,'Product Master'!$A$2:$A$21,0))</f>
        <v>Electronics</v>
      </c>
      <c r="G896" s="15" t="n">
        <f aca="false">VALUE(TRIM('Raw Store Exports'!E896&amp;""))</f>
        <v>5</v>
      </c>
      <c r="H896" s="18" t="n">
        <f aca="false">INDEX('Product Master'!$D$2:$D$21,MATCH(D896,'Product Master'!$A$2:$A$21,0))</f>
        <v>79</v>
      </c>
      <c r="I896" s="14" t="n">
        <f aca="false">G896*H896</f>
        <v>395</v>
      </c>
      <c r="J896" s="0" t="str">
        <f aca="false">IF(COUNTIF($A$2:A896,A896)&gt;1,"Duplicate","")</f>
        <v/>
      </c>
    </row>
    <row r="897" customFormat="false" ht="15" hidden="false" customHeight="false" outlineLevel="0" collapsed="false">
      <c r="A897" s="0" t="str">
        <f aca="false">'Raw Store Exports'!A897</f>
        <v>TXN00970</v>
      </c>
      <c r="B897" s="17" t="n">
        <f aca="false">'Raw Store Exports'!C897</f>
        <v>46074</v>
      </c>
      <c r="C897" s="0" t="str">
        <f aca="false">INDEX('Store Mapping'!$C$2:$C$19,MATCH(TRIM('Raw Store Exports'!B897),'Store Mapping'!$A$2:$A$19,0))</f>
        <v>Eastgate</v>
      </c>
      <c r="D897" s="0" t="str">
        <f aca="false">'Raw Store Exports'!D897</f>
        <v>HOM-504</v>
      </c>
      <c r="E897" s="0" t="str">
        <f aca="false">INDEX('Product Master'!$B$2:$B$21,MATCH(D897,'Product Master'!$A$2:$A$21,0))</f>
        <v>Bamboo Cutting Board</v>
      </c>
      <c r="F897" s="0" t="str">
        <f aca="false">INDEX('Product Master'!$C$2:$C$21,MATCH(D897,'Product Master'!$A$2:$A$21,0))</f>
        <v>Home Goods</v>
      </c>
      <c r="G897" s="15" t="n">
        <f aca="false">VALUE(TRIM('Raw Store Exports'!E897&amp;""))</f>
        <v>1</v>
      </c>
      <c r="H897" s="18" t="n">
        <f aca="false">INDEX('Product Master'!$D$2:$D$21,MATCH(D897,'Product Master'!$A$2:$A$21,0))</f>
        <v>27</v>
      </c>
      <c r="I897" s="14" t="n">
        <f aca="false">G897*H897</f>
        <v>27</v>
      </c>
      <c r="J897" s="0" t="str">
        <f aca="false">IF(COUNTIF($A$2:A897,A897)&gt;1,"Duplicate","")</f>
        <v/>
      </c>
    </row>
    <row r="898" customFormat="false" ht="15" hidden="false" customHeight="false" outlineLevel="0" collapsed="false">
      <c r="A898" s="0" t="str">
        <f aca="false">'Raw Store Exports'!A898</f>
        <v>TXN00813</v>
      </c>
      <c r="B898" s="17" t="n">
        <f aca="false">'Raw Store Exports'!C898</f>
        <v>46068</v>
      </c>
      <c r="C898" s="0" t="str">
        <f aca="false">INDEX('Store Mapping'!$C$2:$C$19,MATCH(TRIM('Raw Store Exports'!B898),'Store Mapping'!$A$2:$A$19,0))</f>
        <v>Eastgate</v>
      </c>
      <c r="D898" s="0" t="str">
        <f aca="false">'Raw Store Exports'!D898</f>
        <v>FTW-202</v>
      </c>
      <c r="E898" s="0" t="str">
        <f aca="false">INDEX('Product Master'!$B$2:$B$21,MATCH(D898,'Product Master'!$A$2:$A$21,0))</f>
        <v>Canvas Low-Top</v>
      </c>
      <c r="F898" s="0" t="str">
        <f aca="false">INDEX('Product Master'!$C$2:$C$21,MATCH(D898,'Product Master'!$A$2:$A$21,0))</f>
        <v>Footwear</v>
      </c>
      <c r="G898" s="15" t="n">
        <f aca="false">VALUE(TRIM('Raw Store Exports'!E898&amp;""))</f>
        <v>2</v>
      </c>
      <c r="H898" s="18" t="n">
        <f aca="false">INDEX('Product Master'!$D$2:$D$21,MATCH(D898,'Product Master'!$A$2:$A$21,0))</f>
        <v>55</v>
      </c>
      <c r="I898" s="14" t="n">
        <f aca="false">G898*H898</f>
        <v>110</v>
      </c>
      <c r="J898" s="0" t="str">
        <f aca="false">IF(COUNTIF($A$2:A898,A898)&gt;1,"Duplicate","")</f>
        <v/>
      </c>
    </row>
    <row r="899" customFormat="false" ht="15" hidden="false" customHeight="false" outlineLevel="0" collapsed="false">
      <c r="A899" s="0" t="str">
        <f aca="false">'Raw Store Exports'!A899</f>
        <v>TXN00330</v>
      </c>
      <c r="B899" s="17" t="n">
        <f aca="false">'Raw Store Exports'!C899</f>
        <v>46044</v>
      </c>
      <c r="C899" s="0" t="str">
        <f aca="false">INDEX('Store Mapping'!$C$2:$C$19,MATCH(TRIM('Raw Store Exports'!B899),'Store Mapping'!$A$2:$A$19,0))</f>
        <v>Eastgate</v>
      </c>
      <c r="D899" s="0" t="str">
        <f aca="false">'Raw Store Exports'!D899</f>
        <v>ACC-302</v>
      </c>
      <c r="E899" s="0" t="str">
        <f aca="false">INDEX('Product Master'!$B$2:$B$21,MATCH(D899,'Product Master'!$A$2:$A$21,0))</f>
        <v>Aviator Sunglasses</v>
      </c>
      <c r="F899" s="0" t="str">
        <f aca="false">INDEX('Product Master'!$C$2:$C$21,MATCH(D899,'Product Master'!$A$2:$A$21,0))</f>
        <v>Accessories</v>
      </c>
      <c r="G899" s="15" t="n">
        <f aca="false">VALUE(TRIM('Raw Store Exports'!E899&amp;""))</f>
        <v>4</v>
      </c>
      <c r="H899" s="18" t="n">
        <f aca="false">INDEX('Product Master'!$D$2:$D$21,MATCH(D899,'Product Master'!$A$2:$A$21,0))</f>
        <v>42</v>
      </c>
      <c r="I899" s="14" t="n">
        <f aca="false">G899*H899</f>
        <v>168</v>
      </c>
      <c r="J899" s="0" t="str">
        <f aca="false">IF(COUNTIF($A$2:A899,A899)&gt;1,"Duplicate","")</f>
        <v/>
      </c>
    </row>
    <row r="900" customFormat="false" ht="15" hidden="false" customHeight="false" outlineLevel="0" collapsed="false">
      <c r="A900" s="0" t="str">
        <f aca="false">'Raw Store Exports'!A900</f>
        <v>TXN00965</v>
      </c>
      <c r="B900" s="17" t="n">
        <f aca="false">'Raw Store Exports'!C900</f>
        <v>46073</v>
      </c>
      <c r="C900" s="0" t="str">
        <f aca="false">INDEX('Store Mapping'!$C$2:$C$19,MATCH(TRIM('Raw Store Exports'!B900),'Store Mapping'!$A$2:$A$19,0))</f>
        <v>Eastgate</v>
      </c>
      <c r="D900" s="0" t="str">
        <f aca="false">'Raw Store Exports'!D900</f>
        <v>HOM-502</v>
      </c>
      <c r="E900" s="0" t="str">
        <f aca="false">INDEX('Product Master'!$B$2:$B$21,MATCH(D900,'Product Master'!$A$2:$A$21,0))</f>
        <v>Scented Candle</v>
      </c>
      <c r="F900" s="0" t="str">
        <f aca="false">INDEX('Product Master'!$C$2:$C$21,MATCH(D900,'Product Master'!$A$2:$A$21,0))</f>
        <v>Home Goods</v>
      </c>
      <c r="G900" s="15" t="n">
        <f aca="false">VALUE(TRIM('Raw Store Exports'!E900&amp;""))</f>
        <v>4</v>
      </c>
      <c r="H900" s="18" t="n">
        <f aca="false">INDEX('Product Master'!$D$2:$D$21,MATCH(D900,'Product Master'!$A$2:$A$21,0))</f>
        <v>15</v>
      </c>
      <c r="I900" s="14" t="n">
        <f aca="false">G900*H900</f>
        <v>60</v>
      </c>
      <c r="J900" s="0" t="str">
        <f aca="false">IF(COUNTIF($A$2:A900,A900)&gt;1,"Duplicate","")</f>
        <v/>
      </c>
    </row>
    <row r="901" customFormat="false" ht="15" hidden="false" customHeight="false" outlineLevel="0" collapsed="false">
      <c r="A901" s="0" t="str">
        <f aca="false">'Raw Store Exports'!A901</f>
        <v>TXN00188</v>
      </c>
      <c r="B901" s="17" t="n">
        <f aca="false">'Raw Store Exports'!C901</f>
        <v>46036</v>
      </c>
      <c r="C901" s="0" t="str">
        <f aca="false">INDEX('Store Mapping'!$C$2:$C$19,MATCH(TRIM('Raw Store Exports'!B901),'Store Mapping'!$A$2:$A$19,0))</f>
        <v>Eastgate</v>
      </c>
      <c r="D901" s="0" t="str">
        <f aca="false">'Raw Store Exports'!D901</f>
        <v>APP-103</v>
      </c>
      <c r="E901" s="0" t="str">
        <f aca="false">INDEX('Product Master'!$B$2:$B$21,MATCH(D901,'Product Master'!$A$2:$A$21,0))</f>
        <v>Fleece Pullover Hoodie</v>
      </c>
      <c r="F901" s="0" t="str">
        <f aca="false">INDEX('Product Master'!$C$2:$C$21,MATCH(D901,'Product Master'!$A$2:$A$21,0))</f>
        <v>Apparel</v>
      </c>
      <c r="G901" s="15" t="n">
        <f aca="false">VALUE(TRIM('Raw Store Exports'!E901&amp;""))</f>
        <v>6</v>
      </c>
      <c r="H901" s="18" t="n">
        <f aca="false">INDEX('Product Master'!$D$2:$D$21,MATCH(D901,'Product Master'!$A$2:$A$21,0))</f>
        <v>45</v>
      </c>
      <c r="I901" s="14" t="n">
        <f aca="false">G901*H901</f>
        <v>270</v>
      </c>
      <c r="J901" s="0" t="str">
        <f aca="false">IF(COUNTIF($A$2:A901,A901)&gt;1,"Duplicate","")</f>
        <v/>
      </c>
    </row>
    <row r="902" customFormat="false" ht="15" hidden="false" customHeight="false" outlineLevel="0" collapsed="false">
      <c r="A902" s="0" t="str">
        <f aca="false">'Raw Store Exports'!A902</f>
        <v>TXN00438</v>
      </c>
      <c r="B902" s="17" t="n">
        <f aca="false">'Raw Store Exports'!C902</f>
        <v>46048</v>
      </c>
      <c r="C902" s="0" t="str">
        <f aca="false">INDEX('Store Mapping'!$C$2:$C$19,MATCH(TRIM('Raw Store Exports'!B902),'Store Mapping'!$A$2:$A$19,0))</f>
        <v>Downtown</v>
      </c>
      <c r="D902" s="0" t="str">
        <f aca="false">'Raw Store Exports'!D902</f>
        <v>ACC-302</v>
      </c>
      <c r="E902" s="0" t="str">
        <f aca="false">INDEX('Product Master'!$B$2:$B$21,MATCH(D902,'Product Master'!$A$2:$A$21,0))</f>
        <v>Aviator Sunglasses</v>
      </c>
      <c r="F902" s="0" t="str">
        <f aca="false">INDEX('Product Master'!$C$2:$C$21,MATCH(D902,'Product Master'!$A$2:$A$21,0))</f>
        <v>Accessories</v>
      </c>
      <c r="G902" s="15" t="n">
        <f aca="false">VALUE(TRIM('Raw Store Exports'!E902&amp;""))</f>
        <v>2</v>
      </c>
      <c r="H902" s="18" t="n">
        <f aca="false">INDEX('Product Master'!$D$2:$D$21,MATCH(D902,'Product Master'!$A$2:$A$21,0))</f>
        <v>42</v>
      </c>
      <c r="I902" s="14" t="n">
        <f aca="false">G902*H902</f>
        <v>84</v>
      </c>
      <c r="J902" s="0" t="str">
        <f aca="false">IF(COUNTIF($A$2:A902,A902)&gt;1,"Duplicate","")</f>
        <v/>
      </c>
    </row>
    <row r="903" customFormat="false" ht="15" hidden="false" customHeight="false" outlineLevel="0" collapsed="false">
      <c r="A903" s="0" t="str">
        <f aca="false">'Raw Store Exports'!A903</f>
        <v>TXN00266</v>
      </c>
      <c r="B903" s="17" t="n">
        <f aca="false">'Raw Store Exports'!C903</f>
        <v>46038</v>
      </c>
      <c r="C903" s="0" t="str">
        <f aca="false">INDEX('Store Mapping'!$C$2:$C$19,MATCH(TRIM('Raw Store Exports'!B903),'Store Mapping'!$A$2:$A$19,0))</f>
        <v>Airport Plaza</v>
      </c>
      <c r="D903" s="0" t="str">
        <f aca="false">'Raw Store Exports'!D903</f>
        <v>HOM-501</v>
      </c>
      <c r="E903" s="0" t="str">
        <f aca="false">INDEX('Product Master'!$B$2:$B$21,MATCH(D903,'Product Master'!$A$2:$A$21,0))</f>
        <v>Ceramic Coffee Mug Set</v>
      </c>
      <c r="F903" s="0" t="str">
        <f aca="false">INDEX('Product Master'!$C$2:$C$21,MATCH(D903,'Product Master'!$A$2:$A$21,0))</f>
        <v>Home Goods</v>
      </c>
      <c r="G903" s="15" t="n">
        <f aca="false">VALUE(TRIM('Raw Store Exports'!E903&amp;""))</f>
        <v>3</v>
      </c>
      <c r="H903" s="18" t="n">
        <f aca="false">INDEX('Product Master'!$D$2:$D$21,MATCH(D903,'Product Master'!$A$2:$A$21,0))</f>
        <v>22</v>
      </c>
      <c r="I903" s="14" t="n">
        <f aca="false">G903*H903</f>
        <v>66</v>
      </c>
      <c r="J903" s="0" t="str">
        <f aca="false">IF(COUNTIF($A$2:A903,A903)&gt;1,"Duplicate","")</f>
        <v/>
      </c>
    </row>
    <row r="904" customFormat="false" ht="15" hidden="false" customHeight="false" outlineLevel="0" collapsed="false">
      <c r="A904" s="0" t="str">
        <f aca="false">'Raw Store Exports'!A904</f>
        <v>TXN00775</v>
      </c>
      <c r="B904" s="17" t="n">
        <f aca="false">'Raw Store Exports'!C904</f>
        <v>46062</v>
      </c>
      <c r="C904" s="0" t="str">
        <f aca="false">INDEX('Store Mapping'!$C$2:$C$19,MATCH(TRIM('Raw Store Exports'!B904),'Store Mapping'!$A$2:$A$19,0))</f>
        <v>Downtown</v>
      </c>
      <c r="D904" s="0" t="str">
        <f aca="false">'Raw Store Exports'!D904</f>
        <v>FTW-204</v>
      </c>
      <c r="E904" s="0" t="str">
        <f aca="false">INDEX('Product Master'!$B$2:$B$21,MATCH(D904,'Product Master'!$A$2:$A$21,0))</f>
        <v>Slide Sandals</v>
      </c>
      <c r="F904" s="0" t="str">
        <f aca="false">INDEX('Product Master'!$C$2:$C$21,MATCH(D904,'Product Master'!$A$2:$A$21,0))</f>
        <v>Footwear</v>
      </c>
      <c r="G904" s="15" t="n">
        <f aca="false">VALUE(TRIM('Raw Store Exports'!E904&amp;""))</f>
        <v>3</v>
      </c>
      <c r="H904" s="18" t="n">
        <f aca="false">INDEX('Product Master'!$D$2:$D$21,MATCH(D904,'Product Master'!$A$2:$A$21,0))</f>
        <v>25</v>
      </c>
      <c r="I904" s="14" t="n">
        <f aca="false">G904*H904</f>
        <v>75</v>
      </c>
      <c r="J904" s="0" t="str">
        <f aca="false">IF(COUNTIF($A$2:A904,A904)&gt;1,"Duplicate","")</f>
        <v/>
      </c>
    </row>
    <row r="905" customFormat="false" ht="15" hidden="false" customHeight="false" outlineLevel="0" collapsed="false">
      <c r="A905" s="0" t="str">
        <f aca="false">'Raw Store Exports'!A905</f>
        <v>TXN00868</v>
      </c>
      <c r="B905" s="17" t="n">
        <f aca="false">'Raw Store Exports'!C905</f>
        <v>46065</v>
      </c>
      <c r="C905" s="0" t="str">
        <f aca="false">INDEX('Store Mapping'!$C$2:$C$19,MATCH(TRIM('Raw Store Exports'!B905),'Store Mapping'!$A$2:$A$19,0))</f>
        <v>Riverside</v>
      </c>
      <c r="D905" s="0" t="str">
        <f aca="false">'Raw Store Exports'!D905</f>
        <v>ACC-301</v>
      </c>
      <c r="E905" s="0" t="str">
        <f aca="false">INDEX('Product Master'!$B$2:$B$21,MATCH(D905,'Product Master'!$A$2:$A$21,0))</f>
        <v>Leather Belt</v>
      </c>
      <c r="F905" s="0" t="str">
        <f aca="false">INDEX('Product Master'!$C$2:$C$21,MATCH(D905,'Product Master'!$A$2:$A$21,0))</f>
        <v>Accessories</v>
      </c>
      <c r="G905" s="15" t="n">
        <f aca="false">VALUE(TRIM('Raw Store Exports'!E905&amp;""))</f>
        <v>1</v>
      </c>
      <c r="H905" s="18" t="n">
        <f aca="false">INDEX('Product Master'!$D$2:$D$21,MATCH(D905,'Product Master'!$A$2:$A$21,0))</f>
        <v>30</v>
      </c>
      <c r="I905" s="14" t="n">
        <f aca="false">G905*H905</f>
        <v>30</v>
      </c>
      <c r="J905" s="0" t="str">
        <f aca="false">IF(COUNTIF($A$2:A905,A905)&gt;1,"Duplicate","")</f>
        <v/>
      </c>
    </row>
    <row r="906" customFormat="false" ht="15" hidden="false" customHeight="false" outlineLevel="0" collapsed="false">
      <c r="A906" s="0" t="str">
        <f aca="false">'Raw Store Exports'!A906</f>
        <v>TXN00603</v>
      </c>
      <c r="B906" s="17" t="n">
        <f aca="false">'Raw Store Exports'!C906</f>
        <v>46061</v>
      </c>
      <c r="C906" s="0" t="str">
        <f aca="false">INDEX('Store Mapping'!$C$2:$C$19,MATCH(TRIM('Raw Store Exports'!B906),'Store Mapping'!$A$2:$A$19,0))</f>
        <v>Downtown</v>
      </c>
      <c r="D906" s="0" t="str">
        <f aca="false">'Raw Store Exports'!D906</f>
        <v>ACC-301</v>
      </c>
      <c r="E906" s="0" t="str">
        <f aca="false">INDEX('Product Master'!$B$2:$B$21,MATCH(D906,'Product Master'!$A$2:$A$21,0))</f>
        <v>Leather Belt</v>
      </c>
      <c r="F906" s="0" t="str">
        <f aca="false">INDEX('Product Master'!$C$2:$C$21,MATCH(D906,'Product Master'!$A$2:$A$21,0))</f>
        <v>Accessories</v>
      </c>
      <c r="G906" s="15" t="n">
        <f aca="false">VALUE(TRIM('Raw Store Exports'!E906&amp;""))</f>
        <v>6</v>
      </c>
      <c r="H906" s="18" t="n">
        <f aca="false">INDEX('Product Master'!$D$2:$D$21,MATCH(D906,'Product Master'!$A$2:$A$21,0))</f>
        <v>30</v>
      </c>
      <c r="I906" s="14" t="n">
        <f aca="false">G906*H906</f>
        <v>180</v>
      </c>
      <c r="J906" s="0" t="str">
        <f aca="false">IF(COUNTIF($A$2:A906,A906)&gt;1,"Duplicate","")</f>
        <v/>
      </c>
    </row>
    <row r="907" customFormat="false" ht="15" hidden="false" customHeight="false" outlineLevel="0" collapsed="false">
      <c r="A907" s="0" t="str">
        <f aca="false">'Raw Store Exports'!A907</f>
        <v>TXN00376</v>
      </c>
      <c r="B907" s="17" t="n">
        <f aca="false">'Raw Store Exports'!C907</f>
        <v>46043</v>
      </c>
      <c r="C907" s="0" t="str">
        <f aca="false">INDEX('Store Mapping'!$C$2:$C$19,MATCH(TRIM('Raw Store Exports'!B907),'Store Mapping'!$A$2:$A$19,0))</f>
        <v>Riverside</v>
      </c>
      <c r="D907" s="0" t="str">
        <f aca="false">'Raw Store Exports'!D907</f>
        <v>ELE-404</v>
      </c>
      <c r="E907" s="0" t="str">
        <f aca="false">INDEX('Product Master'!$B$2:$B$21,MATCH(D907,'Product Master'!$A$2:$A$21,0))</f>
        <v>Phone Charging Cable</v>
      </c>
      <c r="F907" s="0" t="str">
        <f aca="false">INDEX('Product Master'!$C$2:$C$21,MATCH(D907,'Product Master'!$A$2:$A$21,0))</f>
        <v>Electronics</v>
      </c>
      <c r="G907" s="15" t="n">
        <f aca="false">VALUE(TRIM('Raw Store Exports'!E907&amp;""))</f>
        <v>1</v>
      </c>
      <c r="H907" s="18" t="n">
        <f aca="false">INDEX('Product Master'!$D$2:$D$21,MATCH(D907,'Product Master'!$A$2:$A$21,0))</f>
        <v>12</v>
      </c>
      <c r="I907" s="14" t="n">
        <f aca="false">G907*H907</f>
        <v>12</v>
      </c>
      <c r="J907" s="0" t="str">
        <f aca="false">IF(COUNTIF($A$2:A907,A907)&gt;1,"Duplicate","")</f>
        <v/>
      </c>
    </row>
    <row r="908" customFormat="false" ht="15" hidden="false" customHeight="false" outlineLevel="0" collapsed="false">
      <c r="A908" s="0" t="str">
        <f aca="false">'Raw Store Exports'!A908</f>
        <v>TXN00534</v>
      </c>
      <c r="B908" s="17" t="n">
        <f aca="false">'Raw Store Exports'!C908</f>
        <v>46049</v>
      </c>
      <c r="C908" s="0" t="str">
        <f aca="false">INDEX('Store Mapping'!$C$2:$C$19,MATCH(TRIM('Raw Store Exports'!B908),'Store Mapping'!$A$2:$A$19,0))</f>
        <v>Riverside</v>
      </c>
      <c r="D908" s="0" t="str">
        <f aca="false">'Raw Store Exports'!D908</f>
        <v>ELE-404</v>
      </c>
      <c r="E908" s="0" t="str">
        <f aca="false">INDEX('Product Master'!$B$2:$B$21,MATCH(D908,'Product Master'!$A$2:$A$21,0))</f>
        <v>Phone Charging Cable</v>
      </c>
      <c r="F908" s="0" t="str">
        <f aca="false">INDEX('Product Master'!$C$2:$C$21,MATCH(D908,'Product Master'!$A$2:$A$21,0))</f>
        <v>Electronics</v>
      </c>
      <c r="G908" s="15" t="n">
        <f aca="false">VALUE(TRIM('Raw Store Exports'!E908&amp;""))</f>
        <v>3</v>
      </c>
      <c r="H908" s="18" t="n">
        <f aca="false">INDEX('Product Master'!$D$2:$D$21,MATCH(D908,'Product Master'!$A$2:$A$21,0))</f>
        <v>12</v>
      </c>
      <c r="I908" s="14" t="n">
        <f aca="false">G908*H908</f>
        <v>36</v>
      </c>
      <c r="J908" s="0" t="str">
        <f aca="false">IF(COUNTIF($A$2:A908,A908)&gt;1,"Duplicate","")</f>
        <v/>
      </c>
    </row>
    <row r="909" customFormat="false" ht="15" hidden="false" customHeight="false" outlineLevel="0" collapsed="false">
      <c r="A909" s="0" t="str">
        <f aca="false">'Raw Store Exports'!A909</f>
        <v>TXN00039</v>
      </c>
      <c r="B909" s="17" t="n">
        <f aca="false">'Raw Store Exports'!C909</f>
        <v>46032</v>
      </c>
      <c r="C909" s="0" t="str">
        <f aca="false">INDEX('Store Mapping'!$C$2:$C$19,MATCH(TRIM('Raw Store Exports'!B909),'Store Mapping'!$A$2:$A$19,0))</f>
        <v>Westside Mall</v>
      </c>
      <c r="D909" s="0" t="str">
        <f aca="false">'Raw Store Exports'!D909</f>
        <v>APP-101</v>
      </c>
      <c r="E909" s="0" t="str">
        <f aca="false">INDEX('Product Master'!$B$2:$B$21,MATCH(D909,'Product Master'!$A$2:$A$21,0))</f>
        <v>Classic Denim Jacket</v>
      </c>
      <c r="F909" s="0" t="str">
        <f aca="false">INDEX('Product Master'!$C$2:$C$21,MATCH(D909,'Product Master'!$A$2:$A$21,0))</f>
        <v>Apparel</v>
      </c>
      <c r="G909" s="15" t="n">
        <f aca="false">VALUE(TRIM('Raw Store Exports'!E909&amp;""))</f>
        <v>5</v>
      </c>
      <c r="H909" s="18" t="n">
        <f aca="false">INDEX('Product Master'!$D$2:$D$21,MATCH(D909,'Product Master'!$A$2:$A$21,0))</f>
        <v>68</v>
      </c>
      <c r="I909" s="14" t="n">
        <f aca="false">G909*H909</f>
        <v>340</v>
      </c>
      <c r="J909" s="0" t="str">
        <f aca="false">IF(COUNTIF($A$2:A909,A909)&gt;1,"Duplicate","")</f>
        <v/>
      </c>
    </row>
    <row r="910" customFormat="false" ht="15" hidden="false" customHeight="false" outlineLevel="0" collapsed="false">
      <c r="A910" s="0" t="str">
        <f aca="false">'Raw Store Exports'!A910</f>
        <v>TXN00983</v>
      </c>
      <c r="B910" s="17" t="n">
        <f aca="false">'Raw Store Exports'!C910</f>
        <v>46073</v>
      </c>
      <c r="C910" s="0" t="str">
        <f aca="false">INDEX('Store Mapping'!$C$2:$C$19,MATCH(TRIM('Raw Store Exports'!B910),'Store Mapping'!$A$2:$A$19,0))</f>
        <v>Northpark</v>
      </c>
      <c r="D910" s="0" t="str">
        <f aca="false">'Raw Store Exports'!D910</f>
        <v>FTW-201</v>
      </c>
      <c r="E910" s="0" t="str">
        <f aca="false">INDEX('Product Master'!$B$2:$B$21,MATCH(D910,'Product Master'!$A$2:$A$21,0))</f>
        <v>Running Sneakers</v>
      </c>
      <c r="F910" s="0" t="str">
        <f aca="false">INDEX('Product Master'!$C$2:$C$21,MATCH(D910,'Product Master'!$A$2:$A$21,0))</f>
        <v>Footwear</v>
      </c>
      <c r="G910" s="15" t="n">
        <f aca="false">VALUE(TRIM('Raw Store Exports'!E910&amp;""))</f>
        <v>1</v>
      </c>
      <c r="H910" s="18" t="n">
        <f aca="false">INDEX('Product Master'!$D$2:$D$21,MATCH(D910,'Product Master'!$A$2:$A$21,0))</f>
        <v>89</v>
      </c>
      <c r="I910" s="14" t="n">
        <f aca="false">G910*H910</f>
        <v>89</v>
      </c>
      <c r="J910" s="0" t="str">
        <f aca="false">IF(COUNTIF($A$2:A910,A910)&gt;1,"Duplicate","")</f>
        <v/>
      </c>
    </row>
    <row r="911" customFormat="false" ht="15" hidden="false" customHeight="false" outlineLevel="0" collapsed="false">
      <c r="A911" s="0" t="str">
        <f aca="false">'Raw Store Exports'!A911</f>
        <v>TXN00022</v>
      </c>
      <c r="B911" s="17" t="n">
        <f aca="false">'Raw Store Exports'!C911</f>
        <v>46031</v>
      </c>
      <c r="C911" s="0" t="str">
        <f aca="false">INDEX('Store Mapping'!$C$2:$C$19,MATCH(TRIM('Raw Store Exports'!B911),'Store Mapping'!$A$2:$A$19,0))</f>
        <v>Westside Mall</v>
      </c>
      <c r="D911" s="0" t="str">
        <f aca="false">'Raw Store Exports'!D911</f>
        <v>APP-101</v>
      </c>
      <c r="E911" s="0" t="str">
        <f aca="false">INDEX('Product Master'!$B$2:$B$21,MATCH(D911,'Product Master'!$A$2:$A$21,0))</f>
        <v>Classic Denim Jacket</v>
      </c>
      <c r="F911" s="0" t="str">
        <f aca="false">INDEX('Product Master'!$C$2:$C$21,MATCH(D911,'Product Master'!$A$2:$A$21,0))</f>
        <v>Apparel</v>
      </c>
      <c r="G911" s="15" t="n">
        <f aca="false">VALUE(TRIM('Raw Store Exports'!E911&amp;""))</f>
        <v>1</v>
      </c>
      <c r="H911" s="18" t="n">
        <f aca="false">INDEX('Product Master'!$D$2:$D$21,MATCH(D911,'Product Master'!$A$2:$A$21,0))</f>
        <v>68</v>
      </c>
      <c r="I911" s="14" t="n">
        <f aca="false">G911*H911</f>
        <v>68</v>
      </c>
      <c r="J911" s="0" t="str">
        <f aca="false">IF(COUNTIF($A$2:A911,A911)&gt;1,"Duplicate","")</f>
        <v/>
      </c>
    </row>
    <row r="912" customFormat="false" ht="15" hidden="false" customHeight="false" outlineLevel="0" collapsed="false">
      <c r="A912" s="0" t="str">
        <f aca="false">'Raw Store Exports'!A912</f>
        <v>TXN00344</v>
      </c>
      <c r="B912" s="17" t="n">
        <f aca="false">'Raw Store Exports'!C912</f>
        <v>46046</v>
      </c>
      <c r="C912" s="0" t="str">
        <f aca="false">INDEX('Store Mapping'!$C$2:$C$19,MATCH(TRIM('Raw Store Exports'!B912),'Store Mapping'!$A$2:$A$19,0))</f>
        <v>Northpark</v>
      </c>
      <c r="D912" s="0" t="str">
        <f aca="false">'Raw Store Exports'!D912</f>
        <v>HOM-503</v>
      </c>
      <c r="E912" s="0" t="str">
        <f aca="false">INDEX('Product Master'!$B$2:$B$21,MATCH(D912,'Product Master'!$A$2:$A$21,0))</f>
        <v>Cotton Throw Blanket</v>
      </c>
      <c r="F912" s="0" t="str">
        <f aca="false">INDEX('Product Master'!$C$2:$C$21,MATCH(D912,'Product Master'!$A$2:$A$21,0))</f>
        <v>Home Goods</v>
      </c>
      <c r="G912" s="15" t="n">
        <f aca="false">VALUE(TRIM('Raw Store Exports'!E912&amp;""))</f>
        <v>2</v>
      </c>
      <c r="H912" s="18" t="n">
        <f aca="false">INDEX('Product Master'!$D$2:$D$21,MATCH(D912,'Product Master'!$A$2:$A$21,0))</f>
        <v>38</v>
      </c>
      <c r="I912" s="14" t="n">
        <f aca="false">G912*H912</f>
        <v>76</v>
      </c>
      <c r="J912" s="0" t="str">
        <f aca="false">IF(COUNTIF($A$2:A912,A912)&gt;1,"Duplicate","")</f>
        <v/>
      </c>
    </row>
    <row r="913" customFormat="false" ht="15" hidden="false" customHeight="false" outlineLevel="0" collapsed="false">
      <c r="A913" s="0" t="str">
        <f aca="false">'Raw Store Exports'!A913</f>
        <v>TXN00722</v>
      </c>
      <c r="B913" s="17" t="n">
        <f aca="false">'Raw Store Exports'!C913</f>
        <v>46059</v>
      </c>
      <c r="C913" s="0" t="str">
        <f aca="false">INDEX('Store Mapping'!$C$2:$C$19,MATCH(TRIM('Raw Store Exports'!B913),'Store Mapping'!$A$2:$A$19,0))</f>
        <v>Riverside</v>
      </c>
      <c r="D913" s="0" t="str">
        <f aca="false">'Raw Store Exports'!D913</f>
        <v>FTW-204</v>
      </c>
      <c r="E913" s="0" t="str">
        <f aca="false">INDEX('Product Master'!$B$2:$B$21,MATCH(D913,'Product Master'!$A$2:$A$21,0))</f>
        <v>Slide Sandals</v>
      </c>
      <c r="F913" s="0" t="str">
        <f aca="false">INDEX('Product Master'!$C$2:$C$21,MATCH(D913,'Product Master'!$A$2:$A$21,0))</f>
        <v>Footwear</v>
      </c>
      <c r="G913" s="15" t="n">
        <f aca="false">VALUE(TRIM('Raw Store Exports'!E913&amp;""))</f>
        <v>2</v>
      </c>
      <c r="H913" s="18" t="n">
        <f aca="false">INDEX('Product Master'!$D$2:$D$21,MATCH(D913,'Product Master'!$A$2:$A$21,0))</f>
        <v>25</v>
      </c>
      <c r="I913" s="14" t="n">
        <f aca="false">G913*H913</f>
        <v>50</v>
      </c>
      <c r="J913" s="0" t="str">
        <f aca="false">IF(COUNTIF($A$2:A913,A913)&gt;1,"Duplicate","")</f>
        <v>Duplicate</v>
      </c>
    </row>
    <row r="914" customFormat="false" ht="15" hidden="false" customHeight="false" outlineLevel="0" collapsed="false">
      <c r="A914" s="0" t="str">
        <f aca="false">'Raw Store Exports'!A914</f>
        <v>TXN01047</v>
      </c>
      <c r="B914" s="17" t="n">
        <f aca="false">'Raw Store Exports'!C914</f>
        <v>46069</v>
      </c>
      <c r="C914" s="0" t="str">
        <f aca="false">INDEX('Store Mapping'!$C$2:$C$19,MATCH(TRIM('Raw Store Exports'!B914),'Store Mapping'!$A$2:$A$19,0))</f>
        <v>Airport Plaza</v>
      </c>
      <c r="D914" s="0" t="str">
        <f aca="false">'Raw Store Exports'!D914</f>
        <v>APP-101</v>
      </c>
      <c r="E914" s="0" t="str">
        <f aca="false">INDEX('Product Master'!$B$2:$B$21,MATCH(D914,'Product Master'!$A$2:$A$21,0))</f>
        <v>Classic Denim Jacket</v>
      </c>
      <c r="F914" s="0" t="str">
        <f aca="false">INDEX('Product Master'!$C$2:$C$21,MATCH(D914,'Product Master'!$A$2:$A$21,0))</f>
        <v>Apparel</v>
      </c>
      <c r="G914" s="15" t="n">
        <f aca="false">VALUE(TRIM('Raw Store Exports'!E914&amp;""))</f>
        <v>5</v>
      </c>
      <c r="H914" s="18" t="n">
        <f aca="false">INDEX('Product Master'!$D$2:$D$21,MATCH(D914,'Product Master'!$A$2:$A$21,0))</f>
        <v>68</v>
      </c>
      <c r="I914" s="14" t="n">
        <f aca="false">G914*H914</f>
        <v>340</v>
      </c>
      <c r="J914" s="0" t="str">
        <f aca="false">IF(COUNTIF($A$2:A914,A914)&gt;1,"Duplicate","")</f>
        <v/>
      </c>
    </row>
    <row r="915" customFormat="false" ht="15" hidden="false" customHeight="false" outlineLevel="0" collapsed="false">
      <c r="A915" s="0" t="str">
        <f aca="false">'Raw Store Exports'!A915</f>
        <v>TXN00771</v>
      </c>
      <c r="B915" s="17" t="n">
        <f aca="false">'Raw Store Exports'!C915</f>
        <v>46063</v>
      </c>
      <c r="C915" s="0" t="str">
        <f aca="false">INDEX('Store Mapping'!$C$2:$C$19,MATCH(TRIM('Raw Store Exports'!B915),'Store Mapping'!$A$2:$A$19,0))</f>
        <v>Downtown</v>
      </c>
      <c r="D915" s="0" t="str">
        <f aca="false">'Raw Store Exports'!D915</f>
        <v>APP-101</v>
      </c>
      <c r="E915" s="0" t="str">
        <f aca="false">INDEX('Product Master'!$B$2:$B$21,MATCH(D915,'Product Master'!$A$2:$A$21,0))</f>
        <v>Classic Denim Jacket</v>
      </c>
      <c r="F915" s="0" t="str">
        <f aca="false">INDEX('Product Master'!$C$2:$C$21,MATCH(D915,'Product Master'!$A$2:$A$21,0))</f>
        <v>Apparel</v>
      </c>
      <c r="G915" s="15" t="n">
        <f aca="false">VALUE(TRIM('Raw Store Exports'!E915&amp;""))</f>
        <v>4</v>
      </c>
      <c r="H915" s="18" t="n">
        <f aca="false">INDEX('Product Master'!$D$2:$D$21,MATCH(D915,'Product Master'!$A$2:$A$21,0))</f>
        <v>68</v>
      </c>
      <c r="I915" s="14" t="n">
        <f aca="false">G915*H915</f>
        <v>272</v>
      </c>
      <c r="J915" s="0" t="str">
        <f aca="false">IF(COUNTIF($A$2:A915,A915)&gt;1,"Duplicate","")</f>
        <v/>
      </c>
    </row>
    <row r="916" customFormat="false" ht="15" hidden="false" customHeight="false" outlineLevel="0" collapsed="false">
      <c r="A916" s="0" t="str">
        <f aca="false">'Raw Store Exports'!A916</f>
        <v>TXN00797</v>
      </c>
      <c r="B916" s="17" t="n">
        <f aca="false">'Raw Store Exports'!C916</f>
        <v>46062</v>
      </c>
      <c r="C916" s="0" t="str">
        <f aca="false">INDEX('Store Mapping'!$C$2:$C$19,MATCH(TRIM('Raw Store Exports'!B916),'Store Mapping'!$A$2:$A$19,0))</f>
        <v>Westside Mall</v>
      </c>
      <c r="D916" s="0" t="str">
        <f aca="false">'Raw Store Exports'!D916</f>
        <v>HOM-504</v>
      </c>
      <c r="E916" s="0" t="str">
        <f aca="false">INDEX('Product Master'!$B$2:$B$21,MATCH(D916,'Product Master'!$A$2:$A$21,0))</f>
        <v>Bamboo Cutting Board</v>
      </c>
      <c r="F916" s="0" t="str">
        <f aca="false">INDEX('Product Master'!$C$2:$C$21,MATCH(D916,'Product Master'!$A$2:$A$21,0))</f>
        <v>Home Goods</v>
      </c>
      <c r="G916" s="15" t="n">
        <f aca="false">VALUE(TRIM('Raw Store Exports'!E916&amp;""))</f>
        <v>2</v>
      </c>
      <c r="H916" s="18" t="n">
        <f aca="false">INDEX('Product Master'!$D$2:$D$21,MATCH(D916,'Product Master'!$A$2:$A$21,0))</f>
        <v>27</v>
      </c>
      <c r="I916" s="14" t="n">
        <f aca="false">G916*H916</f>
        <v>54</v>
      </c>
      <c r="J916" s="0" t="str">
        <f aca="false">IF(COUNTIF($A$2:A916,A916)&gt;1,"Duplicate","")</f>
        <v/>
      </c>
    </row>
    <row r="917" customFormat="false" ht="15" hidden="false" customHeight="false" outlineLevel="0" collapsed="false">
      <c r="A917" s="0" t="str">
        <f aca="false">'Raw Store Exports'!A917</f>
        <v>TXN00032</v>
      </c>
      <c r="B917" s="17" t="n">
        <f aca="false">'Raw Store Exports'!C917</f>
        <v>46033</v>
      </c>
      <c r="C917" s="0" t="str">
        <f aca="false">INDEX('Store Mapping'!$C$2:$C$19,MATCH(TRIM('Raw Store Exports'!B917),'Store Mapping'!$A$2:$A$19,0))</f>
        <v>Westside Mall</v>
      </c>
      <c r="D917" s="0" t="str">
        <f aca="false">'Raw Store Exports'!D917</f>
        <v>FTW-203</v>
      </c>
      <c r="E917" s="0" t="str">
        <f aca="false">INDEX('Product Master'!$B$2:$B$21,MATCH(D917,'Product Master'!$A$2:$A$21,0))</f>
        <v>Leather Ankle Boot</v>
      </c>
      <c r="F917" s="0" t="str">
        <f aca="false">INDEX('Product Master'!$C$2:$C$21,MATCH(D917,'Product Master'!$A$2:$A$21,0))</f>
        <v>Footwear</v>
      </c>
      <c r="G917" s="15" t="n">
        <f aca="false">VALUE(TRIM('Raw Store Exports'!E917&amp;""))</f>
        <v>4</v>
      </c>
      <c r="H917" s="18" t="n">
        <f aca="false">INDEX('Product Master'!$D$2:$D$21,MATCH(D917,'Product Master'!$A$2:$A$21,0))</f>
        <v>120</v>
      </c>
      <c r="I917" s="14" t="n">
        <f aca="false">G917*H917</f>
        <v>480</v>
      </c>
      <c r="J917" s="0" t="str">
        <f aca="false">IF(COUNTIF($A$2:A917,A917)&gt;1,"Duplicate","")</f>
        <v/>
      </c>
    </row>
    <row r="918" customFormat="false" ht="15" hidden="false" customHeight="false" outlineLevel="0" collapsed="false">
      <c r="A918" s="0" t="str">
        <f aca="false">'Raw Store Exports'!A918</f>
        <v>TXN00171</v>
      </c>
      <c r="B918" s="17" t="n">
        <f aca="false">'Raw Store Exports'!C918</f>
        <v>46039</v>
      </c>
      <c r="C918" s="0" t="str">
        <f aca="false">INDEX('Store Mapping'!$C$2:$C$19,MATCH(TRIM('Raw Store Exports'!B918),'Store Mapping'!$A$2:$A$19,0))</f>
        <v>Westside Mall</v>
      </c>
      <c r="D918" s="0" t="str">
        <f aca="false">'Raw Store Exports'!D918</f>
        <v>ACC-301</v>
      </c>
      <c r="E918" s="0" t="str">
        <f aca="false">INDEX('Product Master'!$B$2:$B$21,MATCH(D918,'Product Master'!$A$2:$A$21,0))</f>
        <v>Leather Belt</v>
      </c>
      <c r="F918" s="0" t="str">
        <f aca="false">INDEX('Product Master'!$C$2:$C$21,MATCH(D918,'Product Master'!$A$2:$A$21,0))</f>
        <v>Accessories</v>
      </c>
      <c r="G918" s="15" t="n">
        <f aca="false">VALUE(TRIM('Raw Store Exports'!E918&amp;""))</f>
        <v>4</v>
      </c>
      <c r="H918" s="18" t="n">
        <f aca="false">INDEX('Product Master'!$D$2:$D$21,MATCH(D918,'Product Master'!$A$2:$A$21,0))</f>
        <v>30</v>
      </c>
      <c r="I918" s="14" t="n">
        <f aca="false">G918*H918</f>
        <v>120</v>
      </c>
      <c r="J918" s="0" t="str">
        <f aca="false">IF(COUNTIF($A$2:A918,A918)&gt;1,"Duplicate","")</f>
        <v/>
      </c>
    </row>
    <row r="919" customFormat="false" ht="15" hidden="false" customHeight="false" outlineLevel="0" collapsed="false">
      <c r="A919" s="0" t="str">
        <f aca="false">'Raw Store Exports'!A919</f>
        <v>TXN00520</v>
      </c>
      <c r="B919" s="17" t="n">
        <f aca="false">'Raw Store Exports'!C919</f>
        <v>46049</v>
      </c>
      <c r="C919" s="0" t="str">
        <f aca="false">INDEX('Store Mapping'!$C$2:$C$19,MATCH(TRIM('Raw Store Exports'!B919),'Store Mapping'!$A$2:$A$19,0))</f>
        <v>Northpark</v>
      </c>
      <c r="D919" s="0" t="str">
        <f aca="false">'Raw Store Exports'!D919</f>
        <v>FTW-202</v>
      </c>
      <c r="E919" s="0" t="str">
        <f aca="false">INDEX('Product Master'!$B$2:$B$21,MATCH(D919,'Product Master'!$A$2:$A$21,0))</f>
        <v>Canvas Low-Top</v>
      </c>
      <c r="F919" s="0" t="str">
        <f aca="false">INDEX('Product Master'!$C$2:$C$21,MATCH(D919,'Product Master'!$A$2:$A$21,0))</f>
        <v>Footwear</v>
      </c>
      <c r="G919" s="15" t="n">
        <f aca="false">VALUE(TRIM('Raw Store Exports'!E919&amp;""))</f>
        <v>1</v>
      </c>
      <c r="H919" s="18" t="n">
        <f aca="false">INDEX('Product Master'!$D$2:$D$21,MATCH(D919,'Product Master'!$A$2:$A$21,0))</f>
        <v>55</v>
      </c>
      <c r="I919" s="14" t="n">
        <f aca="false">G919*H919</f>
        <v>55</v>
      </c>
      <c r="J919" s="0" t="str">
        <f aca="false">IF(COUNTIF($A$2:A919,A919)&gt;1,"Duplicate","")</f>
        <v/>
      </c>
    </row>
    <row r="920" customFormat="false" ht="15" hidden="false" customHeight="false" outlineLevel="0" collapsed="false">
      <c r="A920" s="0" t="str">
        <f aca="false">'Raw Store Exports'!A920</f>
        <v>TXN00049</v>
      </c>
      <c r="B920" s="17" t="n">
        <f aca="false">'Raw Store Exports'!C920</f>
        <v>46033</v>
      </c>
      <c r="C920" s="0" t="str">
        <f aca="false">INDEX('Store Mapping'!$C$2:$C$19,MATCH(TRIM('Raw Store Exports'!B920),'Store Mapping'!$A$2:$A$19,0))</f>
        <v>Eastgate</v>
      </c>
      <c r="D920" s="0" t="str">
        <f aca="false">'Raw Store Exports'!D920</f>
        <v>HOM-502</v>
      </c>
      <c r="E920" s="0" t="str">
        <f aca="false">INDEX('Product Master'!$B$2:$B$21,MATCH(D920,'Product Master'!$A$2:$A$21,0))</f>
        <v>Scented Candle</v>
      </c>
      <c r="F920" s="0" t="str">
        <f aca="false">INDEX('Product Master'!$C$2:$C$21,MATCH(D920,'Product Master'!$A$2:$A$21,0))</f>
        <v>Home Goods</v>
      </c>
      <c r="G920" s="15" t="n">
        <f aca="false">VALUE(TRIM('Raw Store Exports'!E920&amp;""))</f>
        <v>2</v>
      </c>
      <c r="H920" s="18" t="n">
        <f aca="false">INDEX('Product Master'!$D$2:$D$21,MATCH(D920,'Product Master'!$A$2:$A$21,0))</f>
        <v>15</v>
      </c>
      <c r="I920" s="14" t="n">
        <f aca="false">G920*H920</f>
        <v>30</v>
      </c>
      <c r="J920" s="0" t="str">
        <f aca="false">IF(COUNTIF($A$2:A920,A920)&gt;1,"Duplicate","")</f>
        <v/>
      </c>
    </row>
    <row r="921" customFormat="false" ht="15" hidden="false" customHeight="false" outlineLevel="0" collapsed="false">
      <c r="A921" s="0" t="str">
        <f aca="false">'Raw Store Exports'!A921</f>
        <v>TXN00764</v>
      </c>
      <c r="B921" s="17" t="n">
        <f aca="false">'Raw Store Exports'!C921</f>
        <v>46065</v>
      </c>
      <c r="C921" s="0" t="str">
        <f aca="false">INDEX('Store Mapping'!$C$2:$C$19,MATCH(TRIM('Raw Store Exports'!B921),'Store Mapping'!$A$2:$A$19,0))</f>
        <v>Downtown</v>
      </c>
      <c r="D921" s="0" t="str">
        <f aca="false">'Raw Store Exports'!D921</f>
        <v>HOM-501</v>
      </c>
      <c r="E921" s="0" t="str">
        <f aca="false">INDEX('Product Master'!$B$2:$B$21,MATCH(D921,'Product Master'!$A$2:$A$21,0))</f>
        <v>Ceramic Coffee Mug Set</v>
      </c>
      <c r="F921" s="0" t="str">
        <f aca="false">INDEX('Product Master'!$C$2:$C$21,MATCH(D921,'Product Master'!$A$2:$A$21,0))</f>
        <v>Home Goods</v>
      </c>
      <c r="G921" s="15" t="n">
        <f aca="false">VALUE(TRIM('Raw Store Exports'!E921&amp;""))</f>
        <v>4</v>
      </c>
      <c r="H921" s="18" t="n">
        <f aca="false">INDEX('Product Master'!$D$2:$D$21,MATCH(D921,'Product Master'!$A$2:$A$21,0))</f>
        <v>22</v>
      </c>
      <c r="I921" s="14" t="n">
        <f aca="false">G921*H921</f>
        <v>88</v>
      </c>
      <c r="J921" s="0" t="str">
        <f aca="false">IF(COUNTIF($A$2:A921,A921)&gt;1,"Duplicate","")</f>
        <v/>
      </c>
    </row>
    <row r="922" customFormat="false" ht="15" hidden="false" customHeight="false" outlineLevel="0" collapsed="false">
      <c r="A922" s="0" t="str">
        <f aca="false">'Raw Store Exports'!A922</f>
        <v>TXN00535</v>
      </c>
      <c r="B922" s="17" t="n">
        <f aca="false">'Raw Store Exports'!C922</f>
        <v>46049</v>
      </c>
      <c r="C922" s="0" t="str">
        <f aca="false">INDEX('Store Mapping'!$C$2:$C$19,MATCH(TRIM('Raw Store Exports'!B922),'Store Mapping'!$A$2:$A$19,0))</f>
        <v>Riverside</v>
      </c>
      <c r="D922" s="0" t="str">
        <f aca="false">'Raw Store Exports'!D922</f>
        <v>APP-102</v>
      </c>
      <c r="E922" s="0" t="str">
        <f aca="false">INDEX('Product Master'!$B$2:$B$21,MATCH(D922,'Product Master'!$A$2:$A$21,0))</f>
        <v>Cotton Crew T-Shirt</v>
      </c>
      <c r="F922" s="0" t="str">
        <f aca="false">INDEX('Product Master'!$C$2:$C$21,MATCH(D922,'Product Master'!$A$2:$A$21,0))</f>
        <v>Apparel</v>
      </c>
      <c r="G922" s="15" t="n">
        <f aca="false">VALUE(TRIM('Raw Store Exports'!E922&amp;""))</f>
        <v>4</v>
      </c>
      <c r="H922" s="18" t="n">
        <f aca="false">INDEX('Product Master'!$D$2:$D$21,MATCH(D922,'Product Master'!$A$2:$A$21,0))</f>
        <v>18</v>
      </c>
      <c r="I922" s="14" t="n">
        <f aca="false">G922*H922</f>
        <v>72</v>
      </c>
      <c r="J922" s="0" t="str">
        <f aca="false">IF(COUNTIF($A$2:A922,A922)&gt;1,"Duplicate","")</f>
        <v/>
      </c>
    </row>
    <row r="923" customFormat="false" ht="15" hidden="false" customHeight="false" outlineLevel="0" collapsed="false">
      <c r="A923" s="0" t="str">
        <f aca="false">'Raw Store Exports'!A923</f>
        <v>TXN01014</v>
      </c>
      <c r="B923" s="17" t="n">
        <f aca="false">'Raw Store Exports'!C923</f>
        <v>46071</v>
      </c>
      <c r="C923" s="0" t="str">
        <f aca="false">INDEX('Store Mapping'!$C$2:$C$19,MATCH(TRIM('Raw Store Exports'!B923),'Store Mapping'!$A$2:$A$19,0))</f>
        <v>Riverside</v>
      </c>
      <c r="D923" s="0" t="str">
        <f aca="false">'Raw Store Exports'!D923</f>
        <v>ELE-401</v>
      </c>
      <c r="E923" s="0" t="str">
        <f aca="false">INDEX('Product Master'!$B$2:$B$21,MATCH(D923,'Product Master'!$A$2:$A$21,0))</f>
        <v>Wireless Earbuds</v>
      </c>
      <c r="F923" s="0" t="str">
        <f aca="false">INDEX('Product Master'!$C$2:$C$21,MATCH(D923,'Product Master'!$A$2:$A$21,0))</f>
        <v>Electronics</v>
      </c>
      <c r="G923" s="15" t="n">
        <f aca="false">VALUE(TRIM('Raw Store Exports'!E923&amp;""))</f>
        <v>1</v>
      </c>
      <c r="H923" s="18" t="n">
        <f aca="false">INDEX('Product Master'!$D$2:$D$21,MATCH(D923,'Product Master'!$A$2:$A$21,0))</f>
        <v>79</v>
      </c>
      <c r="I923" s="14" t="n">
        <f aca="false">G923*H923</f>
        <v>79</v>
      </c>
      <c r="J923" s="0" t="str">
        <f aca="false">IF(COUNTIF($A$2:A923,A923)&gt;1,"Duplicate","")</f>
        <v/>
      </c>
    </row>
    <row r="924" customFormat="false" ht="15" hidden="false" customHeight="false" outlineLevel="0" collapsed="false">
      <c r="A924" s="0" t="str">
        <f aca="false">'Raw Store Exports'!A924</f>
        <v>TXN01128</v>
      </c>
      <c r="B924" s="17" t="n">
        <f aca="false">'Raw Store Exports'!C924</f>
        <v>46080</v>
      </c>
      <c r="C924" s="0" t="str">
        <f aca="false">INDEX('Store Mapping'!$C$2:$C$19,MATCH(TRIM('Raw Store Exports'!B924),'Store Mapping'!$A$2:$A$19,0))</f>
        <v>Northpark</v>
      </c>
      <c r="D924" s="0" t="str">
        <f aca="false">'Raw Store Exports'!D924</f>
        <v>FTW-202</v>
      </c>
      <c r="E924" s="0" t="str">
        <f aca="false">INDEX('Product Master'!$B$2:$B$21,MATCH(D924,'Product Master'!$A$2:$A$21,0))</f>
        <v>Canvas Low-Top</v>
      </c>
      <c r="F924" s="0" t="str">
        <f aca="false">INDEX('Product Master'!$C$2:$C$21,MATCH(D924,'Product Master'!$A$2:$A$21,0))</f>
        <v>Footwear</v>
      </c>
      <c r="G924" s="15" t="n">
        <f aca="false">VALUE(TRIM('Raw Store Exports'!E924&amp;""))</f>
        <v>6</v>
      </c>
      <c r="H924" s="18" t="n">
        <f aca="false">INDEX('Product Master'!$D$2:$D$21,MATCH(D924,'Product Master'!$A$2:$A$21,0))</f>
        <v>55</v>
      </c>
      <c r="I924" s="14" t="n">
        <f aca="false">G924*H924</f>
        <v>330</v>
      </c>
      <c r="J924" s="0" t="str">
        <f aca="false">IF(COUNTIF($A$2:A924,A924)&gt;1,"Duplicate","")</f>
        <v/>
      </c>
    </row>
    <row r="925" customFormat="false" ht="15" hidden="false" customHeight="false" outlineLevel="0" collapsed="false">
      <c r="A925" s="0" t="str">
        <f aca="false">'Raw Store Exports'!A925</f>
        <v>TXN00419</v>
      </c>
      <c r="B925" s="17" t="n">
        <f aca="false">'Raw Store Exports'!C925</f>
        <v>46044</v>
      </c>
      <c r="C925" s="0" t="str">
        <f aca="false">INDEX('Store Mapping'!$C$2:$C$19,MATCH(TRIM('Raw Store Exports'!B925),'Store Mapping'!$A$2:$A$19,0))</f>
        <v>Airport Plaza</v>
      </c>
      <c r="D925" s="0" t="str">
        <f aca="false">'Raw Store Exports'!D925</f>
        <v>HOM-501</v>
      </c>
      <c r="E925" s="0" t="str">
        <f aca="false">INDEX('Product Master'!$B$2:$B$21,MATCH(D925,'Product Master'!$A$2:$A$21,0))</f>
        <v>Ceramic Coffee Mug Set</v>
      </c>
      <c r="F925" s="0" t="str">
        <f aca="false">INDEX('Product Master'!$C$2:$C$21,MATCH(D925,'Product Master'!$A$2:$A$21,0))</f>
        <v>Home Goods</v>
      </c>
      <c r="G925" s="15" t="n">
        <f aca="false">VALUE(TRIM('Raw Store Exports'!E925&amp;""))</f>
        <v>3</v>
      </c>
      <c r="H925" s="18" t="n">
        <f aca="false">INDEX('Product Master'!$D$2:$D$21,MATCH(D925,'Product Master'!$A$2:$A$21,0))</f>
        <v>22</v>
      </c>
      <c r="I925" s="14" t="n">
        <f aca="false">G925*H925</f>
        <v>66</v>
      </c>
      <c r="J925" s="0" t="str">
        <f aca="false">IF(COUNTIF($A$2:A925,A925)&gt;1,"Duplicate","")</f>
        <v/>
      </c>
    </row>
    <row r="926" customFormat="false" ht="15" hidden="false" customHeight="false" outlineLevel="0" collapsed="false">
      <c r="A926" s="0" t="str">
        <f aca="false">'Raw Store Exports'!A926</f>
        <v>TXN00645</v>
      </c>
      <c r="B926" s="17" t="n">
        <f aca="false">'Raw Store Exports'!C926</f>
        <v>46057</v>
      </c>
      <c r="C926" s="0" t="str">
        <f aca="false">INDEX('Store Mapping'!$C$2:$C$19,MATCH(TRIM('Raw Store Exports'!B926),'Store Mapping'!$A$2:$A$19,0))</f>
        <v>Westside Mall</v>
      </c>
      <c r="D926" s="0" t="str">
        <f aca="false">'Raw Store Exports'!D926</f>
        <v>APP-101</v>
      </c>
      <c r="E926" s="0" t="str">
        <f aca="false">INDEX('Product Master'!$B$2:$B$21,MATCH(D926,'Product Master'!$A$2:$A$21,0))</f>
        <v>Classic Denim Jacket</v>
      </c>
      <c r="F926" s="0" t="str">
        <f aca="false">INDEX('Product Master'!$C$2:$C$21,MATCH(D926,'Product Master'!$A$2:$A$21,0))</f>
        <v>Apparel</v>
      </c>
      <c r="G926" s="15" t="n">
        <f aca="false">VALUE(TRIM('Raw Store Exports'!E926&amp;""))</f>
        <v>6</v>
      </c>
      <c r="H926" s="18" t="n">
        <f aca="false">INDEX('Product Master'!$D$2:$D$21,MATCH(D926,'Product Master'!$A$2:$A$21,0))</f>
        <v>68</v>
      </c>
      <c r="I926" s="14" t="n">
        <f aca="false">G926*H926</f>
        <v>408</v>
      </c>
      <c r="J926" s="0" t="str">
        <f aca="false">IF(COUNTIF($A$2:A926,A926)&gt;1,"Duplicate","")</f>
        <v/>
      </c>
    </row>
    <row r="927" customFormat="false" ht="15" hidden="false" customHeight="false" outlineLevel="0" collapsed="false">
      <c r="A927" s="0" t="str">
        <f aca="false">'Raw Store Exports'!A927</f>
        <v>TXN00939</v>
      </c>
      <c r="B927" s="17" t="n">
        <f aca="false">'Raw Store Exports'!C927</f>
        <v>46070</v>
      </c>
      <c r="C927" s="0" t="str">
        <f aca="false">INDEX('Store Mapping'!$C$2:$C$19,MATCH(TRIM('Raw Store Exports'!B927),'Store Mapping'!$A$2:$A$19,0))</f>
        <v>Westside Mall</v>
      </c>
      <c r="D927" s="0" t="str">
        <f aca="false">'Raw Store Exports'!D927</f>
        <v>APP-104</v>
      </c>
      <c r="E927" s="0" t="str">
        <f aca="false">INDEX('Product Master'!$B$2:$B$21,MATCH(D927,'Product Master'!$A$2:$A$21,0))</f>
        <v>Slim Fit Chinos</v>
      </c>
      <c r="F927" s="0" t="str">
        <f aca="false">INDEX('Product Master'!$C$2:$C$21,MATCH(D927,'Product Master'!$A$2:$A$21,0))</f>
        <v>Apparel</v>
      </c>
      <c r="G927" s="15" t="n">
        <f aca="false">VALUE(TRIM('Raw Store Exports'!E927&amp;""))</f>
        <v>1</v>
      </c>
      <c r="H927" s="18" t="n">
        <f aca="false">INDEX('Product Master'!$D$2:$D$21,MATCH(D927,'Product Master'!$A$2:$A$21,0))</f>
        <v>52</v>
      </c>
      <c r="I927" s="14" t="n">
        <f aca="false">G927*H927</f>
        <v>52</v>
      </c>
      <c r="J927" s="0" t="str">
        <f aca="false">IF(COUNTIF($A$2:A927,A927)&gt;1,"Duplicate","")</f>
        <v/>
      </c>
    </row>
    <row r="928" customFormat="false" ht="15" hidden="false" customHeight="false" outlineLevel="0" collapsed="false">
      <c r="A928" s="0" t="str">
        <f aca="false">'Raw Store Exports'!A928</f>
        <v>TXN01189</v>
      </c>
      <c r="B928" s="17" t="n">
        <f aca="false">'Raw Store Exports'!C928</f>
        <v>46081</v>
      </c>
      <c r="C928" s="0" t="str">
        <f aca="false">INDEX('Store Mapping'!$C$2:$C$19,MATCH(TRIM('Raw Store Exports'!B928),'Store Mapping'!$A$2:$A$19,0))</f>
        <v>Airport Plaza</v>
      </c>
      <c r="D928" s="0" t="str">
        <f aca="false">'Raw Store Exports'!D928</f>
        <v>ELE-404</v>
      </c>
      <c r="E928" s="0" t="str">
        <f aca="false">INDEX('Product Master'!$B$2:$B$21,MATCH(D928,'Product Master'!$A$2:$A$21,0))</f>
        <v>Phone Charging Cable</v>
      </c>
      <c r="F928" s="0" t="str">
        <f aca="false">INDEX('Product Master'!$C$2:$C$21,MATCH(D928,'Product Master'!$A$2:$A$21,0))</f>
        <v>Electronics</v>
      </c>
      <c r="G928" s="15" t="n">
        <f aca="false">VALUE(TRIM('Raw Store Exports'!E928&amp;""))</f>
        <v>4</v>
      </c>
      <c r="H928" s="18" t="n">
        <f aca="false">INDEX('Product Master'!$D$2:$D$21,MATCH(D928,'Product Master'!$A$2:$A$21,0))</f>
        <v>12</v>
      </c>
      <c r="I928" s="14" t="n">
        <f aca="false">G928*H928</f>
        <v>48</v>
      </c>
      <c r="J928" s="0" t="str">
        <f aca="false">IF(COUNTIF($A$2:A928,A928)&gt;1,"Duplicate","")</f>
        <v/>
      </c>
    </row>
    <row r="929" customFormat="false" ht="15" hidden="false" customHeight="false" outlineLevel="0" collapsed="false">
      <c r="A929" s="0" t="str">
        <f aca="false">'Raw Store Exports'!A929</f>
        <v>TXN00989</v>
      </c>
      <c r="B929" s="17" t="n">
        <f aca="false">'Raw Store Exports'!C929</f>
        <v>46070</v>
      </c>
      <c r="C929" s="0" t="str">
        <f aca="false">INDEX('Store Mapping'!$C$2:$C$19,MATCH(TRIM('Raw Store Exports'!B929),'Store Mapping'!$A$2:$A$19,0))</f>
        <v>Northpark</v>
      </c>
      <c r="D929" s="0" t="str">
        <f aca="false">'Raw Store Exports'!D929</f>
        <v>ELE-402</v>
      </c>
      <c r="E929" s="0" t="str">
        <f aca="false">INDEX('Product Master'!$B$2:$B$21,MATCH(D929,'Product Master'!$A$2:$A$21,0))</f>
        <v>Bluetooth Speaker</v>
      </c>
      <c r="F929" s="0" t="str">
        <f aca="false">INDEX('Product Master'!$C$2:$C$21,MATCH(D929,'Product Master'!$A$2:$A$21,0))</f>
        <v>Electronics</v>
      </c>
      <c r="G929" s="15" t="n">
        <f aca="false">VALUE(TRIM('Raw Store Exports'!E929&amp;""))</f>
        <v>3</v>
      </c>
      <c r="H929" s="18" t="n">
        <f aca="false">INDEX('Product Master'!$D$2:$D$21,MATCH(D929,'Product Master'!$A$2:$A$21,0))</f>
        <v>59</v>
      </c>
      <c r="I929" s="14" t="n">
        <f aca="false">G929*H929</f>
        <v>177</v>
      </c>
      <c r="J929" s="0" t="str">
        <f aca="false">IF(COUNTIF($A$2:A929,A929)&gt;1,"Duplicate","")</f>
        <v>Duplicate</v>
      </c>
    </row>
    <row r="930" customFormat="false" ht="15" hidden="false" customHeight="false" outlineLevel="0" collapsed="false">
      <c r="A930" s="0" t="str">
        <f aca="false">'Raw Store Exports'!A930</f>
        <v>TXN00070</v>
      </c>
      <c r="B930" s="17" t="n">
        <f aca="false">'Raw Store Exports'!C930</f>
        <v>46030</v>
      </c>
      <c r="C930" s="0" t="str">
        <f aca="false">INDEX('Store Mapping'!$C$2:$C$19,MATCH(TRIM('Raw Store Exports'!B930),'Store Mapping'!$A$2:$A$19,0))</f>
        <v>Eastgate</v>
      </c>
      <c r="D930" s="0" t="str">
        <f aca="false">'Raw Store Exports'!D930</f>
        <v>ACC-301</v>
      </c>
      <c r="E930" s="0" t="str">
        <f aca="false">INDEX('Product Master'!$B$2:$B$21,MATCH(D930,'Product Master'!$A$2:$A$21,0))</f>
        <v>Leather Belt</v>
      </c>
      <c r="F930" s="0" t="str">
        <f aca="false">INDEX('Product Master'!$C$2:$C$21,MATCH(D930,'Product Master'!$A$2:$A$21,0))</f>
        <v>Accessories</v>
      </c>
      <c r="G930" s="15" t="n">
        <f aca="false">VALUE(TRIM('Raw Store Exports'!E930&amp;""))</f>
        <v>1</v>
      </c>
      <c r="H930" s="18" t="n">
        <f aca="false">INDEX('Product Master'!$D$2:$D$21,MATCH(D930,'Product Master'!$A$2:$A$21,0))</f>
        <v>30</v>
      </c>
      <c r="I930" s="14" t="n">
        <f aca="false">G930*H930</f>
        <v>30</v>
      </c>
      <c r="J930" s="0" t="str">
        <f aca="false">IF(COUNTIF($A$2:A930,A930)&gt;1,"Duplicate","")</f>
        <v/>
      </c>
    </row>
    <row r="931" customFormat="false" ht="15" hidden="false" customHeight="false" outlineLevel="0" collapsed="false">
      <c r="A931" s="0" t="str">
        <f aca="false">'Raw Store Exports'!A931</f>
        <v>TXN00577</v>
      </c>
      <c r="B931" s="17" t="n">
        <f aca="false">'Raw Store Exports'!C931</f>
        <v>46053</v>
      </c>
      <c r="C931" s="0" t="str">
        <f aca="false">INDEX('Store Mapping'!$C$2:$C$19,MATCH(TRIM('Raw Store Exports'!B931),'Store Mapping'!$A$2:$A$19,0))</f>
        <v>Airport Plaza</v>
      </c>
      <c r="D931" s="0" t="str">
        <f aca="false">'Raw Store Exports'!D931</f>
        <v>APP-101</v>
      </c>
      <c r="E931" s="0" t="str">
        <f aca="false">INDEX('Product Master'!$B$2:$B$21,MATCH(D931,'Product Master'!$A$2:$A$21,0))</f>
        <v>Classic Denim Jacket</v>
      </c>
      <c r="F931" s="0" t="str">
        <f aca="false">INDEX('Product Master'!$C$2:$C$21,MATCH(D931,'Product Master'!$A$2:$A$21,0))</f>
        <v>Apparel</v>
      </c>
      <c r="G931" s="15" t="n">
        <f aca="false">VALUE(TRIM('Raw Store Exports'!E931&amp;""))</f>
        <v>3</v>
      </c>
      <c r="H931" s="18" t="n">
        <f aca="false">INDEX('Product Master'!$D$2:$D$21,MATCH(D931,'Product Master'!$A$2:$A$21,0))</f>
        <v>68</v>
      </c>
      <c r="I931" s="14" t="n">
        <f aca="false">G931*H931</f>
        <v>204</v>
      </c>
      <c r="J931" s="0" t="str">
        <f aca="false">IF(COUNTIF($A$2:A931,A931)&gt;1,"Duplicate","")</f>
        <v/>
      </c>
    </row>
    <row r="932" customFormat="false" ht="15" hidden="false" customHeight="false" outlineLevel="0" collapsed="false">
      <c r="A932" s="0" t="str">
        <f aca="false">'Raw Store Exports'!A932</f>
        <v>TXN00308</v>
      </c>
      <c r="B932" s="17" t="n">
        <f aca="false">'Raw Store Exports'!C932</f>
        <v>46045</v>
      </c>
      <c r="C932" s="0" t="str">
        <f aca="false">INDEX('Store Mapping'!$C$2:$C$19,MATCH(TRIM('Raw Store Exports'!B932),'Store Mapping'!$A$2:$A$19,0))</f>
        <v>Westside Mall</v>
      </c>
      <c r="D932" s="0" t="str">
        <f aca="false">'Raw Store Exports'!D932</f>
        <v>ACC-304</v>
      </c>
      <c r="E932" s="0" t="str">
        <f aca="false">INDEX('Product Master'!$B$2:$B$21,MATCH(D932,'Product Master'!$A$2:$A$21,0))</f>
        <v>Wool Beanie</v>
      </c>
      <c r="F932" s="0" t="str">
        <f aca="false">INDEX('Product Master'!$C$2:$C$21,MATCH(D932,'Product Master'!$A$2:$A$21,0))</f>
        <v>Accessories</v>
      </c>
      <c r="G932" s="15" t="n">
        <f aca="false">VALUE(TRIM('Raw Store Exports'!E932&amp;""))</f>
        <v>1</v>
      </c>
      <c r="H932" s="18" t="n">
        <f aca="false">INDEX('Product Master'!$D$2:$D$21,MATCH(D932,'Product Master'!$A$2:$A$21,0))</f>
        <v>16</v>
      </c>
      <c r="I932" s="14" t="n">
        <f aca="false">G932*H932</f>
        <v>16</v>
      </c>
      <c r="J932" s="0" t="str">
        <f aca="false">IF(COUNTIF($A$2:A932,A932)&gt;1,"Duplicate","")</f>
        <v/>
      </c>
    </row>
    <row r="933" customFormat="false" ht="15" hidden="false" customHeight="false" outlineLevel="0" collapsed="false">
      <c r="A933" s="0" t="str">
        <f aca="false">'Raw Store Exports'!A933</f>
        <v>TXN00517</v>
      </c>
      <c r="B933" s="17" t="n">
        <f aca="false">'Raw Store Exports'!C933</f>
        <v>46049</v>
      </c>
      <c r="C933" s="0" t="str">
        <f aca="false">INDEX('Store Mapping'!$C$2:$C$19,MATCH(TRIM('Raw Store Exports'!B933),'Store Mapping'!$A$2:$A$19,0))</f>
        <v>Northpark</v>
      </c>
      <c r="D933" s="0" t="str">
        <f aca="false">'Raw Store Exports'!D933</f>
        <v>APP-104</v>
      </c>
      <c r="E933" s="0" t="str">
        <f aca="false">INDEX('Product Master'!$B$2:$B$21,MATCH(D933,'Product Master'!$A$2:$A$21,0))</f>
        <v>Slim Fit Chinos</v>
      </c>
      <c r="F933" s="0" t="str">
        <f aca="false">INDEX('Product Master'!$C$2:$C$21,MATCH(D933,'Product Master'!$A$2:$A$21,0))</f>
        <v>Apparel</v>
      </c>
      <c r="G933" s="15" t="n">
        <f aca="false">VALUE(TRIM('Raw Store Exports'!E933&amp;""))</f>
        <v>4</v>
      </c>
      <c r="H933" s="18" t="n">
        <f aca="false">INDEX('Product Master'!$D$2:$D$21,MATCH(D933,'Product Master'!$A$2:$A$21,0))</f>
        <v>52</v>
      </c>
      <c r="I933" s="14" t="n">
        <f aca="false">G933*H933</f>
        <v>208</v>
      </c>
      <c r="J933" s="0" t="str">
        <f aca="false">IF(COUNTIF($A$2:A933,A933)&gt;1,"Duplicate","")</f>
        <v/>
      </c>
    </row>
    <row r="934" customFormat="false" ht="15" hidden="false" customHeight="false" outlineLevel="0" collapsed="false">
      <c r="A934" s="0" t="str">
        <f aca="false">'Raw Store Exports'!A934</f>
        <v>TXN00789</v>
      </c>
      <c r="B934" s="17" t="n">
        <f aca="false">'Raw Store Exports'!C934</f>
        <v>46068</v>
      </c>
      <c r="C934" s="0" t="str">
        <f aca="false">INDEX('Store Mapping'!$C$2:$C$19,MATCH(TRIM('Raw Store Exports'!B934),'Store Mapping'!$A$2:$A$19,0))</f>
        <v>Westside Mall</v>
      </c>
      <c r="D934" s="0" t="str">
        <f aca="false">'Raw Store Exports'!D934</f>
        <v>ELE-403</v>
      </c>
      <c r="E934" s="0" t="str">
        <f aca="false">INDEX('Product Master'!$B$2:$B$21,MATCH(D934,'Product Master'!$A$2:$A$21,0))</f>
        <v>Fitness Tracker Band</v>
      </c>
      <c r="F934" s="0" t="str">
        <f aca="false">INDEX('Product Master'!$C$2:$C$21,MATCH(D934,'Product Master'!$A$2:$A$21,0))</f>
        <v>Electronics</v>
      </c>
      <c r="G934" s="15" t="n">
        <f aca="false">VALUE(TRIM('Raw Store Exports'!E934&amp;""))</f>
        <v>3</v>
      </c>
      <c r="H934" s="18" t="n">
        <f aca="false">INDEX('Product Master'!$D$2:$D$21,MATCH(D934,'Product Master'!$A$2:$A$21,0))</f>
        <v>99</v>
      </c>
      <c r="I934" s="14" t="n">
        <f aca="false">G934*H934</f>
        <v>297</v>
      </c>
      <c r="J934" s="0" t="str">
        <f aca="false">IF(COUNTIF($A$2:A934,A934)&gt;1,"Duplicate","")</f>
        <v>Duplicate</v>
      </c>
    </row>
    <row r="935" customFormat="false" ht="15" hidden="false" customHeight="false" outlineLevel="0" collapsed="false">
      <c r="A935" s="0" t="str">
        <f aca="false">'Raw Store Exports'!A935</f>
        <v>TXN01069</v>
      </c>
      <c r="B935" s="17" t="n">
        <f aca="false">'Raw Store Exports'!C935</f>
        <v>46077</v>
      </c>
      <c r="C935" s="0" t="str">
        <f aca="false">INDEX('Store Mapping'!$C$2:$C$19,MATCH(TRIM('Raw Store Exports'!B935),'Store Mapping'!$A$2:$A$19,0))</f>
        <v>Downtown</v>
      </c>
      <c r="D935" s="0" t="str">
        <f aca="false">'Raw Store Exports'!D935</f>
        <v>APP-102</v>
      </c>
      <c r="E935" s="0" t="str">
        <f aca="false">INDEX('Product Master'!$B$2:$B$21,MATCH(D935,'Product Master'!$A$2:$A$21,0))</f>
        <v>Cotton Crew T-Shirt</v>
      </c>
      <c r="F935" s="0" t="str">
        <f aca="false">INDEX('Product Master'!$C$2:$C$21,MATCH(D935,'Product Master'!$A$2:$A$21,0))</f>
        <v>Apparel</v>
      </c>
      <c r="G935" s="15" t="n">
        <f aca="false">VALUE(TRIM('Raw Store Exports'!E935&amp;""))</f>
        <v>3</v>
      </c>
      <c r="H935" s="18" t="n">
        <f aca="false">INDEX('Product Master'!$D$2:$D$21,MATCH(D935,'Product Master'!$A$2:$A$21,0))</f>
        <v>18</v>
      </c>
      <c r="I935" s="14" t="n">
        <f aca="false">G935*H935</f>
        <v>54</v>
      </c>
      <c r="J935" s="0" t="str">
        <f aca="false">IF(COUNTIF($A$2:A935,A935)&gt;1,"Duplicate","")</f>
        <v/>
      </c>
    </row>
    <row r="936" customFormat="false" ht="15" hidden="false" customHeight="false" outlineLevel="0" collapsed="false">
      <c r="A936" s="0" t="str">
        <f aca="false">'Raw Store Exports'!A936</f>
        <v>TXN01010</v>
      </c>
      <c r="B936" s="17" t="n">
        <f aca="false">'Raw Store Exports'!C936</f>
        <v>46075</v>
      </c>
      <c r="C936" s="0" t="str">
        <f aca="false">INDEX('Store Mapping'!$C$2:$C$19,MATCH(TRIM('Raw Store Exports'!B936),'Store Mapping'!$A$2:$A$19,0))</f>
        <v>Riverside</v>
      </c>
      <c r="D936" s="0" t="str">
        <f aca="false">'Raw Store Exports'!D936</f>
        <v>ELE-401</v>
      </c>
      <c r="E936" s="0" t="str">
        <f aca="false">INDEX('Product Master'!$B$2:$B$21,MATCH(D936,'Product Master'!$A$2:$A$21,0))</f>
        <v>Wireless Earbuds</v>
      </c>
      <c r="F936" s="0" t="str">
        <f aca="false">INDEX('Product Master'!$C$2:$C$21,MATCH(D936,'Product Master'!$A$2:$A$21,0))</f>
        <v>Electronics</v>
      </c>
      <c r="G936" s="15" t="n">
        <f aca="false">VALUE(TRIM('Raw Store Exports'!E936&amp;""))</f>
        <v>4</v>
      </c>
      <c r="H936" s="18" t="n">
        <f aca="false">INDEX('Product Master'!$D$2:$D$21,MATCH(D936,'Product Master'!$A$2:$A$21,0))</f>
        <v>79</v>
      </c>
      <c r="I936" s="14" t="n">
        <f aca="false">G936*H936</f>
        <v>316</v>
      </c>
      <c r="J936" s="0" t="str">
        <f aca="false">IF(COUNTIF($A$2:A936,A936)&gt;1,"Duplicate","")</f>
        <v/>
      </c>
    </row>
    <row r="937" customFormat="false" ht="15" hidden="false" customHeight="false" outlineLevel="0" collapsed="false">
      <c r="A937" s="0" t="str">
        <f aca="false">'Raw Store Exports'!A937</f>
        <v>TXN00567</v>
      </c>
      <c r="B937" s="17" t="n">
        <f aca="false">'Raw Store Exports'!C937</f>
        <v>46053</v>
      </c>
      <c r="C937" s="0" t="str">
        <f aca="false">INDEX('Store Mapping'!$C$2:$C$19,MATCH(TRIM('Raw Store Exports'!B937),'Store Mapping'!$A$2:$A$19,0))</f>
        <v>Airport Plaza</v>
      </c>
      <c r="D937" s="0" t="str">
        <f aca="false">'Raw Store Exports'!D937</f>
        <v>ACC-301</v>
      </c>
      <c r="E937" s="0" t="str">
        <f aca="false">INDEX('Product Master'!$B$2:$B$21,MATCH(D937,'Product Master'!$A$2:$A$21,0))</f>
        <v>Leather Belt</v>
      </c>
      <c r="F937" s="0" t="str">
        <f aca="false">INDEX('Product Master'!$C$2:$C$21,MATCH(D937,'Product Master'!$A$2:$A$21,0))</f>
        <v>Accessories</v>
      </c>
      <c r="G937" s="15" t="n">
        <f aca="false">VALUE(TRIM('Raw Store Exports'!E937&amp;""))</f>
        <v>4</v>
      </c>
      <c r="H937" s="18" t="n">
        <f aca="false">INDEX('Product Master'!$D$2:$D$21,MATCH(D937,'Product Master'!$A$2:$A$21,0))</f>
        <v>30</v>
      </c>
      <c r="I937" s="14" t="n">
        <f aca="false">G937*H937</f>
        <v>120</v>
      </c>
      <c r="J937" s="0" t="str">
        <f aca="false">IF(COUNTIF($A$2:A937,A937)&gt;1,"Duplicate","")</f>
        <v/>
      </c>
    </row>
    <row r="938" customFormat="false" ht="15" hidden="false" customHeight="false" outlineLevel="0" collapsed="false">
      <c r="A938" s="0" t="str">
        <f aca="false">'Raw Store Exports'!A938</f>
        <v>TXN00071</v>
      </c>
      <c r="B938" s="17" t="n">
        <f aca="false">'Raw Store Exports'!C938</f>
        <v>46032</v>
      </c>
      <c r="C938" s="0" t="str">
        <f aca="false">INDEX('Store Mapping'!$C$2:$C$19,MATCH(TRIM('Raw Store Exports'!B938),'Store Mapping'!$A$2:$A$19,0))</f>
        <v>Eastgate</v>
      </c>
      <c r="D938" s="0" t="str">
        <f aca="false">'Raw Store Exports'!D938</f>
        <v>FTW-201</v>
      </c>
      <c r="E938" s="0" t="str">
        <f aca="false">INDEX('Product Master'!$B$2:$B$21,MATCH(D938,'Product Master'!$A$2:$A$21,0))</f>
        <v>Running Sneakers</v>
      </c>
      <c r="F938" s="0" t="str">
        <f aca="false">INDEX('Product Master'!$C$2:$C$21,MATCH(D938,'Product Master'!$A$2:$A$21,0))</f>
        <v>Footwear</v>
      </c>
      <c r="G938" s="15" t="n">
        <f aca="false">VALUE(TRIM('Raw Store Exports'!E938&amp;""))</f>
        <v>3</v>
      </c>
      <c r="H938" s="18" t="n">
        <f aca="false">INDEX('Product Master'!$D$2:$D$21,MATCH(D938,'Product Master'!$A$2:$A$21,0))</f>
        <v>89</v>
      </c>
      <c r="I938" s="14" t="n">
        <f aca="false">G938*H938</f>
        <v>267</v>
      </c>
      <c r="J938" s="0" t="str">
        <f aca="false">IF(COUNTIF($A$2:A938,A938)&gt;1,"Duplicate","")</f>
        <v/>
      </c>
    </row>
    <row r="939" customFormat="false" ht="15" hidden="false" customHeight="false" outlineLevel="0" collapsed="false">
      <c r="A939" s="0" t="str">
        <f aca="false">'Raw Store Exports'!A939</f>
        <v>TXN01002</v>
      </c>
      <c r="B939" s="17" t="n">
        <f aca="false">'Raw Store Exports'!C939</f>
        <v>46074</v>
      </c>
      <c r="C939" s="0" t="str">
        <f aca="false">INDEX('Store Mapping'!$C$2:$C$19,MATCH(TRIM('Raw Store Exports'!B939),'Store Mapping'!$A$2:$A$19,0))</f>
        <v>Riverside</v>
      </c>
      <c r="D939" s="0" t="str">
        <f aca="false">'Raw Store Exports'!D939</f>
        <v>ACC-301</v>
      </c>
      <c r="E939" s="0" t="str">
        <f aca="false">INDEX('Product Master'!$B$2:$B$21,MATCH(D939,'Product Master'!$A$2:$A$21,0))</f>
        <v>Leather Belt</v>
      </c>
      <c r="F939" s="0" t="str">
        <f aca="false">INDEX('Product Master'!$C$2:$C$21,MATCH(D939,'Product Master'!$A$2:$A$21,0))</f>
        <v>Accessories</v>
      </c>
      <c r="G939" s="15" t="n">
        <f aca="false">VALUE(TRIM('Raw Store Exports'!E939&amp;""))</f>
        <v>1</v>
      </c>
      <c r="H939" s="18" t="n">
        <f aca="false">INDEX('Product Master'!$D$2:$D$21,MATCH(D939,'Product Master'!$A$2:$A$21,0))</f>
        <v>30</v>
      </c>
      <c r="I939" s="14" t="n">
        <f aca="false">G939*H939</f>
        <v>30</v>
      </c>
      <c r="J939" s="0" t="str">
        <f aca="false">IF(COUNTIF($A$2:A939,A939)&gt;1,"Duplicate","")</f>
        <v/>
      </c>
    </row>
    <row r="940" customFormat="false" ht="15" hidden="false" customHeight="false" outlineLevel="0" collapsed="false">
      <c r="A940" s="0" t="str">
        <f aca="false">'Raw Store Exports'!A940</f>
        <v>TXN00087</v>
      </c>
      <c r="B940" s="17" t="n">
        <f aca="false">'Raw Store Exports'!C940</f>
        <v>46030</v>
      </c>
      <c r="C940" s="0" t="str">
        <f aca="false">INDEX('Store Mapping'!$C$2:$C$19,MATCH(TRIM('Raw Store Exports'!B940),'Store Mapping'!$A$2:$A$19,0))</f>
        <v>Northpark</v>
      </c>
      <c r="D940" s="0" t="str">
        <f aca="false">'Raw Store Exports'!D940</f>
        <v>ELE-403</v>
      </c>
      <c r="E940" s="0" t="str">
        <f aca="false">INDEX('Product Master'!$B$2:$B$21,MATCH(D940,'Product Master'!$A$2:$A$21,0))</f>
        <v>Fitness Tracker Band</v>
      </c>
      <c r="F940" s="0" t="str">
        <f aca="false">INDEX('Product Master'!$C$2:$C$21,MATCH(D940,'Product Master'!$A$2:$A$21,0))</f>
        <v>Electronics</v>
      </c>
      <c r="G940" s="15" t="n">
        <f aca="false">VALUE(TRIM('Raw Store Exports'!E940&amp;""))</f>
        <v>1</v>
      </c>
      <c r="H940" s="18" t="n">
        <f aca="false">INDEX('Product Master'!$D$2:$D$21,MATCH(D940,'Product Master'!$A$2:$A$21,0))</f>
        <v>99</v>
      </c>
      <c r="I940" s="14" t="n">
        <f aca="false">G940*H940</f>
        <v>99</v>
      </c>
      <c r="J940" s="0" t="str">
        <f aca="false">IF(COUNTIF($A$2:A940,A940)&gt;1,"Duplicate","")</f>
        <v/>
      </c>
    </row>
    <row r="941" customFormat="false" ht="15" hidden="false" customHeight="false" outlineLevel="0" collapsed="false">
      <c r="A941" s="0" t="str">
        <f aca="false">'Raw Store Exports'!A941</f>
        <v>TXN00036</v>
      </c>
      <c r="B941" s="17" t="n">
        <f aca="false">'Raw Store Exports'!C941</f>
        <v>46031</v>
      </c>
      <c r="C941" s="0" t="str">
        <f aca="false">INDEX('Store Mapping'!$C$2:$C$19,MATCH(TRIM('Raw Store Exports'!B941),'Store Mapping'!$A$2:$A$19,0))</f>
        <v>Westside Mall</v>
      </c>
      <c r="D941" s="0" t="str">
        <f aca="false">'Raw Store Exports'!D941</f>
        <v>APP-102</v>
      </c>
      <c r="E941" s="0" t="str">
        <f aca="false">INDEX('Product Master'!$B$2:$B$21,MATCH(D941,'Product Master'!$A$2:$A$21,0))</f>
        <v>Cotton Crew T-Shirt</v>
      </c>
      <c r="F941" s="0" t="str">
        <f aca="false">INDEX('Product Master'!$C$2:$C$21,MATCH(D941,'Product Master'!$A$2:$A$21,0))</f>
        <v>Apparel</v>
      </c>
      <c r="G941" s="15" t="n">
        <f aca="false">VALUE(TRIM('Raw Store Exports'!E941&amp;""))</f>
        <v>6</v>
      </c>
      <c r="H941" s="18" t="n">
        <f aca="false">INDEX('Product Master'!$D$2:$D$21,MATCH(D941,'Product Master'!$A$2:$A$21,0))</f>
        <v>18</v>
      </c>
      <c r="I941" s="14" t="n">
        <f aca="false">G941*H941</f>
        <v>108</v>
      </c>
      <c r="J941" s="0" t="str">
        <f aca="false">IF(COUNTIF($A$2:A941,A941)&gt;1,"Duplicate","")</f>
        <v/>
      </c>
    </row>
    <row r="942" customFormat="false" ht="15" hidden="false" customHeight="false" outlineLevel="0" collapsed="false">
      <c r="A942" s="0" t="str">
        <f aca="false">'Raw Store Exports'!A942</f>
        <v>TXN00665</v>
      </c>
      <c r="B942" s="17" t="n">
        <f aca="false">'Raw Store Exports'!C942</f>
        <v>46055</v>
      </c>
      <c r="C942" s="0" t="str">
        <f aca="false">INDEX('Store Mapping'!$C$2:$C$19,MATCH(TRIM('Raw Store Exports'!B942),'Store Mapping'!$A$2:$A$19,0))</f>
        <v>Northpark</v>
      </c>
      <c r="D942" s="0" t="str">
        <f aca="false">'Raw Store Exports'!D942</f>
        <v>ACC-304</v>
      </c>
      <c r="E942" s="0" t="str">
        <f aca="false">INDEX('Product Master'!$B$2:$B$21,MATCH(D942,'Product Master'!$A$2:$A$21,0))</f>
        <v>Wool Beanie</v>
      </c>
      <c r="F942" s="0" t="str">
        <f aca="false">INDEX('Product Master'!$C$2:$C$21,MATCH(D942,'Product Master'!$A$2:$A$21,0))</f>
        <v>Accessories</v>
      </c>
      <c r="G942" s="15" t="n">
        <f aca="false">VALUE(TRIM('Raw Store Exports'!E942&amp;""))</f>
        <v>6</v>
      </c>
      <c r="H942" s="18" t="n">
        <f aca="false">INDEX('Product Master'!$D$2:$D$21,MATCH(D942,'Product Master'!$A$2:$A$21,0))</f>
        <v>16</v>
      </c>
      <c r="I942" s="14" t="n">
        <f aca="false">G942*H942</f>
        <v>96</v>
      </c>
      <c r="J942" s="0" t="str">
        <f aca="false">IF(COUNTIF($A$2:A942,A942)&gt;1,"Duplicate","")</f>
        <v>Duplicate</v>
      </c>
    </row>
    <row r="943" customFormat="false" ht="15" hidden="false" customHeight="false" outlineLevel="0" collapsed="false">
      <c r="A943" s="0" t="str">
        <f aca="false">'Raw Store Exports'!A943</f>
        <v>TXN00310</v>
      </c>
      <c r="B943" s="17" t="n">
        <f aca="false">'Raw Store Exports'!C943</f>
        <v>46045</v>
      </c>
      <c r="C943" s="0" t="str">
        <f aca="false">INDEX('Store Mapping'!$C$2:$C$19,MATCH(TRIM('Raw Store Exports'!B943),'Store Mapping'!$A$2:$A$19,0))</f>
        <v>Westside Mall</v>
      </c>
      <c r="D943" s="0" t="str">
        <f aca="false">'Raw Store Exports'!D943</f>
        <v>APP-103</v>
      </c>
      <c r="E943" s="0" t="str">
        <f aca="false">INDEX('Product Master'!$B$2:$B$21,MATCH(D943,'Product Master'!$A$2:$A$21,0))</f>
        <v>Fleece Pullover Hoodie</v>
      </c>
      <c r="F943" s="0" t="str">
        <f aca="false">INDEX('Product Master'!$C$2:$C$21,MATCH(D943,'Product Master'!$A$2:$A$21,0))</f>
        <v>Apparel</v>
      </c>
      <c r="G943" s="15" t="n">
        <f aca="false">VALUE(TRIM('Raw Store Exports'!E943&amp;""))</f>
        <v>4</v>
      </c>
      <c r="H943" s="18" t="n">
        <f aca="false">INDEX('Product Master'!$D$2:$D$21,MATCH(D943,'Product Master'!$A$2:$A$21,0))</f>
        <v>45</v>
      </c>
      <c r="I943" s="14" t="n">
        <f aca="false">G943*H943</f>
        <v>180</v>
      </c>
      <c r="J943" s="0" t="str">
        <f aca="false">IF(COUNTIF($A$2:A943,A943)&gt;1,"Duplicate","")</f>
        <v/>
      </c>
    </row>
    <row r="944" customFormat="false" ht="15" hidden="false" customHeight="false" outlineLevel="0" collapsed="false">
      <c r="A944" s="0" t="str">
        <f aca="false">'Raw Store Exports'!A944</f>
        <v>TXN00551</v>
      </c>
      <c r="B944" s="17" t="n">
        <f aca="false">'Raw Store Exports'!C944</f>
        <v>46052</v>
      </c>
      <c r="C944" s="0" t="str">
        <f aca="false">INDEX('Store Mapping'!$C$2:$C$19,MATCH(TRIM('Raw Store Exports'!B944),'Store Mapping'!$A$2:$A$19,0))</f>
        <v>Riverside</v>
      </c>
      <c r="D944" s="0" t="str">
        <f aca="false">'Raw Store Exports'!D944</f>
        <v>FTW-201</v>
      </c>
      <c r="E944" s="0" t="str">
        <f aca="false">INDEX('Product Master'!$B$2:$B$21,MATCH(D944,'Product Master'!$A$2:$A$21,0))</f>
        <v>Running Sneakers</v>
      </c>
      <c r="F944" s="0" t="str">
        <f aca="false">INDEX('Product Master'!$C$2:$C$21,MATCH(D944,'Product Master'!$A$2:$A$21,0))</f>
        <v>Footwear</v>
      </c>
      <c r="G944" s="15" t="n">
        <f aca="false">VALUE(TRIM('Raw Store Exports'!E944&amp;""))</f>
        <v>6</v>
      </c>
      <c r="H944" s="18" t="n">
        <f aca="false">INDEX('Product Master'!$D$2:$D$21,MATCH(D944,'Product Master'!$A$2:$A$21,0))</f>
        <v>89</v>
      </c>
      <c r="I944" s="14" t="n">
        <f aca="false">G944*H944</f>
        <v>534</v>
      </c>
      <c r="J944" s="0" t="str">
        <f aca="false">IF(COUNTIF($A$2:A944,A944)&gt;1,"Duplicate","")</f>
        <v/>
      </c>
    </row>
    <row r="945" customFormat="false" ht="15" hidden="false" customHeight="false" outlineLevel="0" collapsed="false">
      <c r="A945" s="0" t="str">
        <f aca="false">'Raw Store Exports'!A945</f>
        <v>TXN00003</v>
      </c>
      <c r="B945" s="17" t="n">
        <f aca="false">'Raw Store Exports'!C945</f>
        <v>46032</v>
      </c>
      <c r="C945" s="0" t="str">
        <f aca="false">INDEX('Store Mapping'!$C$2:$C$19,MATCH(TRIM('Raw Store Exports'!B945),'Store Mapping'!$A$2:$A$19,0))</f>
        <v>Downtown</v>
      </c>
      <c r="D945" s="0" t="str">
        <f aca="false">'Raw Store Exports'!D945</f>
        <v>ELE-404</v>
      </c>
      <c r="E945" s="0" t="str">
        <f aca="false">INDEX('Product Master'!$B$2:$B$21,MATCH(D945,'Product Master'!$A$2:$A$21,0))</f>
        <v>Phone Charging Cable</v>
      </c>
      <c r="F945" s="0" t="str">
        <f aca="false">INDEX('Product Master'!$C$2:$C$21,MATCH(D945,'Product Master'!$A$2:$A$21,0))</f>
        <v>Electronics</v>
      </c>
      <c r="G945" s="15" t="n">
        <f aca="false">VALUE(TRIM('Raw Store Exports'!E945&amp;""))</f>
        <v>5</v>
      </c>
      <c r="H945" s="18" t="n">
        <f aca="false">INDEX('Product Master'!$D$2:$D$21,MATCH(D945,'Product Master'!$A$2:$A$21,0))</f>
        <v>12</v>
      </c>
      <c r="I945" s="14" t="n">
        <f aca="false">G945*H945</f>
        <v>60</v>
      </c>
      <c r="J945" s="0" t="str">
        <f aca="false">IF(COUNTIF($A$2:A945,A945)&gt;1,"Duplicate","")</f>
        <v/>
      </c>
    </row>
    <row r="946" customFormat="false" ht="15" hidden="false" customHeight="false" outlineLevel="0" collapsed="false">
      <c r="A946" s="0" t="str">
        <f aca="false">'Raw Store Exports'!A946</f>
        <v>TXN00130</v>
      </c>
      <c r="B946" s="17" t="n">
        <f aca="false">'Raw Store Exports'!C946</f>
        <v>46028</v>
      </c>
      <c r="C946" s="0" t="str">
        <f aca="false">INDEX('Store Mapping'!$C$2:$C$19,MATCH(TRIM('Raw Store Exports'!B946),'Store Mapping'!$A$2:$A$19,0))</f>
        <v>Airport Plaza</v>
      </c>
      <c r="D946" s="0" t="str">
        <f aca="false">'Raw Store Exports'!D946</f>
        <v>HOM-501</v>
      </c>
      <c r="E946" s="0" t="str">
        <f aca="false">INDEX('Product Master'!$B$2:$B$21,MATCH(D946,'Product Master'!$A$2:$A$21,0))</f>
        <v>Ceramic Coffee Mug Set</v>
      </c>
      <c r="F946" s="0" t="str">
        <f aca="false">INDEX('Product Master'!$C$2:$C$21,MATCH(D946,'Product Master'!$A$2:$A$21,0))</f>
        <v>Home Goods</v>
      </c>
      <c r="G946" s="15" t="n">
        <f aca="false">VALUE(TRIM('Raw Store Exports'!E946&amp;""))</f>
        <v>2</v>
      </c>
      <c r="H946" s="18" t="n">
        <f aca="false">INDEX('Product Master'!$D$2:$D$21,MATCH(D946,'Product Master'!$A$2:$A$21,0))</f>
        <v>22</v>
      </c>
      <c r="I946" s="14" t="n">
        <f aca="false">G946*H946</f>
        <v>44</v>
      </c>
      <c r="J946" s="0" t="str">
        <f aca="false">IF(COUNTIF($A$2:A946,A946)&gt;1,"Duplicate","")</f>
        <v/>
      </c>
    </row>
    <row r="947" customFormat="false" ht="15" hidden="false" customHeight="false" outlineLevel="0" collapsed="false">
      <c r="A947" s="0" t="str">
        <f aca="false">'Raw Store Exports'!A947</f>
        <v>TXN00079</v>
      </c>
      <c r="B947" s="17" t="n">
        <f aca="false">'Raw Store Exports'!C947</f>
        <v>46029</v>
      </c>
      <c r="C947" s="0" t="str">
        <f aca="false">INDEX('Store Mapping'!$C$2:$C$19,MATCH(TRIM('Raw Store Exports'!B947),'Store Mapping'!$A$2:$A$19,0))</f>
        <v>Northpark</v>
      </c>
      <c r="D947" s="0" t="str">
        <f aca="false">'Raw Store Exports'!D947</f>
        <v>FTW-202</v>
      </c>
      <c r="E947" s="0" t="str">
        <f aca="false">INDEX('Product Master'!$B$2:$B$21,MATCH(D947,'Product Master'!$A$2:$A$21,0))</f>
        <v>Canvas Low-Top</v>
      </c>
      <c r="F947" s="0" t="str">
        <f aca="false">INDEX('Product Master'!$C$2:$C$21,MATCH(D947,'Product Master'!$A$2:$A$21,0))</f>
        <v>Footwear</v>
      </c>
      <c r="G947" s="15" t="n">
        <f aca="false">VALUE(TRIM('Raw Store Exports'!E947&amp;""))</f>
        <v>6</v>
      </c>
      <c r="H947" s="18" t="n">
        <f aca="false">INDEX('Product Master'!$D$2:$D$21,MATCH(D947,'Product Master'!$A$2:$A$21,0))</f>
        <v>55</v>
      </c>
      <c r="I947" s="14" t="n">
        <f aca="false">G947*H947</f>
        <v>330</v>
      </c>
      <c r="J947" s="0" t="str">
        <f aca="false">IF(COUNTIF($A$2:A947,A947)&gt;1,"Duplicate","")</f>
        <v/>
      </c>
    </row>
    <row r="948" customFormat="false" ht="15" hidden="false" customHeight="false" outlineLevel="0" collapsed="false">
      <c r="A948" s="0" t="str">
        <f aca="false">'Raw Store Exports'!A948</f>
        <v>TXN00034</v>
      </c>
      <c r="B948" s="17" t="n">
        <f aca="false">'Raw Store Exports'!C948</f>
        <v>46030</v>
      </c>
      <c r="C948" s="0" t="str">
        <f aca="false">INDEX('Store Mapping'!$C$2:$C$19,MATCH(TRIM('Raw Store Exports'!B948),'Store Mapping'!$A$2:$A$19,0))</f>
        <v>Westside Mall</v>
      </c>
      <c r="D948" s="0" t="str">
        <f aca="false">'Raw Store Exports'!D948</f>
        <v>ACC-303</v>
      </c>
      <c r="E948" s="0" t="str">
        <f aca="false">INDEX('Product Master'!$B$2:$B$21,MATCH(D948,'Product Master'!$A$2:$A$21,0))</f>
        <v>Canvas Tote Bag</v>
      </c>
      <c r="F948" s="0" t="str">
        <f aca="false">INDEX('Product Master'!$C$2:$C$21,MATCH(D948,'Product Master'!$A$2:$A$21,0))</f>
        <v>Accessories</v>
      </c>
      <c r="G948" s="15" t="n">
        <f aca="false">VALUE(TRIM('Raw Store Exports'!E948&amp;""))</f>
        <v>1</v>
      </c>
      <c r="H948" s="18" t="n">
        <f aca="false">INDEX('Product Master'!$D$2:$D$21,MATCH(D948,'Product Master'!$A$2:$A$21,0))</f>
        <v>24</v>
      </c>
      <c r="I948" s="14" t="n">
        <f aca="false">G948*H948</f>
        <v>24</v>
      </c>
      <c r="J948" s="0" t="str">
        <f aca="false">IF(COUNTIF($A$2:A948,A948)&gt;1,"Duplicate","")</f>
        <v/>
      </c>
    </row>
    <row r="949" customFormat="false" ht="15" hidden="false" customHeight="false" outlineLevel="0" collapsed="false">
      <c r="A949" s="0" t="str">
        <f aca="false">'Raw Store Exports'!A949</f>
        <v>TXN01132</v>
      </c>
      <c r="B949" s="17" t="n">
        <f aca="false">'Raw Store Exports'!C949</f>
        <v>46079</v>
      </c>
      <c r="C949" s="0" t="str">
        <f aca="false">INDEX('Store Mapping'!$C$2:$C$19,MATCH(TRIM('Raw Store Exports'!B949),'Store Mapping'!$A$2:$A$19,0))</f>
        <v>Northpark</v>
      </c>
      <c r="D949" s="0" t="str">
        <f aca="false">'Raw Store Exports'!D949</f>
        <v>ELE-402</v>
      </c>
      <c r="E949" s="0" t="str">
        <f aca="false">INDEX('Product Master'!$B$2:$B$21,MATCH(D949,'Product Master'!$A$2:$A$21,0))</f>
        <v>Bluetooth Speaker</v>
      </c>
      <c r="F949" s="0" t="str">
        <f aca="false">INDEX('Product Master'!$C$2:$C$21,MATCH(D949,'Product Master'!$A$2:$A$21,0))</f>
        <v>Electronics</v>
      </c>
      <c r="G949" s="15" t="n">
        <f aca="false">VALUE(TRIM('Raw Store Exports'!E949&amp;""))</f>
        <v>4</v>
      </c>
      <c r="H949" s="18" t="n">
        <f aca="false">INDEX('Product Master'!$D$2:$D$21,MATCH(D949,'Product Master'!$A$2:$A$21,0))</f>
        <v>59</v>
      </c>
      <c r="I949" s="14" t="n">
        <f aca="false">G949*H949</f>
        <v>236</v>
      </c>
      <c r="J949" s="0" t="str">
        <f aca="false">IF(COUNTIF($A$2:A949,A949)&gt;1,"Duplicate","")</f>
        <v/>
      </c>
    </row>
    <row r="950" customFormat="false" ht="15" hidden="false" customHeight="false" outlineLevel="0" collapsed="false">
      <c r="A950" s="0" t="str">
        <f aca="false">'Raw Store Exports'!A950</f>
        <v>TXN00629</v>
      </c>
      <c r="B950" s="17" t="n">
        <f aca="false">'Raw Store Exports'!C950</f>
        <v>46058</v>
      </c>
      <c r="C950" s="0" t="str">
        <f aca="false">INDEX('Store Mapping'!$C$2:$C$19,MATCH(TRIM('Raw Store Exports'!B950),'Store Mapping'!$A$2:$A$19,0))</f>
        <v>Westside Mall</v>
      </c>
      <c r="D950" s="0" t="str">
        <f aca="false">'Raw Store Exports'!D950</f>
        <v>ACC-303</v>
      </c>
      <c r="E950" s="0" t="str">
        <f aca="false">INDEX('Product Master'!$B$2:$B$21,MATCH(D950,'Product Master'!$A$2:$A$21,0))</f>
        <v>Canvas Tote Bag</v>
      </c>
      <c r="F950" s="0" t="str">
        <f aca="false">INDEX('Product Master'!$C$2:$C$21,MATCH(D950,'Product Master'!$A$2:$A$21,0))</f>
        <v>Accessories</v>
      </c>
      <c r="G950" s="15" t="n">
        <f aca="false">VALUE(TRIM('Raw Store Exports'!E950&amp;""))</f>
        <v>2</v>
      </c>
      <c r="H950" s="18" t="n">
        <f aca="false">INDEX('Product Master'!$D$2:$D$21,MATCH(D950,'Product Master'!$A$2:$A$21,0))</f>
        <v>24</v>
      </c>
      <c r="I950" s="14" t="n">
        <f aca="false">G950*H950</f>
        <v>48</v>
      </c>
      <c r="J950" s="0" t="str">
        <f aca="false">IF(COUNTIF($A$2:A950,A950)&gt;1,"Duplicate","")</f>
        <v/>
      </c>
    </row>
    <row r="951" customFormat="false" ht="15" hidden="false" customHeight="false" outlineLevel="0" collapsed="false">
      <c r="A951" s="0" t="str">
        <f aca="false">'Raw Store Exports'!A951</f>
        <v>TXN00587</v>
      </c>
      <c r="B951" s="17" t="n">
        <f aca="false">'Raw Store Exports'!C951</f>
        <v>46059</v>
      </c>
      <c r="C951" s="0" t="str">
        <f aca="false">INDEX('Store Mapping'!$C$2:$C$19,MATCH(TRIM('Raw Store Exports'!B951),'Store Mapping'!$A$2:$A$19,0))</f>
        <v>Downtown</v>
      </c>
      <c r="D951" s="0" t="str">
        <f aca="false">'Raw Store Exports'!D951</f>
        <v>ELE-402</v>
      </c>
      <c r="E951" s="0" t="str">
        <f aca="false">INDEX('Product Master'!$B$2:$B$21,MATCH(D951,'Product Master'!$A$2:$A$21,0))</f>
        <v>Bluetooth Speaker</v>
      </c>
      <c r="F951" s="0" t="str">
        <f aca="false">INDEX('Product Master'!$C$2:$C$21,MATCH(D951,'Product Master'!$A$2:$A$21,0))</f>
        <v>Electronics</v>
      </c>
      <c r="G951" s="15" t="n">
        <f aca="false">VALUE(TRIM('Raw Store Exports'!E951&amp;""))</f>
        <v>4</v>
      </c>
      <c r="H951" s="18" t="n">
        <f aca="false">INDEX('Product Master'!$D$2:$D$21,MATCH(D951,'Product Master'!$A$2:$A$21,0))</f>
        <v>59</v>
      </c>
      <c r="I951" s="14" t="n">
        <f aca="false">G951*H951</f>
        <v>236</v>
      </c>
      <c r="J951" s="0" t="str">
        <f aca="false">IF(COUNTIF($A$2:A951,A951)&gt;1,"Duplicate","")</f>
        <v/>
      </c>
    </row>
    <row r="952" customFormat="false" ht="15" hidden="false" customHeight="false" outlineLevel="0" collapsed="false">
      <c r="A952" s="0" t="str">
        <f aca="false">'Raw Store Exports'!A952</f>
        <v>TXN01050</v>
      </c>
      <c r="B952" s="17" t="n">
        <f aca="false">'Raw Store Exports'!C952</f>
        <v>46078</v>
      </c>
      <c r="C952" s="0" t="str">
        <f aca="false">INDEX('Store Mapping'!$C$2:$C$19,MATCH(TRIM('Raw Store Exports'!B952),'Store Mapping'!$A$2:$A$19,0))</f>
        <v>Downtown</v>
      </c>
      <c r="D952" s="0" t="str">
        <f aca="false">'Raw Store Exports'!D952</f>
        <v>ELE-402</v>
      </c>
      <c r="E952" s="0" t="str">
        <f aca="false">INDEX('Product Master'!$B$2:$B$21,MATCH(D952,'Product Master'!$A$2:$A$21,0))</f>
        <v>Bluetooth Speaker</v>
      </c>
      <c r="F952" s="0" t="str">
        <f aca="false">INDEX('Product Master'!$C$2:$C$21,MATCH(D952,'Product Master'!$A$2:$A$21,0))</f>
        <v>Electronics</v>
      </c>
      <c r="G952" s="15" t="n">
        <f aca="false">VALUE(TRIM('Raw Store Exports'!E952&amp;""))</f>
        <v>3</v>
      </c>
      <c r="H952" s="18" t="n">
        <f aca="false">INDEX('Product Master'!$D$2:$D$21,MATCH(D952,'Product Master'!$A$2:$A$21,0))</f>
        <v>59</v>
      </c>
      <c r="I952" s="14" t="n">
        <f aca="false">G952*H952</f>
        <v>177</v>
      </c>
      <c r="J952" s="0" t="str">
        <f aca="false">IF(COUNTIF($A$2:A952,A952)&gt;1,"Duplicate","")</f>
        <v/>
      </c>
    </row>
    <row r="953" customFormat="false" ht="15" hidden="false" customHeight="false" outlineLevel="0" collapsed="false">
      <c r="A953" s="0" t="str">
        <f aca="false">'Raw Store Exports'!A953</f>
        <v>TXN00537</v>
      </c>
      <c r="B953" s="17" t="n">
        <f aca="false">'Raw Store Exports'!C953</f>
        <v>46049</v>
      </c>
      <c r="C953" s="0" t="str">
        <f aca="false">INDEX('Store Mapping'!$C$2:$C$19,MATCH(TRIM('Raw Store Exports'!B953),'Store Mapping'!$A$2:$A$19,0))</f>
        <v>Riverside</v>
      </c>
      <c r="D953" s="0" t="str">
        <f aca="false">'Raw Store Exports'!D953</f>
        <v>HOM-501</v>
      </c>
      <c r="E953" s="0" t="str">
        <f aca="false">INDEX('Product Master'!$B$2:$B$21,MATCH(D953,'Product Master'!$A$2:$A$21,0))</f>
        <v>Ceramic Coffee Mug Set</v>
      </c>
      <c r="F953" s="0" t="str">
        <f aca="false">INDEX('Product Master'!$C$2:$C$21,MATCH(D953,'Product Master'!$A$2:$A$21,0))</f>
        <v>Home Goods</v>
      </c>
      <c r="G953" s="15" t="n">
        <f aca="false">VALUE(TRIM('Raw Store Exports'!E953&amp;""))</f>
        <v>5</v>
      </c>
      <c r="H953" s="18" t="n">
        <f aca="false">INDEX('Product Master'!$D$2:$D$21,MATCH(D953,'Product Master'!$A$2:$A$21,0))</f>
        <v>22</v>
      </c>
      <c r="I953" s="14" t="n">
        <f aca="false">G953*H953</f>
        <v>110</v>
      </c>
      <c r="J953" s="0" t="str">
        <f aca="false">IF(COUNTIF($A$2:A953,A953)&gt;1,"Duplicate","")</f>
        <v>Duplicate</v>
      </c>
    </row>
    <row r="954" customFormat="false" ht="15" hidden="false" customHeight="false" outlineLevel="0" collapsed="false">
      <c r="A954" s="0" t="str">
        <f aca="false">'Raw Store Exports'!A954</f>
        <v>TXN00584</v>
      </c>
      <c r="B954" s="17" t="n">
        <f aca="false">'Raw Store Exports'!C954</f>
        <v>46051</v>
      </c>
      <c r="C954" s="0" t="str">
        <f aca="false">INDEX('Store Mapping'!$C$2:$C$19,MATCH(TRIM('Raw Store Exports'!B954),'Store Mapping'!$A$2:$A$19,0))</f>
        <v>Airport Plaza</v>
      </c>
      <c r="D954" s="0" t="str">
        <f aca="false">'Raw Store Exports'!D954</f>
        <v>FTW-201</v>
      </c>
      <c r="E954" s="0" t="str">
        <f aca="false">INDEX('Product Master'!$B$2:$B$21,MATCH(D954,'Product Master'!$A$2:$A$21,0))</f>
        <v>Running Sneakers</v>
      </c>
      <c r="F954" s="0" t="str">
        <f aca="false">INDEX('Product Master'!$C$2:$C$21,MATCH(D954,'Product Master'!$A$2:$A$21,0))</f>
        <v>Footwear</v>
      </c>
      <c r="G954" s="15" t="n">
        <f aca="false">VALUE(TRIM('Raw Store Exports'!E954&amp;""))</f>
        <v>5</v>
      </c>
      <c r="H954" s="18" t="n">
        <f aca="false">INDEX('Product Master'!$D$2:$D$21,MATCH(D954,'Product Master'!$A$2:$A$21,0))</f>
        <v>89</v>
      </c>
      <c r="I954" s="14" t="n">
        <f aca="false">G954*H954</f>
        <v>445</v>
      </c>
      <c r="J954" s="0" t="str">
        <f aca="false">IF(COUNTIF($A$2:A954,A954)&gt;1,"Duplicate","")</f>
        <v/>
      </c>
    </row>
    <row r="955" customFormat="false" ht="15" hidden="false" customHeight="false" outlineLevel="0" collapsed="false">
      <c r="A955" s="0" t="str">
        <f aca="false">'Raw Store Exports'!A955</f>
        <v>TXN00397</v>
      </c>
      <c r="B955" s="17" t="n">
        <f aca="false">'Raw Store Exports'!C955</f>
        <v>46045</v>
      </c>
      <c r="C955" s="0" t="str">
        <f aca="false">INDEX('Store Mapping'!$C$2:$C$19,MATCH(TRIM('Raw Store Exports'!B955),'Store Mapping'!$A$2:$A$19,0))</f>
        <v>Riverside</v>
      </c>
      <c r="D955" s="0" t="str">
        <f aca="false">'Raw Store Exports'!D955</f>
        <v>ACC-301</v>
      </c>
      <c r="E955" s="0" t="str">
        <f aca="false">INDEX('Product Master'!$B$2:$B$21,MATCH(D955,'Product Master'!$A$2:$A$21,0))</f>
        <v>Leather Belt</v>
      </c>
      <c r="F955" s="0" t="str">
        <f aca="false">INDEX('Product Master'!$C$2:$C$21,MATCH(D955,'Product Master'!$A$2:$A$21,0))</f>
        <v>Accessories</v>
      </c>
      <c r="G955" s="15" t="n">
        <f aca="false">VALUE(TRIM('Raw Store Exports'!E955&amp;""))</f>
        <v>6</v>
      </c>
      <c r="H955" s="18" t="n">
        <f aca="false">INDEX('Product Master'!$D$2:$D$21,MATCH(D955,'Product Master'!$A$2:$A$21,0))</f>
        <v>30</v>
      </c>
      <c r="I955" s="14" t="n">
        <f aca="false">G955*H955</f>
        <v>180</v>
      </c>
      <c r="J955" s="0" t="str">
        <f aca="false">IF(COUNTIF($A$2:A955,A955)&gt;1,"Duplicate","")</f>
        <v/>
      </c>
    </row>
    <row r="956" customFormat="false" ht="15" hidden="false" customHeight="false" outlineLevel="0" collapsed="false">
      <c r="A956" s="0" t="str">
        <f aca="false">'Raw Store Exports'!A956</f>
        <v>TXN00871</v>
      </c>
      <c r="B956" s="17" t="n">
        <f aca="false">'Raw Store Exports'!C956</f>
        <v>46065</v>
      </c>
      <c r="C956" s="0" t="str">
        <f aca="false">INDEX('Store Mapping'!$C$2:$C$19,MATCH(TRIM('Raw Store Exports'!B956),'Store Mapping'!$A$2:$A$19,0))</f>
        <v>Riverside</v>
      </c>
      <c r="D956" s="0" t="str">
        <f aca="false">'Raw Store Exports'!D956</f>
        <v>FTW-201</v>
      </c>
      <c r="E956" s="0" t="str">
        <f aca="false">INDEX('Product Master'!$B$2:$B$21,MATCH(D956,'Product Master'!$A$2:$A$21,0))</f>
        <v>Running Sneakers</v>
      </c>
      <c r="F956" s="0" t="str">
        <f aca="false">INDEX('Product Master'!$C$2:$C$21,MATCH(D956,'Product Master'!$A$2:$A$21,0))</f>
        <v>Footwear</v>
      </c>
      <c r="G956" s="15" t="n">
        <f aca="false">VALUE(TRIM('Raw Store Exports'!E956&amp;""))</f>
        <v>4</v>
      </c>
      <c r="H956" s="18" t="n">
        <f aca="false">INDEX('Product Master'!$D$2:$D$21,MATCH(D956,'Product Master'!$A$2:$A$21,0))</f>
        <v>89</v>
      </c>
      <c r="I956" s="14" t="n">
        <f aca="false">G956*H956</f>
        <v>356</v>
      </c>
      <c r="J956" s="0" t="str">
        <f aca="false">IF(COUNTIF($A$2:A956,A956)&gt;1,"Duplicate","")</f>
        <v/>
      </c>
    </row>
    <row r="957" customFormat="false" ht="15" hidden="false" customHeight="false" outlineLevel="0" collapsed="false">
      <c r="A957" s="0" t="str">
        <f aca="false">'Raw Store Exports'!A957</f>
        <v>TXN00724</v>
      </c>
      <c r="B957" s="17" t="n">
        <f aca="false">'Raw Store Exports'!C957</f>
        <v>46057</v>
      </c>
      <c r="C957" s="0" t="str">
        <f aca="false">INDEX('Store Mapping'!$C$2:$C$19,MATCH(TRIM('Raw Store Exports'!B957),'Store Mapping'!$A$2:$A$19,0))</f>
        <v>Riverside</v>
      </c>
      <c r="D957" s="0" t="str">
        <f aca="false">'Raw Store Exports'!D957</f>
        <v>APP-103</v>
      </c>
      <c r="E957" s="0" t="str">
        <f aca="false">INDEX('Product Master'!$B$2:$B$21,MATCH(D957,'Product Master'!$A$2:$A$21,0))</f>
        <v>Fleece Pullover Hoodie</v>
      </c>
      <c r="F957" s="0" t="str">
        <f aca="false">INDEX('Product Master'!$C$2:$C$21,MATCH(D957,'Product Master'!$A$2:$A$21,0))</f>
        <v>Apparel</v>
      </c>
      <c r="G957" s="15" t="n">
        <f aca="false">VALUE(TRIM('Raw Store Exports'!E957&amp;""))</f>
        <v>2</v>
      </c>
      <c r="H957" s="18" t="n">
        <f aca="false">INDEX('Product Master'!$D$2:$D$21,MATCH(D957,'Product Master'!$A$2:$A$21,0))</f>
        <v>45</v>
      </c>
      <c r="I957" s="14" t="n">
        <f aca="false">G957*H957</f>
        <v>90</v>
      </c>
      <c r="J957" s="0" t="str">
        <f aca="false">IF(COUNTIF($A$2:A957,A957)&gt;1,"Duplicate","")</f>
        <v/>
      </c>
    </row>
    <row r="958" customFormat="false" ht="15" hidden="false" customHeight="false" outlineLevel="0" collapsed="false">
      <c r="A958" s="0" t="str">
        <f aca="false">'Raw Store Exports'!A958</f>
        <v>TXN00940</v>
      </c>
      <c r="B958" s="17" t="n">
        <f aca="false">'Raw Store Exports'!C958</f>
        <v>46073</v>
      </c>
      <c r="C958" s="0" t="str">
        <f aca="false">INDEX('Store Mapping'!$C$2:$C$19,MATCH(TRIM('Raw Store Exports'!B958),'Store Mapping'!$A$2:$A$19,0))</f>
        <v>Westside Mall</v>
      </c>
      <c r="D958" s="0" t="str">
        <f aca="false">'Raw Store Exports'!D958</f>
        <v>FTW-203</v>
      </c>
      <c r="E958" s="0" t="str">
        <f aca="false">INDEX('Product Master'!$B$2:$B$21,MATCH(D958,'Product Master'!$A$2:$A$21,0))</f>
        <v>Leather Ankle Boot</v>
      </c>
      <c r="F958" s="0" t="str">
        <f aca="false">INDEX('Product Master'!$C$2:$C$21,MATCH(D958,'Product Master'!$A$2:$A$21,0))</f>
        <v>Footwear</v>
      </c>
      <c r="G958" s="15" t="n">
        <f aca="false">VALUE(TRIM('Raw Store Exports'!E958&amp;""))</f>
        <v>6</v>
      </c>
      <c r="H958" s="18" t="n">
        <f aca="false">INDEX('Product Master'!$D$2:$D$21,MATCH(D958,'Product Master'!$A$2:$A$21,0))</f>
        <v>120</v>
      </c>
      <c r="I958" s="14" t="n">
        <f aca="false">G958*H958</f>
        <v>720</v>
      </c>
      <c r="J958" s="0" t="str">
        <f aca="false">IF(COUNTIF($A$2:A958,A958)&gt;1,"Duplicate","")</f>
        <v/>
      </c>
    </row>
    <row r="959" customFormat="false" ht="15" hidden="false" customHeight="false" outlineLevel="0" collapsed="false">
      <c r="A959" s="0" t="str">
        <f aca="false">'Raw Store Exports'!A959</f>
        <v>TXN00368</v>
      </c>
      <c r="B959" s="17" t="n">
        <f aca="false">'Raw Store Exports'!C959</f>
        <v>46042</v>
      </c>
      <c r="C959" s="0" t="str">
        <f aca="false">INDEX('Store Mapping'!$C$2:$C$19,MATCH(TRIM('Raw Store Exports'!B959),'Store Mapping'!$A$2:$A$19,0))</f>
        <v>Northpark</v>
      </c>
      <c r="D959" s="0" t="str">
        <f aca="false">'Raw Store Exports'!D959</f>
        <v>ACC-302</v>
      </c>
      <c r="E959" s="0" t="str">
        <f aca="false">INDEX('Product Master'!$B$2:$B$21,MATCH(D959,'Product Master'!$A$2:$A$21,0))</f>
        <v>Aviator Sunglasses</v>
      </c>
      <c r="F959" s="0" t="str">
        <f aca="false">INDEX('Product Master'!$C$2:$C$21,MATCH(D959,'Product Master'!$A$2:$A$21,0))</f>
        <v>Accessories</v>
      </c>
      <c r="G959" s="15" t="n">
        <f aca="false">VALUE(TRIM('Raw Store Exports'!E959&amp;""))</f>
        <v>3</v>
      </c>
      <c r="H959" s="18" t="n">
        <f aca="false">INDEX('Product Master'!$D$2:$D$21,MATCH(D959,'Product Master'!$A$2:$A$21,0))</f>
        <v>42</v>
      </c>
      <c r="I959" s="14" t="n">
        <f aca="false">G959*H959</f>
        <v>126</v>
      </c>
      <c r="J959" s="0" t="str">
        <f aca="false">IF(COUNTIF($A$2:A959,A959)&gt;1,"Duplicate","")</f>
        <v/>
      </c>
    </row>
    <row r="960" customFormat="false" ht="15" hidden="false" customHeight="false" outlineLevel="0" collapsed="false">
      <c r="A960" s="0" t="str">
        <f aca="false">'Raw Store Exports'!A960</f>
        <v>TXN00428</v>
      </c>
      <c r="B960" s="17" t="n">
        <f aca="false">'Raw Store Exports'!C960</f>
        <v>46045</v>
      </c>
      <c r="C960" s="0" t="str">
        <f aca="false">INDEX('Store Mapping'!$C$2:$C$19,MATCH(TRIM('Raw Store Exports'!B960),'Store Mapping'!$A$2:$A$19,0))</f>
        <v>Airport Plaza</v>
      </c>
      <c r="D960" s="0" t="str">
        <f aca="false">'Raw Store Exports'!D960</f>
        <v>APP-101</v>
      </c>
      <c r="E960" s="0" t="str">
        <f aca="false">INDEX('Product Master'!$B$2:$B$21,MATCH(D960,'Product Master'!$A$2:$A$21,0))</f>
        <v>Classic Denim Jacket</v>
      </c>
      <c r="F960" s="0" t="str">
        <f aca="false">INDEX('Product Master'!$C$2:$C$21,MATCH(D960,'Product Master'!$A$2:$A$21,0))</f>
        <v>Apparel</v>
      </c>
      <c r="G960" s="15" t="n">
        <f aca="false">VALUE(TRIM('Raw Store Exports'!E960&amp;""))</f>
        <v>3</v>
      </c>
      <c r="H960" s="18" t="n">
        <f aca="false">INDEX('Product Master'!$D$2:$D$21,MATCH(D960,'Product Master'!$A$2:$A$21,0))</f>
        <v>68</v>
      </c>
      <c r="I960" s="14" t="n">
        <f aca="false">G960*H960</f>
        <v>204</v>
      </c>
      <c r="J960" s="0" t="str">
        <f aca="false">IF(COUNTIF($A$2:A960,A960)&gt;1,"Duplicate","")</f>
        <v/>
      </c>
    </row>
    <row r="961" customFormat="false" ht="15" hidden="false" customHeight="false" outlineLevel="0" collapsed="false">
      <c r="A961" s="0" t="str">
        <f aca="false">'Raw Store Exports'!A961</f>
        <v>TXN00649</v>
      </c>
      <c r="B961" s="17" t="n">
        <f aca="false">'Raw Store Exports'!C961</f>
        <v>46060</v>
      </c>
      <c r="C961" s="0" t="str">
        <f aca="false">INDEX('Store Mapping'!$C$2:$C$19,MATCH(TRIM('Raw Store Exports'!B961),'Store Mapping'!$A$2:$A$19,0))</f>
        <v>Eastgate</v>
      </c>
      <c r="D961" s="0" t="str">
        <f aca="false">'Raw Store Exports'!D961</f>
        <v>ELE-402</v>
      </c>
      <c r="E961" s="0" t="str">
        <f aca="false">INDEX('Product Master'!$B$2:$B$21,MATCH(D961,'Product Master'!$A$2:$A$21,0))</f>
        <v>Bluetooth Speaker</v>
      </c>
      <c r="F961" s="0" t="str">
        <f aca="false">INDEX('Product Master'!$C$2:$C$21,MATCH(D961,'Product Master'!$A$2:$A$21,0))</f>
        <v>Electronics</v>
      </c>
      <c r="G961" s="15" t="n">
        <f aca="false">VALUE(TRIM('Raw Store Exports'!E961&amp;""))</f>
        <v>2</v>
      </c>
      <c r="H961" s="18" t="n">
        <f aca="false">INDEX('Product Master'!$D$2:$D$21,MATCH(D961,'Product Master'!$A$2:$A$21,0))</f>
        <v>59</v>
      </c>
      <c r="I961" s="14" t="n">
        <f aca="false">G961*H961</f>
        <v>118</v>
      </c>
      <c r="J961" s="0" t="str">
        <f aca="false">IF(COUNTIF($A$2:A961,A961)&gt;1,"Duplicate","")</f>
        <v/>
      </c>
    </row>
    <row r="962" customFormat="false" ht="15" hidden="false" customHeight="false" outlineLevel="0" collapsed="false">
      <c r="A962" s="0" t="str">
        <f aca="false">'Raw Store Exports'!A962</f>
        <v>TXN00170</v>
      </c>
      <c r="B962" s="17" t="n">
        <f aca="false">'Raw Store Exports'!C962</f>
        <v>46038</v>
      </c>
      <c r="C962" s="0" t="str">
        <f aca="false">INDEX('Store Mapping'!$C$2:$C$19,MATCH(TRIM('Raw Store Exports'!B962),'Store Mapping'!$A$2:$A$19,0))</f>
        <v>Westside Mall</v>
      </c>
      <c r="D962" s="0" t="str">
        <f aca="false">'Raw Store Exports'!D962</f>
        <v>ELE-404</v>
      </c>
      <c r="E962" s="0" t="str">
        <f aca="false">INDEX('Product Master'!$B$2:$B$21,MATCH(D962,'Product Master'!$A$2:$A$21,0))</f>
        <v>Phone Charging Cable</v>
      </c>
      <c r="F962" s="0" t="str">
        <f aca="false">INDEX('Product Master'!$C$2:$C$21,MATCH(D962,'Product Master'!$A$2:$A$21,0))</f>
        <v>Electronics</v>
      </c>
      <c r="G962" s="15" t="n">
        <f aca="false">VALUE(TRIM('Raw Store Exports'!E962&amp;""))</f>
        <v>2</v>
      </c>
      <c r="H962" s="18" t="n">
        <f aca="false">INDEX('Product Master'!$D$2:$D$21,MATCH(D962,'Product Master'!$A$2:$A$21,0))</f>
        <v>12</v>
      </c>
      <c r="I962" s="14" t="n">
        <f aca="false">G962*H962</f>
        <v>24</v>
      </c>
      <c r="J962" s="0" t="str">
        <f aca="false">IF(COUNTIF($A$2:A962,A962)&gt;1,"Duplicate","")</f>
        <v/>
      </c>
    </row>
    <row r="963" customFormat="false" ht="15" hidden="false" customHeight="false" outlineLevel="0" collapsed="false">
      <c r="A963" s="0" t="str">
        <f aca="false">'Raw Store Exports'!A963</f>
        <v>TXN00041</v>
      </c>
      <c r="B963" s="17" t="n">
        <f aca="false">'Raw Store Exports'!C963</f>
        <v>46031</v>
      </c>
      <c r="C963" s="0" t="str">
        <f aca="false">INDEX('Store Mapping'!$C$2:$C$19,MATCH(TRIM('Raw Store Exports'!B963),'Store Mapping'!$A$2:$A$19,0))</f>
        <v>Westside Mall</v>
      </c>
      <c r="D963" s="0" t="str">
        <f aca="false">'Raw Store Exports'!D963</f>
        <v>FTW-204</v>
      </c>
      <c r="E963" s="0" t="str">
        <f aca="false">INDEX('Product Master'!$B$2:$B$21,MATCH(D963,'Product Master'!$A$2:$A$21,0))</f>
        <v>Slide Sandals</v>
      </c>
      <c r="F963" s="0" t="str">
        <f aca="false">INDEX('Product Master'!$C$2:$C$21,MATCH(D963,'Product Master'!$A$2:$A$21,0))</f>
        <v>Footwear</v>
      </c>
      <c r="G963" s="15" t="n">
        <f aca="false">VALUE(TRIM('Raw Store Exports'!E963&amp;""))</f>
        <v>3</v>
      </c>
      <c r="H963" s="18" t="n">
        <f aca="false">INDEX('Product Master'!$D$2:$D$21,MATCH(D963,'Product Master'!$A$2:$A$21,0))</f>
        <v>25</v>
      </c>
      <c r="I963" s="14" t="n">
        <f aca="false">G963*H963</f>
        <v>75</v>
      </c>
      <c r="J963" s="0" t="str">
        <f aca="false">IF(COUNTIF($A$2:A963,A963)&gt;1,"Duplicate","")</f>
        <v/>
      </c>
    </row>
    <row r="964" customFormat="false" ht="15" hidden="false" customHeight="false" outlineLevel="0" collapsed="false">
      <c r="A964" s="0" t="str">
        <f aca="false">'Raw Store Exports'!A964</f>
        <v>TXN00345</v>
      </c>
      <c r="B964" s="17" t="n">
        <f aca="false">'Raw Store Exports'!C964</f>
        <v>46046</v>
      </c>
      <c r="C964" s="0" t="str">
        <f aca="false">INDEX('Store Mapping'!$C$2:$C$19,MATCH(TRIM('Raw Store Exports'!B964),'Store Mapping'!$A$2:$A$19,0))</f>
        <v>Northpark</v>
      </c>
      <c r="D964" s="0" t="str">
        <f aca="false">'Raw Store Exports'!D964</f>
        <v>ELE-403</v>
      </c>
      <c r="E964" s="0" t="str">
        <f aca="false">INDEX('Product Master'!$B$2:$B$21,MATCH(D964,'Product Master'!$A$2:$A$21,0))</f>
        <v>Fitness Tracker Band</v>
      </c>
      <c r="F964" s="0" t="str">
        <f aca="false">INDEX('Product Master'!$C$2:$C$21,MATCH(D964,'Product Master'!$A$2:$A$21,0))</f>
        <v>Electronics</v>
      </c>
      <c r="G964" s="15" t="n">
        <f aca="false">VALUE(TRIM('Raw Store Exports'!E964&amp;""))</f>
        <v>6</v>
      </c>
      <c r="H964" s="18" t="n">
        <f aca="false">INDEX('Product Master'!$D$2:$D$21,MATCH(D964,'Product Master'!$A$2:$A$21,0))</f>
        <v>99</v>
      </c>
      <c r="I964" s="14" t="n">
        <f aca="false">G964*H964</f>
        <v>594</v>
      </c>
      <c r="J964" s="0" t="str">
        <f aca="false">IF(COUNTIF($A$2:A964,A964)&gt;1,"Duplicate","")</f>
        <v/>
      </c>
    </row>
    <row r="965" customFormat="false" ht="15" hidden="false" customHeight="false" outlineLevel="0" collapsed="false">
      <c r="A965" s="0" t="str">
        <f aca="false">'Raw Store Exports'!A965</f>
        <v>TXN00501</v>
      </c>
      <c r="B965" s="17" t="n">
        <f aca="false">'Raw Store Exports'!C965</f>
        <v>46051</v>
      </c>
      <c r="C965" s="0" t="str">
        <f aca="false">INDEX('Store Mapping'!$C$2:$C$19,MATCH(TRIM('Raw Store Exports'!B965),'Store Mapping'!$A$2:$A$19,0))</f>
        <v>Eastgate</v>
      </c>
      <c r="D965" s="0" t="str">
        <f aca="false">'Raw Store Exports'!D965</f>
        <v>HOM-503</v>
      </c>
      <c r="E965" s="0" t="str">
        <f aca="false">INDEX('Product Master'!$B$2:$B$21,MATCH(D965,'Product Master'!$A$2:$A$21,0))</f>
        <v>Cotton Throw Blanket</v>
      </c>
      <c r="F965" s="0" t="str">
        <f aca="false">INDEX('Product Master'!$C$2:$C$21,MATCH(D965,'Product Master'!$A$2:$A$21,0))</f>
        <v>Home Goods</v>
      </c>
      <c r="G965" s="15" t="n">
        <f aca="false">VALUE(TRIM('Raw Store Exports'!E965&amp;""))</f>
        <v>6</v>
      </c>
      <c r="H965" s="18" t="n">
        <f aca="false">INDEX('Product Master'!$D$2:$D$21,MATCH(D965,'Product Master'!$A$2:$A$21,0))</f>
        <v>38</v>
      </c>
      <c r="I965" s="14" t="n">
        <f aca="false">G965*H965</f>
        <v>228</v>
      </c>
      <c r="J965" s="0" t="str">
        <f aca="false">IF(COUNTIF($A$2:A965,A965)&gt;1,"Duplicate","")</f>
        <v/>
      </c>
    </row>
    <row r="966" customFormat="false" ht="15" hidden="false" customHeight="false" outlineLevel="0" collapsed="false">
      <c r="A966" s="0" t="str">
        <f aca="false">'Raw Store Exports'!A966</f>
        <v>TXN00112</v>
      </c>
      <c r="B966" s="17" t="n">
        <f aca="false">'Raw Store Exports'!C966</f>
        <v>46030</v>
      </c>
      <c r="C966" s="0" t="str">
        <f aca="false">INDEX('Store Mapping'!$C$2:$C$19,MATCH(TRIM('Raw Store Exports'!B966),'Store Mapping'!$A$2:$A$19,0))</f>
        <v>Riverside</v>
      </c>
      <c r="D966" s="0" t="str">
        <f aca="false">'Raw Store Exports'!D966</f>
        <v>APP-103</v>
      </c>
      <c r="E966" s="0" t="str">
        <f aca="false">INDEX('Product Master'!$B$2:$B$21,MATCH(D966,'Product Master'!$A$2:$A$21,0))</f>
        <v>Fleece Pullover Hoodie</v>
      </c>
      <c r="F966" s="0" t="str">
        <f aca="false">INDEX('Product Master'!$C$2:$C$21,MATCH(D966,'Product Master'!$A$2:$A$21,0))</f>
        <v>Apparel</v>
      </c>
      <c r="G966" s="15" t="n">
        <f aca="false">VALUE(TRIM('Raw Store Exports'!E966&amp;""))</f>
        <v>1</v>
      </c>
      <c r="H966" s="18" t="n">
        <f aca="false">INDEX('Product Master'!$D$2:$D$21,MATCH(D966,'Product Master'!$A$2:$A$21,0))</f>
        <v>45</v>
      </c>
      <c r="I966" s="14" t="n">
        <f aca="false">G966*H966</f>
        <v>45</v>
      </c>
      <c r="J966" s="0" t="str">
        <f aca="false">IF(COUNTIF($A$2:A966,A966)&gt;1,"Duplicate","")</f>
        <v/>
      </c>
    </row>
    <row r="967" customFormat="false" ht="15" hidden="false" customHeight="false" outlineLevel="0" collapsed="false">
      <c r="A967" s="0" t="str">
        <f aca="false">'Raw Store Exports'!A967</f>
        <v>TXN00809</v>
      </c>
      <c r="B967" s="17" t="n">
        <f aca="false">'Raw Store Exports'!C967</f>
        <v>46067</v>
      </c>
      <c r="C967" s="0" t="str">
        <f aca="false">INDEX('Store Mapping'!$C$2:$C$19,MATCH(TRIM('Raw Store Exports'!B967),'Store Mapping'!$A$2:$A$19,0))</f>
        <v>Eastgate</v>
      </c>
      <c r="D967" s="0" t="str">
        <f aca="false">'Raw Store Exports'!D967</f>
        <v>APP-104</v>
      </c>
      <c r="E967" s="0" t="str">
        <f aca="false">INDEX('Product Master'!$B$2:$B$21,MATCH(D967,'Product Master'!$A$2:$A$21,0))</f>
        <v>Slim Fit Chinos</v>
      </c>
      <c r="F967" s="0" t="str">
        <f aca="false">INDEX('Product Master'!$C$2:$C$21,MATCH(D967,'Product Master'!$A$2:$A$21,0))</f>
        <v>Apparel</v>
      </c>
      <c r="G967" s="15" t="n">
        <f aca="false">VALUE(TRIM('Raw Store Exports'!E967&amp;""))</f>
        <v>1</v>
      </c>
      <c r="H967" s="18" t="n">
        <f aca="false">INDEX('Product Master'!$D$2:$D$21,MATCH(D967,'Product Master'!$A$2:$A$21,0))</f>
        <v>52</v>
      </c>
      <c r="I967" s="14" t="n">
        <f aca="false">G967*H967</f>
        <v>52</v>
      </c>
      <c r="J967" s="0" t="str">
        <f aca="false">IF(COUNTIF($A$2:A967,A967)&gt;1,"Duplicate","")</f>
        <v/>
      </c>
    </row>
    <row r="968" customFormat="false" ht="15" hidden="false" customHeight="false" outlineLevel="0" collapsed="false">
      <c r="A968" s="0" t="str">
        <f aca="false">'Raw Store Exports'!A968</f>
        <v>TXN00928</v>
      </c>
      <c r="B968" s="17" t="n">
        <f aca="false">'Raw Store Exports'!C968</f>
        <v>46074</v>
      </c>
      <c r="C968" s="0" t="str">
        <f aca="false">INDEX('Store Mapping'!$C$2:$C$19,MATCH(TRIM('Raw Store Exports'!B968),'Store Mapping'!$A$2:$A$19,0))</f>
        <v>Westside Mall</v>
      </c>
      <c r="D968" s="0" t="str">
        <f aca="false">'Raw Store Exports'!D968</f>
        <v>ELE-402</v>
      </c>
      <c r="E968" s="0" t="str">
        <f aca="false">INDEX('Product Master'!$B$2:$B$21,MATCH(D968,'Product Master'!$A$2:$A$21,0))</f>
        <v>Bluetooth Speaker</v>
      </c>
      <c r="F968" s="0" t="str">
        <f aca="false">INDEX('Product Master'!$C$2:$C$21,MATCH(D968,'Product Master'!$A$2:$A$21,0))</f>
        <v>Electronics</v>
      </c>
      <c r="G968" s="15" t="n">
        <f aca="false">VALUE(TRIM('Raw Store Exports'!E968&amp;""))</f>
        <v>6</v>
      </c>
      <c r="H968" s="18" t="n">
        <f aca="false">INDEX('Product Master'!$D$2:$D$21,MATCH(D968,'Product Master'!$A$2:$A$21,0))</f>
        <v>59</v>
      </c>
      <c r="I968" s="14" t="n">
        <f aca="false">G968*H968</f>
        <v>354</v>
      </c>
      <c r="J968" s="0" t="str">
        <f aca="false">IF(COUNTIF($A$2:A968,A968)&gt;1,"Duplicate","")</f>
        <v/>
      </c>
    </row>
    <row r="969" customFormat="false" ht="15" hidden="false" customHeight="false" outlineLevel="0" collapsed="false">
      <c r="A969" s="0" t="str">
        <f aca="false">'Raw Store Exports'!A969</f>
        <v>TXN00434</v>
      </c>
      <c r="B969" s="17" t="n">
        <f aca="false">'Raw Store Exports'!C969</f>
        <v>46053</v>
      </c>
      <c r="C969" s="0" t="str">
        <f aca="false">INDEX('Store Mapping'!$C$2:$C$19,MATCH(TRIM('Raw Store Exports'!B969),'Store Mapping'!$A$2:$A$19,0))</f>
        <v>Downtown</v>
      </c>
      <c r="D969" s="0" t="str">
        <f aca="false">'Raw Store Exports'!D969</f>
        <v>ELE-401</v>
      </c>
      <c r="E969" s="0" t="str">
        <f aca="false">INDEX('Product Master'!$B$2:$B$21,MATCH(D969,'Product Master'!$A$2:$A$21,0))</f>
        <v>Wireless Earbuds</v>
      </c>
      <c r="F969" s="0" t="str">
        <f aca="false">INDEX('Product Master'!$C$2:$C$21,MATCH(D969,'Product Master'!$A$2:$A$21,0))</f>
        <v>Electronics</v>
      </c>
      <c r="G969" s="15" t="n">
        <f aca="false">VALUE(TRIM('Raw Store Exports'!E969&amp;""))</f>
        <v>4</v>
      </c>
      <c r="H969" s="18" t="n">
        <f aca="false">INDEX('Product Master'!$D$2:$D$21,MATCH(D969,'Product Master'!$A$2:$A$21,0))</f>
        <v>79</v>
      </c>
      <c r="I969" s="14" t="n">
        <f aca="false">G969*H969</f>
        <v>316</v>
      </c>
      <c r="J969" s="0" t="str">
        <f aca="false">IF(COUNTIF($A$2:A969,A969)&gt;1,"Duplicate","")</f>
        <v/>
      </c>
    </row>
    <row r="970" customFormat="false" ht="15" hidden="false" customHeight="false" outlineLevel="0" collapsed="false">
      <c r="A970" s="0" t="str">
        <f aca="false">'Raw Store Exports'!A970</f>
        <v>TXN00280</v>
      </c>
      <c r="B970" s="17" t="n">
        <f aca="false">'Raw Store Exports'!C970</f>
        <v>46045</v>
      </c>
      <c r="C970" s="0" t="str">
        <f aca="false">INDEX('Store Mapping'!$C$2:$C$19,MATCH(TRIM('Raw Store Exports'!B970),'Store Mapping'!$A$2:$A$19,0))</f>
        <v>Downtown</v>
      </c>
      <c r="D970" s="0" t="str">
        <f aca="false">'Raw Store Exports'!D970</f>
        <v>FTW-204</v>
      </c>
      <c r="E970" s="0" t="str">
        <f aca="false">INDEX('Product Master'!$B$2:$B$21,MATCH(D970,'Product Master'!$A$2:$A$21,0))</f>
        <v>Slide Sandals</v>
      </c>
      <c r="F970" s="0" t="str">
        <f aca="false">INDEX('Product Master'!$C$2:$C$21,MATCH(D970,'Product Master'!$A$2:$A$21,0))</f>
        <v>Footwear</v>
      </c>
      <c r="G970" s="15" t="n">
        <f aca="false">VALUE(TRIM('Raw Store Exports'!E970&amp;""))</f>
        <v>4</v>
      </c>
      <c r="H970" s="18" t="n">
        <f aca="false">INDEX('Product Master'!$D$2:$D$21,MATCH(D970,'Product Master'!$A$2:$A$21,0))</f>
        <v>25</v>
      </c>
      <c r="I970" s="14" t="n">
        <f aca="false">G970*H970</f>
        <v>100</v>
      </c>
      <c r="J970" s="0" t="str">
        <f aca="false">IF(COUNTIF($A$2:A970,A970)&gt;1,"Duplicate","")</f>
        <v/>
      </c>
    </row>
    <row r="971" customFormat="false" ht="15" hidden="false" customHeight="false" outlineLevel="0" collapsed="false">
      <c r="A971" s="0" t="str">
        <f aca="false">'Raw Store Exports'!A971</f>
        <v>TXN01131</v>
      </c>
      <c r="B971" s="17" t="n">
        <f aca="false">'Raw Store Exports'!C971</f>
        <v>46078</v>
      </c>
      <c r="C971" s="0" t="str">
        <f aca="false">INDEX('Store Mapping'!$C$2:$C$19,MATCH(TRIM('Raw Store Exports'!B971),'Store Mapping'!$A$2:$A$19,0))</f>
        <v>Northpark</v>
      </c>
      <c r="D971" s="0" t="str">
        <f aca="false">'Raw Store Exports'!D971</f>
        <v>ACC-301</v>
      </c>
      <c r="E971" s="0" t="str">
        <f aca="false">INDEX('Product Master'!$B$2:$B$21,MATCH(D971,'Product Master'!$A$2:$A$21,0))</f>
        <v>Leather Belt</v>
      </c>
      <c r="F971" s="0" t="str">
        <f aca="false">INDEX('Product Master'!$C$2:$C$21,MATCH(D971,'Product Master'!$A$2:$A$21,0))</f>
        <v>Accessories</v>
      </c>
      <c r="G971" s="15" t="n">
        <f aca="false">VALUE(TRIM('Raw Store Exports'!E971&amp;""))</f>
        <v>3</v>
      </c>
      <c r="H971" s="18" t="n">
        <f aca="false">INDEX('Product Master'!$D$2:$D$21,MATCH(D971,'Product Master'!$A$2:$A$21,0))</f>
        <v>30</v>
      </c>
      <c r="I971" s="14" t="n">
        <f aca="false">G971*H971</f>
        <v>90</v>
      </c>
      <c r="J971" s="0" t="str">
        <f aca="false">IF(COUNTIF($A$2:A971,A971)&gt;1,"Duplicate","")</f>
        <v/>
      </c>
    </row>
    <row r="972" customFormat="false" ht="15" hidden="false" customHeight="false" outlineLevel="0" collapsed="false">
      <c r="A972" s="0" t="str">
        <f aca="false">'Raw Store Exports'!A972</f>
        <v>TXN00396</v>
      </c>
      <c r="B972" s="17" t="n">
        <f aca="false">'Raw Store Exports'!C972</f>
        <v>46045</v>
      </c>
      <c r="C972" s="0" t="str">
        <f aca="false">INDEX('Store Mapping'!$C$2:$C$19,MATCH(TRIM('Raw Store Exports'!B972),'Store Mapping'!$A$2:$A$19,0))</f>
        <v>Riverside</v>
      </c>
      <c r="D972" s="0" t="str">
        <f aca="false">'Raw Store Exports'!D972</f>
        <v>ACC-304</v>
      </c>
      <c r="E972" s="0" t="str">
        <f aca="false">INDEX('Product Master'!$B$2:$B$21,MATCH(D972,'Product Master'!$A$2:$A$21,0))</f>
        <v>Wool Beanie</v>
      </c>
      <c r="F972" s="0" t="str">
        <f aca="false">INDEX('Product Master'!$C$2:$C$21,MATCH(D972,'Product Master'!$A$2:$A$21,0))</f>
        <v>Accessories</v>
      </c>
      <c r="G972" s="15" t="n">
        <f aca="false">VALUE(TRIM('Raw Store Exports'!E972&amp;""))</f>
        <v>2</v>
      </c>
      <c r="H972" s="18" t="n">
        <f aca="false">INDEX('Product Master'!$D$2:$D$21,MATCH(D972,'Product Master'!$A$2:$A$21,0))</f>
        <v>16</v>
      </c>
      <c r="I972" s="14" t="n">
        <f aca="false">G972*H972</f>
        <v>32</v>
      </c>
      <c r="J972" s="0" t="str">
        <f aca="false">IF(COUNTIF($A$2:A972,A972)&gt;1,"Duplicate","")</f>
        <v>Duplicate</v>
      </c>
    </row>
    <row r="973" customFormat="false" ht="15" hidden="false" customHeight="false" outlineLevel="0" collapsed="false">
      <c r="A973" s="0" t="str">
        <f aca="false">'Raw Store Exports'!A973</f>
        <v>TXN01048</v>
      </c>
      <c r="B973" s="17" t="n">
        <f aca="false">'Raw Store Exports'!C973</f>
        <v>46075</v>
      </c>
      <c r="C973" s="0" t="str">
        <f aca="false">INDEX('Store Mapping'!$C$2:$C$19,MATCH(TRIM('Raw Store Exports'!B973),'Store Mapping'!$A$2:$A$19,0))</f>
        <v>Airport Plaza</v>
      </c>
      <c r="D973" s="0" t="str">
        <f aca="false">'Raw Store Exports'!D973</f>
        <v>APP-104</v>
      </c>
      <c r="E973" s="0" t="str">
        <f aca="false">INDEX('Product Master'!$B$2:$B$21,MATCH(D973,'Product Master'!$A$2:$A$21,0))</f>
        <v>Slim Fit Chinos</v>
      </c>
      <c r="F973" s="0" t="str">
        <f aca="false">INDEX('Product Master'!$C$2:$C$21,MATCH(D973,'Product Master'!$A$2:$A$21,0))</f>
        <v>Apparel</v>
      </c>
      <c r="G973" s="15" t="n">
        <f aca="false">VALUE(TRIM('Raw Store Exports'!E973&amp;""))</f>
        <v>4</v>
      </c>
      <c r="H973" s="18" t="n">
        <f aca="false">INDEX('Product Master'!$D$2:$D$21,MATCH(D973,'Product Master'!$A$2:$A$21,0))</f>
        <v>52</v>
      </c>
      <c r="I973" s="14" t="n">
        <f aca="false">G973*H973</f>
        <v>208</v>
      </c>
      <c r="J973" s="0" t="str">
        <f aca="false">IF(COUNTIF($A$2:A973,A973)&gt;1,"Duplicate","")</f>
        <v/>
      </c>
    </row>
    <row r="974" customFormat="false" ht="15" hidden="false" customHeight="false" outlineLevel="0" collapsed="false">
      <c r="A974" s="0" t="str">
        <f aca="false">'Raw Store Exports'!A974</f>
        <v>TXN01088</v>
      </c>
      <c r="B974" s="17" t="n">
        <f aca="false">'Raw Store Exports'!C974</f>
        <v>46076</v>
      </c>
      <c r="C974" s="0" t="str">
        <f aca="false">INDEX('Store Mapping'!$C$2:$C$19,MATCH(TRIM('Raw Store Exports'!B974),'Store Mapping'!$A$2:$A$19,0))</f>
        <v>Westside Mall</v>
      </c>
      <c r="D974" s="0" t="str">
        <f aca="false">'Raw Store Exports'!D974</f>
        <v>FTW-202</v>
      </c>
      <c r="E974" s="0" t="str">
        <f aca="false">INDEX('Product Master'!$B$2:$B$21,MATCH(D974,'Product Master'!$A$2:$A$21,0))</f>
        <v>Canvas Low-Top</v>
      </c>
      <c r="F974" s="0" t="str">
        <f aca="false">INDEX('Product Master'!$C$2:$C$21,MATCH(D974,'Product Master'!$A$2:$A$21,0))</f>
        <v>Footwear</v>
      </c>
      <c r="G974" s="15" t="n">
        <f aca="false">VALUE(TRIM('Raw Store Exports'!E974&amp;""))</f>
        <v>1</v>
      </c>
      <c r="H974" s="18" t="n">
        <f aca="false">INDEX('Product Master'!$D$2:$D$21,MATCH(D974,'Product Master'!$A$2:$A$21,0))</f>
        <v>55</v>
      </c>
      <c r="I974" s="14" t="n">
        <f aca="false">G974*H974</f>
        <v>55</v>
      </c>
      <c r="J974" s="0" t="str">
        <f aca="false">IF(COUNTIF($A$2:A974,A974)&gt;1,"Duplicate","")</f>
        <v/>
      </c>
    </row>
    <row r="975" customFormat="false" ht="15" hidden="false" customHeight="false" outlineLevel="0" collapsed="false">
      <c r="A975" s="0" t="str">
        <f aca="false">'Raw Store Exports'!A975</f>
        <v>TXN00698</v>
      </c>
      <c r="B975" s="17" t="n">
        <f aca="false">'Raw Store Exports'!C975</f>
        <v>46056</v>
      </c>
      <c r="C975" s="0" t="str">
        <f aca="false">INDEX('Store Mapping'!$C$2:$C$19,MATCH(TRIM('Raw Store Exports'!B975),'Store Mapping'!$A$2:$A$19,0))</f>
        <v>Riverside</v>
      </c>
      <c r="D975" s="0" t="str">
        <f aca="false">'Raw Store Exports'!D975</f>
        <v>ACC-303</v>
      </c>
      <c r="E975" s="0" t="str">
        <f aca="false">INDEX('Product Master'!$B$2:$B$21,MATCH(D975,'Product Master'!$A$2:$A$21,0))</f>
        <v>Canvas Tote Bag</v>
      </c>
      <c r="F975" s="0" t="str">
        <f aca="false">INDEX('Product Master'!$C$2:$C$21,MATCH(D975,'Product Master'!$A$2:$A$21,0))</f>
        <v>Accessories</v>
      </c>
      <c r="G975" s="15" t="n">
        <f aca="false">VALUE(TRIM('Raw Store Exports'!E975&amp;""))</f>
        <v>2</v>
      </c>
      <c r="H975" s="18" t="n">
        <f aca="false">INDEX('Product Master'!$D$2:$D$21,MATCH(D975,'Product Master'!$A$2:$A$21,0))</f>
        <v>24</v>
      </c>
      <c r="I975" s="14" t="n">
        <f aca="false">G975*H975</f>
        <v>48</v>
      </c>
      <c r="J975" s="0" t="str">
        <f aca="false">IF(COUNTIF($A$2:A975,A975)&gt;1,"Duplicate","")</f>
        <v/>
      </c>
    </row>
    <row r="976" customFormat="false" ht="15" hidden="false" customHeight="false" outlineLevel="0" collapsed="false">
      <c r="A976" s="0" t="str">
        <f aca="false">'Raw Store Exports'!A976</f>
        <v>TXN00437</v>
      </c>
      <c r="B976" s="17" t="n">
        <f aca="false">'Raw Store Exports'!C976</f>
        <v>46051</v>
      </c>
      <c r="C976" s="0" t="str">
        <f aca="false">INDEX('Store Mapping'!$C$2:$C$19,MATCH(TRIM('Raw Store Exports'!B976),'Store Mapping'!$A$2:$A$19,0))</f>
        <v>Downtown</v>
      </c>
      <c r="D976" s="0" t="str">
        <f aca="false">'Raw Store Exports'!D976</f>
        <v>HOM-502</v>
      </c>
      <c r="E976" s="0" t="str">
        <f aca="false">INDEX('Product Master'!$B$2:$B$21,MATCH(D976,'Product Master'!$A$2:$A$21,0))</f>
        <v>Scented Candle</v>
      </c>
      <c r="F976" s="0" t="str">
        <f aca="false">INDEX('Product Master'!$C$2:$C$21,MATCH(D976,'Product Master'!$A$2:$A$21,0))</f>
        <v>Home Goods</v>
      </c>
      <c r="G976" s="15" t="n">
        <f aca="false">VALUE(TRIM('Raw Store Exports'!E976&amp;""))</f>
        <v>6</v>
      </c>
      <c r="H976" s="18" t="n">
        <f aca="false">INDEX('Product Master'!$D$2:$D$21,MATCH(D976,'Product Master'!$A$2:$A$21,0))</f>
        <v>15</v>
      </c>
      <c r="I976" s="14" t="n">
        <f aca="false">G976*H976</f>
        <v>90</v>
      </c>
      <c r="J976" s="0" t="str">
        <f aca="false">IF(COUNTIF($A$2:A976,A976)&gt;1,"Duplicate","")</f>
        <v/>
      </c>
    </row>
    <row r="977" customFormat="false" ht="15" hidden="false" customHeight="false" outlineLevel="0" collapsed="false">
      <c r="A977" s="0" t="str">
        <f aca="false">'Raw Store Exports'!A977</f>
        <v>TXN00054</v>
      </c>
      <c r="B977" s="17" t="n">
        <f aca="false">'Raw Store Exports'!C977</f>
        <v>46028</v>
      </c>
      <c r="C977" s="0" t="str">
        <f aca="false">INDEX('Store Mapping'!$C$2:$C$19,MATCH(TRIM('Raw Store Exports'!B977),'Store Mapping'!$A$2:$A$19,0))</f>
        <v>Eastgate</v>
      </c>
      <c r="D977" s="0" t="str">
        <f aca="false">'Raw Store Exports'!D977</f>
        <v>FTW-201</v>
      </c>
      <c r="E977" s="0" t="str">
        <f aca="false">INDEX('Product Master'!$B$2:$B$21,MATCH(D977,'Product Master'!$A$2:$A$21,0))</f>
        <v>Running Sneakers</v>
      </c>
      <c r="F977" s="0" t="str">
        <f aca="false">INDEX('Product Master'!$C$2:$C$21,MATCH(D977,'Product Master'!$A$2:$A$21,0))</f>
        <v>Footwear</v>
      </c>
      <c r="G977" s="15" t="n">
        <f aca="false">VALUE(TRIM('Raw Store Exports'!E977&amp;""))</f>
        <v>3</v>
      </c>
      <c r="H977" s="18" t="n">
        <f aca="false">INDEX('Product Master'!$D$2:$D$21,MATCH(D977,'Product Master'!$A$2:$A$21,0))</f>
        <v>89</v>
      </c>
      <c r="I977" s="14" t="n">
        <f aca="false">G977*H977</f>
        <v>267</v>
      </c>
      <c r="J977" s="0" t="str">
        <f aca="false">IF(COUNTIF($A$2:A977,A977)&gt;1,"Duplicate","")</f>
        <v/>
      </c>
    </row>
    <row r="978" customFormat="false" ht="15" hidden="false" customHeight="false" outlineLevel="0" collapsed="false">
      <c r="A978" s="0" t="str">
        <f aca="false">'Raw Store Exports'!A978</f>
        <v>TXN00508</v>
      </c>
      <c r="B978" s="17" t="n">
        <f aca="false">'Raw Store Exports'!C978</f>
        <v>46049</v>
      </c>
      <c r="C978" s="0" t="str">
        <f aca="false">INDEX('Store Mapping'!$C$2:$C$19,MATCH(TRIM('Raw Store Exports'!B978),'Store Mapping'!$A$2:$A$19,0))</f>
        <v>Northpark</v>
      </c>
      <c r="D978" s="0" t="str">
        <f aca="false">'Raw Store Exports'!D978</f>
        <v>ACC-303</v>
      </c>
      <c r="E978" s="0" t="str">
        <f aca="false">INDEX('Product Master'!$B$2:$B$21,MATCH(D978,'Product Master'!$A$2:$A$21,0))</f>
        <v>Canvas Tote Bag</v>
      </c>
      <c r="F978" s="0" t="str">
        <f aca="false">INDEX('Product Master'!$C$2:$C$21,MATCH(D978,'Product Master'!$A$2:$A$21,0))</f>
        <v>Accessories</v>
      </c>
      <c r="G978" s="15" t="n">
        <f aca="false">VALUE(TRIM('Raw Store Exports'!E978&amp;""))</f>
        <v>6</v>
      </c>
      <c r="H978" s="18" t="n">
        <f aca="false">INDEX('Product Master'!$D$2:$D$21,MATCH(D978,'Product Master'!$A$2:$A$21,0))</f>
        <v>24</v>
      </c>
      <c r="I978" s="14" t="n">
        <f aca="false">G978*H978</f>
        <v>144</v>
      </c>
      <c r="J978" s="0" t="str">
        <f aca="false">IF(COUNTIF($A$2:A978,A978)&gt;1,"Duplicate","")</f>
        <v/>
      </c>
    </row>
    <row r="979" customFormat="false" ht="15" hidden="false" customHeight="false" outlineLevel="0" collapsed="false">
      <c r="A979" s="0" t="str">
        <f aca="false">'Raw Store Exports'!A979</f>
        <v>TXN00377</v>
      </c>
      <c r="B979" s="17" t="n">
        <f aca="false">'Raw Store Exports'!C979</f>
        <v>46047</v>
      </c>
      <c r="C979" s="0" t="str">
        <f aca="false">INDEX('Store Mapping'!$C$2:$C$19,MATCH(TRIM('Raw Store Exports'!B979),'Store Mapping'!$A$2:$A$19,0))</f>
        <v>Riverside</v>
      </c>
      <c r="D979" s="0" t="str">
        <f aca="false">'Raw Store Exports'!D979</f>
        <v>APP-103</v>
      </c>
      <c r="E979" s="0" t="str">
        <f aca="false">INDEX('Product Master'!$B$2:$B$21,MATCH(D979,'Product Master'!$A$2:$A$21,0))</f>
        <v>Fleece Pullover Hoodie</v>
      </c>
      <c r="F979" s="0" t="str">
        <f aca="false">INDEX('Product Master'!$C$2:$C$21,MATCH(D979,'Product Master'!$A$2:$A$21,0))</f>
        <v>Apparel</v>
      </c>
      <c r="G979" s="15" t="n">
        <f aca="false">VALUE(TRIM('Raw Store Exports'!E979&amp;""))</f>
        <v>4</v>
      </c>
      <c r="H979" s="18" t="n">
        <f aca="false">INDEX('Product Master'!$D$2:$D$21,MATCH(D979,'Product Master'!$A$2:$A$21,0))</f>
        <v>45</v>
      </c>
      <c r="I979" s="14" t="n">
        <f aca="false">G979*H979</f>
        <v>180</v>
      </c>
      <c r="J979" s="0" t="str">
        <f aca="false">IF(COUNTIF($A$2:A979,A979)&gt;1,"Duplicate","")</f>
        <v/>
      </c>
    </row>
    <row r="980" customFormat="false" ht="15" hidden="false" customHeight="false" outlineLevel="0" collapsed="false">
      <c r="A980" s="0" t="str">
        <f aca="false">'Raw Store Exports'!A980</f>
        <v>TXN00888</v>
      </c>
      <c r="B980" s="17" t="n">
        <f aca="false">'Raw Store Exports'!C980</f>
        <v>46068</v>
      </c>
      <c r="C980" s="0" t="str">
        <f aca="false">INDEX('Store Mapping'!$C$2:$C$19,MATCH(TRIM('Raw Store Exports'!B980),'Store Mapping'!$A$2:$A$19,0))</f>
        <v>Airport Plaza</v>
      </c>
      <c r="D980" s="0" t="str">
        <f aca="false">'Raw Store Exports'!D980</f>
        <v>APP-104</v>
      </c>
      <c r="E980" s="0" t="str">
        <f aca="false">INDEX('Product Master'!$B$2:$B$21,MATCH(D980,'Product Master'!$A$2:$A$21,0))</f>
        <v>Slim Fit Chinos</v>
      </c>
      <c r="F980" s="0" t="str">
        <f aca="false">INDEX('Product Master'!$C$2:$C$21,MATCH(D980,'Product Master'!$A$2:$A$21,0))</f>
        <v>Apparel</v>
      </c>
      <c r="G980" s="15" t="n">
        <f aca="false">VALUE(TRIM('Raw Store Exports'!E980&amp;""))</f>
        <v>4</v>
      </c>
      <c r="H980" s="18" t="n">
        <f aca="false">INDEX('Product Master'!$D$2:$D$21,MATCH(D980,'Product Master'!$A$2:$A$21,0))</f>
        <v>52</v>
      </c>
      <c r="I980" s="14" t="n">
        <f aca="false">G980*H980</f>
        <v>208</v>
      </c>
      <c r="J980" s="0" t="str">
        <f aca="false">IF(COUNTIF($A$2:A980,A980)&gt;1,"Duplicate","")</f>
        <v/>
      </c>
    </row>
    <row r="981" customFormat="false" ht="15" hidden="false" customHeight="false" outlineLevel="0" collapsed="false">
      <c r="A981" s="0" t="str">
        <f aca="false">'Raw Store Exports'!A981</f>
        <v>TXN00858</v>
      </c>
      <c r="B981" s="17" t="n">
        <f aca="false">'Raw Store Exports'!C981</f>
        <v>46063</v>
      </c>
      <c r="C981" s="0" t="str">
        <f aca="false">INDEX('Store Mapping'!$C$2:$C$19,MATCH(TRIM('Raw Store Exports'!B981),'Store Mapping'!$A$2:$A$19,0))</f>
        <v>Riverside</v>
      </c>
      <c r="D981" s="0" t="str">
        <f aca="false">'Raw Store Exports'!D981</f>
        <v>HOM-503</v>
      </c>
      <c r="E981" s="0" t="str">
        <f aca="false">INDEX('Product Master'!$B$2:$B$21,MATCH(D981,'Product Master'!$A$2:$A$21,0))</f>
        <v>Cotton Throw Blanket</v>
      </c>
      <c r="F981" s="0" t="str">
        <f aca="false">INDEX('Product Master'!$C$2:$C$21,MATCH(D981,'Product Master'!$A$2:$A$21,0))</f>
        <v>Home Goods</v>
      </c>
      <c r="G981" s="15" t="n">
        <f aca="false">VALUE(TRIM('Raw Store Exports'!E981&amp;""))</f>
        <v>1</v>
      </c>
      <c r="H981" s="18" t="n">
        <f aca="false">INDEX('Product Master'!$D$2:$D$21,MATCH(D981,'Product Master'!$A$2:$A$21,0))</f>
        <v>38</v>
      </c>
      <c r="I981" s="14" t="n">
        <f aca="false">G981*H981</f>
        <v>38</v>
      </c>
      <c r="J981" s="0" t="str">
        <f aca="false">IF(COUNTIF($A$2:A981,A981)&gt;1,"Duplicate","")</f>
        <v/>
      </c>
    </row>
    <row r="982" customFormat="false" ht="15" hidden="false" customHeight="false" outlineLevel="0" collapsed="false">
      <c r="A982" s="0" t="str">
        <f aca="false">'Raw Store Exports'!A982</f>
        <v>TXN00748</v>
      </c>
      <c r="B982" s="17" t="n">
        <f aca="false">'Raw Store Exports'!C982</f>
        <v>46068</v>
      </c>
      <c r="C982" s="0" t="str">
        <f aca="false">INDEX('Store Mapping'!$C$2:$C$19,MATCH(TRIM('Raw Store Exports'!B982),'Store Mapping'!$A$2:$A$19,0))</f>
        <v>Downtown</v>
      </c>
      <c r="D982" s="0" t="str">
        <f aca="false">'Raw Store Exports'!D982</f>
        <v>APP-101</v>
      </c>
      <c r="E982" s="0" t="str">
        <f aca="false">INDEX('Product Master'!$B$2:$B$21,MATCH(D982,'Product Master'!$A$2:$A$21,0))</f>
        <v>Classic Denim Jacket</v>
      </c>
      <c r="F982" s="0" t="str">
        <f aca="false">INDEX('Product Master'!$C$2:$C$21,MATCH(D982,'Product Master'!$A$2:$A$21,0))</f>
        <v>Apparel</v>
      </c>
      <c r="G982" s="15" t="n">
        <f aca="false">VALUE(TRIM('Raw Store Exports'!E982&amp;""))</f>
        <v>6</v>
      </c>
      <c r="H982" s="18" t="n">
        <f aca="false">INDEX('Product Master'!$D$2:$D$21,MATCH(D982,'Product Master'!$A$2:$A$21,0))</f>
        <v>68</v>
      </c>
      <c r="I982" s="14" t="n">
        <f aca="false">G982*H982</f>
        <v>408</v>
      </c>
      <c r="J982" s="0" t="str">
        <f aca="false">IF(COUNTIF($A$2:A982,A982)&gt;1,"Duplicate","")</f>
        <v>Duplicate</v>
      </c>
    </row>
    <row r="983" customFormat="false" ht="15" hidden="false" customHeight="false" outlineLevel="0" collapsed="false">
      <c r="A983" s="0" t="str">
        <f aca="false">'Raw Store Exports'!A983</f>
        <v>TXN00208</v>
      </c>
      <c r="B983" s="17" t="n">
        <f aca="false">'Raw Store Exports'!C983</f>
        <v>46039</v>
      </c>
      <c r="C983" s="0" t="str">
        <f aca="false">INDEX('Store Mapping'!$C$2:$C$19,MATCH(TRIM('Raw Store Exports'!B983),'Store Mapping'!$A$2:$A$19,0))</f>
        <v>Northpark</v>
      </c>
      <c r="D983" s="0" t="str">
        <f aca="false">'Raw Store Exports'!D983</f>
        <v>FTW-204</v>
      </c>
      <c r="E983" s="0" t="str">
        <f aca="false">INDEX('Product Master'!$B$2:$B$21,MATCH(D983,'Product Master'!$A$2:$A$21,0))</f>
        <v>Slide Sandals</v>
      </c>
      <c r="F983" s="0" t="str">
        <f aca="false">INDEX('Product Master'!$C$2:$C$21,MATCH(D983,'Product Master'!$A$2:$A$21,0))</f>
        <v>Footwear</v>
      </c>
      <c r="G983" s="15" t="n">
        <f aca="false">VALUE(TRIM('Raw Store Exports'!E983&amp;""))</f>
        <v>5</v>
      </c>
      <c r="H983" s="18" t="n">
        <f aca="false">INDEX('Product Master'!$D$2:$D$21,MATCH(D983,'Product Master'!$A$2:$A$21,0))</f>
        <v>25</v>
      </c>
      <c r="I983" s="14" t="n">
        <f aca="false">G983*H983</f>
        <v>125</v>
      </c>
      <c r="J983" s="0" t="str">
        <f aca="false">IF(COUNTIF($A$2:A983,A983)&gt;1,"Duplicate","")</f>
        <v/>
      </c>
    </row>
    <row r="984" customFormat="false" ht="15" hidden="false" customHeight="false" outlineLevel="0" collapsed="false">
      <c r="A984" s="0" t="str">
        <f aca="false">'Raw Store Exports'!A984</f>
        <v>TXN00916</v>
      </c>
      <c r="B984" s="17" t="n">
        <f aca="false">'Raw Store Exports'!C984</f>
        <v>46074</v>
      </c>
      <c r="C984" s="0" t="str">
        <f aca="false">INDEX('Store Mapping'!$C$2:$C$19,MATCH(TRIM('Raw Store Exports'!B984),'Store Mapping'!$A$2:$A$19,0))</f>
        <v>Downtown</v>
      </c>
      <c r="D984" s="0" t="str">
        <f aca="false">'Raw Store Exports'!D984</f>
        <v>APP-101</v>
      </c>
      <c r="E984" s="0" t="str">
        <f aca="false">INDEX('Product Master'!$B$2:$B$21,MATCH(D984,'Product Master'!$A$2:$A$21,0))</f>
        <v>Classic Denim Jacket</v>
      </c>
      <c r="F984" s="0" t="str">
        <f aca="false">INDEX('Product Master'!$C$2:$C$21,MATCH(D984,'Product Master'!$A$2:$A$21,0))</f>
        <v>Apparel</v>
      </c>
      <c r="G984" s="15" t="n">
        <f aca="false">VALUE(TRIM('Raw Store Exports'!E984&amp;""))</f>
        <v>1</v>
      </c>
      <c r="H984" s="18" t="n">
        <f aca="false">INDEX('Product Master'!$D$2:$D$21,MATCH(D984,'Product Master'!$A$2:$A$21,0))</f>
        <v>68</v>
      </c>
      <c r="I984" s="14" t="n">
        <f aca="false">G984*H984</f>
        <v>68</v>
      </c>
      <c r="J984" s="0" t="str">
        <f aca="false">IF(COUNTIF($A$2:A984,A984)&gt;1,"Duplicate","")</f>
        <v/>
      </c>
    </row>
    <row r="985" customFormat="false" ht="15" hidden="false" customHeight="false" outlineLevel="0" collapsed="false">
      <c r="A985" s="0" t="str">
        <f aca="false">'Raw Store Exports'!A985</f>
        <v>TXN00709</v>
      </c>
      <c r="B985" s="17" t="n">
        <f aca="false">'Raw Store Exports'!C985</f>
        <v>46058</v>
      </c>
      <c r="C985" s="0" t="str">
        <f aca="false">INDEX('Store Mapping'!$C$2:$C$19,MATCH(TRIM('Raw Store Exports'!B985),'Store Mapping'!$A$2:$A$19,0))</f>
        <v>Riverside</v>
      </c>
      <c r="D985" s="0" t="str">
        <f aca="false">'Raw Store Exports'!D985</f>
        <v>APP-101</v>
      </c>
      <c r="E985" s="0" t="str">
        <f aca="false">INDEX('Product Master'!$B$2:$B$21,MATCH(D985,'Product Master'!$A$2:$A$21,0))</f>
        <v>Classic Denim Jacket</v>
      </c>
      <c r="F985" s="0" t="str">
        <f aca="false">INDEX('Product Master'!$C$2:$C$21,MATCH(D985,'Product Master'!$A$2:$A$21,0))</f>
        <v>Apparel</v>
      </c>
      <c r="G985" s="15" t="n">
        <f aca="false">VALUE(TRIM('Raw Store Exports'!E985&amp;""))</f>
        <v>5</v>
      </c>
      <c r="H985" s="18" t="n">
        <f aca="false">INDEX('Product Master'!$D$2:$D$21,MATCH(D985,'Product Master'!$A$2:$A$21,0))</f>
        <v>68</v>
      </c>
      <c r="I985" s="14" t="n">
        <f aca="false">G985*H985</f>
        <v>340</v>
      </c>
      <c r="J985" s="0" t="str">
        <f aca="false">IF(COUNTIF($A$2:A985,A985)&gt;1,"Duplicate","")</f>
        <v/>
      </c>
    </row>
    <row r="986" customFormat="false" ht="15" hidden="false" customHeight="false" outlineLevel="0" collapsed="false">
      <c r="A986" s="0" t="str">
        <f aca="false">'Raw Store Exports'!A986</f>
        <v>TXN01024</v>
      </c>
      <c r="B986" s="17" t="n">
        <f aca="false">'Raw Store Exports'!C986</f>
        <v>46072</v>
      </c>
      <c r="C986" s="0" t="str">
        <f aca="false">INDEX('Store Mapping'!$C$2:$C$19,MATCH(TRIM('Raw Store Exports'!B986),'Store Mapping'!$A$2:$A$19,0))</f>
        <v>Riverside</v>
      </c>
      <c r="D986" s="0" t="str">
        <f aca="false">'Raw Store Exports'!D986</f>
        <v>ACC-304</v>
      </c>
      <c r="E986" s="0" t="str">
        <f aca="false">INDEX('Product Master'!$B$2:$B$21,MATCH(D986,'Product Master'!$A$2:$A$21,0))</f>
        <v>Wool Beanie</v>
      </c>
      <c r="F986" s="0" t="str">
        <f aca="false">INDEX('Product Master'!$C$2:$C$21,MATCH(D986,'Product Master'!$A$2:$A$21,0))</f>
        <v>Accessories</v>
      </c>
      <c r="G986" s="15" t="n">
        <f aca="false">VALUE(TRIM('Raw Store Exports'!E986&amp;""))</f>
        <v>5</v>
      </c>
      <c r="H986" s="18" t="n">
        <f aca="false">INDEX('Product Master'!$D$2:$D$21,MATCH(D986,'Product Master'!$A$2:$A$21,0))</f>
        <v>16</v>
      </c>
      <c r="I986" s="14" t="n">
        <f aca="false">G986*H986</f>
        <v>80</v>
      </c>
      <c r="J986" s="0" t="str">
        <f aca="false">IF(COUNTIF($A$2:A986,A986)&gt;1,"Duplicate","")</f>
        <v/>
      </c>
    </row>
    <row r="987" customFormat="false" ht="15" hidden="false" customHeight="false" outlineLevel="0" collapsed="false">
      <c r="A987" s="0" t="str">
        <f aca="false">'Raw Store Exports'!A987</f>
        <v>TXN00300</v>
      </c>
      <c r="B987" s="17" t="n">
        <f aca="false">'Raw Store Exports'!C987</f>
        <v>46042</v>
      </c>
      <c r="C987" s="0" t="str">
        <f aca="false">INDEX('Store Mapping'!$C$2:$C$19,MATCH(TRIM('Raw Store Exports'!B987),'Store Mapping'!$A$2:$A$19,0))</f>
        <v>Downtown</v>
      </c>
      <c r="D987" s="0" t="str">
        <f aca="false">'Raw Store Exports'!D987</f>
        <v>ELE-403</v>
      </c>
      <c r="E987" s="0" t="str">
        <f aca="false">INDEX('Product Master'!$B$2:$B$21,MATCH(D987,'Product Master'!$A$2:$A$21,0))</f>
        <v>Fitness Tracker Band</v>
      </c>
      <c r="F987" s="0" t="str">
        <f aca="false">INDEX('Product Master'!$C$2:$C$21,MATCH(D987,'Product Master'!$A$2:$A$21,0))</f>
        <v>Electronics</v>
      </c>
      <c r="G987" s="15" t="n">
        <f aca="false">VALUE(TRIM('Raw Store Exports'!E987&amp;""))</f>
        <v>6</v>
      </c>
      <c r="H987" s="18" t="n">
        <f aca="false">INDEX('Product Master'!$D$2:$D$21,MATCH(D987,'Product Master'!$A$2:$A$21,0))</f>
        <v>99</v>
      </c>
      <c r="I987" s="14" t="n">
        <f aca="false">G987*H987</f>
        <v>594</v>
      </c>
      <c r="J987" s="0" t="str">
        <f aca="false">IF(COUNTIF($A$2:A987,A987)&gt;1,"Duplicate","")</f>
        <v/>
      </c>
    </row>
    <row r="988" customFormat="false" ht="15" hidden="false" customHeight="false" outlineLevel="0" collapsed="false">
      <c r="A988" s="0" t="str">
        <f aca="false">'Raw Store Exports'!A988</f>
        <v>TXN00082</v>
      </c>
      <c r="B988" s="17" t="n">
        <f aca="false">'Raw Store Exports'!C988</f>
        <v>46033</v>
      </c>
      <c r="C988" s="0" t="str">
        <f aca="false">INDEX('Store Mapping'!$C$2:$C$19,MATCH(TRIM('Raw Store Exports'!B988),'Store Mapping'!$A$2:$A$19,0))</f>
        <v>Northpark</v>
      </c>
      <c r="D988" s="0" t="str">
        <f aca="false">'Raw Store Exports'!D988</f>
        <v>FTW-203</v>
      </c>
      <c r="E988" s="0" t="str">
        <f aca="false">INDEX('Product Master'!$B$2:$B$21,MATCH(D988,'Product Master'!$A$2:$A$21,0))</f>
        <v>Leather Ankle Boot</v>
      </c>
      <c r="F988" s="0" t="str">
        <f aca="false">INDEX('Product Master'!$C$2:$C$21,MATCH(D988,'Product Master'!$A$2:$A$21,0))</f>
        <v>Footwear</v>
      </c>
      <c r="G988" s="15" t="n">
        <f aca="false">VALUE(TRIM('Raw Store Exports'!E988&amp;""))</f>
        <v>4</v>
      </c>
      <c r="H988" s="18" t="n">
        <f aca="false">INDEX('Product Master'!$D$2:$D$21,MATCH(D988,'Product Master'!$A$2:$A$21,0))</f>
        <v>120</v>
      </c>
      <c r="I988" s="14" t="n">
        <f aca="false">G988*H988</f>
        <v>480</v>
      </c>
      <c r="J988" s="0" t="str">
        <f aca="false">IF(COUNTIF($A$2:A988,A988)&gt;1,"Duplicate","")</f>
        <v/>
      </c>
    </row>
    <row r="989" customFormat="false" ht="15" hidden="false" customHeight="false" outlineLevel="0" collapsed="false">
      <c r="A989" s="0" t="str">
        <f aca="false">'Raw Store Exports'!A989</f>
        <v>TXN00058</v>
      </c>
      <c r="B989" s="17" t="n">
        <f aca="false">'Raw Store Exports'!C989</f>
        <v>46032</v>
      </c>
      <c r="C989" s="0" t="str">
        <f aca="false">INDEX('Store Mapping'!$C$2:$C$19,MATCH(TRIM('Raw Store Exports'!B989),'Store Mapping'!$A$2:$A$19,0))</f>
        <v>Eastgate</v>
      </c>
      <c r="D989" s="0" t="str">
        <f aca="false">'Raw Store Exports'!D989</f>
        <v>ELE-403</v>
      </c>
      <c r="E989" s="0" t="str">
        <f aca="false">INDEX('Product Master'!$B$2:$B$21,MATCH(D989,'Product Master'!$A$2:$A$21,0))</f>
        <v>Fitness Tracker Band</v>
      </c>
      <c r="F989" s="0" t="str">
        <f aca="false">INDEX('Product Master'!$C$2:$C$21,MATCH(D989,'Product Master'!$A$2:$A$21,0))</f>
        <v>Electronics</v>
      </c>
      <c r="G989" s="15" t="n">
        <f aca="false">VALUE(TRIM('Raw Store Exports'!E989&amp;""))</f>
        <v>3</v>
      </c>
      <c r="H989" s="18" t="n">
        <f aca="false">INDEX('Product Master'!$D$2:$D$21,MATCH(D989,'Product Master'!$A$2:$A$21,0))</f>
        <v>99</v>
      </c>
      <c r="I989" s="14" t="n">
        <f aca="false">G989*H989</f>
        <v>297</v>
      </c>
      <c r="J989" s="0" t="str">
        <f aca="false">IF(COUNTIF($A$2:A989,A989)&gt;1,"Duplicate","")</f>
        <v/>
      </c>
    </row>
    <row r="990" customFormat="false" ht="15" hidden="false" customHeight="false" outlineLevel="0" collapsed="false">
      <c r="A990" s="0" t="str">
        <f aca="false">'Raw Store Exports'!A990</f>
        <v>TXN00382</v>
      </c>
      <c r="B990" s="17" t="n">
        <f aca="false">'Raw Store Exports'!C990</f>
        <v>46042</v>
      </c>
      <c r="C990" s="0" t="str">
        <f aca="false">INDEX('Store Mapping'!$C$2:$C$19,MATCH(TRIM('Raw Store Exports'!B990),'Store Mapping'!$A$2:$A$19,0))</f>
        <v>Riverside</v>
      </c>
      <c r="D990" s="0" t="str">
        <f aca="false">'Raw Store Exports'!D990</f>
        <v>ELE-404</v>
      </c>
      <c r="E990" s="0" t="str">
        <f aca="false">INDEX('Product Master'!$B$2:$B$21,MATCH(D990,'Product Master'!$A$2:$A$21,0))</f>
        <v>Phone Charging Cable</v>
      </c>
      <c r="F990" s="0" t="str">
        <f aca="false">INDEX('Product Master'!$C$2:$C$21,MATCH(D990,'Product Master'!$A$2:$A$21,0))</f>
        <v>Electronics</v>
      </c>
      <c r="G990" s="15" t="n">
        <f aca="false">VALUE(TRIM('Raw Store Exports'!E990&amp;""))</f>
        <v>4</v>
      </c>
      <c r="H990" s="18" t="n">
        <f aca="false">INDEX('Product Master'!$D$2:$D$21,MATCH(D990,'Product Master'!$A$2:$A$21,0))</f>
        <v>12</v>
      </c>
      <c r="I990" s="14" t="n">
        <f aca="false">G990*H990</f>
        <v>48</v>
      </c>
      <c r="J990" s="0" t="str">
        <f aca="false">IF(COUNTIF($A$2:A990,A990)&gt;1,"Duplicate","")</f>
        <v/>
      </c>
    </row>
    <row r="991" customFormat="false" ht="15" hidden="false" customHeight="false" outlineLevel="0" collapsed="false">
      <c r="A991" s="0" t="str">
        <f aca="false">'Raw Store Exports'!A991</f>
        <v>TXN00287</v>
      </c>
      <c r="B991" s="17" t="n">
        <f aca="false">'Raw Store Exports'!C991</f>
        <v>46041</v>
      </c>
      <c r="C991" s="0" t="str">
        <f aca="false">INDEX('Store Mapping'!$C$2:$C$19,MATCH(TRIM('Raw Store Exports'!B991),'Store Mapping'!$A$2:$A$19,0))</f>
        <v>Downtown</v>
      </c>
      <c r="D991" s="0" t="str">
        <f aca="false">'Raw Store Exports'!D991</f>
        <v>ACC-304</v>
      </c>
      <c r="E991" s="0" t="str">
        <f aca="false">INDEX('Product Master'!$B$2:$B$21,MATCH(D991,'Product Master'!$A$2:$A$21,0))</f>
        <v>Wool Beanie</v>
      </c>
      <c r="F991" s="0" t="str">
        <f aca="false">INDEX('Product Master'!$C$2:$C$21,MATCH(D991,'Product Master'!$A$2:$A$21,0))</f>
        <v>Accessories</v>
      </c>
      <c r="G991" s="15" t="n">
        <f aca="false">VALUE(TRIM('Raw Store Exports'!E991&amp;""))</f>
        <v>6</v>
      </c>
      <c r="H991" s="18" t="n">
        <f aca="false">INDEX('Product Master'!$D$2:$D$21,MATCH(D991,'Product Master'!$A$2:$A$21,0))</f>
        <v>16</v>
      </c>
      <c r="I991" s="14" t="n">
        <f aca="false">G991*H991</f>
        <v>96</v>
      </c>
      <c r="J991" s="0" t="str">
        <f aca="false">IF(COUNTIF($A$2:A991,A991)&gt;1,"Duplicate","")</f>
        <v/>
      </c>
    </row>
    <row r="992" customFormat="false" ht="15" hidden="false" customHeight="false" outlineLevel="0" collapsed="false">
      <c r="A992" s="0" t="str">
        <f aca="false">'Raw Store Exports'!A992</f>
        <v>TXN00443</v>
      </c>
      <c r="B992" s="17" t="n">
        <f aca="false">'Raw Store Exports'!C992</f>
        <v>46054</v>
      </c>
      <c r="C992" s="0" t="str">
        <f aca="false">INDEX('Store Mapping'!$C$2:$C$19,MATCH(TRIM('Raw Store Exports'!B992),'Store Mapping'!$A$2:$A$19,0))</f>
        <v>Downtown</v>
      </c>
      <c r="D992" s="0" t="str">
        <f aca="false">'Raw Store Exports'!D992</f>
        <v>FTW-203</v>
      </c>
      <c r="E992" s="0" t="str">
        <f aca="false">INDEX('Product Master'!$B$2:$B$21,MATCH(D992,'Product Master'!$A$2:$A$21,0))</f>
        <v>Leather Ankle Boot</v>
      </c>
      <c r="F992" s="0" t="str">
        <f aca="false">INDEX('Product Master'!$C$2:$C$21,MATCH(D992,'Product Master'!$A$2:$A$21,0))</f>
        <v>Footwear</v>
      </c>
      <c r="G992" s="15" t="n">
        <f aca="false">VALUE(TRIM('Raw Store Exports'!E992&amp;""))</f>
        <v>2</v>
      </c>
      <c r="H992" s="18" t="n">
        <f aca="false">INDEX('Product Master'!$D$2:$D$21,MATCH(D992,'Product Master'!$A$2:$A$21,0))</f>
        <v>120</v>
      </c>
      <c r="I992" s="14" t="n">
        <f aca="false">G992*H992</f>
        <v>240</v>
      </c>
      <c r="J992" s="0" t="str">
        <f aca="false">IF(COUNTIF($A$2:A992,A992)&gt;1,"Duplicate","")</f>
        <v/>
      </c>
    </row>
    <row r="993" customFormat="false" ht="15" hidden="false" customHeight="false" outlineLevel="0" collapsed="false">
      <c r="A993" s="0" t="str">
        <f aca="false">'Raw Store Exports'!A993</f>
        <v>TXN00151</v>
      </c>
      <c r="B993" s="17" t="n">
        <f aca="false">'Raw Store Exports'!C993</f>
        <v>46034</v>
      </c>
      <c r="C993" s="0" t="str">
        <f aca="false">INDEX('Store Mapping'!$C$2:$C$19,MATCH(TRIM('Raw Store Exports'!B993),'Store Mapping'!$A$2:$A$19,0))</f>
        <v>Downtown</v>
      </c>
      <c r="D993" s="0" t="str">
        <f aca="false">'Raw Store Exports'!D993</f>
        <v>ACC-304</v>
      </c>
      <c r="E993" s="0" t="str">
        <f aca="false">INDEX('Product Master'!$B$2:$B$21,MATCH(D993,'Product Master'!$A$2:$A$21,0))</f>
        <v>Wool Beanie</v>
      </c>
      <c r="F993" s="0" t="str">
        <f aca="false">INDEX('Product Master'!$C$2:$C$21,MATCH(D993,'Product Master'!$A$2:$A$21,0))</f>
        <v>Accessories</v>
      </c>
      <c r="G993" s="15" t="n">
        <f aca="false">VALUE(TRIM('Raw Store Exports'!E993&amp;""))</f>
        <v>2</v>
      </c>
      <c r="H993" s="18" t="n">
        <f aca="false">INDEX('Product Master'!$D$2:$D$21,MATCH(D993,'Product Master'!$A$2:$A$21,0))</f>
        <v>16</v>
      </c>
      <c r="I993" s="14" t="n">
        <f aca="false">G993*H993</f>
        <v>32</v>
      </c>
      <c r="J993" s="0" t="str">
        <f aca="false">IF(COUNTIF($A$2:A993,A993)&gt;1,"Duplicate","")</f>
        <v/>
      </c>
    </row>
    <row r="994" customFormat="false" ht="15" hidden="false" customHeight="false" outlineLevel="0" collapsed="false">
      <c r="A994" s="0" t="str">
        <f aca="false">'Raw Store Exports'!A994</f>
        <v>TXN01070</v>
      </c>
      <c r="B994" s="17" t="n">
        <f aca="false">'Raw Store Exports'!C994</f>
        <v>46079</v>
      </c>
      <c r="C994" s="0" t="str">
        <f aca="false">INDEX('Store Mapping'!$C$2:$C$19,MATCH(TRIM('Raw Store Exports'!B994),'Store Mapping'!$A$2:$A$19,0))</f>
        <v>Downtown</v>
      </c>
      <c r="D994" s="0" t="str">
        <f aca="false">'Raw Store Exports'!D994</f>
        <v>ELE-401</v>
      </c>
      <c r="E994" s="0" t="str">
        <f aca="false">INDEX('Product Master'!$B$2:$B$21,MATCH(D994,'Product Master'!$A$2:$A$21,0))</f>
        <v>Wireless Earbuds</v>
      </c>
      <c r="F994" s="0" t="str">
        <f aca="false">INDEX('Product Master'!$C$2:$C$21,MATCH(D994,'Product Master'!$A$2:$A$21,0))</f>
        <v>Electronics</v>
      </c>
      <c r="G994" s="15" t="n">
        <f aca="false">VALUE(TRIM('Raw Store Exports'!E994&amp;""))</f>
        <v>5</v>
      </c>
      <c r="H994" s="18" t="n">
        <f aca="false">INDEX('Product Master'!$D$2:$D$21,MATCH(D994,'Product Master'!$A$2:$A$21,0))</f>
        <v>79</v>
      </c>
      <c r="I994" s="14" t="n">
        <f aca="false">G994*H994</f>
        <v>395</v>
      </c>
      <c r="J994" s="0" t="str">
        <f aca="false">IF(COUNTIF($A$2:A994,A994)&gt;1,"Duplicate","")</f>
        <v/>
      </c>
    </row>
    <row r="995" customFormat="false" ht="15" hidden="false" customHeight="false" outlineLevel="0" collapsed="false">
      <c r="A995" s="0" t="str">
        <f aca="false">'Raw Store Exports'!A995</f>
        <v>TXN00793</v>
      </c>
      <c r="B995" s="17" t="n">
        <f aca="false">'Raw Store Exports'!C995</f>
        <v>46067</v>
      </c>
      <c r="C995" s="0" t="str">
        <f aca="false">INDEX('Store Mapping'!$C$2:$C$19,MATCH(TRIM('Raw Store Exports'!B995),'Store Mapping'!$A$2:$A$19,0))</f>
        <v>Westside Mall</v>
      </c>
      <c r="D995" s="0" t="str">
        <f aca="false">'Raw Store Exports'!D995</f>
        <v>ACC-303</v>
      </c>
      <c r="E995" s="0" t="str">
        <f aca="false">INDEX('Product Master'!$B$2:$B$21,MATCH(D995,'Product Master'!$A$2:$A$21,0))</f>
        <v>Canvas Tote Bag</v>
      </c>
      <c r="F995" s="0" t="str">
        <f aca="false">INDEX('Product Master'!$C$2:$C$21,MATCH(D995,'Product Master'!$A$2:$A$21,0))</f>
        <v>Accessories</v>
      </c>
      <c r="G995" s="15" t="n">
        <f aca="false">VALUE(TRIM('Raw Store Exports'!E995&amp;""))</f>
        <v>1</v>
      </c>
      <c r="H995" s="18" t="n">
        <f aca="false">INDEX('Product Master'!$D$2:$D$21,MATCH(D995,'Product Master'!$A$2:$A$21,0))</f>
        <v>24</v>
      </c>
      <c r="I995" s="14" t="n">
        <f aca="false">G995*H995</f>
        <v>24</v>
      </c>
      <c r="J995" s="0" t="str">
        <f aca="false">IF(COUNTIF($A$2:A995,A995)&gt;1,"Duplicate","")</f>
        <v/>
      </c>
    </row>
    <row r="996" customFormat="false" ht="15" hidden="false" customHeight="false" outlineLevel="0" collapsed="false">
      <c r="A996" s="0" t="str">
        <f aca="false">'Raw Store Exports'!A996</f>
        <v>TXN00834</v>
      </c>
      <c r="B996" s="17" t="n">
        <f aca="false">'Raw Store Exports'!C996</f>
        <v>46065</v>
      </c>
      <c r="C996" s="0" t="str">
        <f aca="false">INDEX('Store Mapping'!$C$2:$C$19,MATCH(TRIM('Raw Store Exports'!B996),'Store Mapping'!$A$2:$A$19,0))</f>
        <v>Northpark</v>
      </c>
      <c r="D996" s="0" t="str">
        <f aca="false">'Raw Store Exports'!D996</f>
        <v>FTW-203</v>
      </c>
      <c r="E996" s="0" t="str">
        <f aca="false">INDEX('Product Master'!$B$2:$B$21,MATCH(D996,'Product Master'!$A$2:$A$21,0))</f>
        <v>Leather Ankle Boot</v>
      </c>
      <c r="F996" s="0" t="str">
        <f aca="false">INDEX('Product Master'!$C$2:$C$21,MATCH(D996,'Product Master'!$A$2:$A$21,0))</f>
        <v>Footwear</v>
      </c>
      <c r="G996" s="15" t="n">
        <f aca="false">VALUE(TRIM('Raw Store Exports'!E996&amp;""))</f>
        <v>4</v>
      </c>
      <c r="H996" s="18" t="n">
        <f aca="false">INDEX('Product Master'!$D$2:$D$21,MATCH(D996,'Product Master'!$A$2:$A$21,0))</f>
        <v>120</v>
      </c>
      <c r="I996" s="14" t="n">
        <f aca="false">G996*H996</f>
        <v>480</v>
      </c>
      <c r="J996" s="0" t="str">
        <f aca="false">IF(COUNTIF($A$2:A996,A996)&gt;1,"Duplicate","")</f>
        <v/>
      </c>
    </row>
    <row r="997" customFormat="false" ht="15" hidden="false" customHeight="false" outlineLevel="0" collapsed="false">
      <c r="A997" s="0" t="str">
        <f aca="false">'Raw Store Exports'!A997</f>
        <v>TXN00795</v>
      </c>
      <c r="B997" s="17" t="n">
        <f aca="false">'Raw Store Exports'!C997</f>
        <v>46067</v>
      </c>
      <c r="C997" s="0" t="str">
        <f aca="false">INDEX('Store Mapping'!$C$2:$C$19,MATCH(TRIM('Raw Store Exports'!B997),'Store Mapping'!$A$2:$A$19,0))</f>
        <v>Westside Mall</v>
      </c>
      <c r="D997" s="0" t="str">
        <f aca="false">'Raw Store Exports'!D997</f>
        <v>HOM-502</v>
      </c>
      <c r="E997" s="0" t="str">
        <f aca="false">INDEX('Product Master'!$B$2:$B$21,MATCH(D997,'Product Master'!$A$2:$A$21,0))</f>
        <v>Scented Candle</v>
      </c>
      <c r="F997" s="0" t="str">
        <f aca="false">INDEX('Product Master'!$C$2:$C$21,MATCH(D997,'Product Master'!$A$2:$A$21,0))</f>
        <v>Home Goods</v>
      </c>
      <c r="G997" s="15" t="n">
        <f aca="false">VALUE(TRIM('Raw Store Exports'!E997&amp;""))</f>
        <v>5</v>
      </c>
      <c r="H997" s="18" t="n">
        <f aca="false">INDEX('Product Master'!$D$2:$D$21,MATCH(D997,'Product Master'!$A$2:$A$21,0))</f>
        <v>15</v>
      </c>
      <c r="I997" s="14" t="n">
        <f aca="false">G997*H997</f>
        <v>75</v>
      </c>
      <c r="J997" s="0" t="str">
        <f aca="false">IF(COUNTIF($A$2:A997,A997)&gt;1,"Duplicate","")</f>
        <v/>
      </c>
    </row>
    <row r="998" customFormat="false" ht="15" hidden="false" customHeight="false" outlineLevel="0" collapsed="false">
      <c r="A998" s="0" t="str">
        <f aca="false">'Raw Store Exports'!A998</f>
        <v>TXN00636</v>
      </c>
      <c r="B998" s="17" t="n">
        <f aca="false">'Raw Store Exports'!C998</f>
        <v>46060</v>
      </c>
      <c r="C998" s="0" t="str">
        <f aca="false">INDEX('Store Mapping'!$C$2:$C$19,MATCH(TRIM('Raw Store Exports'!B998),'Store Mapping'!$A$2:$A$19,0))</f>
        <v>Westside Mall</v>
      </c>
      <c r="D998" s="0" t="str">
        <f aca="false">'Raw Store Exports'!D998</f>
        <v>ELE-402</v>
      </c>
      <c r="E998" s="0" t="str">
        <f aca="false">INDEX('Product Master'!$B$2:$B$21,MATCH(D998,'Product Master'!$A$2:$A$21,0))</f>
        <v>Bluetooth Speaker</v>
      </c>
      <c r="F998" s="0" t="str">
        <f aca="false">INDEX('Product Master'!$C$2:$C$21,MATCH(D998,'Product Master'!$A$2:$A$21,0))</f>
        <v>Electronics</v>
      </c>
      <c r="G998" s="15" t="n">
        <f aca="false">VALUE(TRIM('Raw Store Exports'!E998&amp;""))</f>
        <v>3</v>
      </c>
      <c r="H998" s="18" t="n">
        <f aca="false">INDEX('Product Master'!$D$2:$D$21,MATCH(D998,'Product Master'!$A$2:$A$21,0))</f>
        <v>59</v>
      </c>
      <c r="I998" s="14" t="n">
        <f aca="false">G998*H998</f>
        <v>177</v>
      </c>
      <c r="J998" s="0" t="str">
        <f aca="false">IF(COUNTIF($A$2:A998,A998)&gt;1,"Duplicate","")</f>
        <v/>
      </c>
    </row>
    <row r="999" customFormat="false" ht="15" hidden="false" customHeight="false" outlineLevel="0" collapsed="false">
      <c r="A999" s="0" t="str">
        <f aca="false">'Raw Store Exports'!A999</f>
        <v>TXN00414</v>
      </c>
      <c r="B999" s="17" t="n">
        <f aca="false">'Raw Store Exports'!C999</f>
        <v>46041</v>
      </c>
      <c r="C999" s="0" t="str">
        <f aca="false">INDEX('Store Mapping'!$C$2:$C$19,MATCH(TRIM('Raw Store Exports'!B999),'Store Mapping'!$A$2:$A$19,0))</f>
        <v>Airport Plaza</v>
      </c>
      <c r="D999" s="0" t="str">
        <f aca="false">'Raw Store Exports'!D999</f>
        <v>HOM-502</v>
      </c>
      <c r="E999" s="0" t="str">
        <f aca="false">INDEX('Product Master'!$B$2:$B$21,MATCH(D999,'Product Master'!$A$2:$A$21,0))</f>
        <v>Scented Candle</v>
      </c>
      <c r="F999" s="0" t="str">
        <f aca="false">INDEX('Product Master'!$C$2:$C$21,MATCH(D999,'Product Master'!$A$2:$A$21,0))</f>
        <v>Home Goods</v>
      </c>
      <c r="G999" s="15" t="n">
        <f aca="false">VALUE(TRIM('Raw Store Exports'!E999&amp;""))</f>
        <v>6</v>
      </c>
      <c r="H999" s="18" t="n">
        <f aca="false">INDEX('Product Master'!$D$2:$D$21,MATCH(D999,'Product Master'!$A$2:$A$21,0))</f>
        <v>15</v>
      </c>
      <c r="I999" s="14" t="n">
        <f aca="false">G999*H999</f>
        <v>90</v>
      </c>
      <c r="J999" s="0" t="str">
        <f aca="false">IF(COUNTIF($A$2:A999,A999)&gt;1,"Duplicate","")</f>
        <v>Duplicate</v>
      </c>
    </row>
    <row r="1000" customFormat="false" ht="15" hidden="false" customHeight="false" outlineLevel="0" collapsed="false">
      <c r="A1000" s="0" t="str">
        <f aca="false">'Raw Store Exports'!A1000</f>
        <v>TXN00472</v>
      </c>
      <c r="B1000" s="17" t="n">
        <f aca="false">'Raw Store Exports'!C1000</f>
        <v>46049</v>
      </c>
      <c r="C1000" s="0" t="str">
        <f aca="false">INDEX('Store Mapping'!$C$2:$C$19,MATCH(TRIM('Raw Store Exports'!B1000),'Store Mapping'!$A$2:$A$19,0))</f>
        <v>Westside Mall</v>
      </c>
      <c r="D1000" s="0" t="str">
        <f aca="false">'Raw Store Exports'!D1000</f>
        <v>FTW-202</v>
      </c>
      <c r="E1000" s="0" t="str">
        <f aca="false">INDEX('Product Master'!$B$2:$B$21,MATCH(D1000,'Product Master'!$A$2:$A$21,0))</f>
        <v>Canvas Low-Top</v>
      </c>
      <c r="F1000" s="0" t="str">
        <f aca="false">INDEX('Product Master'!$C$2:$C$21,MATCH(D1000,'Product Master'!$A$2:$A$21,0))</f>
        <v>Footwear</v>
      </c>
      <c r="G1000" s="15" t="n">
        <f aca="false">VALUE(TRIM('Raw Store Exports'!E1000&amp;""))</f>
        <v>5</v>
      </c>
      <c r="H1000" s="18" t="n">
        <f aca="false">INDEX('Product Master'!$D$2:$D$21,MATCH(D1000,'Product Master'!$A$2:$A$21,0))</f>
        <v>55</v>
      </c>
      <c r="I1000" s="14" t="n">
        <f aca="false">G1000*H1000</f>
        <v>275</v>
      </c>
      <c r="J1000" s="0" t="str">
        <f aca="false">IF(COUNTIF($A$2:A1000,A1000)&gt;1,"Duplicate","")</f>
        <v/>
      </c>
    </row>
    <row r="1001" customFormat="false" ht="15" hidden="false" customHeight="false" outlineLevel="0" collapsed="false">
      <c r="A1001" s="0" t="str">
        <f aca="false">'Raw Store Exports'!A1001</f>
        <v>TXN00518</v>
      </c>
      <c r="B1001" s="17" t="n">
        <f aca="false">'Raw Store Exports'!C1001</f>
        <v>46049</v>
      </c>
      <c r="C1001" s="0" t="str">
        <f aca="false">INDEX('Store Mapping'!$C$2:$C$19,MATCH(TRIM('Raw Store Exports'!B1001),'Store Mapping'!$A$2:$A$19,0))</f>
        <v>Northpark</v>
      </c>
      <c r="D1001" s="0" t="str">
        <f aca="false">'Raw Store Exports'!D1001</f>
        <v>FTW-204</v>
      </c>
      <c r="E1001" s="0" t="str">
        <f aca="false">INDEX('Product Master'!$B$2:$B$21,MATCH(D1001,'Product Master'!$A$2:$A$21,0))</f>
        <v>Slide Sandals</v>
      </c>
      <c r="F1001" s="0" t="str">
        <f aca="false">INDEX('Product Master'!$C$2:$C$21,MATCH(D1001,'Product Master'!$A$2:$A$21,0))</f>
        <v>Footwear</v>
      </c>
      <c r="G1001" s="15" t="n">
        <f aca="false">VALUE(TRIM('Raw Store Exports'!E1001&amp;""))</f>
        <v>1</v>
      </c>
      <c r="H1001" s="18" t="n">
        <f aca="false">INDEX('Product Master'!$D$2:$D$21,MATCH(D1001,'Product Master'!$A$2:$A$21,0))</f>
        <v>25</v>
      </c>
      <c r="I1001" s="14" t="n">
        <f aca="false">G1001*H1001</f>
        <v>25</v>
      </c>
      <c r="J1001" s="0" t="str">
        <f aca="false">IF(COUNTIF($A$2:A1001,A1001)&gt;1,"Duplicate","")</f>
        <v/>
      </c>
    </row>
    <row r="1002" customFormat="false" ht="15" hidden="false" customHeight="false" outlineLevel="0" collapsed="false">
      <c r="A1002" s="0" t="str">
        <f aca="false">'Raw Store Exports'!A1002</f>
        <v>TXN00207</v>
      </c>
      <c r="B1002" s="17" t="n">
        <f aca="false">'Raw Store Exports'!C1002</f>
        <v>46034</v>
      </c>
      <c r="C1002" s="0" t="str">
        <f aca="false">INDEX('Store Mapping'!$C$2:$C$19,MATCH(TRIM('Raw Store Exports'!B1002),'Store Mapping'!$A$2:$A$19,0))</f>
        <v>Northpark</v>
      </c>
      <c r="D1002" s="0" t="str">
        <f aca="false">'Raw Store Exports'!D1002</f>
        <v>APP-102</v>
      </c>
      <c r="E1002" s="0" t="str">
        <f aca="false">INDEX('Product Master'!$B$2:$B$21,MATCH(D1002,'Product Master'!$A$2:$A$21,0))</f>
        <v>Cotton Crew T-Shirt</v>
      </c>
      <c r="F1002" s="0" t="str">
        <f aca="false">INDEX('Product Master'!$C$2:$C$21,MATCH(D1002,'Product Master'!$A$2:$A$21,0))</f>
        <v>Apparel</v>
      </c>
      <c r="G1002" s="15" t="n">
        <f aca="false">VALUE(TRIM('Raw Store Exports'!E1002&amp;""))</f>
        <v>3</v>
      </c>
      <c r="H1002" s="18" t="n">
        <f aca="false">INDEX('Product Master'!$D$2:$D$21,MATCH(D1002,'Product Master'!$A$2:$A$21,0))</f>
        <v>18</v>
      </c>
      <c r="I1002" s="14" t="n">
        <f aca="false">G1002*H1002</f>
        <v>54</v>
      </c>
      <c r="J1002" s="0" t="str">
        <f aca="false">IF(COUNTIF($A$2:A1002,A1002)&gt;1,"Duplicate","")</f>
        <v/>
      </c>
    </row>
    <row r="1003" customFormat="false" ht="15" hidden="false" customHeight="false" outlineLevel="0" collapsed="false">
      <c r="A1003" s="0" t="str">
        <f aca="false">'Raw Store Exports'!A1003</f>
        <v>TXN00929</v>
      </c>
      <c r="B1003" s="17" t="n">
        <f aca="false">'Raw Store Exports'!C1003</f>
        <v>46071</v>
      </c>
      <c r="C1003" s="0" t="str">
        <f aca="false">INDEX('Store Mapping'!$C$2:$C$19,MATCH(TRIM('Raw Store Exports'!B1003),'Store Mapping'!$A$2:$A$19,0))</f>
        <v>Westside Mall</v>
      </c>
      <c r="D1003" s="0" t="str">
        <f aca="false">'Raw Store Exports'!D1003</f>
        <v>HOM-504</v>
      </c>
      <c r="E1003" s="0" t="str">
        <f aca="false">INDEX('Product Master'!$B$2:$B$21,MATCH(D1003,'Product Master'!$A$2:$A$21,0))</f>
        <v>Bamboo Cutting Board</v>
      </c>
      <c r="F1003" s="0" t="str">
        <f aca="false">INDEX('Product Master'!$C$2:$C$21,MATCH(D1003,'Product Master'!$A$2:$A$21,0))</f>
        <v>Home Goods</v>
      </c>
      <c r="G1003" s="15" t="n">
        <f aca="false">VALUE(TRIM('Raw Store Exports'!E1003&amp;""))</f>
        <v>6</v>
      </c>
      <c r="H1003" s="18" t="n">
        <f aca="false">INDEX('Product Master'!$D$2:$D$21,MATCH(D1003,'Product Master'!$A$2:$A$21,0))</f>
        <v>27</v>
      </c>
      <c r="I1003" s="14" t="n">
        <f aca="false">G1003*H1003</f>
        <v>162</v>
      </c>
      <c r="J1003" s="0" t="str">
        <f aca="false">IF(COUNTIF($A$2:A1003,A1003)&gt;1,"Duplicate","")</f>
        <v/>
      </c>
    </row>
    <row r="1004" customFormat="false" ht="15" hidden="false" customHeight="false" outlineLevel="0" collapsed="false">
      <c r="A1004" s="0" t="str">
        <f aca="false">'Raw Store Exports'!A1004</f>
        <v>TXN00594</v>
      </c>
      <c r="B1004" s="17" t="n">
        <f aca="false">'Raw Store Exports'!C1004</f>
        <v>46059</v>
      </c>
      <c r="C1004" s="0" t="str">
        <f aca="false">INDEX('Store Mapping'!$C$2:$C$19,MATCH(TRIM('Raw Store Exports'!B1004),'Store Mapping'!$A$2:$A$19,0))</f>
        <v>Downtown</v>
      </c>
      <c r="D1004" s="0" t="str">
        <f aca="false">'Raw Store Exports'!D1004</f>
        <v>ELE-404</v>
      </c>
      <c r="E1004" s="0" t="str">
        <f aca="false">INDEX('Product Master'!$B$2:$B$21,MATCH(D1004,'Product Master'!$A$2:$A$21,0))</f>
        <v>Phone Charging Cable</v>
      </c>
      <c r="F1004" s="0" t="str">
        <f aca="false">INDEX('Product Master'!$C$2:$C$21,MATCH(D1004,'Product Master'!$A$2:$A$21,0))</f>
        <v>Electronics</v>
      </c>
      <c r="G1004" s="15" t="n">
        <f aca="false">VALUE(TRIM('Raw Store Exports'!E1004&amp;""))</f>
        <v>3</v>
      </c>
      <c r="H1004" s="18" t="n">
        <f aca="false">INDEX('Product Master'!$D$2:$D$21,MATCH(D1004,'Product Master'!$A$2:$A$21,0))</f>
        <v>12</v>
      </c>
      <c r="I1004" s="14" t="n">
        <f aca="false">G1004*H1004</f>
        <v>36</v>
      </c>
      <c r="J1004" s="0" t="str">
        <f aca="false">IF(COUNTIF($A$2:A1004,A1004)&gt;1,"Duplicate","")</f>
        <v/>
      </c>
    </row>
    <row r="1005" customFormat="false" ht="15" hidden="false" customHeight="false" outlineLevel="0" collapsed="false">
      <c r="A1005" s="0" t="str">
        <f aca="false">'Raw Store Exports'!A1005</f>
        <v>TXN00659</v>
      </c>
      <c r="B1005" s="17" t="n">
        <f aca="false">'Raw Store Exports'!C1005</f>
        <v>46058</v>
      </c>
      <c r="C1005" s="0" t="str">
        <f aca="false">INDEX('Store Mapping'!$C$2:$C$19,MATCH(TRIM('Raw Store Exports'!B1005),'Store Mapping'!$A$2:$A$19,0))</f>
        <v>Eastgate</v>
      </c>
      <c r="D1005" s="0" t="str">
        <f aca="false">'Raw Store Exports'!D1005</f>
        <v>ELE-402</v>
      </c>
      <c r="E1005" s="0" t="str">
        <f aca="false">INDEX('Product Master'!$B$2:$B$21,MATCH(D1005,'Product Master'!$A$2:$A$21,0))</f>
        <v>Bluetooth Speaker</v>
      </c>
      <c r="F1005" s="0" t="str">
        <f aca="false">INDEX('Product Master'!$C$2:$C$21,MATCH(D1005,'Product Master'!$A$2:$A$21,0))</f>
        <v>Electronics</v>
      </c>
      <c r="G1005" s="15" t="n">
        <f aca="false">VALUE(TRIM('Raw Store Exports'!E1005&amp;""))</f>
        <v>2</v>
      </c>
      <c r="H1005" s="18" t="n">
        <f aca="false">INDEX('Product Master'!$D$2:$D$21,MATCH(D1005,'Product Master'!$A$2:$A$21,0))</f>
        <v>59</v>
      </c>
      <c r="I1005" s="14" t="n">
        <f aca="false">G1005*H1005</f>
        <v>118</v>
      </c>
      <c r="J1005" s="0" t="str">
        <f aca="false">IF(COUNTIF($A$2:A1005,A1005)&gt;1,"Duplicate","")</f>
        <v/>
      </c>
    </row>
    <row r="1006" customFormat="false" ht="15" hidden="false" customHeight="false" outlineLevel="0" collapsed="false">
      <c r="A1006" s="0" t="str">
        <f aca="false">'Raw Store Exports'!A1006</f>
        <v>TXN00392</v>
      </c>
      <c r="B1006" s="17" t="n">
        <f aca="false">'Raw Store Exports'!C1006</f>
        <v>46046</v>
      </c>
      <c r="C1006" s="0" t="str">
        <f aca="false">INDEX('Store Mapping'!$C$2:$C$19,MATCH(TRIM('Raw Store Exports'!B1006),'Store Mapping'!$A$2:$A$19,0))</f>
        <v>Riverside</v>
      </c>
      <c r="D1006" s="0" t="str">
        <f aca="false">'Raw Store Exports'!D1006</f>
        <v>FTW-202</v>
      </c>
      <c r="E1006" s="0" t="str">
        <f aca="false">INDEX('Product Master'!$B$2:$B$21,MATCH(D1006,'Product Master'!$A$2:$A$21,0))</f>
        <v>Canvas Low-Top</v>
      </c>
      <c r="F1006" s="0" t="str">
        <f aca="false">INDEX('Product Master'!$C$2:$C$21,MATCH(D1006,'Product Master'!$A$2:$A$21,0))</f>
        <v>Footwear</v>
      </c>
      <c r="G1006" s="15" t="n">
        <f aca="false">VALUE(TRIM('Raw Store Exports'!E1006&amp;""))</f>
        <v>5</v>
      </c>
      <c r="H1006" s="18" t="n">
        <f aca="false">INDEX('Product Master'!$D$2:$D$21,MATCH(D1006,'Product Master'!$A$2:$A$21,0))</f>
        <v>55</v>
      </c>
      <c r="I1006" s="14" t="n">
        <f aca="false">G1006*H1006</f>
        <v>275</v>
      </c>
      <c r="J1006" s="0" t="str">
        <f aca="false">IF(COUNTIF($A$2:A1006,A1006)&gt;1,"Duplicate","")</f>
        <v/>
      </c>
    </row>
    <row r="1007" customFormat="false" ht="15" hidden="false" customHeight="false" outlineLevel="0" collapsed="false">
      <c r="A1007" s="0" t="str">
        <f aca="false">'Raw Store Exports'!A1007</f>
        <v>TXN01044</v>
      </c>
      <c r="B1007" s="17" t="n">
        <f aca="false">'Raw Store Exports'!C1007</f>
        <v>46073</v>
      </c>
      <c r="C1007" s="0" t="str">
        <f aca="false">INDEX('Store Mapping'!$C$2:$C$19,MATCH(TRIM('Raw Store Exports'!B1007),'Store Mapping'!$A$2:$A$19,0))</f>
        <v>Airport Plaza</v>
      </c>
      <c r="D1007" s="0" t="str">
        <f aca="false">'Raw Store Exports'!D1007</f>
        <v>HOM-502</v>
      </c>
      <c r="E1007" s="0" t="str">
        <f aca="false">INDEX('Product Master'!$B$2:$B$21,MATCH(D1007,'Product Master'!$A$2:$A$21,0))</f>
        <v>Scented Candle</v>
      </c>
      <c r="F1007" s="0" t="str">
        <f aca="false">INDEX('Product Master'!$C$2:$C$21,MATCH(D1007,'Product Master'!$A$2:$A$21,0))</f>
        <v>Home Goods</v>
      </c>
      <c r="G1007" s="15" t="n">
        <f aca="false">VALUE(TRIM('Raw Store Exports'!E1007&amp;""))</f>
        <v>6</v>
      </c>
      <c r="H1007" s="18" t="n">
        <f aca="false">INDEX('Product Master'!$D$2:$D$21,MATCH(D1007,'Product Master'!$A$2:$A$21,0))</f>
        <v>15</v>
      </c>
      <c r="I1007" s="14" t="n">
        <f aca="false">G1007*H1007</f>
        <v>90</v>
      </c>
      <c r="J1007" s="0" t="str">
        <f aca="false">IF(COUNTIF($A$2:A1007,A1007)&gt;1,"Duplicate","")</f>
        <v/>
      </c>
    </row>
    <row r="1008" customFormat="false" ht="15" hidden="false" customHeight="false" outlineLevel="0" collapsed="false">
      <c r="A1008" s="0" t="str">
        <f aca="false">'Raw Store Exports'!A1008</f>
        <v>TXN00704</v>
      </c>
      <c r="B1008" s="17" t="n">
        <f aca="false">'Raw Store Exports'!C1008</f>
        <v>46055</v>
      </c>
      <c r="C1008" s="0" t="str">
        <f aca="false">INDEX('Store Mapping'!$C$2:$C$19,MATCH(TRIM('Raw Store Exports'!B1008),'Store Mapping'!$A$2:$A$19,0))</f>
        <v>Riverside</v>
      </c>
      <c r="D1008" s="0" t="str">
        <f aca="false">'Raw Store Exports'!D1008</f>
        <v>APP-102</v>
      </c>
      <c r="E1008" s="0" t="str">
        <f aca="false">INDEX('Product Master'!$B$2:$B$21,MATCH(D1008,'Product Master'!$A$2:$A$21,0))</f>
        <v>Cotton Crew T-Shirt</v>
      </c>
      <c r="F1008" s="0" t="str">
        <f aca="false">INDEX('Product Master'!$C$2:$C$21,MATCH(D1008,'Product Master'!$A$2:$A$21,0))</f>
        <v>Apparel</v>
      </c>
      <c r="G1008" s="15" t="n">
        <f aca="false">VALUE(TRIM('Raw Store Exports'!E1008&amp;""))</f>
        <v>3</v>
      </c>
      <c r="H1008" s="18" t="n">
        <f aca="false">INDEX('Product Master'!$D$2:$D$21,MATCH(D1008,'Product Master'!$A$2:$A$21,0))</f>
        <v>18</v>
      </c>
      <c r="I1008" s="14" t="n">
        <f aca="false">G1008*H1008</f>
        <v>54</v>
      </c>
      <c r="J1008" s="0" t="str">
        <f aca="false">IF(COUNTIF($A$2:A1008,A1008)&gt;1,"Duplicate","")</f>
        <v/>
      </c>
    </row>
    <row r="1009" customFormat="false" ht="15" hidden="false" customHeight="false" outlineLevel="0" collapsed="false">
      <c r="A1009" s="0" t="str">
        <f aca="false">'Raw Store Exports'!A1009</f>
        <v>TXN00963</v>
      </c>
      <c r="B1009" s="17" t="n">
        <f aca="false">'Raw Store Exports'!C1009</f>
        <v>46071</v>
      </c>
      <c r="C1009" s="0" t="str">
        <f aca="false">INDEX('Store Mapping'!$C$2:$C$19,MATCH(TRIM('Raw Store Exports'!B1009),'Store Mapping'!$A$2:$A$19,0))</f>
        <v>Eastgate</v>
      </c>
      <c r="D1009" s="0" t="str">
        <f aca="false">'Raw Store Exports'!D1009</f>
        <v>HOM-502</v>
      </c>
      <c r="E1009" s="0" t="str">
        <f aca="false">INDEX('Product Master'!$B$2:$B$21,MATCH(D1009,'Product Master'!$A$2:$A$21,0))</f>
        <v>Scented Candle</v>
      </c>
      <c r="F1009" s="0" t="str">
        <f aca="false">INDEX('Product Master'!$C$2:$C$21,MATCH(D1009,'Product Master'!$A$2:$A$21,0))</f>
        <v>Home Goods</v>
      </c>
      <c r="G1009" s="15" t="n">
        <f aca="false">VALUE(TRIM('Raw Store Exports'!E1009&amp;""))</f>
        <v>3</v>
      </c>
      <c r="H1009" s="18" t="n">
        <f aca="false">INDEX('Product Master'!$D$2:$D$21,MATCH(D1009,'Product Master'!$A$2:$A$21,0))</f>
        <v>15</v>
      </c>
      <c r="I1009" s="14" t="n">
        <f aca="false">G1009*H1009</f>
        <v>45</v>
      </c>
      <c r="J1009" s="0" t="str">
        <f aca="false">IF(COUNTIF($A$2:A1009,A1009)&gt;1,"Duplicate","")</f>
        <v/>
      </c>
    </row>
    <row r="1010" customFormat="false" ht="15" hidden="false" customHeight="false" outlineLevel="0" collapsed="false">
      <c r="A1010" s="0" t="str">
        <f aca="false">'Raw Store Exports'!A1010</f>
        <v>TXN01154</v>
      </c>
      <c r="B1010" s="17" t="n">
        <f aca="false">'Raw Store Exports'!C1010</f>
        <v>46079</v>
      </c>
      <c r="C1010" s="0" t="str">
        <f aca="false">INDEX('Store Mapping'!$C$2:$C$19,MATCH(TRIM('Raw Store Exports'!B1010),'Store Mapping'!$A$2:$A$19,0))</f>
        <v>Riverside</v>
      </c>
      <c r="D1010" s="0" t="str">
        <f aca="false">'Raw Store Exports'!D1010</f>
        <v>ELE-403</v>
      </c>
      <c r="E1010" s="0" t="str">
        <f aca="false">INDEX('Product Master'!$B$2:$B$21,MATCH(D1010,'Product Master'!$A$2:$A$21,0))</f>
        <v>Fitness Tracker Band</v>
      </c>
      <c r="F1010" s="0" t="str">
        <f aca="false">INDEX('Product Master'!$C$2:$C$21,MATCH(D1010,'Product Master'!$A$2:$A$21,0))</f>
        <v>Electronics</v>
      </c>
      <c r="G1010" s="15" t="n">
        <f aca="false">VALUE(TRIM('Raw Store Exports'!E1010&amp;""))</f>
        <v>6</v>
      </c>
      <c r="H1010" s="18" t="n">
        <f aca="false">INDEX('Product Master'!$D$2:$D$21,MATCH(D1010,'Product Master'!$A$2:$A$21,0))</f>
        <v>99</v>
      </c>
      <c r="I1010" s="14" t="n">
        <f aca="false">G1010*H1010</f>
        <v>594</v>
      </c>
      <c r="J1010" s="0" t="str">
        <f aca="false">IF(COUNTIF($A$2:A1010,A1010)&gt;1,"Duplicate","")</f>
        <v/>
      </c>
    </row>
    <row r="1011" customFormat="false" ht="15" hidden="false" customHeight="false" outlineLevel="0" collapsed="false">
      <c r="A1011" s="0" t="str">
        <f aca="false">'Raw Store Exports'!A1011</f>
        <v>TXN00850</v>
      </c>
      <c r="B1011" s="17" t="n">
        <f aca="false">'Raw Store Exports'!C1011</f>
        <v>46064</v>
      </c>
      <c r="C1011" s="0" t="str">
        <f aca="false">INDEX('Store Mapping'!$C$2:$C$19,MATCH(TRIM('Raw Store Exports'!B1011),'Store Mapping'!$A$2:$A$19,0))</f>
        <v>Northpark</v>
      </c>
      <c r="D1011" s="0" t="str">
        <f aca="false">'Raw Store Exports'!D1011</f>
        <v>APP-102</v>
      </c>
      <c r="E1011" s="0" t="str">
        <f aca="false">INDEX('Product Master'!$B$2:$B$21,MATCH(D1011,'Product Master'!$A$2:$A$21,0))</f>
        <v>Cotton Crew T-Shirt</v>
      </c>
      <c r="F1011" s="0" t="str">
        <f aca="false">INDEX('Product Master'!$C$2:$C$21,MATCH(D1011,'Product Master'!$A$2:$A$21,0))</f>
        <v>Apparel</v>
      </c>
      <c r="G1011" s="15" t="n">
        <f aca="false">VALUE(TRIM('Raw Store Exports'!E1011&amp;""))</f>
        <v>5</v>
      </c>
      <c r="H1011" s="18" t="n">
        <f aca="false">INDEX('Product Master'!$D$2:$D$21,MATCH(D1011,'Product Master'!$A$2:$A$21,0))</f>
        <v>18</v>
      </c>
      <c r="I1011" s="14" t="n">
        <f aca="false">G1011*H1011</f>
        <v>90</v>
      </c>
      <c r="J1011" s="0" t="str">
        <f aca="false">IF(COUNTIF($A$2:A1011,A1011)&gt;1,"Duplicate","")</f>
        <v/>
      </c>
    </row>
    <row r="1012" customFormat="false" ht="15" hidden="false" customHeight="false" outlineLevel="0" collapsed="false">
      <c r="A1012" s="0" t="str">
        <f aca="false">'Raw Store Exports'!A1012</f>
        <v>TXN00944</v>
      </c>
      <c r="B1012" s="17" t="n">
        <f aca="false">'Raw Store Exports'!C1012</f>
        <v>46072</v>
      </c>
      <c r="C1012" s="0" t="str">
        <f aca="false">INDEX('Store Mapping'!$C$2:$C$19,MATCH(TRIM('Raw Store Exports'!B1012),'Store Mapping'!$A$2:$A$19,0))</f>
        <v>Eastgate</v>
      </c>
      <c r="D1012" s="0" t="str">
        <f aca="false">'Raw Store Exports'!D1012</f>
        <v>FTW-204</v>
      </c>
      <c r="E1012" s="0" t="str">
        <f aca="false">INDEX('Product Master'!$B$2:$B$21,MATCH(D1012,'Product Master'!$A$2:$A$21,0))</f>
        <v>Slide Sandals</v>
      </c>
      <c r="F1012" s="0" t="str">
        <f aca="false">INDEX('Product Master'!$C$2:$C$21,MATCH(D1012,'Product Master'!$A$2:$A$21,0))</f>
        <v>Footwear</v>
      </c>
      <c r="G1012" s="15" t="n">
        <f aca="false">VALUE(TRIM('Raw Store Exports'!E1012&amp;""))</f>
        <v>3</v>
      </c>
      <c r="H1012" s="18" t="n">
        <f aca="false">INDEX('Product Master'!$D$2:$D$21,MATCH(D1012,'Product Master'!$A$2:$A$21,0))</f>
        <v>25</v>
      </c>
      <c r="I1012" s="14" t="n">
        <f aca="false">G1012*H1012</f>
        <v>75</v>
      </c>
      <c r="J1012" s="0" t="str">
        <f aca="false">IF(COUNTIF($A$2:A1012,A1012)&gt;1,"Duplicate","")</f>
        <v/>
      </c>
    </row>
    <row r="1013" customFormat="false" ht="15" hidden="false" customHeight="false" outlineLevel="0" collapsed="false">
      <c r="A1013" s="0" t="str">
        <f aca="false">'Raw Store Exports'!A1013</f>
        <v>TXN00336</v>
      </c>
      <c r="B1013" s="17" t="n">
        <f aca="false">'Raw Store Exports'!C1013</f>
        <v>46041</v>
      </c>
      <c r="C1013" s="0" t="str">
        <f aca="false">INDEX('Store Mapping'!$C$2:$C$19,MATCH(TRIM('Raw Store Exports'!B1013),'Store Mapping'!$A$2:$A$19,0))</f>
        <v>Eastgate</v>
      </c>
      <c r="D1013" s="0" t="str">
        <f aca="false">'Raw Store Exports'!D1013</f>
        <v>HOM-502</v>
      </c>
      <c r="E1013" s="0" t="str">
        <f aca="false">INDEX('Product Master'!$B$2:$B$21,MATCH(D1013,'Product Master'!$A$2:$A$21,0))</f>
        <v>Scented Candle</v>
      </c>
      <c r="F1013" s="0" t="str">
        <f aca="false">INDEX('Product Master'!$C$2:$C$21,MATCH(D1013,'Product Master'!$A$2:$A$21,0))</f>
        <v>Home Goods</v>
      </c>
      <c r="G1013" s="15" t="n">
        <f aca="false">VALUE(TRIM('Raw Store Exports'!E1013&amp;""))</f>
        <v>6</v>
      </c>
      <c r="H1013" s="18" t="n">
        <f aca="false">INDEX('Product Master'!$D$2:$D$21,MATCH(D1013,'Product Master'!$A$2:$A$21,0))</f>
        <v>15</v>
      </c>
      <c r="I1013" s="14" t="n">
        <f aca="false">G1013*H1013</f>
        <v>90</v>
      </c>
      <c r="J1013" s="0" t="str">
        <f aca="false">IF(COUNTIF($A$2:A1013,A1013)&gt;1,"Duplicate","")</f>
        <v/>
      </c>
    </row>
    <row r="1014" customFormat="false" ht="15" hidden="false" customHeight="false" outlineLevel="0" collapsed="false">
      <c r="A1014" s="0" t="str">
        <f aca="false">'Raw Store Exports'!A1014</f>
        <v>TXN00747</v>
      </c>
      <c r="B1014" s="17" t="n">
        <f aca="false">'Raw Store Exports'!C1014</f>
        <v>46065</v>
      </c>
      <c r="C1014" s="0" t="str">
        <f aca="false">INDEX('Store Mapping'!$C$2:$C$19,MATCH(TRIM('Raw Store Exports'!B1014),'Store Mapping'!$A$2:$A$19,0))</f>
        <v>Downtown</v>
      </c>
      <c r="D1014" s="0" t="str">
        <f aca="false">'Raw Store Exports'!D1014</f>
        <v>APP-101</v>
      </c>
      <c r="E1014" s="0" t="str">
        <f aca="false">INDEX('Product Master'!$B$2:$B$21,MATCH(D1014,'Product Master'!$A$2:$A$21,0))</f>
        <v>Classic Denim Jacket</v>
      </c>
      <c r="F1014" s="0" t="str">
        <f aca="false">INDEX('Product Master'!$C$2:$C$21,MATCH(D1014,'Product Master'!$A$2:$A$21,0))</f>
        <v>Apparel</v>
      </c>
      <c r="G1014" s="15" t="n">
        <f aca="false">VALUE(TRIM('Raw Store Exports'!E1014&amp;""))</f>
        <v>6</v>
      </c>
      <c r="H1014" s="18" t="n">
        <f aca="false">INDEX('Product Master'!$D$2:$D$21,MATCH(D1014,'Product Master'!$A$2:$A$21,0))</f>
        <v>68</v>
      </c>
      <c r="I1014" s="14" t="n">
        <f aca="false">G1014*H1014</f>
        <v>408</v>
      </c>
      <c r="J1014" s="0" t="str">
        <f aca="false">IF(COUNTIF($A$2:A1014,A1014)&gt;1,"Duplicate","")</f>
        <v/>
      </c>
    </row>
    <row r="1015" customFormat="false" ht="15" hidden="false" customHeight="false" outlineLevel="0" collapsed="false">
      <c r="A1015" s="0" t="str">
        <f aca="false">'Raw Store Exports'!A1015</f>
        <v>TXN01034</v>
      </c>
      <c r="B1015" s="17" t="n">
        <f aca="false">'Raw Store Exports'!C1015</f>
        <v>46074</v>
      </c>
      <c r="C1015" s="0" t="str">
        <f aca="false">INDEX('Store Mapping'!$C$2:$C$19,MATCH(TRIM('Raw Store Exports'!B1015),'Store Mapping'!$A$2:$A$19,0))</f>
        <v>Airport Plaza</v>
      </c>
      <c r="D1015" s="0" t="str">
        <f aca="false">'Raw Store Exports'!D1015</f>
        <v>FTW-204</v>
      </c>
      <c r="E1015" s="0" t="str">
        <f aca="false">INDEX('Product Master'!$B$2:$B$21,MATCH(D1015,'Product Master'!$A$2:$A$21,0))</f>
        <v>Slide Sandals</v>
      </c>
      <c r="F1015" s="0" t="str">
        <f aca="false">INDEX('Product Master'!$C$2:$C$21,MATCH(D1015,'Product Master'!$A$2:$A$21,0))</f>
        <v>Footwear</v>
      </c>
      <c r="G1015" s="15" t="n">
        <f aca="false">VALUE(TRIM('Raw Store Exports'!E1015&amp;""))</f>
        <v>5</v>
      </c>
      <c r="H1015" s="18" t="n">
        <f aca="false">INDEX('Product Master'!$D$2:$D$21,MATCH(D1015,'Product Master'!$A$2:$A$21,0))</f>
        <v>25</v>
      </c>
      <c r="I1015" s="14" t="n">
        <f aca="false">G1015*H1015</f>
        <v>125</v>
      </c>
      <c r="J1015" s="0" t="str">
        <f aca="false">IF(COUNTIF($A$2:A1015,A1015)&gt;1,"Duplicate","")</f>
        <v/>
      </c>
    </row>
    <row r="1016" customFormat="false" ht="15" hidden="false" customHeight="false" outlineLevel="0" collapsed="false">
      <c r="A1016" s="0" t="str">
        <f aca="false">'Raw Store Exports'!A1016</f>
        <v>TXN00671</v>
      </c>
      <c r="B1016" s="17" t="n">
        <f aca="false">'Raw Store Exports'!C1016</f>
        <v>46061</v>
      </c>
      <c r="C1016" s="0" t="str">
        <f aca="false">INDEX('Store Mapping'!$C$2:$C$19,MATCH(TRIM('Raw Store Exports'!B1016),'Store Mapping'!$A$2:$A$19,0))</f>
        <v>Northpark</v>
      </c>
      <c r="D1016" s="0" t="str">
        <f aca="false">'Raw Store Exports'!D1016</f>
        <v>ELE-403</v>
      </c>
      <c r="E1016" s="0" t="str">
        <f aca="false">INDEX('Product Master'!$B$2:$B$21,MATCH(D1016,'Product Master'!$A$2:$A$21,0))</f>
        <v>Fitness Tracker Band</v>
      </c>
      <c r="F1016" s="0" t="str">
        <f aca="false">INDEX('Product Master'!$C$2:$C$21,MATCH(D1016,'Product Master'!$A$2:$A$21,0))</f>
        <v>Electronics</v>
      </c>
      <c r="G1016" s="15" t="n">
        <f aca="false">VALUE(TRIM('Raw Store Exports'!E1016&amp;""))</f>
        <v>3</v>
      </c>
      <c r="H1016" s="18" t="n">
        <f aca="false">INDEX('Product Master'!$D$2:$D$21,MATCH(D1016,'Product Master'!$A$2:$A$21,0))</f>
        <v>99</v>
      </c>
      <c r="I1016" s="14" t="n">
        <f aca="false">G1016*H1016</f>
        <v>297</v>
      </c>
      <c r="J1016" s="0" t="str">
        <f aca="false">IF(COUNTIF($A$2:A1016,A1016)&gt;1,"Duplicate","")</f>
        <v>Duplicate</v>
      </c>
    </row>
    <row r="1017" customFormat="false" ht="15" hidden="false" customHeight="false" outlineLevel="0" collapsed="false">
      <c r="A1017" s="0" t="str">
        <f aca="false">'Raw Store Exports'!A1017</f>
        <v>TXN00807</v>
      </c>
      <c r="B1017" s="17" t="n">
        <f aca="false">'Raw Store Exports'!C1017</f>
        <v>46066</v>
      </c>
      <c r="C1017" s="0" t="str">
        <f aca="false">INDEX('Store Mapping'!$C$2:$C$19,MATCH(TRIM('Raw Store Exports'!B1017),'Store Mapping'!$A$2:$A$19,0))</f>
        <v>Eastgate</v>
      </c>
      <c r="D1017" s="0" t="str">
        <f aca="false">'Raw Store Exports'!D1017</f>
        <v>ELE-404</v>
      </c>
      <c r="E1017" s="0" t="str">
        <f aca="false">INDEX('Product Master'!$B$2:$B$21,MATCH(D1017,'Product Master'!$A$2:$A$21,0))</f>
        <v>Phone Charging Cable</v>
      </c>
      <c r="F1017" s="0" t="str">
        <f aca="false">INDEX('Product Master'!$C$2:$C$21,MATCH(D1017,'Product Master'!$A$2:$A$21,0))</f>
        <v>Electronics</v>
      </c>
      <c r="G1017" s="15" t="n">
        <f aca="false">VALUE(TRIM('Raw Store Exports'!E1017&amp;""))</f>
        <v>2</v>
      </c>
      <c r="H1017" s="18" t="n">
        <f aca="false">INDEX('Product Master'!$D$2:$D$21,MATCH(D1017,'Product Master'!$A$2:$A$21,0))</f>
        <v>12</v>
      </c>
      <c r="I1017" s="14" t="n">
        <f aca="false">G1017*H1017</f>
        <v>24</v>
      </c>
      <c r="J1017" s="0" t="str">
        <f aca="false">IF(COUNTIF($A$2:A1017,A1017)&gt;1,"Duplicate","")</f>
        <v/>
      </c>
    </row>
    <row r="1018" customFormat="false" ht="15" hidden="false" customHeight="false" outlineLevel="0" collapsed="false">
      <c r="A1018" s="0" t="str">
        <f aca="false">'Raw Store Exports'!A1018</f>
        <v>TXN00027</v>
      </c>
      <c r="B1018" s="17" t="n">
        <f aca="false">'Raw Store Exports'!C1018</f>
        <v>46027</v>
      </c>
      <c r="C1018" s="0" t="str">
        <f aca="false">INDEX('Store Mapping'!$C$2:$C$19,MATCH(TRIM('Raw Store Exports'!B1018),'Store Mapping'!$A$2:$A$19,0))</f>
        <v>Westside Mall</v>
      </c>
      <c r="D1018" s="0" t="str">
        <f aca="false">'Raw Store Exports'!D1018</f>
        <v>APP-102</v>
      </c>
      <c r="E1018" s="0" t="str">
        <f aca="false">INDEX('Product Master'!$B$2:$B$21,MATCH(D1018,'Product Master'!$A$2:$A$21,0))</f>
        <v>Cotton Crew T-Shirt</v>
      </c>
      <c r="F1018" s="0" t="str">
        <f aca="false">INDEX('Product Master'!$C$2:$C$21,MATCH(D1018,'Product Master'!$A$2:$A$21,0))</f>
        <v>Apparel</v>
      </c>
      <c r="G1018" s="15" t="n">
        <f aca="false">VALUE(TRIM('Raw Store Exports'!E1018&amp;""))</f>
        <v>5</v>
      </c>
      <c r="H1018" s="18" t="n">
        <f aca="false">INDEX('Product Master'!$D$2:$D$21,MATCH(D1018,'Product Master'!$A$2:$A$21,0))</f>
        <v>18</v>
      </c>
      <c r="I1018" s="14" t="n">
        <f aca="false">G1018*H1018</f>
        <v>90</v>
      </c>
      <c r="J1018" s="0" t="str">
        <f aca="false">IF(COUNTIF($A$2:A1018,A1018)&gt;1,"Duplicate","")</f>
        <v/>
      </c>
    </row>
    <row r="1019" customFormat="false" ht="15" hidden="false" customHeight="false" outlineLevel="0" collapsed="false">
      <c r="A1019" s="0" t="str">
        <f aca="false">'Raw Store Exports'!A1019</f>
        <v>TXN00962</v>
      </c>
      <c r="B1019" s="17" t="n">
        <f aca="false">'Raw Store Exports'!C1019</f>
        <v>46073</v>
      </c>
      <c r="C1019" s="0" t="str">
        <f aca="false">INDEX('Store Mapping'!$C$2:$C$19,MATCH(TRIM('Raw Store Exports'!B1019),'Store Mapping'!$A$2:$A$19,0))</f>
        <v>Eastgate</v>
      </c>
      <c r="D1019" s="0" t="str">
        <f aca="false">'Raw Store Exports'!D1019</f>
        <v>HOM-501</v>
      </c>
      <c r="E1019" s="0" t="str">
        <f aca="false">INDEX('Product Master'!$B$2:$B$21,MATCH(D1019,'Product Master'!$A$2:$A$21,0))</f>
        <v>Ceramic Coffee Mug Set</v>
      </c>
      <c r="F1019" s="0" t="str">
        <f aca="false">INDEX('Product Master'!$C$2:$C$21,MATCH(D1019,'Product Master'!$A$2:$A$21,0))</f>
        <v>Home Goods</v>
      </c>
      <c r="G1019" s="15" t="n">
        <f aca="false">VALUE(TRIM('Raw Store Exports'!E1019&amp;""))</f>
        <v>2</v>
      </c>
      <c r="H1019" s="18" t="n">
        <f aca="false">INDEX('Product Master'!$D$2:$D$21,MATCH(D1019,'Product Master'!$A$2:$A$21,0))</f>
        <v>22</v>
      </c>
      <c r="I1019" s="14" t="n">
        <f aca="false">G1019*H1019</f>
        <v>44</v>
      </c>
      <c r="J1019" s="0" t="str">
        <f aca="false">IF(COUNTIF($A$2:A1019,A1019)&gt;1,"Duplicate","")</f>
        <v/>
      </c>
    </row>
    <row r="1020" customFormat="false" ht="15" hidden="false" customHeight="false" outlineLevel="0" collapsed="false">
      <c r="A1020" s="0" t="str">
        <f aca="false">'Raw Store Exports'!A1020</f>
        <v>TXN00887</v>
      </c>
      <c r="B1020" s="17" t="n">
        <f aca="false">'Raw Store Exports'!C1020</f>
        <v>46068</v>
      </c>
      <c r="C1020" s="0" t="str">
        <f aca="false">INDEX('Store Mapping'!$C$2:$C$19,MATCH(TRIM('Raw Store Exports'!B1020),'Store Mapping'!$A$2:$A$19,0))</f>
        <v>Airport Plaza</v>
      </c>
      <c r="D1020" s="0" t="str">
        <f aca="false">'Raw Store Exports'!D1020</f>
        <v>FTW-201</v>
      </c>
      <c r="E1020" s="0" t="str">
        <f aca="false">INDEX('Product Master'!$B$2:$B$21,MATCH(D1020,'Product Master'!$A$2:$A$21,0))</f>
        <v>Running Sneakers</v>
      </c>
      <c r="F1020" s="0" t="str">
        <f aca="false">INDEX('Product Master'!$C$2:$C$21,MATCH(D1020,'Product Master'!$A$2:$A$21,0))</f>
        <v>Footwear</v>
      </c>
      <c r="G1020" s="15" t="n">
        <f aca="false">VALUE(TRIM('Raw Store Exports'!E1020&amp;""))</f>
        <v>3</v>
      </c>
      <c r="H1020" s="18" t="n">
        <f aca="false">INDEX('Product Master'!$D$2:$D$21,MATCH(D1020,'Product Master'!$A$2:$A$21,0))</f>
        <v>89</v>
      </c>
      <c r="I1020" s="14" t="n">
        <f aca="false">G1020*H1020</f>
        <v>267</v>
      </c>
      <c r="J1020" s="0" t="str">
        <f aca="false">IF(COUNTIF($A$2:A1020,A1020)&gt;1,"Duplicate","")</f>
        <v/>
      </c>
    </row>
    <row r="1021" customFormat="false" ht="15" hidden="false" customHeight="false" outlineLevel="0" collapsed="false">
      <c r="A1021" s="0" t="str">
        <f aca="false">'Raw Store Exports'!A1021</f>
        <v>TXN00546</v>
      </c>
      <c r="B1021" s="17" t="n">
        <f aca="false">'Raw Store Exports'!C1021</f>
        <v>46054</v>
      </c>
      <c r="C1021" s="0" t="str">
        <f aca="false">INDEX('Store Mapping'!$C$2:$C$19,MATCH(TRIM('Raw Store Exports'!B1021),'Store Mapping'!$A$2:$A$19,0))</f>
        <v>Riverside</v>
      </c>
      <c r="D1021" s="0" t="str">
        <f aca="false">'Raw Store Exports'!D1021</f>
        <v>FTW-202</v>
      </c>
      <c r="E1021" s="0" t="str">
        <f aca="false">INDEX('Product Master'!$B$2:$B$21,MATCH(D1021,'Product Master'!$A$2:$A$21,0))</f>
        <v>Canvas Low-Top</v>
      </c>
      <c r="F1021" s="0" t="str">
        <f aca="false">INDEX('Product Master'!$C$2:$C$21,MATCH(D1021,'Product Master'!$A$2:$A$21,0))</f>
        <v>Footwear</v>
      </c>
      <c r="G1021" s="15" t="n">
        <f aca="false">VALUE(TRIM('Raw Store Exports'!E1021&amp;""))</f>
        <v>5</v>
      </c>
      <c r="H1021" s="18" t="n">
        <f aca="false">INDEX('Product Master'!$D$2:$D$21,MATCH(D1021,'Product Master'!$A$2:$A$21,0))</f>
        <v>55</v>
      </c>
      <c r="I1021" s="14" t="n">
        <f aca="false">G1021*H1021</f>
        <v>275</v>
      </c>
      <c r="J1021" s="0" t="str">
        <f aca="false">IF(COUNTIF($A$2:A1021,A1021)&gt;1,"Duplicate","")</f>
        <v/>
      </c>
    </row>
    <row r="1022" customFormat="false" ht="15" hidden="false" customHeight="false" outlineLevel="0" collapsed="false">
      <c r="A1022" s="0" t="str">
        <f aca="false">'Raw Store Exports'!A1022</f>
        <v>TXN00640</v>
      </c>
      <c r="B1022" s="17" t="n">
        <f aca="false">'Raw Store Exports'!C1022</f>
        <v>46056</v>
      </c>
      <c r="C1022" s="0" t="str">
        <f aca="false">INDEX('Store Mapping'!$C$2:$C$19,MATCH(TRIM('Raw Store Exports'!B1022),'Store Mapping'!$A$2:$A$19,0))</f>
        <v>Westside Mall</v>
      </c>
      <c r="D1022" s="0" t="str">
        <f aca="false">'Raw Store Exports'!D1022</f>
        <v>ELE-401</v>
      </c>
      <c r="E1022" s="0" t="str">
        <f aca="false">INDEX('Product Master'!$B$2:$B$21,MATCH(D1022,'Product Master'!$A$2:$A$21,0))</f>
        <v>Wireless Earbuds</v>
      </c>
      <c r="F1022" s="0" t="str">
        <f aca="false">INDEX('Product Master'!$C$2:$C$21,MATCH(D1022,'Product Master'!$A$2:$A$21,0))</f>
        <v>Electronics</v>
      </c>
      <c r="G1022" s="15" t="n">
        <f aca="false">VALUE(TRIM('Raw Store Exports'!E1022&amp;""))</f>
        <v>1</v>
      </c>
      <c r="H1022" s="18" t="n">
        <f aca="false">INDEX('Product Master'!$D$2:$D$21,MATCH(D1022,'Product Master'!$A$2:$A$21,0))</f>
        <v>79</v>
      </c>
      <c r="I1022" s="14" t="n">
        <f aca="false">G1022*H1022</f>
        <v>79</v>
      </c>
      <c r="J1022" s="0" t="str">
        <f aca="false">IF(COUNTIF($A$2:A1022,A1022)&gt;1,"Duplicate","")</f>
        <v/>
      </c>
    </row>
    <row r="1023" customFormat="false" ht="15" hidden="false" customHeight="false" outlineLevel="0" collapsed="false">
      <c r="A1023" s="0" t="str">
        <f aca="false">'Raw Store Exports'!A1023</f>
        <v>TXN00562</v>
      </c>
      <c r="B1023" s="17" t="n">
        <f aca="false">'Raw Store Exports'!C1023</f>
        <v>46053</v>
      </c>
      <c r="C1023" s="0" t="str">
        <f aca="false">INDEX('Store Mapping'!$C$2:$C$19,MATCH(TRIM('Raw Store Exports'!B1023),'Store Mapping'!$A$2:$A$19,0))</f>
        <v>Riverside</v>
      </c>
      <c r="D1023" s="0" t="str">
        <f aca="false">'Raw Store Exports'!D1023</f>
        <v>APP-104</v>
      </c>
      <c r="E1023" s="0" t="str">
        <f aca="false">INDEX('Product Master'!$B$2:$B$21,MATCH(D1023,'Product Master'!$A$2:$A$21,0))</f>
        <v>Slim Fit Chinos</v>
      </c>
      <c r="F1023" s="0" t="str">
        <f aca="false">INDEX('Product Master'!$C$2:$C$21,MATCH(D1023,'Product Master'!$A$2:$A$21,0))</f>
        <v>Apparel</v>
      </c>
      <c r="G1023" s="15" t="n">
        <f aca="false">VALUE(TRIM('Raw Store Exports'!E1023&amp;""))</f>
        <v>2</v>
      </c>
      <c r="H1023" s="18" t="n">
        <f aca="false">INDEX('Product Master'!$D$2:$D$21,MATCH(D1023,'Product Master'!$A$2:$A$21,0))</f>
        <v>52</v>
      </c>
      <c r="I1023" s="14" t="n">
        <f aca="false">G1023*H1023</f>
        <v>104</v>
      </c>
      <c r="J1023" s="0" t="str">
        <f aca="false">IF(COUNTIF($A$2:A1023,A1023)&gt;1,"Duplicate","")</f>
        <v/>
      </c>
    </row>
    <row r="1024" customFormat="false" ht="15" hidden="false" customHeight="false" outlineLevel="0" collapsed="false">
      <c r="A1024" s="0" t="str">
        <f aca="false">'Raw Store Exports'!A1024</f>
        <v>TXN00063</v>
      </c>
      <c r="B1024" s="17" t="n">
        <f aca="false">'Raw Store Exports'!C1024</f>
        <v>46033</v>
      </c>
      <c r="C1024" s="0" t="str">
        <f aca="false">INDEX('Store Mapping'!$C$2:$C$19,MATCH(TRIM('Raw Store Exports'!B1024),'Store Mapping'!$A$2:$A$19,0))</f>
        <v>Eastgate</v>
      </c>
      <c r="D1024" s="0" t="str">
        <f aca="false">'Raw Store Exports'!D1024</f>
        <v>ACC-301</v>
      </c>
      <c r="E1024" s="0" t="str">
        <f aca="false">INDEX('Product Master'!$B$2:$B$21,MATCH(D1024,'Product Master'!$A$2:$A$21,0))</f>
        <v>Leather Belt</v>
      </c>
      <c r="F1024" s="0" t="str">
        <f aca="false">INDEX('Product Master'!$C$2:$C$21,MATCH(D1024,'Product Master'!$A$2:$A$21,0))</f>
        <v>Accessories</v>
      </c>
      <c r="G1024" s="15" t="n">
        <f aca="false">VALUE(TRIM('Raw Store Exports'!E1024&amp;""))</f>
        <v>1</v>
      </c>
      <c r="H1024" s="18" t="n">
        <f aca="false">INDEX('Product Master'!$D$2:$D$21,MATCH(D1024,'Product Master'!$A$2:$A$21,0))</f>
        <v>30</v>
      </c>
      <c r="I1024" s="14" t="n">
        <f aca="false">G1024*H1024</f>
        <v>30</v>
      </c>
      <c r="J1024" s="0" t="str">
        <f aca="false">IF(COUNTIF($A$2:A1024,A1024)&gt;1,"Duplicate","")</f>
        <v/>
      </c>
    </row>
    <row r="1025" customFormat="false" ht="15" hidden="false" customHeight="false" outlineLevel="0" collapsed="false">
      <c r="A1025" s="0" t="str">
        <f aca="false">'Raw Store Exports'!A1025</f>
        <v>TXN00161</v>
      </c>
      <c r="B1025" s="17" t="n">
        <f aca="false">'Raw Store Exports'!C1025</f>
        <v>46039</v>
      </c>
      <c r="C1025" s="0" t="str">
        <f aca="false">INDEX('Store Mapping'!$C$2:$C$19,MATCH(TRIM('Raw Store Exports'!B1025),'Store Mapping'!$A$2:$A$19,0))</f>
        <v>Westside Mall</v>
      </c>
      <c r="D1025" s="0" t="str">
        <f aca="false">'Raw Store Exports'!D1025</f>
        <v>HOM-504</v>
      </c>
      <c r="E1025" s="0" t="str">
        <f aca="false">INDEX('Product Master'!$B$2:$B$21,MATCH(D1025,'Product Master'!$A$2:$A$21,0))</f>
        <v>Bamboo Cutting Board</v>
      </c>
      <c r="F1025" s="0" t="str">
        <f aca="false">INDEX('Product Master'!$C$2:$C$21,MATCH(D1025,'Product Master'!$A$2:$A$21,0))</f>
        <v>Home Goods</v>
      </c>
      <c r="G1025" s="15" t="n">
        <f aca="false">VALUE(TRIM('Raw Store Exports'!E1025&amp;""))</f>
        <v>5</v>
      </c>
      <c r="H1025" s="18" t="n">
        <f aca="false">INDEX('Product Master'!$D$2:$D$21,MATCH(D1025,'Product Master'!$A$2:$A$21,0))</f>
        <v>27</v>
      </c>
      <c r="I1025" s="14" t="n">
        <f aca="false">G1025*H1025</f>
        <v>135</v>
      </c>
      <c r="J1025" s="0" t="str">
        <f aca="false">IF(COUNTIF($A$2:A1025,A1025)&gt;1,"Duplicate","")</f>
        <v/>
      </c>
    </row>
    <row r="1026" customFormat="false" ht="15" hidden="false" customHeight="false" outlineLevel="0" collapsed="false">
      <c r="A1026" s="0" t="str">
        <f aca="false">'Raw Store Exports'!A1026</f>
        <v>TXN00413</v>
      </c>
      <c r="B1026" s="17" t="n">
        <f aca="false">'Raw Store Exports'!C1026</f>
        <v>46042</v>
      </c>
      <c r="C1026" s="0" t="str">
        <f aca="false">INDEX('Store Mapping'!$C$2:$C$19,MATCH(TRIM('Raw Store Exports'!B1026),'Store Mapping'!$A$2:$A$19,0))</f>
        <v>Airport Plaza</v>
      </c>
      <c r="D1026" s="0" t="str">
        <f aca="false">'Raw Store Exports'!D1026</f>
        <v>FTW-203</v>
      </c>
      <c r="E1026" s="0" t="str">
        <f aca="false">INDEX('Product Master'!$B$2:$B$21,MATCH(D1026,'Product Master'!$A$2:$A$21,0))</f>
        <v>Leather Ankle Boot</v>
      </c>
      <c r="F1026" s="0" t="str">
        <f aca="false">INDEX('Product Master'!$C$2:$C$21,MATCH(D1026,'Product Master'!$A$2:$A$21,0))</f>
        <v>Footwear</v>
      </c>
      <c r="G1026" s="15" t="n">
        <f aca="false">VALUE(TRIM('Raw Store Exports'!E1026&amp;""))</f>
        <v>2</v>
      </c>
      <c r="H1026" s="18" t="n">
        <f aca="false">INDEX('Product Master'!$D$2:$D$21,MATCH(D1026,'Product Master'!$A$2:$A$21,0))</f>
        <v>120</v>
      </c>
      <c r="I1026" s="14" t="n">
        <f aca="false">G1026*H1026</f>
        <v>240</v>
      </c>
      <c r="J1026" s="0" t="str">
        <f aca="false">IF(COUNTIF($A$2:A1026,A1026)&gt;1,"Duplicate","")</f>
        <v/>
      </c>
    </row>
    <row r="1027" customFormat="false" ht="15" hidden="false" customHeight="false" outlineLevel="0" collapsed="false">
      <c r="A1027" s="0" t="str">
        <f aca="false">'Raw Store Exports'!A1027</f>
        <v>TXN00684</v>
      </c>
      <c r="B1027" s="17" t="n">
        <f aca="false">'Raw Store Exports'!C1027</f>
        <v>46058</v>
      </c>
      <c r="C1027" s="0" t="str">
        <f aca="false">INDEX('Store Mapping'!$C$2:$C$19,MATCH(TRIM('Raw Store Exports'!B1027),'Store Mapping'!$A$2:$A$19,0))</f>
        <v>Northpark</v>
      </c>
      <c r="D1027" s="0" t="str">
        <f aca="false">'Raw Store Exports'!D1027</f>
        <v>ACC-303</v>
      </c>
      <c r="E1027" s="0" t="str">
        <f aca="false">INDEX('Product Master'!$B$2:$B$21,MATCH(D1027,'Product Master'!$A$2:$A$21,0))</f>
        <v>Canvas Tote Bag</v>
      </c>
      <c r="F1027" s="0" t="str">
        <f aca="false">INDEX('Product Master'!$C$2:$C$21,MATCH(D1027,'Product Master'!$A$2:$A$21,0))</f>
        <v>Accessories</v>
      </c>
      <c r="G1027" s="15" t="n">
        <f aca="false">VALUE(TRIM('Raw Store Exports'!E1027&amp;""))</f>
        <v>5</v>
      </c>
      <c r="H1027" s="18" t="n">
        <f aca="false">INDEX('Product Master'!$D$2:$D$21,MATCH(D1027,'Product Master'!$A$2:$A$21,0))</f>
        <v>24</v>
      </c>
      <c r="I1027" s="14" t="n">
        <f aca="false">G1027*H1027</f>
        <v>120</v>
      </c>
      <c r="J1027" s="0" t="str">
        <f aca="false">IF(COUNTIF($A$2:A1027,A1027)&gt;1,"Duplicate","")</f>
        <v/>
      </c>
    </row>
    <row r="1028" customFormat="false" ht="15" hidden="false" customHeight="false" outlineLevel="0" collapsed="false">
      <c r="A1028" s="0" t="str">
        <f aca="false">'Raw Store Exports'!A1028</f>
        <v>TXN01080</v>
      </c>
      <c r="B1028" s="17" t="n">
        <f aca="false">'Raw Store Exports'!C1028</f>
        <v>46078</v>
      </c>
      <c r="C1028" s="0" t="str">
        <f aca="false">INDEX('Store Mapping'!$C$2:$C$19,MATCH(TRIM('Raw Store Exports'!B1028),'Store Mapping'!$A$2:$A$19,0))</f>
        <v>Westside Mall</v>
      </c>
      <c r="D1028" s="0" t="str">
        <f aca="false">'Raw Store Exports'!D1028</f>
        <v>APP-103</v>
      </c>
      <c r="E1028" s="0" t="str">
        <f aca="false">INDEX('Product Master'!$B$2:$B$21,MATCH(D1028,'Product Master'!$A$2:$A$21,0))</f>
        <v>Fleece Pullover Hoodie</v>
      </c>
      <c r="F1028" s="0" t="str">
        <f aca="false">INDEX('Product Master'!$C$2:$C$21,MATCH(D1028,'Product Master'!$A$2:$A$21,0))</f>
        <v>Apparel</v>
      </c>
      <c r="G1028" s="15" t="n">
        <f aca="false">VALUE(TRIM('Raw Store Exports'!E1028&amp;""))</f>
        <v>2</v>
      </c>
      <c r="H1028" s="18" t="n">
        <f aca="false">INDEX('Product Master'!$D$2:$D$21,MATCH(D1028,'Product Master'!$A$2:$A$21,0))</f>
        <v>45</v>
      </c>
      <c r="I1028" s="14" t="n">
        <f aca="false">G1028*H1028</f>
        <v>90</v>
      </c>
      <c r="J1028" s="0" t="str">
        <f aca="false">IF(COUNTIF($A$2:A1028,A1028)&gt;1,"Duplicate","")</f>
        <v/>
      </c>
    </row>
    <row r="1029" customFormat="false" ht="15" hidden="false" customHeight="false" outlineLevel="0" collapsed="false">
      <c r="A1029" s="0" t="str">
        <f aca="false">'Raw Store Exports'!A1029</f>
        <v>TXN00343</v>
      </c>
      <c r="B1029" s="17" t="n">
        <f aca="false">'Raw Store Exports'!C1029</f>
        <v>46046</v>
      </c>
      <c r="C1029" s="0" t="str">
        <f aca="false">INDEX('Store Mapping'!$C$2:$C$19,MATCH(TRIM('Raw Store Exports'!B1029),'Store Mapping'!$A$2:$A$19,0))</f>
        <v>Eastgate</v>
      </c>
      <c r="D1029" s="0" t="str">
        <f aca="false">'Raw Store Exports'!D1029</f>
        <v>APP-104</v>
      </c>
      <c r="E1029" s="0" t="str">
        <f aca="false">INDEX('Product Master'!$B$2:$B$21,MATCH(D1029,'Product Master'!$A$2:$A$21,0))</f>
        <v>Slim Fit Chinos</v>
      </c>
      <c r="F1029" s="0" t="str">
        <f aca="false">INDEX('Product Master'!$C$2:$C$21,MATCH(D1029,'Product Master'!$A$2:$A$21,0))</f>
        <v>Apparel</v>
      </c>
      <c r="G1029" s="15" t="n">
        <f aca="false">VALUE(TRIM('Raw Store Exports'!E1029&amp;""))</f>
        <v>4</v>
      </c>
      <c r="H1029" s="18" t="n">
        <f aca="false">INDEX('Product Master'!$D$2:$D$21,MATCH(D1029,'Product Master'!$A$2:$A$21,0))</f>
        <v>52</v>
      </c>
      <c r="I1029" s="14" t="n">
        <f aca="false">G1029*H1029</f>
        <v>208</v>
      </c>
      <c r="J1029" s="0" t="str">
        <f aca="false">IF(COUNTIF($A$2:A1029,A1029)&gt;1,"Duplicate","")</f>
        <v/>
      </c>
    </row>
    <row r="1030" customFormat="false" ht="15" hidden="false" customHeight="false" outlineLevel="0" collapsed="false">
      <c r="A1030" s="0" t="str">
        <f aca="false">'Raw Store Exports'!A1030</f>
        <v>TXN01049</v>
      </c>
      <c r="B1030" s="17" t="n">
        <f aca="false">'Raw Store Exports'!C1030</f>
        <v>46081</v>
      </c>
      <c r="C1030" s="0" t="str">
        <f aca="false">INDEX('Store Mapping'!$C$2:$C$19,MATCH(TRIM('Raw Store Exports'!B1030),'Store Mapping'!$A$2:$A$19,0))</f>
        <v>Downtown</v>
      </c>
      <c r="D1030" s="0" t="str">
        <f aca="false">'Raw Store Exports'!D1030</f>
        <v>APP-103</v>
      </c>
      <c r="E1030" s="0" t="str">
        <f aca="false">INDEX('Product Master'!$B$2:$B$21,MATCH(D1030,'Product Master'!$A$2:$A$21,0))</f>
        <v>Fleece Pullover Hoodie</v>
      </c>
      <c r="F1030" s="0" t="str">
        <f aca="false">INDEX('Product Master'!$C$2:$C$21,MATCH(D1030,'Product Master'!$A$2:$A$21,0))</f>
        <v>Apparel</v>
      </c>
      <c r="G1030" s="15" t="n">
        <f aca="false">VALUE(TRIM('Raw Store Exports'!E1030&amp;""))</f>
        <v>5</v>
      </c>
      <c r="H1030" s="18" t="n">
        <f aca="false">INDEX('Product Master'!$D$2:$D$21,MATCH(D1030,'Product Master'!$A$2:$A$21,0))</f>
        <v>45</v>
      </c>
      <c r="I1030" s="14" t="n">
        <f aca="false">G1030*H1030</f>
        <v>225</v>
      </c>
      <c r="J1030" s="0" t="str">
        <f aca="false">IF(COUNTIF($A$2:A1030,A1030)&gt;1,"Duplicate","")</f>
        <v/>
      </c>
    </row>
    <row r="1031" customFormat="false" ht="15" hidden="false" customHeight="false" outlineLevel="0" collapsed="false">
      <c r="A1031" s="0" t="str">
        <f aca="false">'Raw Store Exports'!A1031</f>
        <v>TXN00471</v>
      </c>
      <c r="B1031" s="17" t="n">
        <f aca="false">'Raw Store Exports'!C1031</f>
        <v>46049</v>
      </c>
      <c r="C1031" s="0" t="str">
        <f aca="false">INDEX('Store Mapping'!$C$2:$C$19,MATCH(TRIM('Raw Store Exports'!B1031),'Store Mapping'!$A$2:$A$19,0))</f>
        <v>Westside Mall</v>
      </c>
      <c r="D1031" s="0" t="str">
        <f aca="false">'Raw Store Exports'!D1031</f>
        <v>ELE-403</v>
      </c>
      <c r="E1031" s="0" t="str">
        <f aca="false">INDEX('Product Master'!$B$2:$B$21,MATCH(D1031,'Product Master'!$A$2:$A$21,0))</f>
        <v>Fitness Tracker Band</v>
      </c>
      <c r="F1031" s="0" t="str">
        <f aca="false">INDEX('Product Master'!$C$2:$C$21,MATCH(D1031,'Product Master'!$A$2:$A$21,0))</f>
        <v>Electronics</v>
      </c>
      <c r="G1031" s="15" t="n">
        <f aca="false">VALUE(TRIM('Raw Store Exports'!E1031&amp;""))</f>
        <v>5</v>
      </c>
      <c r="H1031" s="18" t="n">
        <f aca="false">INDEX('Product Master'!$D$2:$D$21,MATCH(D1031,'Product Master'!$A$2:$A$21,0))</f>
        <v>99</v>
      </c>
      <c r="I1031" s="14" t="n">
        <f aca="false">G1031*H1031</f>
        <v>495</v>
      </c>
      <c r="J1031" s="0" t="str">
        <f aca="false">IF(COUNTIF($A$2:A1031,A1031)&gt;1,"Duplicate","")</f>
        <v/>
      </c>
    </row>
    <row r="1032" customFormat="false" ht="15" hidden="false" customHeight="false" outlineLevel="0" collapsed="false">
      <c r="A1032" s="0" t="str">
        <f aca="false">'Raw Store Exports'!A1032</f>
        <v>TXN00915</v>
      </c>
      <c r="B1032" s="17" t="n">
        <f aca="false">'Raw Store Exports'!C1032</f>
        <v>46070</v>
      </c>
      <c r="C1032" s="0" t="str">
        <f aca="false">INDEX('Store Mapping'!$C$2:$C$19,MATCH(TRIM('Raw Store Exports'!B1032),'Store Mapping'!$A$2:$A$19,0))</f>
        <v>Downtown</v>
      </c>
      <c r="D1032" s="0" t="str">
        <f aca="false">'Raw Store Exports'!D1032</f>
        <v>ELE-403</v>
      </c>
      <c r="E1032" s="0" t="str">
        <f aca="false">INDEX('Product Master'!$B$2:$B$21,MATCH(D1032,'Product Master'!$A$2:$A$21,0))</f>
        <v>Fitness Tracker Band</v>
      </c>
      <c r="F1032" s="0" t="str">
        <f aca="false">INDEX('Product Master'!$C$2:$C$21,MATCH(D1032,'Product Master'!$A$2:$A$21,0))</f>
        <v>Electronics</v>
      </c>
      <c r="G1032" s="15" t="n">
        <f aca="false">VALUE(TRIM('Raw Store Exports'!E1032&amp;""))</f>
        <v>1</v>
      </c>
      <c r="H1032" s="18" t="n">
        <f aca="false">INDEX('Product Master'!$D$2:$D$21,MATCH(D1032,'Product Master'!$A$2:$A$21,0))</f>
        <v>99</v>
      </c>
      <c r="I1032" s="14" t="n">
        <f aca="false">G1032*H1032</f>
        <v>99</v>
      </c>
      <c r="J1032" s="0" t="str">
        <f aca="false">IF(COUNTIF($A$2:A1032,A1032)&gt;1,"Duplicate","")</f>
        <v/>
      </c>
    </row>
    <row r="1033" customFormat="false" ht="15" hidden="false" customHeight="false" outlineLevel="0" collapsed="false">
      <c r="A1033" s="0" t="str">
        <f aca="false">'Raw Store Exports'!A1033</f>
        <v>TXN00522</v>
      </c>
      <c r="B1033" s="17" t="n">
        <f aca="false">'Raw Store Exports'!C1033</f>
        <v>46049</v>
      </c>
      <c r="C1033" s="0" t="str">
        <f aca="false">INDEX('Store Mapping'!$C$2:$C$19,MATCH(TRIM('Raw Store Exports'!B1033),'Store Mapping'!$A$2:$A$19,0))</f>
        <v>Northpark</v>
      </c>
      <c r="D1033" s="0" t="str">
        <f aca="false">'Raw Store Exports'!D1033</f>
        <v>FTW-204</v>
      </c>
      <c r="E1033" s="0" t="str">
        <f aca="false">INDEX('Product Master'!$B$2:$B$21,MATCH(D1033,'Product Master'!$A$2:$A$21,0))</f>
        <v>Slide Sandals</v>
      </c>
      <c r="F1033" s="0" t="str">
        <f aca="false">INDEX('Product Master'!$C$2:$C$21,MATCH(D1033,'Product Master'!$A$2:$A$21,0))</f>
        <v>Footwear</v>
      </c>
      <c r="G1033" s="15" t="n">
        <f aca="false">VALUE(TRIM('Raw Store Exports'!E1033&amp;""))</f>
        <v>2</v>
      </c>
      <c r="H1033" s="18" t="n">
        <f aca="false">INDEX('Product Master'!$D$2:$D$21,MATCH(D1033,'Product Master'!$A$2:$A$21,0))</f>
        <v>25</v>
      </c>
      <c r="I1033" s="14" t="n">
        <f aca="false">G1033*H1033</f>
        <v>50</v>
      </c>
      <c r="J1033" s="0" t="str">
        <f aca="false">IF(COUNTIF($A$2:A1033,A1033)&gt;1,"Duplicate","")</f>
        <v/>
      </c>
    </row>
    <row r="1034" customFormat="false" ht="15" hidden="false" customHeight="false" outlineLevel="0" collapsed="false">
      <c r="A1034" s="0" t="str">
        <f aca="false">'Raw Store Exports'!A1034</f>
        <v>TXN00949</v>
      </c>
      <c r="B1034" s="17" t="n">
        <f aca="false">'Raw Store Exports'!C1034</f>
        <v>46072</v>
      </c>
      <c r="C1034" s="0" t="str">
        <f aca="false">INDEX('Store Mapping'!$C$2:$C$19,MATCH(TRIM('Raw Store Exports'!B1034),'Store Mapping'!$A$2:$A$19,0))</f>
        <v>Eastgate</v>
      </c>
      <c r="D1034" s="0" t="str">
        <f aca="false">'Raw Store Exports'!D1034</f>
        <v>FTW-203</v>
      </c>
      <c r="E1034" s="0" t="str">
        <f aca="false">INDEX('Product Master'!$B$2:$B$21,MATCH(D1034,'Product Master'!$A$2:$A$21,0))</f>
        <v>Leather Ankle Boot</v>
      </c>
      <c r="F1034" s="0" t="str">
        <f aca="false">INDEX('Product Master'!$C$2:$C$21,MATCH(D1034,'Product Master'!$A$2:$A$21,0))</f>
        <v>Footwear</v>
      </c>
      <c r="G1034" s="15" t="n">
        <f aca="false">VALUE(TRIM('Raw Store Exports'!E1034&amp;""))</f>
        <v>6</v>
      </c>
      <c r="H1034" s="18" t="n">
        <f aca="false">INDEX('Product Master'!$D$2:$D$21,MATCH(D1034,'Product Master'!$A$2:$A$21,0))</f>
        <v>120</v>
      </c>
      <c r="I1034" s="14" t="n">
        <f aca="false">G1034*H1034</f>
        <v>720</v>
      </c>
      <c r="J1034" s="0" t="str">
        <f aca="false">IF(COUNTIF($A$2:A1034,A1034)&gt;1,"Duplicate","")</f>
        <v>Duplicate</v>
      </c>
    </row>
    <row r="1035" customFormat="false" ht="15" hidden="false" customHeight="false" outlineLevel="0" collapsed="false">
      <c r="A1035" s="0" t="str">
        <f aca="false">'Raw Store Exports'!A1035</f>
        <v>TXN01185</v>
      </c>
      <c r="B1035" s="17" t="n">
        <f aca="false">'Raw Store Exports'!C1035</f>
        <v>46080</v>
      </c>
      <c r="C1035" s="0" t="str">
        <f aca="false">INDEX('Store Mapping'!$C$2:$C$19,MATCH(TRIM('Raw Store Exports'!B1035),'Store Mapping'!$A$2:$A$19,0))</f>
        <v>Airport Plaza</v>
      </c>
      <c r="D1035" s="0" t="str">
        <f aca="false">'Raw Store Exports'!D1035</f>
        <v>APP-102</v>
      </c>
      <c r="E1035" s="0" t="str">
        <f aca="false">INDEX('Product Master'!$B$2:$B$21,MATCH(D1035,'Product Master'!$A$2:$A$21,0))</f>
        <v>Cotton Crew T-Shirt</v>
      </c>
      <c r="F1035" s="0" t="str">
        <f aca="false">INDEX('Product Master'!$C$2:$C$21,MATCH(D1035,'Product Master'!$A$2:$A$21,0))</f>
        <v>Apparel</v>
      </c>
      <c r="G1035" s="15" t="n">
        <f aca="false">VALUE(TRIM('Raw Store Exports'!E1035&amp;""))</f>
        <v>1</v>
      </c>
      <c r="H1035" s="18" t="n">
        <f aca="false">INDEX('Product Master'!$D$2:$D$21,MATCH(D1035,'Product Master'!$A$2:$A$21,0))</f>
        <v>18</v>
      </c>
      <c r="I1035" s="14" t="n">
        <f aca="false">G1035*H1035</f>
        <v>18</v>
      </c>
      <c r="J1035" s="0" t="str">
        <f aca="false">IF(COUNTIF($A$2:A1035,A1035)&gt;1,"Duplicate","")</f>
        <v/>
      </c>
    </row>
    <row r="1036" customFormat="false" ht="15" hidden="false" customHeight="false" outlineLevel="0" collapsed="false">
      <c r="A1036" s="0" t="str">
        <f aca="false">'Raw Store Exports'!A1036</f>
        <v>TXN00783</v>
      </c>
      <c r="B1036" s="17" t="n">
        <f aca="false">'Raw Store Exports'!C1036</f>
        <v>46065</v>
      </c>
      <c r="C1036" s="0" t="str">
        <f aca="false">INDEX('Store Mapping'!$C$2:$C$19,MATCH(TRIM('Raw Store Exports'!B1036),'Store Mapping'!$A$2:$A$19,0))</f>
        <v>Westside Mall</v>
      </c>
      <c r="D1036" s="0" t="str">
        <f aca="false">'Raw Store Exports'!D1036</f>
        <v>ELE-401</v>
      </c>
      <c r="E1036" s="0" t="str">
        <f aca="false">INDEX('Product Master'!$B$2:$B$21,MATCH(D1036,'Product Master'!$A$2:$A$21,0))</f>
        <v>Wireless Earbuds</v>
      </c>
      <c r="F1036" s="0" t="str">
        <f aca="false">INDEX('Product Master'!$C$2:$C$21,MATCH(D1036,'Product Master'!$A$2:$A$21,0))</f>
        <v>Electronics</v>
      </c>
      <c r="G1036" s="15" t="n">
        <f aca="false">VALUE(TRIM('Raw Store Exports'!E1036&amp;""))</f>
        <v>2</v>
      </c>
      <c r="H1036" s="18" t="n">
        <f aca="false">INDEX('Product Master'!$D$2:$D$21,MATCH(D1036,'Product Master'!$A$2:$A$21,0))</f>
        <v>79</v>
      </c>
      <c r="I1036" s="14" t="n">
        <f aca="false">G1036*H1036</f>
        <v>158</v>
      </c>
      <c r="J1036" s="0" t="str">
        <f aca="false">IF(COUNTIF($A$2:A1036,A1036)&gt;1,"Duplicate","")</f>
        <v/>
      </c>
    </row>
    <row r="1037" customFormat="false" ht="15" hidden="false" customHeight="false" outlineLevel="0" collapsed="false">
      <c r="A1037" s="0" t="str">
        <f aca="false">'Raw Store Exports'!A1037</f>
        <v>TXN00945</v>
      </c>
      <c r="B1037" s="17" t="n">
        <f aca="false">'Raw Store Exports'!C1037</f>
        <v>46073</v>
      </c>
      <c r="C1037" s="0" t="str">
        <f aca="false">INDEX('Store Mapping'!$C$2:$C$19,MATCH(TRIM('Raw Store Exports'!B1037),'Store Mapping'!$A$2:$A$19,0))</f>
        <v>Eastgate</v>
      </c>
      <c r="D1037" s="0" t="str">
        <f aca="false">'Raw Store Exports'!D1037</f>
        <v>APP-104</v>
      </c>
      <c r="E1037" s="0" t="str">
        <f aca="false">INDEX('Product Master'!$B$2:$B$21,MATCH(D1037,'Product Master'!$A$2:$A$21,0))</f>
        <v>Slim Fit Chinos</v>
      </c>
      <c r="F1037" s="0" t="str">
        <f aca="false">INDEX('Product Master'!$C$2:$C$21,MATCH(D1037,'Product Master'!$A$2:$A$21,0))</f>
        <v>Apparel</v>
      </c>
      <c r="G1037" s="15" t="n">
        <f aca="false">VALUE(TRIM('Raw Store Exports'!E1037&amp;""))</f>
        <v>5</v>
      </c>
      <c r="H1037" s="18" t="n">
        <f aca="false">INDEX('Product Master'!$D$2:$D$21,MATCH(D1037,'Product Master'!$A$2:$A$21,0))</f>
        <v>52</v>
      </c>
      <c r="I1037" s="14" t="n">
        <f aca="false">G1037*H1037</f>
        <v>260</v>
      </c>
      <c r="J1037" s="0" t="str">
        <f aca="false">IF(COUNTIF($A$2:A1037,A1037)&gt;1,"Duplicate","")</f>
        <v/>
      </c>
    </row>
    <row r="1038" customFormat="false" ht="15" hidden="false" customHeight="false" outlineLevel="0" collapsed="false">
      <c r="A1038" s="0" t="str">
        <f aca="false">'Raw Store Exports'!A1038</f>
        <v>TXN00479</v>
      </c>
      <c r="B1038" s="17" t="n">
        <f aca="false">'Raw Store Exports'!C1038</f>
        <v>46049</v>
      </c>
      <c r="C1038" s="0" t="str">
        <f aca="false">INDEX('Store Mapping'!$C$2:$C$19,MATCH(TRIM('Raw Store Exports'!B1038),'Store Mapping'!$A$2:$A$19,0))</f>
        <v>Westside Mall</v>
      </c>
      <c r="D1038" s="0" t="str">
        <f aca="false">'Raw Store Exports'!D1038</f>
        <v>ELE-403</v>
      </c>
      <c r="E1038" s="0" t="str">
        <f aca="false">INDEX('Product Master'!$B$2:$B$21,MATCH(D1038,'Product Master'!$A$2:$A$21,0))</f>
        <v>Fitness Tracker Band</v>
      </c>
      <c r="F1038" s="0" t="str">
        <f aca="false">INDEX('Product Master'!$C$2:$C$21,MATCH(D1038,'Product Master'!$A$2:$A$21,0))</f>
        <v>Electronics</v>
      </c>
      <c r="G1038" s="15" t="n">
        <f aca="false">VALUE(TRIM('Raw Store Exports'!E1038&amp;""))</f>
        <v>3</v>
      </c>
      <c r="H1038" s="18" t="n">
        <f aca="false">INDEX('Product Master'!$D$2:$D$21,MATCH(D1038,'Product Master'!$A$2:$A$21,0))</f>
        <v>99</v>
      </c>
      <c r="I1038" s="14" t="n">
        <f aca="false">G1038*H1038</f>
        <v>297</v>
      </c>
      <c r="J1038" s="0" t="str">
        <f aca="false">IF(COUNTIF($A$2:A1038,A1038)&gt;1,"Duplicate","")</f>
        <v/>
      </c>
    </row>
    <row r="1039" customFormat="false" ht="15" hidden="false" customHeight="false" outlineLevel="0" collapsed="false">
      <c r="A1039" s="0" t="str">
        <f aca="false">'Raw Store Exports'!A1039</f>
        <v>TXN00014</v>
      </c>
      <c r="B1039" s="17" t="n">
        <f aca="false">'Raw Store Exports'!C1039</f>
        <v>46030</v>
      </c>
      <c r="C1039" s="0" t="str">
        <f aca="false">INDEX('Store Mapping'!$C$2:$C$19,MATCH(TRIM('Raw Store Exports'!B1039),'Store Mapping'!$A$2:$A$19,0))</f>
        <v>Downtown</v>
      </c>
      <c r="D1039" s="0" t="str">
        <f aca="false">'Raw Store Exports'!D1039</f>
        <v>HOM-503</v>
      </c>
      <c r="E1039" s="0" t="str">
        <f aca="false">INDEX('Product Master'!$B$2:$B$21,MATCH(D1039,'Product Master'!$A$2:$A$21,0))</f>
        <v>Cotton Throw Blanket</v>
      </c>
      <c r="F1039" s="0" t="str">
        <f aca="false">INDEX('Product Master'!$C$2:$C$21,MATCH(D1039,'Product Master'!$A$2:$A$21,0))</f>
        <v>Home Goods</v>
      </c>
      <c r="G1039" s="15" t="n">
        <f aca="false">VALUE(TRIM('Raw Store Exports'!E1039&amp;""))</f>
        <v>5</v>
      </c>
      <c r="H1039" s="18" t="n">
        <f aca="false">INDEX('Product Master'!$D$2:$D$21,MATCH(D1039,'Product Master'!$A$2:$A$21,0))</f>
        <v>38</v>
      </c>
      <c r="I1039" s="14" t="n">
        <f aca="false">G1039*H1039</f>
        <v>190</v>
      </c>
      <c r="J1039" s="0" t="str">
        <f aca="false">IF(COUNTIF($A$2:A1039,A1039)&gt;1,"Duplicate","")</f>
        <v/>
      </c>
    </row>
    <row r="1040" customFormat="false" ht="15" hidden="false" customHeight="false" outlineLevel="0" collapsed="false">
      <c r="A1040" s="0" t="str">
        <f aca="false">'Raw Store Exports'!A1040</f>
        <v>TXN00100</v>
      </c>
      <c r="B1040" s="17" t="n">
        <f aca="false">'Raw Store Exports'!C1040</f>
        <v>46032</v>
      </c>
      <c r="C1040" s="0" t="str">
        <f aca="false">INDEX('Store Mapping'!$C$2:$C$19,MATCH(TRIM('Raw Store Exports'!B1040),'Store Mapping'!$A$2:$A$19,0))</f>
        <v>Riverside</v>
      </c>
      <c r="D1040" s="0" t="str">
        <f aca="false">'Raw Store Exports'!D1040</f>
        <v>ELE-401</v>
      </c>
      <c r="E1040" s="0" t="str">
        <f aca="false">INDEX('Product Master'!$B$2:$B$21,MATCH(D1040,'Product Master'!$A$2:$A$21,0))</f>
        <v>Wireless Earbuds</v>
      </c>
      <c r="F1040" s="0" t="str">
        <f aca="false">INDEX('Product Master'!$C$2:$C$21,MATCH(D1040,'Product Master'!$A$2:$A$21,0))</f>
        <v>Electronics</v>
      </c>
      <c r="G1040" s="15" t="n">
        <f aca="false">VALUE(TRIM('Raw Store Exports'!E1040&amp;""))</f>
        <v>3</v>
      </c>
      <c r="H1040" s="18" t="n">
        <f aca="false">INDEX('Product Master'!$D$2:$D$21,MATCH(D1040,'Product Master'!$A$2:$A$21,0))</f>
        <v>79</v>
      </c>
      <c r="I1040" s="14" t="n">
        <f aca="false">G1040*H1040</f>
        <v>237</v>
      </c>
      <c r="J1040" s="0" t="str">
        <f aca="false">IF(COUNTIF($A$2:A1040,A1040)&gt;1,"Duplicate","")</f>
        <v/>
      </c>
    </row>
    <row r="1041" customFormat="false" ht="15" hidden="false" customHeight="false" outlineLevel="0" collapsed="false">
      <c r="A1041" s="0" t="str">
        <f aca="false">'Raw Store Exports'!A1041</f>
        <v>TXN00143</v>
      </c>
      <c r="B1041" s="17" t="n">
        <f aca="false">'Raw Store Exports'!C1041</f>
        <v>46037</v>
      </c>
      <c r="C1041" s="0" t="str">
        <f aca="false">INDEX('Store Mapping'!$C$2:$C$19,MATCH(TRIM('Raw Store Exports'!B1041),'Store Mapping'!$A$2:$A$19,0))</f>
        <v>Downtown</v>
      </c>
      <c r="D1041" s="0" t="str">
        <f aca="false">'Raw Store Exports'!D1041</f>
        <v>ELE-402</v>
      </c>
      <c r="E1041" s="0" t="str">
        <f aca="false">INDEX('Product Master'!$B$2:$B$21,MATCH(D1041,'Product Master'!$A$2:$A$21,0))</f>
        <v>Bluetooth Speaker</v>
      </c>
      <c r="F1041" s="0" t="str">
        <f aca="false">INDEX('Product Master'!$C$2:$C$21,MATCH(D1041,'Product Master'!$A$2:$A$21,0))</f>
        <v>Electronics</v>
      </c>
      <c r="G1041" s="15" t="n">
        <f aca="false">VALUE(TRIM('Raw Store Exports'!E1041&amp;""))</f>
        <v>6</v>
      </c>
      <c r="H1041" s="18" t="n">
        <f aca="false">INDEX('Product Master'!$D$2:$D$21,MATCH(D1041,'Product Master'!$A$2:$A$21,0))</f>
        <v>59</v>
      </c>
      <c r="I1041" s="14" t="n">
        <f aca="false">G1041*H1041</f>
        <v>354</v>
      </c>
      <c r="J1041" s="0" t="str">
        <f aca="false">IF(COUNTIF($A$2:A1041,A1041)&gt;1,"Duplicate","")</f>
        <v>Duplicate</v>
      </c>
    </row>
    <row r="1042" customFormat="false" ht="15" hidden="false" customHeight="false" outlineLevel="0" collapsed="false">
      <c r="A1042" s="0" t="str">
        <f aca="false">'Raw Store Exports'!A1042</f>
        <v>TXN01182</v>
      </c>
      <c r="B1042" s="17" t="n">
        <f aca="false">'Raw Store Exports'!C1042</f>
        <v>46081</v>
      </c>
      <c r="C1042" s="0" t="str">
        <f aca="false">INDEX('Store Mapping'!$C$2:$C$19,MATCH(TRIM('Raw Store Exports'!B1042),'Store Mapping'!$A$2:$A$19,0))</f>
        <v>Airport Plaza</v>
      </c>
      <c r="D1042" s="0" t="str">
        <f aca="false">'Raw Store Exports'!D1042</f>
        <v>APP-101</v>
      </c>
      <c r="E1042" s="0" t="str">
        <f aca="false">INDEX('Product Master'!$B$2:$B$21,MATCH(D1042,'Product Master'!$A$2:$A$21,0))</f>
        <v>Classic Denim Jacket</v>
      </c>
      <c r="F1042" s="0" t="str">
        <f aca="false">INDEX('Product Master'!$C$2:$C$21,MATCH(D1042,'Product Master'!$A$2:$A$21,0))</f>
        <v>Apparel</v>
      </c>
      <c r="G1042" s="15" t="n">
        <f aca="false">VALUE(TRIM('Raw Store Exports'!E1042&amp;""))</f>
        <v>1</v>
      </c>
      <c r="H1042" s="18" t="n">
        <f aca="false">INDEX('Product Master'!$D$2:$D$21,MATCH(D1042,'Product Master'!$A$2:$A$21,0))</f>
        <v>68</v>
      </c>
      <c r="I1042" s="14" t="n">
        <f aca="false">G1042*H1042</f>
        <v>68</v>
      </c>
      <c r="J1042" s="0" t="str">
        <f aca="false">IF(COUNTIF($A$2:A1042,A1042)&gt;1,"Duplicate","")</f>
        <v/>
      </c>
    </row>
    <row r="1043" customFormat="false" ht="15" hidden="false" customHeight="false" outlineLevel="0" collapsed="false">
      <c r="A1043" s="0" t="str">
        <f aca="false">'Raw Store Exports'!A1043</f>
        <v>TXN00498</v>
      </c>
      <c r="B1043" s="17" t="n">
        <f aca="false">'Raw Store Exports'!C1043</f>
        <v>46054</v>
      </c>
      <c r="C1043" s="0" t="str">
        <f aca="false">INDEX('Store Mapping'!$C$2:$C$19,MATCH(TRIM('Raw Store Exports'!B1043),'Store Mapping'!$A$2:$A$19,0))</f>
        <v>Eastgate</v>
      </c>
      <c r="D1043" s="0" t="str">
        <f aca="false">'Raw Store Exports'!D1043</f>
        <v>APP-104</v>
      </c>
      <c r="E1043" s="0" t="str">
        <f aca="false">INDEX('Product Master'!$B$2:$B$21,MATCH(D1043,'Product Master'!$A$2:$A$21,0))</f>
        <v>Slim Fit Chinos</v>
      </c>
      <c r="F1043" s="0" t="str">
        <f aca="false">INDEX('Product Master'!$C$2:$C$21,MATCH(D1043,'Product Master'!$A$2:$A$21,0))</f>
        <v>Apparel</v>
      </c>
      <c r="G1043" s="15" t="n">
        <f aca="false">VALUE(TRIM('Raw Store Exports'!E1043&amp;""))</f>
        <v>3</v>
      </c>
      <c r="H1043" s="18" t="n">
        <f aca="false">INDEX('Product Master'!$D$2:$D$21,MATCH(D1043,'Product Master'!$A$2:$A$21,0))</f>
        <v>52</v>
      </c>
      <c r="I1043" s="14" t="n">
        <f aca="false">G1043*H1043</f>
        <v>156</v>
      </c>
      <c r="J1043" s="0" t="str">
        <f aca="false">IF(COUNTIF($A$2:A1043,A1043)&gt;1,"Duplicate","")</f>
        <v/>
      </c>
    </row>
    <row r="1044" customFormat="false" ht="15" hidden="false" customHeight="false" outlineLevel="0" collapsed="false">
      <c r="A1044" s="0" t="str">
        <f aca="false">'Raw Store Exports'!A1044</f>
        <v>TXN00566</v>
      </c>
      <c r="B1044" s="17" t="n">
        <f aca="false">'Raw Store Exports'!C1044</f>
        <v>46052</v>
      </c>
      <c r="C1044" s="0" t="str">
        <f aca="false">INDEX('Store Mapping'!$C$2:$C$19,MATCH(TRIM('Raw Store Exports'!B1044),'Store Mapping'!$A$2:$A$19,0))</f>
        <v>Airport Plaza</v>
      </c>
      <c r="D1044" s="0" t="str">
        <f aca="false">'Raw Store Exports'!D1044</f>
        <v>HOM-504</v>
      </c>
      <c r="E1044" s="0" t="str">
        <f aca="false">INDEX('Product Master'!$B$2:$B$21,MATCH(D1044,'Product Master'!$A$2:$A$21,0))</f>
        <v>Bamboo Cutting Board</v>
      </c>
      <c r="F1044" s="0" t="str">
        <f aca="false">INDEX('Product Master'!$C$2:$C$21,MATCH(D1044,'Product Master'!$A$2:$A$21,0))</f>
        <v>Home Goods</v>
      </c>
      <c r="G1044" s="15" t="n">
        <f aca="false">VALUE(TRIM('Raw Store Exports'!E1044&amp;""))</f>
        <v>3</v>
      </c>
      <c r="H1044" s="18" t="n">
        <f aca="false">INDEX('Product Master'!$D$2:$D$21,MATCH(D1044,'Product Master'!$A$2:$A$21,0))</f>
        <v>27</v>
      </c>
      <c r="I1044" s="14" t="n">
        <f aca="false">G1044*H1044</f>
        <v>81</v>
      </c>
      <c r="J1044" s="0" t="str">
        <f aca="false">IF(COUNTIF($A$2:A1044,A1044)&gt;1,"Duplicate","")</f>
        <v/>
      </c>
    </row>
    <row r="1045" customFormat="false" ht="15" hidden="false" customHeight="false" outlineLevel="0" collapsed="false">
      <c r="A1045" s="0" t="str">
        <f aca="false">'Raw Store Exports'!A1045</f>
        <v>TXN01105</v>
      </c>
      <c r="B1045" s="17" t="n">
        <f aca="false">'Raw Store Exports'!C1045</f>
        <v>46082</v>
      </c>
      <c r="C1045" s="0" t="str">
        <f aca="false">INDEX('Store Mapping'!$C$2:$C$19,MATCH(TRIM('Raw Store Exports'!B1045),'Store Mapping'!$A$2:$A$19,0))</f>
        <v>Eastgate</v>
      </c>
      <c r="D1045" s="0" t="str">
        <f aca="false">'Raw Store Exports'!D1045</f>
        <v>HOM-504</v>
      </c>
      <c r="E1045" s="0" t="str">
        <f aca="false">INDEX('Product Master'!$B$2:$B$21,MATCH(D1045,'Product Master'!$A$2:$A$21,0))</f>
        <v>Bamboo Cutting Board</v>
      </c>
      <c r="F1045" s="0" t="str">
        <f aca="false">INDEX('Product Master'!$C$2:$C$21,MATCH(D1045,'Product Master'!$A$2:$A$21,0))</f>
        <v>Home Goods</v>
      </c>
      <c r="G1045" s="15" t="n">
        <f aca="false">VALUE(TRIM('Raw Store Exports'!E1045&amp;""))</f>
        <v>4</v>
      </c>
      <c r="H1045" s="18" t="n">
        <f aca="false">INDEX('Product Master'!$D$2:$D$21,MATCH(D1045,'Product Master'!$A$2:$A$21,0))</f>
        <v>27</v>
      </c>
      <c r="I1045" s="14" t="n">
        <f aca="false">G1045*H1045</f>
        <v>108</v>
      </c>
      <c r="J1045" s="0" t="str">
        <f aca="false">IF(COUNTIF($A$2:A1045,A1045)&gt;1,"Duplicate","")</f>
        <v/>
      </c>
    </row>
    <row r="1046" customFormat="false" ht="15" hidden="false" customHeight="false" outlineLevel="0" collapsed="false">
      <c r="A1046" s="0" t="str">
        <f aca="false">'Raw Store Exports'!A1046</f>
        <v>TXN00162</v>
      </c>
      <c r="B1046" s="17" t="n">
        <f aca="false">'Raw Store Exports'!C1046</f>
        <v>46036</v>
      </c>
      <c r="C1046" s="0" t="str">
        <f aca="false">INDEX('Store Mapping'!$C$2:$C$19,MATCH(TRIM('Raw Store Exports'!B1046),'Store Mapping'!$A$2:$A$19,0))</f>
        <v>Westside Mall</v>
      </c>
      <c r="D1046" s="0" t="str">
        <f aca="false">'Raw Store Exports'!D1046</f>
        <v>FTW-203</v>
      </c>
      <c r="E1046" s="0" t="str">
        <f aca="false">INDEX('Product Master'!$B$2:$B$21,MATCH(D1046,'Product Master'!$A$2:$A$21,0))</f>
        <v>Leather Ankle Boot</v>
      </c>
      <c r="F1046" s="0" t="str">
        <f aca="false">INDEX('Product Master'!$C$2:$C$21,MATCH(D1046,'Product Master'!$A$2:$A$21,0))</f>
        <v>Footwear</v>
      </c>
      <c r="G1046" s="15" t="n">
        <f aca="false">VALUE(TRIM('Raw Store Exports'!E1046&amp;""))</f>
        <v>6</v>
      </c>
      <c r="H1046" s="18" t="n">
        <f aca="false">INDEX('Product Master'!$D$2:$D$21,MATCH(D1046,'Product Master'!$A$2:$A$21,0))</f>
        <v>120</v>
      </c>
      <c r="I1046" s="14" t="n">
        <f aca="false">G1046*H1046</f>
        <v>720</v>
      </c>
      <c r="J1046" s="0" t="str">
        <f aca="false">IF(COUNTIF($A$2:A1046,A1046)&gt;1,"Duplicate","")</f>
        <v/>
      </c>
    </row>
    <row r="1047" customFormat="false" ht="15" hidden="false" customHeight="false" outlineLevel="0" collapsed="false">
      <c r="A1047" s="0" t="str">
        <f aca="false">'Raw Store Exports'!A1047</f>
        <v>TXN00312</v>
      </c>
      <c r="B1047" s="17" t="n">
        <f aca="false">'Raw Store Exports'!C1047</f>
        <v>46043</v>
      </c>
      <c r="C1047" s="0" t="str">
        <f aca="false">INDEX('Store Mapping'!$C$2:$C$19,MATCH(TRIM('Raw Store Exports'!B1047),'Store Mapping'!$A$2:$A$19,0))</f>
        <v>Westside Mall</v>
      </c>
      <c r="D1047" s="0" t="str">
        <f aca="false">'Raw Store Exports'!D1047</f>
        <v>APP-104</v>
      </c>
      <c r="E1047" s="0" t="str">
        <f aca="false">INDEX('Product Master'!$B$2:$B$21,MATCH(D1047,'Product Master'!$A$2:$A$21,0))</f>
        <v>Slim Fit Chinos</v>
      </c>
      <c r="F1047" s="0" t="str">
        <f aca="false">INDEX('Product Master'!$C$2:$C$21,MATCH(D1047,'Product Master'!$A$2:$A$21,0))</f>
        <v>Apparel</v>
      </c>
      <c r="G1047" s="15" t="n">
        <f aca="false">VALUE(TRIM('Raw Store Exports'!E1047&amp;""))</f>
        <v>5</v>
      </c>
      <c r="H1047" s="18" t="n">
        <f aca="false">INDEX('Product Master'!$D$2:$D$21,MATCH(D1047,'Product Master'!$A$2:$A$21,0))</f>
        <v>52</v>
      </c>
      <c r="I1047" s="14" t="n">
        <f aca="false">G1047*H1047</f>
        <v>260</v>
      </c>
      <c r="J1047" s="0" t="str">
        <f aca="false">IF(COUNTIF($A$2:A1047,A1047)&gt;1,"Duplicate","")</f>
        <v/>
      </c>
    </row>
    <row r="1048" customFormat="false" ht="15" hidden="false" customHeight="false" outlineLevel="0" collapsed="false">
      <c r="A1048" s="0" t="str">
        <f aca="false">'Raw Store Exports'!A1048</f>
        <v>TXN00910</v>
      </c>
      <c r="B1048" s="17" t="n">
        <f aca="false">'Raw Store Exports'!C1048</f>
        <v>46069</v>
      </c>
      <c r="C1048" s="0" t="str">
        <f aca="false">INDEX('Store Mapping'!$C$2:$C$19,MATCH(TRIM('Raw Store Exports'!B1048),'Store Mapping'!$A$2:$A$19,0))</f>
        <v>Downtown</v>
      </c>
      <c r="D1048" s="0" t="str">
        <f aca="false">'Raw Store Exports'!D1048</f>
        <v>APP-104</v>
      </c>
      <c r="E1048" s="0" t="str">
        <f aca="false">INDEX('Product Master'!$B$2:$B$21,MATCH(D1048,'Product Master'!$A$2:$A$21,0))</f>
        <v>Slim Fit Chinos</v>
      </c>
      <c r="F1048" s="0" t="str">
        <f aca="false">INDEX('Product Master'!$C$2:$C$21,MATCH(D1048,'Product Master'!$A$2:$A$21,0))</f>
        <v>Apparel</v>
      </c>
      <c r="G1048" s="15" t="n">
        <f aca="false">VALUE(TRIM('Raw Store Exports'!E1048&amp;""))</f>
        <v>3</v>
      </c>
      <c r="H1048" s="18" t="n">
        <f aca="false">INDEX('Product Master'!$D$2:$D$21,MATCH(D1048,'Product Master'!$A$2:$A$21,0))</f>
        <v>52</v>
      </c>
      <c r="I1048" s="14" t="n">
        <f aca="false">G1048*H1048</f>
        <v>156</v>
      </c>
      <c r="J1048" s="0" t="str">
        <f aca="false">IF(COUNTIF($A$2:A1048,A1048)&gt;1,"Duplicate","")</f>
        <v/>
      </c>
    </row>
    <row r="1049" customFormat="false" ht="15" hidden="false" customHeight="false" outlineLevel="0" collapsed="false">
      <c r="A1049" s="0" t="str">
        <f aca="false">'Raw Store Exports'!A1049</f>
        <v>TXN00108</v>
      </c>
      <c r="B1049" s="17" t="n">
        <f aca="false">'Raw Store Exports'!C1049</f>
        <v>46027</v>
      </c>
      <c r="C1049" s="0" t="str">
        <f aca="false">INDEX('Store Mapping'!$C$2:$C$19,MATCH(TRIM('Raw Store Exports'!B1049),'Store Mapping'!$A$2:$A$19,0))</f>
        <v>Riverside</v>
      </c>
      <c r="D1049" s="0" t="str">
        <f aca="false">'Raw Store Exports'!D1049</f>
        <v>ELE-403</v>
      </c>
      <c r="E1049" s="0" t="str">
        <f aca="false">INDEX('Product Master'!$B$2:$B$21,MATCH(D1049,'Product Master'!$A$2:$A$21,0))</f>
        <v>Fitness Tracker Band</v>
      </c>
      <c r="F1049" s="0" t="str">
        <f aca="false">INDEX('Product Master'!$C$2:$C$21,MATCH(D1049,'Product Master'!$A$2:$A$21,0))</f>
        <v>Electronics</v>
      </c>
      <c r="G1049" s="15" t="n">
        <f aca="false">VALUE(TRIM('Raw Store Exports'!E1049&amp;""))</f>
        <v>5</v>
      </c>
      <c r="H1049" s="18" t="n">
        <f aca="false">INDEX('Product Master'!$D$2:$D$21,MATCH(D1049,'Product Master'!$A$2:$A$21,0))</f>
        <v>99</v>
      </c>
      <c r="I1049" s="14" t="n">
        <f aca="false">G1049*H1049</f>
        <v>495</v>
      </c>
      <c r="J1049" s="0" t="str">
        <f aca="false">IF(COUNTIF($A$2:A1049,A1049)&gt;1,"Duplicate","")</f>
        <v/>
      </c>
    </row>
    <row r="1050" customFormat="false" ht="15" hidden="false" customHeight="false" outlineLevel="0" collapsed="false">
      <c r="A1050" s="0" t="str">
        <f aca="false">'Raw Store Exports'!A1050</f>
        <v>TXN00720</v>
      </c>
      <c r="B1050" s="17" t="n">
        <f aca="false">'Raw Store Exports'!C1050</f>
        <v>46056</v>
      </c>
      <c r="C1050" s="0" t="str">
        <f aca="false">INDEX('Store Mapping'!$C$2:$C$19,MATCH(TRIM('Raw Store Exports'!B1050),'Store Mapping'!$A$2:$A$19,0))</f>
        <v>Riverside</v>
      </c>
      <c r="D1050" s="0" t="str">
        <f aca="false">'Raw Store Exports'!D1050</f>
        <v>APP-101</v>
      </c>
      <c r="E1050" s="0" t="str">
        <f aca="false">INDEX('Product Master'!$B$2:$B$21,MATCH(D1050,'Product Master'!$A$2:$A$21,0))</f>
        <v>Classic Denim Jacket</v>
      </c>
      <c r="F1050" s="0" t="str">
        <f aca="false">INDEX('Product Master'!$C$2:$C$21,MATCH(D1050,'Product Master'!$A$2:$A$21,0))</f>
        <v>Apparel</v>
      </c>
      <c r="G1050" s="15" t="n">
        <f aca="false">VALUE(TRIM('Raw Store Exports'!E1050&amp;""))</f>
        <v>1</v>
      </c>
      <c r="H1050" s="18" t="n">
        <f aca="false">INDEX('Product Master'!$D$2:$D$21,MATCH(D1050,'Product Master'!$A$2:$A$21,0))</f>
        <v>68</v>
      </c>
      <c r="I1050" s="14" t="n">
        <f aca="false">G1050*H1050</f>
        <v>68</v>
      </c>
      <c r="J1050" s="0" t="str">
        <f aca="false">IF(COUNTIF($A$2:A1050,A1050)&gt;1,"Duplicate","")</f>
        <v/>
      </c>
    </row>
    <row r="1051" customFormat="false" ht="15" hidden="false" customHeight="false" outlineLevel="0" collapsed="false">
      <c r="A1051" s="0" t="str">
        <f aca="false">'Raw Store Exports'!A1051</f>
        <v>TXN00558</v>
      </c>
      <c r="B1051" s="17" t="n">
        <f aca="false">'Raw Store Exports'!C1051</f>
        <v>46048</v>
      </c>
      <c r="C1051" s="0" t="str">
        <f aca="false">INDEX('Store Mapping'!$C$2:$C$19,MATCH(TRIM('Raw Store Exports'!B1051),'Store Mapping'!$A$2:$A$19,0))</f>
        <v>Riverside</v>
      </c>
      <c r="D1051" s="0" t="str">
        <f aca="false">'Raw Store Exports'!D1051</f>
        <v>ACC-301</v>
      </c>
      <c r="E1051" s="0" t="str">
        <f aca="false">INDEX('Product Master'!$B$2:$B$21,MATCH(D1051,'Product Master'!$A$2:$A$21,0))</f>
        <v>Leather Belt</v>
      </c>
      <c r="F1051" s="0" t="str">
        <f aca="false">INDEX('Product Master'!$C$2:$C$21,MATCH(D1051,'Product Master'!$A$2:$A$21,0))</f>
        <v>Accessories</v>
      </c>
      <c r="G1051" s="15" t="n">
        <f aca="false">VALUE(TRIM('Raw Store Exports'!E1051&amp;""))</f>
        <v>5</v>
      </c>
      <c r="H1051" s="18" t="n">
        <f aca="false">INDEX('Product Master'!$D$2:$D$21,MATCH(D1051,'Product Master'!$A$2:$A$21,0))</f>
        <v>30</v>
      </c>
      <c r="I1051" s="14" t="n">
        <f aca="false">G1051*H1051</f>
        <v>150</v>
      </c>
      <c r="J1051" s="0" t="str">
        <f aca="false">IF(COUNTIF($A$2:A1051,A1051)&gt;1,"Duplicate","")</f>
        <v/>
      </c>
    </row>
    <row r="1052" customFormat="false" ht="15" hidden="false" customHeight="false" outlineLevel="0" collapsed="false">
      <c r="A1052" s="0" t="str">
        <f aca="false">'Raw Store Exports'!A1052</f>
        <v>TXN00464</v>
      </c>
      <c r="B1052" s="17" t="n">
        <f aca="false">'Raw Store Exports'!C1052</f>
        <v>46053</v>
      </c>
      <c r="C1052" s="0" t="str">
        <f aca="false">INDEX('Store Mapping'!$C$2:$C$19,MATCH(TRIM('Raw Store Exports'!B1052),'Store Mapping'!$A$2:$A$19,0))</f>
        <v>Westside Mall</v>
      </c>
      <c r="D1052" s="0" t="str">
        <f aca="false">'Raw Store Exports'!D1052</f>
        <v>ACC-303</v>
      </c>
      <c r="E1052" s="0" t="str">
        <f aca="false">INDEX('Product Master'!$B$2:$B$21,MATCH(D1052,'Product Master'!$A$2:$A$21,0))</f>
        <v>Canvas Tote Bag</v>
      </c>
      <c r="F1052" s="0" t="str">
        <f aca="false">INDEX('Product Master'!$C$2:$C$21,MATCH(D1052,'Product Master'!$A$2:$A$21,0))</f>
        <v>Accessories</v>
      </c>
      <c r="G1052" s="15" t="n">
        <f aca="false">VALUE(TRIM('Raw Store Exports'!E1052&amp;""))</f>
        <v>1</v>
      </c>
      <c r="H1052" s="18" t="n">
        <f aca="false">INDEX('Product Master'!$D$2:$D$21,MATCH(D1052,'Product Master'!$A$2:$A$21,0))</f>
        <v>24</v>
      </c>
      <c r="I1052" s="14" t="n">
        <f aca="false">G1052*H1052</f>
        <v>24</v>
      </c>
      <c r="J1052" s="0" t="str">
        <f aca="false">IF(COUNTIF($A$2:A1052,A1052)&gt;1,"Duplicate","")</f>
        <v/>
      </c>
    </row>
    <row r="1053" customFormat="false" ht="15" hidden="false" customHeight="false" outlineLevel="0" collapsed="false">
      <c r="A1053" s="0" t="str">
        <f aca="false">'Raw Store Exports'!A1053</f>
        <v>TXN00229</v>
      </c>
      <c r="B1053" s="17" t="n">
        <f aca="false">'Raw Store Exports'!C1053</f>
        <v>46039</v>
      </c>
      <c r="C1053" s="0" t="str">
        <f aca="false">INDEX('Store Mapping'!$C$2:$C$19,MATCH(TRIM('Raw Store Exports'!B1053),'Store Mapping'!$A$2:$A$19,0))</f>
        <v>Riverside</v>
      </c>
      <c r="D1053" s="0" t="str">
        <f aca="false">'Raw Store Exports'!D1053</f>
        <v>ELE-404</v>
      </c>
      <c r="E1053" s="0" t="str">
        <f aca="false">INDEX('Product Master'!$B$2:$B$21,MATCH(D1053,'Product Master'!$A$2:$A$21,0))</f>
        <v>Phone Charging Cable</v>
      </c>
      <c r="F1053" s="0" t="str">
        <f aca="false">INDEX('Product Master'!$C$2:$C$21,MATCH(D1053,'Product Master'!$A$2:$A$21,0))</f>
        <v>Electronics</v>
      </c>
      <c r="G1053" s="15" t="n">
        <f aca="false">VALUE(TRIM('Raw Store Exports'!E1053&amp;""))</f>
        <v>5</v>
      </c>
      <c r="H1053" s="18" t="n">
        <f aca="false">INDEX('Product Master'!$D$2:$D$21,MATCH(D1053,'Product Master'!$A$2:$A$21,0))</f>
        <v>12</v>
      </c>
      <c r="I1053" s="14" t="n">
        <f aca="false">G1053*H1053</f>
        <v>60</v>
      </c>
      <c r="J1053" s="0" t="str">
        <f aca="false">IF(COUNTIF($A$2:A1053,A1053)&gt;1,"Duplicate","")</f>
        <v/>
      </c>
    </row>
    <row r="1054" customFormat="false" ht="15" hidden="false" customHeight="false" outlineLevel="0" collapsed="false">
      <c r="A1054" s="0" t="str">
        <f aca="false">'Raw Store Exports'!A1054</f>
        <v>TXN00361</v>
      </c>
      <c r="B1054" s="17" t="n">
        <f aca="false">'Raw Store Exports'!C1054</f>
        <v>46044</v>
      </c>
      <c r="C1054" s="0" t="str">
        <f aca="false">INDEX('Store Mapping'!$C$2:$C$19,MATCH(TRIM('Raw Store Exports'!B1054),'Store Mapping'!$A$2:$A$19,0))</f>
        <v>Northpark</v>
      </c>
      <c r="D1054" s="0" t="str">
        <f aca="false">'Raw Store Exports'!D1054</f>
        <v>APP-102</v>
      </c>
      <c r="E1054" s="0" t="str">
        <f aca="false">INDEX('Product Master'!$B$2:$B$21,MATCH(D1054,'Product Master'!$A$2:$A$21,0))</f>
        <v>Cotton Crew T-Shirt</v>
      </c>
      <c r="F1054" s="0" t="str">
        <f aca="false">INDEX('Product Master'!$C$2:$C$21,MATCH(D1054,'Product Master'!$A$2:$A$21,0))</f>
        <v>Apparel</v>
      </c>
      <c r="G1054" s="15" t="n">
        <f aca="false">VALUE(TRIM('Raw Store Exports'!E1054&amp;""))</f>
        <v>3</v>
      </c>
      <c r="H1054" s="18" t="n">
        <f aca="false">INDEX('Product Master'!$D$2:$D$21,MATCH(D1054,'Product Master'!$A$2:$A$21,0))</f>
        <v>18</v>
      </c>
      <c r="I1054" s="14" t="n">
        <f aca="false">G1054*H1054</f>
        <v>54</v>
      </c>
      <c r="J1054" s="0" t="str">
        <f aca="false">IF(COUNTIF($A$2:A1054,A1054)&gt;1,"Duplicate","")</f>
        <v/>
      </c>
    </row>
    <row r="1055" customFormat="false" ht="15" hidden="false" customHeight="false" outlineLevel="0" collapsed="false">
      <c r="A1055" s="0" t="str">
        <f aca="false">'Raw Store Exports'!A1055</f>
        <v>TXN00585</v>
      </c>
      <c r="B1055" s="17" t="n">
        <f aca="false">'Raw Store Exports'!C1055</f>
        <v>46049</v>
      </c>
      <c r="C1055" s="0" t="str">
        <f aca="false">INDEX('Store Mapping'!$C$2:$C$19,MATCH(TRIM('Raw Store Exports'!B1055),'Store Mapping'!$A$2:$A$19,0))</f>
        <v>Airport Plaza</v>
      </c>
      <c r="D1055" s="0" t="str">
        <f aca="false">'Raw Store Exports'!D1055</f>
        <v>APP-102</v>
      </c>
      <c r="E1055" s="0" t="str">
        <f aca="false">INDEX('Product Master'!$B$2:$B$21,MATCH(D1055,'Product Master'!$A$2:$A$21,0))</f>
        <v>Cotton Crew T-Shirt</v>
      </c>
      <c r="F1055" s="0" t="str">
        <f aca="false">INDEX('Product Master'!$C$2:$C$21,MATCH(D1055,'Product Master'!$A$2:$A$21,0))</f>
        <v>Apparel</v>
      </c>
      <c r="G1055" s="15" t="n">
        <f aca="false">VALUE(TRIM('Raw Store Exports'!E1055&amp;""))</f>
        <v>4</v>
      </c>
      <c r="H1055" s="18" t="n">
        <f aca="false">INDEX('Product Master'!$D$2:$D$21,MATCH(D1055,'Product Master'!$A$2:$A$21,0))</f>
        <v>18</v>
      </c>
      <c r="I1055" s="14" t="n">
        <f aca="false">G1055*H1055</f>
        <v>72</v>
      </c>
      <c r="J1055" s="0" t="str">
        <f aca="false">IF(COUNTIF($A$2:A1055,A1055)&gt;1,"Duplicate","")</f>
        <v/>
      </c>
    </row>
    <row r="1056" customFormat="false" ht="15" hidden="false" customHeight="false" outlineLevel="0" collapsed="false">
      <c r="A1056" s="0" t="str">
        <f aca="false">'Raw Store Exports'!A1056</f>
        <v>TXN00794</v>
      </c>
      <c r="B1056" s="17" t="n">
        <f aca="false">'Raw Store Exports'!C1056</f>
        <v>46062</v>
      </c>
      <c r="C1056" s="0" t="str">
        <f aca="false">INDEX('Store Mapping'!$C$2:$C$19,MATCH(TRIM('Raw Store Exports'!B1056),'Store Mapping'!$A$2:$A$19,0))</f>
        <v>Westside Mall</v>
      </c>
      <c r="D1056" s="0" t="str">
        <f aca="false">'Raw Store Exports'!D1056</f>
        <v>APP-104</v>
      </c>
      <c r="E1056" s="0" t="str">
        <f aca="false">INDEX('Product Master'!$B$2:$B$21,MATCH(D1056,'Product Master'!$A$2:$A$21,0))</f>
        <v>Slim Fit Chinos</v>
      </c>
      <c r="F1056" s="0" t="str">
        <f aca="false">INDEX('Product Master'!$C$2:$C$21,MATCH(D1056,'Product Master'!$A$2:$A$21,0))</f>
        <v>Apparel</v>
      </c>
      <c r="G1056" s="15" t="n">
        <f aca="false">VALUE(TRIM('Raw Store Exports'!E1056&amp;""))</f>
        <v>2</v>
      </c>
      <c r="H1056" s="18" t="n">
        <f aca="false">INDEX('Product Master'!$D$2:$D$21,MATCH(D1056,'Product Master'!$A$2:$A$21,0))</f>
        <v>52</v>
      </c>
      <c r="I1056" s="14" t="n">
        <f aca="false">G1056*H1056</f>
        <v>104</v>
      </c>
      <c r="J1056" s="0" t="str">
        <f aca="false">IF(COUNTIF($A$2:A1056,A1056)&gt;1,"Duplicate","")</f>
        <v/>
      </c>
    </row>
    <row r="1057" customFormat="false" ht="15" hidden="false" customHeight="false" outlineLevel="0" collapsed="false">
      <c r="A1057" s="0" t="str">
        <f aca="false">'Raw Store Exports'!A1057</f>
        <v>TXN00023</v>
      </c>
      <c r="B1057" s="17" t="n">
        <f aca="false">'Raw Store Exports'!C1057</f>
        <v>46028</v>
      </c>
      <c r="C1057" s="0" t="str">
        <f aca="false">INDEX('Store Mapping'!$C$2:$C$19,MATCH(TRIM('Raw Store Exports'!B1057),'Store Mapping'!$A$2:$A$19,0))</f>
        <v>Westside Mall</v>
      </c>
      <c r="D1057" s="0" t="str">
        <f aca="false">'Raw Store Exports'!D1057</f>
        <v>ELE-404</v>
      </c>
      <c r="E1057" s="0" t="str">
        <f aca="false">INDEX('Product Master'!$B$2:$B$21,MATCH(D1057,'Product Master'!$A$2:$A$21,0))</f>
        <v>Phone Charging Cable</v>
      </c>
      <c r="F1057" s="0" t="str">
        <f aca="false">INDEX('Product Master'!$C$2:$C$21,MATCH(D1057,'Product Master'!$A$2:$A$21,0))</f>
        <v>Electronics</v>
      </c>
      <c r="G1057" s="15" t="n">
        <f aca="false">VALUE(TRIM('Raw Store Exports'!E1057&amp;""))</f>
        <v>3</v>
      </c>
      <c r="H1057" s="18" t="n">
        <f aca="false">INDEX('Product Master'!$D$2:$D$21,MATCH(D1057,'Product Master'!$A$2:$A$21,0))</f>
        <v>12</v>
      </c>
      <c r="I1057" s="14" t="n">
        <f aca="false">G1057*H1057</f>
        <v>36</v>
      </c>
      <c r="J1057" s="0" t="str">
        <f aca="false">IF(COUNTIF($A$2:A1057,A1057)&gt;1,"Duplicate","")</f>
        <v>Duplicate</v>
      </c>
    </row>
    <row r="1058" customFormat="false" ht="15" hidden="false" customHeight="false" outlineLevel="0" collapsed="false">
      <c r="A1058" s="0" t="str">
        <f aca="false">'Raw Store Exports'!A1058</f>
        <v>TXN01061</v>
      </c>
      <c r="B1058" s="17" t="n">
        <f aca="false">'Raw Store Exports'!C1058</f>
        <v>46077</v>
      </c>
      <c r="C1058" s="0" t="str">
        <f aca="false">INDEX('Store Mapping'!$C$2:$C$19,MATCH(TRIM('Raw Store Exports'!B1058),'Store Mapping'!$A$2:$A$19,0))</f>
        <v>Downtown</v>
      </c>
      <c r="D1058" s="0" t="str">
        <f aca="false">'Raw Store Exports'!D1058</f>
        <v>APP-102</v>
      </c>
      <c r="E1058" s="0" t="str">
        <f aca="false">INDEX('Product Master'!$B$2:$B$21,MATCH(D1058,'Product Master'!$A$2:$A$21,0))</f>
        <v>Cotton Crew T-Shirt</v>
      </c>
      <c r="F1058" s="0" t="str">
        <f aca="false">INDEX('Product Master'!$C$2:$C$21,MATCH(D1058,'Product Master'!$A$2:$A$21,0))</f>
        <v>Apparel</v>
      </c>
      <c r="G1058" s="15" t="n">
        <f aca="false">VALUE(TRIM('Raw Store Exports'!E1058&amp;""))</f>
        <v>4</v>
      </c>
      <c r="H1058" s="18" t="n">
        <f aca="false">INDEX('Product Master'!$D$2:$D$21,MATCH(D1058,'Product Master'!$A$2:$A$21,0))</f>
        <v>18</v>
      </c>
      <c r="I1058" s="14" t="n">
        <f aca="false">G1058*H1058</f>
        <v>72</v>
      </c>
      <c r="J1058" s="0" t="str">
        <f aca="false">IF(COUNTIF($A$2:A1058,A1058)&gt;1,"Duplicate","")</f>
        <v/>
      </c>
    </row>
    <row r="1059" customFormat="false" ht="15" hidden="false" customHeight="false" outlineLevel="0" collapsed="false">
      <c r="A1059" s="0" t="str">
        <f aca="false">'Raw Store Exports'!A1059</f>
        <v>TXN00460</v>
      </c>
      <c r="B1059" s="17" t="n">
        <f aca="false">'Raw Store Exports'!C1059</f>
        <v>46048</v>
      </c>
      <c r="C1059" s="0" t="str">
        <f aca="false">INDEX('Store Mapping'!$C$2:$C$19,MATCH(TRIM('Raw Store Exports'!B1059),'Store Mapping'!$A$2:$A$19,0))</f>
        <v>Westside Mall</v>
      </c>
      <c r="D1059" s="0" t="str">
        <f aca="false">'Raw Store Exports'!D1059</f>
        <v>HOM-503</v>
      </c>
      <c r="E1059" s="0" t="str">
        <f aca="false">INDEX('Product Master'!$B$2:$B$21,MATCH(D1059,'Product Master'!$A$2:$A$21,0))</f>
        <v>Cotton Throw Blanket</v>
      </c>
      <c r="F1059" s="0" t="str">
        <f aca="false">INDEX('Product Master'!$C$2:$C$21,MATCH(D1059,'Product Master'!$A$2:$A$21,0))</f>
        <v>Home Goods</v>
      </c>
      <c r="G1059" s="15" t="n">
        <f aca="false">VALUE(TRIM('Raw Store Exports'!E1059&amp;""))</f>
        <v>4</v>
      </c>
      <c r="H1059" s="18" t="n">
        <f aca="false">INDEX('Product Master'!$D$2:$D$21,MATCH(D1059,'Product Master'!$A$2:$A$21,0))</f>
        <v>38</v>
      </c>
      <c r="I1059" s="14" t="n">
        <f aca="false">G1059*H1059</f>
        <v>152</v>
      </c>
      <c r="J1059" s="0" t="str">
        <f aca="false">IF(COUNTIF($A$2:A1059,A1059)&gt;1,"Duplicate","")</f>
        <v/>
      </c>
    </row>
    <row r="1060" customFormat="false" ht="15" hidden="false" customHeight="false" outlineLevel="0" collapsed="false">
      <c r="A1060" s="0" t="str">
        <f aca="false">'Raw Store Exports'!A1060</f>
        <v>TXN00661</v>
      </c>
      <c r="B1060" s="17" t="n">
        <f aca="false">'Raw Store Exports'!C1060</f>
        <v>46057</v>
      </c>
      <c r="C1060" s="0" t="str">
        <f aca="false">INDEX('Store Mapping'!$C$2:$C$19,MATCH(TRIM('Raw Store Exports'!B1060),'Store Mapping'!$A$2:$A$19,0))</f>
        <v>Eastgate</v>
      </c>
      <c r="D1060" s="0" t="str">
        <f aca="false">'Raw Store Exports'!D1060</f>
        <v>FTW-201</v>
      </c>
      <c r="E1060" s="0" t="str">
        <f aca="false">INDEX('Product Master'!$B$2:$B$21,MATCH(D1060,'Product Master'!$A$2:$A$21,0))</f>
        <v>Running Sneakers</v>
      </c>
      <c r="F1060" s="0" t="str">
        <f aca="false">INDEX('Product Master'!$C$2:$C$21,MATCH(D1060,'Product Master'!$A$2:$A$21,0))</f>
        <v>Footwear</v>
      </c>
      <c r="G1060" s="15" t="n">
        <f aca="false">VALUE(TRIM('Raw Store Exports'!E1060&amp;""))</f>
        <v>6</v>
      </c>
      <c r="H1060" s="18" t="n">
        <f aca="false">INDEX('Product Master'!$D$2:$D$21,MATCH(D1060,'Product Master'!$A$2:$A$21,0))</f>
        <v>89</v>
      </c>
      <c r="I1060" s="14" t="n">
        <f aca="false">G1060*H1060</f>
        <v>534</v>
      </c>
      <c r="J1060" s="0" t="str">
        <f aca="false">IF(COUNTIF($A$2:A1060,A1060)&gt;1,"Duplicate","")</f>
        <v>Duplicate</v>
      </c>
    </row>
    <row r="1061" customFormat="false" ht="15" hidden="false" customHeight="false" outlineLevel="0" collapsed="false">
      <c r="A1061" s="0" t="str">
        <f aca="false">'Raw Store Exports'!A1061</f>
        <v>TXN00224</v>
      </c>
      <c r="B1061" s="17" t="n">
        <f aca="false">'Raw Store Exports'!C1061</f>
        <v>46036</v>
      </c>
      <c r="C1061" s="0" t="str">
        <f aca="false">INDEX('Store Mapping'!$C$2:$C$19,MATCH(TRIM('Raw Store Exports'!B1061),'Store Mapping'!$A$2:$A$19,0))</f>
        <v>Northpark</v>
      </c>
      <c r="D1061" s="0" t="str">
        <f aca="false">'Raw Store Exports'!D1061</f>
        <v>HOM-501</v>
      </c>
      <c r="E1061" s="0" t="str">
        <f aca="false">INDEX('Product Master'!$B$2:$B$21,MATCH(D1061,'Product Master'!$A$2:$A$21,0))</f>
        <v>Ceramic Coffee Mug Set</v>
      </c>
      <c r="F1061" s="0" t="str">
        <f aca="false">INDEX('Product Master'!$C$2:$C$21,MATCH(D1061,'Product Master'!$A$2:$A$21,0))</f>
        <v>Home Goods</v>
      </c>
      <c r="G1061" s="15" t="n">
        <f aca="false">VALUE(TRIM('Raw Store Exports'!E1061&amp;""))</f>
        <v>1</v>
      </c>
      <c r="H1061" s="18" t="n">
        <f aca="false">INDEX('Product Master'!$D$2:$D$21,MATCH(D1061,'Product Master'!$A$2:$A$21,0))</f>
        <v>22</v>
      </c>
      <c r="I1061" s="14" t="n">
        <f aca="false">G1061*H1061</f>
        <v>22</v>
      </c>
      <c r="J1061" s="0" t="str">
        <f aca="false">IF(COUNTIF($A$2:A1061,A1061)&gt;1,"Duplicate","")</f>
        <v/>
      </c>
    </row>
    <row r="1062" customFormat="false" ht="15" hidden="false" customHeight="false" outlineLevel="0" collapsed="false">
      <c r="A1062" s="0" t="str">
        <f aca="false">'Raw Store Exports'!A1062</f>
        <v>TXN01160</v>
      </c>
      <c r="B1062" s="17" t="n">
        <f aca="false">'Raw Store Exports'!C1062</f>
        <v>46082</v>
      </c>
      <c r="C1062" s="0" t="str">
        <f aca="false">INDEX('Store Mapping'!$C$2:$C$19,MATCH(TRIM('Raw Store Exports'!B1062),'Store Mapping'!$A$2:$A$19,0))</f>
        <v>Riverside</v>
      </c>
      <c r="D1062" s="0" t="str">
        <f aca="false">'Raw Store Exports'!D1062</f>
        <v>APP-101</v>
      </c>
      <c r="E1062" s="0" t="str">
        <f aca="false">INDEX('Product Master'!$B$2:$B$21,MATCH(D1062,'Product Master'!$A$2:$A$21,0))</f>
        <v>Classic Denim Jacket</v>
      </c>
      <c r="F1062" s="0" t="str">
        <f aca="false">INDEX('Product Master'!$C$2:$C$21,MATCH(D1062,'Product Master'!$A$2:$A$21,0))</f>
        <v>Apparel</v>
      </c>
      <c r="G1062" s="15" t="n">
        <f aca="false">VALUE(TRIM('Raw Store Exports'!E1062&amp;""))</f>
        <v>4</v>
      </c>
      <c r="H1062" s="18" t="n">
        <f aca="false">INDEX('Product Master'!$D$2:$D$21,MATCH(D1062,'Product Master'!$A$2:$A$21,0))</f>
        <v>68</v>
      </c>
      <c r="I1062" s="14" t="n">
        <f aca="false">G1062*H1062</f>
        <v>272</v>
      </c>
      <c r="J1062" s="0" t="str">
        <f aca="false">IF(COUNTIF($A$2:A1062,A1062)&gt;1,"Duplicate","")</f>
        <v/>
      </c>
    </row>
    <row r="1063" customFormat="false" ht="15" hidden="false" customHeight="false" outlineLevel="0" collapsed="false">
      <c r="A1063" s="0" t="str">
        <f aca="false">'Raw Store Exports'!A1063</f>
        <v>TXN00173</v>
      </c>
      <c r="B1063" s="17" t="n">
        <f aca="false">'Raw Store Exports'!C1063</f>
        <v>46039</v>
      </c>
      <c r="C1063" s="0" t="str">
        <f aca="false">INDEX('Store Mapping'!$C$2:$C$19,MATCH(TRIM('Raw Store Exports'!B1063),'Store Mapping'!$A$2:$A$19,0))</f>
        <v>Westside Mall</v>
      </c>
      <c r="D1063" s="0" t="str">
        <f aca="false">'Raw Store Exports'!D1063</f>
        <v>ELE-404</v>
      </c>
      <c r="E1063" s="0" t="str">
        <f aca="false">INDEX('Product Master'!$B$2:$B$21,MATCH(D1063,'Product Master'!$A$2:$A$21,0))</f>
        <v>Phone Charging Cable</v>
      </c>
      <c r="F1063" s="0" t="str">
        <f aca="false">INDEX('Product Master'!$C$2:$C$21,MATCH(D1063,'Product Master'!$A$2:$A$21,0))</f>
        <v>Electronics</v>
      </c>
      <c r="G1063" s="15" t="n">
        <f aca="false">VALUE(TRIM('Raw Store Exports'!E1063&amp;""))</f>
        <v>4</v>
      </c>
      <c r="H1063" s="18" t="n">
        <f aca="false">INDEX('Product Master'!$D$2:$D$21,MATCH(D1063,'Product Master'!$A$2:$A$21,0))</f>
        <v>12</v>
      </c>
      <c r="I1063" s="14" t="n">
        <f aca="false">G1063*H1063</f>
        <v>48</v>
      </c>
      <c r="J1063" s="0" t="str">
        <f aca="false">IF(COUNTIF($A$2:A1063,A1063)&gt;1,"Duplicate","")</f>
        <v>Duplicate</v>
      </c>
    </row>
    <row r="1064" customFormat="false" ht="15" hidden="false" customHeight="false" outlineLevel="0" collapsed="false">
      <c r="A1064" s="0" t="str">
        <f aca="false">'Raw Store Exports'!A1064</f>
        <v>TXN00532</v>
      </c>
      <c r="B1064" s="17" t="n">
        <f aca="false">'Raw Store Exports'!C1064</f>
        <v>46053</v>
      </c>
      <c r="C1064" s="0" t="str">
        <f aca="false">INDEX('Store Mapping'!$C$2:$C$19,MATCH(TRIM('Raw Store Exports'!B1064),'Store Mapping'!$A$2:$A$19,0))</f>
        <v>Northpark</v>
      </c>
      <c r="D1064" s="0" t="str">
        <f aca="false">'Raw Store Exports'!D1064</f>
        <v>HOM-504</v>
      </c>
      <c r="E1064" s="0" t="str">
        <f aca="false">INDEX('Product Master'!$B$2:$B$21,MATCH(D1064,'Product Master'!$A$2:$A$21,0))</f>
        <v>Bamboo Cutting Board</v>
      </c>
      <c r="F1064" s="0" t="str">
        <f aca="false">INDEX('Product Master'!$C$2:$C$21,MATCH(D1064,'Product Master'!$A$2:$A$21,0))</f>
        <v>Home Goods</v>
      </c>
      <c r="G1064" s="15" t="n">
        <f aca="false">VALUE(TRIM('Raw Store Exports'!E1064&amp;""))</f>
        <v>5</v>
      </c>
      <c r="H1064" s="18" t="n">
        <f aca="false">INDEX('Product Master'!$D$2:$D$21,MATCH(D1064,'Product Master'!$A$2:$A$21,0))</f>
        <v>27</v>
      </c>
      <c r="I1064" s="14" t="n">
        <f aca="false">G1064*H1064</f>
        <v>135</v>
      </c>
      <c r="J1064" s="0" t="str">
        <f aca="false">IF(COUNTIF($A$2:A1064,A1064)&gt;1,"Duplicate","")</f>
        <v/>
      </c>
    </row>
    <row r="1065" customFormat="false" ht="15" hidden="false" customHeight="false" outlineLevel="0" collapsed="false">
      <c r="A1065" s="0" t="str">
        <f aca="false">'Raw Store Exports'!A1065</f>
        <v>TXN00895</v>
      </c>
      <c r="B1065" s="17" t="n">
        <f aca="false">'Raw Store Exports'!C1065</f>
        <v>46068</v>
      </c>
      <c r="C1065" s="0" t="str">
        <f aca="false">INDEX('Store Mapping'!$C$2:$C$19,MATCH(TRIM('Raw Store Exports'!B1065),'Store Mapping'!$A$2:$A$19,0))</f>
        <v>Airport Plaza</v>
      </c>
      <c r="D1065" s="0" t="str">
        <f aca="false">'Raw Store Exports'!D1065</f>
        <v>FTW-203</v>
      </c>
      <c r="E1065" s="0" t="str">
        <f aca="false">INDEX('Product Master'!$B$2:$B$21,MATCH(D1065,'Product Master'!$A$2:$A$21,0))</f>
        <v>Leather Ankle Boot</v>
      </c>
      <c r="F1065" s="0" t="str">
        <f aca="false">INDEX('Product Master'!$C$2:$C$21,MATCH(D1065,'Product Master'!$A$2:$A$21,0))</f>
        <v>Footwear</v>
      </c>
      <c r="G1065" s="15" t="n">
        <f aca="false">VALUE(TRIM('Raw Store Exports'!E1065&amp;""))</f>
        <v>3</v>
      </c>
      <c r="H1065" s="18" t="n">
        <f aca="false">INDEX('Product Master'!$D$2:$D$21,MATCH(D1065,'Product Master'!$A$2:$A$21,0))</f>
        <v>120</v>
      </c>
      <c r="I1065" s="14" t="n">
        <f aca="false">G1065*H1065</f>
        <v>360</v>
      </c>
      <c r="J1065" s="0" t="str">
        <f aca="false">IF(COUNTIF($A$2:A1065,A1065)&gt;1,"Duplicate","")</f>
        <v/>
      </c>
    </row>
    <row r="1066" customFormat="false" ht="15" hidden="false" customHeight="false" outlineLevel="0" collapsed="false">
      <c r="A1066" s="0" t="str">
        <f aca="false">'Raw Store Exports'!A1066</f>
        <v>TXN00852</v>
      </c>
      <c r="B1066" s="17" t="n">
        <f aca="false">'Raw Store Exports'!C1066</f>
        <v>46064</v>
      </c>
      <c r="C1066" s="0" t="str">
        <f aca="false">INDEX('Store Mapping'!$C$2:$C$19,MATCH(TRIM('Raw Store Exports'!B1066),'Store Mapping'!$A$2:$A$19,0))</f>
        <v>Northpark</v>
      </c>
      <c r="D1066" s="0" t="str">
        <f aca="false">'Raw Store Exports'!D1066</f>
        <v>APP-103</v>
      </c>
      <c r="E1066" s="0" t="str">
        <f aca="false">INDEX('Product Master'!$B$2:$B$21,MATCH(D1066,'Product Master'!$A$2:$A$21,0))</f>
        <v>Fleece Pullover Hoodie</v>
      </c>
      <c r="F1066" s="0" t="str">
        <f aca="false">INDEX('Product Master'!$C$2:$C$21,MATCH(D1066,'Product Master'!$A$2:$A$21,0))</f>
        <v>Apparel</v>
      </c>
      <c r="G1066" s="15" t="n">
        <f aca="false">VALUE(TRIM('Raw Store Exports'!E1066&amp;""))</f>
        <v>2</v>
      </c>
      <c r="H1066" s="18" t="n">
        <f aca="false">INDEX('Product Master'!$D$2:$D$21,MATCH(D1066,'Product Master'!$A$2:$A$21,0))</f>
        <v>45</v>
      </c>
      <c r="I1066" s="14" t="n">
        <f aca="false">G1066*H1066</f>
        <v>90</v>
      </c>
      <c r="J1066" s="0" t="str">
        <f aca="false">IF(COUNTIF($A$2:A1066,A1066)&gt;1,"Duplicate","")</f>
        <v/>
      </c>
    </row>
    <row r="1067" customFormat="false" ht="15" hidden="false" customHeight="false" outlineLevel="0" collapsed="false">
      <c r="A1067" s="0" t="str">
        <f aca="false">'Raw Store Exports'!A1067</f>
        <v>TXN00766</v>
      </c>
      <c r="B1067" s="17" t="n">
        <f aca="false">'Raw Store Exports'!C1067</f>
        <v>46066</v>
      </c>
      <c r="C1067" s="0" t="str">
        <f aca="false">INDEX('Store Mapping'!$C$2:$C$19,MATCH(TRIM('Raw Store Exports'!B1067),'Store Mapping'!$A$2:$A$19,0))</f>
        <v>Downtown</v>
      </c>
      <c r="D1067" s="0" t="str">
        <f aca="false">'Raw Store Exports'!D1067</f>
        <v>HOM-504</v>
      </c>
      <c r="E1067" s="0" t="str">
        <f aca="false">INDEX('Product Master'!$B$2:$B$21,MATCH(D1067,'Product Master'!$A$2:$A$21,0))</f>
        <v>Bamboo Cutting Board</v>
      </c>
      <c r="F1067" s="0" t="str">
        <f aca="false">INDEX('Product Master'!$C$2:$C$21,MATCH(D1067,'Product Master'!$A$2:$A$21,0))</f>
        <v>Home Goods</v>
      </c>
      <c r="G1067" s="15" t="n">
        <f aca="false">VALUE(TRIM('Raw Store Exports'!E1067&amp;""))</f>
        <v>4</v>
      </c>
      <c r="H1067" s="18" t="n">
        <f aca="false">INDEX('Product Master'!$D$2:$D$21,MATCH(D1067,'Product Master'!$A$2:$A$21,0))</f>
        <v>27</v>
      </c>
      <c r="I1067" s="14" t="n">
        <f aca="false">G1067*H1067</f>
        <v>108</v>
      </c>
      <c r="J1067" s="0" t="str">
        <f aca="false">IF(COUNTIF($A$2:A1067,A1067)&gt;1,"Duplicate","")</f>
        <v/>
      </c>
    </row>
    <row r="1068" customFormat="false" ht="15" hidden="false" customHeight="false" outlineLevel="0" collapsed="false">
      <c r="A1068" s="0" t="str">
        <f aca="false">'Raw Store Exports'!A1068</f>
        <v>TXN00309</v>
      </c>
      <c r="B1068" s="17" t="n">
        <f aca="false">'Raw Store Exports'!C1068</f>
        <v>46044</v>
      </c>
      <c r="C1068" s="0" t="str">
        <f aca="false">INDEX('Store Mapping'!$C$2:$C$19,MATCH(TRIM('Raw Store Exports'!B1068),'Store Mapping'!$A$2:$A$19,0))</f>
        <v>Westside Mall</v>
      </c>
      <c r="D1068" s="0" t="str">
        <f aca="false">'Raw Store Exports'!D1068</f>
        <v>FTW-204</v>
      </c>
      <c r="E1068" s="0" t="str">
        <f aca="false">INDEX('Product Master'!$B$2:$B$21,MATCH(D1068,'Product Master'!$A$2:$A$21,0))</f>
        <v>Slide Sandals</v>
      </c>
      <c r="F1068" s="0" t="str">
        <f aca="false">INDEX('Product Master'!$C$2:$C$21,MATCH(D1068,'Product Master'!$A$2:$A$21,0))</f>
        <v>Footwear</v>
      </c>
      <c r="G1068" s="15" t="n">
        <f aca="false">VALUE(TRIM('Raw Store Exports'!E1068&amp;""))</f>
        <v>5</v>
      </c>
      <c r="H1068" s="18" t="n">
        <f aca="false">INDEX('Product Master'!$D$2:$D$21,MATCH(D1068,'Product Master'!$A$2:$A$21,0))</f>
        <v>25</v>
      </c>
      <c r="I1068" s="14" t="n">
        <f aca="false">G1068*H1068</f>
        <v>125</v>
      </c>
      <c r="J1068" s="0" t="str">
        <f aca="false">IF(COUNTIF($A$2:A1068,A1068)&gt;1,"Duplicate","")</f>
        <v/>
      </c>
    </row>
    <row r="1069" customFormat="false" ht="15" hidden="false" customHeight="false" outlineLevel="0" collapsed="false">
      <c r="A1069" s="0" t="str">
        <f aca="false">'Raw Store Exports'!A1069</f>
        <v>TXN00885</v>
      </c>
      <c r="B1069" s="17" t="n">
        <f aca="false">'Raw Store Exports'!C1069</f>
        <v>46063</v>
      </c>
      <c r="C1069" s="0" t="str">
        <f aca="false">INDEX('Store Mapping'!$C$2:$C$19,MATCH(TRIM('Raw Store Exports'!B1069),'Store Mapping'!$A$2:$A$19,0))</f>
        <v>Airport Plaza</v>
      </c>
      <c r="D1069" s="0" t="str">
        <f aca="false">'Raw Store Exports'!D1069</f>
        <v>APP-102</v>
      </c>
      <c r="E1069" s="0" t="str">
        <f aca="false">INDEX('Product Master'!$B$2:$B$21,MATCH(D1069,'Product Master'!$A$2:$A$21,0))</f>
        <v>Cotton Crew T-Shirt</v>
      </c>
      <c r="F1069" s="0" t="str">
        <f aca="false">INDEX('Product Master'!$C$2:$C$21,MATCH(D1069,'Product Master'!$A$2:$A$21,0))</f>
        <v>Apparel</v>
      </c>
      <c r="G1069" s="15" t="n">
        <f aca="false">VALUE(TRIM('Raw Store Exports'!E1069&amp;""))</f>
        <v>4</v>
      </c>
      <c r="H1069" s="18" t="n">
        <f aca="false">INDEX('Product Master'!$D$2:$D$21,MATCH(D1069,'Product Master'!$A$2:$A$21,0))</f>
        <v>18</v>
      </c>
      <c r="I1069" s="14" t="n">
        <f aca="false">G1069*H1069</f>
        <v>72</v>
      </c>
      <c r="J1069" s="0" t="str">
        <f aca="false">IF(COUNTIF($A$2:A1069,A1069)&gt;1,"Duplicate","")</f>
        <v/>
      </c>
    </row>
    <row r="1070" customFormat="false" ht="15" hidden="false" customHeight="false" outlineLevel="0" collapsed="false">
      <c r="A1070" s="0" t="str">
        <f aca="false">'Raw Store Exports'!A1070</f>
        <v>TXN00647</v>
      </c>
      <c r="B1070" s="17" t="n">
        <f aca="false">'Raw Store Exports'!C1070</f>
        <v>46055</v>
      </c>
      <c r="C1070" s="0" t="str">
        <f aca="false">INDEX('Store Mapping'!$C$2:$C$19,MATCH(TRIM('Raw Store Exports'!B1070),'Store Mapping'!$A$2:$A$19,0))</f>
        <v>Eastgate</v>
      </c>
      <c r="D1070" s="0" t="str">
        <f aca="false">'Raw Store Exports'!D1070</f>
        <v>ACC-304</v>
      </c>
      <c r="E1070" s="0" t="str">
        <f aca="false">INDEX('Product Master'!$B$2:$B$21,MATCH(D1070,'Product Master'!$A$2:$A$21,0))</f>
        <v>Wool Beanie</v>
      </c>
      <c r="F1070" s="0" t="str">
        <f aca="false">INDEX('Product Master'!$C$2:$C$21,MATCH(D1070,'Product Master'!$A$2:$A$21,0))</f>
        <v>Accessories</v>
      </c>
      <c r="G1070" s="15" t="n">
        <f aca="false">VALUE(TRIM('Raw Store Exports'!E1070&amp;""))</f>
        <v>5</v>
      </c>
      <c r="H1070" s="18" t="n">
        <f aca="false">INDEX('Product Master'!$D$2:$D$21,MATCH(D1070,'Product Master'!$A$2:$A$21,0))</f>
        <v>16</v>
      </c>
      <c r="I1070" s="14" t="n">
        <f aca="false">G1070*H1070</f>
        <v>80</v>
      </c>
      <c r="J1070" s="0" t="str">
        <f aca="false">IF(COUNTIF($A$2:A1070,A1070)&gt;1,"Duplicate","")</f>
        <v/>
      </c>
    </row>
    <row r="1071" customFormat="false" ht="15" hidden="false" customHeight="false" outlineLevel="0" collapsed="false">
      <c r="A1071" s="0" t="str">
        <f aca="false">'Raw Store Exports'!A1071</f>
        <v>TXN00731</v>
      </c>
      <c r="B1071" s="17" t="n">
        <f aca="false">'Raw Store Exports'!C1071</f>
        <v>46061</v>
      </c>
      <c r="C1071" s="0" t="str">
        <f aca="false">INDEX('Store Mapping'!$C$2:$C$19,MATCH(TRIM('Raw Store Exports'!B1071),'Store Mapping'!$A$2:$A$19,0))</f>
        <v>Airport Plaza</v>
      </c>
      <c r="D1071" s="0" t="str">
        <f aca="false">'Raw Store Exports'!D1071</f>
        <v>APP-104</v>
      </c>
      <c r="E1071" s="0" t="str">
        <f aca="false">INDEX('Product Master'!$B$2:$B$21,MATCH(D1071,'Product Master'!$A$2:$A$21,0))</f>
        <v>Slim Fit Chinos</v>
      </c>
      <c r="F1071" s="0" t="str">
        <f aca="false">INDEX('Product Master'!$C$2:$C$21,MATCH(D1071,'Product Master'!$A$2:$A$21,0))</f>
        <v>Apparel</v>
      </c>
      <c r="G1071" s="15" t="n">
        <f aca="false">VALUE(TRIM('Raw Store Exports'!E1071&amp;""))</f>
        <v>5</v>
      </c>
      <c r="H1071" s="18" t="n">
        <f aca="false">INDEX('Product Master'!$D$2:$D$21,MATCH(D1071,'Product Master'!$A$2:$A$21,0))</f>
        <v>52</v>
      </c>
      <c r="I1071" s="14" t="n">
        <f aca="false">G1071*H1071</f>
        <v>260</v>
      </c>
      <c r="J1071" s="0" t="str">
        <f aca="false">IF(COUNTIF($A$2:A1071,A1071)&gt;1,"Duplicate","")</f>
        <v/>
      </c>
    </row>
    <row r="1072" customFormat="false" ht="15" hidden="false" customHeight="false" outlineLevel="0" collapsed="false">
      <c r="A1072" s="0" t="str">
        <f aca="false">'Raw Store Exports'!A1072</f>
        <v>TXN01006</v>
      </c>
      <c r="B1072" s="17" t="n">
        <f aca="false">'Raw Store Exports'!C1072</f>
        <v>46070</v>
      </c>
      <c r="C1072" s="0" t="str">
        <f aca="false">INDEX('Store Mapping'!$C$2:$C$19,MATCH(TRIM('Raw Store Exports'!B1072),'Store Mapping'!$A$2:$A$19,0))</f>
        <v>Riverside</v>
      </c>
      <c r="D1072" s="0" t="str">
        <f aca="false">'Raw Store Exports'!D1072</f>
        <v>FTW-204</v>
      </c>
      <c r="E1072" s="0" t="str">
        <f aca="false">INDEX('Product Master'!$B$2:$B$21,MATCH(D1072,'Product Master'!$A$2:$A$21,0))</f>
        <v>Slide Sandals</v>
      </c>
      <c r="F1072" s="0" t="str">
        <f aca="false">INDEX('Product Master'!$C$2:$C$21,MATCH(D1072,'Product Master'!$A$2:$A$21,0))</f>
        <v>Footwear</v>
      </c>
      <c r="G1072" s="15" t="n">
        <f aca="false">VALUE(TRIM('Raw Store Exports'!E1072&amp;""))</f>
        <v>3</v>
      </c>
      <c r="H1072" s="18" t="n">
        <f aca="false">INDEX('Product Master'!$D$2:$D$21,MATCH(D1072,'Product Master'!$A$2:$A$21,0))</f>
        <v>25</v>
      </c>
      <c r="I1072" s="14" t="n">
        <f aca="false">G1072*H1072</f>
        <v>75</v>
      </c>
      <c r="J1072" s="0" t="str">
        <f aca="false">IF(COUNTIF($A$2:A1072,A1072)&gt;1,"Duplicate","")</f>
        <v/>
      </c>
    </row>
    <row r="1073" customFormat="false" ht="15" hidden="false" customHeight="false" outlineLevel="0" collapsed="false">
      <c r="A1073" s="0" t="str">
        <f aca="false">'Raw Store Exports'!A1073</f>
        <v>TXN01156</v>
      </c>
      <c r="B1073" s="17" t="n">
        <f aca="false">'Raw Store Exports'!C1073</f>
        <v>46076</v>
      </c>
      <c r="C1073" s="0" t="str">
        <f aca="false">INDEX('Store Mapping'!$C$2:$C$19,MATCH(TRIM('Raw Store Exports'!B1073),'Store Mapping'!$A$2:$A$19,0))</f>
        <v>Riverside</v>
      </c>
      <c r="D1073" s="0" t="str">
        <f aca="false">'Raw Store Exports'!D1073</f>
        <v>ELE-404</v>
      </c>
      <c r="E1073" s="0" t="str">
        <f aca="false">INDEX('Product Master'!$B$2:$B$21,MATCH(D1073,'Product Master'!$A$2:$A$21,0))</f>
        <v>Phone Charging Cable</v>
      </c>
      <c r="F1073" s="0" t="str">
        <f aca="false">INDEX('Product Master'!$C$2:$C$21,MATCH(D1073,'Product Master'!$A$2:$A$21,0))</f>
        <v>Electronics</v>
      </c>
      <c r="G1073" s="15" t="n">
        <f aca="false">VALUE(TRIM('Raw Store Exports'!E1073&amp;""))</f>
        <v>1</v>
      </c>
      <c r="H1073" s="18" t="n">
        <f aca="false">INDEX('Product Master'!$D$2:$D$21,MATCH(D1073,'Product Master'!$A$2:$A$21,0))</f>
        <v>12</v>
      </c>
      <c r="I1073" s="14" t="n">
        <f aca="false">G1073*H1073</f>
        <v>12</v>
      </c>
      <c r="J1073" s="0" t="str">
        <f aca="false">IF(COUNTIF($A$2:A1073,A1073)&gt;1,"Duplicate","")</f>
        <v/>
      </c>
    </row>
    <row r="1074" customFormat="false" ht="15" hidden="false" customHeight="false" outlineLevel="0" collapsed="false">
      <c r="A1074" s="0" t="str">
        <f aca="false">'Raw Store Exports'!A1074</f>
        <v>TXN00601</v>
      </c>
      <c r="B1074" s="17" t="n">
        <f aca="false">'Raw Store Exports'!C1074</f>
        <v>46056</v>
      </c>
      <c r="C1074" s="0" t="str">
        <f aca="false">INDEX('Store Mapping'!$C$2:$C$19,MATCH(TRIM('Raw Store Exports'!B1074),'Store Mapping'!$A$2:$A$19,0))</f>
        <v>Downtown</v>
      </c>
      <c r="D1074" s="0" t="str">
        <f aca="false">'Raw Store Exports'!D1074</f>
        <v>ELE-401</v>
      </c>
      <c r="E1074" s="0" t="str">
        <f aca="false">INDEX('Product Master'!$B$2:$B$21,MATCH(D1074,'Product Master'!$A$2:$A$21,0))</f>
        <v>Wireless Earbuds</v>
      </c>
      <c r="F1074" s="0" t="str">
        <f aca="false">INDEX('Product Master'!$C$2:$C$21,MATCH(D1074,'Product Master'!$A$2:$A$21,0))</f>
        <v>Electronics</v>
      </c>
      <c r="G1074" s="15" t="n">
        <f aca="false">VALUE(TRIM('Raw Store Exports'!E1074&amp;""))</f>
        <v>6</v>
      </c>
      <c r="H1074" s="18" t="n">
        <f aca="false">INDEX('Product Master'!$D$2:$D$21,MATCH(D1074,'Product Master'!$A$2:$A$21,0))</f>
        <v>79</v>
      </c>
      <c r="I1074" s="14" t="n">
        <f aca="false">G1074*H1074</f>
        <v>474</v>
      </c>
      <c r="J1074" s="0" t="str">
        <f aca="false">IF(COUNTIF($A$2:A1074,A1074)&gt;1,"Duplicate","")</f>
        <v/>
      </c>
    </row>
    <row r="1075" customFormat="false" ht="15" hidden="false" customHeight="false" outlineLevel="0" collapsed="false">
      <c r="A1075" s="0" t="str">
        <f aca="false">'Raw Store Exports'!A1075</f>
        <v>TXN00451</v>
      </c>
      <c r="B1075" s="17" t="n">
        <f aca="false">'Raw Store Exports'!C1075</f>
        <v>46051</v>
      </c>
      <c r="C1075" s="0" t="str">
        <f aca="false">INDEX('Store Mapping'!$C$2:$C$19,MATCH(TRIM('Raw Store Exports'!B1075),'Store Mapping'!$A$2:$A$19,0))</f>
        <v>Downtown</v>
      </c>
      <c r="D1075" s="0" t="str">
        <f aca="false">'Raw Store Exports'!D1075</f>
        <v>FTW-203</v>
      </c>
      <c r="E1075" s="0" t="str">
        <f aca="false">INDEX('Product Master'!$B$2:$B$21,MATCH(D1075,'Product Master'!$A$2:$A$21,0))</f>
        <v>Leather Ankle Boot</v>
      </c>
      <c r="F1075" s="0" t="str">
        <f aca="false">INDEX('Product Master'!$C$2:$C$21,MATCH(D1075,'Product Master'!$A$2:$A$21,0))</f>
        <v>Footwear</v>
      </c>
      <c r="G1075" s="15" t="n">
        <f aca="false">VALUE(TRIM('Raw Store Exports'!E1075&amp;""))</f>
        <v>1</v>
      </c>
      <c r="H1075" s="18" t="n">
        <f aca="false">INDEX('Product Master'!$D$2:$D$21,MATCH(D1075,'Product Master'!$A$2:$A$21,0))</f>
        <v>120</v>
      </c>
      <c r="I1075" s="14" t="n">
        <f aca="false">G1075*H1075</f>
        <v>120</v>
      </c>
      <c r="J1075" s="0" t="str">
        <f aca="false">IF(COUNTIF($A$2:A1075,A1075)&gt;1,"Duplicate","")</f>
        <v/>
      </c>
    </row>
    <row r="1076" customFormat="false" ht="15" hidden="false" customHeight="false" outlineLevel="0" collapsed="false">
      <c r="A1076" s="0" t="str">
        <f aca="false">'Raw Store Exports'!A1076</f>
        <v>TXN00127</v>
      </c>
      <c r="B1076" s="17" t="n">
        <f aca="false">'Raw Store Exports'!C1076</f>
        <v>46028</v>
      </c>
      <c r="C1076" s="0" t="str">
        <f aca="false">INDEX('Store Mapping'!$C$2:$C$19,MATCH(TRIM('Raw Store Exports'!B1076),'Store Mapping'!$A$2:$A$19,0))</f>
        <v>Airport Plaza</v>
      </c>
      <c r="D1076" s="0" t="str">
        <f aca="false">'Raw Store Exports'!D1076</f>
        <v>ACC-301</v>
      </c>
      <c r="E1076" s="0" t="str">
        <f aca="false">INDEX('Product Master'!$B$2:$B$21,MATCH(D1076,'Product Master'!$A$2:$A$21,0))</f>
        <v>Leather Belt</v>
      </c>
      <c r="F1076" s="0" t="str">
        <f aca="false">INDEX('Product Master'!$C$2:$C$21,MATCH(D1076,'Product Master'!$A$2:$A$21,0))</f>
        <v>Accessories</v>
      </c>
      <c r="G1076" s="15" t="n">
        <f aca="false">VALUE(TRIM('Raw Store Exports'!E1076&amp;""))</f>
        <v>3</v>
      </c>
      <c r="H1076" s="18" t="n">
        <f aca="false">INDEX('Product Master'!$D$2:$D$21,MATCH(D1076,'Product Master'!$A$2:$A$21,0))</f>
        <v>30</v>
      </c>
      <c r="I1076" s="14" t="n">
        <f aca="false">G1076*H1076</f>
        <v>90</v>
      </c>
      <c r="J1076" s="0" t="str">
        <f aca="false">IF(COUNTIF($A$2:A1076,A1076)&gt;1,"Duplicate","")</f>
        <v/>
      </c>
    </row>
    <row r="1077" customFormat="false" ht="15" hidden="false" customHeight="false" outlineLevel="0" collapsed="false">
      <c r="A1077" s="0" t="str">
        <f aca="false">'Raw Store Exports'!A1077</f>
        <v>TXN00533</v>
      </c>
      <c r="B1077" s="17" t="n">
        <f aca="false">'Raw Store Exports'!C1077</f>
        <v>46052</v>
      </c>
      <c r="C1077" s="0" t="str">
        <f aca="false">INDEX('Store Mapping'!$C$2:$C$19,MATCH(TRIM('Raw Store Exports'!B1077),'Store Mapping'!$A$2:$A$19,0))</f>
        <v>Northpark</v>
      </c>
      <c r="D1077" s="0" t="str">
        <f aca="false">'Raw Store Exports'!D1077</f>
        <v>HOM-503</v>
      </c>
      <c r="E1077" s="0" t="str">
        <f aca="false">INDEX('Product Master'!$B$2:$B$21,MATCH(D1077,'Product Master'!$A$2:$A$21,0))</f>
        <v>Cotton Throw Blanket</v>
      </c>
      <c r="F1077" s="0" t="str">
        <f aca="false">INDEX('Product Master'!$C$2:$C$21,MATCH(D1077,'Product Master'!$A$2:$A$21,0))</f>
        <v>Home Goods</v>
      </c>
      <c r="G1077" s="15" t="n">
        <f aca="false">VALUE(TRIM('Raw Store Exports'!E1077&amp;""))</f>
        <v>3</v>
      </c>
      <c r="H1077" s="18" t="n">
        <f aca="false">INDEX('Product Master'!$D$2:$D$21,MATCH(D1077,'Product Master'!$A$2:$A$21,0))</f>
        <v>38</v>
      </c>
      <c r="I1077" s="14" t="n">
        <f aca="false">G1077*H1077</f>
        <v>114</v>
      </c>
      <c r="J1077" s="0" t="str">
        <f aca="false">IF(COUNTIF($A$2:A1077,A1077)&gt;1,"Duplicate","")</f>
        <v/>
      </c>
    </row>
    <row r="1078" customFormat="false" ht="15" hidden="false" customHeight="false" outlineLevel="0" collapsed="false">
      <c r="A1078" s="0" t="str">
        <f aca="false">'Raw Store Exports'!A1078</f>
        <v>TXN00379</v>
      </c>
      <c r="B1078" s="17" t="n">
        <f aca="false">'Raw Store Exports'!C1078</f>
        <v>46044</v>
      </c>
      <c r="C1078" s="0" t="str">
        <f aca="false">INDEX('Store Mapping'!$C$2:$C$19,MATCH(TRIM('Raw Store Exports'!B1078),'Store Mapping'!$A$2:$A$19,0))</f>
        <v>Riverside</v>
      </c>
      <c r="D1078" s="0" t="str">
        <f aca="false">'Raw Store Exports'!D1078</f>
        <v>FTW-201</v>
      </c>
      <c r="E1078" s="0" t="str">
        <f aca="false">INDEX('Product Master'!$B$2:$B$21,MATCH(D1078,'Product Master'!$A$2:$A$21,0))</f>
        <v>Running Sneakers</v>
      </c>
      <c r="F1078" s="0" t="str">
        <f aca="false">INDEX('Product Master'!$C$2:$C$21,MATCH(D1078,'Product Master'!$A$2:$A$21,0))</f>
        <v>Footwear</v>
      </c>
      <c r="G1078" s="15" t="n">
        <f aca="false">VALUE(TRIM('Raw Store Exports'!E1078&amp;""))</f>
        <v>1</v>
      </c>
      <c r="H1078" s="18" t="n">
        <f aca="false">INDEX('Product Master'!$D$2:$D$21,MATCH(D1078,'Product Master'!$A$2:$A$21,0))</f>
        <v>89</v>
      </c>
      <c r="I1078" s="14" t="n">
        <f aca="false">G1078*H1078</f>
        <v>89</v>
      </c>
      <c r="J1078" s="0" t="str">
        <f aca="false">IF(COUNTIF($A$2:A1078,A1078)&gt;1,"Duplicate","")</f>
        <v/>
      </c>
    </row>
    <row r="1079" customFormat="false" ht="15" hidden="false" customHeight="false" outlineLevel="0" collapsed="false">
      <c r="A1079" s="0" t="str">
        <f aca="false">'Raw Store Exports'!A1079</f>
        <v>TXN00395</v>
      </c>
      <c r="B1079" s="17" t="n">
        <f aca="false">'Raw Store Exports'!C1079</f>
        <v>46044</v>
      </c>
      <c r="C1079" s="0" t="str">
        <f aca="false">INDEX('Store Mapping'!$C$2:$C$19,MATCH(TRIM('Raw Store Exports'!B1079),'Store Mapping'!$A$2:$A$19,0))</f>
        <v>Riverside</v>
      </c>
      <c r="D1079" s="0" t="str">
        <f aca="false">'Raw Store Exports'!D1079</f>
        <v>APP-104</v>
      </c>
      <c r="E1079" s="0" t="str">
        <f aca="false">INDEX('Product Master'!$B$2:$B$21,MATCH(D1079,'Product Master'!$A$2:$A$21,0))</f>
        <v>Slim Fit Chinos</v>
      </c>
      <c r="F1079" s="0" t="str">
        <f aca="false">INDEX('Product Master'!$C$2:$C$21,MATCH(D1079,'Product Master'!$A$2:$A$21,0))</f>
        <v>Apparel</v>
      </c>
      <c r="G1079" s="15" t="n">
        <f aca="false">VALUE(TRIM('Raw Store Exports'!E1079&amp;""))</f>
        <v>4</v>
      </c>
      <c r="H1079" s="18" t="n">
        <f aca="false">INDEX('Product Master'!$D$2:$D$21,MATCH(D1079,'Product Master'!$A$2:$A$21,0))</f>
        <v>52</v>
      </c>
      <c r="I1079" s="14" t="n">
        <f aca="false">G1079*H1079</f>
        <v>208</v>
      </c>
      <c r="J1079" s="0" t="str">
        <f aca="false">IF(COUNTIF($A$2:A1079,A1079)&gt;1,"Duplicate","")</f>
        <v/>
      </c>
    </row>
    <row r="1080" customFormat="false" ht="15" hidden="false" customHeight="false" outlineLevel="0" collapsed="false">
      <c r="A1080" s="0" t="str">
        <f aca="false">'Raw Store Exports'!A1080</f>
        <v>TXN00083</v>
      </c>
      <c r="B1080" s="17" t="n">
        <f aca="false">'Raw Store Exports'!C1080</f>
        <v>46033</v>
      </c>
      <c r="C1080" s="0" t="str">
        <f aca="false">INDEX('Store Mapping'!$C$2:$C$19,MATCH(TRIM('Raw Store Exports'!B1080),'Store Mapping'!$A$2:$A$19,0))</f>
        <v>Northpark</v>
      </c>
      <c r="D1080" s="0" t="str">
        <f aca="false">'Raw Store Exports'!D1080</f>
        <v>HOM-503</v>
      </c>
      <c r="E1080" s="0" t="str">
        <f aca="false">INDEX('Product Master'!$B$2:$B$21,MATCH(D1080,'Product Master'!$A$2:$A$21,0))</f>
        <v>Cotton Throw Blanket</v>
      </c>
      <c r="F1080" s="0" t="str">
        <f aca="false">INDEX('Product Master'!$C$2:$C$21,MATCH(D1080,'Product Master'!$A$2:$A$21,0))</f>
        <v>Home Goods</v>
      </c>
      <c r="G1080" s="15" t="n">
        <f aca="false">VALUE(TRIM('Raw Store Exports'!E1080&amp;""))</f>
        <v>6</v>
      </c>
      <c r="H1080" s="18" t="n">
        <f aca="false">INDEX('Product Master'!$D$2:$D$21,MATCH(D1080,'Product Master'!$A$2:$A$21,0))</f>
        <v>38</v>
      </c>
      <c r="I1080" s="14" t="n">
        <f aca="false">G1080*H1080</f>
        <v>228</v>
      </c>
      <c r="J1080" s="0" t="str">
        <f aca="false">IF(COUNTIF($A$2:A1080,A1080)&gt;1,"Duplicate","")</f>
        <v/>
      </c>
    </row>
    <row r="1081" customFormat="false" ht="15" hidden="false" customHeight="false" outlineLevel="0" collapsed="false">
      <c r="A1081" s="0" t="str">
        <f aca="false">'Raw Store Exports'!A1081</f>
        <v>TXN00467</v>
      </c>
      <c r="B1081" s="17" t="n">
        <f aca="false">'Raw Store Exports'!C1081</f>
        <v>46049</v>
      </c>
      <c r="C1081" s="0" t="str">
        <f aca="false">INDEX('Store Mapping'!$C$2:$C$19,MATCH(TRIM('Raw Store Exports'!B1081),'Store Mapping'!$A$2:$A$19,0))</f>
        <v>Westside Mall</v>
      </c>
      <c r="D1081" s="0" t="str">
        <f aca="false">'Raw Store Exports'!D1081</f>
        <v>HOM-503</v>
      </c>
      <c r="E1081" s="0" t="str">
        <f aca="false">INDEX('Product Master'!$B$2:$B$21,MATCH(D1081,'Product Master'!$A$2:$A$21,0))</f>
        <v>Cotton Throw Blanket</v>
      </c>
      <c r="F1081" s="0" t="str">
        <f aca="false">INDEX('Product Master'!$C$2:$C$21,MATCH(D1081,'Product Master'!$A$2:$A$21,0))</f>
        <v>Home Goods</v>
      </c>
      <c r="G1081" s="15" t="n">
        <f aca="false">VALUE(TRIM('Raw Store Exports'!E1081&amp;""))</f>
        <v>6</v>
      </c>
      <c r="H1081" s="18" t="n">
        <f aca="false">INDEX('Product Master'!$D$2:$D$21,MATCH(D1081,'Product Master'!$A$2:$A$21,0))</f>
        <v>38</v>
      </c>
      <c r="I1081" s="14" t="n">
        <f aca="false">G1081*H1081</f>
        <v>228</v>
      </c>
      <c r="J1081" s="0" t="str">
        <f aca="false">IF(COUNTIF($A$2:A1081,A1081)&gt;1,"Duplicate","")</f>
        <v/>
      </c>
    </row>
    <row r="1082" customFormat="false" ht="15" hidden="false" customHeight="false" outlineLevel="0" collapsed="false">
      <c r="A1082" s="0" t="str">
        <f aca="false">'Raw Store Exports'!A1082</f>
        <v>TXN01025</v>
      </c>
      <c r="B1082" s="17" t="n">
        <f aca="false">'Raw Store Exports'!C1082</f>
        <v>46074</v>
      </c>
      <c r="C1082" s="0" t="str">
        <f aca="false">INDEX('Store Mapping'!$C$2:$C$19,MATCH(TRIM('Raw Store Exports'!B1082),'Store Mapping'!$A$2:$A$19,0))</f>
        <v>Riverside</v>
      </c>
      <c r="D1082" s="0" t="str">
        <f aca="false">'Raw Store Exports'!D1082</f>
        <v>ELE-401</v>
      </c>
      <c r="E1082" s="0" t="str">
        <f aca="false">INDEX('Product Master'!$B$2:$B$21,MATCH(D1082,'Product Master'!$A$2:$A$21,0))</f>
        <v>Wireless Earbuds</v>
      </c>
      <c r="F1082" s="0" t="str">
        <f aca="false">INDEX('Product Master'!$C$2:$C$21,MATCH(D1082,'Product Master'!$A$2:$A$21,0))</f>
        <v>Electronics</v>
      </c>
      <c r="G1082" s="15" t="n">
        <f aca="false">VALUE(TRIM('Raw Store Exports'!E1082&amp;""))</f>
        <v>5</v>
      </c>
      <c r="H1082" s="18" t="n">
        <f aca="false">INDEX('Product Master'!$D$2:$D$21,MATCH(D1082,'Product Master'!$A$2:$A$21,0))</f>
        <v>79</v>
      </c>
      <c r="I1082" s="14" t="n">
        <f aca="false">G1082*H1082</f>
        <v>395</v>
      </c>
      <c r="J1082" s="0" t="str">
        <f aca="false">IF(COUNTIF($A$2:A1082,A1082)&gt;1,"Duplicate","")</f>
        <v/>
      </c>
    </row>
    <row r="1083" customFormat="false" ht="15" hidden="false" customHeight="false" outlineLevel="0" collapsed="false">
      <c r="A1083" s="0" t="str">
        <f aca="false">'Raw Store Exports'!A1083</f>
        <v>TXN00573</v>
      </c>
      <c r="B1083" s="17" t="n">
        <f aca="false">'Raw Store Exports'!C1083</f>
        <v>46049</v>
      </c>
      <c r="C1083" s="0" t="str">
        <f aca="false">INDEX('Store Mapping'!$C$2:$C$19,MATCH(TRIM('Raw Store Exports'!B1083),'Store Mapping'!$A$2:$A$19,0))</f>
        <v>Airport Plaza</v>
      </c>
      <c r="D1083" s="0" t="str">
        <f aca="false">'Raw Store Exports'!D1083</f>
        <v>ACC-302</v>
      </c>
      <c r="E1083" s="0" t="str">
        <f aca="false">INDEX('Product Master'!$B$2:$B$21,MATCH(D1083,'Product Master'!$A$2:$A$21,0))</f>
        <v>Aviator Sunglasses</v>
      </c>
      <c r="F1083" s="0" t="str">
        <f aca="false">INDEX('Product Master'!$C$2:$C$21,MATCH(D1083,'Product Master'!$A$2:$A$21,0))</f>
        <v>Accessories</v>
      </c>
      <c r="G1083" s="15" t="n">
        <f aca="false">VALUE(TRIM('Raw Store Exports'!E1083&amp;""))</f>
        <v>3</v>
      </c>
      <c r="H1083" s="18" t="n">
        <f aca="false">INDEX('Product Master'!$D$2:$D$21,MATCH(D1083,'Product Master'!$A$2:$A$21,0))</f>
        <v>42</v>
      </c>
      <c r="I1083" s="14" t="n">
        <f aca="false">G1083*H1083</f>
        <v>126</v>
      </c>
      <c r="J1083" s="0" t="str">
        <f aca="false">IF(COUNTIF($A$2:A1083,A1083)&gt;1,"Duplicate","")</f>
        <v/>
      </c>
    </row>
    <row r="1084" customFormat="false" ht="15" hidden="false" customHeight="false" outlineLevel="0" collapsed="false">
      <c r="A1084" s="0" t="str">
        <f aca="false">'Raw Store Exports'!A1084</f>
        <v>TXN01058</v>
      </c>
      <c r="B1084" s="17" t="n">
        <f aca="false">'Raw Store Exports'!C1084</f>
        <v>46080</v>
      </c>
      <c r="C1084" s="0" t="str">
        <f aca="false">INDEX('Store Mapping'!$C$2:$C$19,MATCH(TRIM('Raw Store Exports'!B1084),'Store Mapping'!$A$2:$A$19,0))</f>
        <v>Downtown</v>
      </c>
      <c r="D1084" s="0" t="str">
        <f aca="false">'Raw Store Exports'!D1084</f>
        <v>ELE-402</v>
      </c>
      <c r="E1084" s="0" t="str">
        <f aca="false">INDEX('Product Master'!$B$2:$B$21,MATCH(D1084,'Product Master'!$A$2:$A$21,0))</f>
        <v>Bluetooth Speaker</v>
      </c>
      <c r="F1084" s="0" t="str">
        <f aca="false">INDEX('Product Master'!$C$2:$C$21,MATCH(D1084,'Product Master'!$A$2:$A$21,0))</f>
        <v>Electronics</v>
      </c>
      <c r="G1084" s="15" t="n">
        <f aca="false">VALUE(TRIM('Raw Store Exports'!E1084&amp;""))</f>
        <v>5</v>
      </c>
      <c r="H1084" s="18" t="n">
        <f aca="false">INDEX('Product Master'!$D$2:$D$21,MATCH(D1084,'Product Master'!$A$2:$A$21,0))</f>
        <v>59</v>
      </c>
      <c r="I1084" s="14" t="n">
        <f aca="false">G1084*H1084</f>
        <v>295</v>
      </c>
      <c r="J1084" s="0" t="str">
        <f aca="false">IF(COUNTIF($A$2:A1084,A1084)&gt;1,"Duplicate","")</f>
        <v/>
      </c>
    </row>
    <row r="1085" customFormat="false" ht="15" hidden="false" customHeight="false" outlineLevel="0" collapsed="false">
      <c r="A1085" s="0" t="str">
        <f aca="false">'Raw Store Exports'!A1085</f>
        <v>TXN01180</v>
      </c>
      <c r="B1085" s="17" t="n">
        <f aca="false">'Raw Store Exports'!C1085</f>
        <v>46078</v>
      </c>
      <c r="C1085" s="0" t="str">
        <f aca="false">INDEX('Store Mapping'!$C$2:$C$19,MATCH(TRIM('Raw Store Exports'!B1085),'Store Mapping'!$A$2:$A$19,0))</f>
        <v>Airport Plaza</v>
      </c>
      <c r="D1085" s="0" t="str">
        <f aca="false">'Raw Store Exports'!D1085</f>
        <v>ELE-402</v>
      </c>
      <c r="E1085" s="0" t="str">
        <f aca="false">INDEX('Product Master'!$B$2:$B$21,MATCH(D1085,'Product Master'!$A$2:$A$21,0))</f>
        <v>Bluetooth Speaker</v>
      </c>
      <c r="F1085" s="0" t="str">
        <f aca="false">INDEX('Product Master'!$C$2:$C$21,MATCH(D1085,'Product Master'!$A$2:$A$21,0))</f>
        <v>Electronics</v>
      </c>
      <c r="G1085" s="15" t="n">
        <f aca="false">VALUE(TRIM('Raw Store Exports'!E1085&amp;""))</f>
        <v>3</v>
      </c>
      <c r="H1085" s="18" t="n">
        <f aca="false">INDEX('Product Master'!$D$2:$D$21,MATCH(D1085,'Product Master'!$A$2:$A$21,0))</f>
        <v>59</v>
      </c>
      <c r="I1085" s="14" t="n">
        <f aca="false">G1085*H1085</f>
        <v>177</v>
      </c>
      <c r="J1085" s="0" t="str">
        <f aca="false">IF(COUNTIF($A$2:A1085,A1085)&gt;1,"Duplicate","")</f>
        <v/>
      </c>
    </row>
    <row r="1086" customFormat="false" ht="15" hidden="false" customHeight="false" outlineLevel="0" collapsed="false">
      <c r="A1086" s="0" t="str">
        <f aca="false">'Raw Store Exports'!A1086</f>
        <v>TXN00729</v>
      </c>
      <c r="B1086" s="17" t="n">
        <f aca="false">'Raw Store Exports'!C1086</f>
        <v>46059</v>
      </c>
      <c r="C1086" s="0" t="str">
        <f aca="false">INDEX('Store Mapping'!$C$2:$C$19,MATCH(TRIM('Raw Store Exports'!B1086),'Store Mapping'!$A$2:$A$19,0))</f>
        <v>Airport Plaza</v>
      </c>
      <c r="D1086" s="0" t="str">
        <f aca="false">'Raw Store Exports'!D1086</f>
        <v>ELE-404</v>
      </c>
      <c r="E1086" s="0" t="str">
        <f aca="false">INDEX('Product Master'!$B$2:$B$21,MATCH(D1086,'Product Master'!$A$2:$A$21,0))</f>
        <v>Phone Charging Cable</v>
      </c>
      <c r="F1086" s="0" t="str">
        <f aca="false">INDEX('Product Master'!$C$2:$C$21,MATCH(D1086,'Product Master'!$A$2:$A$21,0))</f>
        <v>Electronics</v>
      </c>
      <c r="G1086" s="15" t="n">
        <f aca="false">VALUE(TRIM('Raw Store Exports'!E1086&amp;""))</f>
        <v>3</v>
      </c>
      <c r="H1086" s="18" t="n">
        <f aca="false">INDEX('Product Master'!$D$2:$D$21,MATCH(D1086,'Product Master'!$A$2:$A$21,0))</f>
        <v>12</v>
      </c>
      <c r="I1086" s="14" t="n">
        <f aca="false">G1086*H1086</f>
        <v>36</v>
      </c>
      <c r="J1086" s="0" t="str">
        <f aca="false">IF(COUNTIF($A$2:A1086,A1086)&gt;1,"Duplicate","")</f>
        <v/>
      </c>
    </row>
    <row r="1087" customFormat="false" ht="15" hidden="false" customHeight="false" outlineLevel="0" collapsed="false">
      <c r="A1087" s="0" t="str">
        <f aca="false">'Raw Store Exports'!A1087</f>
        <v>TXN00105</v>
      </c>
      <c r="B1087" s="17" t="n">
        <f aca="false">'Raw Store Exports'!C1087</f>
        <v>46029</v>
      </c>
      <c r="C1087" s="0" t="str">
        <f aca="false">INDEX('Store Mapping'!$C$2:$C$19,MATCH(TRIM('Raw Store Exports'!B1087),'Store Mapping'!$A$2:$A$19,0))</f>
        <v>Riverside</v>
      </c>
      <c r="D1087" s="0" t="str">
        <f aca="false">'Raw Store Exports'!D1087</f>
        <v>APP-101</v>
      </c>
      <c r="E1087" s="0" t="str">
        <f aca="false">INDEX('Product Master'!$B$2:$B$21,MATCH(D1087,'Product Master'!$A$2:$A$21,0))</f>
        <v>Classic Denim Jacket</v>
      </c>
      <c r="F1087" s="0" t="str">
        <f aca="false">INDEX('Product Master'!$C$2:$C$21,MATCH(D1087,'Product Master'!$A$2:$A$21,0))</f>
        <v>Apparel</v>
      </c>
      <c r="G1087" s="15" t="n">
        <f aca="false">VALUE(TRIM('Raw Store Exports'!E1087&amp;""))</f>
        <v>2</v>
      </c>
      <c r="H1087" s="18" t="n">
        <f aca="false">INDEX('Product Master'!$D$2:$D$21,MATCH(D1087,'Product Master'!$A$2:$A$21,0))</f>
        <v>68</v>
      </c>
      <c r="I1087" s="14" t="n">
        <f aca="false">G1087*H1087</f>
        <v>136</v>
      </c>
      <c r="J1087" s="0" t="str">
        <f aca="false">IF(COUNTIF($A$2:A1087,A1087)&gt;1,"Duplicate","")</f>
        <v/>
      </c>
    </row>
    <row r="1088" customFormat="false" ht="15" hidden="false" customHeight="false" outlineLevel="0" collapsed="false">
      <c r="A1088" s="0" t="str">
        <f aca="false">'Raw Store Exports'!A1088</f>
        <v>TXN00156</v>
      </c>
      <c r="B1088" s="17" t="n">
        <f aca="false">'Raw Store Exports'!C1088</f>
        <v>46035</v>
      </c>
      <c r="C1088" s="0" t="str">
        <f aca="false">INDEX('Store Mapping'!$C$2:$C$19,MATCH(TRIM('Raw Store Exports'!B1088),'Store Mapping'!$A$2:$A$19,0))</f>
        <v>Downtown</v>
      </c>
      <c r="D1088" s="0" t="str">
        <f aca="false">'Raw Store Exports'!D1088</f>
        <v>HOM-503</v>
      </c>
      <c r="E1088" s="0" t="str">
        <f aca="false">INDEX('Product Master'!$B$2:$B$21,MATCH(D1088,'Product Master'!$A$2:$A$21,0))</f>
        <v>Cotton Throw Blanket</v>
      </c>
      <c r="F1088" s="0" t="str">
        <f aca="false">INDEX('Product Master'!$C$2:$C$21,MATCH(D1088,'Product Master'!$A$2:$A$21,0))</f>
        <v>Home Goods</v>
      </c>
      <c r="G1088" s="15" t="n">
        <f aca="false">VALUE(TRIM('Raw Store Exports'!E1088&amp;""))</f>
        <v>5</v>
      </c>
      <c r="H1088" s="18" t="n">
        <f aca="false">INDEX('Product Master'!$D$2:$D$21,MATCH(D1088,'Product Master'!$A$2:$A$21,0))</f>
        <v>38</v>
      </c>
      <c r="I1088" s="14" t="n">
        <f aca="false">G1088*H1088</f>
        <v>190</v>
      </c>
      <c r="J1088" s="0" t="str">
        <f aca="false">IF(COUNTIF($A$2:A1088,A1088)&gt;1,"Duplicate","")</f>
        <v/>
      </c>
    </row>
    <row r="1089" customFormat="false" ht="15" hidden="false" customHeight="false" outlineLevel="0" collapsed="false">
      <c r="A1089" s="0" t="str">
        <f aca="false">'Raw Store Exports'!A1089</f>
        <v>TXN00037</v>
      </c>
      <c r="B1089" s="17" t="n">
        <f aca="false">'Raw Store Exports'!C1089</f>
        <v>46033</v>
      </c>
      <c r="C1089" s="0" t="str">
        <f aca="false">INDEX('Store Mapping'!$C$2:$C$19,MATCH(TRIM('Raw Store Exports'!B1089),'Store Mapping'!$A$2:$A$19,0))</f>
        <v>Westside Mall</v>
      </c>
      <c r="D1089" s="0" t="str">
        <f aca="false">'Raw Store Exports'!D1089</f>
        <v>ACC-304</v>
      </c>
      <c r="E1089" s="0" t="str">
        <f aca="false">INDEX('Product Master'!$B$2:$B$21,MATCH(D1089,'Product Master'!$A$2:$A$21,0))</f>
        <v>Wool Beanie</v>
      </c>
      <c r="F1089" s="0" t="str">
        <f aca="false">INDEX('Product Master'!$C$2:$C$21,MATCH(D1089,'Product Master'!$A$2:$A$21,0))</f>
        <v>Accessories</v>
      </c>
      <c r="G1089" s="15" t="n">
        <f aca="false">VALUE(TRIM('Raw Store Exports'!E1089&amp;""))</f>
        <v>1</v>
      </c>
      <c r="H1089" s="18" t="n">
        <f aca="false">INDEX('Product Master'!$D$2:$D$21,MATCH(D1089,'Product Master'!$A$2:$A$21,0))</f>
        <v>16</v>
      </c>
      <c r="I1089" s="14" t="n">
        <f aca="false">G1089*H1089</f>
        <v>16</v>
      </c>
      <c r="J1089" s="0" t="str">
        <f aca="false">IF(COUNTIF($A$2:A1089,A1089)&gt;1,"Duplicate","")</f>
        <v/>
      </c>
    </row>
    <row r="1090" customFormat="false" ht="15" hidden="false" customHeight="false" outlineLevel="0" collapsed="false">
      <c r="A1090" s="0" t="str">
        <f aca="false">'Raw Store Exports'!A1090</f>
        <v>TXN01067</v>
      </c>
      <c r="B1090" s="17" t="n">
        <f aca="false">'Raw Store Exports'!C1090</f>
        <v>46080</v>
      </c>
      <c r="C1090" s="0" t="str">
        <f aca="false">INDEX('Store Mapping'!$C$2:$C$19,MATCH(TRIM('Raw Store Exports'!B1090),'Store Mapping'!$A$2:$A$19,0))</f>
        <v>Downtown</v>
      </c>
      <c r="D1090" s="0" t="str">
        <f aca="false">'Raw Store Exports'!D1090</f>
        <v>HOM-504</v>
      </c>
      <c r="E1090" s="0" t="str">
        <f aca="false">INDEX('Product Master'!$B$2:$B$21,MATCH(D1090,'Product Master'!$A$2:$A$21,0))</f>
        <v>Bamboo Cutting Board</v>
      </c>
      <c r="F1090" s="0" t="str">
        <f aca="false">INDEX('Product Master'!$C$2:$C$21,MATCH(D1090,'Product Master'!$A$2:$A$21,0))</f>
        <v>Home Goods</v>
      </c>
      <c r="G1090" s="15" t="n">
        <f aca="false">VALUE(TRIM('Raw Store Exports'!E1090&amp;""))</f>
        <v>6</v>
      </c>
      <c r="H1090" s="18" t="n">
        <f aca="false">INDEX('Product Master'!$D$2:$D$21,MATCH(D1090,'Product Master'!$A$2:$A$21,0))</f>
        <v>27</v>
      </c>
      <c r="I1090" s="14" t="n">
        <f aca="false">G1090*H1090</f>
        <v>162</v>
      </c>
      <c r="J1090" s="0" t="str">
        <f aca="false">IF(COUNTIF($A$2:A1090,A1090)&gt;1,"Duplicate","")</f>
        <v/>
      </c>
    </row>
    <row r="1091" customFormat="false" ht="15" hidden="false" customHeight="false" outlineLevel="0" collapsed="false">
      <c r="A1091" s="0" t="str">
        <f aca="false">'Raw Store Exports'!A1091</f>
        <v>TXN00823</v>
      </c>
      <c r="B1091" s="17" t="n">
        <f aca="false">'Raw Store Exports'!C1091</f>
        <v>46064</v>
      </c>
      <c r="C1091" s="0" t="str">
        <f aca="false">INDEX('Store Mapping'!$C$2:$C$19,MATCH(TRIM('Raw Store Exports'!B1091),'Store Mapping'!$A$2:$A$19,0))</f>
        <v>Eastgate</v>
      </c>
      <c r="D1091" s="0" t="str">
        <f aca="false">'Raw Store Exports'!D1091</f>
        <v>ELE-401</v>
      </c>
      <c r="E1091" s="0" t="str">
        <f aca="false">INDEX('Product Master'!$B$2:$B$21,MATCH(D1091,'Product Master'!$A$2:$A$21,0))</f>
        <v>Wireless Earbuds</v>
      </c>
      <c r="F1091" s="0" t="str">
        <f aca="false">INDEX('Product Master'!$C$2:$C$21,MATCH(D1091,'Product Master'!$A$2:$A$21,0))</f>
        <v>Electronics</v>
      </c>
      <c r="G1091" s="15" t="n">
        <f aca="false">VALUE(TRIM('Raw Store Exports'!E1091&amp;""))</f>
        <v>4</v>
      </c>
      <c r="H1091" s="18" t="n">
        <f aca="false">INDEX('Product Master'!$D$2:$D$21,MATCH(D1091,'Product Master'!$A$2:$A$21,0))</f>
        <v>79</v>
      </c>
      <c r="I1091" s="14" t="n">
        <f aca="false">G1091*H1091</f>
        <v>316</v>
      </c>
      <c r="J1091" s="0" t="str">
        <f aca="false">IF(COUNTIF($A$2:A1091,A1091)&gt;1,"Duplicate","")</f>
        <v>Duplicate</v>
      </c>
    </row>
    <row r="1092" customFormat="false" ht="15" hidden="false" customHeight="false" outlineLevel="0" collapsed="false">
      <c r="A1092" s="0" t="str">
        <f aca="false">'Raw Store Exports'!A1092</f>
        <v>TXN00772</v>
      </c>
      <c r="B1092" s="17" t="n">
        <f aca="false">'Raw Store Exports'!C1092</f>
        <v>46062</v>
      </c>
      <c r="C1092" s="0" t="str">
        <f aca="false">INDEX('Store Mapping'!$C$2:$C$19,MATCH(TRIM('Raw Store Exports'!B1092),'Store Mapping'!$A$2:$A$19,0))</f>
        <v>Downtown</v>
      </c>
      <c r="D1092" s="0" t="str">
        <f aca="false">'Raw Store Exports'!D1092</f>
        <v>ACC-303</v>
      </c>
      <c r="E1092" s="0" t="str">
        <f aca="false">INDEX('Product Master'!$B$2:$B$21,MATCH(D1092,'Product Master'!$A$2:$A$21,0))</f>
        <v>Canvas Tote Bag</v>
      </c>
      <c r="F1092" s="0" t="str">
        <f aca="false">INDEX('Product Master'!$C$2:$C$21,MATCH(D1092,'Product Master'!$A$2:$A$21,0))</f>
        <v>Accessories</v>
      </c>
      <c r="G1092" s="15" t="n">
        <f aca="false">VALUE(TRIM('Raw Store Exports'!E1092&amp;""))</f>
        <v>4</v>
      </c>
      <c r="H1092" s="18" t="n">
        <f aca="false">INDEX('Product Master'!$D$2:$D$21,MATCH(D1092,'Product Master'!$A$2:$A$21,0))</f>
        <v>24</v>
      </c>
      <c r="I1092" s="14" t="n">
        <f aca="false">G1092*H1092</f>
        <v>96</v>
      </c>
      <c r="J1092" s="0" t="str">
        <f aca="false">IF(COUNTIF($A$2:A1092,A1092)&gt;1,"Duplicate","")</f>
        <v/>
      </c>
    </row>
    <row r="1093" customFormat="false" ht="15" hidden="false" customHeight="false" outlineLevel="0" collapsed="false">
      <c r="A1093" s="0" t="str">
        <f aca="false">'Raw Store Exports'!A1093</f>
        <v>TXN00245</v>
      </c>
      <c r="B1093" s="17" t="n">
        <f aca="false">'Raw Store Exports'!C1093</f>
        <v>46038</v>
      </c>
      <c r="C1093" s="0" t="str">
        <f aca="false">INDEX('Store Mapping'!$C$2:$C$19,MATCH(TRIM('Raw Store Exports'!B1093),'Store Mapping'!$A$2:$A$19,0))</f>
        <v>Riverside</v>
      </c>
      <c r="D1093" s="0" t="str">
        <f aca="false">'Raw Store Exports'!D1093</f>
        <v>APP-103</v>
      </c>
      <c r="E1093" s="0" t="str">
        <f aca="false">INDEX('Product Master'!$B$2:$B$21,MATCH(D1093,'Product Master'!$A$2:$A$21,0))</f>
        <v>Fleece Pullover Hoodie</v>
      </c>
      <c r="F1093" s="0" t="str">
        <f aca="false">INDEX('Product Master'!$C$2:$C$21,MATCH(D1093,'Product Master'!$A$2:$A$21,0))</f>
        <v>Apparel</v>
      </c>
      <c r="G1093" s="15" t="n">
        <f aca="false">VALUE(TRIM('Raw Store Exports'!E1093&amp;""))</f>
        <v>3</v>
      </c>
      <c r="H1093" s="18" t="n">
        <f aca="false">INDEX('Product Master'!$D$2:$D$21,MATCH(D1093,'Product Master'!$A$2:$A$21,0))</f>
        <v>45</v>
      </c>
      <c r="I1093" s="14" t="n">
        <f aca="false">G1093*H1093</f>
        <v>135</v>
      </c>
      <c r="J1093" s="0" t="str">
        <f aca="false">IF(COUNTIF($A$2:A1093,A1093)&gt;1,"Duplicate","")</f>
        <v/>
      </c>
    </row>
    <row r="1094" customFormat="false" ht="15" hidden="false" customHeight="false" outlineLevel="0" collapsed="false">
      <c r="A1094" s="0" t="str">
        <f aca="false">'Raw Store Exports'!A1094</f>
        <v>TXN00192</v>
      </c>
      <c r="B1094" s="17" t="n">
        <f aca="false">'Raw Store Exports'!C1094</f>
        <v>46040</v>
      </c>
      <c r="C1094" s="0" t="str">
        <f aca="false">INDEX('Store Mapping'!$C$2:$C$19,MATCH(TRIM('Raw Store Exports'!B1094),'Store Mapping'!$A$2:$A$19,0))</f>
        <v>Eastgate</v>
      </c>
      <c r="D1094" s="0" t="str">
        <f aca="false">'Raw Store Exports'!D1094</f>
        <v>APP-103</v>
      </c>
      <c r="E1094" s="0" t="str">
        <f aca="false">INDEX('Product Master'!$B$2:$B$21,MATCH(D1094,'Product Master'!$A$2:$A$21,0))</f>
        <v>Fleece Pullover Hoodie</v>
      </c>
      <c r="F1094" s="0" t="str">
        <f aca="false">INDEX('Product Master'!$C$2:$C$21,MATCH(D1094,'Product Master'!$A$2:$A$21,0))</f>
        <v>Apparel</v>
      </c>
      <c r="G1094" s="15" t="n">
        <f aca="false">VALUE(TRIM('Raw Store Exports'!E1094&amp;""))</f>
        <v>1</v>
      </c>
      <c r="H1094" s="18" t="n">
        <f aca="false">INDEX('Product Master'!$D$2:$D$21,MATCH(D1094,'Product Master'!$A$2:$A$21,0))</f>
        <v>45</v>
      </c>
      <c r="I1094" s="14" t="n">
        <f aca="false">G1094*H1094</f>
        <v>45</v>
      </c>
      <c r="J1094" s="0" t="str">
        <f aca="false">IF(COUNTIF($A$2:A1094,A1094)&gt;1,"Duplicate","")</f>
        <v/>
      </c>
    </row>
    <row r="1095" customFormat="false" ht="15" hidden="false" customHeight="false" outlineLevel="0" collapsed="false">
      <c r="A1095" s="0" t="str">
        <f aca="false">'Raw Store Exports'!A1095</f>
        <v>TXN00239</v>
      </c>
      <c r="B1095" s="17" t="n">
        <f aca="false">'Raw Store Exports'!C1095</f>
        <v>46036</v>
      </c>
      <c r="C1095" s="0" t="str">
        <f aca="false">INDEX('Store Mapping'!$C$2:$C$19,MATCH(TRIM('Raw Store Exports'!B1095),'Store Mapping'!$A$2:$A$19,0))</f>
        <v>Riverside</v>
      </c>
      <c r="D1095" s="0" t="str">
        <f aca="false">'Raw Store Exports'!D1095</f>
        <v>FTW-204</v>
      </c>
      <c r="E1095" s="0" t="str">
        <f aca="false">INDEX('Product Master'!$B$2:$B$21,MATCH(D1095,'Product Master'!$A$2:$A$21,0))</f>
        <v>Slide Sandals</v>
      </c>
      <c r="F1095" s="0" t="str">
        <f aca="false">INDEX('Product Master'!$C$2:$C$21,MATCH(D1095,'Product Master'!$A$2:$A$21,0))</f>
        <v>Footwear</v>
      </c>
      <c r="G1095" s="15" t="n">
        <f aca="false">VALUE(TRIM('Raw Store Exports'!E1095&amp;""))</f>
        <v>6</v>
      </c>
      <c r="H1095" s="18" t="n">
        <f aca="false">INDEX('Product Master'!$D$2:$D$21,MATCH(D1095,'Product Master'!$A$2:$A$21,0))</f>
        <v>25</v>
      </c>
      <c r="I1095" s="14" t="n">
        <f aca="false">G1095*H1095</f>
        <v>150</v>
      </c>
      <c r="J1095" s="0" t="str">
        <f aca="false">IF(COUNTIF($A$2:A1095,A1095)&gt;1,"Duplicate","")</f>
        <v>Duplicate</v>
      </c>
    </row>
    <row r="1096" customFormat="false" ht="15" hidden="false" customHeight="false" outlineLevel="0" collapsed="false">
      <c r="A1096" s="0" t="str">
        <f aca="false">'Raw Store Exports'!A1096</f>
        <v>TXN00754</v>
      </c>
      <c r="B1096" s="17" t="n">
        <f aca="false">'Raw Store Exports'!C1096</f>
        <v>46067</v>
      </c>
      <c r="C1096" s="0" t="str">
        <f aca="false">INDEX('Store Mapping'!$C$2:$C$19,MATCH(TRIM('Raw Store Exports'!B1096),'Store Mapping'!$A$2:$A$19,0))</f>
        <v>Downtown</v>
      </c>
      <c r="D1096" s="0" t="str">
        <f aca="false">'Raw Store Exports'!D1096</f>
        <v>ACC-302</v>
      </c>
      <c r="E1096" s="0" t="str">
        <f aca="false">INDEX('Product Master'!$B$2:$B$21,MATCH(D1096,'Product Master'!$A$2:$A$21,0))</f>
        <v>Aviator Sunglasses</v>
      </c>
      <c r="F1096" s="0" t="str">
        <f aca="false">INDEX('Product Master'!$C$2:$C$21,MATCH(D1096,'Product Master'!$A$2:$A$21,0))</f>
        <v>Accessories</v>
      </c>
      <c r="G1096" s="15" t="n">
        <f aca="false">VALUE(TRIM('Raw Store Exports'!E1096&amp;""))</f>
        <v>1</v>
      </c>
      <c r="H1096" s="18" t="n">
        <f aca="false">INDEX('Product Master'!$D$2:$D$21,MATCH(D1096,'Product Master'!$A$2:$A$21,0))</f>
        <v>42</v>
      </c>
      <c r="I1096" s="14" t="n">
        <f aca="false">G1096*H1096</f>
        <v>42</v>
      </c>
      <c r="J1096" s="0" t="str">
        <f aca="false">IF(COUNTIF($A$2:A1096,A1096)&gt;1,"Duplicate","")</f>
        <v>Duplicate</v>
      </c>
    </row>
    <row r="1097" customFormat="false" ht="15" hidden="false" customHeight="false" outlineLevel="0" collapsed="false">
      <c r="A1097" s="0" t="str">
        <f aca="false">'Raw Store Exports'!A1097</f>
        <v>TXN00845</v>
      </c>
      <c r="B1097" s="17" t="n">
        <f aca="false">'Raw Store Exports'!C1097</f>
        <v>46065</v>
      </c>
      <c r="C1097" s="0" t="str">
        <f aca="false">INDEX('Store Mapping'!$C$2:$C$19,MATCH(TRIM('Raw Store Exports'!B1097),'Store Mapping'!$A$2:$A$19,0))</f>
        <v>Northpark</v>
      </c>
      <c r="D1097" s="0" t="str">
        <f aca="false">'Raw Store Exports'!D1097</f>
        <v>FTW-204</v>
      </c>
      <c r="E1097" s="0" t="str">
        <f aca="false">INDEX('Product Master'!$B$2:$B$21,MATCH(D1097,'Product Master'!$A$2:$A$21,0))</f>
        <v>Slide Sandals</v>
      </c>
      <c r="F1097" s="0" t="str">
        <f aca="false">INDEX('Product Master'!$C$2:$C$21,MATCH(D1097,'Product Master'!$A$2:$A$21,0))</f>
        <v>Footwear</v>
      </c>
      <c r="G1097" s="15" t="n">
        <f aca="false">VALUE(TRIM('Raw Store Exports'!E1097&amp;""))</f>
        <v>5</v>
      </c>
      <c r="H1097" s="18" t="n">
        <f aca="false">INDEX('Product Master'!$D$2:$D$21,MATCH(D1097,'Product Master'!$A$2:$A$21,0))</f>
        <v>25</v>
      </c>
      <c r="I1097" s="14" t="n">
        <f aca="false">G1097*H1097</f>
        <v>125</v>
      </c>
      <c r="J1097" s="0" t="str">
        <f aca="false">IF(COUNTIF($A$2:A1097,A1097)&gt;1,"Duplicate","")</f>
        <v/>
      </c>
    </row>
    <row r="1098" customFormat="false" ht="15" hidden="false" customHeight="false" outlineLevel="0" collapsed="false">
      <c r="A1098" s="0" t="str">
        <f aca="false">'Raw Store Exports'!A1098</f>
        <v>TXN00110</v>
      </c>
      <c r="B1098" s="17" t="n">
        <f aca="false">'Raw Store Exports'!C1098</f>
        <v>46028</v>
      </c>
      <c r="C1098" s="0" t="str">
        <f aca="false">INDEX('Store Mapping'!$C$2:$C$19,MATCH(TRIM('Raw Store Exports'!B1098),'Store Mapping'!$A$2:$A$19,0))</f>
        <v>Riverside</v>
      </c>
      <c r="D1098" s="0" t="str">
        <f aca="false">'Raw Store Exports'!D1098</f>
        <v>HOM-503</v>
      </c>
      <c r="E1098" s="0" t="str">
        <f aca="false">INDEX('Product Master'!$B$2:$B$21,MATCH(D1098,'Product Master'!$A$2:$A$21,0))</f>
        <v>Cotton Throw Blanket</v>
      </c>
      <c r="F1098" s="0" t="str">
        <f aca="false">INDEX('Product Master'!$C$2:$C$21,MATCH(D1098,'Product Master'!$A$2:$A$21,0))</f>
        <v>Home Goods</v>
      </c>
      <c r="G1098" s="15" t="n">
        <f aca="false">VALUE(TRIM('Raw Store Exports'!E1098&amp;""))</f>
        <v>5</v>
      </c>
      <c r="H1098" s="18" t="n">
        <f aca="false">INDEX('Product Master'!$D$2:$D$21,MATCH(D1098,'Product Master'!$A$2:$A$21,0))</f>
        <v>38</v>
      </c>
      <c r="I1098" s="14" t="n">
        <f aca="false">G1098*H1098</f>
        <v>190</v>
      </c>
      <c r="J1098" s="0" t="str">
        <f aca="false">IF(COUNTIF($A$2:A1098,A1098)&gt;1,"Duplicate","")</f>
        <v/>
      </c>
    </row>
    <row r="1099" customFormat="false" ht="15" hidden="false" customHeight="false" outlineLevel="0" collapsed="false">
      <c r="A1099" s="0" t="str">
        <f aca="false">'Raw Store Exports'!A1099</f>
        <v>TXN00912</v>
      </c>
      <c r="B1099" s="17" t="n">
        <f aca="false">'Raw Store Exports'!C1099</f>
        <v>46073</v>
      </c>
      <c r="C1099" s="0" t="str">
        <f aca="false">INDEX('Store Mapping'!$C$2:$C$19,MATCH(TRIM('Raw Store Exports'!B1099),'Store Mapping'!$A$2:$A$19,0))</f>
        <v>Downtown</v>
      </c>
      <c r="D1099" s="0" t="str">
        <f aca="false">'Raw Store Exports'!D1099</f>
        <v>HOM-501</v>
      </c>
      <c r="E1099" s="0" t="str">
        <f aca="false">INDEX('Product Master'!$B$2:$B$21,MATCH(D1099,'Product Master'!$A$2:$A$21,0))</f>
        <v>Ceramic Coffee Mug Set</v>
      </c>
      <c r="F1099" s="0" t="str">
        <f aca="false">INDEX('Product Master'!$C$2:$C$21,MATCH(D1099,'Product Master'!$A$2:$A$21,0))</f>
        <v>Home Goods</v>
      </c>
      <c r="G1099" s="15" t="n">
        <f aca="false">VALUE(TRIM('Raw Store Exports'!E1099&amp;""))</f>
        <v>3</v>
      </c>
      <c r="H1099" s="18" t="n">
        <f aca="false">INDEX('Product Master'!$D$2:$D$21,MATCH(D1099,'Product Master'!$A$2:$A$21,0))</f>
        <v>22</v>
      </c>
      <c r="I1099" s="14" t="n">
        <f aca="false">G1099*H1099</f>
        <v>66</v>
      </c>
      <c r="J1099" s="0" t="str">
        <f aca="false">IF(COUNTIF($A$2:A1099,A1099)&gt;1,"Duplicate","")</f>
        <v/>
      </c>
    </row>
    <row r="1100" customFormat="false" ht="15" hidden="false" customHeight="false" outlineLevel="0" collapsed="false">
      <c r="A1100" s="0" t="str">
        <f aca="false">'Raw Store Exports'!A1100</f>
        <v>TXN00214</v>
      </c>
      <c r="B1100" s="17" t="n">
        <f aca="false">'Raw Store Exports'!C1100</f>
        <v>46039</v>
      </c>
      <c r="C1100" s="0" t="str">
        <f aca="false">INDEX('Store Mapping'!$C$2:$C$19,MATCH(TRIM('Raw Store Exports'!B1100),'Store Mapping'!$A$2:$A$19,0))</f>
        <v>Northpark</v>
      </c>
      <c r="D1100" s="0" t="str">
        <f aca="false">'Raw Store Exports'!D1100</f>
        <v>ACC-302</v>
      </c>
      <c r="E1100" s="0" t="str">
        <f aca="false">INDEX('Product Master'!$B$2:$B$21,MATCH(D1100,'Product Master'!$A$2:$A$21,0))</f>
        <v>Aviator Sunglasses</v>
      </c>
      <c r="F1100" s="0" t="str">
        <f aca="false">INDEX('Product Master'!$C$2:$C$21,MATCH(D1100,'Product Master'!$A$2:$A$21,0))</f>
        <v>Accessories</v>
      </c>
      <c r="G1100" s="15" t="n">
        <f aca="false">VALUE(TRIM('Raw Store Exports'!E1100&amp;""))</f>
        <v>2</v>
      </c>
      <c r="H1100" s="18" t="n">
        <f aca="false">INDEX('Product Master'!$D$2:$D$21,MATCH(D1100,'Product Master'!$A$2:$A$21,0))</f>
        <v>42</v>
      </c>
      <c r="I1100" s="14" t="n">
        <f aca="false">G1100*H1100</f>
        <v>84</v>
      </c>
      <c r="J1100" s="0" t="str">
        <f aca="false">IF(COUNTIF($A$2:A1100,A1100)&gt;1,"Duplicate","")</f>
        <v/>
      </c>
    </row>
    <row r="1101" customFormat="false" ht="15" hidden="false" customHeight="false" outlineLevel="0" collapsed="false">
      <c r="A1101" s="0" t="str">
        <f aca="false">'Raw Store Exports'!A1101</f>
        <v>TXN00476</v>
      </c>
      <c r="B1101" s="17" t="n">
        <f aca="false">'Raw Store Exports'!C1101</f>
        <v>46048</v>
      </c>
      <c r="C1101" s="0" t="str">
        <f aca="false">INDEX('Store Mapping'!$C$2:$C$19,MATCH(TRIM('Raw Store Exports'!B1101),'Store Mapping'!$A$2:$A$19,0))</f>
        <v>Westside Mall</v>
      </c>
      <c r="D1101" s="0" t="str">
        <f aca="false">'Raw Store Exports'!D1101</f>
        <v>APP-102</v>
      </c>
      <c r="E1101" s="0" t="str">
        <f aca="false">INDEX('Product Master'!$B$2:$B$21,MATCH(D1101,'Product Master'!$A$2:$A$21,0))</f>
        <v>Cotton Crew T-Shirt</v>
      </c>
      <c r="F1101" s="0" t="str">
        <f aca="false">INDEX('Product Master'!$C$2:$C$21,MATCH(D1101,'Product Master'!$A$2:$A$21,0))</f>
        <v>Apparel</v>
      </c>
      <c r="G1101" s="15" t="n">
        <f aca="false">VALUE(TRIM('Raw Store Exports'!E1101&amp;""))</f>
        <v>4</v>
      </c>
      <c r="H1101" s="18" t="n">
        <f aca="false">INDEX('Product Master'!$D$2:$D$21,MATCH(D1101,'Product Master'!$A$2:$A$21,0))</f>
        <v>18</v>
      </c>
      <c r="I1101" s="14" t="n">
        <f aca="false">G1101*H1101</f>
        <v>72</v>
      </c>
      <c r="J1101" s="0" t="str">
        <f aca="false">IF(COUNTIF($A$2:A1101,A1101)&gt;1,"Duplicate","")</f>
        <v/>
      </c>
    </row>
    <row r="1102" customFormat="false" ht="15" hidden="false" customHeight="false" outlineLevel="0" collapsed="false">
      <c r="A1102" s="0" t="str">
        <f aca="false">'Raw Store Exports'!A1102</f>
        <v>TXN00448</v>
      </c>
      <c r="B1102" s="17" t="n">
        <f aca="false">'Raw Store Exports'!C1102</f>
        <v>46048</v>
      </c>
      <c r="C1102" s="0" t="str">
        <f aca="false">INDEX('Store Mapping'!$C$2:$C$19,MATCH(TRIM('Raw Store Exports'!B1102),'Store Mapping'!$A$2:$A$19,0))</f>
        <v>Downtown</v>
      </c>
      <c r="D1102" s="0" t="str">
        <f aca="false">'Raw Store Exports'!D1102</f>
        <v>HOM-504</v>
      </c>
      <c r="E1102" s="0" t="str">
        <f aca="false">INDEX('Product Master'!$B$2:$B$21,MATCH(D1102,'Product Master'!$A$2:$A$21,0))</f>
        <v>Bamboo Cutting Board</v>
      </c>
      <c r="F1102" s="0" t="str">
        <f aca="false">INDEX('Product Master'!$C$2:$C$21,MATCH(D1102,'Product Master'!$A$2:$A$21,0))</f>
        <v>Home Goods</v>
      </c>
      <c r="G1102" s="15" t="n">
        <f aca="false">VALUE(TRIM('Raw Store Exports'!E1102&amp;""))</f>
        <v>6</v>
      </c>
      <c r="H1102" s="18" t="n">
        <f aca="false">INDEX('Product Master'!$D$2:$D$21,MATCH(D1102,'Product Master'!$A$2:$A$21,0))</f>
        <v>27</v>
      </c>
      <c r="I1102" s="14" t="n">
        <f aca="false">G1102*H1102</f>
        <v>162</v>
      </c>
      <c r="J1102" s="0" t="str">
        <f aca="false">IF(COUNTIF($A$2:A1102,A1102)&gt;1,"Duplicate","")</f>
        <v/>
      </c>
    </row>
    <row r="1103" customFormat="false" ht="15" hidden="false" customHeight="false" outlineLevel="0" collapsed="false">
      <c r="A1103" s="0" t="str">
        <f aca="false">'Raw Store Exports'!A1103</f>
        <v>TXN00699</v>
      </c>
      <c r="B1103" s="17" t="n">
        <f aca="false">'Raw Store Exports'!C1103</f>
        <v>46058</v>
      </c>
      <c r="C1103" s="0" t="str">
        <f aca="false">INDEX('Store Mapping'!$C$2:$C$19,MATCH(TRIM('Raw Store Exports'!B1103),'Store Mapping'!$A$2:$A$19,0))</f>
        <v>Riverside</v>
      </c>
      <c r="D1103" s="0" t="str">
        <f aca="false">'Raw Store Exports'!D1103</f>
        <v>ACC-303</v>
      </c>
      <c r="E1103" s="0" t="str">
        <f aca="false">INDEX('Product Master'!$B$2:$B$21,MATCH(D1103,'Product Master'!$A$2:$A$21,0))</f>
        <v>Canvas Tote Bag</v>
      </c>
      <c r="F1103" s="0" t="str">
        <f aca="false">INDEX('Product Master'!$C$2:$C$21,MATCH(D1103,'Product Master'!$A$2:$A$21,0))</f>
        <v>Accessories</v>
      </c>
      <c r="G1103" s="15" t="n">
        <f aca="false">VALUE(TRIM('Raw Store Exports'!E1103&amp;""))</f>
        <v>4</v>
      </c>
      <c r="H1103" s="18" t="n">
        <f aca="false">INDEX('Product Master'!$D$2:$D$21,MATCH(D1103,'Product Master'!$A$2:$A$21,0))</f>
        <v>24</v>
      </c>
      <c r="I1103" s="14" t="n">
        <f aca="false">G1103*H1103</f>
        <v>96</v>
      </c>
      <c r="J1103" s="0" t="str">
        <f aca="false">IF(COUNTIF($A$2:A1103,A1103)&gt;1,"Duplicate","")</f>
        <v/>
      </c>
    </row>
    <row r="1104" customFormat="false" ht="15" hidden="false" customHeight="false" outlineLevel="0" collapsed="false">
      <c r="A1104" s="0" t="str">
        <f aca="false">'Raw Store Exports'!A1104</f>
        <v>TXN00712</v>
      </c>
      <c r="B1104" s="17" t="n">
        <f aca="false">'Raw Store Exports'!C1104</f>
        <v>46060</v>
      </c>
      <c r="C1104" s="0" t="str">
        <f aca="false">INDEX('Store Mapping'!$C$2:$C$19,MATCH(TRIM('Raw Store Exports'!B1104),'Store Mapping'!$A$2:$A$19,0))</f>
        <v>Riverside</v>
      </c>
      <c r="D1104" s="0" t="str">
        <f aca="false">'Raw Store Exports'!D1104</f>
        <v>ACC-304</v>
      </c>
      <c r="E1104" s="0" t="str">
        <f aca="false">INDEX('Product Master'!$B$2:$B$21,MATCH(D1104,'Product Master'!$A$2:$A$21,0))</f>
        <v>Wool Beanie</v>
      </c>
      <c r="F1104" s="0" t="str">
        <f aca="false">INDEX('Product Master'!$C$2:$C$21,MATCH(D1104,'Product Master'!$A$2:$A$21,0))</f>
        <v>Accessories</v>
      </c>
      <c r="G1104" s="15" t="n">
        <f aca="false">VALUE(TRIM('Raw Store Exports'!E1104&amp;""))</f>
        <v>6</v>
      </c>
      <c r="H1104" s="18" t="n">
        <f aca="false">INDEX('Product Master'!$D$2:$D$21,MATCH(D1104,'Product Master'!$A$2:$A$21,0))</f>
        <v>16</v>
      </c>
      <c r="I1104" s="14" t="n">
        <f aca="false">G1104*H1104</f>
        <v>96</v>
      </c>
      <c r="J1104" s="0" t="str">
        <f aca="false">IF(COUNTIF($A$2:A1104,A1104)&gt;1,"Duplicate","")</f>
        <v/>
      </c>
    </row>
    <row r="1105" customFormat="false" ht="15" hidden="false" customHeight="false" outlineLevel="0" collapsed="false">
      <c r="A1105" s="0" t="str">
        <f aca="false">'Raw Store Exports'!A1105</f>
        <v>TXN00174</v>
      </c>
      <c r="B1105" s="17" t="n">
        <f aca="false">'Raw Store Exports'!C1105</f>
        <v>46038</v>
      </c>
      <c r="C1105" s="0" t="str">
        <f aca="false">INDEX('Store Mapping'!$C$2:$C$19,MATCH(TRIM('Raw Store Exports'!B1105),'Store Mapping'!$A$2:$A$19,0))</f>
        <v>Westside Mall</v>
      </c>
      <c r="D1105" s="0" t="str">
        <f aca="false">'Raw Store Exports'!D1105</f>
        <v>ELE-402</v>
      </c>
      <c r="E1105" s="0" t="str">
        <f aca="false">INDEX('Product Master'!$B$2:$B$21,MATCH(D1105,'Product Master'!$A$2:$A$21,0))</f>
        <v>Bluetooth Speaker</v>
      </c>
      <c r="F1105" s="0" t="str">
        <f aca="false">INDEX('Product Master'!$C$2:$C$21,MATCH(D1105,'Product Master'!$A$2:$A$21,0))</f>
        <v>Electronics</v>
      </c>
      <c r="G1105" s="15" t="n">
        <f aca="false">VALUE(TRIM('Raw Store Exports'!E1105&amp;""))</f>
        <v>5</v>
      </c>
      <c r="H1105" s="18" t="n">
        <f aca="false">INDEX('Product Master'!$D$2:$D$21,MATCH(D1105,'Product Master'!$A$2:$A$21,0))</f>
        <v>59</v>
      </c>
      <c r="I1105" s="14" t="n">
        <f aca="false">G1105*H1105</f>
        <v>295</v>
      </c>
      <c r="J1105" s="0" t="str">
        <f aca="false">IF(COUNTIF($A$2:A1105,A1105)&gt;1,"Duplicate","")</f>
        <v/>
      </c>
    </row>
    <row r="1106" customFormat="false" ht="15" hidden="false" customHeight="false" outlineLevel="0" collapsed="false">
      <c r="A1106" s="0" t="str">
        <f aca="false">'Raw Store Exports'!A1106</f>
        <v>TXN00130</v>
      </c>
      <c r="B1106" s="17" t="n">
        <f aca="false">'Raw Store Exports'!C1106</f>
        <v>46028</v>
      </c>
      <c r="C1106" s="0" t="str">
        <f aca="false">INDEX('Store Mapping'!$C$2:$C$19,MATCH(TRIM('Raw Store Exports'!B1106),'Store Mapping'!$A$2:$A$19,0))</f>
        <v>Airport Plaza</v>
      </c>
      <c r="D1106" s="0" t="str">
        <f aca="false">'Raw Store Exports'!D1106</f>
        <v>HOM-501</v>
      </c>
      <c r="E1106" s="0" t="str">
        <f aca="false">INDEX('Product Master'!$B$2:$B$21,MATCH(D1106,'Product Master'!$A$2:$A$21,0))</f>
        <v>Ceramic Coffee Mug Set</v>
      </c>
      <c r="F1106" s="0" t="str">
        <f aca="false">INDEX('Product Master'!$C$2:$C$21,MATCH(D1106,'Product Master'!$A$2:$A$21,0))</f>
        <v>Home Goods</v>
      </c>
      <c r="G1106" s="15" t="n">
        <f aca="false">VALUE(TRIM('Raw Store Exports'!E1106&amp;""))</f>
        <v>2</v>
      </c>
      <c r="H1106" s="18" t="n">
        <f aca="false">INDEX('Product Master'!$D$2:$D$21,MATCH(D1106,'Product Master'!$A$2:$A$21,0))</f>
        <v>22</v>
      </c>
      <c r="I1106" s="14" t="n">
        <f aca="false">G1106*H1106</f>
        <v>44</v>
      </c>
      <c r="J1106" s="0" t="str">
        <f aca="false">IF(COUNTIF($A$2:A1106,A1106)&gt;1,"Duplicate","")</f>
        <v>Duplicate</v>
      </c>
    </row>
    <row r="1107" customFormat="false" ht="15" hidden="false" customHeight="false" outlineLevel="0" collapsed="false">
      <c r="A1107" s="0" t="str">
        <f aca="false">'Raw Store Exports'!A1107</f>
        <v>TXN01114</v>
      </c>
      <c r="B1107" s="17" t="n">
        <f aca="false">'Raw Store Exports'!C1107</f>
        <v>46076</v>
      </c>
      <c r="C1107" s="0" t="str">
        <f aca="false">INDEX('Store Mapping'!$C$2:$C$19,MATCH(TRIM('Raw Store Exports'!B1107),'Store Mapping'!$A$2:$A$19,0))</f>
        <v>Eastgate</v>
      </c>
      <c r="D1107" s="0" t="str">
        <f aca="false">'Raw Store Exports'!D1107</f>
        <v>APP-102</v>
      </c>
      <c r="E1107" s="0" t="str">
        <f aca="false">INDEX('Product Master'!$B$2:$B$21,MATCH(D1107,'Product Master'!$A$2:$A$21,0))</f>
        <v>Cotton Crew T-Shirt</v>
      </c>
      <c r="F1107" s="0" t="str">
        <f aca="false">INDEX('Product Master'!$C$2:$C$21,MATCH(D1107,'Product Master'!$A$2:$A$21,0))</f>
        <v>Apparel</v>
      </c>
      <c r="G1107" s="15" t="n">
        <f aca="false">VALUE(TRIM('Raw Store Exports'!E1107&amp;""))</f>
        <v>6</v>
      </c>
      <c r="H1107" s="18" t="n">
        <f aca="false">INDEX('Product Master'!$D$2:$D$21,MATCH(D1107,'Product Master'!$A$2:$A$21,0))</f>
        <v>18</v>
      </c>
      <c r="I1107" s="14" t="n">
        <f aca="false">G1107*H1107</f>
        <v>108</v>
      </c>
      <c r="J1107" s="0" t="str">
        <f aca="false">IF(COUNTIF($A$2:A1107,A1107)&gt;1,"Duplicate","")</f>
        <v/>
      </c>
    </row>
    <row r="1108" customFormat="false" ht="15" hidden="false" customHeight="false" outlineLevel="0" collapsed="false">
      <c r="A1108" s="0" t="str">
        <f aca="false">'Raw Store Exports'!A1108</f>
        <v>TXN00593</v>
      </c>
      <c r="B1108" s="17" t="n">
        <f aca="false">'Raw Store Exports'!C1108</f>
        <v>46060</v>
      </c>
      <c r="C1108" s="0" t="str">
        <f aca="false">INDEX('Store Mapping'!$C$2:$C$19,MATCH(TRIM('Raw Store Exports'!B1108),'Store Mapping'!$A$2:$A$19,0))</f>
        <v>Downtown</v>
      </c>
      <c r="D1108" s="0" t="str">
        <f aca="false">'Raw Store Exports'!D1108</f>
        <v>ELE-401</v>
      </c>
      <c r="E1108" s="0" t="str">
        <f aca="false">INDEX('Product Master'!$B$2:$B$21,MATCH(D1108,'Product Master'!$A$2:$A$21,0))</f>
        <v>Wireless Earbuds</v>
      </c>
      <c r="F1108" s="0" t="str">
        <f aca="false">INDEX('Product Master'!$C$2:$C$21,MATCH(D1108,'Product Master'!$A$2:$A$21,0))</f>
        <v>Electronics</v>
      </c>
      <c r="G1108" s="15" t="n">
        <f aca="false">VALUE(TRIM('Raw Store Exports'!E1108&amp;""))</f>
        <v>4</v>
      </c>
      <c r="H1108" s="18" t="n">
        <f aca="false">INDEX('Product Master'!$D$2:$D$21,MATCH(D1108,'Product Master'!$A$2:$A$21,0))</f>
        <v>79</v>
      </c>
      <c r="I1108" s="14" t="n">
        <f aca="false">G1108*H1108</f>
        <v>316</v>
      </c>
      <c r="J1108" s="0" t="str">
        <f aca="false">IF(COUNTIF($A$2:A1108,A1108)&gt;1,"Duplicate","")</f>
        <v/>
      </c>
    </row>
    <row r="1109" customFormat="false" ht="15" hidden="false" customHeight="false" outlineLevel="0" collapsed="false">
      <c r="A1109" s="0" t="str">
        <f aca="false">'Raw Store Exports'!A1109</f>
        <v>TXN00045</v>
      </c>
      <c r="B1109" s="17" t="n">
        <f aca="false">'Raw Store Exports'!C1109</f>
        <v>46027</v>
      </c>
      <c r="C1109" s="0" t="str">
        <f aca="false">INDEX('Store Mapping'!$C$2:$C$19,MATCH(TRIM('Raw Store Exports'!B1109),'Store Mapping'!$A$2:$A$19,0))</f>
        <v>Westside Mall</v>
      </c>
      <c r="D1109" s="0" t="str">
        <f aca="false">'Raw Store Exports'!D1109</f>
        <v>HOM-501</v>
      </c>
      <c r="E1109" s="0" t="str">
        <f aca="false">INDEX('Product Master'!$B$2:$B$21,MATCH(D1109,'Product Master'!$A$2:$A$21,0))</f>
        <v>Ceramic Coffee Mug Set</v>
      </c>
      <c r="F1109" s="0" t="str">
        <f aca="false">INDEX('Product Master'!$C$2:$C$21,MATCH(D1109,'Product Master'!$A$2:$A$21,0))</f>
        <v>Home Goods</v>
      </c>
      <c r="G1109" s="15" t="n">
        <f aca="false">VALUE(TRIM('Raw Store Exports'!E1109&amp;""))</f>
        <v>5</v>
      </c>
      <c r="H1109" s="18" t="n">
        <f aca="false">INDEX('Product Master'!$D$2:$D$21,MATCH(D1109,'Product Master'!$A$2:$A$21,0))</f>
        <v>22</v>
      </c>
      <c r="I1109" s="14" t="n">
        <f aca="false">G1109*H1109</f>
        <v>110</v>
      </c>
      <c r="J1109" s="0" t="str">
        <f aca="false">IF(COUNTIF($A$2:A1109,A1109)&gt;1,"Duplicate","")</f>
        <v/>
      </c>
    </row>
    <row r="1110" customFormat="false" ht="15" hidden="false" customHeight="false" outlineLevel="0" collapsed="false">
      <c r="A1110" s="0" t="str">
        <f aca="false">'Raw Store Exports'!A1110</f>
        <v>TXN00506</v>
      </c>
      <c r="B1110" s="17" t="n">
        <f aca="false">'Raw Store Exports'!C1110</f>
        <v>46048</v>
      </c>
      <c r="C1110" s="0" t="str">
        <f aca="false">INDEX('Store Mapping'!$C$2:$C$19,MATCH(TRIM('Raw Store Exports'!B1110),'Store Mapping'!$A$2:$A$19,0))</f>
        <v>Northpark</v>
      </c>
      <c r="D1110" s="0" t="str">
        <f aca="false">'Raw Store Exports'!D1110</f>
        <v>APP-103</v>
      </c>
      <c r="E1110" s="0" t="str">
        <f aca="false">INDEX('Product Master'!$B$2:$B$21,MATCH(D1110,'Product Master'!$A$2:$A$21,0))</f>
        <v>Fleece Pullover Hoodie</v>
      </c>
      <c r="F1110" s="0" t="str">
        <f aca="false">INDEX('Product Master'!$C$2:$C$21,MATCH(D1110,'Product Master'!$A$2:$A$21,0))</f>
        <v>Apparel</v>
      </c>
      <c r="G1110" s="15" t="n">
        <f aca="false">VALUE(TRIM('Raw Store Exports'!E1110&amp;""))</f>
        <v>3</v>
      </c>
      <c r="H1110" s="18" t="n">
        <f aca="false">INDEX('Product Master'!$D$2:$D$21,MATCH(D1110,'Product Master'!$A$2:$A$21,0))</f>
        <v>45</v>
      </c>
      <c r="I1110" s="14" t="n">
        <f aca="false">G1110*H1110</f>
        <v>135</v>
      </c>
      <c r="J1110" s="0" t="str">
        <f aca="false">IF(COUNTIF($A$2:A1110,A1110)&gt;1,"Duplicate","")</f>
        <v/>
      </c>
    </row>
    <row r="1111" customFormat="false" ht="15" hidden="false" customHeight="false" outlineLevel="0" collapsed="false">
      <c r="A1111" s="0" t="str">
        <f aca="false">'Raw Store Exports'!A1111</f>
        <v>TXN00660</v>
      </c>
      <c r="B1111" s="17" t="n">
        <f aca="false">'Raw Store Exports'!C1111</f>
        <v>46056</v>
      </c>
      <c r="C1111" s="0" t="str">
        <f aca="false">INDEX('Store Mapping'!$C$2:$C$19,MATCH(TRIM('Raw Store Exports'!B1111),'Store Mapping'!$A$2:$A$19,0))</f>
        <v>Eastgate</v>
      </c>
      <c r="D1111" s="0" t="str">
        <f aca="false">'Raw Store Exports'!D1111</f>
        <v>HOM-504</v>
      </c>
      <c r="E1111" s="0" t="str">
        <f aca="false">INDEX('Product Master'!$B$2:$B$21,MATCH(D1111,'Product Master'!$A$2:$A$21,0))</f>
        <v>Bamboo Cutting Board</v>
      </c>
      <c r="F1111" s="0" t="str">
        <f aca="false">INDEX('Product Master'!$C$2:$C$21,MATCH(D1111,'Product Master'!$A$2:$A$21,0))</f>
        <v>Home Goods</v>
      </c>
      <c r="G1111" s="15" t="n">
        <f aca="false">VALUE(TRIM('Raw Store Exports'!E1111&amp;""))</f>
        <v>3</v>
      </c>
      <c r="H1111" s="18" t="n">
        <f aca="false">INDEX('Product Master'!$D$2:$D$21,MATCH(D1111,'Product Master'!$A$2:$A$21,0))</f>
        <v>27</v>
      </c>
      <c r="I1111" s="14" t="n">
        <f aca="false">G1111*H1111</f>
        <v>81</v>
      </c>
      <c r="J1111" s="0" t="str">
        <f aca="false">IF(COUNTIF($A$2:A1111,A1111)&gt;1,"Duplicate","")</f>
        <v/>
      </c>
    </row>
    <row r="1112" customFormat="false" ht="15" hidden="false" customHeight="false" outlineLevel="0" collapsed="false">
      <c r="A1112" s="0" t="str">
        <f aca="false">'Raw Store Exports'!A1112</f>
        <v>TXN01136</v>
      </c>
      <c r="B1112" s="17" t="n">
        <f aca="false">'Raw Store Exports'!C1112</f>
        <v>46076</v>
      </c>
      <c r="C1112" s="0" t="str">
        <f aca="false">INDEX('Store Mapping'!$C$2:$C$19,MATCH(TRIM('Raw Store Exports'!B1112),'Store Mapping'!$A$2:$A$19,0))</f>
        <v>Northpark</v>
      </c>
      <c r="D1112" s="0" t="str">
        <f aca="false">'Raw Store Exports'!D1112</f>
        <v>HOM-502</v>
      </c>
      <c r="E1112" s="0" t="str">
        <f aca="false">INDEX('Product Master'!$B$2:$B$21,MATCH(D1112,'Product Master'!$A$2:$A$21,0))</f>
        <v>Scented Candle</v>
      </c>
      <c r="F1112" s="0" t="str">
        <f aca="false">INDEX('Product Master'!$C$2:$C$21,MATCH(D1112,'Product Master'!$A$2:$A$21,0))</f>
        <v>Home Goods</v>
      </c>
      <c r="G1112" s="15" t="n">
        <f aca="false">VALUE(TRIM('Raw Store Exports'!E1112&amp;""))</f>
        <v>4</v>
      </c>
      <c r="H1112" s="18" t="n">
        <f aca="false">INDEX('Product Master'!$D$2:$D$21,MATCH(D1112,'Product Master'!$A$2:$A$21,0))</f>
        <v>15</v>
      </c>
      <c r="I1112" s="14" t="n">
        <f aca="false">G1112*H1112</f>
        <v>60</v>
      </c>
      <c r="J1112" s="0" t="str">
        <f aca="false">IF(COUNTIF($A$2:A1112,A1112)&gt;1,"Duplicate","")</f>
        <v/>
      </c>
    </row>
    <row r="1113" customFormat="false" ht="15" hidden="false" customHeight="false" outlineLevel="0" collapsed="false">
      <c r="A1113" s="0" t="str">
        <f aca="false">'Raw Store Exports'!A1113</f>
        <v>TXN00682</v>
      </c>
      <c r="B1113" s="17" t="n">
        <f aca="false">'Raw Store Exports'!C1113</f>
        <v>46060</v>
      </c>
      <c r="C1113" s="0" t="str">
        <f aca="false">INDEX('Store Mapping'!$C$2:$C$19,MATCH(TRIM('Raw Store Exports'!B1113),'Store Mapping'!$A$2:$A$19,0))</f>
        <v>Northpark</v>
      </c>
      <c r="D1113" s="0" t="str">
        <f aca="false">'Raw Store Exports'!D1113</f>
        <v>FTW-202</v>
      </c>
      <c r="E1113" s="0" t="str">
        <f aca="false">INDEX('Product Master'!$B$2:$B$21,MATCH(D1113,'Product Master'!$A$2:$A$21,0))</f>
        <v>Canvas Low-Top</v>
      </c>
      <c r="F1113" s="0" t="str">
        <f aca="false">INDEX('Product Master'!$C$2:$C$21,MATCH(D1113,'Product Master'!$A$2:$A$21,0))</f>
        <v>Footwear</v>
      </c>
      <c r="G1113" s="15" t="n">
        <f aca="false">VALUE(TRIM('Raw Store Exports'!E1113&amp;""))</f>
        <v>1</v>
      </c>
      <c r="H1113" s="18" t="n">
        <f aca="false">INDEX('Product Master'!$D$2:$D$21,MATCH(D1113,'Product Master'!$A$2:$A$21,0))</f>
        <v>55</v>
      </c>
      <c r="I1113" s="14" t="n">
        <f aca="false">G1113*H1113</f>
        <v>55</v>
      </c>
      <c r="J1113" s="0" t="str">
        <f aca="false">IF(COUNTIF($A$2:A1113,A1113)&gt;1,"Duplicate","")</f>
        <v/>
      </c>
    </row>
    <row r="1114" customFormat="false" ht="15" hidden="false" customHeight="false" outlineLevel="0" collapsed="false">
      <c r="A1114" s="0" t="str">
        <f aca="false">'Raw Store Exports'!A1114</f>
        <v>TXN00187</v>
      </c>
      <c r="B1114" s="17" t="n">
        <f aca="false">'Raw Store Exports'!C1114</f>
        <v>46039</v>
      </c>
      <c r="C1114" s="0" t="str">
        <f aca="false">INDEX('Store Mapping'!$C$2:$C$19,MATCH(TRIM('Raw Store Exports'!B1114),'Store Mapping'!$A$2:$A$19,0))</f>
        <v>Eastgate</v>
      </c>
      <c r="D1114" s="0" t="str">
        <f aca="false">'Raw Store Exports'!D1114</f>
        <v>ACC-303</v>
      </c>
      <c r="E1114" s="0" t="str">
        <f aca="false">INDEX('Product Master'!$B$2:$B$21,MATCH(D1114,'Product Master'!$A$2:$A$21,0))</f>
        <v>Canvas Tote Bag</v>
      </c>
      <c r="F1114" s="0" t="str">
        <f aca="false">INDEX('Product Master'!$C$2:$C$21,MATCH(D1114,'Product Master'!$A$2:$A$21,0))</f>
        <v>Accessories</v>
      </c>
      <c r="G1114" s="15" t="n">
        <f aca="false">VALUE(TRIM('Raw Store Exports'!E1114&amp;""))</f>
        <v>1</v>
      </c>
      <c r="H1114" s="18" t="n">
        <f aca="false">INDEX('Product Master'!$D$2:$D$21,MATCH(D1114,'Product Master'!$A$2:$A$21,0))</f>
        <v>24</v>
      </c>
      <c r="I1114" s="14" t="n">
        <f aca="false">G1114*H1114</f>
        <v>24</v>
      </c>
      <c r="J1114" s="0" t="str">
        <f aca="false">IF(COUNTIF($A$2:A1114,A1114)&gt;1,"Duplicate","")</f>
        <v/>
      </c>
    </row>
    <row r="1115" customFormat="false" ht="15" hidden="false" customHeight="false" outlineLevel="0" collapsed="false">
      <c r="A1115" s="0" t="str">
        <f aca="false">'Raw Store Exports'!A1115</f>
        <v>TXN00362</v>
      </c>
      <c r="B1115" s="17" t="n">
        <f aca="false">'Raw Store Exports'!C1115</f>
        <v>46041</v>
      </c>
      <c r="C1115" s="0" t="str">
        <f aca="false">INDEX('Store Mapping'!$C$2:$C$19,MATCH(TRIM('Raw Store Exports'!B1115),'Store Mapping'!$A$2:$A$19,0))</f>
        <v>Northpark</v>
      </c>
      <c r="D1115" s="0" t="str">
        <f aca="false">'Raw Store Exports'!D1115</f>
        <v>HOM-504</v>
      </c>
      <c r="E1115" s="0" t="str">
        <f aca="false">INDEX('Product Master'!$B$2:$B$21,MATCH(D1115,'Product Master'!$A$2:$A$21,0))</f>
        <v>Bamboo Cutting Board</v>
      </c>
      <c r="F1115" s="0" t="str">
        <f aca="false">INDEX('Product Master'!$C$2:$C$21,MATCH(D1115,'Product Master'!$A$2:$A$21,0))</f>
        <v>Home Goods</v>
      </c>
      <c r="G1115" s="15" t="n">
        <f aca="false">VALUE(TRIM('Raw Store Exports'!E1115&amp;""))</f>
        <v>2</v>
      </c>
      <c r="H1115" s="18" t="n">
        <f aca="false">INDEX('Product Master'!$D$2:$D$21,MATCH(D1115,'Product Master'!$A$2:$A$21,0))</f>
        <v>27</v>
      </c>
      <c r="I1115" s="14" t="n">
        <f aca="false">G1115*H1115</f>
        <v>54</v>
      </c>
      <c r="J1115" s="0" t="str">
        <f aca="false">IF(COUNTIF($A$2:A1115,A1115)&gt;1,"Duplicate","")</f>
        <v/>
      </c>
    </row>
    <row r="1116" customFormat="false" ht="15" hidden="false" customHeight="false" outlineLevel="0" collapsed="false">
      <c r="A1116" s="0" t="str">
        <f aca="false">'Raw Store Exports'!A1116</f>
        <v>TXN00508</v>
      </c>
      <c r="B1116" s="17" t="n">
        <f aca="false">'Raw Store Exports'!C1116</f>
        <v>46049</v>
      </c>
      <c r="C1116" s="0" t="str">
        <f aca="false">INDEX('Store Mapping'!$C$2:$C$19,MATCH(TRIM('Raw Store Exports'!B1116),'Store Mapping'!$A$2:$A$19,0))</f>
        <v>Northpark</v>
      </c>
      <c r="D1116" s="0" t="str">
        <f aca="false">'Raw Store Exports'!D1116</f>
        <v>ACC-303</v>
      </c>
      <c r="E1116" s="0" t="str">
        <f aca="false">INDEX('Product Master'!$B$2:$B$21,MATCH(D1116,'Product Master'!$A$2:$A$21,0))</f>
        <v>Canvas Tote Bag</v>
      </c>
      <c r="F1116" s="0" t="str">
        <f aca="false">INDEX('Product Master'!$C$2:$C$21,MATCH(D1116,'Product Master'!$A$2:$A$21,0))</f>
        <v>Accessories</v>
      </c>
      <c r="G1116" s="15" t="n">
        <f aca="false">VALUE(TRIM('Raw Store Exports'!E1116&amp;""))</f>
        <v>6</v>
      </c>
      <c r="H1116" s="18" t="n">
        <f aca="false">INDEX('Product Master'!$D$2:$D$21,MATCH(D1116,'Product Master'!$A$2:$A$21,0))</f>
        <v>24</v>
      </c>
      <c r="I1116" s="14" t="n">
        <f aca="false">G1116*H1116</f>
        <v>144</v>
      </c>
      <c r="J1116" s="0" t="str">
        <f aca="false">IF(COUNTIF($A$2:A1116,A1116)&gt;1,"Duplicate","")</f>
        <v>Duplicate</v>
      </c>
    </row>
    <row r="1117" customFormat="false" ht="15" hidden="false" customHeight="false" outlineLevel="0" collapsed="false">
      <c r="A1117" s="0" t="str">
        <f aca="false">'Raw Store Exports'!A1117</f>
        <v>TXN00925</v>
      </c>
      <c r="B1117" s="17" t="n">
        <f aca="false">'Raw Store Exports'!C1117</f>
        <v>46071</v>
      </c>
      <c r="C1117" s="0" t="str">
        <f aca="false">INDEX('Store Mapping'!$C$2:$C$19,MATCH(TRIM('Raw Store Exports'!B1117),'Store Mapping'!$A$2:$A$19,0))</f>
        <v>Westside Mall</v>
      </c>
      <c r="D1117" s="0" t="str">
        <f aca="false">'Raw Store Exports'!D1117</f>
        <v>ACC-304</v>
      </c>
      <c r="E1117" s="0" t="str">
        <f aca="false">INDEX('Product Master'!$B$2:$B$21,MATCH(D1117,'Product Master'!$A$2:$A$21,0))</f>
        <v>Wool Beanie</v>
      </c>
      <c r="F1117" s="0" t="str">
        <f aca="false">INDEX('Product Master'!$C$2:$C$21,MATCH(D1117,'Product Master'!$A$2:$A$21,0))</f>
        <v>Accessories</v>
      </c>
      <c r="G1117" s="15" t="n">
        <f aca="false">VALUE(TRIM('Raw Store Exports'!E1117&amp;""))</f>
        <v>3</v>
      </c>
      <c r="H1117" s="18" t="n">
        <f aca="false">INDEX('Product Master'!$D$2:$D$21,MATCH(D1117,'Product Master'!$A$2:$A$21,0))</f>
        <v>16</v>
      </c>
      <c r="I1117" s="14" t="n">
        <f aca="false">G1117*H1117</f>
        <v>48</v>
      </c>
      <c r="J1117" s="0" t="str">
        <f aca="false">IF(COUNTIF($A$2:A1117,A1117)&gt;1,"Duplicate","")</f>
        <v/>
      </c>
    </row>
    <row r="1118" customFormat="false" ht="15" hidden="false" customHeight="false" outlineLevel="0" collapsed="false">
      <c r="A1118" s="0" t="str">
        <f aca="false">'Raw Store Exports'!A1118</f>
        <v>TXN00511</v>
      </c>
      <c r="B1118" s="17" t="n">
        <f aca="false">'Raw Store Exports'!C1118</f>
        <v>46052</v>
      </c>
      <c r="C1118" s="0" t="str">
        <f aca="false">INDEX('Store Mapping'!$C$2:$C$19,MATCH(TRIM('Raw Store Exports'!B1118),'Store Mapping'!$A$2:$A$19,0))</f>
        <v>Northpark</v>
      </c>
      <c r="D1118" s="0" t="str">
        <f aca="false">'Raw Store Exports'!D1118</f>
        <v>ELE-404</v>
      </c>
      <c r="E1118" s="0" t="str">
        <f aca="false">INDEX('Product Master'!$B$2:$B$21,MATCH(D1118,'Product Master'!$A$2:$A$21,0))</f>
        <v>Phone Charging Cable</v>
      </c>
      <c r="F1118" s="0" t="str">
        <f aca="false">INDEX('Product Master'!$C$2:$C$21,MATCH(D1118,'Product Master'!$A$2:$A$21,0))</f>
        <v>Electronics</v>
      </c>
      <c r="G1118" s="15" t="n">
        <f aca="false">VALUE(TRIM('Raw Store Exports'!E1118&amp;""))</f>
        <v>5</v>
      </c>
      <c r="H1118" s="18" t="n">
        <f aca="false">INDEX('Product Master'!$D$2:$D$21,MATCH(D1118,'Product Master'!$A$2:$A$21,0))</f>
        <v>12</v>
      </c>
      <c r="I1118" s="14" t="n">
        <f aca="false">G1118*H1118</f>
        <v>60</v>
      </c>
      <c r="J1118" s="0" t="str">
        <f aca="false">IF(COUNTIF($A$2:A1118,A1118)&gt;1,"Duplicate","")</f>
        <v/>
      </c>
    </row>
    <row r="1119" customFormat="false" ht="15" hidden="false" customHeight="false" outlineLevel="0" collapsed="false">
      <c r="A1119" s="0" t="str">
        <f aca="false">'Raw Store Exports'!A1119</f>
        <v>TXN00189</v>
      </c>
      <c r="B1119" s="17" t="n">
        <f aca="false">'Raw Store Exports'!C1119</f>
        <v>46039</v>
      </c>
      <c r="C1119" s="0" t="str">
        <f aca="false">INDEX('Store Mapping'!$C$2:$C$19,MATCH(TRIM('Raw Store Exports'!B1119),'Store Mapping'!$A$2:$A$19,0))</f>
        <v>Eastgate</v>
      </c>
      <c r="D1119" s="0" t="str">
        <f aca="false">'Raw Store Exports'!D1119</f>
        <v>ACC-304</v>
      </c>
      <c r="E1119" s="0" t="str">
        <f aca="false">INDEX('Product Master'!$B$2:$B$21,MATCH(D1119,'Product Master'!$A$2:$A$21,0))</f>
        <v>Wool Beanie</v>
      </c>
      <c r="F1119" s="0" t="str">
        <f aca="false">INDEX('Product Master'!$C$2:$C$21,MATCH(D1119,'Product Master'!$A$2:$A$21,0))</f>
        <v>Accessories</v>
      </c>
      <c r="G1119" s="15" t="n">
        <f aca="false">VALUE(TRIM('Raw Store Exports'!E1119&amp;""))</f>
        <v>5</v>
      </c>
      <c r="H1119" s="18" t="n">
        <f aca="false">INDEX('Product Master'!$D$2:$D$21,MATCH(D1119,'Product Master'!$A$2:$A$21,0))</f>
        <v>16</v>
      </c>
      <c r="I1119" s="14" t="n">
        <f aca="false">G1119*H1119</f>
        <v>80</v>
      </c>
      <c r="J1119" s="0" t="str">
        <f aca="false">IF(COUNTIF($A$2:A1119,A1119)&gt;1,"Duplicate","")</f>
        <v/>
      </c>
    </row>
    <row r="1120" customFormat="false" ht="15" hidden="false" customHeight="false" outlineLevel="0" collapsed="false">
      <c r="A1120" s="0" t="str">
        <f aca="false">'Raw Store Exports'!A1120</f>
        <v>TXN01069</v>
      </c>
      <c r="B1120" s="17" t="n">
        <f aca="false">'Raw Store Exports'!C1120</f>
        <v>46077</v>
      </c>
      <c r="C1120" s="0" t="str">
        <f aca="false">INDEX('Store Mapping'!$C$2:$C$19,MATCH(TRIM('Raw Store Exports'!B1120),'Store Mapping'!$A$2:$A$19,0))</f>
        <v>Downtown</v>
      </c>
      <c r="D1120" s="0" t="str">
        <f aca="false">'Raw Store Exports'!D1120</f>
        <v>APP-102</v>
      </c>
      <c r="E1120" s="0" t="str">
        <f aca="false">INDEX('Product Master'!$B$2:$B$21,MATCH(D1120,'Product Master'!$A$2:$A$21,0))</f>
        <v>Cotton Crew T-Shirt</v>
      </c>
      <c r="F1120" s="0" t="str">
        <f aca="false">INDEX('Product Master'!$C$2:$C$21,MATCH(D1120,'Product Master'!$A$2:$A$21,0))</f>
        <v>Apparel</v>
      </c>
      <c r="G1120" s="15" t="n">
        <f aca="false">VALUE(TRIM('Raw Store Exports'!E1120&amp;""))</f>
        <v>3</v>
      </c>
      <c r="H1120" s="18" t="n">
        <f aca="false">INDEX('Product Master'!$D$2:$D$21,MATCH(D1120,'Product Master'!$A$2:$A$21,0))</f>
        <v>18</v>
      </c>
      <c r="I1120" s="14" t="n">
        <f aca="false">G1120*H1120</f>
        <v>54</v>
      </c>
      <c r="J1120" s="0" t="str">
        <f aca="false">IF(COUNTIF($A$2:A1120,A1120)&gt;1,"Duplicate","")</f>
        <v>Duplicate</v>
      </c>
    </row>
    <row r="1121" customFormat="false" ht="15" hidden="false" customHeight="false" outlineLevel="0" collapsed="false">
      <c r="A1121" s="0" t="str">
        <f aca="false">'Raw Store Exports'!A1121</f>
        <v>TXN00426</v>
      </c>
      <c r="B1121" s="17" t="n">
        <f aca="false">'Raw Store Exports'!C1121</f>
        <v>46043</v>
      </c>
      <c r="C1121" s="0" t="str">
        <f aca="false">INDEX('Store Mapping'!$C$2:$C$19,MATCH(TRIM('Raw Store Exports'!B1121),'Store Mapping'!$A$2:$A$19,0))</f>
        <v>Airport Plaza</v>
      </c>
      <c r="D1121" s="0" t="str">
        <f aca="false">'Raw Store Exports'!D1121</f>
        <v>ELE-403</v>
      </c>
      <c r="E1121" s="0" t="str">
        <f aca="false">INDEX('Product Master'!$B$2:$B$21,MATCH(D1121,'Product Master'!$A$2:$A$21,0))</f>
        <v>Fitness Tracker Band</v>
      </c>
      <c r="F1121" s="0" t="str">
        <f aca="false">INDEX('Product Master'!$C$2:$C$21,MATCH(D1121,'Product Master'!$A$2:$A$21,0))</f>
        <v>Electronics</v>
      </c>
      <c r="G1121" s="15" t="n">
        <f aca="false">VALUE(TRIM('Raw Store Exports'!E1121&amp;""))</f>
        <v>2</v>
      </c>
      <c r="H1121" s="18" t="n">
        <f aca="false">INDEX('Product Master'!$D$2:$D$21,MATCH(D1121,'Product Master'!$A$2:$A$21,0))</f>
        <v>99</v>
      </c>
      <c r="I1121" s="14" t="n">
        <f aca="false">G1121*H1121</f>
        <v>198</v>
      </c>
      <c r="J1121" s="0" t="str">
        <f aca="false">IF(COUNTIF($A$2:A1121,A1121)&gt;1,"Duplicate","")</f>
        <v/>
      </c>
    </row>
    <row r="1122" customFormat="false" ht="15" hidden="false" customHeight="false" outlineLevel="0" collapsed="false">
      <c r="A1122" s="0" t="str">
        <f aca="false">'Raw Store Exports'!A1122</f>
        <v>TXN01039</v>
      </c>
      <c r="B1122" s="17" t="n">
        <f aca="false">'Raw Store Exports'!C1122</f>
        <v>46069</v>
      </c>
      <c r="C1122" s="0" t="str">
        <f aca="false">INDEX('Store Mapping'!$C$2:$C$19,MATCH(TRIM('Raw Store Exports'!B1122),'Store Mapping'!$A$2:$A$19,0))</f>
        <v>Airport Plaza</v>
      </c>
      <c r="D1122" s="0" t="str">
        <f aca="false">'Raw Store Exports'!D1122</f>
        <v>ACC-301</v>
      </c>
      <c r="E1122" s="0" t="str">
        <f aca="false">INDEX('Product Master'!$B$2:$B$21,MATCH(D1122,'Product Master'!$A$2:$A$21,0))</f>
        <v>Leather Belt</v>
      </c>
      <c r="F1122" s="0" t="str">
        <f aca="false">INDEX('Product Master'!$C$2:$C$21,MATCH(D1122,'Product Master'!$A$2:$A$21,0))</f>
        <v>Accessories</v>
      </c>
      <c r="G1122" s="15" t="n">
        <f aca="false">VALUE(TRIM('Raw Store Exports'!E1122&amp;""))</f>
        <v>5</v>
      </c>
      <c r="H1122" s="18" t="n">
        <f aca="false">INDEX('Product Master'!$D$2:$D$21,MATCH(D1122,'Product Master'!$A$2:$A$21,0))</f>
        <v>30</v>
      </c>
      <c r="I1122" s="14" t="n">
        <f aca="false">G1122*H1122</f>
        <v>150</v>
      </c>
      <c r="J1122" s="0" t="str">
        <f aca="false">IF(COUNTIF($A$2:A1122,A1122)&gt;1,"Duplicate","")</f>
        <v/>
      </c>
    </row>
    <row r="1123" customFormat="false" ht="15" hidden="false" customHeight="false" outlineLevel="0" collapsed="false">
      <c r="A1123" s="0" t="str">
        <f aca="false">'Raw Store Exports'!A1123</f>
        <v>TXN01018</v>
      </c>
      <c r="B1123" s="17" t="n">
        <f aca="false">'Raw Store Exports'!C1123</f>
        <v>46074</v>
      </c>
      <c r="C1123" s="0" t="str">
        <f aca="false">INDEX('Store Mapping'!$C$2:$C$19,MATCH(TRIM('Raw Store Exports'!B1123),'Store Mapping'!$A$2:$A$19,0))</f>
        <v>Riverside</v>
      </c>
      <c r="D1123" s="0" t="str">
        <f aca="false">'Raw Store Exports'!D1123</f>
        <v>ACC-304</v>
      </c>
      <c r="E1123" s="0" t="str">
        <f aca="false">INDEX('Product Master'!$B$2:$B$21,MATCH(D1123,'Product Master'!$A$2:$A$21,0))</f>
        <v>Wool Beanie</v>
      </c>
      <c r="F1123" s="0" t="str">
        <f aca="false">INDEX('Product Master'!$C$2:$C$21,MATCH(D1123,'Product Master'!$A$2:$A$21,0))</f>
        <v>Accessories</v>
      </c>
      <c r="G1123" s="15" t="n">
        <f aca="false">VALUE(TRIM('Raw Store Exports'!E1123&amp;""))</f>
        <v>2</v>
      </c>
      <c r="H1123" s="18" t="n">
        <f aca="false">INDEX('Product Master'!$D$2:$D$21,MATCH(D1123,'Product Master'!$A$2:$A$21,0))</f>
        <v>16</v>
      </c>
      <c r="I1123" s="14" t="n">
        <f aca="false">G1123*H1123</f>
        <v>32</v>
      </c>
      <c r="J1123" s="0" t="str">
        <f aca="false">IF(COUNTIF($A$2:A1123,A1123)&gt;1,"Duplicate","")</f>
        <v/>
      </c>
    </row>
    <row r="1124" customFormat="false" ht="15" hidden="false" customHeight="false" outlineLevel="0" collapsed="false">
      <c r="A1124" s="0" t="str">
        <f aca="false">'Raw Store Exports'!A1124</f>
        <v>TXN00788</v>
      </c>
      <c r="B1124" s="17" t="n">
        <f aca="false">'Raw Store Exports'!C1124</f>
        <v>46065</v>
      </c>
      <c r="C1124" s="0" t="str">
        <f aca="false">INDEX('Store Mapping'!$C$2:$C$19,MATCH(TRIM('Raw Store Exports'!B1124),'Store Mapping'!$A$2:$A$19,0))</f>
        <v>Westside Mall</v>
      </c>
      <c r="D1124" s="0" t="str">
        <f aca="false">'Raw Store Exports'!D1124</f>
        <v>ELE-401</v>
      </c>
      <c r="E1124" s="0" t="str">
        <f aca="false">INDEX('Product Master'!$B$2:$B$21,MATCH(D1124,'Product Master'!$A$2:$A$21,0))</f>
        <v>Wireless Earbuds</v>
      </c>
      <c r="F1124" s="0" t="str">
        <f aca="false">INDEX('Product Master'!$C$2:$C$21,MATCH(D1124,'Product Master'!$A$2:$A$21,0))</f>
        <v>Electronics</v>
      </c>
      <c r="G1124" s="15" t="n">
        <f aca="false">VALUE(TRIM('Raw Store Exports'!E1124&amp;""))</f>
        <v>5</v>
      </c>
      <c r="H1124" s="18" t="n">
        <f aca="false">INDEX('Product Master'!$D$2:$D$21,MATCH(D1124,'Product Master'!$A$2:$A$21,0))</f>
        <v>79</v>
      </c>
      <c r="I1124" s="14" t="n">
        <f aca="false">G1124*H1124</f>
        <v>395</v>
      </c>
      <c r="J1124" s="0" t="str">
        <f aca="false">IF(COUNTIF($A$2:A1124,A1124)&gt;1,"Duplicate","")</f>
        <v/>
      </c>
    </row>
    <row r="1125" customFormat="false" ht="15" hidden="false" customHeight="false" outlineLevel="0" collapsed="false">
      <c r="A1125" s="0" t="str">
        <f aca="false">'Raw Store Exports'!A1125</f>
        <v>TXN00067</v>
      </c>
      <c r="B1125" s="17" t="n">
        <f aca="false">'Raw Store Exports'!C1125</f>
        <v>46031</v>
      </c>
      <c r="C1125" s="0" t="str">
        <f aca="false">INDEX('Store Mapping'!$C$2:$C$19,MATCH(TRIM('Raw Store Exports'!B1125),'Store Mapping'!$A$2:$A$19,0))</f>
        <v>Eastgate</v>
      </c>
      <c r="D1125" s="0" t="str">
        <f aca="false">'Raw Store Exports'!D1125</f>
        <v>ACC-303</v>
      </c>
      <c r="E1125" s="0" t="str">
        <f aca="false">INDEX('Product Master'!$B$2:$B$21,MATCH(D1125,'Product Master'!$A$2:$A$21,0))</f>
        <v>Canvas Tote Bag</v>
      </c>
      <c r="F1125" s="0" t="str">
        <f aca="false">INDEX('Product Master'!$C$2:$C$21,MATCH(D1125,'Product Master'!$A$2:$A$21,0))</f>
        <v>Accessories</v>
      </c>
      <c r="G1125" s="15" t="n">
        <f aca="false">VALUE(TRIM('Raw Store Exports'!E1125&amp;""))</f>
        <v>5</v>
      </c>
      <c r="H1125" s="18" t="n">
        <f aca="false">INDEX('Product Master'!$D$2:$D$21,MATCH(D1125,'Product Master'!$A$2:$A$21,0))</f>
        <v>24</v>
      </c>
      <c r="I1125" s="14" t="n">
        <f aca="false">G1125*H1125</f>
        <v>120</v>
      </c>
      <c r="J1125" s="0" t="str">
        <f aca="false">IF(COUNTIF($A$2:A1125,A1125)&gt;1,"Duplicate","")</f>
        <v/>
      </c>
    </row>
    <row r="1126" customFormat="false" ht="15" hidden="false" customHeight="false" outlineLevel="0" collapsed="false">
      <c r="A1126" s="0" t="str">
        <f aca="false">'Raw Store Exports'!A1126</f>
        <v>TXN00352</v>
      </c>
      <c r="B1126" s="17" t="n">
        <f aca="false">'Raw Store Exports'!C1126</f>
        <v>46041</v>
      </c>
      <c r="C1126" s="0" t="str">
        <f aca="false">INDEX('Store Mapping'!$C$2:$C$19,MATCH(TRIM('Raw Store Exports'!B1126),'Store Mapping'!$A$2:$A$19,0))</f>
        <v>Northpark</v>
      </c>
      <c r="D1126" s="0" t="str">
        <f aca="false">'Raw Store Exports'!D1126</f>
        <v>APP-101</v>
      </c>
      <c r="E1126" s="0" t="str">
        <f aca="false">INDEX('Product Master'!$B$2:$B$21,MATCH(D1126,'Product Master'!$A$2:$A$21,0))</f>
        <v>Classic Denim Jacket</v>
      </c>
      <c r="F1126" s="0" t="str">
        <f aca="false">INDEX('Product Master'!$C$2:$C$21,MATCH(D1126,'Product Master'!$A$2:$A$21,0))</f>
        <v>Apparel</v>
      </c>
      <c r="G1126" s="15" t="n">
        <f aca="false">VALUE(TRIM('Raw Store Exports'!E1126&amp;""))</f>
        <v>6</v>
      </c>
      <c r="H1126" s="18" t="n">
        <f aca="false">INDEX('Product Master'!$D$2:$D$21,MATCH(D1126,'Product Master'!$A$2:$A$21,0))</f>
        <v>68</v>
      </c>
      <c r="I1126" s="14" t="n">
        <f aca="false">G1126*H1126</f>
        <v>408</v>
      </c>
      <c r="J1126" s="0" t="str">
        <f aca="false">IF(COUNTIF($A$2:A1126,A1126)&gt;1,"Duplicate","")</f>
        <v/>
      </c>
    </row>
    <row r="1127" customFormat="false" ht="15" hidden="false" customHeight="false" outlineLevel="0" collapsed="false">
      <c r="A1127" s="0" t="str">
        <f aca="false">'Raw Store Exports'!A1127</f>
        <v>TXN00862</v>
      </c>
      <c r="B1127" s="17" t="n">
        <f aca="false">'Raw Store Exports'!C1127</f>
        <v>46062</v>
      </c>
      <c r="C1127" s="0" t="str">
        <f aca="false">INDEX('Store Mapping'!$C$2:$C$19,MATCH(TRIM('Raw Store Exports'!B1127),'Store Mapping'!$A$2:$A$19,0))</f>
        <v>Riverside</v>
      </c>
      <c r="D1127" s="0" t="str">
        <f aca="false">'Raw Store Exports'!D1127</f>
        <v>APP-101</v>
      </c>
      <c r="E1127" s="0" t="str">
        <f aca="false">INDEX('Product Master'!$B$2:$B$21,MATCH(D1127,'Product Master'!$A$2:$A$21,0))</f>
        <v>Classic Denim Jacket</v>
      </c>
      <c r="F1127" s="0" t="str">
        <f aca="false">INDEX('Product Master'!$C$2:$C$21,MATCH(D1127,'Product Master'!$A$2:$A$21,0))</f>
        <v>Apparel</v>
      </c>
      <c r="G1127" s="15" t="n">
        <f aca="false">VALUE(TRIM('Raw Store Exports'!E1127&amp;""))</f>
        <v>5</v>
      </c>
      <c r="H1127" s="18" t="n">
        <f aca="false">INDEX('Product Master'!$D$2:$D$21,MATCH(D1127,'Product Master'!$A$2:$A$21,0))</f>
        <v>68</v>
      </c>
      <c r="I1127" s="14" t="n">
        <f aca="false">G1127*H1127</f>
        <v>340</v>
      </c>
      <c r="J1127" s="0" t="str">
        <f aca="false">IF(COUNTIF($A$2:A1127,A1127)&gt;1,"Duplicate","")</f>
        <v/>
      </c>
    </row>
    <row r="1128" customFormat="false" ht="15" hidden="false" customHeight="false" outlineLevel="0" collapsed="false">
      <c r="A1128" s="0" t="str">
        <f aca="false">'Raw Store Exports'!A1128</f>
        <v>TXN01116</v>
      </c>
      <c r="B1128" s="17" t="n">
        <f aca="false">'Raw Store Exports'!C1128</f>
        <v>46077</v>
      </c>
      <c r="C1128" s="0" t="str">
        <f aca="false">INDEX('Store Mapping'!$C$2:$C$19,MATCH(TRIM('Raw Store Exports'!B1128),'Store Mapping'!$A$2:$A$19,0))</f>
        <v>Eastgate</v>
      </c>
      <c r="D1128" s="0" t="str">
        <f aca="false">'Raw Store Exports'!D1128</f>
        <v>ELE-402</v>
      </c>
      <c r="E1128" s="0" t="str">
        <f aca="false">INDEX('Product Master'!$B$2:$B$21,MATCH(D1128,'Product Master'!$A$2:$A$21,0))</f>
        <v>Bluetooth Speaker</v>
      </c>
      <c r="F1128" s="0" t="str">
        <f aca="false">INDEX('Product Master'!$C$2:$C$21,MATCH(D1128,'Product Master'!$A$2:$A$21,0))</f>
        <v>Electronics</v>
      </c>
      <c r="G1128" s="15" t="n">
        <f aca="false">VALUE(TRIM('Raw Store Exports'!E1128&amp;""))</f>
        <v>6</v>
      </c>
      <c r="H1128" s="18" t="n">
        <f aca="false">INDEX('Product Master'!$D$2:$D$21,MATCH(D1128,'Product Master'!$A$2:$A$21,0))</f>
        <v>59</v>
      </c>
      <c r="I1128" s="14" t="n">
        <f aca="false">G1128*H1128</f>
        <v>354</v>
      </c>
      <c r="J1128" s="0" t="str">
        <f aca="false">IF(COUNTIF($A$2:A1128,A1128)&gt;1,"Duplicate","")</f>
        <v/>
      </c>
    </row>
    <row r="1129" customFormat="false" ht="15" hidden="false" customHeight="false" outlineLevel="0" collapsed="false">
      <c r="A1129" s="0" t="str">
        <f aca="false">'Raw Store Exports'!A1129</f>
        <v>TXN00509</v>
      </c>
      <c r="B1129" s="17" t="n">
        <f aca="false">'Raw Store Exports'!C1129</f>
        <v>46053</v>
      </c>
      <c r="C1129" s="0" t="str">
        <f aca="false">INDEX('Store Mapping'!$C$2:$C$19,MATCH(TRIM('Raw Store Exports'!B1129),'Store Mapping'!$A$2:$A$19,0))</f>
        <v>Northpark</v>
      </c>
      <c r="D1129" s="0" t="str">
        <f aca="false">'Raw Store Exports'!D1129</f>
        <v>FTW-204</v>
      </c>
      <c r="E1129" s="0" t="str">
        <f aca="false">INDEX('Product Master'!$B$2:$B$21,MATCH(D1129,'Product Master'!$A$2:$A$21,0))</f>
        <v>Slide Sandals</v>
      </c>
      <c r="F1129" s="0" t="str">
        <f aca="false">INDEX('Product Master'!$C$2:$C$21,MATCH(D1129,'Product Master'!$A$2:$A$21,0))</f>
        <v>Footwear</v>
      </c>
      <c r="G1129" s="15" t="n">
        <f aca="false">VALUE(TRIM('Raw Store Exports'!E1129&amp;""))</f>
        <v>5</v>
      </c>
      <c r="H1129" s="18" t="n">
        <f aca="false">INDEX('Product Master'!$D$2:$D$21,MATCH(D1129,'Product Master'!$A$2:$A$21,0))</f>
        <v>25</v>
      </c>
      <c r="I1129" s="14" t="n">
        <f aca="false">G1129*H1129</f>
        <v>125</v>
      </c>
      <c r="J1129" s="0" t="str">
        <f aca="false">IF(COUNTIF($A$2:A1129,A1129)&gt;1,"Duplicate","")</f>
        <v/>
      </c>
    </row>
    <row r="1130" customFormat="false" ht="15" hidden="false" customHeight="false" outlineLevel="0" collapsed="false">
      <c r="A1130" s="0" t="str">
        <f aca="false">'Raw Store Exports'!A1130</f>
        <v>TXN01134</v>
      </c>
      <c r="B1130" s="17" t="n">
        <f aca="false">'Raw Store Exports'!C1130</f>
        <v>46082</v>
      </c>
      <c r="C1130" s="0" t="str">
        <f aca="false">INDEX('Store Mapping'!$C$2:$C$19,MATCH(TRIM('Raw Store Exports'!B1130),'Store Mapping'!$A$2:$A$19,0))</f>
        <v>Northpark</v>
      </c>
      <c r="D1130" s="0" t="str">
        <f aca="false">'Raw Store Exports'!D1130</f>
        <v>ACC-301</v>
      </c>
      <c r="E1130" s="0" t="str">
        <f aca="false">INDEX('Product Master'!$B$2:$B$21,MATCH(D1130,'Product Master'!$A$2:$A$21,0))</f>
        <v>Leather Belt</v>
      </c>
      <c r="F1130" s="0" t="str">
        <f aca="false">INDEX('Product Master'!$C$2:$C$21,MATCH(D1130,'Product Master'!$A$2:$A$21,0))</f>
        <v>Accessories</v>
      </c>
      <c r="G1130" s="15" t="n">
        <f aca="false">VALUE(TRIM('Raw Store Exports'!E1130&amp;""))</f>
        <v>3</v>
      </c>
      <c r="H1130" s="18" t="n">
        <f aca="false">INDEX('Product Master'!$D$2:$D$21,MATCH(D1130,'Product Master'!$A$2:$A$21,0))</f>
        <v>30</v>
      </c>
      <c r="I1130" s="14" t="n">
        <f aca="false">G1130*H1130</f>
        <v>90</v>
      </c>
      <c r="J1130" s="0" t="str">
        <f aca="false">IF(COUNTIF($A$2:A1130,A1130)&gt;1,"Duplicate","")</f>
        <v/>
      </c>
    </row>
    <row r="1131" customFormat="false" ht="15" hidden="false" customHeight="false" outlineLevel="0" collapsed="false">
      <c r="A1131" s="0" t="str">
        <f aca="false">'Raw Store Exports'!A1131</f>
        <v>TXN00739</v>
      </c>
      <c r="B1131" s="17" t="n">
        <f aca="false">'Raw Store Exports'!C1131</f>
        <v>46059</v>
      </c>
      <c r="C1131" s="0" t="str">
        <f aca="false">INDEX('Store Mapping'!$C$2:$C$19,MATCH(TRIM('Raw Store Exports'!B1131),'Store Mapping'!$A$2:$A$19,0))</f>
        <v>Airport Plaza</v>
      </c>
      <c r="D1131" s="0" t="str">
        <f aca="false">'Raw Store Exports'!D1131</f>
        <v>APP-104</v>
      </c>
      <c r="E1131" s="0" t="str">
        <f aca="false">INDEX('Product Master'!$B$2:$B$21,MATCH(D1131,'Product Master'!$A$2:$A$21,0))</f>
        <v>Slim Fit Chinos</v>
      </c>
      <c r="F1131" s="0" t="str">
        <f aca="false">INDEX('Product Master'!$C$2:$C$21,MATCH(D1131,'Product Master'!$A$2:$A$21,0))</f>
        <v>Apparel</v>
      </c>
      <c r="G1131" s="15" t="n">
        <f aca="false">VALUE(TRIM('Raw Store Exports'!E1131&amp;""))</f>
        <v>3</v>
      </c>
      <c r="H1131" s="18" t="n">
        <f aca="false">INDEX('Product Master'!$D$2:$D$21,MATCH(D1131,'Product Master'!$A$2:$A$21,0))</f>
        <v>52</v>
      </c>
      <c r="I1131" s="14" t="n">
        <f aca="false">G1131*H1131</f>
        <v>156</v>
      </c>
      <c r="J1131" s="0" t="str">
        <f aca="false">IF(COUNTIF($A$2:A1131,A1131)&gt;1,"Duplicate","")</f>
        <v/>
      </c>
    </row>
    <row r="1132" customFormat="false" ht="15" hidden="false" customHeight="false" outlineLevel="0" collapsed="false">
      <c r="A1132" s="0" t="str">
        <f aca="false">'Raw Store Exports'!A1132</f>
        <v>TXN00346</v>
      </c>
      <c r="B1132" s="17" t="n">
        <f aca="false">'Raw Store Exports'!C1132</f>
        <v>46047</v>
      </c>
      <c r="C1132" s="0" t="str">
        <f aca="false">INDEX('Store Mapping'!$C$2:$C$19,MATCH(TRIM('Raw Store Exports'!B1132),'Store Mapping'!$A$2:$A$19,0))</f>
        <v>Northpark</v>
      </c>
      <c r="D1132" s="0" t="str">
        <f aca="false">'Raw Store Exports'!D1132</f>
        <v>HOM-502</v>
      </c>
      <c r="E1132" s="0" t="str">
        <f aca="false">INDEX('Product Master'!$B$2:$B$21,MATCH(D1132,'Product Master'!$A$2:$A$21,0))</f>
        <v>Scented Candle</v>
      </c>
      <c r="F1132" s="0" t="str">
        <f aca="false">INDEX('Product Master'!$C$2:$C$21,MATCH(D1132,'Product Master'!$A$2:$A$21,0))</f>
        <v>Home Goods</v>
      </c>
      <c r="G1132" s="15" t="n">
        <f aca="false">VALUE(TRIM('Raw Store Exports'!E1132&amp;""))</f>
        <v>2</v>
      </c>
      <c r="H1132" s="18" t="n">
        <f aca="false">INDEX('Product Master'!$D$2:$D$21,MATCH(D1132,'Product Master'!$A$2:$A$21,0))</f>
        <v>15</v>
      </c>
      <c r="I1132" s="14" t="n">
        <f aca="false">G1132*H1132</f>
        <v>30</v>
      </c>
      <c r="J1132" s="0" t="str">
        <f aca="false">IF(COUNTIF($A$2:A1132,A1132)&gt;1,"Duplicate","")</f>
        <v/>
      </c>
    </row>
    <row r="1133" customFormat="false" ht="15" hidden="false" customHeight="false" outlineLevel="0" collapsed="false">
      <c r="A1133" s="0" t="str">
        <f aca="false">'Raw Store Exports'!A1133</f>
        <v>TXN00109</v>
      </c>
      <c r="B1133" s="17" t="n">
        <f aca="false">'Raw Store Exports'!C1133</f>
        <v>46032</v>
      </c>
      <c r="C1133" s="0" t="str">
        <f aca="false">INDEX('Store Mapping'!$C$2:$C$19,MATCH(TRIM('Raw Store Exports'!B1133),'Store Mapping'!$A$2:$A$19,0))</f>
        <v>Riverside</v>
      </c>
      <c r="D1133" s="0" t="str">
        <f aca="false">'Raw Store Exports'!D1133</f>
        <v>HOM-504</v>
      </c>
      <c r="E1133" s="0" t="str">
        <f aca="false">INDEX('Product Master'!$B$2:$B$21,MATCH(D1133,'Product Master'!$A$2:$A$21,0))</f>
        <v>Bamboo Cutting Board</v>
      </c>
      <c r="F1133" s="0" t="str">
        <f aca="false">INDEX('Product Master'!$C$2:$C$21,MATCH(D1133,'Product Master'!$A$2:$A$21,0))</f>
        <v>Home Goods</v>
      </c>
      <c r="G1133" s="15" t="n">
        <f aca="false">VALUE(TRIM('Raw Store Exports'!E1133&amp;""))</f>
        <v>6</v>
      </c>
      <c r="H1133" s="18" t="n">
        <f aca="false">INDEX('Product Master'!$D$2:$D$21,MATCH(D1133,'Product Master'!$A$2:$A$21,0))</f>
        <v>27</v>
      </c>
      <c r="I1133" s="14" t="n">
        <f aca="false">G1133*H1133</f>
        <v>162</v>
      </c>
      <c r="J1133" s="0" t="str">
        <f aca="false">IF(COUNTIF($A$2:A1133,A1133)&gt;1,"Duplicate","")</f>
        <v/>
      </c>
    </row>
    <row r="1134" customFormat="false" ht="15" hidden="false" customHeight="false" outlineLevel="0" collapsed="false">
      <c r="A1134" s="0" t="str">
        <f aca="false">'Raw Store Exports'!A1134</f>
        <v>TXN00507</v>
      </c>
      <c r="B1134" s="17" t="n">
        <f aca="false">'Raw Store Exports'!C1134</f>
        <v>46052</v>
      </c>
      <c r="C1134" s="0" t="str">
        <f aca="false">INDEX('Store Mapping'!$C$2:$C$19,MATCH(TRIM('Raw Store Exports'!B1134),'Store Mapping'!$A$2:$A$19,0))</f>
        <v>Northpark</v>
      </c>
      <c r="D1134" s="0" t="str">
        <f aca="false">'Raw Store Exports'!D1134</f>
        <v>FTW-203</v>
      </c>
      <c r="E1134" s="0" t="str">
        <f aca="false">INDEX('Product Master'!$B$2:$B$21,MATCH(D1134,'Product Master'!$A$2:$A$21,0))</f>
        <v>Leather Ankle Boot</v>
      </c>
      <c r="F1134" s="0" t="str">
        <f aca="false">INDEX('Product Master'!$C$2:$C$21,MATCH(D1134,'Product Master'!$A$2:$A$21,0))</f>
        <v>Footwear</v>
      </c>
      <c r="G1134" s="15" t="n">
        <f aca="false">VALUE(TRIM('Raw Store Exports'!E1134&amp;""))</f>
        <v>3</v>
      </c>
      <c r="H1134" s="18" t="n">
        <f aca="false">INDEX('Product Master'!$D$2:$D$21,MATCH(D1134,'Product Master'!$A$2:$A$21,0))</f>
        <v>120</v>
      </c>
      <c r="I1134" s="14" t="n">
        <f aca="false">G1134*H1134</f>
        <v>360</v>
      </c>
      <c r="J1134" s="0" t="str">
        <f aca="false">IF(COUNTIF($A$2:A1134,A1134)&gt;1,"Duplicate","")</f>
        <v/>
      </c>
    </row>
    <row r="1135" customFormat="false" ht="15" hidden="false" customHeight="false" outlineLevel="0" collapsed="false">
      <c r="A1135" s="0" t="str">
        <f aca="false">'Raw Store Exports'!A1135</f>
        <v>TXN01030</v>
      </c>
      <c r="B1135" s="17" t="n">
        <f aca="false">'Raw Store Exports'!C1135</f>
        <v>46072</v>
      </c>
      <c r="C1135" s="0" t="str">
        <f aca="false">INDEX('Store Mapping'!$C$2:$C$19,MATCH(TRIM('Raw Store Exports'!B1135),'Store Mapping'!$A$2:$A$19,0))</f>
        <v>Airport Plaza</v>
      </c>
      <c r="D1135" s="0" t="str">
        <f aca="false">'Raw Store Exports'!D1135</f>
        <v>FTW-202</v>
      </c>
      <c r="E1135" s="0" t="str">
        <f aca="false">INDEX('Product Master'!$B$2:$B$21,MATCH(D1135,'Product Master'!$A$2:$A$21,0))</f>
        <v>Canvas Low-Top</v>
      </c>
      <c r="F1135" s="0" t="str">
        <f aca="false">INDEX('Product Master'!$C$2:$C$21,MATCH(D1135,'Product Master'!$A$2:$A$21,0))</f>
        <v>Footwear</v>
      </c>
      <c r="G1135" s="15" t="n">
        <f aca="false">VALUE(TRIM('Raw Store Exports'!E1135&amp;""))</f>
        <v>2</v>
      </c>
      <c r="H1135" s="18" t="n">
        <f aca="false">INDEX('Product Master'!$D$2:$D$21,MATCH(D1135,'Product Master'!$A$2:$A$21,0))</f>
        <v>55</v>
      </c>
      <c r="I1135" s="14" t="n">
        <f aca="false">G1135*H1135</f>
        <v>110</v>
      </c>
      <c r="J1135" s="0" t="str">
        <f aca="false">IF(COUNTIF($A$2:A1135,A1135)&gt;1,"Duplicate","")</f>
        <v/>
      </c>
    </row>
    <row r="1136" customFormat="false" ht="15" hidden="false" customHeight="false" outlineLevel="0" collapsed="false">
      <c r="A1136" s="0" t="str">
        <f aca="false">'Raw Store Exports'!A1136</f>
        <v>TXN00092</v>
      </c>
      <c r="B1136" s="17" t="n">
        <f aca="false">'Raw Store Exports'!C1136</f>
        <v>46031</v>
      </c>
      <c r="C1136" s="0" t="str">
        <f aca="false">INDEX('Store Mapping'!$C$2:$C$19,MATCH(TRIM('Raw Store Exports'!B1136),'Store Mapping'!$A$2:$A$19,0))</f>
        <v>Northpark</v>
      </c>
      <c r="D1136" s="0" t="str">
        <f aca="false">'Raw Store Exports'!D1136</f>
        <v>HOM-502</v>
      </c>
      <c r="E1136" s="0" t="str">
        <f aca="false">INDEX('Product Master'!$B$2:$B$21,MATCH(D1136,'Product Master'!$A$2:$A$21,0))</f>
        <v>Scented Candle</v>
      </c>
      <c r="F1136" s="0" t="str">
        <f aca="false">INDEX('Product Master'!$C$2:$C$21,MATCH(D1136,'Product Master'!$A$2:$A$21,0))</f>
        <v>Home Goods</v>
      </c>
      <c r="G1136" s="15" t="n">
        <f aca="false">VALUE(TRIM('Raw Store Exports'!E1136&amp;""))</f>
        <v>2</v>
      </c>
      <c r="H1136" s="18" t="n">
        <f aca="false">INDEX('Product Master'!$D$2:$D$21,MATCH(D1136,'Product Master'!$A$2:$A$21,0))</f>
        <v>15</v>
      </c>
      <c r="I1136" s="14" t="n">
        <f aca="false">G1136*H1136</f>
        <v>30</v>
      </c>
      <c r="J1136" s="0" t="str">
        <f aca="false">IF(COUNTIF($A$2:A1136,A1136)&gt;1,"Duplicate","")</f>
        <v/>
      </c>
    </row>
    <row r="1137" customFormat="false" ht="15" hidden="false" customHeight="false" outlineLevel="0" collapsed="false">
      <c r="A1137" s="0" t="str">
        <f aca="false">'Raw Store Exports'!A1137</f>
        <v>TXN00521</v>
      </c>
      <c r="B1137" s="17" t="n">
        <f aca="false">'Raw Store Exports'!C1137</f>
        <v>46054</v>
      </c>
      <c r="C1137" s="0" t="str">
        <f aca="false">INDEX('Store Mapping'!$C$2:$C$19,MATCH(TRIM('Raw Store Exports'!B1137),'Store Mapping'!$A$2:$A$19,0))</f>
        <v>Northpark</v>
      </c>
      <c r="D1137" s="0" t="str">
        <f aca="false">'Raw Store Exports'!D1137</f>
        <v>HOM-502</v>
      </c>
      <c r="E1137" s="0" t="str">
        <f aca="false">INDEX('Product Master'!$B$2:$B$21,MATCH(D1137,'Product Master'!$A$2:$A$21,0))</f>
        <v>Scented Candle</v>
      </c>
      <c r="F1137" s="0" t="str">
        <f aca="false">INDEX('Product Master'!$C$2:$C$21,MATCH(D1137,'Product Master'!$A$2:$A$21,0))</f>
        <v>Home Goods</v>
      </c>
      <c r="G1137" s="15" t="n">
        <f aca="false">VALUE(TRIM('Raw Store Exports'!E1137&amp;""))</f>
        <v>6</v>
      </c>
      <c r="H1137" s="18" t="n">
        <f aca="false">INDEX('Product Master'!$D$2:$D$21,MATCH(D1137,'Product Master'!$A$2:$A$21,0))</f>
        <v>15</v>
      </c>
      <c r="I1137" s="14" t="n">
        <f aca="false">G1137*H1137</f>
        <v>90</v>
      </c>
      <c r="J1137" s="0" t="str">
        <f aca="false">IF(COUNTIF($A$2:A1137,A1137)&gt;1,"Duplicate","")</f>
        <v/>
      </c>
    </row>
    <row r="1138" customFormat="false" ht="15" hidden="false" customHeight="false" outlineLevel="0" collapsed="false">
      <c r="A1138" s="0" t="str">
        <f aca="false">'Raw Store Exports'!A1138</f>
        <v>TXN00730</v>
      </c>
      <c r="B1138" s="17" t="n">
        <f aca="false">'Raw Store Exports'!C1138</f>
        <v>46056</v>
      </c>
      <c r="C1138" s="0" t="str">
        <f aca="false">INDEX('Store Mapping'!$C$2:$C$19,MATCH(TRIM('Raw Store Exports'!B1138),'Store Mapping'!$A$2:$A$19,0))</f>
        <v>Airport Plaza</v>
      </c>
      <c r="D1138" s="0" t="str">
        <f aca="false">'Raw Store Exports'!D1138</f>
        <v>ELE-401</v>
      </c>
      <c r="E1138" s="0" t="str">
        <f aca="false">INDEX('Product Master'!$B$2:$B$21,MATCH(D1138,'Product Master'!$A$2:$A$21,0))</f>
        <v>Wireless Earbuds</v>
      </c>
      <c r="F1138" s="0" t="str">
        <f aca="false">INDEX('Product Master'!$C$2:$C$21,MATCH(D1138,'Product Master'!$A$2:$A$21,0))</f>
        <v>Electronics</v>
      </c>
      <c r="G1138" s="15" t="n">
        <f aca="false">VALUE(TRIM('Raw Store Exports'!E1138&amp;""))</f>
        <v>6</v>
      </c>
      <c r="H1138" s="18" t="n">
        <f aca="false">INDEX('Product Master'!$D$2:$D$21,MATCH(D1138,'Product Master'!$A$2:$A$21,0))</f>
        <v>79</v>
      </c>
      <c r="I1138" s="14" t="n">
        <f aca="false">G1138*H1138</f>
        <v>474</v>
      </c>
      <c r="J1138" s="0" t="str">
        <f aca="false">IF(COUNTIF($A$2:A1138,A1138)&gt;1,"Duplicate","")</f>
        <v/>
      </c>
    </row>
    <row r="1139" customFormat="false" ht="15" hidden="false" customHeight="false" outlineLevel="0" collapsed="false">
      <c r="A1139" s="0" t="str">
        <f aca="false">'Raw Store Exports'!A1139</f>
        <v>TXN00435</v>
      </c>
      <c r="B1139" s="17" t="n">
        <f aca="false">'Raw Store Exports'!C1139</f>
        <v>46048</v>
      </c>
      <c r="C1139" s="0" t="str">
        <f aca="false">INDEX('Store Mapping'!$C$2:$C$19,MATCH(TRIM('Raw Store Exports'!B1139),'Store Mapping'!$A$2:$A$19,0))</f>
        <v>Downtown</v>
      </c>
      <c r="D1139" s="0" t="str">
        <f aca="false">'Raw Store Exports'!D1139</f>
        <v>HOM-501</v>
      </c>
      <c r="E1139" s="0" t="str">
        <f aca="false">INDEX('Product Master'!$B$2:$B$21,MATCH(D1139,'Product Master'!$A$2:$A$21,0))</f>
        <v>Ceramic Coffee Mug Set</v>
      </c>
      <c r="F1139" s="0" t="str">
        <f aca="false">INDEX('Product Master'!$C$2:$C$21,MATCH(D1139,'Product Master'!$A$2:$A$21,0))</f>
        <v>Home Goods</v>
      </c>
      <c r="G1139" s="15" t="n">
        <f aca="false">VALUE(TRIM('Raw Store Exports'!E1139&amp;""))</f>
        <v>2</v>
      </c>
      <c r="H1139" s="18" t="n">
        <f aca="false">INDEX('Product Master'!$D$2:$D$21,MATCH(D1139,'Product Master'!$A$2:$A$21,0))</f>
        <v>22</v>
      </c>
      <c r="I1139" s="14" t="n">
        <f aca="false">G1139*H1139</f>
        <v>44</v>
      </c>
      <c r="J1139" s="0" t="str">
        <f aca="false">IF(COUNTIF($A$2:A1139,A1139)&gt;1,"Duplicate","")</f>
        <v/>
      </c>
    </row>
    <row r="1140" customFormat="false" ht="15" hidden="false" customHeight="false" outlineLevel="0" collapsed="false">
      <c r="A1140" s="0" t="str">
        <f aca="false">'Raw Store Exports'!A1140</f>
        <v>TXN00465</v>
      </c>
      <c r="B1140" s="17" t="n">
        <f aca="false">'Raw Store Exports'!C1140</f>
        <v>46051</v>
      </c>
      <c r="C1140" s="0" t="str">
        <f aca="false">INDEX('Store Mapping'!$C$2:$C$19,MATCH(TRIM('Raw Store Exports'!B1140),'Store Mapping'!$A$2:$A$19,0))</f>
        <v>Westside Mall</v>
      </c>
      <c r="D1140" s="0" t="str">
        <f aca="false">'Raw Store Exports'!D1140</f>
        <v>FTW-204</v>
      </c>
      <c r="E1140" s="0" t="str">
        <f aca="false">INDEX('Product Master'!$B$2:$B$21,MATCH(D1140,'Product Master'!$A$2:$A$21,0))</f>
        <v>Slide Sandals</v>
      </c>
      <c r="F1140" s="0" t="str">
        <f aca="false">INDEX('Product Master'!$C$2:$C$21,MATCH(D1140,'Product Master'!$A$2:$A$21,0))</f>
        <v>Footwear</v>
      </c>
      <c r="G1140" s="15" t="n">
        <f aca="false">VALUE(TRIM('Raw Store Exports'!E1140&amp;""))</f>
        <v>5</v>
      </c>
      <c r="H1140" s="18" t="n">
        <f aca="false">INDEX('Product Master'!$D$2:$D$21,MATCH(D1140,'Product Master'!$A$2:$A$21,0))</f>
        <v>25</v>
      </c>
      <c r="I1140" s="14" t="n">
        <f aca="false">G1140*H1140</f>
        <v>125</v>
      </c>
      <c r="J1140" s="0" t="str">
        <f aca="false">IF(COUNTIF($A$2:A1140,A1140)&gt;1,"Duplicate","")</f>
        <v/>
      </c>
    </row>
    <row r="1141" customFormat="false" ht="15" hidden="false" customHeight="false" outlineLevel="0" collapsed="false">
      <c r="A1141" s="0" t="str">
        <f aca="false">'Raw Store Exports'!A1141</f>
        <v>TXN00238</v>
      </c>
      <c r="B1141" s="17" t="n">
        <f aca="false">'Raw Store Exports'!C1141</f>
        <v>46034</v>
      </c>
      <c r="C1141" s="0" t="str">
        <f aca="false">INDEX('Store Mapping'!$C$2:$C$19,MATCH(TRIM('Raw Store Exports'!B1141),'Store Mapping'!$A$2:$A$19,0))</f>
        <v>Riverside</v>
      </c>
      <c r="D1141" s="0" t="str">
        <f aca="false">'Raw Store Exports'!D1141</f>
        <v>HOM-502</v>
      </c>
      <c r="E1141" s="0" t="str">
        <f aca="false">INDEX('Product Master'!$B$2:$B$21,MATCH(D1141,'Product Master'!$A$2:$A$21,0))</f>
        <v>Scented Candle</v>
      </c>
      <c r="F1141" s="0" t="str">
        <f aca="false">INDEX('Product Master'!$C$2:$C$21,MATCH(D1141,'Product Master'!$A$2:$A$21,0))</f>
        <v>Home Goods</v>
      </c>
      <c r="G1141" s="15" t="n">
        <f aca="false">VALUE(TRIM('Raw Store Exports'!E1141&amp;""))</f>
        <v>5</v>
      </c>
      <c r="H1141" s="18" t="n">
        <f aca="false">INDEX('Product Master'!$D$2:$D$21,MATCH(D1141,'Product Master'!$A$2:$A$21,0))</f>
        <v>15</v>
      </c>
      <c r="I1141" s="14" t="n">
        <f aca="false">G1141*H1141</f>
        <v>75</v>
      </c>
      <c r="J1141" s="0" t="str">
        <f aca="false">IF(COUNTIF($A$2:A1141,A1141)&gt;1,"Duplicate","")</f>
        <v/>
      </c>
    </row>
    <row r="1142" customFormat="false" ht="15" hidden="false" customHeight="false" outlineLevel="0" collapsed="false">
      <c r="A1142" s="0" t="str">
        <f aca="false">'Raw Store Exports'!A1142</f>
        <v>TXN00859</v>
      </c>
      <c r="B1142" s="17" t="n">
        <f aca="false">'Raw Store Exports'!C1142</f>
        <v>46064</v>
      </c>
      <c r="C1142" s="0" t="str">
        <f aca="false">INDEX('Store Mapping'!$C$2:$C$19,MATCH(TRIM('Raw Store Exports'!B1142),'Store Mapping'!$A$2:$A$19,0))</f>
        <v>Riverside</v>
      </c>
      <c r="D1142" s="0" t="str">
        <f aca="false">'Raw Store Exports'!D1142</f>
        <v>HOM-503</v>
      </c>
      <c r="E1142" s="0" t="str">
        <f aca="false">INDEX('Product Master'!$B$2:$B$21,MATCH(D1142,'Product Master'!$A$2:$A$21,0))</f>
        <v>Cotton Throw Blanket</v>
      </c>
      <c r="F1142" s="0" t="str">
        <f aca="false">INDEX('Product Master'!$C$2:$C$21,MATCH(D1142,'Product Master'!$A$2:$A$21,0))</f>
        <v>Home Goods</v>
      </c>
      <c r="G1142" s="15" t="n">
        <f aca="false">VALUE(TRIM('Raw Store Exports'!E1142&amp;""))</f>
        <v>2</v>
      </c>
      <c r="H1142" s="18" t="n">
        <f aca="false">INDEX('Product Master'!$D$2:$D$21,MATCH(D1142,'Product Master'!$A$2:$A$21,0))</f>
        <v>38</v>
      </c>
      <c r="I1142" s="14" t="n">
        <f aca="false">G1142*H1142</f>
        <v>76</v>
      </c>
      <c r="J1142" s="0" t="str">
        <f aca="false">IF(COUNTIF($A$2:A1142,A1142)&gt;1,"Duplicate","")</f>
        <v/>
      </c>
    </row>
    <row r="1143" customFormat="false" ht="15" hidden="false" customHeight="false" outlineLevel="0" collapsed="false">
      <c r="A1143" s="0" t="str">
        <f aca="false">'Raw Store Exports'!A1143</f>
        <v>TXN00947</v>
      </c>
      <c r="B1143" s="17" t="n">
        <f aca="false">'Raw Store Exports'!C1143</f>
        <v>46069</v>
      </c>
      <c r="C1143" s="0" t="str">
        <f aca="false">INDEX('Store Mapping'!$C$2:$C$19,MATCH(TRIM('Raw Store Exports'!B1143),'Store Mapping'!$A$2:$A$19,0))</f>
        <v>Eastgate</v>
      </c>
      <c r="D1143" s="0" t="str">
        <f aca="false">'Raw Store Exports'!D1143</f>
        <v>ACC-301</v>
      </c>
      <c r="E1143" s="0" t="str">
        <f aca="false">INDEX('Product Master'!$B$2:$B$21,MATCH(D1143,'Product Master'!$A$2:$A$21,0))</f>
        <v>Leather Belt</v>
      </c>
      <c r="F1143" s="0" t="str">
        <f aca="false">INDEX('Product Master'!$C$2:$C$21,MATCH(D1143,'Product Master'!$A$2:$A$21,0))</f>
        <v>Accessories</v>
      </c>
      <c r="G1143" s="15" t="n">
        <f aca="false">VALUE(TRIM('Raw Store Exports'!E1143&amp;""))</f>
        <v>3</v>
      </c>
      <c r="H1143" s="18" t="n">
        <f aca="false">INDEX('Product Master'!$D$2:$D$21,MATCH(D1143,'Product Master'!$A$2:$A$21,0))</f>
        <v>30</v>
      </c>
      <c r="I1143" s="14" t="n">
        <f aca="false">G1143*H1143</f>
        <v>90</v>
      </c>
      <c r="J1143" s="0" t="str">
        <f aca="false">IF(COUNTIF($A$2:A1143,A1143)&gt;1,"Duplicate","")</f>
        <v/>
      </c>
    </row>
    <row r="1144" customFormat="false" ht="15" hidden="false" customHeight="false" outlineLevel="0" collapsed="false">
      <c r="A1144" s="0" t="str">
        <f aca="false">'Raw Store Exports'!A1144</f>
        <v>TXN00827</v>
      </c>
      <c r="B1144" s="17" t="n">
        <f aca="false">'Raw Store Exports'!C1144</f>
        <v>46062</v>
      </c>
      <c r="C1144" s="0" t="str">
        <f aca="false">INDEX('Store Mapping'!$C$2:$C$19,MATCH(TRIM('Raw Store Exports'!B1144),'Store Mapping'!$A$2:$A$19,0))</f>
        <v>Northpark</v>
      </c>
      <c r="D1144" s="0" t="str">
        <f aca="false">'Raw Store Exports'!D1144</f>
        <v>APP-103</v>
      </c>
      <c r="E1144" s="0" t="str">
        <f aca="false">INDEX('Product Master'!$B$2:$B$21,MATCH(D1144,'Product Master'!$A$2:$A$21,0))</f>
        <v>Fleece Pullover Hoodie</v>
      </c>
      <c r="F1144" s="0" t="str">
        <f aca="false">INDEX('Product Master'!$C$2:$C$21,MATCH(D1144,'Product Master'!$A$2:$A$21,0))</f>
        <v>Apparel</v>
      </c>
      <c r="G1144" s="15" t="n">
        <f aca="false">VALUE(TRIM('Raw Store Exports'!E1144&amp;""))</f>
        <v>3</v>
      </c>
      <c r="H1144" s="18" t="n">
        <f aca="false">INDEX('Product Master'!$D$2:$D$21,MATCH(D1144,'Product Master'!$A$2:$A$21,0))</f>
        <v>45</v>
      </c>
      <c r="I1144" s="14" t="n">
        <f aca="false">G1144*H1144</f>
        <v>135</v>
      </c>
      <c r="J1144" s="0" t="str">
        <f aca="false">IF(COUNTIF($A$2:A1144,A1144)&gt;1,"Duplicate","")</f>
        <v/>
      </c>
    </row>
    <row r="1145" customFormat="false" ht="15" hidden="false" customHeight="false" outlineLevel="0" collapsed="false">
      <c r="A1145" s="0" t="str">
        <f aca="false">'Raw Store Exports'!A1145</f>
        <v>TXN00431</v>
      </c>
      <c r="B1145" s="17" t="n">
        <f aca="false">'Raw Store Exports'!C1145</f>
        <v>46042</v>
      </c>
      <c r="C1145" s="0" t="str">
        <f aca="false">INDEX('Store Mapping'!$C$2:$C$19,MATCH(TRIM('Raw Store Exports'!B1145),'Store Mapping'!$A$2:$A$19,0))</f>
        <v>Airport Plaza</v>
      </c>
      <c r="D1145" s="0" t="str">
        <f aca="false">'Raw Store Exports'!D1145</f>
        <v>ELE-404</v>
      </c>
      <c r="E1145" s="0" t="str">
        <f aca="false">INDEX('Product Master'!$B$2:$B$21,MATCH(D1145,'Product Master'!$A$2:$A$21,0))</f>
        <v>Phone Charging Cable</v>
      </c>
      <c r="F1145" s="0" t="str">
        <f aca="false">INDEX('Product Master'!$C$2:$C$21,MATCH(D1145,'Product Master'!$A$2:$A$21,0))</f>
        <v>Electronics</v>
      </c>
      <c r="G1145" s="15" t="n">
        <f aca="false">VALUE(TRIM('Raw Store Exports'!E1145&amp;""))</f>
        <v>1</v>
      </c>
      <c r="H1145" s="18" t="n">
        <f aca="false">INDEX('Product Master'!$D$2:$D$21,MATCH(D1145,'Product Master'!$A$2:$A$21,0))</f>
        <v>12</v>
      </c>
      <c r="I1145" s="14" t="n">
        <f aca="false">G1145*H1145</f>
        <v>12</v>
      </c>
      <c r="J1145" s="0" t="str">
        <f aca="false">IF(COUNTIF($A$2:A1145,A1145)&gt;1,"Duplicate","")</f>
        <v/>
      </c>
    </row>
    <row r="1146" customFormat="false" ht="15" hidden="false" customHeight="false" outlineLevel="0" collapsed="false">
      <c r="A1146" s="0" t="str">
        <f aca="false">'Raw Store Exports'!A1146</f>
        <v>TXN00761</v>
      </c>
      <c r="B1146" s="17" t="n">
        <f aca="false">'Raw Store Exports'!C1146</f>
        <v>46066</v>
      </c>
      <c r="C1146" s="0" t="str">
        <f aca="false">INDEX('Store Mapping'!$C$2:$C$19,MATCH(TRIM('Raw Store Exports'!B1146),'Store Mapping'!$A$2:$A$19,0))</f>
        <v>Downtown</v>
      </c>
      <c r="D1146" s="0" t="str">
        <f aca="false">'Raw Store Exports'!D1146</f>
        <v>HOM-503</v>
      </c>
      <c r="E1146" s="0" t="str">
        <f aca="false">INDEX('Product Master'!$B$2:$B$21,MATCH(D1146,'Product Master'!$A$2:$A$21,0))</f>
        <v>Cotton Throw Blanket</v>
      </c>
      <c r="F1146" s="0" t="str">
        <f aca="false">INDEX('Product Master'!$C$2:$C$21,MATCH(D1146,'Product Master'!$A$2:$A$21,0))</f>
        <v>Home Goods</v>
      </c>
      <c r="G1146" s="15" t="n">
        <f aca="false">VALUE(TRIM('Raw Store Exports'!E1146&amp;""))</f>
        <v>6</v>
      </c>
      <c r="H1146" s="18" t="n">
        <f aca="false">INDEX('Product Master'!$D$2:$D$21,MATCH(D1146,'Product Master'!$A$2:$A$21,0))</f>
        <v>38</v>
      </c>
      <c r="I1146" s="14" t="n">
        <f aca="false">G1146*H1146</f>
        <v>228</v>
      </c>
      <c r="J1146" s="0" t="str">
        <f aca="false">IF(COUNTIF($A$2:A1146,A1146)&gt;1,"Duplicate","")</f>
        <v/>
      </c>
    </row>
    <row r="1147" customFormat="false" ht="15" hidden="false" customHeight="false" outlineLevel="0" collapsed="false">
      <c r="A1147" s="0" t="str">
        <f aca="false">'Raw Store Exports'!A1147</f>
        <v>TXN00171</v>
      </c>
      <c r="B1147" s="17" t="n">
        <f aca="false">'Raw Store Exports'!C1147</f>
        <v>46039</v>
      </c>
      <c r="C1147" s="0" t="str">
        <f aca="false">INDEX('Store Mapping'!$C$2:$C$19,MATCH(TRIM('Raw Store Exports'!B1147),'Store Mapping'!$A$2:$A$19,0))</f>
        <v>Westside Mall</v>
      </c>
      <c r="D1147" s="0" t="str">
        <f aca="false">'Raw Store Exports'!D1147</f>
        <v>ACC-301</v>
      </c>
      <c r="E1147" s="0" t="str">
        <f aca="false">INDEX('Product Master'!$B$2:$B$21,MATCH(D1147,'Product Master'!$A$2:$A$21,0))</f>
        <v>Leather Belt</v>
      </c>
      <c r="F1147" s="0" t="str">
        <f aca="false">INDEX('Product Master'!$C$2:$C$21,MATCH(D1147,'Product Master'!$A$2:$A$21,0))</f>
        <v>Accessories</v>
      </c>
      <c r="G1147" s="15" t="n">
        <f aca="false">VALUE(TRIM('Raw Store Exports'!E1147&amp;""))</f>
        <v>4</v>
      </c>
      <c r="H1147" s="18" t="n">
        <f aca="false">INDEX('Product Master'!$D$2:$D$21,MATCH(D1147,'Product Master'!$A$2:$A$21,0))</f>
        <v>30</v>
      </c>
      <c r="I1147" s="14" t="n">
        <f aca="false">G1147*H1147</f>
        <v>120</v>
      </c>
      <c r="J1147" s="0" t="str">
        <f aca="false">IF(COUNTIF($A$2:A1147,A1147)&gt;1,"Duplicate","")</f>
        <v>Duplicate</v>
      </c>
    </row>
    <row r="1148" customFormat="false" ht="15" hidden="false" customHeight="false" outlineLevel="0" collapsed="false">
      <c r="A1148" s="0" t="str">
        <f aca="false">'Raw Store Exports'!A1148</f>
        <v>TXN00447</v>
      </c>
      <c r="B1148" s="17" t="n">
        <f aca="false">'Raw Store Exports'!C1148</f>
        <v>46051</v>
      </c>
      <c r="C1148" s="0" t="str">
        <f aca="false">INDEX('Store Mapping'!$C$2:$C$19,MATCH(TRIM('Raw Store Exports'!B1148),'Store Mapping'!$A$2:$A$19,0))</f>
        <v>Downtown</v>
      </c>
      <c r="D1148" s="0" t="str">
        <f aca="false">'Raw Store Exports'!D1148</f>
        <v>FTW-203</v>
      </c>
      <c r="E1148" s="0" t="str">
        <f aca="false">INDEX('Product Master'!$B$2:$B$21,MATCH(D1148,'Product Master'!$A$2:$A$21,0))</f>
        <v>Leather Ankle Boot</v>
      </c>
      <c r="F1148" s="0" t="str">
        <f aca="false">INDEX('Product Master'!$C$2:$C$21,MATCH(D1148,'Product Master'!$A$2:$A$21,0))</f>
        <v>Footwear</v>
      </c>
      <c r="G1148" s="15" t="n">
        <f aca="false">VALUE(TRIM('Raw Store Exports'!E1148&amp;""))</f>
        <v>1</v>
      </c>
      <c r="H1148" s="18" t="n">
        <f aca="false">INDEX('Product Master'!$D$2:$D$21,MATCH(D1148,'Product Master'!$A$2:$A$21,0))</f>
        <v>120</v>
      </c>
      <c r="I1148" s="14" t="n">
        <f aca="false">G1148*H1148</f>
        <v>120</v>
      </c>
      <c r="J1148" s="0" t="str">
        <f aca="false">IF(COUNTIF($A$2:A1148,A1148)&gt;1,"Duplicate","")</f>
        <v/>
      </c>
    </row>
    <row r="1149" customFormat="false" ht="15" hidden="false" customHeight="false" outlineLevel="0" collapsed="false">
      <c r="A1149" s="0" t="str">
        <f aca="false">'Raw Store Exports'!A1149</f>
        <v>TXN00016</v>
      </c>
      <c r="B1149" s="17" t="n">
        <f aca="false">'Raw Store Exports'!C1149</f>
        <v>46032</v>
      </c>
      <c r="C1149" s="0" t="str">
        <f aca="false">INDEX('Store Mapping'!$C$2:$C$19,MATCH(TRIM('Raw Store Exports'!B1149),'Store Mapping'!$A$2:$A$19,0))</f>
        <v>Downtown</v>
      </c>
      <c r="D1149" s="0" t="str">
        <f aca="false">'Raw Store Exports'!D1149</f>
        <v>ACC-301</v>
      </c>
      <c r="E1149" s="0" t="str">
        <f aca="false">INDEX('Product Master'!$B$2:$B$21,MATCH(D1149,'Product Master'!$A$2:$A$21,0))</f>
        <v>Leather Belt</v>
      </c>
      <c r="F1149" s="0" t="str">
        <f aca="false">INDEX('Product Master'!$C$2:$C$21,MATCH(D1149,'Product Master'!$A$2:$A$21,0))</f>
        <v>Accessories</v>
      </c>
      <c r="G1149" s="15" t="n">
        <f aca="false">VALUE(TRIM('Raw Store Exports'!E1149&amp;""))</f>
        <v>3</v>
      </c>
      <c r="H1149" s="18" t="n">
        <f aca="false">INDEX('Product Master'!$D$2:$D$21,MATCH(D1149,'Product Master'!$A$2:$A$21,0))</f>
        <v>30</v>
      </c>
      <c r="I1149" s="14" t="n">
        <f aca="false">G1149*H1149</f>
        <v>90</v>
      </c>
      <c r="J1149" s="0" t="str">
        <f aca="false">IF(COUNTIF($A$2:A1149,A1149)&gt;1,"Duplicate","")</f>
        <v/>
      </c>
    </row>
    <row r="1150" customFormat="false" ht="15" hidden="false" customHeight="false" outlineLevel="0" collapsed="false">
      <c r="A1150" s="0" t="str">
        <f aca="false">'Raw Store Exports'!A1150</f>
        <v>TXN00226</v>
      </c>
      <c r="B1150" s="17" t="n">
        <f aca="false">'Raw Store Exports'!C1150</f>
        <v>46035</v>
      </c>
      <c r="C1150" s="0" t="str">
        <f aca="false">INDEX('Store Mapping'!$C$2:$C$19,MATCH(TRIM('Raw Store Exports'!B1150),'Store Mapping'!$A$2:$A$19,0))</f>
        <v>Northpark</v>
      </c>
      <c r="D1150" s="0" t="str">
        <f aca="false">'Raw Store Exports'!D1150</f>
        <v>ACC-301</v>
      </c>
      <c r="E1150" s="0" t="str">
        <f aca="false">INDEX('Product Master'!$B$2:$B$21,MATCH(D1150,'Product Master'!$A$2:$A$21,0))</f>
        <v>Leather Belt</v>
      </c>
      <c r="F1150" s="0" t="str">
        <f aca="false">INDEX('Product Master'!$C$2:$C$21,MATCH(D1150,'Product Master'!$A$2:$A$21,0))</f>
        <v>Accessories</v>
      </c>
      <c r="G1150" s="15" t="n">
        <f aca="false">VALUE(TRIM('Raw Store Exports'!E1150&amp;""))</f>
        <v>5</v>
      </c>
      <c r="H1150" s="18" t="n">
        <f aca="false">INDEX('Product Master'!$D$2:$D$21,MATCH(D1150,'Product Master'!$A$2:$A$21,0))</f>
        <v>30</v>
      </c>
      <c r="I1150" s="14" t="n">
        <f aca="false">G1150*H1150</f>
        <v>150</v>
      </c>
      <c r="J1150" s="0" t="str">
        <f aca="false">IF(COUNTIF($A$2:A1150,A1150)&gt;1,"Duplicate","")</f>
        <v/>
      </c>
    </row>
    <row r="1151" customFormat="false" ht="15" hidden="false" customHeight="false" outlineLevel="0" collapsed="false">
      <c r="A1151" s="0" t="str">
        <f aca="false">'Raw Store Exports'!A1151</f>
        <v>TXN00007</v>
      </c>
      <c r="B1151" s="17" t="n">
        <f aca="false">'Raw Store Exports'!C1151</f>
        <v>46033</v>
      </c>
      <c r="C1151" s="0" t="str">
        <f aca="false">INDEX('Store Mapping'!$C$2:$C$19,MATCH(TRIM('Raw Store Exports'!B1151),'Store Mapping'!$A$2:$A$19,0))</f>
        <v>Downtown</v>
      </c>
      <c r="D1151" s="0" t="str">
        <f aca="false">'Raw Store Exports'!D1151</f>
        <v>FTW-204</v>
      </c>
      <c r="E1151" s="0" t="str">
        <f aca="false">INDEX('Product Master'!$B$2:$B$21,MATCH(D1151,'Product Master'!$A$2:$A$21,0))</f>
        <v>Slide Sandals</v>
      </c>
      <c r="F1151" s="0" t="str">
        <f aca="false">INDEX('Product Master'!$C$2:$C$21,MATCH(D1151,'Product Master'!$A$2:$A$21,0))</f>
        <v>Footwear</v>
      </c>
      <c r="G1151" s="15" t="n">
        <f aca="false">VALUE(TRIM('Raw Store Exports'!E1151&amp;""))</f>
        <v>1</v>
      </c>
      <c r="H1151" s="18" t="n">
        <f aca="false">INDEX('Product Master'!$D$2:$D$21,MATCH(D1151,'Product Master'!$A$2:$A$21,0))</f>
        <v>25</v>
      </c>
      <c r="I1151" s="14" t="n">
        <f aca="false">G1151*H1151</f>
        <v>25</v>
      </c>
      <c r="J1151" s="0" t="str">
        <f aca="false">IF(COUNTIF($A$2:A1151,A1151)&gt;1,"Duplicate","")</f>
        <v/>
      </c>
    </row>
    <row r="1152" customFormat="false" ht="15" hidden="false" customHeight="false" outlineLevel="0" collapsed="false">
      <c r="A1152" s="0" t="str">
        <f aca="false">'Raw Store Exports'!A1152</f>
        <v>TXN00693</v>
      </c>
      <c r="B1152" s="17" t="n">
        <f aca="false">'Raw Store Exports'!C1152</f>
        <v>46060</v>
      </c>
      <c r="C1152" s="0" t="str">
        <f aca="false">INDEX('Store Mapping'!$C$2:$C$19,MATCH(TRIM('Raw Store Exports'!B1152),'Store Mapping'!$A$2:$A$19,0))</f>
        <v>Northpark</v>
      </c>
      <c r="D1152" s="0" t="str">
        <f aca="false">'Raw Store Exports'!D1152</f>
        <v>ELE-404</v>
      </c>
      <c r="E1152" s="0" t="str">
        <f aca="false">INDEX('Product Master'!$B$2:$B$21,MATCH(D1152,'Product Master'!$A$2:$A$21,0))</f>
        <v>Phone Charging Cable</v>
      </c>
      <c r="F1152" s="0" t="str">
        <f aca="false">INDEX('Product Master'!$C$2:$C$21,MATCH(D1152,'Product Master'!$A$2:$A$21,0))</f>
        <v>Electronics</v>
      </c>
      <c r="G1152" s="15" t="n">
        <f aca="false">VALUE(TRIM('Raw Store Exports'!E1152&amp;""))</f>
        <v>5</v>
      </c>
      <c r="H1152" s="18" t="n">
        <f aca="false">INDEX('Product Master'!$D$2:$D$21,MATCH(D1152,'Product Master'!$A$2:$A$21,0))</f>
        <v>12</v>
      </c>
      <c r="I1152" s="14" t="n">
        <f aca="false">G1152*H1152</f>
        <v>60</v>
      </c>
      <c r="J1152" s="0" t="str">
        <f aca="false">IF(COUNTIF($A$2:A1152,A1152)&gt;1,"Duplicate","")</f>
        <v/>
      </c>
    </row>
    <row r="1153" customFormat="false" ht="15" hidden="false" customHeight="false" outlineLevel="0" collapsed="false">
      <c r="A1153" s="0" t="str">
        <f aca="false">'Raw Store Exports'!A1153</f>
        <v>TXN00994</v>
      </c>
      <c r="B1153" s="17" t="n">
        <f aca="false">'Raw Store Exports'!C1153</f>
        <v>46072</v>
      </c>
      <c r="C1153" s="0" t="str">
        <f aca="false">INDEX('Store Mapping'!$C$2:$C$19,MATCH(TRIM('Raw Store Exports'!B1153),'Store Mapping'!$A$2:$A$19,0))</f>
        <v>Riverside</v>
      </c>
      <c r="D1153" s="0" t="str">
        <f aca="false">'Raw Store Exports'!D1153</f>
        <v>APP-102</v>
      </c>
      <c r="E1153" s="0" t="str">
        <f aca="false">INDEX('Product Master'!$B$2:$B$21,MATCH(D1153,'Product Master'!$A$2:$A$21,0))</f>
        <v>Cotton Crew T-Shirt</v>
      </c>
      <c r="F1153" s="0" t="str">
        <f aca="false">INDEX('Product Master'!$C$2:$C$21,MATCH(D1153,'Product Master'!$A$2:$A$21,0))</f>
        <v>Apparel</v>
      </c>
      <c r="G1153" s="15" t="n">
        <f aca="false">VALUE(TRIM('Raw Store Exports'!E1153&amp;""))</f>
        <v>5</v>
      </c>
      <c r="H1153" s="18" t="n">
        <f aca="false">INDEX('Product Master'!$D$2:$D$21,MATCH(D1153,'Product Master'!$A$2:$A$21,0))</f>
        <v>18</v>
      </c>
      <c r="I1153" s="14" t="n">
        <f aca="false">G1153*H1153</f>
        <v>90</v>
      </c>
      <c r="J1153" s="0" t="str">
        <f aca="false">IF(COUNTIF($A$2:A1153,A1153)&gt;1,"Duplicate","")</f>
        <v/>
      </c>
    </row>
    <row r="1154" customFormat="false" ht="15" hidden="false" customHeight="false" outlineLevel="0" collapsed="false">
      <c r="A1154" s="0" t="str">
        <f aca="false">'Raw Store Exports'!A1154</f>
        <v>TXN00886</v>
      </c>
      <c r="B1154" s="17" t="n">
        <f aca="false">'Raw Store Exports'!C1154</f>
        <v>46063</v>
      </c>
      <c r="C1154" s="0" t="str">
        <f aca="false">INDEX('Store Mapping'!$C$2:$C$19,MATCH(TRIM('Raw Store Exports'!B1154),'Store Mapping'!$A$2:$A$19,0))</f>
        <v>Airport Plaza</v>
      </c>
      <c r="D1154" s="0" t="str">
        <f aca="false">'Raw Store Exports'!D1154</f>
        <v>ACC-302</v>
      </c>
      <c r="E1154" s="0" t="str">
        <f aca="false">INDEX('Product Master'!$B$2:$B$21,MATCH(D1154,'Product Master'!$A$2:$A$21,0))</f>
        <v>Aviator Sunglasses</v>
      </c>
      <c r="F1154" s="0" t="str">
        <f aca="false">INDEX('Product Master'!$C$2:$C$21,MATCH(D1154,'Product Master'!$A$2:$A$21,0))</f>
        <v>Accessories</v>
      </c>
      <c r="G1154" s="15" t="n">
        <f aca="false">VALUE(TRIM('Raw Store Exports'!E1154&amp;""))</f>
        <v>4</v>
      </c>
      <c r="H1154" s="18" t="n">
        <f aca="false">INDEX('Product Master'!$D$2:$D$21,MATCH(D1154,'Product Master'!$A$2:$A$21,0))</f>
        <v>42</v>
      </c>
      <c r="I1154" s="14" t="n">
        <f aca="false">G1154*H1154</f>
        <v>168</v>
      </c>
      <c r="J1154" s="0" t="str">
        <f aca="false">IF(COUNTIF($A$2:A1154,A1154)&gt;1,"Duplicate","")</f>
        <v/>
      </c>
    </row>
    <row r="1155" customFormat="false" ht="15" hidden="false" customHeight="false" outlineLevel="0" collapsed="false">
      <c r="A1155" s="0" t="str">
        <f aca="false">'Raw Store Exports'!A1155</f>
        <v>TXN00897</v>
      </c>
      <c r="B1155" s="17" t="n">
        <f aca="false">'Raw Store Exports'!C1155</f>
        <v>46063</v>
      </c>
      <c r="C1155" s="0" t="str">
        <f aca="false">INDEX('Store Mapping'!$C$2:$C$19,MATCH(TRIM('Raw Store Exports'!B1155),'Store Mapping'!$A$2:$A$19,0))</f>
        <v>Airport Plaza</v>
      </c>
      <c r="D1155" s="0" t="str">
        <f aca="false">'Raw Store Exports'!D1155</f>
        <v>ELE-402</v>
      </c>
      <c r="E1155" s="0" t="str">
        <f aca="false">INDEX('Product Master'!$B$2:$B$21,MATCH(D1155,'Product Master'!$A$2:$A$21,0))</f>
        <v>Bluetooth Speaker</v>
      </c>
      <c r="F1155" s="0" t="str">
        <f aca="false">INDEX('Product Master'!$C$2:$C$21,MATCH(D1155,'Product Master'!$A$2:$A$21,0))</f>
        <v>Electronics</v>
      </c>
      <c r="G1155" s="15" t="n">
        <f aca="false">VALUE(TRIM('Raw Store Exports'!E1155&amp;""))</f>
        <v>4</v>
      </c>
      <c r="H1155" s="18" t="n">
        <f aca="false">INDEX('Product Master'!$D$2:$D$21,MATCH(D1155,'Product Master'!$A$2:$A$21,0))</f>
        <v>59</v>
      </c>
      <c r="I1155" s="14" t="n">
        <f aca="false">G1155*H1155</f>
        <v>236</v>
      </c>
      <c r="J1155" s="0" t="str">
        <f aca="false">IF(COUNTIF($A$2:A1155,A1155)&gt;1,"Duplicate","")</f>
        <v/>
      </c>
    </row>
    <row r="1156" customFormat="false" ht="15" hidden="false" customHeight="false" outlineLevel="0" collapsed="false">
      <c r="A1156" s="0" t="str">
        <f aca="false">'Raw Store Exports'!A1156</f>
        <v>TXN00237</v>
      </c>
      <c r="B1156" s="17" t="n">
        <f aca="false">'Raw Store Exports'!C1156</f>
        <v>46034</v>
      </c>
      <c r="C1156" s="0" t="str">
        <f aca="false">INDEX('Store Mapping'!$C$2:$C$19,MATCH(TRIM('Raw Store Exports'!B1156),'Store Mapping'!$A$2:$A$19,0))</f>
        <v>Riverside</v>
      </c>
      <c r="D1156" s="0" t="str">
        <f aca="false">'Raw Store Exports'!D1156</f>
        <v>FTW-203</v>
      </c>
      <c r="E1156" s="0" t="str">
        <f aca="false">INDEX('Product Master'!$B$2:$B$21,MATCH(D1156,'Product Master'!$A$2:$A$21,0))</f>
        <v>Leather Ankle Boot</v>
      </c>
      <c r="F1156" s="0" t="str">
        <f aca="false">INDEX('Product Master'!$C$2:$C$21,MATCH(D1156,'Product Master'!$A$2:$A$21,0))</f>
        <v>Footwear</v>
      </c>
      <c r="G1156" s="15" t="n">
        <f aca="false">VALUE(TRIM('Raw Store Exports'!E1156&amp;""))</f>
        <v>3</v>
      </c>
      <c r="H1156" s="18" t="n">
        <f aca="false">INDEX('Product Master'!$D$2:$D$21,MATCH(D1156,'Product Master'!$A$2:$A$21,0))</f>
        <v>120</v>
      </c>
      <c r="I1156" s="14" t="n">
        <f aca="false">G1156*H1156</f>
        <v>360</v>
      </c>
      <c r="J1156" s="0" t="str">
        <f aca="false">IF(COUNTIF($A$2:A1156,A1156)&gt;1,"Duplicate","")</f>
        <v/>
      </c>
    </row>
    <row r="1157" customFormat="false" ht="15" hidden="false" customHeight="false" outlineLevel="0" collapsed="false">
      <c r="A1157" s="0" t="str">
        <f aca="false">'Raw Store Exports'!A1157</f>
        <v>TXN01086</v>
      </c>
      <c r="B1157" s="17" t="n">
        <f aca="false">'Raw Store Exports'!C1157</f>
        <v>46076</v>
      </c>
      <c r="C1157" s="0" t="str">
        <f aca="false">INDEX('Store Mapping'!$C$2:$C$19,MATCH(TRIM('Raw Store Exports'!B1157),'Store Mapping'!$A$2:$A$19,0))</f>
        <v>Westside Mall</v>
      </c>
      <c r="D1157" s="0" t="str">
        <f aca="false">'Raw Store Exports'!D1157</f>
        <v>FTW-204</v>
      </c>
      <c r="E1157" s="0" t="str">
        <f aca="false">INDEX('Product Master'!$B$2:$B$21,MATCH(D1157,'Product Master'!$A$2:$A$21,0))</f>
        <v>Slide Sandals</v>
      </c>
      <c r="F1157" s="0" t="str">
        <f aca="false">INDEX('Product Master'!$C$2:$C$21,MATCH(D1157,'Product Master'!$A$2:$A$21,0))</f>
        <v>Footwear</v>
      </c>
      <c r="G1157" s="15" t="n">
        <f aca="false">VALUE(TRIM('Raw Store Exports'!E1157&amp;""))</f>
        <v>3</v>
      </c>
      <c r="H1157" s="18" t="n">
        <f aca="false">INDEX('Product Master'!$D$2:$D$21,MATCH(D1157,'Product Master'!$A$2:$A$21,0))</f>
        <v>25</v>
      </c>
      <c r="I1157" s="14" t="n">
        <f aca="false">G1157*H1157</f>
        <v>75</v>
      </c>
      <c r="J1157" s="0" t="str">
        <f aca="false">IF(COUNTIF($A$2:A1157,A1157)&gt;1,"Duplicate","")</f>
        <v/>
      </c>
    </row>
    <row r="1158" customFormat="false" ht="15" hidden="false" customHeight="false" outlineLevel="0" collapsed="false">
      <c r="A1158" s="0" t="str">
        <f aca="false">'Raw Store Exports'!A1158</f>
        <v>TXN00978</v>
      </c>
      <c r="B1158" s="17" t="n">
        <f aca="false">'Raw Store Exports'!C1158</f>
        <v>46070</v>
      </c>
      <c r="C1158" s="0" t="str">
        <f aca="false">INDEX('Store Mapping'!$C$2:$C$19,MATCH(TRIM('Raw Store Exports'!B1158),'Store Mapping'!$A$2:$A$19,0))</f>
        <v>Northpark</v>
      </c>
      <c r="D1158" s="0" t="str">
        <f aca="false">'Raw Store Exports'!D1158</f>
        <v>ACC-303</v>
      </c>
      <c r="E1158" s="0" t="str">
        <f aca="false">INDEX('Product Master'!$B$2:$B$21,MATCH(D1158,'Product Master'!$A$2:$A$21,0))</f>
        <v>Canvas Tote Bag</v>
      </c>
      <c r="F1158" s="0" t="str">
        <f aca="false">INDEX('Product Master'!$C$2:$C$21,MATCH(D1158,'Product Master'!$A$2:$A$21,0))</f>
        <v>Accessories</v>
      </c>
      <c r="G1158" s="15" t="n">
        <f aca="false">VALUE(TRIM('Raw Store Exports'!E1158&amp;""))</f>
        <v>6</v>
      </c>
      <c r="H1158" s="18" t="n">
        <f aca="false">INDEX('Product Master'!$D$2:$D$21,MATCH(D1158,'Product Master'!$A$2:$A$21,0))</f>
        <v>24</v>
      </c>
      <c r="I1158" s="14" t="n">
        <f aca="false">G1158*H1158</f>
        <v>144</v>
      </c>
      <c r="J1158" s="0" t="str">
        <f aca="false">IF(COUNTIF($A$2:A1158,A1158)&gt;1,"Duplicate","")</f>
        <v/>
      </c>
    </row>
    <row r="1159" customFormat="false" ht="15" hidden="false" customHeight="false" outlineLevel="0" collapsed="false">
      <c r="A1159" s="0" t="str">
        <f aca="false">'Raw Store Exports'!A1159</f>
        <v>TXN00199</v>
      </c>
      <c r="B1159" s="17" t="n">
        <f aca="false">'Raw Store Exports'!C1159</f>
        <v>46034</v>
      </c>
      <c r="C1159" s="0" t="str">
        <f aca="false">INDEX('Store Mapping'!$C$2:$C$19,MATCH(TRIM('Raw Store Exports'!B1159),'Store Mapping'!$A$2:$A$19,0))</f>
        <v>Northpark</v>
      </c>
      <c r="D1159" s="0" t="str">
        <f aca="false">'Raw Store Exports'!D1159</f>
        <v>HOM-502</v>
      </c>
      <c r="E1159" s="0" t="str">
        <f aca="false">INDEX('Product Master'!$B$2:$B$21,MATCH(D1159,'Product Master'!$A$2:$A$21,0))</f>
        <v>Scented Candle</v>
      </c>
      <c r="F1159" s="0" t="str">
        <f aca="false">INDEX('Product Master'!$C$2:$C$21,MATCH(D1159,'Product Master'!$A$2:$A$21,0))</f>
        <v>Home Goods</v>
      </c>
      <c r="G1159" s="15" t="n">
        <f aca="false">VALUE(TRIM('Raw Store Exports'!E1159&amp;""))</f>
        <v>6</v>
      </c>
      <c r="H1159" s="18" t="n">
        <f aca="false">INDEX('Product Master'!$D$2:$D$21,MATCH(D1159,'Product Master'!$A$2:$A$21,0))</f>
        <v>15</v>
      </c>
      <c r="I1159" s="14" t="n">
        <f aca="false">G1159*H1159</f>
        <v>90</v>
      </c>
      <c r="J1159" s="0" t="str">
        <f aca="false">IF(COUNTIF($A$2:A1159,A1159)&gt;1,"Duplicate","")</f>
        <v/>
      </c>
    </row>
    <row r="1160" customFormat="false" ht="15" hidden="false" customHeight="false" outlineLevel="0" collapsed="false">
      <c r="A1160" s="0" t="str">
        <f aca="false">'Raw Store Exports'!A1160</f>
        <v>TXN00529</v>
      </c>
      <c r="B1160" s="17" t="n">
        <f aca="false">'Raw Store Exports'!C1160</f>
        <v>46053</v>
      </c>
      <c r="C1160" s="0" t="str">
        <f aca="false">INDEX('Store Mapping'!$C$2:$C$19,MATCH(TRIM('Raw Store Exports'!B1160),'Store Mapping'!$A$2:$A$19,0))</f>
        <v>Northpark</v>
      </c>
      <c r="D1160" s="0" t="str">
        <f aca="false">'Raw Store Exports'!D1160</f>
        <v>HOM-502</v>
      </c>
      <c r="E1160" s="0" t="str">
        <f aca="false">INDEX('Product Master'!$B$2:$B$21,MATCH(D1160,'Product Master'!$A$2:$A$21,0))</f>
        <v>Scented Candle</v>
      </c>
      <c r="F1160" s="0" t="str">
        <f aca="false">INDEX('Product Master'!$C$2:$C$21,MATCH(D1160,'Product Master'!$A$2:$A$21,0))</f>
        <v>Home Goods</v>
      </c>
      <c r="G1160" s="15" t="n">
        <f aca="false">VALUE(TRIM('Raw Store Exports'!E1160&amp;""))</f>
        <v>5</v>
      </c>
      <c r="H1160" s="18" t="n">
        <f aca="false">INDEX('Product Master'!$D$2:$D$21,MATCH(D1160,'Product Master'!$A$2:$A$21,0))</f>
        <v>15</v>
      </c>
      <c r="I1160" s="14" t="n">
        <f aca="false">G1160*H1160</f>
        <v>75</v>
      </c>
      <c r="J1160" s="0" t="str">
        <f aca="false">IF(COUNTIF($A$2:A1160,A1160)&gt;1,"Duplicate","")</f>
        <v/>
      </c>
    </row>
    <row r="1161" customFormat="false" ht="15" hidden="false" customHeight="false" outlineLevel="0" collapsed="false">
      <c r="A1161" s="0" t="str">
        <f aca="false">'Raw Store Exports'!A1161</f>
        <v>TXN00288</v>
      </c>
      <c r="B1161" s="17" t="n">
        <f aca="false">'Raw Store Exports'!C1161</f>
        <v>46042</v>
      </c>
      <c r="C1161" s="0" t="str">
        <f aca="false">INDEX('Store Mapping'!$C$2:$C$19,MATCH(TRIM('Raw Store Exports'!B1161),'Store Mapping'!$A$2:$A$19,0))</f>
        <v>Downtown</v>
      </c>
      <c r="D1161" s="0" t="str">
        <f aca="false">'Raw Store Exports'!D1161</f>
        <v>HOM-503</v>
      </c>
      <c r="E1161" s="0" t="str">
        <f aca="false">INDEX('Product Master'!$B$2:$B$21,MATCH(D1161,'Product Master'!$A$2:$A$21,0))</f>
        <v>Cotton Throw Blanket</v>
      </c>
      <c r="F1161" s="0" t="str">
        <f aca="false">INDEX('Product Master'!$C$2:$C$21,MATCH(D1161,'Product Master'!$A$2:$A$21,0))</f>
        <v>Home Goods</v>
      </c>
      <c r="G1161" s="15" t="n">
        <f aca="false">VALUE(TRIM('Raw Store Exports'!E1161&amp;""))</f>
        <v>1</v>
      </c>
      <c r="H1161" s="18" t="n">
        <f aca="false">INDEX('Product Master'!$D$2:$D$21,MATCH(D1161,'Product Master'!$A$2:$A$21,0))</f>
        <v>38</v>
      </c>
      <c r="I1161" s="14" t="n">
        <f aca="false">G1161*H1161</f>
        <v>38</v>
      </c>
      <c r="J1161" s="0" t="str">
        <f aca="false">IF(COUNTIF($A$2:A1161,A1161)&gt;1,"Duplicate","")</f>
        <v/>
      </c>
    </row>
    <row r="1162" customFormat="false" ht="15" hidden="false" customHeight="false" outlineLevel="0" collapsed="false">
      <c r="A1162" s="0" t="str">
        <f aca="false">'Raw Store Exports'!A1162</f>
        <v>TXN00282</v>
      </c>
      <c r="B1162" s="17" t="n">
        <f aca="false">'Raw Store Exports'!C1162</f>
        <v>46041</v>
      </c>
      <c r="C1162" s="0" t="str">
        <f aca="false">INDEX('Store Mapping'!$C$2:$C$19,MATCH(TRIM('Raw Store Exports'!B1162),'Store Mapping'!$A$2:$A$19,0))</f>
        <v>Downtown</v>
      </c>
      <c r="D1162" s="0" t="str">
        <f aca="false">'Raw Store Exports'!D1162</f>
        <v>HOM-501</v>
      </c>
      <c r="E1162" s="0" t="str">
        <f aca="false">INDEX('Product Master'!$B$2:$B$21,MATCH(D1162,'Product Master'!$A$2:$A$21,0))</f>
        <v>Ceramic Coffee Mug Set</v>
      </c>
      <c r="F1162" s="0" t="str">
        <f aca="false">INDEX('Product Master'!$C$2:$C$21,MATCH(D1162,'Product Master'!$A$2:$A$21,0))</f>
        <v>Home Goods</v>
      </c>
      <c r="G1162" s="15" t="n">
        <f aca="false">VALUE(TRIM('Raw Store Exports'!E1162&amp;""))</f>
        <v>5</v>
      </c>
      <c r="H1162" s="18" t="n">
        <f aca="false">INDEX('Product Master'!$D$2:$D$21,MATCH(D1162,'Product Master'!$A$2:$A$21,0))</f>
        <v>22</v>
      </c>
      <c r="I1162" s="14" t="n">
        <f aca="false">G1162*H1162</f>
        <v>110</v>
      </c>
      <c r="J1162" s="0" t="str">
        <f aca="false">IF(COUNTIF($A$2:A1162,A1162)&gt;1,"Duplicate","")</f>
        <v/>
      </c>
    </row>
    <row r="1163" customFormat="false" ht="15" hidden="false" customHeight="false" outlineLevel="0" collapsed="false">
      <c r="A1163" s="0" t="str">
        <f aca="false">'Raw Store Exports'!A1163</f>
        <v>TXN00575</v>
      </c>
      <c r="B1163" s="17" t="n">
        <f aca="false">'Raw Store Exports'!C1163</f>
        <v>46054</v>
      </c>
      <c r="C1163" s="0" t="str">
        <f aca="false">INDEX('Store Mapping'!$C$2:$C$19,MATCH(TRIM('Raw Store Exports'!B1163),'Store Mapping'!$A$2:$A$19,0))</f>
        <v>Airport Plaza</v>
      </c>
      <c r="D1163" s="0" t="str">
        <f aca="false">'Raw Store Exports'!D1163</f>
        <v>HOM-504</v>
      </c>
      <c r="E1163" s="0" t="str">
        <f aca="false">INDEX('Product Master'!$B$2:$B$21,MATCH(D1163,'Product Master'!$A$2:$A$21,0))</f>
        <v>Bamboo Cutting Board</v>
      </c>
      <c r="F1163" s="0" t="str">
        <f aca="false">INDEX('Product Master'!$C$2:$C$21,MATCH(D1163,'Product Master'!$A$2:$A$21,0))</f>
        <v>Home Goods</v>
      </c>
      <c r="G1163" s="15" t="n">
        <f aca="false">VALUE(TRIM('Raw Store Exports'!E1163&amp;""))</f>
        <v>4</v>
      </c>
      <c r="H1163" s="18" t="n">
        <f aca="false">INDEX('Product Master'!$D$2:$D$21,MATCH(D1163,'Product Master'!$A$2:$A$21,0))</f>
        <v>27</v>
      </c>
      <c r="I1163" s="14" t="n">
        <f aca="false">G1163*H1163</f>
        <v>108</v>
      </c>
      <c r="J1163" s="0" t="str">
        <f aca="false">IF(COUNTIF($A$2:A1163,A1163)&gt;1,"Duplicate","")</f>
        <v/>
      </c>
    </row>
    <row r="1164" customFormat="false" ht="15" hidden="false" customHeight="false" outlineLevel="0" collapsed="false">
      <c r="A1164" s="0" t="str">
        <f aca="false">'Raw Store Exports'!A1164</f>
        <v>TXN01110</v>
      </c>
      <c r="B1164" s="17" t="n">
        <f aca="false">'Raw Store Exports'!C1164</f>
        <v>46078</v>
      </c>
      <c r="C1164" s="0" t="str">
        <f aca="false">INDEX('Store Mapping'!$C$2:$C$19,MATCH(TRIM('Raw Store Exports'!B1164),'Store Mapping'!$A$2:$A$19,0))</f>
        <v>Eastgate</v>
      </c>
      <c r="D1164" s="0" t="str">
        <f aca="false">'Raw Store Exports'!D1164</f>
        <v>APP-104</v>
      </c>
      <c r="E1164" s="0" t="str">
        <f aca="false">INDEX('Product Master'!$B$2:$B$21,MATCH(D1164,'Product Master'!$A$2:$A$21,0))</f>
        <v>Slim Fit Chinos</v>
      </c>
      <c r="F1164" s="0" t="str">
        <f aca="false">INDEX('Product Master'!$C$2:$C$21,MATCH(D1164,'Product Master'!$A$2:$A$21,0))</f>
        <v>Apparel</v>
      </c>
      <c r="G1164" s="15" t="n">
        <f aca="false">VALUE(TRIM('Raw Store Exports'!E1164&amp;""))</f>
        <v>5</v>
      </c>
      <c r="H1164" s="18" t="n">
        <f aca="false">INDEX('Product Master'!$D$2:$D$21,MATCH(D1164,'Product Master'!$A$2:$A$21,0))</f>
        <v>52</v>
      </c>
      <c r="I1164" s="14" t="n">
        <f aca="false">G1164*H1164</f>
        <v>260</v>
      </c>
      <c r="J1164" s="0" t="str">
        <f aca="false">IF(COUNTIF($A$2:A1164,A1164)&gt;1,"Duplicate","")</f>
        <v/>
      </c>
    </row>
    <row r="1165" customFormat="false" ht="15" hidden="false" customHeight="false" outlineLevel="0" collapsed="false">
      <c r="A1165" s="0" t="str">
        <f aca="false">'Raw Store Exports'!A1165</f>
        <v>TXN00799</v>
      </c>
      <c r="B1165" s="17" t="n">
        <f aca="false">'Raw Store Exports'!C1165</f>
        <v>46067</v>
      </c>
      <c r="C1165" s="0" t="str">
        <f aca="false">INDEX('Store Mapping'!$C$2:$C$19,MATCH(TRIM('Raw Store Exports'!B1165),'Store Mapping'!$A$2:$A$19,0))</f>
        <v>Westside Mall</v>
      </c>
      <c r="D1165" s="0" t="str">
        <f aca="false">'Raw Store Exports'!D1165</f>
        <v>APP-101</v>
      </c>
      <c r="E1165" s="0" t="str">
        <f aca="false">INDEX('Product Master'!$B$2:$B$21,MATCH(D1165,'Product Master'!$A$2:$A$21,0))</f>
        <v>Classic Denim Jacket</v>
      </c>
      <c r="F1165" s="0" t="str">
        <f aca="false">INDEX('Product Master'!$C$2:$C$21,MATCH(D1165,'Product Master'!$A$2:$A$21,0))</f>
        <v>Apparel</v>
      </c>
      <c r="G1165" s="15" t="n">
        <f aca="false">VALUE(TRIM('Raw Store Exports'!E1165&amp;""))</f>
        <v>4</v>
      </c>
      <c r="H1165" s="18" t="n">
        <f aca="false">INDEX('Product Master'!$D$2:$D$21,MATCH(D1165,'Product Master'!$A$2:$A$21,0))</f>
        <v>68</v>
      </c>
      <c r="I1165" s="14" t="n">
        <f aca="false">G1165*H1165</f>
        <v>272</v>
      </c>
      <c r="J1165" s="0" t="str">
        <f aca="false">IF(COUNTIF($A$2:A1165,A1165)&gt;1,"Duplicate","")</f>
        <v/>
      </c>
    </row>
    <row r="1166" customFormat="false" ht="15" hidden="false" customHeight="false" outlineLevel="0" collapsed="false">
      <c r="A1166" s="0" t="str">
        <f aca="false">'Raw Store Exports'!A1166</f>
        <v>TXN00708</v>
      </c>
      <c r="B1166" s="17" t="n">
        <f aca="false">'Raw Store Exports'!C1166</f>
        <v>46057</v>
      </c>
      <c r="C1166" s="0" t="str">
        <f aca="false">INDEX('Store Mapping'!$C$2:$C$19,MATCH(TRIM('Raw Store Exports'!B1166),'Store Mapping'!$A$2:$A$19,0))</f>
        <v>Riverside</v>
      </c>
      <c r="D1166" s="0" t="str">
        <f aca="false">'Raw Store Exports'!D1166</f>
        <v>APP-101</v>
      </c>
      <c r="E1166" s="0" t="str">
        <f aca="false">INDEX('Product Master'!$B$2:$B$21,MATCH(D1166,'Product Master'!$A$2:$A$21,0))</f>
        <v>Classic Denim Jacket</v>
      </c>
      <c r="F1166" s="0" t="str">
        <f aca="false">INDEX('Product Master'!$C$2:$C$21,MATCH(D1166,'Product Master'!$A$2:$A$21,0))</f>
        <v>Apparel</v>
      </c>
      <c r="G1166" s="15" t="n">
        <f aca="false">VALUE(TRIM('Raw Store Exports'!E1166&amp;""))</f>
        <v>5</v>
      </c>
      <c r="H1166" s="18" t="n">
        <f aca="false">INDEX('Product Master'!$D$2:$D$21,MATCH(D1166,'Product Master'!$A$2:$A$21,0))</f>
        <v>68</v>
      </c>
      <c r="I1166" s="14" t="n">
        <f aca="false">G1166*H1166</f>
        <v>340</v>
      </c>
      <c r="J1166" s="0" t="str">
        <f aca="false">IF(COUNTIF($A$2:A1166,A1166)&gt;1,"Duplicate","")</f>
        <v/>
      </c>
    </row>
    <row r="1167" customFormat="false" ht="15" hidden="false" customHeight="false" outlineLevel="0" collapsed="false">
      <c r="A1167" s="0" t="str">
        <f aca="false">'Raw Store Exports'!A1167</f>
        <v>TXN00347</v>
      </c>
      <c r="B1167" s="17" t="n">
        <f aca="false">'Raw Store Exports'!C1167</f>
        <v>46047</v>
      </c>
      <c r="C1167" s="0" t="str">
        <f aca="false">INDEX('Store Mapping'!$C$2:$C$19,MATCH(TRIM('Raw Store Exports'!B1167),'Store Mapping'!$A$2:$A$19,0))</f>
        <v>Northpark</v>
      </c>
      <c r="D1167" s="0" t="str">
        <f aca="false">'Raw Store Exports'!D1167</f>
        <v>ELE-403</v>
      </c>
      <c r="E1167" s="0" t="str">
        <f aca="false">INDEX('Product Master'!$B$2:$B$21,MATCH(D1167,'Product Master'!$A$2:$A$21,0))</f>
        <v>Fitness Tracker Band</v>
      </c>
      <c r="F1167" s="0" t="str">
        <f aca="false">INDEX('Product Master'!$C$2:$C$21,MATCH(D1167,'Product Master'!$A$2:$A$21,0))</f>
        <v>Electronics</v>
      </c>
      <c r="G1167" s="15" t="n">
        <f aca="false">VALUE(TRIM('Raw Store Exports'!E1167&amp;""))</f>
        <v>4</v>
      </c>
      <c r="H1167" s="18" t="n">
        <f aca="false">INDEX('Product Master'!$D$2:$D$21,MATCH(D1167,'Product Master'!$A$2:$A$21,0))</f>
        <v>99</v>
      </c>
      <c r="I1167" s="14" t="n">
        <f aca="false">G1167*H1167</f>
        <v>396</v>
      </c>
      <c r="J1167" s="0" t="str">
        <f aca="false">IF(COUNTIF($A$2:A1167,A1167)&gt;1,"Duplicate","")</f>
        <v/>
      </c>
    </row>
    <row r="1168" customFormat="false" ht="15" hidden="false" customHeight="false" outlineLevel="0" collapsed="false">
      <c r="A1168" s="0" t="str">
        <f aca="false">'Raw Store Exports'!A1168</f>
        <v>TXN00929</v>
      </c>
      <c r="B1168" s="17" t="n">
        <f aca="false">'Raw Store Exports'!C1168</f>
        <v>46071</v>
      </c>
      <c r="C1168" s="0" t="str">
        <f aca="false">INDEX('Store Mapping'!$C$2:$C$19,MATCH(TRIM('Raw Store Exports'!B1168),'Store Mapping'!$A$2:$A$19,0))</f>
        <v>Westside Mall</v>
      </c>
      <c r="D1168" s="0" t="str">
        <f aca="false">'Raw Store Exports'!D1168</f>
        <v>HOM-504</v>
      </c>
      <c r="E1168" s="0" t="str">
        <f aca="false">INDEX('Product Master'!$B$2:$B$21,MATCH(D1168,'Product Master'!$A$2:$A$21,0))</f>
        <v>Bamboo Cutting Board</v>
      </c>
      <c r="F1168" s="0" t="str">
        <f aca="false">INDEX('Product Master'!$C$2:$C$21,MATCH(D1168,'Product Master'!$A$2:$A$21,0))</f>
        <v>Home Goods</v>
      </c>
      <c r="G1168" s="15" t="n">
        <f aca="false">VALUE(TRIM('Raw Store Exports'!E1168&amp;""))</f>
        <v>6</v>
      </c>
      <c r="H1168" s="18" t="n">
        <f aca="false">INDEX('Product Master'!$D$2:$D$21,MATCH(D1168,'Product Master'!$A$2:$A$21,0))</f>
        <v>27</v>
      </c>
      <c r="I1168" s="14" t="n">
        <f aca="false">G1168*H1168</f>
        <v>162</v>
      </c>
      <c r="J1168" s="0" t="str">
        <f aca="false">IF(COUNTIF($A$2:A1168,A1168)&gt;1,"Duplicate","")</f>
        <v>Duplicate</v>
      </c>
    </row>
    <row r="1169" customFormat="false" ht="15" hidden="false" customHeight="false" outlineLevel="0" collapsed="false">
      <c r="A1169" s="0" t="str">
        <f aca="false">'Raw Store Exports'!A1169</f>
        <v>TXN00292</v>
      </c>
      <c r="B1169" s="17" t="n">
        <f aca="false">'Raw Store Exports'!C1169</f>
        <v>46042</v>
      </c>
      <c r="C1169" s="0" t="str">
        <f aca="false">INDEX('Store Mapping'!$C$2:$C$19,MATCH(TRIM('Raw Store Exports'!B1169),'Store Mapping'!$A$2:$A$19,0))</f>
        <v>Downtown</v>
      </c>
      <c r="D1169" s="0" t="str">
        <f aca="false">'Raw Store Exports'!D1169</f>
        <v>FTW-203</v>
      </c>
      <c r="E1169" s="0" t="str">
        <f aca="false">INDEX('Product Master'!$B$2:$B$21,MATCH(D1169,'Product Master'!$A$2:$A$21,0))</f>
        <v>Leather Ankle Boot</v>
      </c>
      <c r="F1169" s="0" t="str">
        <f aca="false">INDEX('Product Master'!$C$2:$C$21,MATCH(D1169,'Product Master'!$A$2:$A$21,0))</f>
        <v>Footwear</v>
      </c>
      <c r="G1169" s="15" t="n">
        <f aca="false">VALUE(TRIM('Raw Store Exports'!E1169&amp;""))</f>
        <v>3</v>
      </c>
      <c r="H1169" s="18" t="n">
        <f aca="false">INDEX('Product Master'!$D$2:$D$21,MATCH(D1169,'Product Master'!$A$2:$A$21,0))</f>
        <v>120</v>
      </c>
      <c r="I1169" s="14" t="n">
        <f aca="false">G1169*H1169</f>
        <v>360</v>
      </c>
      <c r="J1169" s="0" t="str">
        <f aca="false">IF(COUNTIF($A$2:A1169,A1169)&gt;1,"Duplicate","")</f>
        <v/>
      </c>
    </row>
    <row r="1170" customFormat="false" ht="15" hidden="false" customHeight="false" outlineLevel="0" collapsed="false">
      <c r="A1170" s="0" t="str">
        <f aca="false">'Raw Store Exports'!A1170</f>
        <v>TXN00338</v>
      </c>
      <c r="B1170" s="17" t="n">
        <f aca="false">'Raw Store Exports'!C1170</f>
        <v>46043</v>
      </c>
      <c r="C1170" s="0" t="str">
        <f aca="false">INDEX('Store Mapping'!$C$2:$C$19,MATCH(TRIM('Raw Store Exports'!B1170),'Store Mapping'!$A$2:$A$19,0))</f>
        <v>Eastgate</v>
      </c>
      <c r="D1170" s="0" t="str">
        <f aca="false">'Raw Store Exports'!D1170</f>
        <v>ACC-301</v>
      </c>
      <c r="E1170" s="0" t="str">
        <f aca="false">INDEX('Product Master'!$B$2:$B$21,MATCH(D1170,'Product Master'!$A$2:$A$21,0))</f>
        <v>Leather Belt</v>
      </c>
      <c r="F1170" s="0" t="str">
        <f aca="false">INDEX('Product Master'!$C$2:$C$21,MATCH(D1170,'Product Master'!$A$2:$A$21,0))</f>
        <v>Accessories</v>
      </c>
      <c r="G1170" s="15" t="n">
        <f aca="false">VALUE(TRIM('Raw Store Exports'!E1170&amp;""))</f>
        <v>5</v>
      </c>
      <c r="H1170" s="18" t="n">
        <f aca="false">INDEX('Product Master'!$D$2:$D$21,MATCH(D1170,'Product Master'!$A$2:$A$21,0))</f>
        <v>30</v>
      </c>
      <c r="I1170" s="14" t="n">
        <f aca="false">G1170*H1170</f>
        <v>150</v>
      </c>
      <c r="J1170" s="0" t="str">
        <f aca="false">IF(COUNTIF($A$2:A1170,A1170)&gt;1,"Duplicate","")</f>
        <v/>
      </c>
    </row>
    <row r="1171" customFormat="false" ht="15" hidden="false" customHeight="false" outlineLevel="0" collapsed="false">
      <c r="A1171" s="0" t="str">
        <f aca="false">'Raw Store Exports'!A1171</f>
        <v>TXN00776</v>
      </c>
      <c r="B1171" s="17" t="n">
        <f aca="false">'Raw Store Exports'!C1171</f>
        <v>46062</v>
      </c>
      <c r="C1171" s="0" t="str">
        <f aca="false">INDEX('Store Mapping'!$C$2:$C$19,MATCH(TRIM('Raw Store Exports'!B1171),'Store Mapping'!$A$2:$A$19,0))</f>
        <v>Downtown</v>
      </c>
      <c r="D1171" s="0" t="str">
        <f aca="false">'Raw Store Exports'!D1171</f>
        <v>HOM-503</v>
      </c>
      <c r="E1171" s="0" t="str">
        <f aca="false">INDEX('Product Master'!$B$2:$B$21,MATCH(D1171,'Product Master'!$A$2:$A$21,0))</f>
        <v>Cotton Throw Blanket</v>
      </c>
      <c r="F1171" s="0" t="str">
        <f aca="false">INDEX('Product Master'!$C$2:$C$21,MATCH(D1171,'Product Master'!$A$2:$A$21,0))</f>
        <v>Home Goods</v>
      </c>
      <c r="G1171" s="15" t="n">
        <f aca="false">VALUE(TRIM('Raw Store Exports'!E1171&amp;""))</f>
        <v>5</v>
      </c>
      <c r="H1171" s="18" t="n">
        <f aca="false">INDEX('Product Master'!$D$2:$D$21,MATCH(D1171,'Product Master'!$A$2:$A$21,0))</f>
        <v>38</v>
      </c>
      <c r="I1171" s="14" t="n">
        <f aca="false">G1171*H1171</f>
        <v>190</v>
      </c>
      <c r="J1171" s="0" t="str">
        <f aca="false">IF(COUNTIF($A$2:A1171,A1171)&gt;1,"Duplicate","")</f>
        <v/>
      </c>
    </row>
    <row r="1172" customFormat="false" ht="15" hidden="false" customHeight="false" outlineLevel="0" collapsed="false">
      <c r="A1172" s="0" t="str">
        <f aca="false">'Raw Store Exports'!A1172</f>
        <v>TXN00242</v>
      </c>
      <c r="B1172" s="17" t="n">
        <f aca="false">'Raw Store Exports'!C1172</f>
        <v>46036</v>
      </c>
      <c r="C1172" s="0" t="str">
        <f aca="false">INDEX('Store Mapping'!$C$2:$C$19,MATCH(TRIM('Raw Store Exports'!B1172),'Store Mapping'!$A$2:$A$19,0))</f>
        <v>Riverside</v>
      </c>
      <c r="D1172" s="0" t="str">
        <f aca="false">'Raw Store Exports'!D1172</f>
        <v>ACC-302</v>
      </c>
      <c r="E1172" s="0" t="str">
        <f aca="false">INDEX('Product Master'!$B$2:$B$21,MATCH(D1172,'Product Master'!$A$2:$A$21,0))</f>
        <v>Aviator Sunglasses</v>
      </c>
      <c r="F1172" s="0" t="str">
        <f aca="false">INDEX('Product Master'!$C$2:$C$21,MATCH(D1172,'Product Master'!$A$2:$A$21,0))</f>
        <v>Accessories</v>
      </c>
      <c r="G1172" s="15" t="n">
        <f aca="false">VALUE(TRIM('Raw Store Exports'!E1172&amp;""))</f>
        <v>5</v>
      </c>
      <c r="H1172" s="18" t="n">
        <f aca="false">INDEX('Product Master'!$D$2:$D$21,MATCH(D1172,'Product Master'!$A$2:$A$21,0))</f>
        <v>42</v>
      </c>
      <c r="I1172" s="14" t="n">
        <f aca="false">G1172*H1172</f>
        <v>210</v>
      </c>
      <c r="J1172" s="0" t="str">
        <f aca="false">IF(COUNTIF($A$2:A1172,A1172)&gt;1,"Duplicate","")</f>
        <v>Duplicate</v>
      </c>
    </row>
    <row r="1173" customFormat="false" ht="15" hidden="false" customHeight="false" outlineLevel="0" collapsed="false">
      <c r="A1173" s="0" t="str">
        <f aca="false">'Raw Store Exports'!A1173</f>
        <v>TXN00778</v>
      </c>
      <c r="B1173" s="17" t="n">
        <f aca="false">'Raw Store Exports'!C1173</f>
        <v>46065</v>
      </c>
      <c r="C1173" s="0" t="str">
        <f aca="false">INDEX('Store Mapping'!$C$2:$C$19,MATCH(TRIM('Raw Store Exports'!B1173),'Store Mapping'!$A$2:$A$19,0))</f>
        <v>Westside Mall</v>
      </c>
      <c r="D1173" s="0" t="str">
        <f aca="false">'Raw Store Exports'!D1173</f>
        <v>APP-103</v>
      </c>
      <c r="E1173" s="0" t="str">
        <f aca="false">INDEX('Product Master'!$B$2:$B$21,MATCH(D1173,'Product Master'!$A$2:$A$21,0))</f>
        <v>Fleece Pullover Hoodie</v>
      </c>
      <c r="F1173" s="0" t="str">
        <f aca="false">INDEX('Product Master'!$C$2:$C$21,MATCH(D1173,'Product Master'!$A$2:$A$21,0))</f>
        <v>Apparel</v>
      </c>
      <c r="G1173" s="15" t="n">
        <f aca="false">VALUE(TRIM('Raw Store Exports'!E1173&amp;""))</f>
        <v>4</v>
      </c>
      <c r="H1173" s="18" t="n">
        <f aca="false">INDEX('Product Master'!$D$2:$D$21,MATCH(D1173,'Product Master'!$A$2:$A$21,0))</f>
        <v>45</v>
      </c>
      <c r="I1173" s="14" t="n">
        <f aca="false">G1173*H1173</f>
        <v>180</v>
      </c>
      <c r="J1173" s="0" t="str">
        <f aca="false">IF(COUNTIF($A$2:A1173,A1173)&gt;1,"Duplicate","")</f>
        <v/>
      </c>
    </row>
    <row r="1174" customFormat="false" ht="15" hidden="false" customHeight="false" outlineLevel="0" collapsed="false">
      <c r="A1174" s="0" t="str">
        <f aca="false">'Raw Store Exports'!A1174</f>
        <v>TXN00068</v>
      </c>
      <c r="B1174" s="17" t="n">
        <f aca="false">'Raw Store Exports'!C1174</f>
        <v>46029</v>
      </c>
      <c r="C1174" s="0" t="str">
        <f aca="false">INDEX('Store Mapping'!$C$2:$C$19,MATCH(TRIM('Raw Store Exports'!B1174),'Store Mapping'!$A$2:$A$19,0))</f>
        <v>Eastgate</v>
      </c>
      <c r="D1174" s="0" t="str">
        <f aca="false">'Raw Store Exports'!D1174</f>
        <v>ELE-401</v>
      </c>
      <c r="E1174" s="0" t="str">
        <f aca="false">INDEX('Product Master'!$B$2:$B$21,MATCH(D1174,'Product Master'!$A$2:$A$21,0))</f>
        <v>Wireless Earbuds</v>
      </c>
      <c r="F1174" s="0" t="str">
        <f aca="false">INDEX('Product Master'!$C$2:$C$21,MATCH(D1174,'Product Master'!$A$2:$A$21,0))</f>
        <v>Electronics</v>
      </c>
      <c r="G1174" s="15" t="n">
        <f aca="false">VALUE(TRIM('Raw Store Exports'!E1174&amp;""))</f>
        <v>5</v>
      </c>
      <c r="H1174" s="18" t="n">
        <f aca="false">INDEX('Product Master'!$D$2:$D$21,MATCH(D1174,'Product Master'!$A$2:$A$21,0))</f>
        <v>79</v>
      </c>
      <c r="I1174" s="14" t="n">
        <f aca="false">G1174*H1174</f>
        <v>395</v>
      </c>
      <c r="J1174" s="0" t="str">
        <f aca="false">IF(COUNTIF($A$2:A1174,A1174)&gt;1,"Duplicate","")</f>
        <v/>
      </c>
    </row>
    <row r="1175" customFormat="false" ht="15" hidden="false" customHeight="false" outlineLevel="0" collapsed="false">
      <c r="A1175" s="0" t="str">
        <f aca="false">'Raw Store Exports'!A1175</f>
        <v>TXN00317</v>
      </c>
      <c r="B1175" s="17" t="n">
        <f aca="false">'Raw Store Exports'!C1175</f>
        <v>46045</v>
      </c>
      <c r="C1175" s="0" t="str">
        <f aca="false">INDEX('Store Mapping'!$C$2:$C$19,MATCH(TRIM('Raw Store Exports'!B1175),'Store Mapping'!$A$2:$A$19,0))</f>
        <v>Westside Mall</v>
      </c>
      <c r="D1175" s="0" t="str">
        <f aca="false">'Raw Store Exports'!D1175</f>
        <v>HOM-501</v>
      </c>
      <c r="E1175" s="0" t="str">
        <f aca="false">INDEX('Product Master'!$B$2:$B$21,MATCH(D1175,'Product Master'!$A$2:$A$21,0))</f>
        <v>Ceramic Coffee Mug Set</v>
      </c>
      <c r="F1175" s="0" t="str">
        <f aca="false">INDEX('Product Master'!$C$2:$C$21,MATCH(D1175,'Product Master'!$A$2:$A$21,0))</f>
        <v>Home Goods</v>
      </c>
      <c r="G1175" s="15" t="n">
        <f aca="false">VALUE(TRIM('Raw Store Exports'!E1175&amp;""))</f>
        <v>6</v>
      </c>
      <c r="H1175" s="18" t="n">
        <f aca="false">INDEX('Product Master'!$D$2:$D$21,MATCH(D1175,'Product Master'!$A$2:$A$21,0))</f>
        <v>22</v>
      </c>
      <c r="I1175" s="14" t="n">
        <f aca="false">G1175*H1175</f>
        <v>132</v>
      </c>
      <c r="J1175" s="0" t="str">
        <f aca="false">IF(COUNTIF($A$2:A1175,A1175)&gt;1,"Duplicate","")</f>
        <v/>
      </c>
    </row>
    <row r="1176" customFormat="false" ht="15" hidden="false" customHeight="false" outlineLevel="0" collapsed="false">
      <c r="A1176" s="0" t="str">
        <f aca="false">'Raw Store Exports'!A1176</f>
        <v>TXN00243</v>
      </c>
      <c r="B1176" s="17" t="n">
        <f aca="false">'Raw Store Exports'!C1176</f>
        <v>46036</v>
      </c>
      <c r="C1176" s="0" t="str">
        <f aca="false">INDEX('Store Mapping'!$C$2:$C$19,MATCH(TRIM('Raw Store Exports'!B1176),'Store Mapping'!$A$2:$A$19,0))</f>
        <v>Riverside</v>
      </c>
      <c r="D1176" s="0" t="str">
        <f aca="false">'Raw Store Exports'!D1176</f>
        <v>APP-102</v>
      </c>
      <c r="E1176" s="0" t="str">
        <f aca="false">INDEX('Product Master'!$B$2:$B$21,MATCH(D1176,'Product Master'!$A$2:$A$21,0))</f>
        <v>Cotton Crew T-Shirt</v>
      </c>
      <c r="F1176" s="0" t="str">
        <f aca="false">INDEX('Product Master'!$C$2:$C$21,MATCH(D1176,'Product Master'!$A$2:$A$21,0))</f>
        <v>Apparel</v>
      </c>
      <c r="G1176" s="15" t="n">
        <f aca="false">VALUE(TRIM('Raw Store Exports'!E1176&amp;""))</f>
        <v>2</v>
      </c>
      <c r="H1176" s="18" t="n">
        <f aca="false">INDEX('Product Master'!$D$2:$D$21,MATCH(D1176,'Product Master'!$A$2:$A$21,0))</f>
        <v>18</v>
      </c>
      <c r="I1176" s="14" t="n">
        <f aca="false">G1176*H1176</f>
        <v>36</v>
      </c>
      <c r="J1176" s="0" t="str">
        <f aca="false">IF(COUNTIF($A$2:A1176,A1176)&gt;1,"Duplicate","")</f>
        <v>Duplicate</v>
      </c>
    </row>
    <row r="1177" customFormat="false" ht="15" hidden="false" customHeight="false" outlineLevel="0" collapsed="false">
      <c r="A1177" s="0" t="str">
        <f aca="false">'Raw Store Exports'!A1177</f>
        <v>TXN00002</v>
      </c>
      <c r="B1177" s="17" t="n">
        <f aca="false">'Raw Store Exports'!C1177</f>
        <v>46032</v>
      </c>
      <c r="C1177" s="0" t="str">
        <f aca="false">INDEX('Store Mapping'!$C$2:$C$19,MATCH(TRIM('Raw Store Exports'!B1177),'Store Mapping'!$A$2:$A$19,0))</f>
        <v>Downtown</v>
      </c>
      <c r="D1177" s="0" t="str">
        <f aca="false">'Raw Store Exports'!D1177</f>
        <v>FTW-202</v>
      </c>
      <c r="E1177" s="0" t="str">
        <f aca="false">INDEX('Product Master'!$B$2:$B$21,MATCH(D1177,'Product Master'!$A$2:$A$21,0))</f>
        <v>Canvas Low-Top</v>
      </c>
      <c r="F1177" s="0" t="str">
        <f aca="false">INDEX('Product Master'!$C$2:$C$21,MATCH(D1177,'Product Master'!$A$2:$A$21,0))</f>
        <v>Footwear</v>
      </c>
      <c r="G1177" s="15" t="n">
        <f aca="false">VALUE(TRIM('Raw Store Exports'!E1177&amp;""))</f>
        <v>3</v>
      </c>
      <c r="H1177" s="18" t="n">
        <f aca="false">INDEX('Product Master'!$D$2:$D$21,MATCH(D1177,'Product Master'!$A$2:$A$21,0))</f>
        <v>55</v>
      </c>
      <c r="I1177" s="14" t="n">
        <f aca="false">G1177*H1177</f>
        <v>165</v>
      </c>
      <c r="J1177" s="0" t="str">
        <f aca="false">IF(COUNTIF($A$2:A1177,A1177)&gt;1,"Duplicate","")</f>
        <v/>
      </c>
    </row>
    <row r="1178" customFormat="false" ht="15" hidden="false" customHeight="false" outlineLevel="0" collapsed="false">
      <c r="A1178" s="0" t="str">
        <f aca="false">'Raw Store Exports'!A1178</f>
        <v>TXN00135</v>
      </c>
      <c r="B1178" s="17" t="n">
        <f aca="false">'Raw Store Exports'!C1178</f>
        <v>46030</v>
      </c>
      <c r="C1178" s="0" t="str">
        <f aca="false">INDEX('Store Mapping'!$C$2:$C$19,MATCH(TRIM('Raw Store Exports'!B1178),'Store Mapping'!$A$2:$A$19,0))</f>
        <v>Airport Plaza</v>
      </c>
      <c r="D1178" s="0" t="str">
        <f aca="false">'Raw Store Exports'!D1178</f>
        <v>HOM-502</v>
      </c>
      <c r="E1178" s="0" t="str">
        <f aca="false">INDEX('Product Master'!$B$2:$B$21,MATCH(D1178,'Product Master'!$A$2:$A$21,0))</f>
        <v>Scented Candle</v>
      </c>
      <c r="F1178" s="0" t="str">
        <f aca="false">INDEX('Product Master'!$C$2:$C$21,MATCH(D1178,'Product Master'!$A$2:$A$21,0))</f>
        <v>Home Goods</v>
      </c>
      <c r="G1178" s="15" t="n">
        <f aca="false">VALUE(TRIM('Raw Store Exports'!E1178&amp;""))</f>
        <v>3</v>
      </c>
      <c r="H1178" s="18" t="n">
        <f aca="false">INDEX('Product Master'!$D$2:$D$21,MATCH(D1178,'Product Master'!$A$2:$A$21,0))</f>
        <v>15</v>
      </c>
      <c r="I1178" s="14" t="n">
        <f aca="false">G1178*H1178</f>
        <v>45</v>
      </c>
      <c r="J1178" s="0" t="str">
        <f aca="false">IF(COUNTIF($A$2:A1178,A1178)&gt;1,"Duplicate","")</f>
        <v/>
      </c>
    </row>
    <row r="1179" customFormat="false" ht="15" hidden="false" customHeight="false" outlineLevel="0" collapsed="false">
      <c r="A1179" s="0" t="str">
        <f aca="false">'Raw Store Exports'!A1179</f>
        <v>TXN01032</v>
      </c>
      <c r="B1179" s="17" t="n">
        <f aca="false">'Raw Store Exports'!C1179</f>
        <v>46071</v>
      </c>
      <c r="C1179" s="0" t="str">
        <f aca="false">INDEX('Store Mapping'!$C$2:$C$19,MATCH(TRIM('Raw Store Exports'!B1179),'Store Mapping'!$A$2:$A$19,0))</f>
        <v>Airport Plaza</v>
      </c>
      <c r="D1179" s="0" t="str">
        <f aca="false">'Raw Store Exports'!D1179</f>
        <v>ELE-401</v>
      </c>
      <c r="E1179" s="0" t="str">
        <f aca="false">INDEX('Product Master'!$B$2:$B$21,MATCH(D1179,'Product Master'!$A$2:$A$21,0))</f>
        <v>Wireless Earbuds</v>
      </c>
      <c r="F1179" s="0" t="str">
        <f aca="false">INDEX('Product Master'!$C$2:$C$21,MATCH(D1179,'Product Master'!$A$2:$A$21,0))</f>
        <v>Electronics</v>
      </c>
      <c r="G1179" s="15" t="n">
        <f aca="false">VALUE(TRIM('Raw Store Exports'!E1179&amp;""))</f>
        <v>2</v>
      </c>
      <c r="H1179" s="18" t="n">
        <f aca="false">INDEX('Product Master'!$D$2:$D$21,MATCH(D1179,'Product Master'!$A$2:$A$21,0))</f>
        <v>79</v>
      </c>
      <c r="I1179" s="14" t="n">
        <f aca="false">G1179*H1179</f>
        <v>158</v>
      </c>
      <c r="J1179" s="0" t="str">
        <f aca="false">IF(COUNTIF($A$2:A1179,A1179)&gt;1,"Duplicate","")</f>
        <v/>
      </c>
    </row>
    <row r="1180" customFormat="false" ht="15" hidden="false" customHeight="false" outlineLevel="0" collapsed="false">
      <c r="A1180" s="0" t="str">
        <f aca="false">'Raw Store Exports'!A1180</f>
        <v>TXN00329</v>
      </c>
      <c r="B1180" s="17" t="n">
        <f aca="false">'Raw Store Exports'!C1180</f>
        <v>46045</v>
      </c>
      <c r="C1180" s="0" t="str">
        <f aca="false">INDEX('Store Mapping'!$C$2:$C$19,MATCH(TRIM('Raw Store Exports'!B1180),'Store Mapping'!$A$2:$A$19,0))</f>
        <v>Eastgate</v>
      </c>
      <c r="D1180" s="0" t="str">
        <f aca="false">'Raw Store Exports'!D1180</f>
        <v>ELE-404</v>
      </c>
      <c r="E1180" s="0" t="str">
        <f aca="false">INDEX('Product Master'!$B$2:$B$21,MATCH(D1180,'Product Master'!$A$2:$A$21,0))</f>
        <v>Phone Charging Cable</v>
      </c>
      <c r="F1180" s="0" t="str">
        <f aca="false">INDEX('Product Master'!$C$2:$C$21,MATCH(D1180,'Product Master'!$A$2:$A$21,0))</f>
        <v>Electronics</v>
      </c>
      <c r="G1180" s="15" t="n">
        <f aca="false">VALUE(TRIM('Raw Store Exports'!E1180&amp;""))</f>
        <v>1</v>
      </c>
      <c r="H1180" s="18" t="n">
        <f aca="false">INDEX('Product Master'!$D$2:$D$21,MATCH(D1180,'Product Master'!$A$2:$A$21,0))</f>
        <v>12</v>
      </c>
      <c r="I1180" s="14" t="n">
        <f aca="false">G1180*H1180</f>
        <v>12</v>
      </c>
      <c r="J1180" s="0" t="str">
        <f aca="false">IF(COUNTIF($A$2:A1180,A1180)&gt;1,"Duplicate","")</f>
        <v/>
      </c>
    </row>
    <row r="1181" customFormat="false" ht="15" hidden="false" customHeight="false" outlineLevel="0" collapsed="false">
      <c r="A1181" s="0" t="str">
        <f aca="false">'Raw Store Exports'!A1181</f>
        <v>TXN00328</v>
      </c>
      <c r="B1181" s="17" t="n">
        <f aca="false">'Raw Store Exports'!C1181</f>
        <v>46044</v>
      </c>
      <c r="C1181" s="0" t="str">
        <f aca="false">INDEX('Store Mapping'!$C$2:$C$19,MATCH(TRIM('Raw Store Exports'!B1181),'Store Mapping'!$A$2:$A$19,0))</f>
        <v>Eastgate</v>
      </c>
      <c r="D1181" s="0" t="str">
        <f aca="false">'Raw Store Exports'!D1181</f>
        <v>APP-104</v>
      </c>
      <c r="E1181" s="0" t="str">
        <f aca="false">INDEX('Product Master'!$B$2:$B$21,MATCH(D1181,'Product Master'!$A$2:$A$21,0))</f>
        <v>Slim Fit Chinos</v>
      </c>
      <c r="F1181" s="0" t="str">
        <f aca="false">INDEX('Product Master'!$C$2:$C$21,MATCH(D1181,'Product Master'!$A$2:$A$21,0))</f>
        <v>Apparel</v>
      </c>
      <c r="G1181" s="15" t="n">
        <f aca="false">VALUE(TRIM('Raw Store Exports'!E1181&amp;""))</f>
        <v>3</v>
      </c>
      <c r="H1181" s="18" t="n">
        <f aca="false">INDEX('Product Master'!$D$2:$D$21,MATCH(D1181,'Product Master'!$A$2:$A$21,0))</f>
        <v>52</v>
      </c>
      <c r="I1181" s="14" t="n">
        <f aca="false">G1181*H1181</f>
        <v>156</v>
      </c>
      <c r="J1181" s="0" t="str">
        <f aca="false">IF(COUNTIF($A$2:A1181,A1181)&gt;1,"Duplicate","")</f>
        <v/>
      </c>
    </row>
    <row r="1182" customFormat="false" ht="15" hidden="false" customHeight="false" outlineLevel="0" collapsed="false">
      <c r="A1182" s="0" t="str">
        <f aca="false">'Raw Store Exports'!A1182</f>
        <v>TXN00152</v>
      </c>
      <c r="B1182" s="17" t="n">
        <f aca="false">'Raw Store Exports'!C1182</f>
        <v>46036</v>
      </c>
      <c r="C1182" s="0" t="str">
        <f aca="false">INDEX('Store Mapping'!$C$2:$C$19,MATCH(TRIM('Raw Store Exports'!B1182),'Store Mapping'!$A$2:$A$19,0))</f>
        <v>Downtown</v>
      </c>
      <c r="D1182" s="0" t="str">
        <f aca="false">'Raw Store Exports'!D1182</f>
        <v>FTW-202</v>
      </c>
      <c r="E1182" s="0" t="str">
        <f aca="false">INDEX('Product Master'!$B$2:$B$21,MATCH(D1182,'Product Master'!$A$2:$A$21,0))</f>
        <v>Canvas Low-Top</v>
      </c>
      <c r="F1182" s="0" t="str">
        <f aca="false">INDEX('Product Master'!$C$2:$C$21,MATCH(D1182,'Product Master'!$A$2:$A$21,0))</f>
        <v>Footwear</v>
      </c>
      <c r="G1182" s="15" t="n">
        <f aca="false">VALUE(TRIM('Raw Store Exports'!E1182&amp;""))</f>
        <v>1</v>
      </c>
      <c r="H1182" s="18" t="n">
        <f aca="false">INDEX('Product Master'!$D$2:$D$21,MATCH(D1182,'Product Master'!$A$2:$A$21,0))</f>
        <v>55</v>
      </c>
      <c r="I1182" s="14" t="n">
        <f aca="false">G1182*H1182</f>
        <v>55</v>
      </c>
      <c r="J1182" s="0" t="str">
        <f aca="false">IF(COUNTIF($A$2:A1182,A1182)&gt;1,"Duplicate","")</f>
        <v/>
      </c>
    </row>
    <row r="1183" customFormat="false" ht="15" hidden="false" customHeight="false" outlineLevel="0" collapsed="false">
      <c r="A1183" s="0" t="str">
        <f aca="false">'Raw Store Exports'!A1183</f>
        <v>TXN00798</v>
      </c>
      <c r="B1183" s="17" t="n">
        <f aca="false">'Raw Store Exports'!C1183</f>
        <v>46065</v>
      </c>
      <c r="C1183" s="0" t="str">
        <f aca="false">INDEX('Store Mapping'!$C$2:$C$19,MATCH(TRIM('Raw Store Exports'!B1183),'Store Mapping'!$A$2:$A$19,0))</f>
        <v>Westside Mall</v>
      </c>
      <c r="D1183" s="0" t="str">
        <f aca="false">'Raw Store Exports'!D1183</f>
        <v>HOM-503</v>
      </c>
      <c r="E1183" s="0" t="str">
        <f aca="false">INDEX('Product Master'!$B$2:$B$21,MATCH(D1183,'Product Master'!$A$2:$A$21,0))</f>
        <v>Cotton Throw Blanket</v>
      </c>
      <c r="F1183" s="0" t="str">
        <f aca="false">INDEX('Product Master'!$C$2:$C$21,MATCH(D1183,'Product Master'!$A$2:$A$21,0))</f>
        <v>Home Goods</v>
      </c>
      <c r="G1183" s="15" t="n">
        <f aca="false">VALUE(TRIM('Raw Store Exports'!E1183&amp;""))</f>
        <v>6</v>
      </c>
      <c r="H1183" s="18" t="n">
        <f aca="false">INDEX('Product Master'!$D$2:$D$21,MATCH(D1183,'Product Master'!$A$2:$A$21,0))</f>
        <v>38</v>
      </c>
      <c r="I1183" s="14" t="n">
        <f aca="false">G1183*H1183</f>
        <v>228</v>
      </c>
      <c r="J1183" s="0" t="str">
        <f aca="false">IF(COUNTIF($A$2:A1183,A1183)&gt;1,"Duplicate","")</f>
        <v/>
      </c>
    </row>
    <row r="1184" customFormat="false" ht="15" hidden="false" customHeight="false" outlineLevel="0" collapsed="false">
      <c r="A1184" s="0" t="str">
        <f aca="false">'Raw Store Exports'!A1184</f>
        <v>TXN00289</v>
      </c>
      <c r="B1184" s="17" t="n">
        <f aca="false">'Raw Store Exports'!C1184</f>
        <v>46043</v>
      </c>
      <c r="C1184" s="0" t="str">
        <f aca="false">INDEX('Store Mapping'!$C$2:$C$19,MATCH(TRIM('Raw Store Exports'!B1184),'Store Mapping'!$A$2:$A$19,0))</f>
        <v>Downtown</v>
      </c>
      <c r="D1184" s="0" t="str">
        <f aca="false">'Raw Store Exports'!D1184</f>
        <v>HOM-503</v>
      </c>
      <c r="E1184" s="0" t="str">
        <f aca="false">INDEX('Product Master'!$B$2:$B$21,MATCH(D1184,'Product Master'!$A$2:$A$21,0))</f>
        <v>Cotton Throw Blanket</v>
      </c>
      <c r="F1184" s="0" t="str">
        <f aca="false">INDEX('Product Master'!$C$2:$C$21,MATCH(D1184,'Product Master'!$A$2:$A$21,0))</f>
        <v>Home Goods</v>
      </c>
      <c r="G1184" s="15" t="n">
        <f aca="false">VALUE(TRIM('Raw Store Exports'!E1184&amp;""))</f>
        <v>2</v>
      </c>
      <c r="H1184" s="18" t="n">
        <f aca="false">INDEX('Product Master'!$D$2:$D$21,MATCH(D1184,'Product Master'!$A$2:$A$21,0))</f>
        <v>38</v>
      </c>
      <c r="I1184" s="14" t="n">
        <f aca="false">G1184*H1184</f>
        <v>76</v>
      </c>
      <c r="J1184" s="0" t="str">
        <f aca="false">IF(COUNTIF($A$2:A1184,A1184)&gt;1,"Duplicate","")</f>
        <v/>
      </c>
    </row>
    <row r="1185" customFormat="false" ht="15" hidden="false" customHeight="false" outlineLevel="0" collapsed="false">
      <c r="A1185" s="0" t="str">
        <f aca="false">'Raw Store Exports'!A1185</f>
        <v>TXN00466</v>
      </c>
      <c r="B1185" s="17" t="n">
        <f aca="false">'Raw Store Exports'!C1185</f>
        <v>46054</v>
      </c>
      <c r="C1185" s="0" t="str">
        <f aca="false">INDEX('Store Mapping'!$C$2:$C$19,MATCH(TRIM('Raw Store Exports'!B1185),'Store Mapping'!$A$2:$A$19,0))</f>
        <v>Westside Mall</v>
      </c>
      <c r="D1185" s="0" t="str">
        <f aca="false">'Raw Store Exports'!D1185</f>
        <v>APP-101</v>
      </c>
      <c r="E1185" s="0" t="str">
        <f aca="false">INDEX('Product Master'!$B$2:$B$21,MATCH(D1185,'Product Master'!$A$2:$A$21,0))</f>
        <v>Classic Denim Jacket</v>
      </c>
      <c r="F1185" s="0" t="str">
        <f aca="false">INDEX('Product Master'!$C$2:$C$21,MATCH(D1185,'Product Master'!$A$2:$A$21,0))</f>
        <v>Apparel</v>
      </c>
      <c r="G1185" s="15" t="n">
        <f aca="false">VALUE(TRIM('Raw Store Exports'!E1185&amp;""))</f>
        <v>5</v>
      </c>
      <c r="H1185" s="18" t="n">
        <f aca="false">INDEX('Product Master'!$D$2:$D$21,MATCH(D1185,'Product Master'!$A$2:$A$21,0))</f>
        <v>68</v>
      </c>
      <c r="I1185" s="14" t="n">
        <f aca="false">G1185*H1185</f>
        <v>340</v>
      </c>
      <c r="J1185" s="0" t="str">
        <f aca="false">IF(COUNTIF($A$2:A1185,A1185)&gt;1,"Duplicate","")</f>
        <v/>
      </c>
    </row>
    <row r="1186" customFormat="false" ht="15" hidden="false" customHeight="false" outlineLevel="0" collapsed="false">
      <c r="A1186" s="0" t="str">
        <f aca="false">'Raw Store Exports'!A1186</f>
        <v>TXN00341</v>
      </c>
      <c r="B1186" s="17" t="n">
        <f aca="false">'Raw Store Exports'!C1186</f>
        <v>46044</v>
      </c>
      <c r="C1186" s="0" t="str">
        <f aca="false">INDEX('Store Mapping'!$C$2:$C$19,MATCH(TRIM('Raw Store Exports'!B1186),'Store Mapping'!$A$2:$A$19,0))</f>
        <v>Eastgate</v>
      </c>
      <c r="D1186" s="0" t="str">
        <f aca="false">'Raw Store Exports'!D1186</f>
        <v>HOM-503</v>
      </c>
      <c r="E1186" s="0" t="str">
        <f aca="false">INDEX('Product Master'!$B$2:$B$21,MATCH(D1186,'Product Master'!$A$2:$A$21,0))</f>
        <v>Cotton Throw Blanket</v>
      </c>
      <c r="F1186" s="0" t="str">
        <f aca="false">INDEX('Product Master'!$C$2:$C$21,MATCH(D1186,'Product Master'!$A$2:$A$21,0))</f>
        <v>Home Goods</v>
      </c>
      <c r="G1186" s="15" t="n">
        <f aca="false">VALUE(TRIM('Raw Store Exports'!E1186&amp;""))</f>
        <v>3</v>
      </c>
      <c r="H1186" s="18" t="n">
        <f aca="false">INDEX('Product Master'!$D$2:$D$21,MATCH(D1186,'Product Master'!$A$2:$A$21,0))</f>
        <v>38</v>
      </c>
      <c r="I1186" s="14" t="n">
        <f aca="false">G1186*H1186</f>
        <v>114</v>
      </c>
      <c r="J1186" s="0" t="str">
        <f aca="false">IF(COUNTIF($A$2:A1186,A1186)&gt;1,"Duplicate","")</f>
        <v/>
      </c>
    </row>
    <row r="1187" customFormat="false" ht="15" hidden="false" customHeight="false" outlineLevel="0" collapsed="false">
      <c r="A1187" s="0" t="str">
        <f aca="false">'Raw Store Exports'!A1187</f>
        <v>TXN01000</v>
      </c>
      <c r="B1187" s="17" t="n">
        <f aca="false">'Raw Store Exports'!C1187</f>
        <v>46073</v>
      </c>
      <c r="C1187" s="0" t="str">
        <f aca="false">INDEX('Store Mapping'!$C$2:$C$19,MATCH(TRIM('Raw Store Exports'!B1187),'Store Mapping'!$A$2:$A$19,0))</f>
        <v>Riverside</v>
      </c>
      <c r="D1187" s="0" t="str">
        <f aca="false">'Raw Store Exports'!D1187</f>
        <v>ELE-403</v>
      </c>
      <c r="E1187" s="0" t="str">
        <f aca="false">INDEX('Product Master'!$B$2:$B$21,MATCH(D1187,'Product Master'!$A$2:$A$21,0))</f>
        <v>Fitness Tracker Band</v>
      </c>
      <c r="F1187" s="0" t="str">
        <f aca="false">INDEX('Product Master'!$C$2:$C$21,MATCH(D1187,'Product Master'!$A$2:$A$21,0))</f>
        <v>Electronics</v>
      </c>
      <c r="G1187" s="15" t="n">
        <f aca="false">VALUE(TRIM('Raw Store Exports'!E1187&amp;""))</f>
        <v>5</v>
      </c>
      <c r="H1187" s="18" t="n">
        <f aca="false">INDEX('Product Master'!$D$2:$D$21,MATCH(D1187,'Product Master'!$A$2:$A$21,0))</f>
        <v>99</v>
      </c>
      <c r="I1187" s="14" t="n">
        <f aca="false">G1187*H1187</f>
        <v>495</v>
      </c>
      <c r="J1187" s="0" t="str">
        <f aca="false">IF(COUNTIF($A$2:A1187,A1187)&gt;1,"Duplicate","")</f>
        <v/>
      </c>
    </row>
    <row r="1188" customFormat="false" ht="15" hidden="false" customHeight="false" outlineLevel="0" collapsed="false">
      <c r="A1188" s="0" t="str">
        <f aca="false">'Raw Store Exports'!A1188</f>
        <v>TXN00765</v>
      </c>
      <c r="B1188" s="17" t="n">
        <f aca="false">'Raw Store Exports'!C1188</f>
        <v>46067</v>
      </c>
      <c r="C1188" s="0" t="str">
        <f aca="false">INDEX('Store Mapping'!$C$2:$C$19,MATCH(TRIM('Raw Store Exports'!B1188),'Store Mapping'!$A$2:$A$19,0))</f>
        <v>Downtown</v>
      </c>
      <c r="D1188" s="0" t="str">
        <f aca="false">'Raw Store Exports'!D1188</f>
        <v>HOM-503</v>
      </c>
      <c r="E1188" s="0" t="str">
        <f aca="false">INDEX('Product Master'!$B$2:$B$21,MATCH(D1188,'Product Master'!$A$2:$A$21,0))</f>
        <v>Cotton Throw Blanket</v>
      </c>
      <c r="F1188" s="0" t="str">
        <f aca="false">INDEX('Product Master'!$C$2:$C$21,MATCH(D1188,'Product Master'!$A$2:$A$21,0))</f>
        <v>Home Goods</v>
      </c>
      <c r="G1188" s="15" t="n">
        <f aca="false">VALUE(TRIM('Raw Store Exports'!E1188&amp;""))</f>
        <v>2</v>
      </c>
      <c r="H1188" s="18" t="n">
        <f aca="false">INDEX('Product Master'!$D$2:$D$21,MATCH(D1188,'Product Master'!$A$2:$A$21,0))</f>
        <v>38</v>
      </c>
      <c r="I1188" s="14" t="n">
        <f aca="false">G1188*H1188</f>
        <v>76</v>
      </c>
      <c r="J1188" s="0" t="str">
        <f aca="false">IF(COUNTIF($A$2:A1188,A1188)&gt;1,"Duplicate","")</f>
        <v/>
      </c>
    </row>
    <row r="1189" customFormat="false" ht="15" hidden="false" customHeight="false" outlineLevel="0" collapsed="false">
      <c r="A1189" s="0" t="str">
        <f aca="false">'Raw Store Exports'!A1189</f>
        <v>TXN00979</v>
      </c>
      <c r="B1189" s="17" t="n">
        <f aca="false">'Raw Store Exports'!C1189</f>
        <v>46074</v>
      </c>
      <c r="C1189" s="0" t="str">
        <f aca="false">INDEX('Store Mapping'!$C$2:$C$19,MATCH(TRIM('Raw Store Exports'!B1189),'Store Mapping'!$A$2:$A$19,0))</f>
        <v>Northpark</v>
      </c>
      <c r="D1189" s="0" t="str">
        <f aca="false">'Raw Store Exports'!D1189</f>
        <v>HOM-504</v>
      </c>
      <c r="E1189" s="0" t="str">
        <f aca="false">INDEX('Product Master'!$B$2:$B$21,MATCH(D1189,'Product Master'!$A$2:$A$21,0))</f>
        <v>Bamboo Cutting Board</v>
      </c>
      <c r="F1189" s="0" t="str">
        <f aca="false">INDEX('Product Master'!$C$2:$C$21,MATCH(D1189,'Product Master'!$A$2:$A$21,0))</f>
        <v>Home Goods</v>
      </c>
      <c r="G1189" s="15" t="n">
        <f aca="false">VALUE(TRIM('Raw Store Exports'!E1189&amp;""))</f>
        <v>4</v>
      </c>
      <c r="H1189" s="18" t="n">
        <f aca="false">INDEX('Product Master'!$D$2:$D$21,MATCH(D1189,'Product Master'!$A$2:$A$21,0))</f>
        <v>27</v>
      </c>
      <c r="I1189" s="14" t="n">
        <f aca="false">G1189*H1189</f>
        <v>108</v>
      </c>
      <c r="J1189" s="0" t="str">
        <f aca="false">IF(COUNTIF($A$2:A1189,A1189)&gt;1,"Duplicate","")</f>
        <v/>
      </c>
    </row>
    <row r="1190" customFormat="false" ht="15" hidden="false" customHeight="false" outlineLevel="0" collapsed="false">
      <c r="A1190" s="0" t="str">
        <f aca="false">'Raw Store Exports'!A1190</f>
        <v>TXN01139</v>
      </c>
      <c r="B1190" s="17" t="n">
        <f aca="false">'Raw Store Exports'!C1190</f>
        <v>46080</v>
      </c>
      <c r="C1190" s="0" t="str">
        <f aca="false">INDEX('Store Mapping'!$C$2:$C$19,MATCH(TRIM('Raw Store Exports'!B1190),'Store Mapping'!$A$2:$A$19,0))</f>
        <v>Northpark</v>
      </c>
      <c r="D1190" s="0" t="str">
        <f aca="false">'Raw Store Exports'!D1190</f>
        <v>ACC-304</v>
      </c>
      <c r="E1190" s="0" t="str">
        <f aca="false">INDEX('Product Master'!$B$2:$B$21,MATCH(D1190,'Product Master'!$A$2:$A$21,0))</f>
        <v>Wool Beanie</v>
      </c>
      <c r="F1190" s="0" t="str">
        <f aca="false">INDEX('Product Master'!$C$2:$C$21,MATCH(D1190,'Product Master'!$A$2:$A$21,0))</f>
        <v>Accessories</v>
      </c>
      <c r="G1190" s="15" t="n">
        <f aca="false">VALUE(TRIM('Raw Store Exports'!E1190&amp;""))</f>
        <v>6</v>
      </c>
      <c r="H1190" s="18" t="n">
        <f aca="false">INDEX('Product Master'!$D$2:$D$21,MATCH(D1190,'Product Master'!$A$2:$A$21,0))</f>
        <v>16</v>
      </c>
      <c r="I1190" s="14" t="n">
        <f aca="false">G1190*H1190</f>
        <v>96</v>
      </c>
      <c r="J1190" s="0" t="str">
        <f aca="false">IF(COUNTIF($A$2:A1190,A1190)&gt;1,"Duplicate","")</f>
        <v/>
      </c>
    </row>
    <row r="1191" customFormat="false" ht="15" hidden="false" customHeight="false" outlineLevel="0" collapsed="false">
      <c r="A1191" s="0" t="str">
        <f aca="false">'Raw Store Exports'!A1191</f>
        <v>TXN00153</v>
      </c>
      <c r="B1191" s="17" t="n">
        <f aca="false">'Raw Store Exports'!C1191</f>
        <v>46035</v>
      </c>
      <c r="C1191" s="0" t="str">
        <f aca="false">INDEX('Store Mapping'!$C$2:$C$19,MATCH(TRIM('Raw Store Exports'!B1191),'Store Mapping'!$A$2:$A$19,0))</f>
        <v>Downtown</v>
      </c>
      <c r="D1191" s="0" t="str">
        <f aca="false">'Raw Store Exports'!D1191</f>
        <v>HOM-504</v>
      </c>
      <c r="E1191" s="0" t="str">
        <f aca="false">INDEX('Product Master'!$B$2:$B$21,MATCH(D1191,'Product Master'!$A$2:$A$21,0))</f>
        <v>Bamboo Cutting Board</v>
      </c>
      <c r="F1191" s="0" t="str">
        <f aca="false">INDEX('Product Master'!$C$2:$C$21,MATCH(D1191,'Product Master'!$A$2:$A$21,0))</f>
        <v>Home Goods</v>
      </c>
      <c r="G1191" s="15" t="n">
        <f aca="false">VALUE(TRIM('Raw Store Exports'!E1191&amp;""))</f>
        <v>1</v>
      </c>
      <c r="H1191" s="18" t="n">
        <f aca="false">INDEX('Product Master'!$D$2:$D$21,MATCH(D1191,'Product Master'!$A$2:$A$21,0))</f>
        <v>27</v>
      </c>
      <c r="I1191" s="14" t="n">
        <f aca="false">G1191*H1191</f>
        <v>27</v>
      </c>
      <c r="J1191" s="0" t="str">
        <f aca="false">IF(COUNTIF($A$2:A1191,A1191)&gt;1,"Duplicate","")</f>
        <v/>
      </c>
    </row>
    <row r="1192" customFormat="false" ht="15" hidden="false" customHeight="false" outlineLevel="0" collapsed="false">
      <c r="A1192" s="0" t="str">
        <f aca="false">'Raw Store Exports'!A1192</f>
        <v>TXN00350</v>
      </c>
      <c r="B1192" s="17" t="n">
        <f aca="false">'Raw Store Exports'!C1192</f>
        <v>46042</v>
      </c>
      <c r="C1192" s="0" t="str">
        <f aca="false">INDEX('Store Mapping'!$C$2:$C$19,MATCH(TRIM('Raw Store Exports'!B1192),'Store Mapping'!$A$2:$A$19,0))</f>
        <v>Northpark</v>
      </c>
      <c r="D1192" s="0" t="str">
        <f aca="false">'Raw Store Exports'!D1192</f>
        <v>FTW-201</v>
      </c>
      <c r="E1192" s="0" t="str">
        <f aca="false">INDEX('Product Master'!$B$2:$B$21,MATCH(D1192,'Product Master'!$A$2:$A$21,0))</f>
        <v>Running Sneakers</v>
      </c>
      <c r="F1192" s="0" t="str">
        <f aca="false">INDEX('Product Master'!$C$2:$C$21,MATCH(D1192,'Product Master'!$A$2:$A$21,0))</f>
        <v>Footwear</v>
      </c>
      <c r="G1192" s="15" t="n">
        <f aca="false">VALUE(TRIM('Raw Store Exports'!E1192&amp;""))</f>
        <v>5</v>
      </c>
      <c r="H1192" s="18" t="n">
        <f aca="false">INDEX('Product Master'!$D$2:$D$21,MATCH(D1192,'Product Master'!$A$2:$A$21,0))</f>
        <v>89</v>
      </c>
      <c r="I1192" s="14" t="n">
        <f aca="false">G1192*H1192</f>
        <v>445</v>
      </c>
      <c r="J1192" s="0" t="str">
        <f aca="false">IF(COUNTIF($A$2:A1192,A1192)&gt;1,"Duplicate","")</f>
        <v/>
      </c>
    </row>
    <row r="1193" customFormat="false" ht="15" hidden="false" customHeight="false" outlineLevel="0" collapsed="false">
      <c r="A1193" s="0" t="str">
        <f aca="false">'Raw Store Exports'!A1193</f>
        <v>TXN00892</v>
      </c>
      <c r="B1193" s="17" t="n">
        <f aca="false">'Raw Store Exports'!C1193</f>
        <v>46063</v>
      </c>
      <c r="C1193" s="0" t="str">
        <f aca="false">INDEX('Store Mapping'!$C$2:$C$19,MATCH(TRIM('Raw Store Exports'!B1193),'Store Mapping'!$A$2:$A$19,0))</f>
        <v>Airport Plaza</v>
      </c>
      <c r="D1193" s="0" t="str">
        <f aca="false">'Raw Store Exports'!D1193</f>
        <v>ACC-304</v>
      </c>
      <c r="E1193" s="0" t="str">
        <f aca="false">INDEX('Product Master'!$B$2:$B$21,MATCH(D1193,'Product Master'!$A$2:$A$21,0))</f>
        <v>Wool Beanie</v>
      </c>
      <c r="F1193" s="0" t="str">
        <f aca="false">INDEX('Product Master'!$C$2:$C$21,MATCH(D1193,'Product Master'!$A$2:$A$21,0))</f>
        <v>Accessories</v>
      </c>
      <c r="G1193" s="15" t="n">
        <f aca="false">VALUE(TRIM('Raw Store Exports'!E1193&amp;""))</f>
        <v>3</v>
      </c>
      <c r="H1193" s="18" t="n">
        <f aca="false">INDEX('Product Master'!$D$2:$D$21,MATCH(D1193,'Product Master'!$A$2:$A$21,0))</f>
        <v>16</v>
      </c>
      <c r="I1193" s="14" t="n">
        <f aca="false">G1193*H1193</f>
        <v>48</v>
      </c>
      <c r="J1193" s="0" t="str">
        <f aca="false">IF(COUNTIF($A$2:A1193,A1193)&gt;1,"Duplicate","")</f>
        <v/>
      </c>
    </row>
    <row r="1194" customFormat="false" ht="15" hidden="false" customHeight="false" outlineLevel="0" collapsed="false">
      <c r="A1194" s="0" t="str">
        <f aca="false">'Raw Store Exports'!A1194</f>
        <v>TXN00884</v>
      </c>
      <c r="B1194" s="17" t="n">
        <f aca="false">'Raw Store Exports'!C1194</f>
        <v>46067</v>
      </c>
      <c r="C1194" s="0" t="str">
        <f aca="false">INDEX('Store Mapping'!$C$2:$C$19,MATCH(TRIM('Raw Store Exports'!B1194),'Store Mapping'!$A$2:$A$19,0))</f>
        <v>Airport Plaza</v>
      </c>
      <c r="D1194" s="0" t="str">
        <f aca="false">'Raw Store Exports'!D1194</f>
        <v>ELE-404</v>
      </c>
      <c r="E1194" s="0" t="str">
        <f aca="false">INDEX('Product Master'!$B$2:$B$21,MATCH(D1194,'Product Master'!$A$2:$A$21,0))</f>
        <v>Phone Charging Cable</v>
      </c>
      <c r="F1194" s="0" t="str">
        <f aca="false">INDEX('Product Master'!$C$2:$C$21,MATCH(D1194,'Product Master'!$A$2:$A$21,0))</f>
        <v>Electronics</v>
      </c>
      <c r="G1194" s="15" t="n">
        <f aca="false">VALUE(TRIM('Raw Store Exports'!E1194&amp;""))</f>
        <v>1</v>
      </c>
      <c r="H1194" s="18" t="n">
        <f aca="false">INDEX('Product Master'!$D$2:$D$21,MATCH(D1194,'Product Master'!$A$2:$A$21,0))</f>
        <v>12</v>
      </c>
      <c r="I1194" s="14" t="n">
        <f aca="false">G1194*H1194</f>
        <v>12</v>
      </c>
      <c r="J1194" s="0" t="str">
        <f aca="false">IF(COUNTIF($A$2:A1194,A1194)&gt;1,"Duplicate","")</f>
        <v/>
      </c>
    </row>
    <row r="1195" customFormat="false" ht="15" hidden="false" customHeight="false" outlineLevel="0" collapsed="false">
      <c r="A1195" s="0" t="str">
        <f aca="false">'Raw Store Exports'!A1195</f>
        <v>TXN00816</v>
      </c>
      <c r="B1195" s="17" t="n">
        <f aca="false">'Raw Store Exports'!C1195</f>
        <v>46067</v>
      </c>
      <c r="C1195" s="0" t="str">
        <f aca="false">INDEX('Store Mapping'!$C$2:$C$19,MATCH(TRIM('Raw Store Exports'!B1195),'Store Mapping'!$A$2:$A$19,0))</f>
        <v>Eastgate</v>
      </c>
      <c r="D1195" s="0" t="str">
        <f aca="false">'Raw Store Exports'!D1195</f>
        <v>APP-104</v>
      </c>
      <c r="E1195" s="0" t="str">
        <f aca="false">INDEX('Product Master'!$B$2:$B$21,MATCH(D1195,'Product Master'!$A$2:$A$21,0))</f>
        <v>Slim Fit Chinos</v>
      </c>
      <c r="F1195" s="0" t="str">
        <f aca="false">INDEX('Product Master'!$C$2:$C$21,MATCH(D1195,'Product Master'!$A$2:$A$21,0))</f>
        <v>Apparel</v>
      </c>
      <c r="G1195" s="15" t="n">
        <f aca="false">VALUE(TRIM('Raw Store Exports'!E1195&amp;""))</f>
        <v>2</v>
      </c>
      <c r="H1195" s="18" t="n">
        <f aca="false">INDEX('Product Master'!$D$2:$D$21,MATCH(D1195,'Product Master'!$A$2:$A$21,0))</f>
        <v>52</v>
      </c>
      <c r="I1195" s="14" t="n">
        <f aca="false">G1195*H1195</f>
        <v>104</v>
      </c>
      <c r="J1195" s="0" t="str">
        <f aca="false">IF(COUNTIF($A$2:A1195,A1195)&gt;1,"Duplicate","")</f>
        <v/>
      </c>
    </row>
    <row r="1196" customFormat="false" ht="15" hidden="false" customHeight="false" outlineLevel="0" collapsed="false">
      <c r="A1196" s="0" t="str">
        <f aca="false">'Raw Store Exports'!A1196</f>
        <v>TXN00808</v>
      </c>
      <c r="B1196" s="17" t="n">
        <f aca="false">'Raw Store Exports'!C1196</f>
        <v>46063</v>
      </c>
      <c r="C1196" s="0" t="str">
        <f aca="false">INDEX('Store Mapping'!$C$2:$C$19,MATCH(TRIM('Raw Store Exports'!B1196),'Store Mapping'!$A$2:$A$19,0))</f>
        <v>Eastgate</v>
      </c>
      <c r="D1196" s="0" t="str">
        <f aca="false">'Raw Store Exports'!D1196</f>
        <v>APP-102</v>
      </c>
      <c r="E1196" s="0" t="str">
        <f aca="false">INDEX('Product Master'!$B$2:$B$21,MATCH(D1196,'Product Master'!$A$2:$A$21,0))</f>
        <v>Cotton Crew T-Shirt</v>
      </c>
      <c r="F1196" s="0" t="str">
        <f aca="false">INDEX('Product Master'!$C$2:$C$21,MATCH(D1196,'Product Master'!$A$2:$A$21,0))</f>
        <v>Apparel</v>
      </c>
      <c r="G1196" s="15" t="n">
        <f aca="false">VALUE(TRIM('Raw Store Exports'!E1196&amp;""))</f>
        <v>5</v>
      </c>
      <c r="H1196" s="18" t="n">
        <f aca="false">INDEX('Product Master'!$D$2:$D$21,MATCH(D1196,'Product Master'!$A$2:$A$21,0))</f>
        <v>18</v>
      </c>
      <c r="I1196" s="14" t="n">
        <f aca="false">G1196*H1196</f>
        <v>90</v>
      </c>
      <c r="J1196" s="0" t="str">
        <f aca="false">IF(COUNTIF($A$2:A1196,A1196)&gt;1,"Duplicate","")</f>
        <v/>
      </c>
    </row>
    <row r="1197" customFormat="false" ht="15" hidden="false" customHeight="false" outlineLevel="0" collapsed="false">
      <c r="A1197" s="0" t="str">
        <f aca="false">'Raw Store Exports'!A1197</f>
        <v>TXN00744</v>
      </c>
      <c r="B1197" s="17" t="n">
        <f aca="false">'Raw Store Exports'!C1197</f>
        <v>46061</v>
      </c>
      <c r="C1197" s="0" t="str">
        <f aca="false">INDEX('Store Mapping'!$C$2:$C$19,MATCH(TRIM('Raw Store Exports'!B1197),'Store Mapping'!$A$2:$A$19,0))</f>
        <v>Airport Plaza</v>
      </c>
      <c r="D1197" s="0" t="str">
        <f aca="false">'Raw Store Exports'!D1197</f>
        <v>APP-104</v>
      </c>
      <c r="E1197" s="0" t="str">
        <f aca="false">INDEX('Product Master'!$B$2:$B$21,MATCH(D1197,'Product Master'!$A$2:$A$21,0))</f>
        <v>Slim Fit Chinos</v>
      </c>
      <c r="F1197" s="0" t="str">
        <f aca="false">INDEX('Product Master'!$C$2:$C$21,MATCH(D1197,'Product Master'!$A$2:$A$21,0))</f>
        <v>Apparel</v>
      </c>
      <c r="G1197" s="15" t="n">
        <f aca="false">VALUE(TRIM('Raw Store Exports'!E1197&amp;""))</f>
        <v>4</v>
      </c>
      <c r="H1197" s="18" t="n">
        <f aca="false">INDEX('Product Master'!$D$2:$D$21,MATCH(D1197,'Product Master'!$A$2:$A$21,0))</f>
        <v>52</v>
      </c>
      <c r="I1197" s="14" t="n">
        <f aca="false">G1197*H1197</f>
        <v>208</v>
      </c>
      <c r="J1197" s="0" t="str">
        <f aca="false">IF(COUNTIF($A$2:A1197,A1197)&gt;1,"Duplicate","")</f>
        <v/>
      </c>
    </row>
    <row r="1198" customFormat="false" ht="15" hidden="false" customHeight="false" outlineLevel="0" collapsed="false">
      <c r="A1198" s="0" t="str">
        <f aca="false">'Raw Store Exports'!A1198</f>
        <v>TXN00461</v>
      </c>
      <c r="B1198" s="17" t="n">
        <f aca="false">'Raw Store Exports'!C1198</f>
        <v>46049</v>
      </c>
      <c r="C1198" s="0" t="str">
        <f aca="false">INDEX('Store Mapping'!$C$2:$C$19,MATCH(TRIM('Raw Store Exports'!B1198),'Store Mapping'!$A$2:$A$19,0))</f>
        <v>Westside Mall</v>
      </c>
      <c r="D1198" s="0" t="str">
        <f aca="false">'Raw Store Exports'!D1198</f>
        <v>ACC-302</v>
      </c>
      <c r="E1198" s="0" t="str">
        <f aca="false">INDEX('Product Master'!$B$2:$B$21,MATCH(D1198,'Product Master'!$A$2:$A$21,0))</f>
        <v>Aviator Sunglasses</v>
      </c>
      <c r="F1198" s="0" t="str">
        <f aca="false">INDEX('Product Master'!$C$2:$C$21,MATCH(D1198,'Product Master'!$A$2:$A$21,0))</f>
        <v>Accessories</v>
      </c>
      <c r="G1198" s="15" t="n">
        <f aca="false">VALUE(TRIM('Raw Store Exports'!E1198&amp;""))</f>
        <v>2</v>
      </c>
      <c r="H1198" s="18" t="n">
        <f aca="false">INDEX('Product Master'!$D$2:$D$21,MATCH(D1198,'Product Master'!$A$2:$A$21,0))</f>
        <v>42</v>
      </c>
      <c r="I1198" s="14" t="n">
        <f aca="false">G1198*H1198</f>
        <v>84</v>
      </c>
      <c r="J1198" s="0" t="str">
        <f aca="false">IF(COUNTIF($A$2:A1198,A1198)&gt;1,"Duplicate","")</f>
        <v/>
      </c>
    </row>
    <row r="1199" customFormat="false" ht="15" hidden="false" customHeight="false" outlineLevel="0" collapsed="false">
      <c r="A1199" s="0" t="str">
        <f aca="false">'Raw Store Exports'!A1199</f>
        <v>TXN01107</v>
      </c>
      <c r="B1199" s="17" t="n">
        <f aca="false">'Raw Store Exports'!C1199</f>
        <v>46078</v>
      </c>
      <c r="C1199" s="0" t="str">
        <f aca="false">INDEX('Store Mapping'!$C$2:$C$19,MATCH(TRIM('Raw Store Exports'!B1199),'Store Mapping'!$A$2:$A$19,0))</f>
        <v>Eastgate</v>
      </c>
      <c r="D1199" s="0" t="str">
        <f aca="false">'Raw Store Exports'!D1199</f>
        <v>FTW-204</v>
      </c>
      <c r="E1199" s="0" t="str">
        <f aca="false">INDEX('Product Master'!$B$2:$B$21,MATCH(D1199,'Product Master'!$A$2:$A$21,0))</f>
        <v>Slide Sandals</v>
      </c>
      <c r="F1199" s="0" t="str">
        <f aca="false">INDEX('Product Master'!$C$2:$C$21,MATCH(D1199,'Product Master'!$A$2:$A$21,0))</f>
        <v>Footwear</v>
      </c>
      <c r="G1199" s="15" t="n">
        <f aca="false">VALUE(TRIM('Raw Store Exports'!E1199&amp;""))</f>
        <v>6</v>
      </c>
      <c r="H1199" s="18" t="n">
        <f aca="false">INDEX('Product Master'!$D$2:$D$21,MATCH(D1199,'Product Master'!$A$2:$A$21,0))</f>
        <v>25</v>
      </c>
      <c r="I1199" s="14" t="n">
        <f aca="false">G1199*H1199</f>
        <v>150</v>
      </c>
      <c r="J1199" s="0" t="str">
        <f aca="false">IF(COUNTIF($A$2:A1199,A1199)&gt;1,"Duplicate","")</f>
        <v/>
      </c>
    </row>
    <row r="1200" customFormat="false" ht="15" hidden="false" customHeight="false" outlineLevel="0" collapsed="false">
      <c r="A1200" s="0" t="str">
        <f aca="false">'Raw Store Exports'!A1200</f>
        <v>TXN00512</v>
      </c>
      <c r="B1200" s="17" t="n">
        <f aca="false">'Raw Store Exports'!C1200</f>
        <v>46051</v>
      </c>
      <c r="C1200" s="0" t="str">
        <f aca="false">INDEX('Store Mapping'!$C$2:$C$19,MATCH(TRIM('Raw Store Exports'!B1200),'Store Mapping'!$A$2:$A$19,0))</f>
        <v>Northpark</v>
      </c>
      <c r="D1200" s="0" t="str">
        <f aca="false">'Raw Store Exports'!D1200</f>
        <v>FTW-204</v>
      </c>
      <c r="E1200" s="0" t="str">
        <f aca="false">INDEX('Product Master'!$B$2:$B$21,MATCH(D1200,'Product Master'!$A$2:$A$21,0))</f>
        <v>Slide Sandals</v>
      </c>
      <c r="F1200" s="0" t="str">
        <f aca="false">INDEX('Product Master'!$C$2:$C$21,MATCH(D1200,'Product Master'!$A$2:$A$21,0))</f>
        <v>Footwear</v>
      </c>
      <c r="G1200" s="15" t="n">
        <f aca="false">VALUE(TRIM('Raw Store Exports'!E1200&amp;""))</f>
        <v>1</v>
      </c>
      <c r="H1200" s="18" t="n">
        <f aca="false">INDEX('Product Master'!$D$2:$D$21,MATCH(D1200,'Product Master'!$A$2:$A$21,0))</f>
        <v>25</v>
      </c>
      <c r="I1200" s="14" t="n">
        <f aca="false">G1200*H1200</f>
        <v>25</v>
      </c>
      <c r="J1200" s="0" t="str">
        <f aca="false">IF(COUNTIF($A$2:A1200,A1200)&gt;1,"Duplicate","")</f>
        <v/>
      </c>
    </row>
    <row r="1201" customFormat="false" ht="15" hidden="false" customHeight="false" outlineLevel="0" collapsed="false">
      <c r="A1201" s="0" t="str">
        <f aca="false">'Raw Store Exports'!A1201</f>
        <v>TXN00961</v>
      </c>
      <c r="B1201" s="17" t="n">
        <f aca="false">'Raw Store Exports'!C1201</f>
        <v>46075</v>
      </c>
      <c r="C1201" s="0" t="str">
        <f aca="false">INDEX('Store Mapping'!$C$2:$C$19,MATCH(TRIM('Raw Store Exports'!B1201),'Store Mapping'!$A$2:$A$19,0))</f>
        <v>Eastgate</v>
      </c>
      <c r="D1201" s="0" t="str">
        <f aca="false">'Raw Store Exports'!D1201</f>
        <v>HOM-503</v>
      </c>
      <c r="E1201" s="0" t="str">
        <f aca="false">INDEX('Product Master'!$B$2:$B$21,MATCH(D1201,'Product Master'!$A$2:$A$21,0))</f>
        <v>Cotton Throw Blanket</v>
      </c>
      <c r="F1201" s="0" t="str">
        <f aca="false">INDEX('Product Master'!$C$2:$C$21,MATCH(D1201,'Product Master'!$A$2:$A$21,0))</f>
        <v>Home Goods</v>
      </c>
      <c r="G1201" s="15" t="n">
        <f aca="false">VALUE(TRIM('Raw Store Exports'!E1201&amp;""))</f>
        <v>2</v>
      </c>
      <c r="H1201" s="18" t="n">
        <f aca="false">INDEX('Product Master'!$D$2:$D$21,MATCH(D1201,'Product Master'!$A$2:$A$21,0))</f>
        <v>38</v>
      </c>
      <c r="I1201" s="14" t="n">
        <f aca="false">G1201*H1201</f>
        <v>76</v>
      </c>
      <c r="J1201" s="0" t="str">
        <f aca="false">IF(COUNTIF($A$2:A1201,A1201)&gt;1,"Duplicate","")</f>
        <v/>
      </c>
    </row>
    <row r="1202" customFormat="false" ht="15" hidden="false" customHeight="false" outlineLevel="0" collapsed="false">
      <c r="A1202" s="0" t="str">
        <f aca="false">'Raw Store Exports'!A1202</f>
        <v>TXN00164</v>
      </c>
      <c r="B1202" s="17" t="n">
        <f aca="false">'Raw Store Exports'!C1202</f>
        <v>46036</v>
      </c>
      <c r="C1202" s="0" t="str">
        <f aca="false">INDEX('Store Mapping'!$C$2:$C$19,MATCH(TRIM('Raw Store Exports'!B1202),'Store Mapping'!$A$2:$A$19,0))</f>
        <v>Westside Mall</v>
      </c>
      <c r="D1202" s="0" t="str">
        <f aca="false">'Raw Store Exports'!D1202</f>
        <v>FTW-202</v>
      </c>
      <c r="E1202" s="0" t="str">
        <f aca="false">INDEX('Product Master'!$B$2:$B$21,MATCH(D1202,'Product Master'!$A$2:$A$21,0))</f>
        <v>Canvas Low-Top</v>
      </c>
      <c r="F1202" s="0" t="str">
        <f aca="false">INDEX('Product Master'!$C$2:$C$21,MATCH(D1202,'Product Master'!$A$2:$A$21,0))</f>
        <v>Footwear</v>
      </c>
      <c r="G1202" s="15" t="n">
        <f aca="false">VALUE(TRIM('Raw Store Exports'!E1202&amp;""))</f>
        <v>3</v>
      </c>
      <c r="H1202" s="18" t="n">
        <f aca="false">INDEX('Product Master'!$D$2:$D$21,MATCH(D1202,'Product Master'!$A$2:$A$21,0))</f>
        <v>55</v>
      </c>
      <c r="I1202" s="14" t="n">
        <f aca="false">G1202*H1202</f>
        <v>165</v>
      </c>
      <c r="J1202" s="0" t="str">
        <f aca="false">IF(COUNTIF($A$2:A1202,A1202)&gt;1,"Duplicate","")</f>
        <v/>
      </c>
    </row>
    <row r="1203" customFormat="false" ht="15" hidden="false" customHeight="false" outlineLevel="0" collapsed="false">
      <c r="A1203" s="0" t="str">
        <f aca="false">'Raw Store Exports'!A1203</f>
        <v>TXN00667</v>
      </c>
      <c r="B1203" s="17" t="n">
        <f aca="false">'Raw Store Exports'!C1203</f>
        <v>46060</v>
      </c>
      <c r="C1203" s="0" t="str">
        <f aca="false">INDEX('Store Mapping'!$C$2:$C$19,MATCH(TRIM('Raw Store Exports'!B1203),'Store Mapping'!$A$2:$A$19,0))</f>
        <v>Northpark</v>
      </c>
      <c r="D1203" s="0" t="str">
        <f aca="false">'Raw Store Exports'!D1203</f>
        <v>HOM-502</v>
      </c>
      <c r="E1203" s="0" t="str">
        <f aca="false">INDEX('Product Master'!$B$2:$B$21,MATCH(D1203,'Product Master'!$A$2:$A$21,0))</f>
        <v>Scented Candle</v>
      </c>
      <c r="F1203" s="0" t="str">
        <f aca="false">INDEX('Product Master'!$C$2:$C$21,MATCH(D1203,'Product Master'!$A$2:$A$21,0))</f>
        <v>Home Goods</v>
      </c>
      <c r="G1203" s="15" t="n">
        <f aca="false">VALUE(TRIM('Raw Store Exports'!E1203&amp;""))</f>
        <v>5</v>
      </c>
      <c r="H1203" s="18" t="n">
        <f aca="false">INDEX('Product Master'!$D$2:$D$21,MATCH(D1203,'Product Master'!$A$2:$A$21,0))</f>
        <v>15</v>
      </c>
      <c r="I1203" s="14" t="n">
        <f aca="false">G1203*H1203</f>
        <v>75</v>
      </c>
      <c r="J1203" s="0" t="str">
        <f aca="false">IF(COUNTIF($A$2:A1203,A1203)&gt;1,"Duplicate","")</f>
        <v/>
      </c>
    </row>
    <row r="1204" customFormat="false" ht="15" hidden="false" customHeight="false" outlineLevel="0" collapsed="false">
      <c r="A1204" s="0" t="str">
        <f aca="false">'Raw Store Exports'!A1204</f>
        <v>TXN00203</v>
      </c>
      <c r="B1204" s="17" t="n">
        <f aca="false">'Raw Store Exports'!C1204</f>
        <v>46039</v>
      </c>
      <c r="C1204" s="0" t="str">
        <f aca="false">INDEX('Store Mapping'!$C$2:$C$19,MATCH(TRIM('Raw Store Exports'!B1204),'Store Mapping'!$A$2:$A$19,0))</f>
        <v>Northpark</v>
      </c>
      <c r="D1204" s="0" t="str">
        <f aca="false">'Raw Store Exports'!D1204</f>
        <v>ACC-304</v>
      </c>
      <c r="E1204" s="0" t="str">
        <f aca="false">INDEX('Product Master'!$B$2:$B$21,MATCH(D1204,'Product Master'!$A$2:$A$21,0))</f>
        <v>Wool Beanie</v>
      </c>
      <c r="F1204" s="0" t="str">
        <f aca="false">INDEX('Product Master'!$C$2:$C$21,MATCH(D1204,'Product Master'!$A$2:$A$21,0))</f>
        <v>Accessories</v>
      </c>
      <c r="G1204" s="15" t="n">
        <f aca="false">VALUE(TRIM('Raw Store Exports'!E1204&amp;""))</f>
        <v>2</v>
      </c>
      <c r="H1204" s="18" t="n">
        <f aca="false">INDEX('Product Master'!$D$2:$D$21,MATCH(D1204,'Product Master'!$A$2:$A$21,0))</f>
        <v>16</v>
      </c>
      <c r="I1204" s="14" t="n">
        <f aca="false">G1204*H1204</f>
        <v>32</v>
      </c>
      <c r="J1204" s="0" t="str">
        <f aca="false">IF(COUNTIF($A$2:A1204,A1204)&gt;1,"Duplicate","")</f>
        <v/>
      </c>
    </row>
    <row r="1205" customFormat="false" ht="15" hidden="false" customHeight="false" outlineLevel="0" collapsed="false">
      <c r="A1205" s="0" t="str">
        <f aca="false">'Raw Store Exports'!A1205</f>
        <v>TXN00874</v>
      </c>
      <c r="B1205" s="17" t="n">
        <f aca="false">'Raw Store Exports'!C1205</f>
        <v>46066</v>
      </c>
      <c r="C1205" s="0" t="str">
        <f aca="false">INDEX('Store Mapping'!$C$2:$C$19,MATCH(TRIM('Raw Store Exports'!B1205),'Store Mapping'!$A$2:$A$19,0))</f>
        <v>Airport Plaza</v>
      </c>
      <c r="D1205" s="0" t="str">
        <f aca="false">'Raw Store Exports'!D1205</f>
        <v>HOM-501</v>
      </c>
      <c r="E1205" s="0" t="str">
        <f aca="false">INDEX('Product Master'!$B$2:$B$21,MATCH(D1205,'Product Master'!$A$2:$A$21,0))</f>
        <v>Ceramic Coffee Mug Set</v>
      </c>
      <c r="F1205" s="0" t="str">
        <f aca="false">INDEX('Product Master'!$C$2:$C$21,MATCH(D1205,'Product Master'!$A$2:$A$21,0))</f>
        <v>Home Goods</v>
      </c>
      <c r="G1205" s="15" t="n">
        <f aca="false">VALUE(TRIM('Raw Store Exports'!E1205&amp;""))</f>
        <v>6</v>
      </c>
      <c r="H1205" s="18" t="n">
        <f aca="false">INDEX('Product Master'!$D$2:$D$21,MATCH(D1205,'Product Master'!$A$2:$A$21,0))</f>
        <v>22</v>
      </c>
      <c r="I1205" s="14" t="n">
        <f aca="false">G1205*H1205</f>
        <v>132</v>
      </c>
      <c r="J1205" s="0" t="str">
        <f aca="false">IF(COUNTIF($A$2:A1205,A1205)&gt;1,"Duplicate","")</f>
        <v/>
      </c>
    </row>
    <row r="1206" customFormat="false" ht="15" hidden="false" customHeight="false" outlineLevel="0" collapsed="false">
      <c r="A1206" s="0" t="str">
        <f aca="false">'Raw Store Exports'!A1206</f>
        <v>TXN00006</v>
      </c>
      <c r="B1206" s="17" t="n">
        <f aca="false">'Raw Store Exports'!C1206</f>
        <v>46028</v>
      </c>
      <c r="C1206" s="0" t="str">
        <f aca="false">INDEX('Store Mapping'!$C$2:$C$19,MATCH(TRIM('Raw Store Exports'!B1206),'Store Mapping'!$A$2:$A$19,0))</f>
        <v>Downtown</v>
      </c>
      <c r="D1206" s="0" t="str">
        <f aca="false">'Raw Store Exports'!D1206</f>
        <v>HOM-501</v>
      </c>
      <c r="E1206" s="0" t="str">
        <f aca="false">INDEX('Product Master'!$B$2:$B$21,MATCH(D1206,'Product Master'!$A$2:$A$21,0))</f>
        <v>Ceramic Coffee Mug Set</v>
      </c>
      <c r="F1206" s="0" t="str">
        <f aca="false">INDEX('Product Master'!$C$2:$C$21,MATCH(D1206,'Product Master'!$A$2:$A$21,0))</f>
        <v>Home Goods</v>
      </c>
      <c r="G1206" s="15" t="n">
        <f aca="false">VALUE(TRIM('Raw Store Exports'!E1206&amp;""))</f>
        <v>6</v>
      </c>
      <c r="H1206" s="18" t="n">
        <f aca="false">INDEX('Product Master'!$D$2:$D$21,MATCH(D1206,'Product Master'!$A$2:$A$21,0))</f>
        <v>22</v>
      </c>
      <c r="I1206" s="14" t="n">
        <f aca="false">G1206*H1206</f>
        <v>132</v>
      </c>
      <c r="J1206" s="0" t="str">
        <f aca="false">IF(COUNTIF($A$2:A1206,A1206)&gt;1,"Duplicate","")</f>
        <v/>
      </c>
    </row>
    <row r="1207" customFormat="false" ht="15" hidden="false" customHeight="false" outlineLevel="0" collapsed="false">
      <c r="A1207" s="0" t="str">
        <f aca="false">'Raw Store Exports'!A1207</f>
        <v>TXN00048</v>
      </c>
      <c r="B1207" s="17" t="n">
        <f aca="false">'Raw Store Exports'!C1207</f>
        <v>46029</v>
      </c>
      <c r="C1207" s="0" t="str">
        <f aca="false">INDEX('Store Mapping'!$C$2:$C$19,MATCH(TRIM('Raw Store Exports'!B1207),'Store Mapping'!$A$2:$A$19,0))</f>
        <v>Eastgate</v>
      </c>
      <c r="D1207" s="0" t="str">
        <f aca="false">'Raw Store Exports'!D1207</f>
        <v>APP-101</v>
      </c>
      <c r="E1207" s="0" t="str">
        <f aca="false">INDEX('Product Master'!$B$2:$B$21,MATCH(D1207,'Product Master'!$A$2:$A$21,0))</f>
        <v>Classic Denim Jacket</v>
      </c>
      <c r="F1207" s="0" t="str">
        <f aca="false">INDEX('Product Master'!$C$2:$C$21,MATCH(D1207,'Product Master'!$A$2:$A$21,0))</f>
        <v>Apparel</v>
      </c>
      <c r="G1207" s="15" t="n">
        <f aca="false">VALUE(TRIM('Raw Store Exports'!E1207&amp;""))</f>
        <v>1</v>
      </c>
      <c r="H1207" s="18" t="n">
        <f aca="false">INDEX('Product Master'!$D$2:$D$21,MATCH(D1207,'Product Master'!$A$2:$A$21,0))</f>
        <v>68</v>
      </c>
      <c r="I1207" s="14" t="n">
        <f aca="false">G1207*H1207</f>
        <v>68</v>
      </c>
      <c r="J1207" s="0" t="str">
        <f aca="false">IF(COUNTIF($A$2:A1207,A1207)&gt;1,"Duplicate","")</f>
        <v>Duplicate</v>
      </c>
    </row>
    <row r="1208" customFormat="false" ht="15" hidden="false" customHeight="false" outlineLevel="0" collapsed="false">
      <c r="A1208" s="0" t="str">
        <f aca="false">'Raw Store Exports'!A1208</f>
        <v>TXN01113</v>
      </c>
      <c r="B1208" s="17" t="n">
        <f aca="false">'Raw Store Exports'!C1208</f>
        <v>46077</v>
      </c>
      <c r="C1208" s="0" t="str">
        <f aca="false">INDEX('Store Mapping'!$C$2:$C$19,MATCH(TRIM('Raw Store Exports'!B1208),'Store Mapping'!$A$2:$A$19,0))</f>
        <v>Eastgate</v>
      </c>
      <c r="D1208" s="0" t="str">
        <f aca="false">'Raw Store Exports'!D1208</f>
        <v>ACC-301</v>
      </c>
      <c r="E1208" s="0" t="str">
        <f aca="false">INDEX('Product Master'!$B$2:$B$21,MATCH(D1208,'Product Master'!$A$2:$A$21,0))</f>
        <v>Leather Belt</v>
      </c>
      <c r="F1208" s="0" t="str">
        <f aca="false">INDEX('Product Master'!$C$2:$C$21,MATCH(D1208,'Product Master'!$A$2:$A$21,0))</f>
        <v>Accessories</v>
      </c>
      <c r="G1208" s="15" t="n">
        <f aca="false">VALUE(TRIM('Raw Store Exports'!E1208&amp;""))</f>
        <v>6</v>
      </c>
      <c r="H1208" s="18" t="n">
        <f aca="false">INDEX('Product Master'!$D$2:$D$21,MATCH(D1208,'Product Master'!$A$2:$A$21,0))</f>
        <v>30</v>
      </c>
      <c r="I1208" s="14" t="n">
        <f aca="false">G1208*H1208</f>
        <v>180</v>
      </c>
      <c r="J1208" s="0" t="str">
        <f aca="false">IF(COUNTIF($A$2:A1208,A1208)&gt;1,"Duplicate","")</f>
        <v/>
      </c>
    </row>
    <row r="1209" customFormat="false" ht="15" hidden="false" customHeight="false" outlineLevel="0" collapsed="false">
      <c r="A1209" s="0" t="str">
        <f aca="false">'Raw Store Exports'!A1209</f>
        <v>TXN00957</v>
      </c>
      <c r="B1209" s="17" t="n">
        <f aca="false">'Raw Store Exports'!C1209</f>
        <v>46074</v>
      </c>
      <c r="C1209" s="0" t="str">
        <f aca="false">INDEX('Store Mapping'!$C$2:$C$19,MATCH(TRIM('Raw Store Exports'!B1209),'Store Mapping'!$A$2:$A$19,0))</f>
        <v>Eastgate</v>
      </c>
      <c r="D1209" s="0" t="str">
        <f aca="false">'Raw Store Exports'!D1209</f>
        <v>FTW-201</v>
      </c>
      <c r="E1209" s="0" t="str">
        <f aca="false">INDEX('Product Master'!$B$2:$B$21,MATCH(D1209,'Product Master'!$A$2:$A$21,0))</f>
        <v>Running Sneakers</v>
      </c>
      <c r="F1209" s="0" t="str">
        <f aca="false">INDEX('Product Master'!$C$2:$C$21,MATCH(D1209,'Product Master'!$A$2:$A$21,0))</f>
        <v>Footwear</v>
      </c>
      <c r="G1209" s="15" t="n">
        <f aca="false">VALUE(TRIM('Raw Store Exports'!E1209&amp;""))</f>
        <v>6</v>
      </c>
      <c r="H1209" s="18" t="n">
        <f aca="false">INDEX('Product Master'!$D$2:$D$21,MATCH(D1209,'Product Master'!$A$2:$A$21,0))</f>
        <v>89</v>
      </c>
      <c r="I1209" s="14" t="n">
        <f aca="false">G1209*H1209</f>
        <v>534</v>
      </c>
      <c r="J1209" s="0" t="str">
        <f aca="false">IF(COUNTIF($A$2:A1209,A1209)&gt;1,"Duplicate","")</f>
        <v/>
      </c>
    </row>
    <row r="1210" customFormat="false" ht="15" hidden="false" customHeight="false" outlineLevel="0" collapsed="false">
      <c r="A1210" s="0" t="str">
        <f aca="false">'Raw Store Exports'!A1210</f>
        <v>TXN00992</v>
      </c>
      <c r="B1210" s="17" t="n">
        <f aca="false">'Raw Store Exports'!C1210</f>
        <v>46072</v>
      </c>
      <c r="C1210" s="0" t="str">
        <f aca="false">INDEX('Store Mapping'!$C$2:$C$19,MATCH(TRIM('Raw Store Exports'!B1210),'Store Mapping'!$A$2:$A$19,0))</f>
        <v>Northpark</v>
      </c>
      <c r="D1210" s="0" t="str">
        <f aca="false">'Raw Store Exports'!D1210</f>
        <v>HOM-503</v>
      </c>
      <c r="E1210" s="0" t="str">
        <f aca="false">INDEX('Product Master'!$B$2:$B$21,MATCH(D1210,'Product Master'!$A$2:$A$21,0))</f>
        <v>Cotton Throw Blanket</v>
      </c>
      <c r="F1210" s="0" t="str">
        <f aca="false">INDEX('Product Master'!$C$2:$C$21,MATCH(D1210,'Product Master'!$A$2:$A$21,0))</f>
        <v>Home Goods</v>
      </c>
      <c r="G1210" s="15" t="n">
        <f aca="false">VALUE(TRIM('Raw Store Exports'!E1210&amp;""))</f>
        <v>6</v>
      </c>
      <c r="H1210" s="18" t="n">
        <f aca="false">INDEX('Product Master'!$D$2:$D$21,MATCH(D1210,'Product Master'!$A$2:$A$21,0))</f>
        <v>38</v>
      </c>
      <c r="I1210" s="14" t="n">
        <f aca="false">G1210*H1210</f>
        <v>228</v>
      </c>
      <c r="J1210" s="0" t="str">
        <f aca="false">IF(COUNTIF($A$2:A1210,A1210)&gt;1,"Duplicate","")</f>
        <v/>
      </c>
    </row>
    <row r="1211" customFormat="false" ht="15" hidden="false" customHeight="false" outlineLevel="0" collapsed="false">
      <c r="A1211" s="0" t="str">
        <f aca="false">'Raw Store Exports'!A1211</f>
        <v>TXN00956</v>
      </c>
      <c r="B1211" s="17" t="n">
        <f aca="false">'Raw Store Exports'!C1211</f>
        <v>46069</v>
      </c>
      <c r="C1211" s="0" t="str">
        <f aca="false">INDEX('Store Mapping'!$C$2:$C$19,MATCH(TRIM('Raw Store Exports'!B1211),'Store Mapping'!$A$2:$A$19,0))</f>
        <v>Eastgate</v>
      </c>
      <c r="D1211" s="0" t="str">
        <f aca="false">'Raw Store Exports'!D1211</f>
        <v>ELE-404</v>
      </c>
      <c r="E1211" s="0" t="str">
        <f aca="false">INDEX('Product Master'!$B$2:$B$21,MATCH(D1211,'Product Master'!$A$2:$A$21,0))</f>
        <v>Phone Charging Cable</v>
      </c>
      <c r="F1211" s="0" t="str">
        <f aca="false">INDEX('Product Master'!$C$2:$C$21,MATCH(D1211,'Product Master'!$A$2:$A$21,0))</f>
        <v>Electronics</v>
      </c>
      <c r="G1211" s="15" t="n">
        <f aca="false">VALUE(TRIM('Raw Store Exports'!E1211&amp;""))</f>
        <v>5</v>
      </c>
      <c r="H1211" s="18" t="n">
        <f aca="false">INDEX('Product Master'!$D$2:$D$21,MATCH(D1211,'Product Master'!$A$2:$A$21,0))</f>
        <v>12</v>
      </c>
      <c r="I1211" s="14" t="n">
        <f aca="false">G1211*H1211</f>
        <v>60</v>
      </c>
      <c r="J1211" s="0" t="str">
        <f aca="false">IF(COUNTIF($A$2:A1211,A1211)&gt;1,"Duplicate","")</f>
        <v/>
      </c>
    </row>
    <row r="1212" customFormat="false" ht="15" hidden="false" customHeight="false" outlineLevel="0" collapsed="false">
      <c r="A1212" s="0" t="str">
        <f aca="false">'Raw Store Exports'!A1212</f>
        <v>TXN00222</v>
      </c>
      <c r="B1212" s="17" t="n">
        <f aca="false">'Raw Store Exports'!C1212</f>
        <v>46034</v>
      </c>
      <c r="C1212" s="0" t="str">
        <f aca="false">INDEX('Store Mapping'!$C$2:$C$19,MATCH(TRIM('Raw Store Exports'!B1212),'Store Mapping'!$A$2:$A$19,0))</f>
        <v>Northpark</v>
      </c>
      <c r="D1212" s="0" t="str">
        <f aca="false">'Raw Store Exports'!D1212</f>
        <v>FTW-204</v>
      </c>
      <c r="E1212" s="0" t="str">
        <f aca="false">INDEX('Product Master'!$B$2:$B$21,MATCH(D1212,'Product Master'!$A$2:$A$21,0))</f>
        <v>Slide Sandals</v>
      </c>
      <c r="F1212" s="0" t="str">
        <f aca="false">INDEX('Product Master'!$C$2:$C$21,MATCH(D1212,'Product Master'!$A$2:$A$21,0))</f>
        <v>Footwear</v>
      </c>
      <c r="G1212" s="15" t="n">
        <f aca="false">VALUE(TRIM('Raw Store Exports'!E1212&amp;""))</f>
        <v>1</v>
      </c>
      <c r="H1212" s="18" t="n">
        <f aca="false">INDEX('Product Master'!$D$2:$D$21,MATCH(D1212,'Product Master'!$A$2:$A$21,0))</f>
        <v>25</v>
      </c>
      <c r="I1212" s="14" t="n">
        <f aca="false">G1212*H1212</f>
        <v>25</v>
      </c>
      <c r="J1212" s="0" t="str">
        <f aca="false">IF(COUNTIF($A$2:A1212,A1212)&gt;1,"Duplicate","")</f>
        <v/>
      </c>
    </row>
    <row r="1213" customFormat="false" ht="15" hidden="false" customHeight="false" outlineLevel="0" collapsed="false">
      <c r="A1213" s="0" t="str">
        <f aca="false">'Raw Store Exports'!A1213</f>
        <v>TXN00357</v>
      </c>
      <c r="B1213" s="17" t="n">
        <f aca="false">'Raw Store Exports'!C1213</f>
        <v>46044</v>
      </c>
      <c r="C1213" s="0" t="str">
        <f aca="false">INDEX('Store Mapping'!$C$2:$C$19,MATCH(TRIM('Raw Store Exports'!B1213),'Store Mapping'!$A$2:$A$19,0))</f>
        <v>Northpark</v>
      </c>
      <c r="D1213" s="0" t="str">
        <f aca="false">'Raw Store Exports'!D1213</f>
        <v>HOM-504</v>
      </c>
      <c r="E1213" s="0" t="str">
        <f aca="false">INDEX('Product Master'!$B$2:$B$21,MATCH(D1213,'Product Master'!$A$2:$A$21,0))</f>
        <v>Bamboo Cutting Board</v>
      </c>
      <c r="F1213" s="0" t="str">
        <f aca="false">INDEX('Product Master'!$C$2:$C$21,MATCH(D1213,'Product Master'!$A$2:$A$21,0))</f>
        <v>Home Goods</v>
      </c>
      <c r="G1213" s="15" t="n">
        <f aca="false">VALUE(TRIM('Raw Store Exports'!E1213&amp;""))</f>
        <v>5</v>
      </c>
      <c r="H1213" s="18" t="n">
        <f aca="false">INDEX('Product Master'!$D$2:$D$21,MATCH(D1213,'Product Master'!$A$2:$A$21,0))</f>
        <v>27</v>
      </c>
      <c r="I1213" s="14" t="n">
        <f aca="false">G1213*H1213</f>
        <v>135</v>
      </c>
      <c r="J1213" s="0" t="str">
        <f aca="false">IF(COUNTIF($A$2:A1213,A1213)&gt;1,"Duplicate","")</f>
        <v/>
      </c>
    </row>
    <row r="1214" customFormat="false" ht="15" hidden="false" customHeight="false" outlineLevel="0" collapsed="false">
      <c r="A1214" s="0" t="str">
        <f aca="false">'Raw Store Exports'!A1214</f>
        <v>TXN00569</v>
      </c>
      <c r="B1214" s="17" t="n">
        <f aca="false">'Raw Store Exports'!C1214</f>
        <v>46052</v>
      </c>
      <c r="C1214" s="0" t="str">
        <f aca="false">INDEX('Store Mapping'!$C$2:$C$19,MATCH(TRIM('Raw Store Exports'!B1214),'Store Mapping'!$A$2:$A$19,0))</f>
        <v>Airport Plaza</v>
      </c>
      <c r="D1214" s="0" t="str">
        <f aca="false">'Raw Store Exports'!D1214</f>
        <v>ACC-301</v>
      </c>
      <c r="E1214" s="0" t="str">
        <f aca="false">INDEX('Product Master'!$B$2:$B$21,MATCH(D1214,'Product Master'!$A$2:$A$21,0))</f>
        <v>Leather Belt</v>
      </c>
      <c r="F1214" s="0" t="str">
        <f aca="false">INDEX('Product Master'!$C$2:$C$21,MATCH(D1214,'Product Master'!$A$2:$A$21,0))</f>
        <v>Accessories</v>
      </c>
      <c r="G1214" s="15" t="n">
        <f aca="false">VALUE(TRIM('Raw Store Exports'!E1214&amp;""))</f>
        <v>2</v>
      </c>
      <c r="H1214" s="18" t="n">
        <f aca="false">INDEX('Product Master'!$D$2:$D$21,MATCH(D1214,'Product Master'!$A$2:$A$21,0))</f>
        <v>30</v>
      </c>
      <c r="I1214" s="14" t="n">
        <f aca="false">G1214*H1214</f>
        <v>60</v>
      </c>
      <c r="J1214" s="0" t="str">
        <f aca="false">IF(COUNTIF($A$2:A1214,A1214)&gt;1,"Duplicate","")</f>
        <v/>
      </c>
    </row>
    <row r="1215" customFormat="false" ht="15" hidden="false" customHeight="false" outlineLevel="0" collapsed="false">
      <c r="A1215" s="0" t="str">
        <f aca="false">'Raw Store Exports'!A1215</f>
        <v>TXN00370</v>
      </c>
      <c r="B1215" s="17" t="n">
        <f aca="false">'Raw Store Exports'!C1215</f>
        <v>46044</v>
      </c>
      <c r="C1215" s="0" t="str">
        <f aca="false">INDEX('Store Mapping'!$C$2:$C$19,MATCH(TRIM('Raw Store Exports'!B1215),'Store Mapping'!$A$2:$A$19,0))</f>
        <v>Northpark</v>
      </c>
      <c r="D1215" s="0" t="str">
        <f aca="false">'Raw Store Exports'!D1215</f>
        <v>APP-104</v>
      </c>
      <c r="E1215" s="0" t="str">
        <f aca="false">INDEX('Product Master'!$B$2:$B$21,MATCH(D1215,'Product Master'!$A$2:$A$21,0))</f>
        <v>Slim Fit Chinos</v>
      </c>
      <c r="F1215" s="0" t="str">
        <f aca="false">INDEX('Product Master'!$C$2:$C$21,MATCH(D1215,'Product Master'!$A$2:$A$21,0))</f>
        <v>Apparel</v>
      </c>
      <c r="G1215" s="15" t="n">
        <f aca="false">VALUE(TRIM('Raw Store Exports'!E1215&amp;""))</f>
        <v>2</v>
      </c>
      <c r="H1215" s="18" t="n">
        <f aca="false">INDEX('Product Master'!$D$2:$D$21,MATCH(D1215,'Product Master'!$A$2:$A$21,0))</f>
        <v>52</v>
      </c>
      <c r="I1215" s="14" t="n">
        <f aca="false">G1215*H1215</f>
        <v>104</v>
      </c>
      <c r="J1215" s="0" t="str">
        <f aca="false">IF(COUNTIF($A$2:A1215,A1215)&gt;1,"Duplicate","")</f>
        <v/>
      </c>
    </row>
    <row r="1216" customFormat="false" ht="15" hidden="false" customHeight="false" outlineLevel="0" collapsed="false">
      <c r="A1216" s="0" t="str">
        <f aca="false">'Raw Store Exports'!A1216</f>
        <v>TXN01129</v>
      </c>
      <c r="B1216" s="17" t="n">
        <f aca="false">'Raw Store Exports'!C1216</f>
        <v>46078</v>
      </c>
      <c r="C1216" s="0" t="str">
        <f aca="false">INDEX('Store Mapping'!$C$2:$C$19,MATCH(TRIM('Raw Store Exports'!B1216),'Store Mapping'!$A$2:$A$19,0))</f>
        <v>Northpark</v>
      </c>
      <c r="D1216" s="0" t="str">
        <f aca="false">'Raw Store Exports'!D1216</f>
        <v>ACC-303</v>
      </c>
      <c r="E1216" s="0" t="str">
        <f aca="false">INDEX('Product Master'!$B$2:$B$21,MATCH(D1216,'Product Master'!$A$2:$A$21,0))</f>
        <v>Canvas Tote Bag</v>
      </c>
      <c r="F1216" s="0" t="str">
        <f aca="false">INDEX('Product Master'!$C$2:$C$21,MATCH(D1216,'Product Master'!$A$2:$A$21,0))</f>
        <v>Accessories</v>
      </c>
      <c r="G1216" s="15" t="n">
        <f aca="false">VALUE(TRIM('Raw Store Exports'!E1216&amp;""))</f>
        <v>6</v>
      </c>
      <c r="H1216" s="18" t="n">
        <f aca="false">INDEX('Product Master'!$D$2:$D$21,MATCH(D1216,'Product Master'!$A$2:$A$21,0))</f>
        <v>24</v>
      </c>
      <c r="I1216" s="14" t="n">
        <f aca="false">G1216*H1216</f>
        <v>144</v>
      </c>
      <c r="J1216" s="0" t="str">
        <f aca="false">IF(COUNTIF($A$2:A1216,A1216)&gt;1,"Duplicate","")</f>
        <v>Duplicate</v>
      </c>
    </row>
    <row r="1217" customFormat="false" ht="15" hidden="false" customHeight="false" outlineLevel="0" collapsed="false">
      <c r="A1217" s="0" t="str">
        <f aca="false">'Raw Store Exports'!A1217</f>
        <v>TXN00235</v>
      </c>
      <c r="B1217" s="17" t="n">
        <f aca="false">'Raw Store Exports'!C1217</f>
        <v>46040</v>
      </c>
      <c r="C1217" s="0" t="str">
        <f aca="false">INDEX('Store Mapping'!$C$2:$C$19,MATCH(TRIM('Raw Store Exports'!B1217),'Store Mapping'!$A$2:$A$19,0))</f>
        <v>Riverside</v>
      </c>
      <c r="D1217" s="0" t="str">
        <f aca="false">'Raw Store Exports'!D1217</f>
        <v>FTW-203</v>
      </c>
      <c r="E1217" s="0" t="str">
        <f aca="false">INDEX('Product Master'!$B$2:$B$21,MATCH(D1217,'Product Master'!$A$2:$A$21,0))</f>
        <v>Leather Ankle Boot</v>
      </c>
      <c r="F1217" s="0" t="str">
        <f aca="false">INDEX('Product Master'!$C$2:$C$21,MATCH(D1217,'Product Master'!$A$2:$A$21,0))</f>
        <v>Footwear</v>
      </c>
      <c r="G1217" s="15" t="n">
        <f aca="false">VALUE(TRIM('Raw Store Exports'!E1217&amp;""))</f>
        <v>1</v>
      </c>
      <c r="H1217" s="18" t="n">
        <f aca="false">INDEX('Product Master'!$D$2:$D$21,MATCH(D1217,'Product Master'!$A$2:$A$21,0))</f>
        <v>120</v>
      </c>
      <c r="I1217" s="14" t="n">
        <f aca="false">G1217*H1217</f>
        <v>120</v>
      </c>
      <c r="J1217" s="0" t="str">
        <f aca="false">IF(COUNTIF($A$2:A1217,A1217)&gt;1,"Duplicate","")</f>
        <v/>
      </c>
    </row>
    <row r="1218" customFormat="false" ht="15" hidden="false" customHeight="false" outlineLevel="0" collapsed="false">
      <c r="A1218" s="0" t="str">
        <f aca="false">'Raw Store Exports'!A1218</f>
        <v>TXN00029</v>
      </c>
      <c r="B1218" s="17" t="n">
        <f aca="false">'Raw Store Exports'!C1218</f>
        <v>46030</v>
      </c>
      <c r="C1218" s="0" t="str">
        <f aca="false">INDEX('Store Mapping'!$C$2:$C$19,MATCH(TRIM('Raw Store Exports'!B1218),'Store Mapping'!$A$2:$A$19,0))</f>
        <v>Westside Mall</v>
      </c>
      <c r="D1218" s="0" t="str">
        <f aca="false">'Raw Store Exports'!D1218</f>
        <v>APP-104</v>
      </c>
      <c r="E1218" s="0" t="str">
        <f aca="false">INDEX('Product Master'!$B$2:$B$21,MATCH(D1218,'Product Master'!$A$2:$A$21,0))</f>
        <v>Slim Fit Chinos</v>
      </c>
      <c r="F1218" s="0" t="str">
        <f aca="false">INDEX('Product Master'!$C$2:$C$21,MATCH(D1218,'Product Master'!$A$2:$A$21,0))</f>
        <v>Apparel</v>
      </c>
      <c r="G1218" s="15" t="n">
        <f aca="false">VALUE(TRIM('Raw Store Exports'!E1218&amp;""))</f>
        <v>4</v>
      </c>
      <c r="H1218" s="18" t="n">
        <f aca="false">INDEX('Product Master'!$D$2:$D$21,MATCH(D1218,'Product Master'!$A$2:$A$21,0))</f>
        <v>52</v>
      </c>
      <c r="I1218" s="14" t="n">
        <f aca="false">G1218*H1218</f>
        <v>208</v>
      </c>
      <c r="J1218" s="0" t="str">
        <f aca="false">IF(COUNTIF($A$2:A1218,A1218)&gt;1,"Duplicate","")</f>
        <v/>
      </c>
    </row>
    <row r="1219" customFormat="false" ht="15" hidden="false" customHeight="false" outlineLevel="0" collapsed="false">
      <c r="A1219" s="0" t="str">
        <f aca="false">'Raw Store Exports'!A1219</f>
        <v>TXN00030</v>
      </c>
      <c r="B1219" s="17" t="n">
        <f aca="false">'Raw Store Exports'!C1219</f>
        <v>46033</v>
      </c>
      <c r="C1219" s="0" t="str">
        <f aca="false">INDEX('Store Mapping'!$C$2:$C$19,MATCH(TRIM('Raw Store Exports'!B1219),'Store Mapping'!$A$2:$A$19,0))</f>
        <v>Westside Mall</v>
      </c>
      <c r="D1219" s="0" t="str">
        <f aca="false">'Raw Store Exports'!D1219</f>
        <v>FTW-203</v>
      </c>
      <c r="E1219" s="0" t="str">
        <f aca="false">INDEX('Product Master'!$B$2:$B$21,MATCH(D1219,'Product Master'!$A$2:$A$21,0))</f>
        <v>Leather Ankle Boot</v>
      </c>
      <c r="F1219" s="0" t="str">
        <f aca="false">INDEX('Product Master'!$C$2:$C$21,MATCH(D1219,'Product Master'!$A$2:$A$21,0))</f>
        <v>Footwear</v>
      </c>
      <c r="G1219" s="15" t="n">
        <f aca="false">VALUE(TRIM('Raw Store Exports'!E1219&amp;""))</f>
        <v>5</v>
      </c>
      <c r="H1219" s="18" t="n">
        <f aca="false">INDEX('Product Master'!$D$2:$D$21,MATCH(D1219,'Product Master'!$A$2:$A$21,0))</f>
        <v>120</v>
      </c>
      <c r="I1219" s="14" t="n">
        <f aca="false">G1219*H1219</f>
        <v>600</v>
      </c>
      <c r="J1219" s="0" t="str">
        <f aca="false">IF(COUNTIF($A$2:A1219,A1219)&gt;1,"Duplicate","")</f>
        <v/>
      </c>
    </row>
    <row r="1220" customFormat="false" ht="15" hidden="false" customHeight="false" outlineLevel="0" collapsed="false">
      <c r="A1220" s="0" t="str">
        <f aca="false">'Raw Store Exports'!A1220</f>
        <v>TXN00318</v>
      </c>
      <c r="B1220" s="17" t="n">
        <f aca="false">'Raw Store Exports'!C1220</f>
        <v>46047</v>
      </c>
      <c r="C1220" s="0" t="str">
        <f aca="false">INDEX('Store Mapping'!$C$2:$C$19,MATCH(TRIM('Raw Store Exports'!B1220),'Store Mapping'!$A$2:$A$19,0))</f>
        <v>Westside Mall</v>
      </c>
      <c r="D1220" s="0" t="str">
        <f aca="false">'Raw Store Exports'!D1220</f>
        <v>ELE-402</v>
      </c>
      <c r="E1220" s="0" t="str">
        <f aca="false">INDEX('Product Master'!$B$2:$B$21,MATCH(D1220,'Product Master'!$A$2:$A$21,0))</f>
        <v>Bluetooth Speaker</v>
      </c>
      <c r="F1220" s="0" t="str">
        <f aca="false">INDEX('Product Master'!$C$2:$C$21,MATCH(D1220,'Product Master'!$A$2:$A$21,0))</f>
        <v>Electronics</v>
      </c>
      <c r="G1220" s="15" t="n">
        <f aca="false">VALUE(TRIM('Raw Store Exports'!E1220&amp;""))</f>
        <v>3</v>
      </c>
      <c r="H1220" s="18" t="n">
        <f aca="false">INDEX('Product Master'!$D$2:$D$21,MATCH(D1220,'Product Master'!$A$2:$A$21,0))</f>
        <v>59</v>
      </c>
      <c r="I1220" s="14" t="n">
        <f aca="false">G1220*H1220</f>
        <v>177</v>
      </c>
      <c r="J1220" s="0" t="str">
        <f aca="false">IF(COUNTIF($A$2:A1220,A1220)&gt;1,"Duplicate","")</f>
        <v/>
      </c>
    </row>
    <row r="1221" customFormat="false" ht="15" hidden="false" customHeight="false" outlineLevel="0" collapsed="false">
      <c r="A1221" s="0" t="str">
        <f aca="false">'Raw Store Exports'!A1221</f>
        <v>TXN00674</v>
      </c>
      <c r="B1221" s="17" t="n">
        <f aca="false">'Raw Store Exports'!C1221</f>
        <v>46055</v>
      </c>
      <c r="C1221" s="0" t="str">
        <f aca="false">INDEX('Store Mapping'!$C$2:$C$19,MATCH(TRIM('Raw Store Exports'!B1221),'Store Mapping'!$A$2:$A$19,0))</f>
        <v>Northpark</v>
      </c>
      <c r="D1221" s="0" t="str">
        <f aca="false">'Raw Store Exports'!D1221</f>
        <v>ACC-302</v>
      </c>
      <c r="E1221" s="0" t="str">
        <f aca="false">INDEX('Product Master'!$B$2:$B$21,MATCH(D1221,'Product Master'!$A$2:$A$21,0))</f>
        <v>Aviator Sunglasses</v>
      </c>
      <c r="F1221" s="0" t="str">
        <f aca="false">INDEX('Product Master'!$C$2:$C$21,MATCH(D1221,'Product Master'!$A$2:$A$21,0))</f>
        <v>Accessories</v>
      </c>
      <c r="G1221" s="15" t="n">
        <f aca="false">VALUE(TRIM('Raw Store Exports'!E1221&amp;""))</f>
        <v>5</v>
      </c>
      <c r="H1221" s="18" t="n">
        <f aca="false">INDEX('Product Master'!$D$2:$D$21,MATCH(D1221,'Product Master'!$A$2:$A$21,0))</f>
        <v>42</v>
      </c>
      <c r="I1221" s="14" t="n">
        <f aca="false">G1221*H1221</f>
        <v>210</v>
      </c>
      <c r="J1221" s="0" t="str">
        <f aca="false">IF(COUNTIF($A$2:A1221,A1221)&gt;1,"Duplicate","")</f>
        <v/>
      </c>
    </row>
    <row r="1222" customFormat="false" ht="15" hidden="false" customHeight="false" outlineLevel="0" collapsed="false">
      <c r="A1222" s="0" t="str">
        <f aca="false">'Raw Store Exports'!A1222</f>
        <v>TXN00631</v>
      </c>
      <c r="B1222" s="17" t="n">
        <f aca="false">'Raw Store Exports'!C1222</f>
        <v>46056</v>
      </c>
      <c r="C1222" s="0" t="str">
        <f aca="false">INDEX('Store Mapping'!$C$2:$C$19,MATCH(TRIM('Raw Store Exports'!B1222),'Store Mapping'!$A$2:$A$19,0))</f>
        <v>Westside Mall</v>
      </c>
      <c r="D1222" s="0" t="str">
        <f aca="false">'Raw Store Exports'!D1222</f>
        <v>APP-102</v>
      </c>
      <c r="E1222" s="0" t="str">
        <f aca="false">INDEX('Product Master'!$B$2:$B$21,MATCH(D1222,'Product Master'!$A$2:$A$21,0))</f>
        <v>Cotton Crew T-Shirt</v>
      </c>
      <c r="F1222" s="0" t="str">
        <f aca="false">INDEX('Product Master'!$C$2:$C$21,MATCH(D1222,'Product Master'!$A$2:$A$21,0))</f>
        <v>Apparel</v>
      </c>
      <c r="G1222" s="15" t="n">
        <f aca="false">VALUE(TRIM('Raw Store Exports'!E1222&amp;""))</f>
        <v>1</v>
      </c>
      <c r="H1222" s="18" t="n">
        <f aca="false">INDEX('Product Master'!$D$2:$D$21,MATCH(D1222,'Product Master'!$A$2:$A$21,0))</f>
        <v>18</v>
      </c>
      <c r="I1222" s="14" t="n">
        <f aca="false">G1222*H1222</f>
        <v>18</v>
      </c>
      <c r="J1222" s="0" t="str">
        <f aca="false">IF(COUNTIF($A$2:A1222,A1222)&gt;1,"Duplicate","")</f>
        <v>Duplicate</v>
      </c>
    </row>
    <row r="1223" customFormat="false" ht="15" hidden="false" customHeight="false" outlineLevel="0" collapsed="false">
      <c r="A1223" s="0" t="str">
        <f aca="false">'Raw Store Exports'!A1223</f>
        <v>TXN00863</v>
      </c>
      <c r="B1223" s="17" t="n">
        <f aca="false">'Raw Store Exports'!C1223</f>
        <v>46063</v>
      </c>
      <c r="C1223" s="0" t="str">
        <f aca="false">INDEX('Store Mapping'!$C$2:$C$19,MATCH(TRIM('Raw Store Exports'!B1223),'Store Mapping'!$A$2:$A$19,0))</f>
        <v>Riverside</v>
      </c>
      <c r="D1223" s="0" t="str">
        <f aca="false">'Raw Store Exports'!D1223</f>
        <v>HOM-504</v>
      </c>
      <c r="E1223" s="0" t="str">
        <f aca="false">INDEX('Product Master'!$B$2:$B$21,MATCH(D1223,'Product Master'!$A$2:$A$21,0))</f>
        <v>Bamboo Cutting Board</v>
      </c>
      <c r="F1223" s="0" t="str">
        <f aca="false">INDEX('Product Master'!$C$2:$C$21,MATCH(D1223,'Product Master'!$A$2:$A$21,0))</f>
        <v>Home Goods</v>
      </c>
      <c r="G1223" s="15" t="n">
        <f aca="false">VALUE(TRIM('Raw Store Exports'!E1223&amp;""))</f>
        <v>3</v>
      </c>
      <c r="H1223" s="18" t="n">
        <f aca="false">INDEX('Product Master'!$D$2:$D$21,MATCH(D1223,'Product Master'!$A$2:$A$21,0))</f>
        <v>27</v>
      </c>
      <c r="I1223" s="14" t="n">
        <f aca="false">G1223*H1223</f>
        <v>81</v>
      </c>
      <c r="J1223" s="0" t="str">
        <f aca="false">IF(COUNTIF($A$2:A1223,A1223)&gt;1,"Duplicate","")</f>
        <v/>
      </c>
    </row>
    <row r="1224" customFormat="false" ht="15" hidden="false" customHeight="false" outlineLevel="0" collapsed="false">
      <c r="A1224" s="0" t="str">
        <f aca="false">'Raw Store Exports'!A1224</f>
        <v>TXN00066</v>
      </c>
      <c r="B1224" s="17" t="n">
        <f aca="false">'Raw Store Exports'!C1224</f>
        <v>46028</v>
      </c>
      <c r="C1224" s="0" t="str">
        <f aca="false">INDEX('Store Mapping'!$C$2:$C$19,MATCH(TRIM('Raw Store Exports'!B1224),'Store Mapping'!$A$2:$A$19,0))</f>
        <v>Eastgate</v>
      </c>
      <c r="D1224" s="0" t="str">
        <f aca="false">'Raw Store Exports'!D1224</f>
        <v>HOM-502</v>
      </c>
      <c r="E1224" s="0" t="str">
        <f aca="false">INDEX('Product Master'!$B$2:$B$21,MATCH(D1224,'Product Master'!$A$2:$A$21,0))</f>
        <v>Scented Candle</v>
      </c>
      <c r="F1224" s="0" t="str">
        <f aca="false">INDEX('Product Master'!$C$2:$C$21,MATCH(D1224,'Product Master'!$A$2:$A$21,0))</f>
        <v>Home Goods</v>
      </c>
      <c r="G1224" s="15" t="n">
        <f aca="false">VALUE(TRIM('Raw Store Exports'!E1224&amp;""))</f>
        <v>2</v>
      </c>
      <c r="H1224" s="18" t="n">
        <f aca="false">INDEX('Product Master'!$D$2:$D$21,MATCH(D1224,'Product Master'!$A$2:$A$21,0))</f>
        <v>15</v>
      </c>
      <c r="I1224" s="14" t="n">
        <f aca="false">G1224*H1224</f>
        <v>30</v>
      </c>
      <c r="J1224" s="0" t="str">
        <f aca="false">IF(COUNTIF($A$2:A1224,A1224)&gt;1,"Duplicate","")</f>
        <v/>
      </c>
    </row>
    <row r="1225" customFormat="false" ht="15" hidden="false" customHeight="false" outlineLevel="0" collapsed="false">
      <c r="A1225" s="0" t="str">
        <f aca="false">'Raw Store Exports'!A1225</f>
        <v>TXN01055</v>
      </c>
      <c r="B1225" s="17" t="n">
        <f aca="false">'Raw Store Exports'!C1225</f>
        <v>46077</v>
      </c>
      <c r="C1225" s="0" t="str">
        <f aca="false">INDEX('Store Mapping'!$C$2:$C$19,MATCH(TRIM('Raw Store Exports'!B1225),'Store Mapping'!$A$2:$A$19,0))</f>
        <v>Downtown</v>
      </c>
      <c r="D1225" s="0" t="str">
        <f aca="false">'Raw Store Exports'!D1225</f>
        <v>ELE-402</v>
      </c>
      <c r="E1225" s="0" t="str">
        <f aca="false">INDEX('Product Master'!$B$2:$B$21,MATCH(D1225,'Product Master'!$A$2:$A$21,0))</f>
        <v>Bluetooth Speaker</v>
      </c>
      <c r="F1225" s="0" t="str">
        <f aca="false">INDEX('Product Master'!$C$2:$C$21,MATCH(D1225,'Product Master'!$A$2:$A$21,0))</f>
        <v>Electronics</v>
      </c>
      <c r="G1225" s="15" t="n">
        <f aca="false">VALUE(TRIM('Raw Store Exports'!E1225&amp;""))</f>
        <v>2</v>
      </c>
      <c r="H1225" s="18" t="n">
        <f aca="false">INDEX('Product Master'!$D$2:$D$21,MATCH(D1225,'Product Master'!$A$2:$A$21,0))</f>
        <v>59</v>
      </c>
      <c r="I1225" s="14" t="n">
        <f aca="false">G1225*H1225</f>
        <v>118</v>
      </c>
      <c r="J1225" s="0" t="str">
        <f aca="false">IF(COUNTIF($A$2:A1225,A1225)&gt;1,"Duplicate","")</f>
        <v/>
      </c>
    </row>
    <row r="1226" customFormat="false" ht="15" hidden="false" customHeight="false" outlineLevel="0" collapsed="false">
      <c r="A1226" s="0" t="str">
        <f aca="false">'Raw Store Exports'!A1226</f>
        <v>TXN00726</v>
      </c>
      <c r="B1226" s="17" t="n">
        <f aca="false">'Raw Store Exports'!C1226</f>
        <v>46059</v>
      </c>
      <c r="C1226" s="0" t="str">
        <f aca="false">INDEX('Store Mapping'!$C$2:$C$19,MATCH(TRIM('Raw Store Exports'!B1226),'Store Mapping'!$A$2:$A$19,0))</f>
        <v>Airport Plaza</v>
      </c>
      <c r="D1226" s="0" t="str">
        <f aca="false">'Raw Store Exports'!D1226</f>
        <v>ACC-304</v>
      </c>
      <c r="E1226" s="0" t="str">
        <f aca="false">INDEX('Product Master'!$B$2:$B$21,MATCH(D1226,'Product Master'!$A$2:$A$21,0))</f>
        <v>Wool Beanie</v>
      </c>
      <c r="F1226" s="0" t="str">
        <f aca="false">INDEX('Product Master'!$C$2:$C$21,MATCH(D1226,'Product Master'!$A$2:$A$21,0))</f>
        <v>Accessories</v>
      </c>
      <c r="G1226" s="15" t="n">
        <f aca="false">VALUE(TRIM('Raw Store Exports'!E1226&amp;""))</f>
        <v>4</v>
      </c>
      <c r="H1226" s="18" t="n">
        <f aca="false">INDEX('Product Master'!$D$2:$D$21,MATCH(D1226,'Product Master'!$A$2:$A$21,0))</f>
        <v>16</v>
      </c>
      <c r="I1226" s="14" t="n">
        <f aca="false">G1226*H1226</f>
        <v>64</v>
      </c>
      <c r="J1226" s="0" t="str">
        <f aca="false">IF(COUNTIF($A$2:A1226,A1226)&gt;1,"Duplicate","")</f>
        <v/>
      </c>
    </row>
    <row r="1227" customFormat="false" ht="15" hidden="false" customHeight="false" outlineLevel="0" collapsed="false">
      <c r="A1227" s="0" t="str">
        <f aca="false">'Raw Store Exports'!A1227</f>
        <v>TXN00056</v>
      </c>
      <c r="B1227" s="17" t="n">
        <f aca="false">'Raw Store Exports'!C1227</f>
        <v>46031</v>
      </c>
      <c r="C1227" s="0" t="str">
        <f aca="false">INDEX('Store Mapping'!$C$2:$C$19,MATCH(TRIM('Raw Store Exports'!B1227),'Store Mapping'!$A$2:$A$19,0))</f>
        <v>Eastgate</v>
      </c>
      <c r="D1227" s="0" t="str">
        <f aca="false">'Raw Store Exports'!D1227</f>
        <v>HOM-501</v>
      </c>
      <c r="E1227" s="0" t="str">
        <f aca="false">INDEX('Product Master'!$B$2:$B$21,MATCH(D1227,'Product Master'!$A$2:$A$21,0))</f>
        <v>Ceramic Coffee Mug Set</v>
      </c>
      <c r="F1227" s="0" t="str">
        <f aca="false">INDEX('Product Master'!$C$2:$C$21,MATCH(D1227,'Product Master'!$A$2:$A$21,0))</f>
        <v>Home Goods</v>
      </c>
      <c r="G1227" s="15" t="n">
        <f aca="false">VALUE(TRIM('Raw Store Exports'!E1227&amp;""))</f>
        <v>6</v>
      </c>
      <c r="H1227" s="18" t="n">
        <f aca="false">INDEX('Product Master'!$D$2:$D$21,MATCH(D1227,'Product Master'!$A$2:$A$21,0))</f>
        <v>22</v>
      </c>
      <c r="I1227" s="14" t="n">
        <f aca="false">G1227*H1227</f>
        <v>132</v>
      </c>
      <c r="J1227" s="0" t="str">
        <f aca="false">IF(COUNTIF($A$2:A1227,A1227)&gt;1,"Duplicate","")</f>
        <v/>
      </c>
    </row>
    <row r="1228" customFormat="false" ht="15" hidden="false" customHeight="false" outlineLevel="0" collapsed="false">
      <c r="A1228" s="0" t="str">
        <f aca="false">'Raw Store Exports'!A1228</f>
        <v>TXN00271</v>
      </c>
      <c r="B1228" s="17" t="n">
        <f aca="false">'Raw Store Exports'!C1228</f>
        <v>46036</v>
      </c>
      <c r="C1228" s="0" t="str">
        <f aca="false">INDEX('Store Mapping'!$C$2:$C$19,MATCH(TRIM('Raw Store Exports'!B1228),'Store Mapping'!$A$2:$A$19,0))</f>
        <v>Airport Plaza</v>
      </c>
      <c r="D1228" s="0" t="str">
        <f aca="false">'Raw Store Exports'!D1228</f>
        <v>APP-104</v>
      </c>
      <c r="E1228" s="0" t="str">
        <f aca="false">INDEX('Product Master'!$B$2:$B$21,MATCH(D1228,'Product Master'!$A$2:$A$21,0))</f>
        <v>Slim Fit Chinos</v>
      </c>
      <c r="F1228" s="0" t="str">
        <f aca="false">INDEX('Product Master'!$C$2:$C$21,MATCH(D1228,'Product Master'!$A$2:$A$21,0))</f>
        <v>Apparel</v>
      </c>
      <c r="G1228" s="15" t="n">
        <f aca="false">VALUE(TRIM('Raw Store Exports'!E1228&amp;""))</f>
        <v>5</v>
      </c>
      <c r="H1228" s="18" t="n">
        <f aca="false">INDEX('Product Master'!$D$2:$D$21,MATCH(D1228,'Product Master'!$A$2:$A$21,0))</f>
        <v>52</v>
      </c>
      <c r="I1228" s="14" t="n">
        <f aca="false">G1228*H1228</f>
        <v>260</v>
      </c>
      <c r="J1228" s="0" t="str">
        <f aca="false">IF(COUNTIF($A$2:A1228,A1228)&gt;1,"Duplicate","")</f>
        <v/>
      </c>
    </row>
    <row r="1229" customFormat="false" ht="15" hidden="false" customHeight="false" outlineLevel="0" collapsed="false">
      <c r="A1229" s="0" t="str">
        <f aca="false">'Raw Store Exports'!A1229</f>
        <v>TXN00550</v>
      </c>
      <c r="B1229" s="17" t="n">
        <f aca="false">'Raw Store Exports'!C1229</f>
        <v>46048</v>
      </c>
      <c r="C1229" s="0" t="str">
        <f aca="false">INDEX('Store Mapping'!$C$2:$C$19,MATCH(TRIM('Raw Store Exports'!B1229),'Store Mapping'!$A$2:$A$19,0))</f>
        <v>Riverside</v>
      </c>
      <c r="D1229" s="0" t="str">
        <f aca="false">'Raw Store Exports'!D1229</f>
        <v>FTW-202</v>
      </c>
      <c r="E1229" s="0" t="str">
        <f aca="false">INDEX('Product Master'!$B$2:$B$21,MATCH(D1229,'Product Master'!$A$2:$A$21,0))</f>
        <v>Canvas Low-Top</v>
      </c>
      <c r="F1229" s="0" t="str">
        <f aca="false">INDEX('Product Master'!$C$2:$C$21,MATCH(D1229,'Product Master'!$A$2:$A$21,0))</f>
        <v>Footwear</v>
      </c>
      <c r="G1229" s="15" t="n">
        <f aca="false">VALUE(TRIM('Raw Store Exports'!E1229&amp;""))</f>
        <v>2</v>
      </c>
      <c r="H1229" s="18" t="n">
        <f aca="false">INDEX('Product Master'!$D$2:$D$21,MATCH(D1229,'Product Master'!$A$2:$A$21,0))</f>
        <v>55</v>
      </c>
      <c r="I1229" s="14" t="n">
        <f aca="false">G1229*H1229</f>
        <v>110</v>
      </c>
      <c r="J1229" s="0" t="str">
        <f aca="false">IF(COUNTIF($A$2:A1229,A1229)&gt;1,"Duplicate","")</f>
        <v/>
      </c>
    </row>
    <row r="1230" customFormat="false" ht="15" hidden="false" customHeight="false" outlineLevel="0" collapsed="false">
      <c r="A1230" s="0" t="str">
        <f aca="false">'Raw Store Exports'!A1230</f>
        <v>TXN00622</v>
      </c>
      <c r="B1230" s="17" t="n">
        <f aca="false">'Raw Store Exports'!C1230</f>
        <v>46060</v>
      </c>
      <c r="C1230" s="0" t="str">
        <f aca="false">INDEX('Store Mapping'!$C$2:$C$19,MATCH(TRIM('Raw Store Exports'!B1230),'Store Mapping'!$A$2:$A$19,0))</f>
        <v>Westside Mall</v>
      </c>
      <c r="D1230" s="0" t="str">
        <f aca="false">'Raw Store Exports'!D1230</f>
        <v>ELE-403</v>
      </c>
      <c r="E1230" s="0" t="str">
        <f aca="false">INDEX('Product Master'!$B$2:$B$21,MATCH(D1230,'Product Master'!$A$2:$A$21,0))</f>
        <v>Fitness Tracker Band</v>
      </c>
      <c r="F1230" s="0" t="str">
        <f aca="false">INDEX('Product Master'!$C$2:$C$21,MATCH(D1230,'Product Master'!$A$2:$A$21,0))</f>
        <v>Electronics</v>
      </c>
      <c r="G1230" s="15" t="n">
        <f aca="false">VALUE(TRIM('Raw Store Exports'!E1230&amp;""))</f>
        <v>3</v>
      </c>
      <c r="H1230" s="18" t="n">
        <f aca="false">INDEX('Product Master'!$D$2:$D$21,MATCH(D1230,'Product Master'!$A$2:$A$21,0))</f>
        <v>99</v>
      </c>
      <c r="I1230" s="14" t="n">
        <f aca="false">G1230*H1230</f>
        <v>297</v>
      </c>
      <c r="J1230" s="0" t="str">
        <f aca="false">IF(COUNTIF($A$2:A1230,A1230)&gt;1,"Duplicate","")</f>
        <v/>
      </c>
    </row>
    <row r="1231" customFormat="false" ht="15" hidden="false" customHeight="false" outlineLevel="0" collapsed="false">
      <c r="A1231" s="0" t="str">
        <f aca="false">'Raw Store Exports'!A1231</f>
        <v>TXN01083</v>
      </c>
      <c r="B1231" s="17" t="n">
        <f aca="false">'Raw Store Exports'!C1231</f>
        <v>46080</v>
      </c>
      <c r="C1231" s="0" t="str">
        <f aca="false">INDEX('Store Mapping'!$C$2:$C$19,MATCH(TRIM('Raw Store Exports'!B1231),'Store Mapping'!$A$2:$A$19,0))</f>
        <v>Westside Mall</v>
      </c>
      <c r="D1231" s="0" t="str">
        <f aca="false">'Raw Store Exports'!D1231</f>
        <v>FTW-202</v>
      </c>
      <c r="E1231" s="0" t="str">
        <f aca="false">INDEX('Product Master'!$B$2:$B$21,MATCH(D1231,'Product Master'!$A$2:$A$21,0))</f>
        <v>Canvas Low-Top</v>
      </c>
      <c r="F1231" s="0" t="str">
        <f aca="false">INDEX('Product Master'!$C$2:$C$21,MATCH(D1231,'Product Master'!$A$2:$A$21,0))</f>
        <v>Footwear</v>
      </c>
      <c r="G1231" s="15" t="n">
        <f aca="false">VALUE(TRIM('Raw Store Exports'!E1231&amp;""))</f>
        <v>4</v>
      </c>
      <c r="H1231" s="18" t="n">
        <f aca="false">INDEX('Product Master'!$D$2:$D$21,MATCH(D1231,'Product Master'!$A$2:$A$21,0))</f>
        <v>55</v>
      </c>
      <c r="I1231" s="14" t="n">
        <f aca="false">G1231*H1231</f>
        <v>220</v>
      </c>
      <c r="J1231" s="0" t="str">
        <f aca="false">IF(COUNTIF($A$2:A1231,A1231)&gt;1,"Duplicate","")</f>
        <v>Duplicate</v>
      </c>
    </row>
    <row r="1232" customFormat="false" ht="15" hidden="false" customHeight="false" outlineLevel="0" collapsed="false">
      <c r="A1232" s="0" t="str">
        <f aca="false">'Raw Store Exports'!A1232</f>
        <v>TXN00791</v>
      </c>
      <c r="B1232" s="17" t="n">
        <f aca="false">'Raw Store Exports'!C1232</f>
        <v>46063</v>
      </c>
      <c r="C1232" s="0" t="str">
        <f aca="false">INDEX('Store Mapping'!$C$2:$C$19,MATCH(TRIM('Raw Store Exports'!B1232),'Store Mapping'!$A$2:$A$19,0))</f>
        <v>Westside Mall</v>
      </c>
      <c r="D1232" s="0" t="str">
        <f aca="false">'Raw Store Exports'!D1232</f>
        <v>HOM-503</v>
      </c>
      <c r="E1232" s="0" t="str">
        <f aca="false">INDEX('Product Master'!$B$2:$B$21,MATCH(D1232,'Product Master'!$A$2:$A$21,0))</f>
        <v>Cotton Throw Blanket</v>
      </c>
      <c r="F1232" s="0" t="str">
        <f aca="false">INDEX('Product Master'!$C$2:$C$21,MATCH(D1232,'Product Master'!$A$2:$A$21,0))</f>
        <v>Home Goods</v>
      </c>
      <c r="G1232" s="15" t="n">
        <f aca="false">VALUE(TRIM('Raw Store Exports'!E1232&amp;""))</f>
        <v>3</v>
      </c>
      <c r="H1232" s="18" t="n">
        <f aca="false">INDEX('Product Master'!$D$2:$D$21,MATCH(D1232,'Product Master'!$A$2:$A$21,0))</f>
        <v>38</v>
      </c>
      <c r="I1232" s="14" t="n">
        <f aca="false">G1232*H1232</f>
        <v>114</v>
      </c>
      <c r="J1232" s="0" t="str">
        <f aca="false">IF(COUNTIF($A$2:A1232,A1232)&gt;1,"Duplicate","")</f>
        <v/>
      </c>
    </row>
    <row r="1233" customFormat="false" ht="15" hidden="false" customHeight="false" outlineLevel="0" collapsed="false">
      <c r="A1233" s="0" t="str">
        <f aca="false">'Raw Store Exports'!A1233</f>
        <v>TXN00355</v>
      </c>
      <c r="B1233" s="17" t="n">
        <f aca="false">'Raw Store Exports'!C1233</f>
        <v>46045</v>
      </c>
      <c r="C1233" s="0" t="str">
        <f aca="false">INDEX('Store Mapping'!$C$2:$C$19,MATCH(TRIM('Raw Store Exports'!B1233),'Store Mapping'!$A$2:$A$19,0))</f>
        <v>Northpark</v>
      </c>
      <c r="D1233" s="0" t="str">
        <f aca="false">'Raw Store Exports'!D1233</f>
        <v>ACC-301</v>
      </c>
      <c r="E1233" s="0" t="str">
        <f aca="false">INDEX('Product Master'!$B$2:$B$21,MATCH(D1233,'Product Master'!$A$2:$A$21,0))</f>
        <v>Leather Belt</v>
      </c>
      <c r="F1233" s="0" t="str">
        <f aca="false">INDEX('Product Master'!$C$2:$C$21,MATCH(D1233,'Product Master'!$A$2:$A$21,0))</f>
        <v>Accessories</v>
      </c>
      <c r="G1233" s="15" t="n">
        <f aca="false">VALUE(TRIM('Raw Store Exports'!E1233&amp;""))</f>
        <v>2</v>
      </c>
      <c r="H1233" s="18" t="n">
        <f aca="false">INDEX('Product Master'!$D$2:$D$21,MATCH(D1233,'Product Master'!$A$2:$A$21,0))</f>
        <v>30</v>
      </c>
      <c r="I1233" s="14" t="n">
        <f aca="false">G1233*H1233</f>
        <v>60</v>
      </c>
      <c r="J1233" s="0" t="str">
        <f aca="false">IF(COUNTIF($A$2:A1233,A1233)&gt;1,"Duplicate","")</f>
        <v/>
      </c>
    </row>
    <row r="1234" customFormat="false" ht="15" hidden="false" customHeight="false" outlineLevel="0" collapsed="false">
      <c r="A1234" s="0" t="str">
        <f aca="false">'Raw Store Exports'!A1234</f>
        <v>TXN00335</v>
      </c>
      <c r="B1234" s="17" t="n">
        <f aca="false">'Raw Store Exports'!C1234</f>
        <v>46041</v>
      </c>
      <c r="C1234" s="0" t="str">
        <f aca="false">INDEX('Store Mapping'!$C$2:$C$19,MATCH(TRIM('Raw Store Exports'!B1234),'Store Mapping'!$A$2:$A$19,0))</f>
        <v>Eastgate</v>
      </c>
      <c r="D1234" s="0" t="str">
        <f aca="false">'Raw Store Exports'!D1234</f>
        <v>HOM-504</v>
      </c>
      <c r="E1234" s="0" t="str">
        <f aca="false">INDEX('Product Master'!$B$2:$B$21,MATCH(D1234,'Product Master'!$A$2:$A$21,0))</f>
        <v>Bamboo Cutting Board</v>
      </c>
      <c r="F1234" s="0" t="str">
        <f aca="false">INDEX('Product Master'!$C$2:$C$21,MATCH(D1234,'Product Master'!$A$2:$A$21,0))</f>
        <v>Home Goods</v>
      </c>
      <c r="G1234" s="15" t="n">
        <f aca="false">VALUE(TRIM('Raw Store Exports'!E1234&amp;""))</f>
        <v>5</v>
      </c>
      <c r="H1234" s="18" t="n">
        <f aca="false">INDEX('Product Master'!$D$2:$D$21,MATCH(D1234,'Product Master'!$A$2:$A$21,0))</f>
        <v>27</v>
      </c>
      <c r="I1234" s="14" t="n">
        <f aca="false">G1234*H1234</f>
        <v>135</v>
      </c>
      <c r="J1234" s="0" t="str">
        <f aca="false">IF(COUNTIF($A$2:A1234,A1234)&gt;1,"Duplicate","")</f>
        <v/>
      </c>
    </row>
    <row r="1235" customFormat="false" ht="15" hidden="false" customHeight="false" outlineLevel="0" collapsed="false">
      <c r="A1235" s="0" t="str">
        <f aca="false">'Raw Store Exports'!A1235</f>
        <v>TXN00973</v>
      </c>
      <c r="B1235" s="17" t="n">
        <f aca="false">'Raw Store Exports'!C1235</f>
        <v>46071</v>
      </c>
      <c r="C1235" s="0" t="str">
        <f aca="false">INDEX('Store Mapping'!$C$2:$C$19,MATCH(TRIM('Raw Store Exports'!B1235),'Store Mapping'!$A$2:$A$19,0))</f>
        <v>Eastgate</v>
      </c>
      <c r="D1235" s="0" t="str">
        <f aca="false">'Raw Store Exports'!D1235</f>
        <v>APP-102</v>
      </c>
      <c r="E1235" s="0" t="str">
        <f aca="false">INDEX('Product Master'!$B$2:$B$21,MATCH(D1235,'Product Master'!$A$2:$A$21,0))</f>
        <v>Cotton Crew T-Shirt</v>
      </c>
      <c r="F1235" s="0" t="str">
        <f aca="false">INDEX('Product Master'!$C$2:$C$21,MATCH(D1235,'Product Master'!$A$2:$A$21,0))</f>
        <v>Apparel</v>
      </c>
      <c r="G1235" s="15" t="n">
        <f aca="false">VALUE(TRIM('Raw Store Exports'!E1235&amp;""))</f>
        <v>3</v>
      </c>
      <c r="H1235" s="18" t="n">
        <f aca="false">INDEX('Product Master'!$D$2:$D$21,MATCH(D1235,'Product Master'!$A$2:$A$21,0))</f>
        <v>18</v>
      </c>
      <c r="I1235" s="14" t="n">
        <f aca="false">G1235*H1235</f>
        <v>54</v>
      </c>
      <c r="J1235" s="0" t="str">
        <f aca="false">IF(COUNTIF($A$2:A1235,A1235)&gt;1,"Duplicate","")</f>
        <v/>
      </c>
    </row>
    <row r="1236" customFormat="false" ht="15" hidden="false" customHeight="false" outlineLevel="0" collapsed="false">
      <c r="A1236" s="0" t="str">
        <f aca="false">'Raw Store Exports'!A1236</f>
        <v>TXN00893</v>
      </c>
      <c r="B1236" s="17" t="n">
        <f aca="false">'Raw Store Exports'!C1236</f>
        <v>46065</v>
      </c>
      <c r="C1236" s="0" t="str">
        <f aca="false">INDEX('Store Mapping'!$C$2:$C$19,MATCH(TRIM('Raw Store Exports'!B1236),'Store Mapping'!$A$2:$A$19,0))</f>
        <v>Airport Plaza</v>
      </c>
      <c r="D1236" s="0" t="str">
        <f aca="false">'Raw Store Exports'!D1236</f>
        <v>APP-104</v>
      </c>
      <c r="E1236" s="0" t="str">
        <f aca="false">INDEX('Product Master'!$B$2:$B$21,MATCH(D1236,'Product Master'!$A$2:$A$21,0))</f>
        <v>Slim Fit Chinos</v>
      </c>
      <c r="F1236" s="0" t="str">
        <f aca="false">INDEX('Product Master'!$C$2:$C$21,MATCH(D1236,'Product Master'!$A$2:$A$21,0))</f>
        <v>Apparel</v>
      </c>
      <c r="G1236" s="15" t="n">
        <f aca="false">VALUE(TRIM('Raw Store Exports'!E1236&amp;""))</f>
        <v>2</v>
      </c>
      <c r="H1236" s="18" t="n">
        <f aca="false">INDEX('Product Master'!$D$2:$D$21,MATCH(D1236,'Product Master'!$A$2:$A$21,0))</f>
        <v>52</v>
      </c>
      <c r="I1236" s="14" t="n">
        <f aca="false">G1236*H1236</f>
        <v>104</v>
      </c>
      <c r="J1236" s="0" t="str">
        <f aca="false">IF(COUNTIF($A$2:A1236,A1236)&gt;1,"Duplicate","")</f>
        <v/>
      </c>
    </row>
    <row r="1237" customFormat="false" ht="15" hidden="false" customHeight="false" outlineLevel="0" collapsed="false">
      <c r="A1237" s="0" t="str">
        <f aca="false">'Raw Store Exports'!A1237</f>
        <v>TXN00714</v>
      </c>
      <c r="B1237" s="17" t="n">
        <f aca="false">'Raw Store Exports'!C1237</f>
        <v>46056</v>
      </c>
      <c r="C1237" s="0" t="str">
        <f aca="false">INDEX('Store Mapping'!$C$2:$C$19,MATCH(TRIM('Raw Store Exports'!B1237),'Store Mapping'!$A$2:$A$19,0))</f>
        <v>Riverside</v>
      </c>
      <c r="D1237" s="0" t="str">
        <f aca="false">'Raw Store Exports'!D1237</f>
        <v>APP-102</v>
      </c>
      <c r="E1237" s="0" t="str">
        <f aca="false">INDEX('Product Master'!$B$2:$B$21,MATCH(D1237,'Product Master'!$A$2:$A$21,0))</f>
        <v>Cotton Crew T-Shirt</v>
      </c>
      <c r="F1237" s="0" t="str">
        <f aca="false">INDEX('Product Master'!$C$2:$C$21,MATCH(D1237,'Product Master'!$A$2:$A$21,0))</f>
        <v>Apparel</v>
      </c>
      <c r="G1237" s="15" t="n">
        <f aca="false">VALUE(TRIM('Raw Store Exports'!E1237&amp;""))</f>
        <v>1</v>
      </c>
      <c r="H1237" s="18" t="n">
        <f aca="false">INDEX('Product Master'!$D$2:$D$21,MATCH(D1237,'Product Master'!$A$2:$A$21,0))</f>
        <v>18</v>
      </c>
      <c r="I1237" s="14" t="n">
        <f aca="false">G1237*H1237</f>
        <v>18</v>
      </c>
      <c r="J1237" s="0" t="str">
        <f aca="false">IF(COUNTIF($A$2:A1237,A1237)&gt;1,"Duplicate","")</f>
        <v/>
      </c>
    </row>
    <row r="1238" customFormat="false" ht="15" hidden="false" customHeight="false" outlineLevel="0" collapsed="false">
      <c r="A1238" s="0" t="str">
        <f aca="false">'Raw Store Exports'!A1238</f>
        <v>TXN00204</v>
      </c>
      <c r="B1238" s="17" t="n">
        <f aca="false">'Raw Store Exports'!C1238</f>
        <v>46036</v>
      </c>
      <c r="C1238" s="0" t="str">
        <f aca="false">INDEX('Store Mapping'!$C$2:$C$19,MATCH(TRIM('Raw Store Exports'!B1238),'Store Mapping'!$A$2:$A$19,0))</f>
        <v>Northpark</v>
      </c>
      <c r="D1238" s="0" t="str">
        <f aca="false">'Raw Store Exports'!D1238</f>
        <v>APP-104</v>
      </c>
      <c r="E1238" s="0" t="str">
        <f aca="false">INDEX('Product Master'!$B$2:$B$21,MATCH(D1238,'Product Master'!$A$2:$A$21,0))</f>
        <v>Slim Fit Chinos</v>
      </c>
      <c r="F1238" s="0" t="str">
        <f aca="false">INDEX('Product Master'!$C$2:$C$21,MATCH(D1238,'Product Master'!$A$2:$A$21,0))</f>
        <v>Apparel</v>
      </c>
      <c r="G1238" s="15" t="n">
        <f aca="false">VALUE(TRIM('Raw Store Exports'!E1238&amp;""))</f>
        <v>5</v>
      </c>
      <c r="H1238" s="18" t="n">
        <f aca="false">INDEX('Product Master'!$D$2:$D$21,MATCH(D1238,'Product Master'!$A$2:$A$21,0))</f>
        <v>52</v>
      </c>
      <c r="I1238" s="14" t="n">
        <f aca="false">G1238*H1238</f>
        <v>260</v>
      </c>
      <c r="J1238" s="0" t="str">
        <f aca="false">IF(COUNTIF($A$2:A1238,A1238)&gt;1,"Duplicate","")</f>
        <v/>
      </c>
    </row>
    <row r="1239" customFormat="false" ht="15" hidden="false" customHeight="false" outlineLevel="0" collapsed="false">
      <c r="A1239" s="0" t="str">
        <f aca="false">'Raw Store Exports'!A1239</f>
        <v>TXN01163</v>
      </c>
      <c r="B1239" s="17" t="n">
        <f aca="false">'Raw Store Exports'!C1239</f>
        <v>46080</v>
      </c>
      <c r="C1239" s="0" t="str">
        <f aca="false">INDEX('Store Mapping'!$C$2:$C$19,MATCH(TRIM('Raw Store Exports'!B1239),'Store Mapping'!$A$2:$A$19,0))</f>
        <v>Riverside</v>
      </c>
      <c r="D1239" s="0" t="str">
        <f aca="false">'Raw Store Exports'!D1239</f>
        <v>HOM-503</v>
      </c>
      <c r="E1239" s="0" t="str">
        <f aca="false">INDEX('Product Master'!$B$2:$B$21,MATCH(D1239,'Product Master'!$A$2:$A$21,0))</f>
        <v>Cotton Throw Blanket</v>
      </c>
      <c r="F1239" s="0" t="str">
        <f aca="false">INDEX('Product Master'!$C$2:$C$21,MATCH(D1239,'Product Master'!$A$2:$A$21,0))</f>
        <v>Home Goods</v>
      </c>
      <c r="G1239" s="15" t="n">
        <f aca="false">VALUE(TRIM('Raw Store Exports'!E1239&amp;""))</f>
        <v>5</v>
      </c>
      <c r="H1239" s="18" t="n">
        <f aca="false">INDEX('Product Master'!$D$2:$D$21,MATCH(D1239,'Product Master'!$A$2:$A$21,0))</f>
        <v>38</v>
      </c>
      <c r="I1239" s="14" t="n">
        <f aca="false">G1239*H1239</f>
        <v>190</v>
      </c>
      <c r="J1239" s="0" t="str">
        <f aca="false">IF(COUNTIF($A$2:A1239,A1239)&gt;1,"Duplicate","")</f>
        <v/>
      </c>
    </row>
    <row r="1240" customFormat="false" ht="15" hidden="false" customHeight="false" outlineLevel="0" collapsed="false">
      <c r="A1240" s="0" t="str">
        <f aca="false">'Raw Store Exports'!A1240</f>
        <v>TXN00306</v>
      </c>
      <c r="B1240" s="17" t="n">
        <f aca="false">'Raw Store Exports'!C1240</f>
        <v>46041</v>
      </c>
      <c r="C1240" s="0" t="str">
        <f aca="false">INDEX('Store Mapping'!$C$2:$C$19,MATCH(TRIM('Raw Store Exports'!B1240),'Store Mapping'!$A$2:$A$19,0))</f>
        <v>Westside Mall</v>
      </c>
      <c r="D1240" s="0" t="str">
        <f aca="false">'Raw Store Exports'!D1240</f>
        <v>ELE-401</v>
      </c>
      <c r="E1240" s="0" t="str">
        <f aca="false">INDEX('Product Master'!$B$2:$B$21,MATCH(D1240,'Product Master'!$A$2:$A$21,0))</f>
        <v>Wireless Earbuds</v>
      </c>
      <c r="F1240" s="0" t="str">
        <f aca="false">INDEX('Product Master'!$C$2:$C$21,MATCH(D1240,'Product Master'!$A$2:$A$21,0))</f>
        <v>Electronics</v>
      </c>
      <c r="G1240" s="15" t="n">
        <f aca="false">VALUE(TRIM('Raw Store Exports'!E1240&amp;""))</f>
        <v>6</v>
      </c>
      <c r="H1240" s="18" t="n">
        <f aca="false">INDEX('Product Master'!$D$2:$D$21,MATCH(D1240,'Product Master'!$A$2:$A$21,0))</f>
        <v>79</v>
      </c>
      <c r="I1240" s="14" t="n">
        <f aca="false">G1240*H1240</f>
        <v>474</v>
      </c>
      <c r="J1240" s="0" t="str">
        <f aca="false">IF(COUNTIF($A$2:A1240,A1240)&gt;1,"Duplicate","")</f>
        <v>Duplicate</v>
      </c>
    </row>
    <row r="1241" customFormat="false" ht="15" hidden="false" customHeight="false" outlineLevel="0" collapsed="false">
      <c r="A1241" s="0" t="str">
        <f aca="false">'Raw Store Exports'!A1241</f>
        <v>TXN00941</v>
      </c>
      <c r="B1241" s="17" t="n">
        <f aca="false">'Raw Store Exports'!C1241</f>
        <v>46070</v>
      </c>
      <c r="C1241" s="0" t="str">
        <f aca="false">INDEX('Store Mapping'!$C$2:$C$19,MATCH(TRIM('Raw Store Exports'!B1241),'Store Mapping'!$A$2:$A$19,0))</f>
        <v>Westside Mall</v>
      </c>
      <c r="D1241" s="0" t="str">
        <f aca="false">'Raw Store Exports'!D1241</f>
        <v>ELE-401</v>
      </c>
      <c r="E1241" s="0" t="str">
        <f aca="false">INDEX('Product Master'!$B$2:$B$21,MATCH(D1241,'Product Master'!$A$2:$A$21,0))</f>
        <v>Wireless Earbuds</v>
      </c>
      <c r="F1241" s="0" t="str">
        <f aca="false">INDEX('Product Master'!$C$2:$C$21,MATCH(D1241,'Product Master'!$A$2:$A$21,0))</f>
        <v>Electronics</v>
      </c>
      <c r="G1241" s="15" t="n">
        <f aca="false">VALUE(TRIM('Raw Store Exports'!E1241&amp;""))</f>
        <v>2</v>
      </c>
      <c r="H1241" s="18" t="n">
        <f aca="false">INDEX('Product Master'!$D$2:$D$21,MATCH(D1241,'Product Master'!$A$2:$A$21,0))</f>
        <v>79</v>
      </c>
      <c r="I1241" s="14" t="n">
        <f aca="false">G1241*H1241</f>
        <v>158</v>
      </c>
      <c r="J1241" s="0" t="str">
        <f aca="false">IF(COUNTIF($A$2:A1241,A1241)&gt;1,"Duplicate","")</f>
        <v/>
      </c>
    </row>
    <row r="1242" customFormat="false" ht="15" hidden="false" customHeight="false" outlineLevel="0" collapsed="false">
      <c r="A1242" s="0" t="str">
        <f aca="false">'Raw Store Exports'!A1242</f>
        <v>TXN00090</v>
      </c>
      <c r="B1242" s="17" t="n">
        <f aca="false">'Raw Store Exports'!C1242</f>
        <v>46031</v>
      </c>
      <c r="C1242" s="0" t="str">
        <f aca="false">INDEX('Store Mapping'!$C$2:$C$19,MATCH(TRIM('Raw Store Exports'!B1242),'Store Mapping'!$A$2:$A$19,0))</f>
        <v>Northpark</v>
      </c>
      <c r="D1242" s="0" t="str">
        <f aca="false">'Raw Store Exports'!D1242</f>
        <v>APP-103</v>
      </c>
      <c r="E1242" s="0" t="str">
        <f aca="false">INDEX('Product Master'!$B$2:$B$21,MATCH(D1242,'Product Master'!$A$2:$A$21,0))</f>
        <v>Fleece Pullover Hoodie</v>
      </c>
      <c r="F1242" s="0" t="str">
        <f aca="false">INDEX('Product Master'!$C$2:$C$21,MATCH(D1242,'Product Master'!$A$2:$A$21,0))</f>
        <v>Apparel</v>
      </c>
      <c r="G1242" s="15" t="n">
        <f aca="false">VALUE(TRIM('Raw Store Exports'!E1242&amp;""))</f>
        <v>2</v>
      </c>
      <c r="H1242" s="18" t="n">
        <f aca="false">INDEX('Product Master'!$D$2:$D$21,MATCH(D1242,'Product Master'!$A$2:$A$21,0))</f>
        <v>45</v>
      </c>
      <c r="I1242" s="14" t="n">
        <f aca="false">G1242*H1242</f>
        <v>90</v>
      </c>
      <c r="J1242" s="0" t="str">
        <f aca="false">IF(COUNTIF($A$2:A1242,A1242)&gt;1,"Duplicate","")</f>
        <v/>
      </c>
    </row>
    <row r="1244" customFormat="false" ht="15" hidden="false" customHeight="false" outlineLevel="0" collapsed="false">
      <c r="H1244" s="13" t="s">
        <v>51</v>
      </c>
      <c r="I1244" s="19" t="n">
        <f aca="false">SUMIFS(I2:I1242,J2:J1242,"")</f>
        <v>188741</v>
      </c>
    </row>
    <row r="1245" customFormat="false" ht="15" hidden="false" customHeight="false" outlineLevel="0" collapsed="false">
      <c r="H1245" s="13" t="s">
        <v>52</v>
      </c>
      <c r="I1245" s="13" t="n">
        <f aca="false">COUNTIF(J2:J1242,"Duplicate")</f>
        <v>47</v>
      </c>
    </row>
    <row r="1246" customFormat="false" ht="15" hidden="false" customHeight="false" outlineLevel="0" collapsed="false">
      <c r="H1246" s="13" t="s">
        <v>53</v>
      </c>
      <c r="I1246" s="13" t="n">
        <f aca="false">COUNTIF(J2:J1242,"")</f>
        <v>1194</v>
      </c>
    </row>
  </sheetData>
  <conditionalFormatting sqref="J2:J1242">
    <cfRule type="cellIs" priority="2" operator="equal" aboveAverage="0" equalAverage="0" bottom="0" percent="0" rank="0" text="" dxfId="0">
      <formula>"Duplicate"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6" t="s">
        <v>44</v>
      </c>
      <c r="B1" s="16" t="s">
        <v>54</v>
      </c>
      <c r="C1" s="16" t="s">
        <v>45</v>
      </c>
      <c r="D1" s="16" t="s">
        <v>46</v>
      </c>
      <c r="E1" s="16" t="s">
        <v>55</v>
      </c>
    </row>
    <row r="2" customFormat="false" ht="15" hidden="false" customHeight="false" outlineLevel="0" collapsed="false">
      <c r="A2" s="0" t="s">
        <v>56</v>
      </c>
      <c r="B2" s="0" t="s">
        <v>57</v>
      </c>
      <c r="C2" s="17" t="n">
        <v>46079</v>
      </c>
      <c r="D2" s="15" t="s">
        <v>58</v>
      </c>
      <c r="E2" s="15" t="s">
        <v>59</v>
      </c>
    </row>
    <row r="3" customFormat="false" ht="15" hidden="false" customHeight="false" outlineLevel="0" collapsed="false">
      <c r="A3" s="0" t="s">
        <v>60</v>
      </c>
      <c r="B3" s="0" t="s">
        <v>41</v>
      </c>
      <c r="C3" s="17" t="n">
        <v>46032</v>
      </c>
      <c r="D3" s="15" t="s">
        <v>61</v>
      </c>
      <c r="E3" s="15" t="s">
        <v>62</v>
      </c>
    </row>
    <row r="4" customFormat="false" ht="15" hidden="false" customHeight="false" outlineLevel="0" collapsed="false">
      <c r="A4" s="0" t="s">
        <v>63</v>
      </c>
      <c r="B4" s="0" t="s">
        <v>33</v>
      </c>
      <c r="C4" s="17" t="n">
        <v>46048</v>
      </c>
      <c r="D4" s="15" t="s">
        <v>64</v>
      </c>
      <c r="E4" s="15" t="s">
        <v>65</v>
      </c>
    </row>
    <row r="5" customFormat="false" ht="15" hidden="false" customHeight="false" outlineLevel="0" collapsed="false">
      <c r="A5" s="0" t="s">
        <v>66</v>
      </c>
      <c r="B5" s="0" t="s">
        <v>67</v>
      </c>
      <c r="C5" s="17" t="n">
        <v>46043</v>
      </c>
      <c r="D5" s="15" t="s">
        <v>68</v>
      </c>
      <c r="E5" s="15" t="s">
        <v>69</v>
      </c>
    </row>
    <row r="6" customFormat="false" ht="15" hidden="false" customHeight="false" outlineLevel="0" collapsed="false">
      <c r="A6" s="0" t="s">
        <v>70</v>
      </c>
      <c r="B6" s="0" t="s">
        <v>71</v>
      </c>
      <c r="C6" s="17" t="n">
        <v>46075</v>
      </c>
      <c r="D6" s="15" t="s">
        <v>72</v>
      </c>
      <c r="E6" s="15" t="s">
        <v>62</v>
      </c>
    </row>
    <row r="7" customFormat="false" ht="15" hidden="false" customHeight="false" outlineLevel="0" collapsed="false">
      <c r="A7" s="0" t="s">
        <v>73</v>
      </c>
      <c r="B7" s="0" t="s">
        <v>43</v>
      </c>
      <c r="C7" s="17" t="n">
        <v>46055</v>
      </c>
      <c r="D7" s="15" t="s">
        <v>74</v>
      </c>
      <c r="E7" s="15" t="s">
        <v>75</v>
      </c>
    </row>
    <row r="8" customFormat="false" ht="15" hidden="false" customHeight="false" outlineLevel="0" collapsed="false">
      <c r="A8" s="0" t="s">
        <v>76</v>
      </c>
      <c r="B8" s="0" t="s">
        <v>77</v>
      </c>
      <c r="C8" s="17" t="n">
        <v>46073</v>
      </c>
      <c r="D8" s="15" t="s">
        <v>72</v>
      </c>
      <c r="E8" s="15" t="s">
        <v>69</v>
      </c>
    </row>
    <row r="9" customFormat="false" ht="15" hidden="false" customHeight="false" outlineLevel="0" collapsed="false">
      <c r="A9" s="0" t="s">
        <v>78</v>
      </c>
      <c r="B9" s="0" t="s">
        <v>57</v>
      </c>
      <c r="C9" s="17" t="n">
        <v>46049</v>
      </c>
      <c r="D9" s="15" t="s">
        <v>79</v>
      </c>
      <c r="E9" s="15" t="s">
        <v>75</v>
      </c>
    </row>
    <row r="10" customFormat="false" ht="15" hidden="false" customHeight="false" outlineLevel="0" collapsed="false">
      <c r="A10" s="0" t="s">
        <v>80</v>
      </c>
      <c r="B10" s="0" t="s">
        <v>41</v>
      </c>
      <c r="C10" s="17" t="n">
        <v>46069</v>
      </c>
      <c r="D10" s="15" t="s">
        <v>81</v>
      </c>
      <c r="E10" s="15" t="s">
        <v>69</v>
      </c>
    </row>
    <row r="11" customFormat="false" ht="15" hidden="false" customHeight="false" outlineLevel="0" collapsed="false">
      <c r="A11" s="0" t="s">
        <v>82</v>
      </c>
      <c r="B11" s="0" t="s">
        <v>83</v>
      </c>
      <c r="C11" s="17" t="n">
        <v>46056</v>
      </c>
      <c r="D11" s="15" t="s">
        <v>84</v>
      </c>
      <c r="E11" s="15" t="s">
        <v>85</v>
      </c>
    </row>
    <row r="12" customFormat="false" ht="15" hidden="false" customHeight="false" outlineLevel="0" collapsed="false">
      <c r="A12" s="0" t="s">
        <v>86</v>
      </c>
      <c r="B12" s="0" t="s">
        <v>83</v>
      </c>
      <c r="C12" s="17" t="n">
        <v>46043</v>
      </c>
      <c r="D12" s="15" t="s">
        <v>81</v>
      </c>
      <c r="E12" s="15" t="s">
        <v>59</v>
      </c>
    </row>
    <row r="13" customFormat="false" ht="15" hidden="false" customHeight="false" outlineLevel="0" collapsed="false">
      <c r="A13" s="0" t="s">
        <v>87</v>
      </c>
      <c r="B13" s="0" t="s">
        <v>71</v>
      </c>
      <c r="C13" s="17" t="n">
        <v>46064</v>
      </c>
      <c r="D13" s="15" t="s">
        <v>88</v>
      </c>
      <c r="E13" s="15" t="s">
        <v>62</v>
      </c>
    </row>
    <row r="14" customFormat="false" ht="15" hidden="false" customHeight="false" outlineLevel="0" collapsed="false">
      <c r="A14" s="0" t="s">
        <v>89</v>
      </c>
      <c r="B14" s="0" t="s">
        <v>33</v>
      </c>
      <c r="C14" s="17" t="n">
        <v>46061</v>
      </c>
      <c r="D14" s="15" t="s">
        <v>90</v>
      </c>
      <c r="E14" s="15" t="s">
        <v>75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17" t="n">
        <v>46080</v>
      </c>
      <c r="D15" s="15" t="s">
        <v>93</v>
      </c>
      <c r="E15" s="15" t="s">
        <v>85</v>
      </c>
    </row>
    <row r="16" customFormat="false" ht="15" hidden="false" customHeight="false" outlineLevel="0" collapsed="false">
      <c r="A16" s="0" t="s">
        <v>94</v>
      </c>
      <c r="B16" s="0" t="s">
        <v>95</v>
      </c>
      <c r="C16" s="17" t="n">
        <v>46040</v>
      </c>
      <c r="D16" s="15" t="s">
        <v>96</v>
      </c>
      <c r="E16" s="15" t="s">
        <v>97</v>
      </c>
    </row>
    <row r="17" customFormat="false" ht="15" hidden="false" customHeight="false" outlineLevel="0" collapsed="false">
      <c r="A17" s="0" t="s">
        <v>98</v>
      </c>
      <c r="B17" s="0" t="s">
        <v>99</v>
      </c>
      <c r="C17" s="17" t="n">
        <v>46069</v>
      </c>
      <c r="D17" s="15" t="s">
        <v>58</v>
      </c>
      <c r="E17" s="15" t="s">
        <v>59</v>
      </c>
    </row>
    <row r="18" customFormat="false" ht="15" hidden="false" customHeight="false" outlineLevel="0" collapsed="false">
      <c r="A18" s="0" t="s">
        <v>100</v>
      </c>
      <c r="B18" s="0" t="s">
        <v>33</v>
      </c>
      <c r="C18" s="17" t="n">
        <v>46036</v>
      </c>
      <c r="D18" s="15" t="s">
        <v>101</v>
      </c>
      <c r="E18" s="15" t="s">
        <v>85</v>
      </c>
    </row>
    <row r="19" customFormat="false" ht="15" hidden="false" customHeight="false" outlineLevel="0" collapsed="false">
      <c r="A19" s="0" t="s">
        <v>102</v>
      </c>
      <c r="B19" s="0" t="s">
        <v>103</v>
      </c>
      <c r="C19" s="17" t="n">
        <v>46039</v>
      </c>
      <c r="D19" s="15" t="s">
        <v>104</v>
      </c>
      <c r="E19" s="15" t="s">
        <v>105</v>
      </c>
    </row>
    <row r="20" customFormat="false" ht="15" hidden="false" customHeight="false" outlineLevel="0" collapsed="false">
      <c r="A20" s="0" t="s">
        <v>106</v>
      </c>
      <c r="B20" s="0" t="s">
        <v>41</v>
      </c>
      <c r="C20" s="17" t="n">
        <v>46069</v>
      </c>
      <c r="D20" s="15" t="s">
        <v>107</v>
      </c>
      <c r="E20" s="15" t="s">
        <v>85</v>
      </c>
    </row>
    <row r="21" customFormat="false" ht="15" hidden="false" customHeight="false" outlineLevel="0" collapsed="false">
      <c r="A21" s="0" t="s">
        <v>108</v>
      </c>
      <c r="B21" s="0" t="s">
        <v>57</v>
      </c>
      <c r="C21" s="17" t="n">
        <v>46066</v>
      </c>
      <c r="D21" s="15" t="s">
        <v>68</v>
      </c>
      <c r="E21" s="15" t="s">
        <v>109</v>
      </c>
    </row>
    <row r="22" customFormat="false" ht="15" hidden="false" customHeight="false" outlineLevel="0" collapsed="false">
      <c r="A22" s="0" t="s">
        <v>110</v>
      </c>
      <c r="B22" s="0" t="s">
        <v>92</v>
      </c>
      <c r="C22" s="17" t="n">
        <v>46057</v>
      </c>
      <c r="D22" s="15" t="s">
        <v>64</v>
      </c>
      <c r="E22" s="15" t="s">
        <v>59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17" t="n">
        <v>46040</v>
      </c>
      <c r="D23" s="15" t="s">
        <v>96</v>
      </c>
      <c r="E23" s="15" t="s">
        <v>65</v>
      </c>
    </row>
    <row r="24" customFormat="false" ht="15" hidden="false" customHeight="false" outlineLevel="0" collapsed="false">
      <c r="A24" s="0" t="s">
        <v>113</v>
      </c>
      <c r="B24" s="0" t="s">
        <v>92</v>
      </c>
      <c r="C24" s="17" t="n">
        <v>46027</v>
      </c>
      <c r="D24" s="15" t="s">
        <v>64</v>
      </c>
      <c r="E24" s="15" t="s">
        <v>65</v>
      </c>
    </row>
    <row r="25" customFormat="false" ht="15" hidden="false" customHeight="false" outlineLevel="0" collapsed="false">
      <c r="A25" s="0" t="s">
        <v>114</v>
      </c>
      <c r="B25" s="0" t="s">
        <v>103</v>
      </c>
      <c r="C25" s="17" t="n">
        <v>46064</v>
      </c>
      <c r="D25" s="15" t="s">
        <v>84</v>
      </c>
      <c r="E25" s="15" t="s">
        <v>97</v>
      </c>
    </row>
    <row r="26" customFormat="false" ht="15" hidden="false" customHeight="false" outlineLevel="0" collapsed="false">
      <c r="A26" s="0" t="s">
        <v>115</v>
      </c>
      <c r="B26" s="0" t="s">
        <v>116</v>
      </c>
      <c r="C26" s="17" t="n">
        <v>46044</v>
      </c>
      <c r="D26" s="15" t="s">
        <v>107</v>
      </c>
      <c r="E26" s="15" t="s">
        <v>65</v>
      </c>
    </row>
    <row r="27" customFormat="false" ht="15" hidden="false" customHeight="false" outlineLevel="0" collapsed="false">
      <c r="A27" s="0" t="s">
        <v>117</v>
      </c>
      <c r="B27" s="0" t="s">
        <v>41</v>
      </c>
      <c r="C27" s="17" t="n">
        <v>46028</v>
      </c>
      <c r="D27" s="15" t="s">
        <v>90</v>
      </c>
      <c r="E27" s="15" t="s">
        <v>59</v>
      </c>
    </row>
    <row r="28" customFormat="false" ht="15" hidden="false" customHeight="false" outlineLevel="0" collapsed="false">
      <c r="A28" s="0" t="s">
        <v>118</v>
      </c>
      <c r="B28" s="0" t="s">
        <v>33</v>
      </c>
      <c r="C28" s="17" t="n">
        <v>46078</v>
      </c>
      <c r="D28" s="15" t="s">
        <v>88</v>
      </c>
      <c r="E28" s="15" t="s">
        <v>62</v>
      </c>
    </row>
    <row r="29" customFormat="false" ht="15" hidden="false" customHeight="false" outlineLevel="0" collapsed="false">
      <c r="A29" s="0" t="s">
        <v>119</v>
      </c>
      <c r="B29" s="0" t="s">
        <v>35</v>
      </c>
      <c r="C29" s="17" t="n">
        <v>46069</v>
      </c>
      <c r="D29" s="15" t="s">
        <v>90</v>
      </c>
      <c r="E29" s="15" t="s">
        <v>85</v>
      </c>
    </row>
    <row r="30" customFormat="false" ht="15" hidden="false" customHeight="false" outlineLevel="0" collapsed="false">
      <c r="A30" s="0" t="s">
        <v>120</v>
      </c>
      <c r="B30" s="0" t="s">
        <v>57</v>
      </c>
      <c r="C30" s="17" t="n">
        <v>46029</v>
      </c>
      <c r="D30" s="15" t="s">
        <v>90</v>
      </c>
      <c r="E30" s="15" t="s">
        <v>65</v>
      </c>
    </row>
    <row r="31" customFormat="false" ht="15" hidden="false" customHeight="false" outlineLevel="0" collapsed="false">
      <c r="A31" s="0" t="s">
        <v>121</v>
      </c>
      <c r="B31" s="0" t="s">
        <v>37</v>
      </c>
      <c r="C31" s="17" t="n">
        <v>46034</v>
      </c>
      <c r="D31" s="15" t="s">
        <v>88</v>
      </c>
      <c r="E31" s="15" t="s">
        <v>59</v>
      </c>
    </row>
    <row r="32" customFormat="false" ht="15" hidden="false" customHeight="false" outlineLevel="0" collapsed="false">
      <c r="A32" s="0" t="s">
        <v>122</v>
      </c>
      <c r="B32" s="0" t="s">
        <v>37</v>
      </c>
      <c r="C32" s="17" t="n">
        <v>46081</v>
      </c>
      <c r="D32" s="15" t="s">
        <v>61</v>
      </c>
      <c r="E32" s="15" t="s">
        <v>105</v>
      </c>
    </row>
    <row r="33" customFormat="false" ht="15" hidden="false" customHeight="false" outlineLevel="0" collapsed="false">
      <c r="A33" s="0" t="s">
        <v>123</v>
      </c>
      <c r="B33" s="0" t="s">
        <v>124</v>
      </c>
      <c r="C33" s="17" t="n">
        <v>46040</v>
      </c>
      <c r="D33" s="15" t="s">
        <v>68</v>
      </c>
      <c r="E33" s="15" t="s">
        <v>69</v>
      </c>
    </row>
    <row r="34" customFormat="false" ht="15" hidden="false" customHeight="false" outlineLevel="0" collapsed="false">
      <c r="A34" s="0" t="s">
        <v>125</v>
      </c>
      <c r="B34" s="0" t="s">
        <v>43</v>
      </c>
      <c r="C34" s="17" t="n">
        <v>46079</v>
      </c>
      <c r="D34" s="15" t="s">
        <v>126</v>
      </c>
      <c r="E34" s="15" t="s">
        <v>69</v>
      </c>
    </row>
    <row r="35" customFormat="false" ht="15" hidden="false" customHeight="false" outlineLevel="0" collapsed="false">
      <c r="A35" s="0" t="s">
        <v>127</v>
      </c>
      <c r="B35" s="0" t="s">
        <v>67</v>
      </c>
      <c r="C35" s="17" t="n">
        <v>46063</v>
      </c>
      <c r="D35" s="15" t="s">
        <v>128</v>
      </c>
      <c r="E35" s="15" t="s">
        <v>62</v>
      </c>
    </row>
    <row r="36" customFormat="false" ht="15" hidden="false" customHeight="false" outlineLevel="0" collapsed="false">
      <c r="A36" s="0" t="s">
        <v>129</v>
      </c>
      <c r="B36" s="0" t="s">
        <v>99</v>
      </c>
      <c r="C36" s="17" t="n">
        <v>46027</v>
      </c>
      <c r="D36" s="15" t="s">
        <v>104</v>
      </c>
      <c r="E36" s="15" t="s">
        <v>59</v>
      </c>
    </row>
    <row r="37" customFormat="false" ht="15" hidden="false" customHeight="false" outlineLevel="0" collapsed="false">
      <c r="A37" s="0" t="s">
        <v>130</v>
      </c>
      <c r="B37" s="0" t="s">
        <v>103</v>
      </c>
      <c r="C37" s="17" t="n">
        <v>46048</v>
      </c>
      <c r="D37" s="15" t="s">
        <v>72</v>
      </c>
      <c r="E37" s="15" t="s">
        <v>65</v>
      </c>
    </row>
    <row r="38" customFormat="false" ht="15" hidden="false" customHeight="false" outlineLevel="0" collapsed="false">
      <c r="A38" s="0" t="s">
        <v>131</v>
      </c>
      <c r="B38" s="0" t="s">
        <v>116</v>
      </c>
      <c r="C38" s="17" t="n">
        <v>46047</v>
      </c>
      <c r="D38" s="15" t="s">
        <v>68</v>
      </c>
      <c r="E38" s="15" t="s">
        <v>69</v>
      </c>
    </row>
    <row r="39" customFormat="false" ht="15" hidden="false" customHeight="false" outlineLevel="0" collapsed="false">
      <c r="A39" s="0" t="s">
        <v>132</v>
      </c>
      <c r="B39" s="0" t="s">
        <v>67</v>
      </c>
      <c r="C39" s="17" t="n">
        <v>46081</v>
      </c>
      <c r="D39" s="15" t="s">
        <v>84</v>
      </c>
      <c r="E39" s="15" t="s">
        <v>97</v>
      </c>
    </row>
    <row r="40" customFormat="false" ht="15" hidden="false" customHeight="false" outlineLevel="0" collapsed="false">
      <c r="A40" s="0" t="s">
        <v>133</v>
      </c>
      <c r="B40" s="0" t="s">
        <v>35</v>
      </c>
      <c r="C40" s="17" t="n">
        <v>46054</v>
      </c>
      <c r="D40" s="15" t="s">
        <v>68</v>
      </c>
      <c r="E40" s="15" t="s">
        <v>62</v>
      </c>
    </row>
    <row r="41" customFormat="false" ht="15" hidden="false" customHeight="false" outlineLevel="0" collapsed="false">
      <c r="A41" s="0" t="s">
        <v>134</v>
      </c>
      <c r="B41" s="0" t="s">
        <v>37</v>
      </c>
      <c r="C41" s="17" t="n">
        <v>46053</v>
      </c>
      <c r="D41" s="15" t="s">
        <v>135</v>
      </c>
      <c r="E41" s="15" t="s">
        <v>75</v>
      </c>
    </row>
    <row r="42" customFormat="false" ht="15" hidden="false" customHeight="false" outlineLevel="0" collapsed="false">
      <c r="A42" s="0" t="s">
        <v>136</v>
      </c>
      <c r="B42" s="0" t="s">
        <v>39</v>
      </c>
      <c r="C42" s="17" t="n">
        <v>46080</v>
      </c>
      <c r="D42" s="15" t="s">
        <v>74</v>
      </c>
      <c r="E42" s="15" t="s">
        <v>65</v>
      </c>
    </row>
    <row r="43" customFormat="false" ht="15" hidden="false" customHeight="false" outlineLevel="0" collapsed="false">
      <c r="A43" s="0" t="s">
        <v>137</v>
      </c>
      <c r="B43" s="0" t="s">
        <v>112</v>
      </c>
      <c r="C43" s="17" t="n">
        <v>46049</v>
      </c>
      <c r="D43" s="15" t="s">
        <v>128</v>
      </c>
      <c r="E43" s="15" t="s">
        <v>85</v>
      </c>
    </row>
    <row r="44" customFormat="false" ht="15" hidden="false" customHeight="false" outlineLevel="0" collapsed="false">
      <c r="A44" s="0" t="s">
        <v>138</v>
      </c>
      <c r="B44" s="0" t="s">
        <v>39</v>
      </c>
      <c r="C44" s="17" t="n">
        <v>46044</v>
      </c>
      <c r="D44" s="15" t="s">
        <v>64</v>
      </c>
      <c r="E44" s="15" t="s">
        <v>85</v>
      </c>
    </row>
    <row r="45" customFormat="false" ht="15" hidden="false" customHeight="false" outlineLevel="0" collapsed="false">
      <c r="A45" s="0" t="s">
        <v>139</v>
      </c>
      <c r="B45" s="0" t="s">
        <v>35</v>
      </c>
      <c r="C45" s="17" t="n">
        <v>46056</v>
      </c>
      <c r="D45" s="15" t="s">
        <v>104</v>
      </c>
      <c r="E45" s="15" t="s">
        <v>85</v>
      </c>
    </row>
    <row r="46" customFormat="false" ht="15" hidden="false" customHeight="false" outlineLevel="0" collapsed="false">
      <c r="A46" s="0" t="s">
        <v>140</v>
      </c>
      <c r="B46" s="0" t="s">
        <v>67</v>
      </c>
      <c r="C46" s="17" t="n">
        <v>46031</v>
      </c>
      <c r="D46" s="15" t="s">
        <v>88</v>
      </c>
      <c r="E46" s="15" t="s">
        <v>69</v>
      </c>
    </row>
    <row r="47" customFormat="false" ht="15" hidden="false" customHeight="false" outlineLevel="0" collapsed="false">
      <c r="A47" s="0" t="s">
        <v>141</v>
      </c>
      <c r="B47" s="0" t="s">
        <v>37</v>
      </c>
      <c r="C47" s="17" t="n">
        <v>46064</v>
      </c>
      <c r="D47" s="15" t="s">
        <v>72</v>
      </c>
      <c r="E47" s="15" t="s">
        <v>65</v>
      </c>
    </row>
    <row r="48" customFormat="false" ht="15" hidden="false" customHeight="false" outlineLevel="0" collapsed="false">
      <c r="A48" s="0" t="s">
        <v>142</v>
      </c>
      <c r="B48" s="0" t="s">
        <v>39</v>
      </c>
      <c r="C48" s="17" t="n">
        <v>46082</v>
      </c>
      <c r="D48" s="15" t="s">
        <v>61</v>
      </c>
      <c r="E48" s="15" t="s">
        <v>97</v>
      </c>
    </row>
    <row r="49" customFormat="false" ht="15" hidden="false" customHeight="false" outlineLevel="0" collapsed="false">
      <c r="A49" s="0" t="s">
        <v>143</v>
      </c>
      <c r="B49" s="0" t="s">
        <v>39</v>
      </c>
      <c r="C49" s="17" t="n">
        <v>46028</v>
      </c>
      <c r="D49" s="15" t="s">
        <v>128</v>
      </c>
      <c r="E49" s="15" t="s">
        <v>85</v>
      </c>
    </row>
    <row r="50" customFormat="false" ht="15" hidden="false" customHeight="false" outlineLevel="0" collapsed="false">
      <c r="A50" s="0" t="s">
        <v>144</v>
      </c>
      <c r="B50" s="0" t="s">
        <v>57</v>
      </c>
      <c r="C50" s="17" t="n">
        <v>46037</v>
      </c>
      <c r="D50" s="15" t="s">
        <v>68</v>
      </c>
      <c r="E50" s="15" t="s">
        <v>69</v>
      </c>
    </row>
    <row r="51" customFormat="false" ht="15" hidden="false" customHeight="false" outlineLevel="0" collapsed="false">
      <c r="A51" s="0" t="s">
        <v>145</v>
      </c>
      <c r="B51" s="0" t="s">
        <v>37</v>
      </c>
      <c r="C51" s="17" t="n">
        <v>46051</v>
      </c>
      <c r="D51" s="15" t="s">
        <v>101</v>
      </c>
      <c r="E51" s="15" t="s">
        <v>85</v>
      </c>
    </row>
    <row r="52" customFormat="false" ht="15" hidden="false" customHeight="false" outlineLevel="0" collapsed="false">
      <c r="A52" s="0" t="s">
        <v>146</v>
      </c>
      <c r="B52" s="0" t="s">
        <v>35</v>
      </c>
      <c r="C52" s="17" t="n">
        <v>46028</v>
      </c>
      <c r="D52" s="15" t="s">
        <v>90</v>
      </c>
      <c r="E52" s="15" t="s">
        <v>65</v>
      </c>
    </row>
    <row r="53" customFormat="false" ht="15" hidden="false" customHeight="false" outlineLevel="0" collapsed="false">
      <c r="A53" s="0" t="s">
        <v>147</v>
      </c>
      <c r="B53" s="0" t="s">
        <v>112</v>
      </c>
      <c r="C53" s="17" t="n">
        <v>46030</v>
      </c>
      <c r="D53" s="15" t="s">
        <v>74</v>
      </c>
      <c r="E53" s="15" t="s">
        <v>148</v>
      </c>
    </row>
    <row r="54" customFormat="false" ht="15" hidden="false" customHeight="false" outlineLevel="0" collapsed="false">
      <c r="A54" s="0" t="s">
        <v>149</v>
      </c>
      <c r="B54" s="0" t="s">
        <v>124</v>
      </c>
      <c r="C54" s="17" t="n">
        <v>46079</v>
      </c>
      <c r="D54" s="15" t="s">
        <v>96</v>
      </c>
      <c r="E54" s="15" t="s">
        <v>69</v>
      </c>
    </row>
    <row r="55" customFormat="false" ht="15" hidden="false" customHeight="false" outlineLevel="0" collapsed="false">
      <c r="A55" s="0" t="s">
        <v>150</v>
      </c>
      <c r="B55" s="0" t="s">
        <v>99</v>
      </c>
      <c r="C55" s="17" t="n">
        <v>46034</v>
      </c>
      <c r="D55" s="15" t="s">
        <v>81</v>
      </c>
      <c r="E55" s="15" t="s">
        <v>151</v>
      </c>
    </row>
    <row r="56" customFormat="false" ht="15" hidden="false" customHeight="false" outlineLevel="0" collapsed="false">
      <c r="A56" s="0" t="s">
        <v>152</v>
      </c>
      <c r="B56" s="0" t="s">
        <v>67</v>
      </c>
      <c r="C56" s="17" t="n">
        <v>46049</v>
      </c>
      <c r="D56" s="15" t="s">
        <v>153</v>
      </c>
      <c r="E56" s="15" t="s">
        <v>97</v>
      </c>
    </row>
    <row r="57" customFormat="false" ht="15" hidden="false" customHeight="false" outlineLevel="0" collapsed="false">
      <c r="A57" s="0" t="s">
        <v>154</v>
      </c>
      <c r="B57" s="0" t="s">
        <v>43</v>
      </c>
      <c r="C57" s="17" t="n">
        <v>46074</v>
      </c>
      <c r="D57" s="15" t="s">
        <v>84</v>
      </c>
      <c r="E57" s="15" t="s">
        <v>65</v>
      </c>
    </row>
    <row r="58" customFormat="false" ht="15" hidden="false" customHeight="false" outlineLevel="0" collapsed="false">
      <c r="A58" s="0" t="s">
        <v>155</v>
      </c>
      <c r="B58" s="0" t="s">
        <v>37</v>
      </c>
      <c r="C58" s="17" t="n">
        <v>46081</v>
      </c>
      <c r="D58" s="15" t="s">
        <v>128</v>
      </c>
      <c r="E58" s="15" t="s">
        <v>85</v>
      </c>
    </row>
    <row r="59" customFormat="false" ht="15" hidden="false" customHeight="false" outlineLevel="0" collapsed="false">
      <c r="A59" s="0" t="s">
        <v>156</v>
      </c>
      <c r="B59" s="0" t="s">
        <v>41</v>
      </c>
      <c r="C59" s="17" t="n">
        <v>46063</v>
      </c>
      <c r="D59" s="15" t="s">
        <v>64</v>
      </c>
      <c r="E59" s="15" t="s">
        <v>151</v>
      </c>
    </row>
    <row r="60" customFormat="false" ht="15" hidden="false" customHeight="false" outlineLevel="0" collapsed="false">
      <c r="A60" s="0" t="s">
        <v>157</v>
      </c>
      <c r="B60" s="0" t="s">
        <v>83</v>
      </c>
      <c r="C60" s="17" t="n">
        <v>46074</v>
      </c>
      <c r="D60" s="15" t="s">
        <v>104</v>
      </c>
      <c r="E60" s="15" t="s">
        <v>65</v>
      </c>
    </row>
    <row r="61" customFormat="false" ht="15" hidden="false" customHeight="false" outlineLevel="0" collapsed="false">
      <c r="A61" s="0" t="s">
        <v>158</v>
      </c>
      <c r="B61" s="0" t="s">
        <v>71</v>
      </c>
      <c r="C61" s="17" t="n">
        <v>46038</v>
      </c>
      <c r="D61" s="15" t="s">
        <v>61</v>
      </c>
      <c r="E61" s="15" t="s">
        <v>69</v>
      </c>
    </row>
    <row r="62" customFormat="false" ht="15" hidden="false" customHeight="false" outlineLevel="0" collapsed="false">
      <c r="A62" s="0" t="s">
        <v>159</v>
      </c>
      <c r="B62" s="0" t="s">
        <v>43</v>
      </c>
      <c r="C62" s="17" t="n">
        <v>46071</v>
      </c>
      <c r="D62" s="15" t="s">
        <v>107</v>
      </c>
      <c r="E62" s="15" t="s">
        <v>97</v>
      </c>
    </row>
    <row r="63" customFormat="false" ht="15" hidden="false" customHeight="false" outlineLevel="0" collapsed="false">
      <c r="A63" s="0" t="s">
        <v>160</v>
      </c>
      <c r="B63" s="0" t="s">
        <v>103</v>
      </c>
      <c r="C63" s="17" t="n">
        <v>46059</v>
      </c>
      <c r="D63" s="15" t="s">
        <v>107</v>
      </c>
      <c r="E63" s="15" t="s">
        <v>69</v>
      </c>
    </row>
    <row r="64" customFormat="false" ht="15" hidden="false" customHeight="false" outlineLevel="0" collapsed="false">
      <c r="A64" s="0" t="s">
        <v>161</v>
      </c>
      <c r="B64" s="0" t="s">
        <v>57</v>
      </c>
      <c r="C64" s="17" t="n">
        <v>46062</v>
      </c>
      <c r="D64" s="15" t="s">
        <v>135</v>
      </c>
      <c r="E64" s="15" t="s">
        <v>85</v>
      </c>
    </row>
    <row r="65" customFormat="false" ht="15" hidden="false" customHeight="false" outlineLevel="0" collapsed="false">
      <c r="A65" s="0" t="s">
        <v>162</v>
      </c>
      <c r="B65" s="0" t="s">
        <v>39</v>
      </c>
      <c r="C65" s="17" t="n">
        <v>46080</v>
      </c>
      <c r="D65" s="15" t="s">
        <v>68</v>
      </c>
      <c r="E65" s="15" t="s">
        <v>109</v>
      </c>
    </row>
    <row r="66" customFormat="false" ht="15" hidden="false" customHeight="false" outlineLevel="0" collapsed="false">
      <c r="A66" s="0" t="s">
        <v>163</v>
      </c>
      <c r="B66" s="0" t="s">
        <v>39</v>
      </c>
      <c r="C66" s="17" t="n">
        <v>46040</v>
      </c>
      <c r="D66" s="15" t="s">
        <v>93</v>
      </c>
      <c r="E66" s="15" t="s">
        <v>65</v>
      </c>
    </row>
    <row r="67" customFormat="false" ht="15" hidden="false" customHeight="false" outlineLevel="0" collapsed="false">
      <c r="A67" s="0" t="s">
        <v>164</v>
      </c>
      <c r="B67" s="0" t="s">
        <v>41</v>
      </c>
      <c r="C67" s="17" t="n">
        <v>46077</v>
      </c>
      <c r="D67" s="15" t="s">
        <v>101</v>
      </c>
      <c r="E67" s="15" t="s">
        <v>69</v>
      </c>
    </row>
    <row r="68" customFormat="false" ht="15" hidden="false" customHeight="false" outlineLevel="0" collapsed="false">
      <c r="A68" s="0" t="s">
        <v>165</v>
      </c>
      <c r="B68" s="0" t="s">
        <v>124</v>
      </c>
      <c r="C68" s="17" t="n">
        <v>46032</v>
      </c>
      <c r="D68" s="15" t="s">
        <v>72</v>
      </c>
      <c r="E68" s="15" t="s">
        <v>97</v>
      </c>
    </row>
    <row r="69" customFormat="false" ht="15" hidden="false" customHeight="false" outlineLevel="0" collapsed="false">
      <c r="A69" s="0" t="s">
        <v>166</v>
      </c>
      <c r="B69" s="0" t="s">
        <v>92</v>
      </c>
      <c r="C69" s="17" t="n">
        <v>46030</v>
      </c>
      <c r="D69" s="15" t="s">
        <v>88</v>
      </c>
      <c r="E69" s="15" t="s">
        <v>85</v>
      </c>
    </row>
    <row r="70" customFormat="false" ht="15" hidden="false" customHeight="false" outlineLevel="0" collapsed="false">
      <c r="A70" s="0" t="s">
        <v>167</v>
      </c>
      <c r="B70" s="0" t="s">
        <v>83</v>
      </c>
      <c r="C70" s="17" t="n">
        <v>46060</v>
      </c>
      <c r="D70" s="15" t="s">
        <v>58</v>
      </c>
      <c r="E70" s="15" t="s">
        <v>62</v>
      </c>
    </row>
    <row r="71" customFormat="false" ht="15" hidden="false" customHeight="false" outlineLevel="0" collapsed="false">
      <c r="A71" s="0" t="s">
        <v>168</v>
      </c>
      <c r="B71" s="0" t="s">
        <v>57</v>
      </c>
      <c r="C71" s="17" t="n">
        <v>46068</v>
      </c>
      <c r="D71" s="15" t="s">
        <v>81</v>
      </c>
      <c r="E71" s="15" t="s">
        <v>62</v>
      </c>
    </row>
    <row r="72" customFormat="false" ht="15" hidden="false" customHeight="false" outlineLevel="0" collapsed="false">
      <c r="A72" s="0" t="s">
        <v>169</v>
      </c>
      <c r="B72" s="0" t="s">
        <v>57</v>
      </c>
      <c r="C72" s="17" t="n">
        <v>46041</v>
      </c>
      <c r="D72" s="15" t="s">
        <v>74</v>
      </c>
      <c r="E72" s="15" t="s">
        <v>59</v>
      </c>
    </row>
    <row r="73" customFormat="false" ht="15" hidden="false" customHeight="false" outlineLevel="0" collapsed="false">
      <c r="A73" s="0" t="s">
        <v>170</v>
      </c>
      <c r="B73" s="0" t="s">
        <v>92</v>
      </c>
      <c r="C73" s="17" t="n">
        <v>46072</v>
      </c>
      <c r="D73" s="15" t="s">
        <v>58</v>
      </c>
      <c r="E73" s="15" t="s">
        <v>85</v>
      </c>
    </row>
    <row r="74" customFormat="false" ht="15" hidden="false" customHeight="false" outlineLevel="0" collapsed="false">
      <c r="A74" s="0" t="s">
        <v>171</v>
      </c>
      <c r="B74" s="0" t="s">
        <v>92</v>
      </c>
      <c r="C74" s="17" t="n">
        <v>46072</v>
      </c>
      <c r="D74" s="15" t="s">
        <v>126</v>
      </c>
      <c r="E74" s="15" t="s">
        <v>172</v>
      </c>
    </row>
    <row r="75" customFormat="false" ht="15" hidden="false" customHeight="false" outlineLevel="0" collapsed="false">
      <c r="A75" s="0" t="s">
        <v>173</v>
      </c>
      <c r="B75" s="0" t="s">
        <v>77</v>
      </c>
      <c r="C75" s="17" t="n">
        <v>46079</v>
      </c>
      <c r="D75" s="15" t="s">
        <v>84</v>
      </c>
      <c r="E75" s="15" t="s">
        <v>105</v>
      </c>
    </row>
    <row r="76" customFormat="false" ht="15" hidden="false" customHeight="false" outlineLevel="0" collapsed="false">
      <c r="A76" s="0" t="s">
        <v>174</v>
      </c>
      <c r="B76" s="0" t="s">
        <v>33</v>
      </c>
      <c r="C76" s="17" t="n">
        <v>46069</v>
      </c>
      <c r="D76" s="15" t="s">
        <v>101</v>
      </c>
      <c r="E76" s="15" t="s">
        <v>62</v>
      </c>
    </row>
    <row r="77" customFormat="false" ht="15" hidden="false" customHeight="false" outlineLevel="0" collapsed="false">
      <c r="A77" s="0" t="s">
        <v>175</v>
      </c>
      <c r="B77" s="0" t="s">
        <v>41</v>
      </c>
      <c r="C77" s="17" t="n">
        <v>46062</v>
      </c>
      <c r="D77" s="15" t="s">
        <v>96</v>
      </c>
      <c r="E77" s="15" t="s">
        <v>65</v>
      </c>
    </row>
    <row r="78" customFormat="false" ht="15" hidden="false" customHeight="false" outlineLevel="0" collapsed="false">
      <c r="A78" s="0" t="s">
        <v>176</v>
      </c>
      <c r="B78" s="0" t="s">
        <v>33</v>
      </c>
      <c r="C78" s="17" t="n">
        <v>46061</v>
      </c>
      <c r="D78" s="15" t="s">
        <v>68</v>
      </c>
      <c r="E78" s="15" t="s">
        <v>105</v>
      </c>
    </row>
    <row r="79" customFormat="false" ht="15" hidden="false" customHeight="false" outlineLevel="0" collapsed="false">
      <c r="A79" s="0" t="s">
        <v>177</v>
      </c>
      <c r="B79" s="0" t="s">
        <v>77</v>
      </c>
      <c r="C79" s="17" t="n">
        <v>46081</v>
      </c>
      <c r="D79" s="15" t="s">
        <v>88</v>
      </c>
      <c r="E79" s="15" t="s">
        <v>105</v>
      </c>
    </row>
    <row r="80" customFormat="false" ht="15" hidden="false" customHeight="false" outlineLevel="0" collapsed="false">
      <c r="A80" s="0" t="s">
        <v>178</v>
      </c>
      <c r="B80" s="0" t="s">
        <v>39</v>
      </c>
      <c r="C80" s="17" t="n">
        <v>46039</v>
      </c>
      <c r="D80" s="15" t="s">
        <v>68</v>
      </c>
      <c r="E80" s="15" t="s">
        <v>59</v>
      </c>
    </row>
    <row r="81" customFormat="false" ht="15" hidden="false" customHeight="false" outlineLevel="0" collapsed="false">
      <c r="A81" s="0" t="s">
        <v>179</v>
      </c>
      <c r="B81" s="0" t="s">
        <v>39</v>
      </c>
      <c r="C81" s="17" t="n">
        <v>46061</v>
      </c>
      <c r="D81" s="15" t="s">
        <v>101</v>
      </c>
      <c r="E81" s="15" t="s">
        <v>85</v>
      </c>
    </row>
    <row r="82" customFormat="false" ht="15" hidden="false" customHeight="false" outlineLevel="0" collapsed="false">
      <c r="A82" s="0" t="s">
        <v>180</v>
      </c>
      <c r="B82" s="0" t="s">
        <v>124</v>
      </c>
      <c r="C82" s="17" t="n">
        <v>46056</v>
      </c>
      <c r="D82" s="15" t="s">
        <v>93</v>
      </c>
      <c r="E82" s="15" t="s">
        <v>65</v>
      </c>
    </row>
    <row r="83" customFormat="false" ht="15" hidden="false" customHeight="false" outlineLevel="0" collapsed="false">
      <c r="A83" s="0" t="s">
        <v>181</v>
      </c>
      <c r="B83" s="0" t="s">
        <v>57</v>
      </c>
      <c r="C83" s="17" t="n">
        <v>46075</v>
      </c>
      <c r="D83" s="15" t="s">
        <v>58</v>
      </c>
      <c r="E83" s="15" t="s">
        <v>69</v>
      </c>
    </row>
    <row r="84" customFormat="false" ht="15" hidden="false" customHeight="false" outlineLevel="0" collapsed="false">
      <c r="A84" s="0" t="s">
        <v>182</v>
      </c>
      <c r="B84" s="0" t="s">
        <v>37</v>
      </c>
      <c r="C84" s="17" t="n">
        <v>46056</v>
      </c>
      <c r="D84" s="15" t="s">
        <v>128</v>
      </c>
      <c r="E84" s="15" t="s">
        <v>69</v>
      </c>
    </row>
    <row r="85" customFormat="false" ht="15" hidden="false" customHeight="false" outlineLevel="0" collapsed="false">
      <c r="A85" s="0" t="s">
        <v>183</v>
      </c>
      <c r="B85" s="0" t="s">
        <v>57</v>
      </c>
      <c r="C85" s="17" t="n">
        <v>46027</v>
      </c>
      <c r="D85" s="15" t="s">
        <v>58</v>
      </c>
      <c r="E85" s="15" t="s">
        <v>85</v>
      </c>
    </row>
    <row r="86" customFormat="false" ht="15" hidden="false" customHeight="false" outlineLevel="0" collapsed="false">
      <c r="A86" s="0" t="s">
        <v>184</v>
      </c>
      <c r="B86" s="0" t="s">
        <v>67</v>
      </c>
      <c r="C86" s="17" t="n">
        <v>46038</v>
      </c>
      <c r="D86" s="15" t="s">
        <v>90</v>
      </c>
      <c r="E86" s="15" t="s">
        <v>148</v>
      </c>
    </row>
    <row r="87" customFormat="false" ht="15" hidden="false" customHeight="false" outlineLevel="0" collapsed="false">
      <c r="A87" s="0" t="s">
        <v>185</v>
      </c>
      <c r="B87" s="0" t="s">
        <v>41</v>
      </c>
      <c r="C87" s="17" t="n">
        <v>46036</v>
      </c>
      <c r="D87" s="15" t="s">
        <v>90</v>
      </c>
      <c r="E87" s="15" t="s">
        <v>62</v>
      </c>
    </row>
    <row r="88" customFormat="false" ht="15" hidden="false" customHeight="false" outlineLevel="0" collapsed="false">
      <c r="A88" s="0" t="s">
        <v>186</v>
      </c>
      <c r="B88" s="0" t="s">
        <v>124</v>
      </c>
      <c r="C88" s="17" t="n">
        <v>46050</v>
      </c>
      <c r="D88" s="15" t="s">
        <v>90</v>
      </c>
      <c r="E88" s="15" t="s">
        <v>85</v>
      </c>
    </row>
    <row r="89" customFormat="false" ht="15" hidden="false" customHeight="false" outlineLevel="0" collapsed="false">
      <c r="A89" s="0" t="s">
        <v>187</v>
      </c>
      <c r="B89" s="0" t="s">
        <v>39</v>
      </c>
      <c r="C89" s="17" t="n">
        <v>46039</v>
      </c>
      <c r="D89" s="15" t="s">
        <v>128</v>
      </c>
      <c r="E89" s="15" t="s">
        <v>85</v>
      </c>
    </row>
    <row r="90" customFormat="false" ht="15" hidden="false" customHeight="false" outlineLevel="0" collapsed="false">
      <c r="A90" s="0" t="s">
        <v>188</v>
      </c>
      <c r="B90" s="0" t="s">
        <v>71</v>
      </c>
      <c r="C90" s="17" t="n">
        <v>46082</v>
      </c>
      <c r="D90" s="15" t="s">
        <v>104</v>
      </c>
      <c r="E90" s="15" t="s">
        <v>97</v>
      </c>
    </row>
    <row r="91" customFormat="false" ht="15" hidden="false" customHeight="false" outlineLevel="0" collapsed="false">
      <c r="A91" s="0" t="s">
        <v>189</v>
      </c>
      <c r="B91" s="0" t="s">
        <v>57</v>
      </c>
      <c r="C91" s="17" t="n">
        <v>46059</v>
      </c>
      <c r="D91" s="15" t="s">
        <v>64</v>
      </c>
      <c r="E91" s="15" t="s">
        <v>62</v>
      </c>
    </row>
    <row r="92" customFormat="false" ht="15" hidden="false" customHeight="false" outlineLevel="0" collapsed="false">
      <c r="A92" s="0" t="s">
        <v>190</v>
      </c>
      <c r="B92" s="0" t="s">
        <v>67</v>
      </c>
      <c r="C92" s="17" t="n">
        <v>46067</v>
      </c>
      <c r="D92" s="15" t="s">
        <v>128</v>
      </c>
      <c r="E92" s="15" t="s">
        <v>69</v>
      </c>
    </row>
    <row r="93" customFormat="false" ht="15" hidden="false" customHeight="false" outlineLevel="0" collapsed="false">
      <c r="A93" s="0" t="s">
        <v>191</v>
      </c>
      <c r="B93" s="0" t="s">
        <v>67</v>
      </c>
      <c r="C93" s="17" t="n">
        <v>46057</v>
      </c>
      <c r="D93" s="15" t="s">
        <v>81</v>
      </c>
      <c r="E93" s="15" t="s">
        <v>85</v>
      </c>
    </row>
    <row r="94" customFormat="false" ht="15" hidden="false" customHeight="false" outlineLevel="0" collapsed="false">
      <c r="A94" s="0" t="s">
        <v>192</v>
      </c>
      <c r="B94" s="0" t="s">
        <v>92</v>
      </c>
      <c r="C94" s="17" t="n">
        <v>46056</v>
      </c>
      <c r="D94" s="15" t="s">
        <v>126</v>
      </c>
      <c r="E94" s="15" t="s">
        <v>69</v>
      </c>
    </row>
    <row r="95" customFormat="false" ht="15" hidden="false" customHeight="false" outlineLevel="0" collapsed="false">
      <c r="A95" s="0" t="s">
        <v>193</v>
      </c>
      <c r="B95" s="0" t="s">
        <v>35</v>
      </c>
      <c r="C95" s="17" t="n">
        <v>46031</v>
      </c>
      <c r="D95" s="15" t="s">
        <v>79</v>
      </c>
      <c r="E95" s="15" t="s">
        <v>69</v>
      </c>
    </row>
    <row r="96" customFormat="false" ht="15" hidden="false" customHeight="false" outlineLevel="0" collapsed="false">
      <c r="A96" s="0" t="s">
        <v>194</v>
      </c>
      <c r="B96" s="0" t="s">
        <v>57</v>
      </c>
      <c r="C96" s="17" t="n">
        <v>46035</v>
      </c>
      <c r="D96" s="15" t="s">
        <v>84</v>
      </c>
      <c r="E96" s="15" t="s">
        <v>172</v>
      </c>
    </row>
    <row r="97" customFormat="false" ht="15" hidden="false" customHeight="false" outlineLevel="0" collapsed="false">
      <c r="A97" s="0" t="s">
        <v>195</v>
      </c>
      <c r="B97" s="0" t="s">
        <v>112</v>
      </c>
      <c r="C97" s="17" t="n">
        <v>46041</v>
      </c>
      <c r="D97" s="15" t="s">
        <v>68</v>
      </c>
      <c r="E97" s="15" t="s">
        <v>85</v>
      </c>
    </row>
    <row r="98" customFormat="false" ht="15" hidden="false" customHeight="false" outlineLevel="0" collapsed="false">
      <c r="A98" s="0" t="s">
        <v>196</v>
      </c>
      <c r="B98" s="0" t="s">
        <v>35</v>
      </c>
      <c r="C98" s="17" t="n">
        <v>46036</v>
      </c>
      <c r="D98" s="15" t="s">
        <v>68</v>
      </c>
      <c r="E98" s="15" t="s">
        <v>65</v>
      </c>
    </row>
    <row r="99" customFormat="false" ht="15" hidden="false" customHeight="false" outlineLevel="0" collapsed="false">
      <c r="A99" s="0" t="s">
        <v>197</v>
      </c>
      <c r="B99" s="0" t="s">
        <v>35</v>
      </c>
      <c r="C99" s="17" t="n">
        <v>46081</v>
      </c>
      <c r="D99" s="15" t="s">
        <v>58</v>
      </c>
      <c r="E99" s="15" t="s">
        <v>69</v>
      </c>
    </row>
    <row r="100" customFormat="false" ht="15" hidden="false" customHeight="false" outlineLevel="0" collapsed="false">
      <c r="A100" s="0" t="s">
        <v>198</v>
      </c>
      <c r="B100" s="0" t="s">
        <v>57</v>
      </c>
      <c r="C100" s="17" t="n">
        <v>46069</v>
      </c>
      <c r="D100" s="15" t="s">
        <v>126</v>
      </c>
      <c r="E100" s="15" t="s">
        <v>65</v>
      </c>
    </row>
    <row r="101" customFormat="false" ht="15" hidden="false" customHeight="false" outlineLevel="0" collapsed="false">
      <c r="A101" s="0" t="s">
        <v>199</v>
      </c>
      <c r="B101" s="0" t="s">
        <v>83</v>
      </c>
      <c r="C101" s="17" t="n">
        <v>46082</v>
      </c>
      <c r="D101" s="15" t="s">
        <v>93</v>
      </c>
      <c r="E101" s="15" t="s">
        <v>69</v>
      </c>
    </row>
    <row r="102" customFormat="false" ht="15" hidden="false" customHeight="false" outlineLevel="0" collapsed="false">
      <c r="A102" s="0" t="s">
        <v>200</v>
      </c>
      <c r="B102" s="0" t="s">
        <v>41</v>
      </c>
      <c r="C102" s="17" t="n">
        <v>46082</v>
      </c>
      <c r="D102" s="15" t="s">
        <v>126</v>
      </c>
      <c r="E102" s="15" t="s">
        <v>97</v>
      </c>
    </row>
    <row r="103" customFormat="false" ht="15" hidden="false" customHeight="false" outlineLevel="0" collapsed="false">
      <c r="A103" s="0" t="s">
        <v>201</v>
      </c>
      <c r="B103" s="0" t="s">
        <v>43</v>
      </c>
      <c r="C103" s="17" t="n">
        <v>46027</v>
      </c>
      <c r="D103" s="15" t="s">
        <v>93</v>
      </c>
      <c r="E103" s="15" t="s">
        <v>59</v>
      </c>
    </row>
    <row r="104" customFormat="false" ht="15" hidden="false" customHeight="false" outlineLevel="0" collapsed="false">
      <c r="A104" s="0" t="s">
        <v>202</v>
      </c>
      <c r="B104" s="0" t="s">
        <v>39</v>
      </c>
      <c r="C104" s="17" t="n">
        <v>46079</v>
      </c>
      <c r="D104" s="15" t="s">
        <v>61</v>
      </c>
      <c r="E104" s="15" t="s">
        <v>172</v>
      </c>
    </row>
    <row r="105" customFormat="false" ht="15" hidden="false" customHeight="false" outlineLevel="0" collapsed="false">
      <c r="A105" s="0" t="s">
        <v>203</v>
      </c>
      <c r="B105" s="0" t="s">
        <v>37</v>
      </c>
      <c r="C105" s="17" t="n">
        <v>46069</v>
      </c>
      <c r="D105" s="15" t="s">
        <v>126</v>
      </c>
      <c r="E105" s="15" t="s">
        <v>59</v>
      </c>
    </row>
    <row r="106" customFormat="false" ht="15" hidden="false" customHeight="false" outlineLevel="0" collapsed="false">
      <c r="A106" s="0" t="s">
        <v>204</v>
      </c>
      <c r="B106" s="0" t="s">
        <v>95</v>
      </c>
      <c r="C106" s="17" t="n">
        <v>46082</v>
      </c>
      <c r="D106" s="15" t="s">
        <v>84</v>
      </c>
      <c r="E106" s="15" t="s">
        <v>85</v>
      </c>
    </row>
    <row r="107" customFormat="false" ht="15" hidden="false" customHeight="false" outlineLevel="0" collapsed="false">
      <c r="A107" s="0" t="s">
        <v>205</v>
      </c>
      <c r="B107" s="0" t="s">
        <v>77</v>
      </c>
      <c r="C107" s="17" t="n">
        <v>46035</v>
      </c>
      <c r="D107" s="15" t="s">
        <v>84</v>
      </c>
      <c r="E107" s="15" t="s">
        <v>172</v>
      </c>
    </row>
    <row r="108" customFormat="false" ht="15" hidden="false" customHeight="false" outlineLevel="0" collapsed="false">
      <c r="A108" s="0" t="s">
        <v>206</v>
      </c>
      <c r="B108" s="0" t="s">
        <v>71</v>
      </c>
      <c r="C108" s="17" t="n">
        <v>46080</v>
      </c>
      <c r="D108" s="15" t="s">
        <v>79</v>
      </c>
      <c r="E108" s="15" t="s">
        <v>85</v>
      </c>
    </row>
    <row r="109" customFormat="false" ht="15" hidden="false" customHeight="false" outlineLevel="0" collapsed="false">
      <c r="A109" s="0" t="s">
        <v>207</v>
      </c>
      <c r="B109" s="0" t="s">
        <v>112</v>
      </c>
      <c r="C109" s="17" t="n">
        <v>46050</v>
      </c>
      <c r="D109" s="15" t="s">
        <v>128</v>
      </c>
      <c r="E109" s="15" t="s">
        <v>62</v>
      </c>
    </row>
    <row r="110" customFormat="false" ht="15" hidden="false" customHeight="false" outlineLevel="0" collapsed="false">
      <c r="A110" s="0" t="s">
        <v>167</v>
      </c>
      <c r="B110" s="0" t="s">
        <v>83</v>
      </c>
      <c r="C110" s="17" t="n">
        <v>46060</v>
      </c>
      <c r="D110" s="15" t="s">
        <v>58</v>
      </c>
      <c r="E110" s="15" t="s">
        <v>62</v>
      </c>
    </row>
    <row r="111" customFormat="false" ht="15" hidden="false" customHeight="false" outlineLevel="0" collapsed="false">
      <c r="A111" s="0" t="s">
        <v>208</v>
      </c>
      <c r="B111" s="0" t="s">
        <v>112</v>
      </c>
      <c r="C111" s="17" t="n">
        <v>46032</v>
      </c>
      <c r="D111" s="15" t="s">
        <v>128</v>
      </c>
      <c r="E111" s="15" t="s">
        <v>151</v>
      </c>
    </row>
    <row r="112" customFormat="false" ht="15" hidden="false" customHeight="false" outlineLevel="0" collapsed="false">
      <c r="A112" s="0" t="s">
        <v>209</v>
      </c>
      <c r="B112" s="0" t="s">
        <v>124</v>
      </c>
      <c r="C112" s="17" t="n">
        <v>46078</v>
      </c>
      <c r="D112" s="15" t="s">
        <v>135</v>
      </c>
      <c r="E112" s="15" t="s">
        <v>65</v>
      </c>
    </row>
    <row r="113" customFormat="false" ht="15" hidden="false" customHeight="false" outlineLevel="0" collapsed="false">
      <c r="A113" s="0" t="s">
        <v>210</v>
      </c>
      <c r="B113" s="0" t="s">
        <v>92</v>
      </c>
      <c r="C113" s="17" t="n">
        <v>46067</v>
      </c>
      <c r="D113" s="15" t="s">
        <v>93</v>
      </c>
      <c r="E113" s="15" t="s">
        <v>75</v>
      </c>
    </row>
    <row r="114" customFormat="false" ht="15" hidden="false" customHeight="false" outlineLevel="0" collapsed="false">
      <c r="A114" s="0" t="s">
        <v>211</v>
      </c>
      <c r="B114" s="0" t="s">
        <v>57</v>
      </c>
      <c r="C114" s="17" t="n">
        <v>46065</v>
      </c>
      <c r="D114" s="15" t="s">
        <v>72</v>
      </c>
      <c r="E114" s="15" t="s">
        <v>85</v>
      </c>
    </row>
    <row r="115" customFormat="false" ht="15" hidden="false" customHeight="false" outlineLevel="0" collapsed="false">
      <c r="A115" s="0" t="s">
        <v>212</v>
      </c>
      <c r="B115" s="0" t="s">
        <v>33</v>
      </c>
      <c r="C115" s="17" t="n">
        <v>46041</v>
      </c>
      <c r="D115" s="15" t="s">
        <v>68</v>
      </c>
      <c r="E115" s="15" t="s">
        <v>65</v>
      </c>
    </row>
    <row r="116" customFormat="false" ht="15" hidden="false" customHeight="false" outlineLevel="0" collapsed="false">
      <c r="A116" s="0" t="s">
        <v>213</v>
      </c>
      <c r="B116" s="0" t="s">
        <v>57</v>
      </c>
      <c r="C116" s="17" t="n">
        <v>46043</v>
      </c>
      <c r="D116" s="15" t="s">
        <v>153</v>
      </c>
      <c r="E116" s="15" t="s">
        <v>65</v>
      </c>
    </row>
    <row r="117" customFormat="false" ht="15" hidden="false" customHeight="false" outlineLevel="0" collapsed="false">
      <c r="A117" s="0" t="s">
        <v>214</v>
      </c>
      <c r="B117" s="0" t="s">
        <v>77</v>
      </c>
      <c r="C117" s="17" t="n">
        <v>46034</v>
      </c>
      <c r="D117" s="15" t="s">
        <v>74</v>
      </c>
      <c r="E117" s="15" t="s">
        <v>85</v>
      </c>
    </row>
    <row r="118" customFormat="false" ht="15" hidden="false" customHeight="false" outlineLevel="0" collapsed="false">
      <c r="A118" s="0" t="s">
        <v>215</v>
      </c>
      <c r="B118" s="0" t="s">
        <v>67</v>
      </c>
      <c r="C118" s="17" t="n">
        <v>46070</v>
      </c>
      <c r="D118" s="15" t="s">
        <v>93</v>
      </c>
      <c r="E118" s="15" t="s">
        <v>65</v>
      </c>
    </row>
    <row r="119" customFormat="false" ht="15" hidden="false" customHeight="false" outlineLevel="0" collapsed="false">
      <c r="A119" s="0" t="s">
        <v>216</v>
      </c>
      <c r="B119" s="0" t="s">
        <v>43</v>
      </c>
      <c r="C119" s="17" t="n">
        <v>46053</v>
      </c>
      <c r="D119" s="15" t="s">
        <v>128</v>
      </c>
      <c r="E119" s="15" t="s">
        <v>69</v>
      </c>
    </row>
    <row r="120" customFormat="false" ht="15" hidden="false" customHeight="false" outlineLevel="0" collapsed="false">
      <c r="A120" s="0" t="s">
        <v>217</v>
      </c>
      <c r="B120" s="0" t="s">
        <v>112</v>
      </c>
      <c r="C120" s="17" t="n">
        <v>46067</v>
      </c>
      <c r="D120" s="15" t="s">
        <v>79</v>
      </c>
      <c r="E120" s="15" t="s">
        <v>97</v>
      </c>
    </row>
    <row r="121" customFormat="false" ht="15" hidden="false" customHeight="false" outlineLevel="0" collapsed="false">
      <c r="A121" s="0" t="s">
        <v>218</v>
      </c>
      <c r="B121" s="0" t="s">
        <v>77</v>
      </c>
      <c r="C121" s="17" t="n">
        <v>46028</v>
      </c>
      <c r="D121" s="15" t="s">
        <v>58</v>
      </c>
      <c r="E121" s="15" t="s">
        <v>85</v>
      </c>
    </row>
    <row r="122" customFormat="false" ht="15" hidden="false" customHeight="false" outlineLevel="0" collapsed="false">
      <c r="A122" s="0" t="s">
        <v>219</v>
      </c>
      <c r="B122" s="0" t="s">
        <v>67</v>
      </c>
      <c r="C122" s="17" t="n">
        <v>46046</v>
      </c>
      <c r="D122" s="15" t="s">
        <v>84</v>
      </c>
      <c r="E122" s="15" t="s">
        <v>85</v>
      </c>
    </row>
    <row r="123" customFormat="false" ht="15" hidden="false" customHeight="false" outlineLevel="0" collapsed="false">
      <c r="A123" s="0" t="s">
        <v>220</v>
      </c>
      <c r="B123" s="0" t="s">
        <v>92</v>
      </c>
      <c r="C123" s="17" t="n">
        <v>46056</v>
      </c>
      <c r="D123" s="15" t="s">
        <v>104</v>
      </c>
      <c r="E123" s="15" t="s">
        <v>59</v>
      </c>
    </row>
    <row r="124" customFormat="false" ht="15" hidden="false" customHeight="false" outlineLevel="0" collapsed="false">
      <c r="A124" s="0" t="s">
        <v>221</v>
      </c>
      <c r="B124" s="0" t="s">
        <v>95</v>
      </c>
      <c r="C124" s="17" t="n">
        <v>46067</v>
      </c>
      <c r="D124" s="15" t="s">
        <v>81</v>
      </c>
      <c r="E124" s="15" t="s">
        <v>75</v>
      </c>
    </row>
    <row r="125" customFormat="false" ht="15" hidden="false" customHeight="false" outlineLevel="0" collapsed="false">
      <c r="A125" s="0" t="s">
        <v>222</v>
      </c>
      <c r="B125" s="0" t="s">
        <v>124</v>
      </c>
      <c r="C125" s="17" t="n">
        <v>46052</v>
      </c>
      <c r="D125" s="15" t="s">
        <v>93</v>
      </c>
      <c r="E125" s="15" t="s">
        <v>65</v>
      </c>
    </row>
    <row r="126" customFormat="false" ht="15" hidden="false" customHeight="false" outlineLevel="0" collapsed="false">
      <c r="A126" s="0" t="s">
        <v>223</v>
      </c>
      <c r="B126" s="0" t="s">
        <v>39</v>
      </c>
      <c r="C126" s="17" t="n">
        <v>46037</v>
      </c>
      <c r="D126" s="15" t="s">
        <v>104</v>
      </c>
      <c r="E126" s="15" t="s">
        <v>75</v>
      </c>
    </row>
    <row r="127" customFormat="false" ht="15" hidden="false" customHeight="false" outlineLevel="0" collapsed="false">
      <c r="A127" s="0" t="s">
        <v>224</v>
      </c>
      <c r="B127" s="0" t="s">
        <v>67</v>
      </c>
      <c r="C127" s="17" t="n">
        <v>46066</v>
      </c>
      <c r="D127" s="15" t="s">
        <v>64</v>
      </c>
      <c r="E127" s="15" t="s">
        <v>148</v>
      </c>
    </row>
    <row r="128" customFormat="false" ht="15" hidden="false" customHeight="false" outlineLevel="0" collapsed="false">
      <c r="A128" s="0" t="s">
        <v>225</v>
      </c>
      <c r="B128" s="0" t="s">
        <v>112</v>
      </c>
      <c r="C128" s="17" t="n">
        <v>46056</v>
      </c>
      <c r="D128" s="15" t="s">
        <v>61</v>
      </c>
      <c r="E128" s="15" t="s">
        <v>65</v>
      </c>
    </row>
    <row r="129" customFormat="false" ht="15" hidden="false" customHeight="false" outlineLevel="0" collapsed="false">
      <c r="A129" s="0" t="s">
        <v>226</v>
      </c>
      <c r="B129" s="0" t="s">
        <v>67</v>
      </c>
      <c r="C129" s="17" t="n">
        <v>46078</v>
      </c>
      <c r="D129" s="15" t="s">
        <v>74</v>
      </c>
      <c r="E129" s="15" t="s">
        <v>62</v>
      </c>
    </row>
    <row r="130" customFormat="false" ht="15" hidden="false" customHeight="false" outlineLevel="0" collapsed="false">
      <c r="A130" s="0" t="s">
        <v>227</v>
      </c>
      <c r="B130" s="0" t="s">
        <v>35</v>
      </c>
      <c r="C130" s="17" t="n">
        <v>46081</v>
      </c>
      <c r="D130" s="15" t="s">
        <v>68</v>
      </c>
      <c r="E130" s="15" t="s">
        <v>59</v>
      </c>
    </row>
    <row r="131" customFormat="false" ht="15" hidden="false" customHeight="false" outlineLevel="0" collapsed="false">
      <c r="A131" s="0" t="s">
        <v>228</v>
      </c>
      <c r="B131" s="0" t="s">
        <v>67</v>
      </c>
      <c r="C131" s="17" t="n">
        <v>46061</v>
      </c>
      <c r="D131" s="15" t="s">
        <v>72</v>
      </c>
      <c r="E131" s="15" t="s">
        <v>105</v>
      </c>
    </row>
    <row r="132" customFormat="false" ht="15" hidden="false" customHeight="false" outlineLevel="0" collapsed="false">
      <c r="A132" s="0" t="s">
        <v>229</v>
      </c>
      <c r="B132" s="0" t="s">
        <v>95</v>
      </c>
      <c r="C132" s="17" t="n">
        <v>46027</v>
      </c>
      <c r="D132" s="15" t="s">
        <v>72</v>
      </c>
      <c r="E132" s="15" t="s">
        <v>62</v>
      </c>
    </row>
    <row r="133" customFormat="false" ht="15" hidden="false" customHeight="false" outlineLevel="0" collapsed="false">
      <c r="A133" s="0" t="s">
        <v>230</v>
      </c>
      <c r="B133" s="0" t="s">
        <v>92</v>
      </c>
      <c r="C133" s="17" t="n">
        <v>46067</v>
      </c>
      <c r="D133" s="15" t="s">
        <v>107</v>
      </c>
      <c r="E133" s="15" t="s">
        <v>62</v>
      </c>
    </row>
    <row r="134" customFormat="false" ht="15" hidden="false" customHeight="false" outlineLevel="0" collapsed="false">
      <c r="A134" s="0" t="s">
        <v>231</v>
      </c>
      <c r="B134" s="0" t="s">
        <v>33</v>
      </c>
      <c r="C134" s="17" t="n">
        <v>46055</v>
      </c>
      <c r="D134" s="15" t="s">
        <v>81</v>
      </c>
      <c r="E134" s="15" t="s">
        <v>62</v>
      </c>
    </row>
    <row r="135" customFormat="false" ht="15" hidden="false" customHeight="false" outlineLevel="0" collapsed="false">
      <c r="A135" s="0" t="s">
        <v>232</v>
      </c>
      <c r="B135" s="0" t="s">
        <v>39</v>
      </c>
      <c r="C135" s="17" t="n">
        <v>46037</v>
      </c>
      <c r="D135" s="15" t="s">
        <v>64</v>
      </c>
      <c r="E135" s="15" t="s">
        <v>65</v>
      </c>
    </row>
    <row r="136" customFormat="false" ht="15" hidden="false" customHeight="false" outlineLevel="0" collapsed="false">
      <c r="A136" s="0" t="s">
        <v>233</v>
      </c>
      <c r="B136" s="0" t="s">
        <v>99</v>
      </c>
      <c r="C136" s="17" t="n">
        <v>46056</v>
      </c>
      <c r="D136" s="15" t="s">
        <v>93</v>
      </c>
      <c r="E136" s="15" t="s">
        <v>59</v>
      </c>
    </row>
    <row r="137" customFormat="false" ht="15" hidden="false" customHeight="false" outlineLevel="0" collapsed="false">
      <c r="A137" s="0" t="s">
        <v>234</v>
      </c>
      <c r="B137" s="0" t="s">
        <v>77</v>
      </c>
      <c r="C137" s="17" t="n">
        <v>46062</v>
      </c>
      <c r="D137" s="15" t="s">
        <v>84</v>
      </c>
      <c r="E137" s="15" t="s">
        <v>97</v>
      </c>
    </row>
    <row r="138" customFormat="false" ht="15" hidden="false" customHeight="false" outlineLevel="0" collapsed="false">
      <c r="A138" s="0" t="s">
        <v>235</v>
      </c>
      <c r="B138" s="0" t="s">
        <v>41</v>
      </c>
      <c r="C138" s="17" t="n">
        <v>46029</v>
      </c>
      <c r="D138" s="15" t="s">
        <v>90</v>
      </c>
      <c r="E138" s="15" t="s">
        <v>151</v>
      </c>
    </row>
    <row r="139" customFormat="false" ht="15" hidden="false" customHeight="false" outlineLevel="0" collapsed="false">
      <c r="A139" s="0" t="s">
        <v>236</v>
      </c>
      <c r="B139" s="0" t="s">
        <v>99</v>
      </c>
      <c r="C139" s="17" t="n">
        <v>46055</v>
      </c>
      <c r="D139" s="15" t="s">
        <v>93</v>
      </c>
      <c r="E139" s="15" t="s">
        <v>69</v>
      </c>
    </row>
    <row r="140" customFormat="false" ht="15" hidden="false" customHeight="false" outlineLevel="0" collapsed="false">
      <c r="A140" s="0" t="s">
        <v>237</v>
      </c>
      <c r="B140" s="0" t="s">
        <v>39</v>
      </c>
      <c r="C140" s="17" t="n">
        <v>46069</v>
      </c>
      <c r="D140" s="15" t="s">
        <v>81</v>
      </c>
      <c r="E140" s="15" t="s">
        <v>62</v>
      </c>
    </row>
    <row r="141" customFormat="false" ht="15" hidden="false" customHeight="false" outlineLevel="0" collapsed="false">
      <c r="A141" s="0" t="s">
        <v>238</v>
      </c>
      <c r="B141" s="0" t="s">
        <v>41</v>
      </c>
      <c r="C141" s="17" t="n">
        <v>46058</v>
      </c>
      <c r="D141" s="15" t="s">
        <v>79</v>
      </c>
      <c r="E141" s="15" t="s">
        <v>85</v>
      </c>
    </row>
    <row r="142" customFormat="false" ht="15" hidden="false" customHeight="false" outlineLevel="0" collapsed="false">
      <c r="A142" s="0" t="s">
        <v>239</v>
      </c>
      <c r="B142" s="0" t="s">
        <v>43</v>
      </c>
      <c r="C142" s="17" t="n">
        <v>46029</v>
      </c>
      <c r="D142" s="15" t="s">
        <v>79</v>
      </c>
      <c r="E142" s="15" t="s">
        <v>62</v>
      </c>
    </row>
    <row r="143" customFormat="false" ht="15" hidden="false" customHeight="false" outlineLevel="0" collapsed="false">
      <c r="A143" s="0" t="s">
        <v>240</v>
      </c>
      <c r="B143" s="0" t="s">
        <v>92</v>
      </c>
      <c r="C143" s="17" t="n">
        <v>46054</v>
      </c>
      <c r="D143" s="15" t="s">
        <v>96</v>
      </c>
      <c r="E143" s="15" t="s">
        <v>105</v>
      </c>
    </row>
    <row r="144" customFormat="false" ht="15" hidden="false" customHeight="false" outlineLevel="0" collapsed="false">
      <c r="A144" s="0" t="s">
        <v>241</v>
      </c>
      <c r="B144" s="0" t="s">
        <v>95</v>
      </c>
      <c r="C144" s="17" t="n">
        <v>46045</v>
      </c>
      <c r="D144" s="15" t="s">
        <v>74</v>
      </c>
      <c r="E144" s="15" t="s">
        <v>97</v>
      </c>
    </row>
    <row r="145" customFormat="false" ht="15" hidden="false" customHeight="false" outlineLevel="0" collapsed="false">
      <c r="A145" s="0" t="s">
        <v>242</v>
      </c>
      <c r="B145" s="0" t="s">
        <v>67</v>
      </c>
      <c r="C145" s="17" t="n">
        <v>46067</v>
      </c>
      <c r="D145" s="15" t="s">
        <v>74</v>
      </c>
      <c r="E145" s="15" t="s">
        <v>69</v>
      </c>
    </row>
    <row r="146" customFormat="false" ht="15" hidden="false" customHeight="false" outlineLevel="0" collapsed="false">
      <c r="A146" s="0" t="s">
        <v>243</v>
      </c>
      <c r="B146" s="0" t="s">
        <v>41</v>
      </c>
      <c r="C146" s="17" t="n">
        <v>46076</v>
      </c>
      <c r="D146" s="15" t="s">
        <v>84</v>
      </c>
      <c r="E146" s="15" t="s">
        <v>62</v>
      </c>
    </row>
    <row r="147" customFormat="false" ht="15" hidden="false" customHeight="false" outlineLevel="0" collapsed="false">
      <c r="A147" s="0" t="s">
        <v>244</v>
      </c>
      <c r="B147" s="0" t="s">
        <v>103</v>
      </c>
      <c r="C147" s="17" t="n">
        <v>46040</v>
      </c>
      <c r="D147" s="15" t="s">
        <v>79</v>
      </c>
      <c r="E147" s="15" t="s">
        <v>69</v>
      </c>
    </row>
    <row r="148" customFormat="false" ht="15" hidden="false" customHeight="false" outlineLevel="0" collapsed="false">
      <c r="A148" s="0" t="s">
        <v>245</v>
      </c>
      <c r="B148" s="0" t="s">
        <v>124</v>
      </c>
      <c r="C148" s="17" t="n">
        <v>46027</v>
      </c>
      <c r="D148" s="15" t="s">
        <v>107</v>
      </c>
      <c r="E148" s="15" t="s">
        <v>151</v>
      </c>
    </row>
    <row r="149" customFormat="false" ht="15" hidden="false" customHeight="false" outlineLevel="0" collapsed="false">
      <c r="A149" s="0" t="s">
        <v>246</v>
      </c>
      <c r="B149" s="0" t="s">
        <v>35</v>
      </c>
      <c r="C149" s="17" t="n">
        <v>46038</v>
      </c>
      <c r="D149" s="15" t="s">
        <v>104</v>
      </c>
      <c r="E149" s="15" t="s">
        <v>97</v>
      </c>
    </row>
    <row r="150" customFormat="false" ht="15" hidden="false" customHeight="false" outlineLevel="0" collapsed="false">
      <c r="A150" s="0" t="s">
        <v>247</v>
      </c>
      <c r="B150" s="0" t="s">
        <v>67</v>
      </c>
      <c r="C150" s="17" t="n">
        <v>46029</v>
      </c>
      <c r="D150" s="15" t="s">
        <v>90</v>
      </c>
      <c r="E150" s="15" t="s">
        <v>97</v>
      </c>
    </row>
    <row r="151" customFormat="false" ht="15" hidden="false" customHeight="false" outlineLevel="0" collapsed="false">
      <c r="A151" s="0" t="s">
        <v>248</v>
      </c>
      <c r="B151" s="0" t="s">
        <v>112</v>
      </c>
      <c r="C151" s="17" t="n">
        <v>46039</v>
      </c>
      <c r="D151" s="15" t="s">
        <v>153</v>
      </c>
      <c r="E151" s="15" t="s">
        <v>69</v>
      </c>
    </row>
    <row r="152" customFormat="false" ht="15" hidden="false" customHeight="false" outlineLevel="0" collapsed="false">
      <c r="A152" s="0" t="s">
        <v>249</v>
      </c>
      <c r="B152" s="0" t="s">
        <v>103</v>
      </c>
      <c r="C152" s="17" t="n">
        <v>46032</v>
      </c>
      <c r="D152" s="15" t="s">
        <v>68</v>
      </c>
      <c r="E152" s="15" t="s">
        <v>85</v>
      </c>
    </row>
    <row r="153" customFormat="false" ht="15" hidden="false" customHeight="false" outlineLevel="0" collapsed="false">
      <c r="A153" s="0" t="s">
        <v>250</v>
      </c>
      <c r="B153" s="0" t="s">
        <v>112</v>
      </c>
      <c r="C153" s="17" t="n">
        <v>46080</v>
      </c>
      <c r="D153" s="15" t="s">
        <v>126</v>
      </c>
      <c r="E153" s="15" t="s">
        <v>97</v>
      </c>
    </row>
    <row r="154" customFormat="false" ht="15" hidden="false" customHeight="false" outlineLevel="0" collapsed="false">
      <c r="A154" s="0" t="s">
        <v>251</v>
      </c>
      <c r="B154" s="0" t="s">
        <v>77</v>
      </c>
      <c r="C154" s="17" t="n">
        <v>46056</v>
      </c>
      <c r="D154" s="15" t="s">
        <v>153</v>
      </c>
      <c r="E154" s="15" t="s">
        <v>62</v>
      </c>
    </row>
    <row r="155" customFormat="false" ht="15" hidden="false" customHeight="false" outlineLevel="0" collapsed="false">
      <c r="A155" s="0" t="s">
        <v>252</v>
      </c>
      <c r="B155" s="0" t="s">
        <v>35</v>
      </c>
      <c r="C155" s="17" t="n">
        <v>46076</v>
      </c>
      <c r="D155" s="15" t="s">
        <v>72</v>
      </c>
      <c r="E155" s="15" t="s">
        <v>69</v>
      </c>
    </row>
    <row r="156" customFormat="false" ht="15" hidden="false" customHeight="false" outlineLevel="0" collapsed="false">
      <c r="A156" s="0" t="s">
        <v>253</v>
      </c>
      <c r="B156" s="0" t="s">
        <v>35</v>
      </c>
      <c r="C156" s="17" t="n">
        <v>46079</v>
      </c>
      <c r="D156" s="15" t="s">
        <v>64</v>
      </c>
      <c r="E156" s="15" t="s">
        <v>59</v>
      </c>
    </row>
    <row r="157" customFormat="false" ht="15" hidden="false" customHeight="false" outlineLevel="0" collapsed="false">
      <c r="A157" s="0" t="s">
        <v>254</v>
      </c>
      <c r="B157" s="0" t="s">
        <v>71</v>
      </c>
      <c r="C157" s="17" t="n">
        <v>46037</v>
      </c>
      <c r="D157" s="15" t="s">
        <v>107</v>
      </c>
      <c r="E157" s="15" t="s">
        <v>65</v>
      </c>
    </row>
    <row r="158" customFormat="false" ht="15" hidden="false" customHeight="false" outlineLevel="0" collapsed="false">
      <c r="A158" s="0" t="s">
        <v>255</v>
      </c>
      <c r="B158" s="0" t="s">
        <v>116</v>
      </c>
      <c r="C158" s="17" t="n">
        <v>46075</v>
      </c>
      <c r="D158" s="15" t="s">
        <v>96</v>
      </c>
      <c r="E158" s="15" t="s">
        <v>75</v>
      </c>
    </row>
    <row r="159" customFormat="false" ht="15" hidden="false" customHeight="false" outlineLevel="0" collapsed="false">
      <c r="A159" s="0" t="s">
        <v>256</v>
      </c>
      <c r="B159" s="0" t="s">
        <v>77</v>
      </c>
      <c r="C159" s="17" t="n">
        <v>46065</v>
      </c>
      <c r="D159" s="15" t="s">
        <v>126</v>
      </c>
      <c r="E159" s="15" t="s">
        <v>62</v>
      </c>
    </row>
    <row r="160" customFormat="false" ht="15" hidden="false" customHeight="false" outlineLevel="0" collapsed="false">
      <c r="A160" s="0" t="s">
        <v>257</v>
      </c>
      <c r="B160" s="0" t="s">
        <v>112</v>
      </c>
      <c r="C160" s="17" t="n">
        <v>46055</v>
      </c>
      <c r="D160" s="15" t="s">
        <v>107</v>
      </c>
      <c r="E160" s="15" t="s">
        <v>85</v>
      </c>
    </row>
    <row r="161" customFormat="false" ht="15" hidden="false" customHeight="false" outlineLevel="0" collapsed="false">
      <c r="A161" s="0" t="s">
        <v>258</v>
      </c>
      <c r="B161" s="0" t="s">
        <v>116</v>
      </c>
      <c r="C161" s="17" t="n">
        <v>46073</v>
      </c>
      <c r="D161" s="15" t="s">
        <v>93</v>
      </c>
      <c r="E161" s="15" t="s">
        <v>75</v>
      </c>
    </row>
    <row r="162" customFormat="false" ht="15" hidden="false" customHeight="false" outlineLevel="0" collapsed="false">
      <c r="A162" s="0" t="s">
        <v>259</v>
      </c>
      <c r="B162" s="0" t="s">
        <v>99</v>
      </c>
      <c r="C162" s="17" t="n">
        <v>46029</v>
      </c>
      <c r="D162" s="15" t="s">
        <v>135</v>
      </c>
      <c r="E162" s="15" t="s">
        <v>97</v>
      </c>
    </row>
    <row r="163" customFormat="false" ht="15" hidden="false" customHeight="false" outlineLevel="0" collapsed="false">
      <c r="A163" s="0" t="s">
        <v>260</v>
      </c>
      <c r="B163" s="0" t="s">
        <v>71</v>
      </c>
      <c r="C163" s="17" t="n">
        <v>46048</v>
      </c>
      <c r="D163" s="15" t="s">
        <v>84</v>
      </c>
      <c r="E163" s="15" t="s">
        <v>97</v>
      </c>
    </row>
    <row r="164" customFormat="false" ht="15" hidden="false" customHeight="false" outlineLevel="0" collapsed="false">
      <c r="A164" s="0" t="s">
        <v>261</v>
      </c>
      <c r="B164" s="0" t="s">
        <v>92</v>
      </c>
      <c r="C164" s="17" t="n">
        <v>46066</v>
      </c>
      <c r="D164" s="15" t="s">
        <v>90</v>
      </c>
      <c r="E164" s="15" t="s">
        <v>97</v>
      </c>
    </row>
    <row r="165" customFormat="false" ht="15" hidden="false" customHeight="false" outlineLevel="0" collapsed="false">
      <c r="A165" s="0" t="s">
        <v>262</v>
      </c>
      <c r="B165" s="0" t="s">
        <v>103</v>
      </c>
      <c r="C165" s="17" t="n">
        <v>46068</v>
      </c>
      <c r="D165" s="15" t="s">
        <v>88</v>
      </c>
      <c r="E165" s="15" t="s">
        <v>62</v>
      </c>
    </row>
    <row r="166" customFormat="false" ht="15" hidden="false" customHeight="false" outlineLevel="0" collapsed="false">
      <c r="A166" s="0" t="s">
        <v>263</v>
      </c>
      <c r="B166" s="0" t="s">
        <v>35</v>
      </c>
      <c r="C166" s="17" t="n">
        <v>46038</v>
      </c>
      <c r="D166" s="15" t="s">
        <v>88</v>
      </c>
      <c r="E166" s="15" t="s">
        <v>65</v>
      </c>
    </row>
    <row r="167" customFormat="false" ht="15" hidden="false" customHeight="false" outlineLevel="0" collapsed="false">
      <c r="A167" s="0" t="s">
        <v>264</v>
      </c>
      <c r="B167" s="0" t="s">
        <v>77</v>
      </c>
      <c r="C167" s="17" t="n">
        <v>46048</v>
      </c>
      <c r="D167" s="15" t="s">
        <v>96</v>
      </c>
      <c r="E167" s="15" t="s">
        <v>97</v>
      </c>
    </row>
    <row r="168" customFormat="false" ht="15" hidden="false" customHeight="false" outlineLevel="0" collapsed="false">
      <c r="A168" s="0" t="s">
        <v>265</v>
      </c>
      <c r="B168" s="0" t="s">
        <v>77</v>
      </c>
      <c r="C168" s="17" t="n">
        <v>46029</v>
      </c>
      <c r="D168" s="15" t="s">
        <v>135</v>
      </c>
      <c r="E168" s="15" t="s">
        <v>65</v>
      </c>
    </row>
    <row r="169" customFormat="false" ht="15" hidden="false" customHeight="false" outlineLevel="0" collapsed="false">
      <c r="A169" s="0" t="s">
        <v>266</v>
      </c>
      <c r="B169" s="0" t="s">
        <v>39</v>
      </c>
      <c r="C169" s="17" t="n">
        <v>46068</v>
      </c>
      <c r="D169" s="15" t="s">
        <v>126</v>
      </c>
      <c r="E169" s="15" t="s">
        <v>69</v>
      </c>
    </row>
    <row r="170" customFormat="false" ht="15" hidden="false" customHeight="false" outlineLevel="0" collapsed="false">
      <c r="A170" s="0" t="s">
        <v>267</v>
      </c>
      <c r="B170" s="0" t="s">
        <v>77</v>
      </c>
      <c r="C170" s="17" t="n">
        <v>46028</v>
      </c>
      <c r="D170" s="15" t="s">
        <v>58</v>
      </c>
      <c r="E170" s="15" t="s">
        <v>97</v>
      </c>
    </row>
    <row r="171" customFormat="false" ht="15" hidden="false" customHeight="false" outlineLevel="0" collapsed="false">
      <c r="A171" s="0" t="s">
        <v>268</v>
      </c>
      <c r="B171" s="0" t="s">
        <v>71</v>
      </c>
      <c r="C171" s="17" t="n">
        <v>46043</v>
      </c>
      <c r="D171" s="15" t="s">
        <v>153</v>
      </c>
      <c r="E171" s="15" t="s">
        <v>59</v>
      </c>
    </row>
    <row r="172" customFormat="false" ht="15" hidden="false" customHeight="false" outlineLevel="0" collapsed="false">
      <c r="A172" s="0" t="s">
        <v>269</v>
      </c>
      <c r="B172" s="0" t="s">
        <v>124</v>
      </c>
      <c r="C172" s="17" t="n">
        <v>46076</v>
      </c>
      <c r="D172" s="15" t="s">
        <v>81</v>
      </c>
      <c r="E172" s="15" t="s">
        <v>85</v>
      </c>
    </row>
    <row r="173" customFormat="false" ht="15" hidden="false" customHeight="false" outlineLevel="0" collapsed="false">
      <c r="A173" s="0" t="s">
        <v>270</v>
      </c>
      <c r="B173" s="0" t="s">
        <v>35</v>
      </c>
      <c r="C173" s="17" t="n">
        <v>46080</v>
      </c>
      <c r="D173" s="15" t="s">
        <v>153</v>
      </c>
      <c r="E173" s="15" t="s">
        <v>172</v>
      </c>
    </row>
    <row r="174" customFormat="false" ht="15" hidden="false" customHeight="false" outlineLevel="0" collapsed="false">
      <c r="A174" s="0" t="s">
        <v>271</v>
      </c>
      <c r="B174" s="0" t="s">
        <v>124</v>
      </c>
      <c r="C174" s="17" t="n">
        <v>46030</v>
      </c>
      <c r="D174" s="15" t="s">
        <v>81</v>
      </c>
      <c r="E174" s="15" t="s">
        <v>69</v>
      </c>
    </row>
    <row r="175" customFormat="false" ht="15" hidden="false" customHeight="false" outlineLevel="0" collapsed="false">
      <c r="A175" s="0" t="s">
        <v>272</v>
      </c>
      <c r="B175" s="0" t="s">
        <v>57</v>
      </c>
      <c r="C175" s="17" t="n">
        <v>46074</v>
      </c>
      <c r="D175" s="15" t="s">
        <v>74</v>
      </c>
      <c r="E175" s="15" t="s">
        <v>62</v>
      </c>
    </row>
    <row r="176" customFormat="false" ht="15" hidden="false" customHeight="false" outlineLevel="0" collapsed="false">
      <c r="A176" s="0" t="s">
        <v>273</v>
      </c>
      <c r="B176" s="0" t="s">
        <v>37</v>
      </c>
      <c r="C176" s="17" t="n">
        <v>46066</v>
      </c>
      <c r="D176" s="15" t="s">
        <v>128</v>
      </c>
      <c r="E176" s="15" t="s">
        <v>69</v>
      </c>
    </row>
    <row r="177" customFormat="false" ht="15" hidden="false" customHeight="false" outlineLevel="0" collapsed="false">
      <c r="A177" s="0" t="s">
        <v>274</v>
      </c>
      <c r="B177" s="0" t="s">
        <v>99</v>
      </c>
      <c r="C177" s="17" t="n">
        <v>46059</v>
      </c>
      <c r="D177" s="15" t="s">
        <v>79</v>
      </c>
      <c r="E177" s="15" t="s">
        <v>59</v>
      </c>
    </row>
    <row r="178" customFormat="false" ht="15" hidden="false" customHeight="false" outlineLevel="0" collapsed="false">
      <c r="A178" s="0" t="s">
        <v>275</v>
      </c>
      <c r="B178" s="0" t="s">
        <v>67</v>
      </c>
      <c r="C178" s="17" t="n">
        <v>46055</v>
      </c>
      <c r="D178" s="15" t="s">
        <v>61</v>
      </c>
      <c r="E178" s="15" t="s">
        <v>62</v>
      </c>
    </row>
    <row r="179" customFormat="false" ht="15" hidden="false" customHeight="false" outlineLevel="0" collapsed="false">
      <c r="A179" s="0" t="s">
        <v>276</v>
      </c>
      <c r="B179" s="0" t="s">
        <v>41</v>
      </c>
      <c r="C179" s="17" t="n">
        <v>46049</v>
      </c>
      <c r="D179" s="15" t="s">
        <v>104</v>
      </c>
      <c r="E179" s="15" t="s">
        <v>65</v>
      </c>
    </row>
    <row r="180" customFormat="false" ht="15" hidden="false" customHeight="false" outlineLevel="0" collapsed="false">
      <c r="A180" s="0" t="s">
        <v>277</v>
      </c>
      <c r="B180" s="0" t="s">
        <v>67</v>
      </c>
      <c r="C180" s="17" t="n">
        <v>46050</v>
      </c>
      <c r="D180" s="15" t="s">
        <v>84</v>
      </c>
      <c r="E180" s="15" t="s">
        <v>97</v>
      </c>
    </row>
    <row r="181" customFormat="false" ht="15" hidden="false" customHeight="false" outlineLevel="0" collapsed="false">
      <c r="A181" s="0" t="s">
        <v>278</v>
      </c>
      <c r="B181" s="0" t="s">
        <v>103</v>
      </c>
      <c r="C181" s="17" t="n">
        <v>46029</v>
      </c>
      <c r="D181" s="15" t="s">
        <v>68</v>
      </c>
      <c r="E181" s="15" t="s">
        <v>59</v>
      </c>
    </row>
    <row r="182" customFormat="false" ht="15" hidden="false" customHeight="false" outlineLevel="0" collapsed="false">
      <c r="A182" s="0" t="s">
        <v>279</v>
      </c>
      <c r="B182" s="0" t="s">
        <v>116</v>
      </c>
      <c r="C182" s="17" t="n">
        <v>46045</v>
      </c>
      <c r="D182" s="15" t="s">
        <v>128</v>
      </c>
      <c r="E182" s="15" t="s">
        <v>65</v>
      </c>
    </row>
    <row r="183" customFormat="false" ht="15" hidden="false" customHeight="false" outlineLevel="0" collapsed="false">
      <c r="A183" s="0" t="s">
        <v>280</v>
      </c>
      <c r="B183" s="0" t="s">
        <v>71</v>
      </c>
      <c r="C183" s="17" t="n">
        <v>46066</v>
      </c>
      <c r="D183" s="15" t="s">
        <v>61</v>
      </c>
      <c r="E183" s="15" t="s">
        <v>85</v>
      </c>
    </row>
    <row r="184" customFormat="false" ht="15" hidden="false" customHeight="false" outlineLevel="0" collapsed="false">
      <c r="A184" s="0" t="s">
        <v>281</v>
      </c>
      <c r="B184" s="0" t="s">
        <v>92</v>
      </c>
      <c r="C184" s="17" t="n">
        <v>46035</v>
      </c>
      <c r="D184" s="15" t="s">
        <v>104</v>
      </c>
      <c r="E184" s="15" t="s">
        <v>65</v>
      </c>
    </row>
    <row r="185" customFormat="false" ht="15" hidden="false" customHeight="false" outlineLevel="0" collapsed="false">
      <c r="A185" s="0" t="s">
        <v>282</v>
      </c>
      <c r="B185" s="0" t="s">
        <v>39</v>
      </c>
      <c r="C185" s="17" t="n">
        <v>46045</v>
      </c>
      <c r="D185" s="15" t="s">
        <v>64</v>
      </c>
      <c r="E185" s="15" t="s">
        <v>97</v>
      </c>
    </row>
    <row r="186" customFormat="false" ht="15" hidden="false" customHeight="false" outlineLevel="0" collapsed="false">
      <c r="A186" s="0" t="s">
        <v>283</v>
      </c>
      <c r="B186" s="0" t="s">
        <v>83</v>
      </c>
      <c r="C186" s="17" t="n">
        <v>46038</v>
      </c>
      <c r="D186" s="15" t="s">
        <v>96</v>
      </c>
      <c r="E186" s="15" t="s">
        <v>105</v>
      </c>
    </row>
    <row r="187" customFormat="false" ht="15" hidden="false" customHeight="false" outlineLevel="0" collapsed="false">
      <c r="A187" s="0" t="s">
        <v>284</v>
      </c>
      <c r="B187" s="0" t="s">
        <v>116</v>
      </c>
      <c r="C187" s="17" t="n">
        <v>46028</v>
      </c>
      <c r="D187" s="15" t="s">
        <v>74</v>
      </c>
      <c r="E187" s="15" t="s">
        <v>62</v>
      </c>
    </row>
    <row r="188" customFormat="false" ht="15" hidden="false" customHeight="false" outlineLevel="0" collapsed="false">
      <c r="A188" s="0" t="s">
        <v>285</v>
      </c>
      <c r="B188" s="0" t="s">
        <v>39</v>
      </c>
      <c r="C188" s="17" t="n">
        <v>46060</v>
      </c>
      <c r="D188" s="15" t="s">
        <v>68</v>
      </c>
      <c r="E188" s="15" t="s">
        <v>65</v>
      </c>
    </row>
    <row r="189" customFormat="false" ht="15" hidden="false" customHeight="false" outlineLevel="0" collapsed="false">
      <c r="A189" s="0" t="s">
        <v>286</v>
      </c>
      <c r="B189" s="0" t="s">
        <v>41</v>
      </c>
      <c r="C189" s="17" t="n">
        <v>46067</v>
      </c>
      <c r="D189" s="15" t="s">
        <v>90</v>
      </c>
      <c r="E189" s="15" t="s">
        <v>62</v>
      </c>
    </row>
    <row r="190" customFormat="false" ht="15" hidden="false" customHeight="false" outlineLevel="0" collapsed="false">
      <c r="A190" s="0" t="s">
        <v>287</v>
      </c>
      <c r="B190" s="0" t="s">
        <v>71</v>
      </c>
      <c r="C190" s="17" t="n">
        <v>46034</v>
      </c>
      <c r="D190" s="15" t="s">
        <v>93</v>
      </c>
      <c r="E190" s="15" t="s">
        <v>62</v>
      </c>
    </row>
    <row r="191" customFormat="false" ht="15" hidden="false" customHeight="false" outlineLevel="0" collapsed="false">
      <c r="A191" s="0" t="s">
        <v>288</v>
      </c>
      <c r="B191" s="0" t="s">
        <v>33</v>
      </c>
      <c r="C191" s="17" t="n">
        <v>46045</v>
      </c>
      <c r="D191" s="15" t="s">
        <v>72</v>
      </c>
      <c r="E191" s="15" t="s">
        <v>65</v>
      </c>
    </row>
    <row r="192" customFormat="false" ht="15" hidden="false" customHeight="false" outlineLevel="0" collapsed="false">
      <c r="A192" s="0" t="s">
        <v>289</v>
      </c>
      <c r="B192" s="0" t="s">
        <v>77</v>
      </c>
      <c r="C192" s="17" t="n">
        <v>46056</v>
      </c>
      <c r="D192" s="15" t="s">
        <v>64</v>
      </c>
      <c r="E192" s="15" t="s">
        <v>69</v>
      </c>
    </row>
    <row r="193" customFormat="false" ht="15" hidden="false" customHeight="false" outlineLevel="0" collapsed="false">
      <c r="A193" s="0" t="s">
        <v>290</v>
      </c>
      <c r="B193" s="0" t="s">
        <v>95</v>
      </c>
      <c r="C193" s="17" t="n">
        <v>46071</v>
      </c>
      <c r="D193" s="15" t="s">
        <v>153</v>
      </c>
      <c r="E193" s="15" t="s">
        <v>69</v>
      </c>
    </row>
    <row r="194" customFormat="false" ht="15" hidden="false" customHeight="false" outlineLevel="0" collapsed="false">
      <c r="A194" s="0" t="s">
        <v>291</v>
      </c>
      <c r="B194" s="0" t="s">
        <v>37</v>
      </c>
      <c r="C194" s="17" t="n">
        <v>46042</v>
      </c>
      <c r="D194" s="15" t="s">
        <v>104</v>
      </c>
      <c r="E194" s="15" t="s">
        <v>59</v>
      </c>
    </row>
    <row r="195" customFormat="false" ht="15" hidden="false" customHeight="false" outlineLevel="0" collapsed="false">
      <c r="A195" s="0" t="s">
        <v>292</v>
      </c>
      <c r="B195" s="0" t="s">
        <v>112</v>
      </c>
      <c r="C195" s="17" t="n">
        <v>46043</v>
      </c>
      <c r="D195" s="15" t="s">
        <v>135</v>
      </c>
      <c r="E195" s="15" t="s">
        <v>97</v>
      </c>
    </row>
    <row r="196" customFormat="false" ht="15" hidden="false" customHeight="false" outlineLevel="0" collapsed="false">
      <c r="A196" s="0" t="s">
        <v>293</v>
      </c>
      <c r="B196" s="0" t="s">
        <v>116</v>
      </c>
      <c r="C196" s="17" t="n">
        <v>46046</v>
      </c>
      <c r="D196" s="15" t="s">
        <v>79</v>
      </c>
      <c r="E196" s="15" t="s">
        <v>85</v>
      </c>
    </row>
    <row r="197" customFormat="false" ht="15" hidden="false" customHeight="false" outlineLevel="0" collapsed="false">
      <c r="A197" s="0" t="s">
        <v>294</v>
      </c>
      <c r="B197" s="0" t="s">
        <v>95</v>
      </c>
      <c r="C197" s="17" t="n">
        <v>46034</v>
      </c>
      <c r="D197" s="15" t="s">
        <v>88</v>
      </c>
      <c r="E197" s="15" t="s">
        <v>69</v>
      </c>
    </row>
    <row r="198" customFormat="false" ht="15" hidden="false" customHeight="false" outlineLevel="0" collapsed="false">
      <c r="A198" s="0" t="s">
        <v>295</v>
      </c>
      <c r="B198" s="0" t="s">
        <v>124</v>
      </c>
      <c r="C198" s="17" t="n">
        <v>46069</v>
      </c>
      <c r="D198" s="15" t="s">
        <v>104</v>
      </c>
      <c r="E198" s="15" t="s">
        <v>151</v>
      </c>
    </row>
    <row r="199" customFormat="false" ht="15" hidden="false" customHeight="false" outlineLevel="0" collapsed="false">
      <c r="A199" s="0" t="s">
        <v>296</v>
      </c>
      <c r="B199" s="0" t="s">
        <v>77</v>
      </c>
      <c r="C199" s="17" t="n">
        <v>46068</v>
      </c>
      <c r="D199" s="15" t="s">
        <v>153</v>
      </c>
      <c r="E199" s="15" t="s">
        <v>97</v>
      </c>
    </row>
    <row r="200" customFormat="false" ht="15" hidden="false" customHeight="false" outlineLevel="0" collapsed="false">
      <c r="A200" s="0" t="s">
        <v>297</v>
      </c>
      <c r="B200" s="0" t="s">
        <v>92</v>
      </c>
      <c r="C200" s="17" t="n">
        <v>46047</v>
      </c>
      <c r="D200" s="15" t="s">
        <v>88</v>
      </c>
      <c r="E200" s="15" t="s">
        <v>62</v>
      </c>
    </row>
    <row r="201" customFormat="false" ht="15" hidden="false" customHeight="false" outlineLevel="0" collapsed="false">
      <c r="A201" s="0" t="s">
        <v>298</v>
      </c>
      <c r="B201" s="0" t="s">
        <v>33</v>
      </c>
      <c r="C201" s="17" t="n">
        <v>46047</v>
      </c>
      <c r="D201" s="15" t="s">
        <v>61</v>
      </c>
      <c r="E201" s="15" t="s">
        <v>85</v>
      </c>
    </row>
    <row r="202" customFormat="false" ht="15" hidden="false" customHeight="false" outlineLevel="0" collapsed="false">
      <c r="A202" s="0" t="s">
        <v>299</v>
      </c>
      <c r="B202" s="0" t="s">
        <v>43</v>
      </c>
      <c r="C202" s="17" t="n">
        <v>46070</v>
      </c>
      <c r="D202" s="15" t="s">
        <v>153</v>
      </c>
      <c r="E202" s="15" t="s">
        <v>65</v>
      </c>
    </row>
    <row r="203" customFormat="false" ht="15" hidden="false" customHeight="false" outlineLevel="0" collapsed="false">
      <c r="A203" s="0" t="s">
        <v>300</v>
      </c>
      <c r="B203" s="0" t="s">
        <v>57</v>
      </c>
      <c r="C203" s="17" t="n">
        <v>46054</v>
      </c>
      <c r="D203" s="15" t="s">
        <v>90</v>
      </c>
      <c r="E203" s="15" t="s">
        <v>97</v>
      </c>
    </row>
    <row r="204" customFormat="false" ht="15" hidden="false" customHeight="false" outlineLevel="0" collapsed="false">
      <c r="A204" s="0" t="s">
        <v>301</v>
      </c>
      <c r="B204" s="0" t="s">
        <v>33</v>
      </c>
      <c r="C204" s="17" t="n">
        <v>46031</v>
      </c>
      <c r="D204" s="15" t="s">
        <v>58</v>
      </c>
      <c r="E204" s="15" t="s">
        <v>69</v>
      </c>
    </row>
    <row r="205" customFormat="false" ht="15" hidden="false" customHeight="false" outlineLevel="0" collapsed="false">
      <c r="A205" s="0" t="s">
        <v>302</v>
      </c>
      <c r="B205" s="0" t="s">
        <v>92</v>
      </c>
      <c r="C205" s="17" t="n">
        <v>46066</v>
      </c>
      <c r="D205" s="15" t="s">
        <v>135</v>
      </c>
      <c r="E205" s="15" t="s">
        <v>105</v>
      </c>
    </row>
    <row r="206" customFormat="false" ht="15" hidden="false" customHeight="false" outlineLevel="0" collapsed="false">
      <c r="A206" s="0" t="s">
        <v>303</v>
      </c>
      <c r="B206" s="0" t="s">
        <v>95</v>
      </c>
      <c r="C206" s="17" t="n">
        <v>46049</v>
      </c>
      <c r="D206" s="15" t="s">
        <v>90</v>
      </c>
      <c r="E206" s="15" t="s">
        <v>69</v>
      </c>
    </row>
    <row r="207" customFormat="false" ht="15" hidden="false" customHeight="false" outlineLevel="0" collapsed="false">
      <c r="A207" s="0" t="s">
        <v>304</v>
      </c>
      <c r="B207" s="0" t="s">
        <v>33</v>
      </c>
      <c r="C207" s="17" t="n">
        <v>46047</v>
      </c>
      <c r="D207" s="15" t="s">
        <v>74</v>
      </c>
      <c r="E207" s="15" t="s">
        <v>69</v>
      </c>
    </row>
    <row r="208" customFormat="false" ht="15" hidden="false" customHeight="false" outlineLevel="0" collapsed="false">
      <c r="A208" s="0" t="s">
        <v>305</v>
      </c>
      <c r="B208" s="0" t="s">
        <v>124</v>
      </c>
      <c r="C208" s="17" t="n">
        <v>46060</v>
      </c>
      <c r="D208" s="15" t="s">
        <v>135</v>
      </c>
      <c r="E208" s="15" t="s">
        <v>151</v>
      </c>
    </row>
    <row r="209" customFormat="false" ht="15" hidden="false" customHeight="false" outlineLevel="0" collapsed="false">
      <c r="A209" s="0" t="s">
        <v>306</v>
      </c>
      <c r="B209" s="0" t="s">
        <v>43</v>
      </c>
      <c r="C209" s="17" t="n">
        <v>46042</v>
      </c>
      <c r="D209" s="15" t="s">
        <v>68</v>
      </c>
      <c r="E209" s="15" t="s">
        <v>62</v>
      </c>
    </row>
    <row r="210" customFormat="false" ht="15" hidden="false" customHeight="false" outlineLevel="0" collapsed="false">
      <c r="A210" s="0" t="s">
        <v>307</v>
      </c>
      <c r="B210" s="0" t="s">
        <v>124</v>
      </c>
      <c r="C210" s="17" t="n">
        <v>46066</v>
      </c>
      <c r="D210" s="15" t="s">
        <v>88</v>
      </c>
      <c r="E210" s="15" t="s">
        <v>59</v>
      </c>
    </row>
    <row r="211" customFormat="false" ht="15" hidden="false" customHeight="false" outlineLevel="0" collapsed="false">
      <c r="A211" s="0" t="s">
        <v>308</v>
      </c>
      <c r="B211" s="0" t="s">
        <v>92</v>
      </c>
      <c r="C211" s="17" t="n">
        <v>46057</v>
      </c>
      <c r="D211" s="15" t="s">
        <v>74</v>
      </c>
      <c r="E211" s="15" t="s">
        <v>59</v>
      </c>
    </row>
    <row r="212" customFormat="false" ht="15" hidden="false" customHeight="false" outlineLevel="0" collapsed="false">
      <c r="A212" s="0" t="s">
        <v>309</v>
      </c>
      <c r="B212" s="0" t="s">
        <v>99</v>
      </c>
      <c r="C212" s="17" t="n">
        <v>46069</v>
      </c>
      <c r="D212" s="15" t="s">
        <v>128</v>
      </c>
      <c r="E212" s="15" t="s">
        <v>85</v>
      </c>
    </row>
    <row r="213" customFormat="false" ht="15" hidden="false" customHeight="false" outlineLevel="0" collapsed="false">
      <c r="A213" s="0" t="s">
        <v>310</v>
      </c>
      <c r="B213" s="0" t="s">
        <v>99</v>
      </c>
      <c r="C213" s="17" t="n">
        <v>46061</v>
      </c>
      <c r="D213" s="15" t="s">
        <v>126</v>
      </c>
      <c r="E213" s="15" t="s">
        <v>97</v>
      </c>
    </row>
    <row r="214" customFormat="false" ht="15" hidden="false" customHeight="false" outlineLevel="0" collapsed="false">
      <c r="A214" s="0" t="s">
        <v>311</v>
      </c>
      <c r="B214" s="0" t="s">
        <v>95</v>
      </c>
      <c r="C214" s="17" t="n">
        <v>46037</v>
      </c>
      <c r="D214" s="15" t="s">
        <v>72</v>
      </c>
      <c r="E214" s="15" t="s">
        <v>65</v>
      </c>
    </row>
    <row r="215" customFormat="false" ht="15" hidden="false" customHeight="false" outlineLevel="0" collapsed="false">
      <c r="A215" s="0" t="s">
        <v>312</v>
      </c>
      <c r="B215" s="0" t="s">
        <v>37</v>
      </c>
      <c r="C215" s="17" t="n">
        <v>46069</v>
      </c>
      <c r="D215" s="15" t="s">
        <v>126</v>
      </c>
      <c r="E215" s="15" t="s">
        <v>69</v>
      </c>
    </row>
    <row r="216" customFormat="false" ht="15" hidden="false" customHeight="false" outlineLevel="0" collapsed="false">
      <c r="A216" s="0" t="s">
        <v>313</v>
      </c>
      <c r="B216" s="0" t="s">
        <v>33</v>
      </c>
      <c r="C216" s="17" t="n">
        <v>46044</v>
      </c>
      <c r="D216" s="15" t="s">
        <v>64</v>
      </c>
      <c r="E216" s="15" t="s">
        <v>65</v>
      </c>
    </row>
    <row r="217" customFormat="false" ht="15" hidden="false" customHeight="false" outlineLevel="0" collapsed="false">
      <c r="A217" s="0" t="s">
        <v>314</v>
      </c>
      <c r="B217" s="0" t="s">
        <v>99</v>
      </c>
      <c r="C217" s="17" t="n">
        <v>46042</v>
      </c>
      <c r="D217" s="15" t="s">
        <v>68</v>
      </c>
      <c r="E217" s="15" t="s">
        <v>85</v>
      </c>
    </row>
    <row r="218" customFormat="false" ht="15" hidden="false" customHeight="false" outlineLevel="0" collapsed="false">
      <c r="A218" s="0" t="s">
        <v>315</v>
      </c>
      <c r="B218" s="0" t="s">
        <v>39</v>
      </c>
      <c r="C218" s="17" t="n">
        <v>46071</v>
      </c>
      <c r="D218" s="15" t="s">
        <v>74</v>
      </c>
      <c r="E218" s="15" t="s">
        <v>85</v>
      </c>
    </row>
    <row r="219" customFormat="false" ht="15" hidden="false" customHeight="false" outlineLevel="0" collapsed="false">
      <c r="A219" s="0" t="s">
        <v>316</v>
      </c>
      <c r="B219" s="0" t="s">
        <v>99</v>
      </c>
      <c r="C219" s="17" t="n">
        <v>46074</v>
      </c>
      <c r="D219" s="15" t="s">
        <v>84</v>
      </c>
      <c r="E219" s="15" t="s">
        <v>172</v>
      </c>
    </row>
    <row r="220" customFormat="false" ht="15" hidden="false" customHeight="false" outlineLevel="0" collapsed="false">
      <c r="A220" s="0" t="s">
        <v>317</v>
      </c>
      <c r="B220" s="0" t="s">
        <v>124</v>
      </c>
      <c r="C220" s="17" t="n">
        <v>46052</v>
      </c>
      <c r="D220" s="15" t="s">
        <v>58</v>
      </c>
      <c r="E220" s="15" t="s">
        <v>75</v>
      </c>
    </row>
    <row r="221" customFormat="false" ht="15" hidden="false" customHeight="false" outlineLevel="0" collapsed="false">
      <c r="A221" s="0" t="s">
        <v>318</v>
      </c>
      <c r="B221" s="0" t="s">
        <v>103</v>
      </c>
      <c r="C221" s="17" t="n">
        <v>46078</v>
      </c>
      <c r="D221" s="15" t="s">
        <v>74</v>
      </c>
      <c r="E221" s="15" t="s">
        <v>172</v>
      </c>
    </row>
    <row r="222" customFormat="false" ht="15" hidden="false" customHeight="false" outlineLevel="0" collapsed="false">
      <c r="A222" s="0" t="s">
        <v>319</v>
      </c>
      <c r="B222" s="0" t="s">
        <v>41</v>
      </c>
      <c r="C222" s="17" t="n">
        <v>46049</v>
      </c>
      <c r="D222" s="15" t="s">
        <v>58</v>
      </c>
      <c r="E222" s="15" t="s">
        <v>109</v>
      </c>
    </row>
    <row r="223" customFormat="false" ht="15" hidden="false" customHeight="false" outlineLevel="0" collapsed="false">
      <c r="A223" s="0" t="s">
        <v>320</v>
      </c>
      <c r="B223" s="0" t="s">
        <v>83</v>
      </c>
      <c r="C223" s="17" t="n">
        <v>46078</v>
      </c>
      <c r="D223" s="15" t="s">
        <v>90</v>
      </c>
      <c r="E223" s="15" t="s">
        <v>59</v>
      </c>
    </row>
    <row r="224" customFormat="false" ht="15" hidden="false" customHeight="false" outlineLevel="0" collapsed="false">
      <c r="A224" s="0" t="s">
        <v>321</v>
      </c>
      <c r="B224" s="0" t="s">
        <v>116</v>
      </c>
      <c r="C224" s="17" t="n">
        <v>46057</v>
      </c>
      <c r="D224" s="15" t="s">
        <v>153</v>
      </c>
      <c r="E224" s="15" t="s">
        <v>97</v>
      </c>
    </row>
    <row r="225" customFormat="false" ht="15" hidden="false" customHeight="false" outlineLevel="0" collapsed="false">
      <c r="A225" s="0" t="s">
        <v>322</v>
      </c>
      <c r="B225" s="0" t="s">
        <v>77</v>
      </c>
      <c r="C225" s="17" t="n">
        <v>46069</v>
      </c>
      <c r="D225" s="15" t="s">
        <v>90</v>
      </c>
      <c r="E225" s="15" t="s">
        <v>69</v>
      </c>
    </row>
    <row r="226" customFormat="false" ht="15" hidden="false" customHeight="false" outlineLevel="0" collapsed="false">
      <c r="A226" s="0" t="s">
        <v>323</v>
      </c>
      <c r="B226" s="0" t="s">
        <v>43</v>
      </c>
      <c r="C226" s="17" t="n">
        <v>46054</v>
      </c>
      <c r="D226" s="15" t="s">
        <v>74</v>
      </c>
      <c r="E226" s="15" t="s">
        <v>97</v>
      </c>
    </row>
    <row r="227" customFormat="false" ht="15" hidden="false" customHeight="false" outlineLevel="0" collapsed="false">
      <c r="A227" s="0" t="s">
        <v>324</v>
      </c>
      <c r="B227" s="0" t="s">
        <v>41</v>
      </c>
      <c r="C227" s="17" t="n">
        <v>46055</v>
      </c>
      <c r="D227" s="15" t="s">
        <v>107</v>
      </c>
      <c r="E227" s="15" t="s">
        <v>85</v>
      </c>
    </row>
    <row r="228" customFormat="false" ht="15" hidden="false" customHeight="false" outlineLevel="0" collapsed="false">
      <c r="A228" s="0" t="s">
        <v>325</v>
      </c>
      <c r="B228" s="0" t="s">
        <v>35</v>
      </c>
      <c r="C228" s="17" t="n">
        <v>46067</v>
      </c>
      <c r="D228" s="15" t="s">
        <v>96</v>
      </c>
      <c r="E228" s="15" t="s">
        <v>97</v>
      </c>
    </row>
    <row r="229" customFormat="false" ht="15" hidden="false" customHeight="false" outlineLevel="0" collapsed="false">
      <c r="A229" s="0" t="s">
        <v>326</v>
      </c>
      <c r="B229" s="0" t="s">
        <v>83</v>
      </c>
      <c r="C229" s="17" t="n">
        <v>46059</v>
      </c>
      <c r="D229" s="15" t="s">
        <v>90</v>
      </c>
      <c r="E229" s="15" t="s">
        <v>97</v>
      </c>
    </row>
    <row r="230" customFormat="false" ht="15" hidden="false" customHeight="false" outlineLevel="0" collapsed="false">
      <c r="A230" s="0" t="s">
        <v>318</v>
      </c>
      <c r="B230" s="0" t="s">
        <v>103</v>
      </c>
      <c r="C230" s="17" t="n">
        <v>46078</v>
      </c>
      <c r="D230" s="15" t="s">
        <v>74</v>
      </c>
      <c r="E230" s="15" t="s">
        <v>172</v>
      </c>
    </row>
    <row r="231" customFormat="false" ht="15" hidden="false" customHeight="false" outlineLevel="0" collapsed="false">
      <c r="A231" s="0" t="s">
        <v>327</v>
      </c>
      <c r="B231" s="0" t="s">
        <v>77</v>
      </c>
      <c r="C231" s="17" t="n">
        <v>46060</v>
      </c>
      <c r="D231" s="15" t="s">
        <v>104</v>
      </c>
      <c r="E231" s="15" t="s">
        <v>59</v>
      </c>
    </row>
    <row r="232" customFormat="false" ht="15" hidden="false" customHeight="false" outlineLevel="0" collapsed="false">
      <c r="A232" s="0" t="s">
        <v>328</v>
      </c>
      <c r="B232" s="0" t="s">
        <v>116</v>
      </c>
      <c r="C232" s="17" t="n">
        <v>46081</v>
      </c>
      <c r="D232" s="15" t="s">
        <v>72</v>
      </c>
      <c r="E232" s="15" t="s">
        <v>69</v>
      </c>
    </row>
    <row r="233" customFormat="false" ht="15" hidden="false" customHeight="false" outlineLevel="0" collapsed="false">
      <c r="A233" s="0" t="s">
        <v>329</v>
      </c>
      <c r="B233" s="0" t="s">
        <v>57</v>
      </c>
      <c r="C233" s="17" t="n">
        <v>46048</v>
      </c>
      <c r="D233" s="15" t="s">
        <v>58</v>
      </c>
      <c r="E233" s="15" t="s">
        <v>62</v>
      </c>
    </row>
    <row r="234" customFormat="false" ht="15" hidden="false" customHeight="false" outlineLevel="0" collapsed="false">
      <c r="A234" s="0" t="s">
        <v>330</v>
      </c>
      <c r="B234" s="0" t="s">
        <v>77</v>
      </c>
      <c r="C234" s="17" t="n">
        <v>46031</v>
      </c>
      <c r="D234" s="15" t="s">
        <v>64</v>
      </c>
      <c r="E234" s="15" t="s">
        <v>62</v>
      </c>
    </row>
    <row r="235" customFormat="false" ht="15" hidden="false" customHeight="false" outlineLevel="0" collapsed="false">
      <c r="A235" s="0" t="s">
        <v>331</v>
      </c>
      <c r="B235" s="0" t="s">
        <v>33</v>
      </c>
      <c r="C235" s="17" t="n">
        <v>46066</v>
      </c>
      <c r="D235" s="15" t="s">
        <v>96</v>
      </c>
      <c r="E235" s="15" t="s">
        <v>97</v>
      </c>
    </row>
    <row r="236" customFormat="false" ht="15" hidden="false" customHeight="false" outlineLevel="0" collapsed="false">
      <c r="A236" s="0" t="s">
        <v>332</v>
      </c>
      <c r="B236" s="0" t="s">
        <v>116</v>
      </c>
      <c r="C236" s="17" t="n">
        <v>46076</v>
      </c>
      <c r="D236" s="15" t="s">
        <v>101</v>
      </c>
      <c r="E236" s="15" t="s">
        <v>59</v>
      </c>
    </row>
    <row r="237" customFormat="false" ht="15" hidden="false" customHeight="false" outlineLevel="0" collapsed="false">
      <c r="A237" s="0" t="s">
        <v>333</v>
      </c>
      <c r="B237" s="0" t="s">
        <v>83</v>
      </c>
      <c r="C237" s="17" t="n">
        <v>46048</v>
      </c>
      <c r="D237" s="15" t="s">
        <v>64</v>
      </c>
      <c r="E237" s="15" t="s">
        <v>97</v>
      </c>
    </row>
    <row r="238" customFormat="false" ht="15" hidden="false" customHeight="false" outlineLevel="0" collapsed="false">
      <c r="A238" s="0" t="s">
        <v>334</v>
      </c>
      <c r="B238" s="0" t="s">
        <v>92</v>
      </c>
      <c r="C238" s="17" t="n">
        <v>46081</v>
      </c>
      <c r="D238" s="15" t="s">
        <v>135</v>
      </c>
      <c r="E238" s="15" t="s">
        <v>69</v>
      </c>
    </row>
    <row r="239" customFormat="false" ht="15" hidden="false" customHeight="false" outlineLevel="0" collapsed="false">
      <c r="A239" s="0" t="s">
        <v>335</v>
      </c>
      <c r="B239" s="0" t="s">
        <v>99</v>
      </c>
      <c r="C239" s="17" t="n">
        <v>46043</v>
      </c>
      <c r="D239" s="15" t="s">
        <v>101</v>
      </c>
      <c r="E239" s="15" t="s">
        <v>85</v>
      </c>
    </row>
    <row r="240" customFormat="false" ht="15" hidden="false" customHeight="false" outlineLevel="0" collapsed="false">
      <c r="A240" s="0" t="s">
        <v>336</v>
      </c>
      <c r="B240" s="0" t="s">
        <v>41</v>
      </c>
      <c r="C240" s="17" t="n">
        <v>46054</v>
      </c>
      <c r="D240" s="15" t="s">
        <v>61</v>
      </c>
      <c r="E240" s="15" t="s">
        <v>65</v>
      </c>
    </row>
    <row r="241" customFormat="false" ht="15" hidden="false" customHeight="false" outlineLevel="0" collapsed="false">
      <c r="A241" s="0" t="s">
        <v>337</v>
      </c>
      <c r="B241" s="0" t="s">
        <v>112</v>
      </c>
      <c r="C241" s="17" t="n">
        <v>46073</v>
      </c>
      <c r="D241" s="15" t="s">
        <v>68</v>
      </c>
      <c r="E241" s="15" t="s">
        <v>59</v>
      </c>
    </row>
    <row r="242" customFormat="false" ht="15" hidden="false" customHeight="false" outlineLevel="0" collapsed="false">
      <c r="A242" s="0" t="s">
        <v>122</v>
      </c>
      <c r="B242" s="0" t="s">
        <v>37</v>
      </c>
      <c r="C242" s="17" t="n">
        <v>46081</v>
      </c>
      <c r="D242" s="15" t="s">
        <v>61</v>
      </c>
      <c r="E242" s="15" t="s">
        <v>105</v>
      </c>
    </row>
    <row r="243" customFormat="false" ht="15" hidden="false" customHeight="false" outlineLevel="0" collapsed="false">
      <c r="A243" s="0" t="s">
        <v>338</v>
      </c>
      <c r="B243" s="0" t="s">
        <v>92</v>
      </c>
      <c r="C243" s="17" t="n">
        <v>46064</v>
      </c>
      <c r="D243" s="15" t="s">
        <v>93</v>
      </c>
      <c r="E243" s="15" t="s">
        <v>85</v>
      </c>
    </row>
    <row r="244" customFormat="false" ht="15" hidden="false" customHeight="false" outlineLevel="0" collapsed="false">
      <c r="A244" s="0" t="s">
        <v>339</v>
      </c>
      <c r="B244" s="0" t="s">
        <v>103</v>
      </c>
      <c r="C244" s="17" t="n">
        <v>46075</v>
      </c>
      <c r="D244" s="15" t="s">
        <v>61</v>
      </c>
      <c r="E244" s="15" t="s">
        <v>62</v>
      </c>
    </row>
    <row r="245" customFormat="false" ht="15" hidden="false" customHeight="false" outlineLevel="0" collapsed="false">
      <c r="A245" s="0" t="s">
        <v>340</v>
      </c>
      <c r="B245" s="0" t="s">
        <v>103</v>
      </c>
      <c r="C245" s="17" t="n">
        <v>46036</v>
      </c>
      <c r="D245" s="15" t="s">
        <v>61</v>
      </c>
      <c r="E245" s="15" t="s">
        <v>69</v>
      </c>
    </row>
    <row r="246" customFormat="false" ht="15" hidden="false" customHeight="false" outlineLevel="0" collapsed="false">
      <c r="A246" s="0" t="s">
        <v>341</v>
      </c>
      <c r="B246" s="0" t="s">
        <v>37</v>
      </c>
      <c r="C246" s="17" t="n">
        <v>46055</v>
      </c>
      <c r="D246" s="15" t="s">
        <v>101</v>
      </c>
      <c r="E246" s="15" t="s">
        <v>59</v>
      </c>
    </row>
    <row r="247" customFormat="false" ht="15" hidden="false" customHeight="false" outlineLevel="0" collapsed="false">
      <c r="A247" s="0" t="s">
        <v>342</v>
      </c>
      <c r="B247" s="0" t="s">
        <v>37</v>
      </c>
      <c r="C247" s="17" t="n">
        <v>46056</v>
      </c>
      <c r="D247" s="15" t="s">
        <v>135</v>
      </c>
      <c r="E247" s="15" t="s">
        <v>105</v>
      </c>
    </row>
    <row r="248" customFormat="false" ht="15" hidden="false" customHeight="false" outlineLevel="0" collapsed="false">
      <c r="A248" s="0" t="s">
        <v>343</v>
      </c>
      <c r="B248" s="0" t="s">
        <v>95</v>
      </c>
      <c r="C248" s="17" t="n">
        <v>46051</v>
      </c>
      <c r="D248" s="15" t="s">
        <v>68</v>
      </c>
      <c r="E248" s="15" t="s">
        <v>65</v>
      </c>
    </row>
    <row r="249" customFormat="false" ht="15" hidden="false" customHeight="false" outlineLevel="0" collapsed="false">
      <c r="A249" s="0" t="s">
        <v>344</v>
      </c>
      <c r="B249" s="0" t="s">
        <v>116</v>
      </c>
      <c r="C249" s="17" t="n">
        <v>46051</v>
      </c>
      <c r="D249" s="15" t="s">
        <v>126</v>
      </c>
      <c r="E249" s="15" t="s">
        <v>65</v>
      </c>
    </row>
    <row r="250" customFormat="false" ht="15" hidden="false" customHeight="false" outlineLevel="0" collapsed="false">
      <c r="A250" s="0" t="s">
        <v>345</v>
      </c>
      <c r="B250" s="0" t="s">
        <v>103</v>
      </c>
      <c r="C250" s="17" t="n">
        <v>46039</v>
      </c>
      <c r="D250" s="15" t="s">
        <v>90</v>
      </c>
      <c r="E250" s="15" t="s">
        <v>85</v>
      </c>
    </row>
    <row r="251" customFormat="false" ht="15" hidden="false" customHeight="false" outlineLevel="0" collapsed="false">
      <c r="A251" s="0" t="s">
        <v>346</v>
      </c>
      <c r="B251" s="0" t="s">
        <v>99</v>
      </c>
      <c r="C251" s="17" t="n">
        <v>46070</v>
      </c>
      <c r="D251" s="15" t="s">
        <v>107</v>
      </c>
      <c r="E251" s="15" t="s">
        <v>85</v>
      </c>
    </row>
    <row r="252" customFormat="false" ht="15" hidden="false" customHeight="false" outlineLevel="0" collapsed="false">
      <c r="A252" s="0" t="s">
        <v>347</v>
      </c>
      <c r="B252" s="0" t="s">
        <v>103</v>
      </c>
      <c r="C252" s="17" t="n">
        <v>46064</v>
      </c>
      <c r="D252" s="15" t="s">
        <v>79</v>
      </c>
      <c r="E252" s="15" t="s">
        <v>151</v>
      </c>
    </row>
    <row r="253" customFormat="false" ht="15" hidden="false" customHeight="false" outlineLevel="0" collapsed="false">
      <c r="A253" s="0" t="s">
        <v>348</v>
      </c>
      <c r="B253" s="0" t="s">
        <v>67</v>
      </c>
      <c r="C253" s="17" t="n">
        <v>46031</v>
      </c>
      <c r="D253" s="15" t="s">
        <v>79</v>
      </c>
      <c r="E253" s="15" t="s">
        <v>65</v>
      </c>
    </row>
    <row r="254" customFormat="false" ht="15" hidden="false" customHeight="false" outlineLevel="0" collapsed="false">
      <c r="A254" s="0" t="s">
        <v>349</v>
      </c>
      <c r="B254" s="0" t="s">
        <v>77</v>
      </c>
      <c r="C254" s="17" t="n">
        <v>46048</v>
      </c>
      <c r="D254" s="15" t="s">
        <v>107</v>
      </c>
      <c r="E254" s="15" t="s">
        <v>85</v>
      </c>
    </row>
    <row r="255" customFormat="false" ht="15" hidden="false" customHeight="false" outlineLevel="0" collapsed="false">
      <c r="A255" s="0" t="s">
        <v>350</v>
      </c>
      <c r="B255" s="0" t="s">
        <v>112</v>
      </c>
      <c r="C255" s="17" t="n">
        <v>46036</v>
      </c>
      <c r="D255" s="15" t="s">
        <v>126</v>
      </c>
      <c r="E255" s="15" t="s">
        <v>62</v>
      </c>
    </row>
    <row r="256" customFormat="false" ht="15" hidden="false" customHeight="false" outlineLevel="0" collapsed="false">
      <c r="A256" s="0" t="s">
        <v>351</v>
      </c>
      <c r="B256" s="0" t="s">
        <v>77</v>
      </c>
      <c r="C256" s="17" t="n">
        <v>46058</v>
      </c>
      <c r="D256" s="15" t="s">
        <v>101</v>
      </c>
      <c r="E256" s="15" t="s">
        <v>62</v>
      </c>
    </row>
    <row r="257" customFormat="false" ht="15" hidden="false" customHeight="false" outlineLevel="0" collapsed="false">
      <c r="A257" s="0" t="s">
        <v>352</v>
      </c>
      <c r="B257" s="0" t="s">
        <v>35</v>
      </c>
      <c r="C257" s="17" t="n">
        <v>46058</v>
      </c>
      <c r="D257" s="15" t="s">
        <v>64</v>
      </c>
      <c r="E257" s="15" t="s">
        <v>65</v>
      </c>
    </row>
    <row r="258" customFormat="false" ht="15" hidden="false" customHeight="false" outlineLevel="0" collapsed="false">
      <c r="A258" s="0" t="s">
        <v>353</v>
      </c>
      <c r="B258" s="0" t="s">
        <v>35</v>
      </c>
      <c r="C258" s="17" t="n">
        <v>46049</v>
      </c>
      <c r="D258" s="15" t="s">
        <v>135</v>
      </c>
      <c r="E258" s="15" t="s">
        <v>105</v>
      </c>
    </row>
    <row r="259" customFormat="false" ht="15" hidden="false" customHeight="false" outlineLevel="0" collapsed="false">
      <c r="A259" s="0" t="s">
        <v>354</v>
      </c>
      <c r="B259" s="0" t="s">
        <v>43</v>
      </c>
      <c r="C259" s="17" t="n">
        <v>46068</v>
      </c>
      <c r="D259" s="15" t="s">
        <v>101</v>
      </c>
      <c r="E259" s="15" t="s">
        <v>85</v>
      </c>
    </row>
    <row r="260" customFormat="false" ht="15" hidden="false" customHeight="false" outlineLevel="0" collapsed="false">
      <c r="A260" s="0" t="s">
        <v>355</v>
      </c>
      <c r="B260" s="0" t="s">
        <v>116</v>
      </c>
      <c r="C260" s="17" t="n">
        <v>46038</v>
      </c>
      <c r="D260" s="15" t="s">
        <v>61</v>
      </c>
      <c r="E260" s="15" t="s">
        <v>75</v>
      </c>
    </row>
    <row r="261" customFormat="false" ht="15" hidden="false" customHeight="false" outlineLevel="0" collapsed="false">
      <c r="A261" s="0" t="s">
        <v>356</v>
      </c>
      <c r="B261" s="0" t="s">
        <v>41</v>
      </c>
      <c r="C261" s="17" t="n">
        <v>46059</v>
      </c>
      <c r="D261" s="15" t="s">
        <v>58</v>
      </c>
      <c r="E261" s="15" t="s">
        <v>59</v>
      </c>
    </row>
    <row r="262" customFormat="false" ht="15" hidden="false" customHeight="false" outlineLevel="0" collapsed="false">
      <c r="A262" s="0" t="s">
        <v>357</v>
      </c>
      <c r="B262" s="0" t="s">
        <v>67</v>
      </c>
      <c r="C262" s="17" t="n">
        <v>46044</v>
      </c>
      <c r="D262" s="15" t="s">
        <v>64</v>
      </c>
      <c r="E262" s="15" t="s">
        <v>85</v>
      </c>
    </row>
    <row r="263" customFormat="false" ht="15" hidden="false" customHeight="false" outlineLevel="0" collapsed="false">
      <c r="A263" s="0" t="s">
        <v>358</v>
      </c>
      <c r="B263" s="0" t="s">
        <v>35</v>
      </c>
      <c r="C263" s="17" t="n">
        <v>46034</v>
      </c>
      <c r="D263" s="15" t="s">
        <v>90</v>
      </c>
      <c r="E263" s="15" t="s">
        <v>85</v>
      </c>
    </row>
    <row r="264" customFormat="false" ht="15" hidden="false" customHeight="false" outlineLevel="0" collapsed="false">
      <c r="A264" s="0" t="s">
        <v>359</v>
      </c>
      <c r="B264" s="0" t="s">
        <v>116</v>
      </c>
      <c r="C264" s="17" t="n">
        <v>46037</v>
      </c>
      <c r="D264" s="15" t="s">
        <v>96</v>
      </c>
      <c r="E264" s="15" t="s">
        <v>148</v>
      </c>
    </row>
    <row r="265" customFormat="false" ht="15" hidden="false" customHeight="false" outlineLevel="0" collapsed="false">
      <c r="A265" s="0" t="s">
        <v>360</v>
      </c>
      <c r="B265" s="0" t="s">
        <v>57</v>
      </c>
      <c r="C265" s="17" t="n">
        <v>46078</v>
      </c>
      <c r="D265" s="15" t="s">
        <v>90</v>
      </c>
      <c r="E265" s="15" t="s">
        <v>62</v>
      </c>
    </row>
    <row r="266" customFormat="false" ht="15" hidden="false" customHeight="false" outlineLevel="0" collapsed="false">
      <c r="A266" s="0" t="s">
        <v>361</v>
      </c>
      <c r="B266" s="0" t="s">
        <v>95</v>
      </c>
      <c r="C266" s="17" t="n">
        <v>46062</v>
      </c>
      <c r="D266" s="15" t="s">
        <v>126</v>
      </c>
      <c r="E266" s="15" t="s">
        <v>97</v>
      </c>
    </row>
    <row r="267" customFormat="false" ht="15" hidden="false" customHeight="false" outlineLevel="0" collapsed="false">
      <c r="A267" s="0" t="s">
        <v>362</v>
      </c>
      <c r="B267" s="0" t="s">
        <v>43</v>
      </c>
      <c r="C267" s="17" t="n">
        <v>46029</v>
      </c>
      <c r="D267" s="15" t="s">
        <v>88</v>
      </c>
      <c r="E267" s="15" t="s">
        <v>65</v>
      </c>
    </row>
    <row r="268" customFormat="false" ht="15" hidden="false" customHeight="false" outlineLevel="0" collapsed="false">
      <c r="A268" s="0" t="s">
        <v>363</v>
      </c>
      <c r="B268" s="0" t="s">
        <v>99</v>
      </c>
      <c r="C268" s="17" t="n">
        <v>46075</v>
      </c>
      <c r="D268" s="15" t="s">
        <v>58</v>
      </c>
      <c r="E268" s="15" t="s">
        <v>151</v>
      </c>
    </row>
    <row r="269" customFormat="false" ht="15" hidden="false" customHeight="false" outlineLevel="0" collapsed="false">
      <c r="A269" s="0" t="s">
        <v>364</v>
      </c>
      <c r="B269" s="0" t="s">
        <v>35</v>
      </c>
      <c r="C269" s="17" t="n">
        <v>46036</v>
      </c>
      <c r="D269" s="15" t="s">
        <v>74</v>
      </c>
      <c r="E269" s="15" t="s">
        <v>85</v>
      </c>
    </row>
    <row r="270" customFormat="false" ht="15" hidden="false" customHeight="false" outlineLevel="0" collapsed="false">
      <c r="A270" s="0" t="s">
        <v>365</v>
      </c>
      <c r="B270" s="0" t="s">
        <v>124</v>
      </c>
      <c r="C270" s="17" t="n">
        <v>46052</v>
      </c>
      <c r="D270" s="15" t="s">
        <v>101</v>
      </c>
      <c r="E270" s="15" t="s">
        <v>62</v>
      </c>
    </row>
    <row r="271" customFormat="false" ht="15" hidden="false" customHeight="false" outlineLevel="0" collapsed="false">
      <c r="A271" s="0" t="s">
        <v>366</v>
      </c>
      <c r="B271" s="0" t="s">
        <v>35</v>
      </c>
      <c r="C271" s="17" t="n">
        <v>46070</v>
      </c>
      <c r="D271" s="15" t="s">
        <v>135</v>
      </c>
      <c r="E271" s="15" t="s">
        <v>85</v>
      </c>
    </row>
    <row r="272" customFormat="false" ht="15" hidden="false" customHeight="false" outlineLevel="0" collapsed="false">
      <c r="A272" s="0" t="s">
        <v>367</v>
      </c>
      <c r="B272" s="0" t="s">
        <v>112</v>
      </c>
      <c r="C272" s="17" t="n">
        <v>46041</v>
      </c>
      <c r="D272" s="15" t="s">
        <v>104</v>
      </c>
      <c r="E272" s="15" t="s">
        <v>109</v>
      </c>
    </row>
    <row r="273" customFormat="false" ht="15" hidden="false" customHeight="false" outlineLevel="0" collapsed="false">
      <c r="A273" s="0" t="s">
        <v>368</v>
      </c>
      <c r="B273" s="0" t="s">
        <v>71</v>
      </c>
      <c r="C273" s="17" t="n">
        <v>46038</v>
      </c>
      <c r="D273" s="15" t="s">
        <v>107</v>
      </c>
      <c r="E273" s="15" t="s">
        <v>85</v>
      </c>
    </row>
    <row r="274" customFormat="false" ht="15" hidden="false" customHeight="false" outlineLevel="0" collapsed="false">
      <c r="A274" s="0" t="s">
        <v>369</v>
      </c>
      <c r="B274" s="0" t="s">
        <v>39</v>
      </c>
      <c r="C274" s="17" t="n">
        <v>46056</v>
      </c>
      <c r="D274" s="15" t="s">
        <v>90</v>
      </c>
      <c r="E274" s="15" t="s">
        <v>148</v>
      </c>
    </row>
    <row r="275" customFormat="false" ht="15" hidden="false" customHeight="false" outlineLevel="0" collapsed="false">
      <c r="A275" s="0" t="s">
        <v>370</v>
      </c>
      <c r="B275" s="0" t="s">
        <v>41</v>
      </c>
      <c r="C275" s="17" t="n">
        <v>46080</v>
      </c>
      <c r="D275" s="15" t="s">
        <v>88</v>
      </c>
      <c r="E275" s="15" t="s">
        <v>172</v>
      </c>
    </row>
    <row r="276" customFormat="false" ht="15" hidden="false" customHeight="false" outlineLevel="0" collapsed="false">
      <c r="A276" s="0" t="s">
        <v>371</v>
      </c>
      <c r="B276" s="0" t="s">
        <v>92</v>
      </c>
      <c r="C276" s="17" t="n">
        <v>46066</v>
      </c>
      <c r="D276" s="15" t="s">
        <v>135</v>
      </c>
      <c r="E276" s="15" t="s">
        <v>62</v>
      </c>
    </row>
    <row r="277" customFormat="false" ht="15" hidden="false" customHeight="false" outlineLevel="0" collapsed="false">
      <c r="A277" s="0" t="s">
        <v>372</v>
      </c>
      <c r="B277" s="0" t="s">
        <v>99</v>
      </c>
      <c r="C277" s="17" t="n">
        <v>46082</v>
      </c>
      <c r="D277" s="15" t="s">
        <v>101</v>
      </c>
      <c r="E277" s="15" t="s">
        <v>65</v>
      </c>
    </row>
    <row r="278" customFormat="false" ht="15" hidden="false" customHeight="false" outlineLevel="0" collapsed="false">
      <c r="A278" s="0" t="s">
        <v>373</v>
      </c>
      <c r="B278" s="0" t="s">
        <v>116</v>
      </c>
      <c r="C278" s="17" t="n">
        <v>46052</v>
      </c>
      <c r="D278" s="15" t="s">
        <v>96</v>
      </c>
      <c r="E278" s="15" t="s">
        <v>62</v>
      </c>
    </row>
    <row r="279" customFormat="false" ht="15" hidden="false" customHeight="false" outlineLevel="0" collapsed="false">
      <c r="A279" s="0" t="s">
        <v>374</v>
      </c>
      <c r="B279" s="0" t="s">
        <v>41</v>
      </c>
      <c r="C279" s="17" t="n">
        <v>46030</v>
      </c>
      <c r="D279" s="15" t="s">
        <v>135</v>
      </c>
      <c r="E279" s="15" t="s">
        <v>65</v>
      </c>
    </row>
    <row r="280" customFormat="false" ht="15" hidden="false" customHeight="false" outlineLevel="0" collapsed="false">
      <c r="A280" s="0" t="s">
        <v>375</v>
      </c>
      <c r="B280" s="0" t="s">
        <v>33</v>
      </c>
      <c r="C280" s="17" t="n">
        <v>46068</v>
      </c>
      <c r="D280" s="15" t="s">
        <v>74</v>
      </c>
      <c r="E280" s="15" t="s">
        <v>59</v>
      </c>
    </row>
    <row r="281" customFormat="false" ht="15" hidden="false" customHeight="false" outlineLevel="0" collapsed="false">
      <c r="A281" s="0" t="s">
        <v>376</v>
      </c>
      <c r="B281" s="0" t="s">
        <v>103</v>
      </c>
      <c r="C281" s="17" t="n">
        <v>46049</v>
      </c>
      <c r="D281" s="15" t="s">
        <v>68</v>
      </c>
      <c r="E281" s="15" t="s">
        <v>97</v>
      </c>
    </row>
    <row r="282" customFormat="false" ht="15" hidden="false" customHeight="false" outlineLevel="0" collapsed="false">
      <c r="A282" s="0" t="s">
        <v>377</v>
      </c>
      <c r="B282" s="0" t="s">
        <v>124</v>
      </c>
      <c r="C282" s="17" t="n">
        <v>46056</v>
      </c>
      <c r="D282" s="15" t="s">
        <v>104</v>
      </c>
      <c r="E282" s="15" t="s">
        <v>69</v>
      </c>
    </row>
    <row r="283" customFormat="false" ht="15" hidden="false" customHeight="false" outlineLevel="0" collapsed="false">
      <c r="A283" s="0" t="s">
        <v>378</v>
      </c>
      <c r="B283" s="0" t="s">
        <v>92</v>
      </c>
      <c r="C283" s="17" t="n">
        <v>46046</v>
      </c>
      <c r="D283" s="15" t="s">
        <v>153</v>
      </c>
      <c r="E283" s="15" t="s">
        <v>148</v>
      </c>
    </row>
    <row r="284" customFormat="false" ht="15" hidden="false" customHeight="false" outlineLevel="0" collapsed="false">
      <c r="A284" s="0" t="s">
        <v>379</v>
      </c>
      <c r="B284" s="0" t="s">
        <v>112</v>
      </c>
      <c r="C284" s="17" t="n">
        <v>46039</v>
      </c>
      <c r="D284" s="15" t="s">
        <v>61</v>
      </c>
      <c r="E284" s="15" t="s">
        <v>69</v>
      </c>
    </row>
    <row r="285" customFormat="false" ht="15" hidden="false" customHeight="false" outlineLevel="0" collapsed="false">
      <c r="A285" s="0" t="s">
        <v>380</v>
      </c>
      <c r="B285" s="0" t="s">
        <v>116</v>
      </c>
      <c r="C285" s="17" t="n">
        <v>46070</v>
      </c>
      <c r="D285" s="15" t="s">
        <v>96</v>
      </c>
      <c r="E285" s="15" t="s">
        <v>65</v>
      </c>
    </row>
    <row r="286" customFormat="false" ht="15" hidden="false" customHeight="false" outlineLevel="0" collapsed="false">
      <c r="A286" s="0" t="s">
        <v>381</v>
      </c>
      <c r="B286" s="0" t="s">
        <v>99</v>
      </c>
      <c r="C286" s="17" t="n">
        <v>46057</v>
      </c>
      <c r="D286" s="15" t="s">
        <v>153</v>
      </c>
      <c r="E286" s="15" t="s">
        <v>85</v>
      </c>
    </row>
    <row r="287" customFormat="false" ht="15" hidden="false" customHeight="false" outlineLevel="0" collapsed="false">
      <c r="A287" s="0" t="s">
        <v>382</v>
      </c>
      <c r="B287" s="0" t="s">
        <v>33</v>
      </c>
      <c r="C287" s="17" t="n">
        <v>46033</v>
      </c>
      <c r="D287" s="15" t="s">
        <v>96</v>
      </c>
      <c r="E287" s="15" t="s">
        <v>69</v>
      </c>
    </row>
    <row r="288" customFormat="false" ht="15" hidden="false" customHeight="false" outlineLevel="0" collapsed="false">
      <c r="A288" s="0" t="s">
        <v>383</v>
      </c>
      <c r="B288" s="0" t="s">
        <v>92</v>
      </c>
      <c r="C288" s="17" t="n">
        <v>46080</v>
      </c>
      <c r="D288" s="15" t="s">
        <v>93</v>
      </c>
      <c r="E288" s="15" t="s">
        <v>69</v>
      </c>
    </row>
    <row r="289" customFormat="false" ht="15" hidden="false" customHeight="false" outlineLevel="0" collapsed="false">
      <c r="A289" s="0" t="s">
        <v>384</v>
      </c>
      <c r="B289" s="0" t="s">
        <v>124</v>
      </c>
      <c r="C289" s="17" t="n">
        <v>46047</v>
      </c>
      <c r="D289" s="15" t="s">
        <v>64</v>
      </c>
      <c r="E289" s="15" t="s">
        <v>69</v>
      </c>
    </row>
    <row r="290" customFormat="false" ht="15" hidden="false" customHeight="false" outlineLevel="0" collapsed="false">
      <c r="A290" s="0" t="s">
        <v>385</v>
      </c>
      <c r="B290" s="0" t="s">
        <v>103</v>
      </c>
      <c r="C290" s="17" t="n">
        <v>46030</v>
      </c>
      <c r="D290" s="15" t="s">
        <v>58</v>
      </c>
      <c r="E290" s="15" t="s">
        <v>105</v>
      </c>
    </row>
    <row r="291" customFormat="false" ht="15" hidden="false" customHeight="false" outlineLevel="0" collapsed="false">
      <c r="A291" s="0" t="s">
        <v>386</v>
      </c>
      <c r="B291" s="0" t="s">
        <v>92</v>
      </c>
      <c r="C291" s="17" t="n">
        <v>46033</v>
      </c>
      <c r="D291" s="15" t="s">
        <v>107</v>
      </c>
      <c r="E291" s="15" t="s">
        <v>151</v>
      </c>
    </row>
    <row r="292" customFormat="false" ht="15" hidden="false" customHeight="false" outlineLevel="0" collapsed="false">
      <c r="A292" s="0" t="s">
        <v>387</v>
      </c>
      <c r="B292" s="0" t="s">
        <v>77</v>
      </c>
      <c r="C292" s="17" t="n">
        <v>46079</v>
      </c>
      <c r="D292" s="15" t="s">
        <v>74</v>
      </c>
      <c r="E292" s="15" t="s">
        <v>69</v>
      </c>
    </row>
    <row r="293" customFormat="false" ht="15" hidden="false" customHeight="false" outlineLevel="0" collapsed="false">
      <c r="A293" s="0" t="s">
        <v>388</v>
      </c>
      <c r="B293" s="0" t="s">
        <v>83</v>
      </c>
      <c r="C293" s="17" t="n">
        <v>46057</v>
      </c>
      <c r="D293" s="15" t="s">
        <v>135</v>
      </c>
      <c r="E293" s="15" t="s">
        <v>85</v>
      </c>
    </row>
    <row r="294" customFormat="false" ht="15" hidden="false" customHeight="false" outlineLevel="0" collapsed="false">
      <c r="A294" s="0" t="s">
        <v>389</v>
      </c>
      <c r="B294" s="0" t="s">
        <v>92</v>
      </c>
      <c r="C294" s="17" t="n">
        <v>46059</v>
      </c>
      <c r="D294" s="15" t="s">
        <v>68</v>
      </c>
      <c r="E294" s="15" t="s">
        <v>59</v>
      </c>
    </row>
    <row r="295" customFormat="false" ht="15" hidden="false" customHeight="false" outlineLevel="0" collapsed="false">
      <c r="A295" s="0" t="s">
        <v>390</v>
      </c>
      <c r="B295" s="0" t="s">
        <v>57</v>
      </c>
      <c r="C295" s="17" t="n">
        <v>46055</v>
      </c>
      <c r="D295" s="15" t="s">
        <v>79</v>
      </c>
      <c r="E295" s="15" t="s">
        <v>148</v>
      </c>
    </row>
    <row r="296" customFormat="false" ht="15" hidden="false" customHeight="false" outlineLevel="0" collapsed="false">
      <c r="A296" s="0" t="s">
        <v>391</v>
      </c>
      <c r="B296" s="0" t="s">
        <v>67</v>
      </c>
      <c r="C296" s="17" t="n">
        <v>46078</v>
      </c>
      <c r="D296" s="15" t="s">
        <v>153</v>
      </c>
      <c r="E296" s="15" t="s">
        <v>65</v>
      </c>
    </row>
    <row r="297" customFormat="false" ht="15" hidden="false" customHeight="false" outlineLevel="0" collapsed="false">
      <c r="A297" s="0" t="s">
        <v>392</v>
      </c>
      <c r="B297" s="0" t="s">
        <v>39</v>
      </c>
      <c r="C297" s="17" t="n">
        <v>46062</v>
      </c>
      <c r="D297" s="15" t="s">
        <v>64</v>
      </c>
      <c r="E297" s="15" t="s">
        <v>85</v>
      </c>
    </row>
    <row r="298" customFormat="false" ht="15" hidden="false" customHeight="false" outlineLevel="0" collapsed="false">
      <c r="A298" s="0" t="s">
        <v>393</v>
      </c>
      <c r="B298" s="0" t="s">
        <v>71</v>
      </c>
      <c r="C298" s="17" t="n">
        <v>46063</v>
      </c>
      <c r="D298" s="15" t="s">
        <v>96</v>
      </c>
      <c r="E298" s="15" t="s">
        <v>62</v>
      </c>
    </row>
    <row r="299" customFormat="false" ht="15" hidden="false" customHeight="false" outlineLevel="0" collapsed="false">
      <c r="A299" s="0" t="s">
        <v>394</v>
      </c>
      <c r="B299" s="0" t="s">
        <v>124</v>
      </c>
      <c r="C299" s="17" t="n">
        <v>46069</v>
      </c>
      <c r="D299" s="15" t="s">
        <v>128</v>
      </c>
      <c r="E299" s="15" t="s">
        <v>65</v>
      </c>
    </row>
    <row r="300" customFormat="false" ht="15" hidden="false" customHeight="false" outlineLevel="0" collapsed="false">
      <c r="A300" s="0" t="s">
        <v>395</v>
      </c>
      <c r="B300" s="0" t="s">
        <v>35</v>
      </c>
      <c r="C300" s="17" t="n">
        <v>46034</v>
      </c>
      <c r="D300" s="15" t="s">
        <v>128</v>
      </c>
      <c r="E300" s="15" t="s">
        <v>97</v>
      </c>
    </row>
    <row r="301" customFormat="false" ht="15" hidden="false" customHeight="false" outlineLevel="0" collapsed="false">
      <c r="A301" s="0" t="s">
        <v>396</v>
      </c>
      <c r="B301" s="0" t="s">
        <v>41</v>
      </c>
      <c r="C301" s="17" t="n">
        <v>46045</v>
      </c>
      <c r="D301" s="15" t="s">
        <v>135</v>
      </c>
      <c r="E301" s="15" t="s">
        <v>69</v>
      </c>
    </row>
    <row r="302" customFormat="false" ht="15" hidden="false" customHeight="false" outlineLevel="0" collapsed="false">
      <c r="A302" s="0" t="s">
        <v>397</v>
      </c>
      <c r="B302" s="0" t="s">
        <v>92</v>
      </c>
      <c r="C302" s="17" t="n">
        <v>46058</v>
      </c>
      <c r="D302" s="15" t="s">
        <v>58</v>
      </c>
      <c r="E302" s="15" t="s">
        <v>62</v>
      </c>
    </row>
    <row r="303" customFormat="false" ht="15" hidden="false" customHeight="false" outlineLevel="0" collapsed="false">
      <c r="A303" s="0" t="s">
        <v>398</v>
      </c>
      <c r="B303" s="0" t="s">
        <v>37</v>
      </c>
      <c r="C303" s="17" t="n">
        <v>46046</v>
      </c>
      <c r="D303" s="15" t="s">
        <v>81</v>
      </c>
      <c r="E303" s="15" t="s">
        <v>97</v>
      </c>
    </row>
    <row r="304" customFormat="false" ht="15" hidden="false" customHeight="false" outlineLevel="0" collapsed="false">
      <c r="A304" s="0" t="s">
        <v>399</v>
      </c>
      <c r="B304" s="0" t="s">
        <v>41</v>
      </c>
      <c r="C304" s="17" t="n">
        <v>46080</v>
      </c>
      <c r="D304" s="15" t="s">
        <v>74</v>
      </c>
      <c r="E304" s="15" t="s">
        <v>59</v>
      </c>
    </row>
    <row r="305" customFormat="false" ht="15" hidden="false" customHeight="false" outlineLevel="0" collapsed="false">
      <c r="A305" s="0" t="s">
        <v>400</v>
      </c>
      <c r="B305" s="0" t="s">
        <v>95</v>
      </c>
      <c r="C305" s="17" t="n">
        <v>46035</v>
      </c>
      <c r="D305" s="15" t="s">
        <v>64</v>
      </c>
      <c r="E305" s="15" t="s">
        <v>148</v>
      </c>
    </row>
    <row r="306" customFormat="false" ht="15" hidden="false" customHeight="false" outlineLevel="0" collapsed="false">
      <c r="A306" s="0" t="s">
        <v>401</v>
      </c>
      <c r="B306" s="0" t="s">
        <v>83</v>
      </c>
      <c r="C306" s="17" t="n">
        <v>46031</v>
      </c>
      <c r="D306" s="15" t="s">
        <v>135</v>
      </c>
      <c r="E306" s="15" t="s">
        <v>65</v>
      </c>
    </row>
    <row r="307" customFormat="false" ht="15" hidden="false" customHeight="false" outlineLevel="0" collapsed="false">
      <c r="A307" s="0" t="s">
        <v>402</v>
      </c>
      <c r="B307" s="0" t="s">
        <v>112</v>
      </c>
      <c r="C307" s="17" t="n">
        <v>46069</v>
      </c>
      <c r="D307" s="15" t="s">
        <v>64</v>
      </c>
      <c r="E307" s="15" t="s">
        <v>59</v>
      </c>
    </row>
    <row r="308" customFormat="false" ht="15" hidden="false" customHeight="false" outlineLevel="0" collapsed="false">
      <c r="A308" s="0" t="s">
        <v>403</v>
      </c>
      <c r="B308" s="0" t="s">
        <v>39</v>
      </c>
      <c r="C308" s="17" t="n">
        <v>46055</v>
      </c>
      <c r="D308" s="15" t="s">
        <v>128</v>
      </c>
      <c r="E308" s="15" t="s">
        <v>97</v>
      </c>
    </row>
    <row r="309" customFormat="false" ht="15" hidden="false" customHeight="false" outlineLevel="0" collapsed="false">
      <c r="A309" s="0" t="s">
        <v>404</v>
      </c>
      <c r="B309" s="0" t="s">
        <v>41</v>
      </c>
      <c r="C309" s="17" t="n">
        <v>46080</v>
      </c>
      <c r="D309" s="15" t="s">
        <v>81</v>
      </c>
      <c r="E309" s="15" t="s">
        <v>69</v>
      </c>
    </row>
    <row r="310" customFormat="false" ht="15" hidden="false" customHeight="false" outlineLevel="0" collapsed="false">
      <c r="A310" s="0" t="s">
        <v>405</v>
      </c>
      <c r="B310" s="0" t="s">
        <v>83</v>
      </c>
      <c r="C310" s="17" t="n">
        <v>46063</v>
      </c>
      <c r="D310" s="15" t="s">
        <v>64</v>
      </c>
      <c r="E310" s="15" t="s">
        <v>105</v>
      </c>
    </row>
    <row r="311" customFormat="false" ht="15" hidden="false" customHeight="false" outlineLevel="0" collapsed="false">
      <c r="A311" s="0" t="s">
        <v>406</v>
      </c>
      <c r="B311" s="0" t="s">
        <v>103</v>
      </c>
      <c r="C311" s="17" t="n">
        <v>46062</v>
      </c>
      <c r="D311" s="15" t="s">
        <v>153</v>
      </c>
      <c r="E311" s="15" t="s">
        <v>85</v>
      </c>
    </row>
    <row r="312" customFormat="false" ht="15" hidden="false" customHeight="false" outlineLevel="0" collapsed="false">
      <c r="A312" s="0" t="s">
        <v>407</v>
      </c>
      <c r="B312" s="0" t="s">
        <v>57</v>
      </c>
      <c r="C312" s="17" t="n">
        <v>46052</v>
      </c>
      <c r="D312" s="15" t="s">
        <v>74</v>
      </c>
      <c r="E312" s="15" t="s">
        <v>69</v>
      </c>
    </row>
    <row r="313" customFormat="false" ht="15" hidden="false" customHeight="false" outlineLevel="0" collapsed="false">
      <c r="A313" s="0" t="s">
        <v>408</v>
      </c>
      <c r="B313" s="0" t="s">
        <v>77</v>
      </c>
      <c r="C313" s="17" t="n">
        <v>46057</v>
      </c>
      <c r="D313" s="15" t="s">
        <v>61</v>
      </c>
      <c r="E313" s="15" t="s">
        <v>65</v>
      </c>
    </row>
    <row r="314" customFormat="false" ht="15" hidden="false" customHeight="false" outlineLevel="0" collapsed="false">
      <c r="A314" s="0" t="s">
        <v>409</v>
      </c>
      <c r="B314" s="0" t="s">
        <v>103</v>
      </c>
      <c r="C314" s="17" t="n">
        <v>46068</v>
      </c>
      <c r="D314" s="15" t="s">
        <v>74</v>
      </c>
      <c r="E314" s="15" t="s">
        <v>151</v>
      </c>
    </row>
    <row r="315" customFormat="false" ht="15" hidden="false" customHeight="false" outlineLevel="0" collapsed="false">
      <c r="A315" s="0" t="s">
        <v>410</v>
      </c>
      <c r="B315" s="0" t="s">
        <v>39</v>
      </c>
      <c r="C315" s="17" t="n">
        <v>46032</v>
      </c>
      <c r="D315" s="15" t="s">
        <v>74</v>
      </c>
      <c r="E315" s="15" t="s">
        <v>69</v>
      </c>
    </row>
    <row r="316" customFormat="false" ht="15" hidden="false" customHeight="false" outlineLevel="0" collapsed="false">
      <c r="A316" s="0" t="s">
        <v>411</v>
      </c>
      <c r="B316" s="0" t="s">
        <v>92</v>
      </c>
      <c r="C316" s="17" t="n">
        <v>46053</v>
      </c>
      <c r="D316" s="15" t="s">
        <v>74</v>
      </c>
      <c r="E316" s="15" t="s">
        <v>69</v>
      </c>
    </row>
    <row r="317" customFormat="false" ht="15" hidden="false" customHeight="false" outlineLevel="0" collapsed="false">
      <c r="A317" s="0" t="s">
        <v>412</v>
      </c>
      <c r="B317" s="0" t="s">
        <v>33</v>
      </c>
      <c r="C317" s="17" t="n">
        <v>46038</v>
      </c>
      <c r="D317" s="15" t="s">
        <v>96</v>
      </c>
      <c r="E317" s="15" t="s">
        <v>109</v>
      </c>
    </row>
    <row r="318" customFormat="false" ht="15" hidden="false" customHeight="false" outlineLevel="0" collapsed="false">
      <c r="A318" s="0" t="s">
        <v>413</v>
      </c>
      <c r="B318" s="0" t="s">
        <v>83</v>
      </c>
      <c r="C318" s="17" t="n">
        <v>46078</v>
      </c>
      <c r="D318" s="15" t="s">
        <v>88</v>
      </c>
      <c r="E318" s="15" t="s">
        <v>172</v>
      </c>
    </row>
    <row r="319" customFormat="false" ht="15" hidden="false" customHeight="false" outlineLevel="0" collapsed="false">
      <c r="A319" s="0" t="s">
        <v>414</v>
      </c>
      <c r="B319" s="0" t="s">
        <v>71</v>
      </c>
      <c r="C319" s="17" t="n">
        <v>46039</v>
      </c>
      <c r="D319" s="15" t="s">
        <v>128</v>
      </c>
      <c r="E319" s="15" t="s">
        <v>69</v>
      </c>
    </row>
    <row r="320" customFormat="false" ht="15" hidden="false" customHeight="false" outlineLevel="0" collapsed="false">
      <c r="A320" s="0" t="s">
        <v>415</v>
      </c>
      <c r="B320" s="0" t="s">
        <v>57</v>
      </c>
      <c r="C320" s="17" t="n">
        <v>46066</v>
      </c>
      <c r="D320" s="15" t="s">
        <v>107</v>
      </c>
      <c r="E320" s="15" t="s">
        <v>62</v>
      </c>
    </row>
    <row r="321" customFormat="false" ht="15" hidden="false" customHeight="false" outlineLevel="0" collapsed="false">
      <c r="A321" s="0" t="s">
        <v>416</v>
      </c>
      <c r="B321" s="0" t="s">
        <v>103</v>
      </c>
      <c r="C321" s="17" t="n">
        <v>46049</v>
      </c>
      <c r="D321" s="15" t="s">
        <v>84</v>
      </c>
      <c r="E321" s="15" t="s">
        <v>97</v>
      </c>
    </row>
    <row r="322" customFormat="false" ht="15" hidden="false" customHeight="false" outlineLevel="0" collapsed="false">
      <c r="A322" s="0" t="s">
        <v>417</v>
      </c>
      <c r="B322" s="0" t="s">
        <v>33</v>
      </c>
      <c r="C322" s="17" t="n">
        <v>46057</v>
      </c>
      <c r="D322" s="15" t="s">
        <v>58</v>
      </c>
      <c r="E322" s="15" t="s">
        <v>59</v>
      </c>
    </row>
    <row r="323" customFormat="false" ht="15" hidden="false" customHeight="false" outlineLevel="0" collapsed="false">
      <c r="A323" s="0" t="s">
        <v>418</v>
      </c>
      <c r="B323" s="0" t="s">
        <v>95</v>
      </c>
      <c r="C323" s="17" t="n">
        <v>46066</v>
      </c>
      <c r="D323" s="15" t="s">
        <v>93</v>
      </c>
      <c r="E323" s="15" t="s">
        <v>85</v>
      </c>
    </row>
    <row r="324" customFormat="false" ht="15" hidden="false" customHeight="false" outlineLevel="0" collapsed="false">
      <c r="A324" s="0" t="s">
        <v>419</v>
      </c>
      <c r="B324" s="0" t="s">
        <v>124</v>
      </c>
      <c r="C324" s="17" t="n">
        <v>46041</v>
      </c>
      <c r="D324" s="15" t="s">
        <v>79</v>
      </c>
      <c r="E324" s="15" t="s">
        <v>69</v>
      </c>
    </row>
    <row r="325" customFormat="false" ht="15" hidden="false" customHeight="false" outlineLevel="0" collapsed="false">
      <c r="A325" s="0" t="s">
        <v>420</v>
      </c>
      <c r="B325" s="0" t="s">
        <v>83</v>
      </c>
      <c r="C325" s="17" t="n">
        <v>46076</v>
      </c>
      <c r="D325" s="15" t="s">
        <v>153</v>
      </c>
      <c r="E325" s="15" t="s">
        <v>97</v>
      </c>
    </row>
    <row r="326" customFormat="false" ht="15" hidden="false" customHeight="false" outlineLevel="0" collapsed="false">
      <c r="A326" s="0" t="s">
        <v>421</v>
      </c>
      <c r="B326" s="0" t="s">
        <v>83</v>
      </c>
      <c r="C326" s="17" t="n">
        <v>46082</v>
      </c>
      <c r="D326" s="15" t="s">
        <v>79</v>
      </c>
      <c r="E326" s="15" t="s">
        <v>62</v>
      </c>
    </row>
    <row r="327" customFormat="false" ht="15" hidden="false" customHeight="false" outlineLevel="0" collapsed="false">
      <c r="A327" s="0" t="s">
        <v>422</v>
      </c>
      <c r="B327" s="0" t="s">
        <v>77</v>
      </c>
      <c r="C327" s="17" t="n">
        <v>46052</v>
      </c>
      <c r="D327" s="15" t="s">
        <v>153</v>
      </c>
      <c r="E327" s="15" t="s">
        <v>97</v>
      </c>
    </row>
    <row r="328" customFormat="false" ht="15" hidden="false" customHeight="false" outlineLevel="0" collapsed="false">
      <c r="A328" s="0" t="s">
        <v>423</v>
      </c>
      <c r="B328" s="0" t="s">
        <v>99</v>
      </c>
      <c r="C328" s="17" t="n">
        <v>46036</v>
      </c>
      <c r="D328" s="15" t="s">
        <v>107</v>
      </c>
      <c r="E328" s="15" t="s">
        <v>69</v>
      </c>
    </row>
    <row r="329" customFormat="false" ht="15" hidden="false" customHeight="false" outlineLevel="0" collapsed="false">
      <c r="A329" s="0" t="s">
        <v>424</v>
      </c>
      <c r="B329" s="0" t="s">
        <v>99</v>
      </c>
      <c r="C329" s="17" t="n">
        <v>46072</v>
      </c>
      <c r="D329" s="15" t="s">
        <v>107</v>
      </c>
      <c r="E329" s="15" t="s">
        <v>65</v>
      </c>
    </row>
    <row r="330" customFormat="false" ht="15" hidden="false" customHeight="false" outlineLevel="0" collapsed="false">
      <c r="A330" s="0" t="s">
        <v>425</v>
      </c>
      <c r="B330" s="0" t="s">
        <v>92</v>
      </c>
      <c r="C330" s="17" t="n">
        <v>46037</v>
      </c>
      <c r="D330" s="15" t="s">
        <v>79</v>
      </c>
      <c r="E330" s="15" t="s">
        <v>62</v>
      </c>
    </row>
    <row r="331" customFormat="false" ht="15" hidden="false" customHeight="false" outlineLevel="0" collapsed="false">
      <c r="A331" s="0" t="s">
        <v>426</v>
      </c>
      <c r="B331" s="0" t="s">
        <v>77</v>
      </c>
      <c r="C331" s="17" t="n">
        <v>46055</v>
      </c>
      <c r="D331" s="15" t="s">
        <v>104</v>
      </c>
      <c r="E331" s="15" t="s">
        <v>109</v>
      </c>
    </row>
    <row r="332" customFormat="false" ht="15" hidden="false" customHeight="false" outlineLevel="0" collapsed="false">
      <c r="A332" s="0" t="s">
        <v>237</v>
      </c>
      <c r="B332" s="0" t="s">
        <v>39</v>
      </c>
      <c r="C332" s="17" t="n">
        <v>46069</v>
      </c>
      <c r="D332" s="15" t="s">
        <v>81</v>
      </c>
      <c r="E332" s="15" t="s">
        <v>62</v>
      </c>
    </row>
    <row r="333" customFormat="false" ht="15" hidden="false" customHeight="false" outlineLevel="0" collapsed="false">
      <c r="A333" s="0" t="s">
        <v>427</v>
      </c>
      <c r="B333" s="0" t="s">
        <v>67</v>
      </c>
      <c r="C333" s="17" t="n">
        <v>46082</v>
      </c>
      <c r="D333" s="15" t="s">
        <v>135</v>
      </c>
      <c r="E333" s="15" t="s">
        <v>85</v>
      </c>
    </row>
    <row r="334" customFormat="false" ht="15" hidden="false" customHeight="false" outlineLevel="0" collapsed="false">
      <c r="A334" s="0" t="s">
        <v>428</v>
      </c>
      <c r="B334" s="0" t="s">
        <v>116</v>
      </c>
      <c r="C334" s="17" t="n">
        <v>46077</v>
      </c>
      <c r="D334" s="15" t="s">
        <v>153</v>
      </c>
      <c r="E334" s="15" t="s">
        <v>65</v>
      </c>
    </row>
    <row r="335" customFormat="false" ht="15" hidden="false" customHeight="false" outlineLevel="0" collapsed="false">
      <c r="A335" s="0" t="s">
        <v>429</v>
      </c>
      <c r="B335" s="0" t="s">
        <v>83</v>
      </c>
      <c r="C335" s="17" t="n">
        <v>46063</v>
      </c>
      <c r="D335" s="15" t="s">
        <v>128</v>
      </c>
      <c r="E335" s="15" t="s">
        <v>69</v>
      </c>
    </row>
    <row r="336" customFormat="false" ht="15" hidden="false" customHeight="false" outlineLevel="0" collapsed="false">
      <c r="A336" s="0" t="s">
        <v>430</v>
      </c>
      <c r="B336" s="0" t="s">
        <v>37</v>
      </c>
      <c r="C336" s="17" t="n">
        <v>46070</v>
      </c>
      <c r="D336" s="15" t="s">
        <v>74</v>
      </c>
      <c r="E336" s="15" t="s">
        <v>69</v>
      </c>
    </row>
    <row r="337" customFormat="false" ht="15" hidden="false" customHeight="false" outlineLevel="0" collapsed="false">
      <c r="A337" s="0" t="s">
        <v>431</v>
      </c>
      <c r="B337" s="0" t="s">
        <v>33</v>
      </c>
      <c r="C337" s="17" t="n">
        <v>46045</v>
      </c>
      <c r="D337" s="15" t="s">
        <v>153</v>
      </c>
      <c r="E337" s="15" t="s">
        <v>62</v>
      </c>
    </row>
    <row r="338" customFormat="false" ht="15" hidden="false" customHeight="false" outlineLevel="0" collapsed="false">
      <c r="A338" s="0" t="s">
        <v>388</v>
      </c>
      <c r="B338" s="0" t="s">
        <v>83</v>
      </c>
      <c r="C338" s="17" t="n">
        <v>46057</v>
      </c>
      <c r="D338" s="15" t="s">
        <v>135</v>
      </c>
      <c r="E338" s="15" t="s">
        <v>85</v>
      </c>
    </row>
    <row r="339" customFormat="false" ht="15" hidden="false" customHeight="false" outlineLevel="0" collapsed="false">
      <c r="A339" s="0" t="s">
        <v>432</v>
      </c>
      <c r="B339" s="0" t="s">
        <v>124</v>
      </c>
      <c r="C339" s="17" t="n">
        <v>46059</v>
      </c>
      <c r="D339" s="15" t="s">
        <v>107</v>
      </c>
      <c r="E339" s="15" t="s">
        <v>85</v>
      </c>
    </row>
    <row r="340" customFormat="false" ht="15" hidden="false" customHeight="false" outlineLevel="0" collapsed="false">
      <c r="A340" s="0" t="s">
        <v>433</v>
      </c>
      <c r="B340" s="0" t="s">
        <v>103</v>
      </c>
      <c r="C340" s="17" t="n">
        <v>46064</v>
      </c>
      <c r="D340" s="15" t="s">
        <v>153</v>
      </c>
      <c r="E340" s="15" t="s">
        <v>97</v>
      </c>
    </row>
    <row r="341" customFormat="false" ht="15" hidden="false" customHeight="false" outlineLevel="0" collapsed="false">
      <c r="A341" s="0" t="s">
        <v>434</v>
      </c>
      <c r="B341" s="0" t="s">
        <v>112</v>
      </c>
      <c r="C341" s="17" t="n">
        <v>46041</v>
      </c>
      <c r="D341" s="15" t="s">
        <v>128</v>
      </c>
      <c r="E341" s="15" t="s">
        <v>62</v>
      </c>
    </row>
    <row r="342" customFormat="false" ht="15" hidden="false" customHeight="false" outlineLevel="0" collapsed="false">
      <c r="A342" s="0" t="s">
        <v>435</v>
      </c>
      <c r="B342" s="0" t="s">
        <v>67</v>
      </c>
      <c r="C342" s="17" t="n">
        <v>46075</v>
      </c>
      <c r="D342" s="15" t="s">
        <v>81</v>
      </c>
      <c r="E342" s="15" t="s">
        <v>65</v>
      </c>
    </row>
    <row r="343" customFormat="false" ht="15" hidden="false" customHeight="false" outlineLevel="0" collapsed="false">
      <c r="A343" s="0" t="s">
        <v>436</v>
      </c>
      <c r="B343" s="0" t="s">
        <v>39</v>
      </c>
      <c r="C343" s="17" t="n">
        <v>46061</v>
      </c>
      <c r="D343" s="15" t="s">
        <v>93</v>
      </c>
      <c r="E343" s="15" t="s">
        <v>65</v>
      </c>
    </row>
    <row r="344" customFormat="false" ht="15" hidden="false" customHeight="false" outlineLevel="0" collapsed="false">
      <c r="A344" s="0" t="s">
        <v>437</v>
      </c>
      <c r="B344" s="0" t="s">
        <v>43</v>
      </c>
      <c r="C344" s="17" t="n">
        <v>46055</v>
      </c>
      <c r="D344" s="15" t="s">
        <v>107</v>
      </c>
      <c r="E344" s="15" t="s">
        <v>97</v>
      </c>
    </row>
    <row r="345" customFormat="false" ht="15" hidden="false" customHeight="false" outlineLevel="0" collapsed="false">
      <c r="A345" s="0" t="s">
        <v>438</v>
      </c>
      <c r="B345" s="0" t="s">
        <v>83</v>
      </c>
      <c r="C345" s="17" t="n">
        <v>46064</v>
      </c>
      <c r="D345" s="15" t="s">
        <v>104</v>
      </c>
      <c r="E345" s="15" t="s">
        <v>97</v>
      </c>
    </row>
    <row r="346" customFormat="false" ht="15" hidden="false" customHeight="false" outlineLevel="0" collapsed="false">
      <c r="A346" s="0" t="s">
        <v>439</v>
      </c>
      <c r="B346" s="0" t="s">
        <v>57</v>
      </c>
      <c r="C346" s="17" t="n">
        <v>46075</v>
      </c>
      <c r="D346" s="15" t="s">
        <v>153</v>
      </c>
      <c r="E346" s="15" t="s">
        <v>65</v>
      </c>
    </row>
    <row r="347" customFormat="false" ht="15" hidden="false" customHeight="false" outlineLevel="0" collapsed="false">
      <c r="A347" s="0" t="s">
        <v>440</v>
      </c>
      <c r="B347" s="0" t="s">
        <v>35</v>
      </c>
      <c r="C347" s="17" t="n">
        <v>46055</v>
      </c>
      <c r="D347" s="15" t="s">
        <v>84</v>
      </c>
      <c r="E347" s="15" t="s">
        <v>69</v>
      </c>
    </row>
    <row r="348" customFormat="false" ht="15" hidden="false" customHeight="false" outlineLevel="0" collapsed="false">
      <c r="A348" s="0" t="s">
        <v>441</v>
      </c>
      <c r="B348" s="0" t="s">
        <v>77</v>
      </c>
      <c r="C348" s="17" t="n">
        <v>46052</v>
      </c>
      <c r="D348" s="15" t="s">
        <v>128</v>
      </c>
      <c r="E348" s="15" t="s">
        <v>62</v>
      </c>
    </row>
    <row r="349" customFormat="false" ht="15" hidden="false" customHeight="false" outlineLevel="0" collapsed="false">
      <c r="A349" s="0" t="s">
        <v>442</v>
      </c>
      <c r="B349" s="0" t="s">
        <v>43</v>
      </c>
      <c r="C349" s="17" t="n">
        <v>46070</v>
      </c>
      <c r="D349" s="15" t="s">
        <v>74</v>
      </c>
      <c r="E349" s="15" t="s">
        <v>62</v>
      </c>
    </row>
    <row r="350" customFormat="false" ht="15" hidden="false" customHeight="false" outlineLevel="0" collapsed="false">
      <c r="A350" s="0" t="s">
        <v>443</v>
      </c>
      <c r="B350" s="0" t="s">
        <v>57</v>
      </c>
      <c r="C350" s="17" t="n">
        <v>46048</v>
      </c>
      <c r="D350" s="15" t="s">
        <v>104</v>
      </c>
      <c r="E350" s="15" t="s">
        <v>65</v>
      </c>
    </row>
    <row r="351" customFormat="false" ht="15" hidden="false" customHeight="false" outlineLevel="0" collapsed="false">
      <c r="A351" s="0" t="s">
        <v>444</v>
      </c>
      <c r="B351" s="0" t="s">
        <v>99</v>
      </c>
      <c r="C351" s="17" t="n">
        <v>46057</v>
      </c>
      <c r="D351" s="15" t="s">
        <v>72</v>
      </c>
      <c r="E351" s="15" t="s">
        <v>65</v>
      </c>
    </row>
    <row r="352" customFormat="false" ht="15" hidden="false" customHeight="false" outlineLevel="0" collapsed="false">
      <c r="A352" s="0" t="s">
        <v>445</v>
      </c>
      <c r="B352" s="0" t="s">
        <v>124</v>
      </c>
      <c r="C352" s="17" t="n">
        <v>46071</v>
      </c>
      <c r="D352" s="15" t="s">
        <v>88</v>
      </c>
      <c r="E352" s="15" t="s">
        <v>109</v>
      </c>
    </row>
    <row r="353" customFormat="false" ht="15" hidden="false" customHeight="false" outlineLevel="0" collapsed="false">
      <c r="A353" s="0" t="s">
        <v>446</v>
      </c>
      <c r="B353" s="0" t="s">
        <v>35</v>
      </c>
      <c r="C353" s="17" t="n">
        <v>46078</v>
      </c>
      <c r="D353" s="15" t="s">
        <v>90</v>
      </c>
      <c r="E353" s="15" t="s">
        <v>59</v>
      </c>
    </row>
    <row r="354" customFormat="false" ht="15" hidden="false" customHeight="false" outlineLevel="0" collapsed="false">
      <c r="A354" s="0" t="s">
        <v>447</v>
      </c>
      <c r="B354" s="0" t="s">
        <v>112</v>
      </c>
      <c r="C354" s="17" t="n">
        <v>46067</v>
      </c>
      <c r="D354" s="15" t="s">
        <v>72</v>
      </c>
      <c r="E354" s="15" t="s">
        <v>75</v>
      </c>
    </row>
    <row r="355" customFormat="false" ht="15" hidden="false" customHeight="false" outlineLevel="0" collapsed="false">
      <c r="A355" s="0" t="s">
        <v>448</v>
      </c>
      <c r="B355" s="0" t="s">
        <v>99</v>
      </c>
      <c r="C355" s="17" t="n">
        <v>46067</v>
      </c>
      <c r="D355" s="15" t="s">
        <v>81</v>
      </c>
      <c r="E355" s="15" t="s">
        <v>59</v>
      </c>
    </row>
    <row r="356" customFormat="false" ht="15" hidden="false" customHeight="false" outlineLevel="0" collapsed="false">
      <c r="A356" s="0" t="s">
        <v>449</v>
      </c>
      <c r="B356" s="0" t="s">
        <v>124</v>
      </c>
      <c r="C356" s="17" t="n">
        <v>46074</v>
      </c>
      <c r="D356" s="15" t="s">
        <v>126</v>
      </c>
      <c r="E356" s="15" t="s">
        <v>97</v>
      </c>
    </row>
    <row r="357" customFormat="false" ht="15" hidden="false" customHeight="false" outlineLevel="0" collapsed="false">
      <c r="A357" s="0" t="s">
        <v>450</v>
      </c>
      <c r="B357" s="0" t="s">
        <v>77</v>
      </c>
      <c r="C357" s="17" t="n">
        <v>46060</v>
      </c>
      <c r="D357" s="15" t="s">
        <v>58</v>
      </c>
      <c r="E357" s="15" t="s">
        <v>69</v>
      </c>
    </row>
    <row r="358" customFormat="false" ht="15" hidden="false" customHeight="false" outlineLevel="0" collapsed="false">
      <c r="A358" s="0" t="s">
        <v>451</v>
      </c>
      <c r="B358" s="0" t="s">
        <v>112</v>
      </c>
      <c r="C358" s="17" t="n">
        <v>46043</v>
      </c>
      <c r="D358" s="15" t="s">
        <v>101</v>
      </c>
      <c r="E358" s="15" t="s">
        <v>148</v>
      </c>
    </row>
    <row r="359" customFormat="false" ht="15" hidden="false" customHeight="false" outlineLevel="0" collapsed="false">
      <c r="A359" s="0" t="s">
        <v>452</v>
      </c>
      <c r="B359" s="0" t="s">
        <v>103</v>
      </c>
      <c r="C359" s="17" t="n">
        <v>46062</v>
      </c>
      <c r="D359" s="15" t="s">
        <v>135</v>
      </c>
      <c r="E359" s="15" t="s">
        <v>105</v>
      </c>
    </row>
    <row r="360" customFormat="false" ht="15" hidden="false" customHeight="false" outlineLevel="0" collapsed="false">
      <c r="A360" s="0" t="s">
        <v>212</v>
      </c>
      <c r="B360" s="0" t="s">
        <v>33</v>
      </c>
      <c r="C360" s="17" t="n">
        <v>46041</v>
      </c>
      <c r="D360" s="15" t="s">
        <v>68</v>
      </c>
      <c r="E360" s="15" t="s">
        <v>65</v>
      </c>
    </row>
    <row r="361" customFormat="false" ht="15" hidden="false" customHeight="false" outlineLevel="0" collapsed="false">
      <c r="A361" s="0" t="s">
        <v>453</v>
      </c>
      <c r="B361" s="0" t="s">
        <v>71</v>
      </c>
      <c r="C361" s="17" t="n">
        <v>46079</v>
      </c>
      <c r="D361" s="15" t="s">
        <v>64</v>
      </c>
      <c r="E361" s="15" t="s">
        <v>59</v>
      </c>
    </row>
    <row r="362" customFormat="false" ht="15" hidden="false" customHeight="false" outlineLevel="0" collapsed="false">
      <c r="A362" s="0" t="s">
        <v>454</v>
      </c>
      <c r="B362" s="0" t="s">
        <v>83</v>
      </c>
      <c r="C362" s="17" t="n">
        <v>46045</v>
      </c>
      <c r="D362" s="15" t="s">
        <v>107</v>
      </c>
      <c r="E362" s="15" t="s">
        <v>65</v>
      </c>
    </row>
    <row r="363" customFormat="false" ht="15" hidden="false" customHeight="false" outlineLevel="0" collapsed="false">
      <c r="A363" s="0" t="s">
        <v>455</v>
      </c>
      <c r="B363" s="0" t="s">
        <v>124</v>
      </c>
      <c r="C363" s="17" t="n">
        <v>46063</v>
      </c>
      <c r="D363" s="15" t="s">
        <v>90</v>
      </c>
      <c r="E363" s="15" t="s">
        <v>69</v>
      </c>
    </row>
    <row r="364" customFormat="false" ht="15" hidden="false" customHeight="false" outlineLevel="0" collapsed="false">
      <c r="A364" s="0" t="s">
        <v>456</v>
      </c>
      <c r="B364" s="0" t="s">
        <v>39</v>
      </c>
      <c r="C364" s="17" t="n">
        <v>46075</v>
      </c>
      <c r="D364" s="15" t="s">
        <v>126</v>
      </c>
      <c r="E364" s="15" t="s">
        <v>85</v>
      </c>
    </row>
    <row r="365" customFormat="false" ht="15" hidden="false" customHeight="false" outlineLevel="0" collapsed="false">
      <c r="A365" s="0" t="s">
        <v>457</v>
      </c>
      <c r="B365" s="0" t="s">
        <v>57</v>
      </c>
      <c r="C365" s="17" t="n">
        <v>46043</v>
      </c>
      <c r="D365" s="15" t="s">
        <v>79</v>
      </c>
      <c r="E365" s="15" t="s">
        <v>65</v>
      </c>
    </row>
    <row r="366" customFormat="false" ht="15" hidden="false" customHeight="false" outlineLevel="0" collapsed="false">
      <c r="A366" s="0" t="s">
        <v>458</v>
      </c>
      <c r="B366" s="0" t="s">
        <v>116</v>
      </c>
      <c r="C366" s="17" t="n">
        <v>46058</v>
      </c>
      <c r="D366" s="15" t="s">
        <v>88</v>
      </c>
      <c r="E366" s="15" t="s">
        <v>69</v>
      </c>
    </row>
    <row r="367" customFormat="false" ht="15" hidden="false" customHeight="false" outlineLevel="0" collapsed="false">
      <c r="A367" s="0" t="s">
        <v>459</v>
      </c>
      <c r="B367" s="0" t="s">
        <v>67</v>
      </c>
      <c r="C367" s="17" t="n">
        <v>46038</v>
      </c>
      <c r="D367" s="15" t="s">
        <v>58</v>
      </c>
      <c r="E367" s="15" t="s">
        <v>65</v>
      </c>
    </row>
    <row r="368" customFormat="false" ht="15" hidden="false" customHeight="false" outlineLevel="0" collapsed="false">
      <c r="A368" s="0" t="s">
        <v>460</v>
      </c>
      <c r="B368" s="0" t="s">
        <v>33</v>
      </c>
      <c r="C368" s="17" t="n">
        <v>46073</v>
      </c>
      <c r="D368" s="15" t="s">
        <v>107</v>
      </c>
      <c r="E368" s="15" t="s">
        <v>69</v>
      </c>
    </row>
    <row r="369" customFormat="false" ht="15" hidden="false" customHeight="false" outlineLevel="0" collapsed="false">
      <c r="A369" s="0" t="s">
        <v>461</v>
      </c>
      <c r="B369" s="0" t="s">
        <v>99</v>
      </c>
      <c r="C369" s="17" t="n">
        <v>46047</v>
      </c>
      <c r="D369" s="15" t="s">
        <v>107</v>
      </c>
      <c r="E369" s="15" t="s">
        <v>172</v>
      </c>
    </row>
    <row r="370" customFormat="false" ht="15" hidden="false" customHeight="false" outlineLevel="0" collapsed="false">
      <c r="A370" s="0" t="s">
        <v>462</v>
      </c>
      <c r="B370" s="0" t="s">
        <v>71</v>
      </c>
      <c r="C370" s="17" t="n">
        <v>46055</v>
      </c>
      <c r="D370" s="15" t="s">
        <v>74</v>
      </c>
      <c r="E370" s="15" t="s">
        <v>109</v>
      </c>
    </row>
    <row r="371" customFormat="false" ht="15" hidden="false" customHeight="false" outlineLevel="0" collapsed="false">
      <c r="A371" s="0" t="s">
        <v>463</v>
      </c>
      <c r="B371" s="0" t="s">
        <v>71</v>
      </c>
      <c r="C371" s="17" t="n">
        <v>46036</v>
      </c>
      <c r="D371" s="15" t="s">
        <v>64</v>
      </c>
      <c r="E371" s="15" t="s">
        <v>59</v>
      </c>
    </row>
    <row r="372" customFormat="false" ht="15" hidden="false" customHeight="false" outlineLevel="0" collapsed="false">
      <c r="A372" s="0" t="s">
        <v>464</v>
      </c>
      <c r="B372" s="0" t="s">
        <v>41</v>
      </c>
      <c r="C372" s="17" t="n">
        <v>46052</v>
      </c>
      <c r="D372" s="15" t="s">
        <v>72</v>
      </c>
      <c r="E372" s="15" t="s">
        <v>97</v>
      </c>
    </row>
    <row r="373" customFormat="false" ht="15" hidden="false" customHeight="false" outlineLevel="0" collapsed="false">
      <c r="A373" s="0" t="s">
        <v>465</v>
      </c>
      <c r="B373" s="0" t="s">
        <v>57</v>
      </c>
      <c r="C373" s="17" t="n">
        <v>46051</v>
      </c>
      <c r="D373" s="15" t="s">
        <v>74</v>
      </c>
      <c r="E373" s="15" t="s">
        <v>62</v>
      </c>
    </row>
    <row r="374" customFormat="false" ht="15" hidden="false" customHeight="false" outlineLevel="0" collapsed="false">
      <c r="A374" s="0" t="s">
        <v>466</v>
      </c>
      <c r="B374" s="0" t="s">
        <v>95</v>
      </c>
      <c r="C374" s="17" t="n">
        <v>46038</v>
      </c>
      <c r="D374" s="15" t="s">
        <v>135</v>
      </c>
      <c r="E374" s="15" t="s">
        <v>85</v>
      </c>
    </row>
    <row r="375" customFormat="false" ht="15" hidden="false" customHeight="false" outlineLevel="0" collapsed="false">
      <c r="A375" s="0" t="s">
        <v>467</v>
      </c>
      <c r="B375" s="0" t="s">
        <v>103</v>
      </c>
      <c r="C375" s="17" t="n">
        <v>46062</v>
      </c>
      <c r="D375" s="15" t="s">
        <v>128</v>
      </c>
      <c r="E375" s="15" t="s">
        <v>85</v>
      </c>
    </row>
    <row r="376" customFormat="false" ht="15" hidden="false" customHeight="false" outlineLevel="0" collapsed="false">
      <c r="A376" s="0" t="s">
        <v>468</v>
      </c>
      <c r="B376" s="0" t="s">
        <v>92</v>
      </c>
      <c r="C376" s="17" t="n">
        <v>46062</v>
      </c>
      <c r="D376" s="15" t="s">
        <v>72</v>
      </c>
      <c r="E376" s="15" t="s">
        <v>148</v>
      </c>
    </row>
    <row r="377" customFormat="false" ht="15" hidden="false" customHeight="false" outlineLevel="0" collapsed="false">
      <c r="A377" s="0" t="s">
        <v>469</v>
      </c>
      <c r="B377" s="0" t="s">
        <v>116</v>
      </c>
      <c r="C377" s="17" t="n">
        <v>46035</v>
      </c>
      <c r="D377" s="15" t="s">
        <v>96</v>
      </c>
      <c r="E377" s="15" t="s">
        <v>62</v>
      </c>
    </row>
    <row r="378" customFormat="false" ht="15" hidden="false" customHeight="false" outlineLevel="0" collapsed="false">
      <c r="A378" s="0" t="s">
        <v>470</v>
      </c>
      <c r="B378" s="0" t="s">
        <v>57</v>
      </c>
      <c r="C378" s="17" t="n">
        <v>46041</v>
      </c>
      <c r="D378" s="15" t="s">
        <v>61</v>
      </c>
      <c r="E378" s="15" t="s">
        <v>59</v>
      </c>
    </row>
    <row r="379" customFormat="false" ht="15" hidden="false" customHeight="false" outlineLevel="0" collapsed="false">
      <c r="A379" s="0" t="s">
        <v>471</v>
      </c>
      <c r="B379" s="0" t="s">
        <v>103</v>
      </c>
      <c r="C379" s="17" t="n">
        <v>46076</v>
      </c>
      <c r="D379" s="15" t="s">
        <v>68</v>
      </c>
      <c r="E379" s="15" t="s">
        <v>62</v>
      </c>
    </row>
    <row r="380" customFormat="false" ht="15" hidden="false" customHeight="false" outlineLevel="0" collapsed="false">
      <c r="A380" s="0" t="s">
        <v>472</v>
      </c>
      <c r="B380" s="0" t="s">
        <v>71</v>
      </c>
      <c r="C380" s="17" t="n">
        <v>46069</v>
      </c>
      <c r="D380" s="15" t="s">
        <v>101</v>
      </c>
      <c r="E380" s="15" t="s">
        <v>97</v>
      </c>
    </row>
    <row r="381" customFormat="false" ht="15" hidden="false" customHeight="false" outlineLevel="0" collapsed="false">
      <c r="A381" s="0" t="s">
        <v>473</v>
      </c>
      <c r="B381" s="0" t="s">
        <v>35</v>
      </c>
      <c r="C381" s="17" t="n">
        <v>46058</v>
      </c>
      <c r="D381" s="15" t="s">
        <v>58</v>
      </c>
      <c r="E381" s="15" t="s">
        <v>97</v>
      </c>
    </row>
    <row r="382" customFormat="false" ht="15" hidden="false" customHeight="false" outlineLevel="0" collapsed="false">
      <c r="A382" s="0" t="s">
        <v>474</v>
      </c>
      <c r="B382" s="0" t="s">
        <v>37</v>
      </c>
      <c r="C382" s="17" t="n">
        <v>46048</v>
      </c>
      <c r="D382" s="15" t="s">
        <v>90</v>
      </c>
      <c r="E382" s="15" t="s">
        <v>59</v>
      </c>
    </row>
    <row r="383" customFormat="false" ht="15" hidden="false" customHeight="false" outlineLevel="0" collapsed="false">
      <c r="A383" s="0" t="s">
        <v>475</v>
      </c>
      <c r="B383" s="0" t="s">
        <v>37</v>
      </c>
      <c r="C383" s="17" t="n">
        <v>46067</v>
      </c>
      <c r="D383" s="15" t="s">
        <v>68</v>
      </c>
      <c r="E383" s="15" t="s">
        <v>65</v>
      </c>
    </row>
    <row r="384" customFormat="false" ht="15" hidden="false" customHeight="false" outlineLevel="0" collapsed="false">
      <c r="A384" s="0" t="s">
        <v>476</v>
      </c>
      <c r="B384" s="0" t="s">
        <v>43</v>
      </c>
      <c r="C384" s="17" t="n">
        <v>46080</v>
      </c>
      <c r="D384" s="15" t="s">
        <v>135</v>
      </c>
      <c r="E384" s="15" t="s">
        <v>172</v>
      </c>
    </row>
    <row r="385" customFormat="false" ht="15" hidden="false" customHeight="false" outlineLevel="0" collapsed="false">
      <c r="A385" s="0" t="s">
        <v>477</v>
      </c>
      <c r="B385" s="0" t="s">
        <v>71</v>
      </c>
      <c r="C385" s="17" t="n">
        <v>46053</v>
      </c>
      <c r="D385" s="15" t="s">
        <v>61</v>
      </c>
      <c r="E385" s="15" t="s">
        <v>65</v>
      </c>
    </row>
    <row r="386" customFormat="false" ht="15" hidden="false" customHeight="false" outlineLevel="0" collapsed="false">
      <c r="A386" s="0" t="s">
        <v>478</v>
      </c>
      <c r="B386" s="0" t="s">
        <v>112</v>
      </c>
      <c r="C386" s="17" t="n">
        <v>46028</v>
      </c>
      <c r="D386" s="15" t="s">
        <v>79</v>
      </c>
      <c r="E386" s="15" t="s">
        <v>59</v>
      </c>
    </row>
    <row r="387" customFormat="false" ht="15" hidden="false" customHeight="false" outlineLevel="0" collapsed="false">
      <c r="A387" s="0" t="s">
        <v>479</v>
      </c>
      <c r="B387" s="0" t="s">
        <v>41</v>
      </c>
      <c r="C387" s="17" t="n">
        <v>46049</v>
      </c>
      <c r="D387" s="15" t="s">
        <v>126</v>
      </c>
      <c r="E387" s="15" t="s">
        <v>109</v>
      </c>
    </row>
    <row r="388" customFormat="false" ht="15" hidden="false" customHeight="false" outlineLevel="0" collapsed="false">
      <c r="A388" s="0" t="s">
        <v>177</v>
      </c>
      <c r="B388" s="0" t="s">
        <v>77</v>
      </c>
      <c r="C388" s="17" t="n">
        <v>46081</v>
      </c>
      <c r="D388" s="15" t="s">
        <v>88</v>
      </c>
      <c r="E388" s="15" t="s">
        <v>105</v>
      </c>
    </row>
    <row r="389" customFormat="false" ht="15" hidden="false" customHeight="false" outlineLevel="0" collapsed="false">
      <c r="A389" s="0" t="s">
        <v>480</v>
      </c>
      <c r="B389" s="0" t="s">
        <v>103</v>
      </c>
      <c r="C389" s="17" t="n">
        <v>46060</v>
      </c>
      <c r="D389" s="15" t="s">
        <v>90</v>
      </c>
      <c r="E389" s="15" t="s">
        <v>97</v>
      </c>
    </row>
    <row r="390" customFormat="false" ht="15" hidden="false" customHeight="false" outlineLevel="0" collapsed="false">
      <c r="A390" s="0" t="s">
        <v>481</v>
      </c>
      <c r="B390" s="0" t="s">
        <v>83</v>
      </c>
      <c r="C390" s="17" t="n">
        <v>46032</v>
      </c>
      <c r="D390" s="15" t="s">
        <v>90</v>
      </c>
      <c r="E390" s="15" t="s">
        <v>69</v>
      </c>
    </row>
    <row r="391" customFormat="false" ht="15" hidden="false" customHeight="false" outlineLevel="0" collapsed="false">
      <c r="A391" s="0" t="s">
        <v>482</v>
      </c>
      <c r="B391" s="0" t="s">
        <v>83</v>
      </c>
      <c r="C391" s="17" t="n">
        <v>46071</v>
      </c>
      <c r="D391" s="15" t="s">
        <v>74</v>
      </c>
      <c r="E391" s="15" t="s">
        <v>148</v>
      </c>
    </row>
    <row r="392" customFormat="false" ht="15" hidden="false" customHeight="false" outlineLevel="0" collapsed="false">
      <c r="A392" s="0" t="s">
        <v>483</v>
      </c>
      <c r="B392" s="0" t="s">
        <v>33</v>
      </c>
      <c r="C392" s="17" t="n">
        <v>46074</v>
      </c>
      <c r="D392" s="15" t="s">
        <v>61</v>
      </c>
      <c r="E392" s="15" t="s">
        <v>59</v>
      </c>
    </row>
    <row r="393" customFormat="false" ht="15" hidden="false" customHeight="false" outlineLevel="0" collapsed="false">
      <c r="A393" s="0" t="s">
        <v>484</v>
      </c>
      <c r="B393" s="0" t="s">
        <v>57</v>
      </c>
      <c r="C393" s="17" t="n">
        <v>46074</v>
      </c>
      <c r="D393" s="15" t="s">
        <v>64</v>
      </c>
      <c r="E393" s="15" t="s">
        <v>85</v>
      </c>
    </row>
    <row r="394" customFormat="false" ht="15" hidden="false" customHeight="false" outlineLevel="0" collapsed="false">
      <c r="A394" s="0" t="s">
        <v>485</v>
      </c>
      <c r="B394" s="0" t="s">
        <v>57</v>
      </c>
      <c r="C394" s="17" t="n">
        <v>46073</v>
      </c>
      <c r="D394" s="15" t="s">
        <v>104</v>
      </c>
      <c r="E394" s="15" t="s">
        <v>59</v>
      </c>
    </row>
    <row r="395" customFormat="false" ht="15" hidden="false" customHeight="false" outlineLevel="0" collapsed="false">
      <c r="A395" s="0" t="s">
        <v>486</v>
      </c>
      <c r="B395" s="0" t="s">
        <v>57</v>
      </c>
      <c r="C395" s="17" t="n">
        <v>46057</v>
      </c>
      <c r="D395" s="15" t="s">
        <v>96</v>
      </c>
      <c r="E395" s="15" t="s">
        <v>97</v>
      </c>
    </row>
    <row r="396" customFormat="false" ht="15" hidden="false" customHeight="false" outlineLevel="0" collapsed="false">
      <c r="A396" s="0" t="s">
        <v>487</v>
      </c>
      <c r="B396" s="0" t="s">
        <v>37</v>
      </c>
      <c r="C396" s="17" t="n">
        <v>46057</v>
      </c>
      <c r="D396" s="15" t="s">
        <v>88</v>
      </c>
      <c r="E396" s="15" t="s">
        <v>85</v>
      </c>
    </row>
    <row r="397" customFormat="false" ht="15" hidden="false" customHeight="false" outlineLevel="0" collapsed="false">
      <c r="A397" s="0" t="s">
        <v>488</v>
      </c>
      <c r="B397" s="0" t="s">
        <v>112</v>
      </c>
      <c r="C397" s="17" t="n">
        <v>46082</v>
      </c>
      <c r="D397" s="15" t="s">
        <v>126</v>
      </c>
      <c r="E397" s="15" t="s">
        <v>97</v>
      </c>
    </row>
    <row r="398" customFormat="false" ht="15" hidden="false" customHeight="false" outlineLevel="0" collapsed="false">
      <c r="A398" s="0" t="s">
        <v>489</v>
      </c>
      <c r="B398" s="0" t="s">
        <v>95</v>
      </c>
      <c r="C398" s="17" t="n">
        <v>46082</v>
      </c>
      <c r="D398" s="15" t="s">
        <v>88</v>
      </c>
      <c r="E398" s="15" t="s">
        <v>62</v>
      </c>
    </row>
    <row r="399" customFormat="false" ht="15" hidden="false" customHeight="false" outlineLevel="0" collapsed="false">
      <c r="A399" s="0" t="s">
        <v>490</v>
      </c>
      <c r="B399" s="0" t="s">
        <v>83</v>
      </c>
      <c r="C399" s="17" t="n">
        <v>46031</v>
      </c>
      <c r="D399" s="15" t="s">
        <v>72</v>
      </c>
      <c r="E399" s="15" t="s">
        <v>85</v>
      </c>
    </row>
    <row r="400" customFormat="false" ht="15" hidden="false" customHeight="false" outlineLevel="0" collapsed="false">
      <c r="A400" s="0" t="s">
        <v>491</v>
      </c>
      <c r="B400" s="0" t="s">
        <v>37</v>
      </c>
      <c r="C400" s="17" t="n">
        <v>46080</v>
      </c>
      <c r="D400" s="15" t="s">
        <v>126</v>
      </c>
      <c r="E400" s="15" t="s">
        <v>69</v>
      </c>
    </row>
    <row r="401" customFormat="false" ht="15" hidden="false" customHeight="false" outlineLevel="0" collapsed="false">
      <c r="A401" s="0" t="s">
        <v>492</v>
      </c>
      <c r="B401" s="0" t="s">
        <v>33</v>
      </c>
      <c r="C401" s="17" t="n">
        <v>46042</v>
      </c>
      <c r="D401" s="15" t="s">
        <v>96</v>
      </c>
      <c r="E401" s="15" t="s">
        <v>85</v>
      </c>
    </row>
    <row r="402" customFormat="false" ht="15" hidden="false" customHeight="false" outlineLevel="0" collapsed="false">
      <c r="A402" s="0" t="s">
        <v>493</v>
      </c>
      <c r="B402" s="0" t="s">
        <v>92</v>
      </c>
      <c r="C402" s="17" t="n">
        <v>46071</v>
      </c>
      <c r="D402" s="15" t="s">
        <v>153</v>
      </c>
      <c r="E402" s="15" t="s">
        <v>69</v>
      </c>
    </row>
    <row r="403" customFormat="false" ht="15" hidden="false" customHeight="false" outlineLevel="0" collapsed="false">
      <c r="A403" s="0" t="s">
        <v>494</v>
      </c>
      <c r="B403" s="0" t="s">
        <v>57</v>
      </c>
      <c r="C403" s="17" t="n">
        <v>46066</v>
      </c>
      <c r="D403" s="15" t="s">
        <v>128</v>
      </c>
      <c r="E403" s="15" t="s">
        <v>97</v>
      </c>
    </row>
    <row r="404" customFormat="false" ht="15" hidden="false" customHeight="false" outlineLevel="0" collapsed="false">
      <c r="A404" s="0" t="s">
        <v>495</v>
      </c>
      <c r="B404" s="0" t="s">
        <v>77</v>
      </c>
      <c r="C404" s="17" t="n">
        <v>46081</v>
      </c>
      <c r="D404" s="15" t="s">
        <v>84</v>
      </c>
      <c r="E404" s="15" t="s">
        <v>97</v>
      </c>
    </row>
    <row r="405" customFormat="false" ht="15" hidden="false" customHeight="false" outlineLevel="0" collapsed="false">
      <c r="A405" s="0" t="s">
        <v>496</v>
      </c>
      <c r="B405" s="0" t="s">
        <v>103</v>
      </c>
      <c r="C405" s="17" t="n">
        <v>46082</v>
      </c>
      <c r="D405" s="15" t="s">
        <v>68</v>
      </c>
      <c r="E405" s="15" t="s">
        <v>172</v>
      </c>
    </row>
    <row r="406" customFormat="false" ht="15" hidden="false" customHeight="false" outlineLevel="0" collapsed="false">
      <c r="A406" s="0" t="s">
        <v>497</v>
      </c>
      <c r="B406" s="0" t="s">
        <v>99</v>
      </c>
      <c r="C406" s="17" t="n">
        <v>46047</v>
      </c>
      <c r="D406" s="15" t="s">
        <v>84</v>
      </c>
      <c r="E406" s="15" t="s">
        <v>97</v>
      </c>
    </row>
    <row r="407" customFormat="false" ht="15" hidden="false" customHeight="false" outlineLevel="0" collapsed="false">
      <c r="A407" s="0" t="s">
        <v>498</v>
      </c>
      <c r="B407" s="0" t="s">
        <v>37</v>
      </c>
      <c r="C407" s="17" t="n">
        <v>46057</v>
      </c>
      <c r="D407" s="15" t="s">
        <v>126</v>
      </c>
      <c r="E407" s="15" t="s">
        <v>151</v>
      </c>
    </row>
    <row r="408" customFormat="false" ht="15" hidden="false" customHeight="false" outlineLevel="0" collapsed="false">
      <c r="A408" s="0" t="s">
        <v>499</v>
      </c>
      <c r="B408" s="0" t="s">
        <v>116</v>
      </c>
      <c r="C408" s="17" t="n">
        <v>46068</v>
      </c>
      <c r="D408" s="15" t="s">
        <v>135</v>
      </c>
      <c r="E408" s="15" t="s">
        <v>59</v>
      </c>
    </row>
    <row r="409" customFormat="false" ht="15" hidden="false" customHeight="false" outlineLevel="0" collapsed="false">
      <c r="A409" s="0" t="s">
        <v>500</v>
      </c>
      <c r="B409" s="0" t="s">
        <v>116</v>
      </c>
      <c r="C409" s="17" t="n">
        <v>46052</v>
      </c>
      <c r="D409" s="15" t="s">
        <v>126</v>
      </c>
      <c r="E409" s="15" t="s">
        <v>69</v>
      </c>
    </row>
    <row r="410" customFormat="false" ht="15" hidden="false" customHeight="false" outlineLevel="0" collapsed="false">
      <c r="A410" s="0" t="s">
        <v>501</v>
      </c>
      <c r="B410" s="0" t="s">
        <v>83</v>
      </c>
      <c r="C410" s="17" t="n">
        <v>46070</v>
      </c>
      <c r="D410" s="15" t="s">
        <v>58</v>
      </c>
      <c r="E410" s="15" t="s">
        <v>97</v>
      </c>
    </row>
    <row r="411" customFormat="false" ht="15" hidden="false" customHeight="false" outlineLevel="0" collapsed="false">
      <c r="A411" s="0" t="s">
        <v>502</v>
      </c>
      <c r="B411" s="0" t="s">
        <v>83</v>
      </c>
      <c r="C411" s="17" t="n">
        <v>46056</v>
      </c>
      <c r="D411" s="15" t="s">
        <v>101</v>
      </c>
      <c r="E411" s="15" t="s">
        <v>97</v>
      </c>
    </row>
    <row r="412" customFormat="false" ht="15" hidden="false" customHeight="false" outlineLevel="0" collapsed="false">
      <c r="A412" s="0" t="s">
        <v>503</v>
      </c>
      <c r="B412" s="0" t="s">
        <v>95</v>
      </c>
      <c r="C412" s="17" t="n">
        <v>46081</v>
      </c>
      <c r="D412" s="15" t="s">
        <v>61</v>
      </c>
      <c r="E412" s="15" t="s">
        <v>65</v>
      </c>
    </row>
    <row r="413" customFormat="false" ht="15" hidden="false" customHeight="false" outlineLevel="0" collapsed="false">
      <c r="A413" s="0" t="s">
        <v>504</v>
      </c>
      <c r="B413" s="0" t="s">
        <v>124</v>
      </c>
      <c r="C413" s="17" t="n">
        <v>46045</v>
      </c>
      <c r="D413" s="15" t="s">
        <v>153</v>
      </c>
      <c r="E413" s="15" t="s">
        <v>69</v>
      </c>
    </row>
    <row r="414" customFormat="false" ht="15" hidden="false" customHeight="false" outlineLevel="0" collapsed="false">
      <c r="A414" s="0" t="s">
        <v>505</v>
      </c>
      <c r="B414" s="0" t="s">
        <v>35</v>
      </c>
      <c r="C414" s="17" t="n">
        <v>46037</v>
      </c>
      <c r="D414" s="15" t="s">
        <v>68</v>
      </c>
      <c r="E414" s="15" t="s">
        <v>97</v>
      </c>
    </row>
    <row r="415" customFormat="false" ht="15" hidden="false" customHeight="false" outlineLevel="0" collapsed="false">
      <c r="A415" s="0" t="s">
        <v>506</v>
      </c>
      <c r="B415" s="0" t="s">
        <v>99</v>
      </c>
      <c r="C415" s="17" t="n">
        <v>46071</v>
      </c>
      <c r="D415" s="15" t="s">
        <v>72</v>
      </c>
      <c r="E415" s="15" t="s">
        <v>109</v>
      </c>
    </row>
    <row r="416" customFormat="false" ht="15" hidden="false" customHeight="false" outlineLevel="0" collapsed="false">
      <c r="A416" s="0" t="s">
        <v>507</v>
      </c>
      <c r="B416" s="0" t="s">
        <v>57</v>
      </c>
      <c r="C416" s="17" t="n">
        <v>46067</v>
      </c>
      <c r="D416" s="15" t="s">
        <v>93</v>
      </c>
      <c r="E416" s="15" t="s">
        <v>59</v>
      </c>
    </row>
    <row r="417" customFormat="false" ht="15" hidden="false" customHeight="false" outlineLevel="0" collapsed="false">
      <c r="A417" s="0" t="s">
        <v>508</v>
      </c>
      <c r="B417" s="0" t="s">
        <v>71</v>
      </c>
      <c r="C417" s="17" t="n">
        <v>46027</v>
      </c>
      <c r="D417" s="15" t="s">
        <v>107</v>
      </c>
      <c r="E417" s="15" t="s">
        <v>97</v>
      </c>
    </row>
    <row r="418" customFormat="false" ht="15" hidden="false" customHeight="false" outlineLevel="0" collapsed="false">
      <c r="A418" s="0" t="s">
        <v>509</v>
      </c>
      <c r="B418" s="0" t="s">
        <v>43</v>
      </c>
      <c r="C418" s="17" t="n">
        <v>46049</v>
      </c>
      <c r="D418" s="15" t="s">
        <v>93</v>
      </c>
      <c r="E418" s="15" t="s">
        <v>75</v>
      </c>
    </row>
    <row r="419" customFormat="false" ht="15" hidden="false" customHeight="false" outlineLevel="0" collapsed="false">
      <c r="A419" s="0" t="s">
        <v>510</v>
      </c>
      <c r="B419" s="0" t="s">
        <v>71</v>
      </c>
      <c r="C419" s="17" t="n">
        <v>46068</v>
      </c>
      <c r="D419" s="15" t="s">
        <v>90</v>
      </c>
      <c r="E419" s="15" t="s">
        <v>69</v>
      </c>
    </row>
    <row r="420" customFormat="false" ht="15" hidden="false" customHeight="false" outlineLevel="0" collapsed="false">
      <c r="A420" s="0" t="s">
        <v>511</v>
      </c>
      <c r="B420" s="0" t="s">
        <v>103</v>
      </c>
      <c r="C420" s="17" t="n">
        <v>46031</v>
      </c>
      <c r="D420" s="15" t="s">
        <v>74</v>
      </c>
      <c r="E420" s="15" t="s">
        <v>59</v>
      </c>
    </row>
    <row r="421" customFormat="false" ht="15" hidden="false" customHeight="false" outlineLevel="0" collapsed="false">
      <c r="A421" s="0" t="s">
        <v>512</v>
      </c>
      <c r="B421" s="0" t="s">
        <v>77</v>
      </c>
      <c r="C421" s="17" t="n">
        <v>46080</v>
      </c>
      <c r="D421" s="15" t="s">
        <v>72</v>
      </c>
      <c r="E421" s="15" t="s">
        <v>151</v>
      </c>
    </row>
    <row r="422" customFormat="false" ht="15" hidden="false" customHeight="false" outlineLevel="0" collapsed="false">
      <c r="A422" s="0" t="s">
        <v>513</v>
      </c>
      <c r="B422" s="0" t="s">
        <v>39</v>
      </c>
      <c r="C422" s="17" t="n">
        <v>46045</v>
      </c>
      <c r="D422" s="15" t="s">
        <v>72</v>
      </c>
      <c r="E422" s="15" t="s">
        <v>69</v>
      </c>
    </row>
    <row r="423" customFormat="false" ht="15" hidden="false" customHeight="false" outlineLevel="0" collapsed="false">
      <c r="A423" s="0" t="s">
        <v>514</v>
      </c>
      <c r="B423" s="0" t="s">
        <v>99</v>
      </c>
      <c r="C423" s="17" t="n">
        <v>46075</v>
      </c>
      <c r="D423" s="15" t="s">
        <v>88</v>
      </c>
      <c r="E423" s="15" t="s">
        <v>69</v>
      </c>
    </row>
    <row r="424" customFormat="false" ht="15" hidden="false" customHeight="false" outlineLevel="0" collapsed="false">
      <c r="A424" s="0" t="s">
        <v>515</v>
      </c>
      <c r="B424" s="0" t="s">
        <v>95</v>
      </c>
      <c r="C424" s="17" t="n">
        <v>46033</v>
      </c>
      <c r="D424" s="15" t="s">
        <v>81</v>
      </c>
      <c r="E424" s="15" t="s">
        <v>85</v>
      </c>
    </row>
    <row r="425" customFormat="false" ht="15" hidden="false" customHeight="false" outlineLevel="0" collapsed="false">
      <c r="A425" s="0" t="s">
        <v>516</v>
      </c>
      <c r="B425" s="0" t="s">
        <v>99</v>
      </c>
      <c r="C425" s="17" t="n">
        <v>46076</v>
      </c>
      <c r="D425" s="15" t="s">
        <v>93</v>
      </c>
      <c r="E425" s="15" t="s">
        <v>85</v>
      </c>
    </row>
    <row r="426" customFormat="false" ht="15" hidden="false" customHeight="false" outlineLevel="0" collapsed="false">
      <c r="A426" s="0" t="s">
        <v>517</v>
      </c>
      <c r="B426" s="0" t="s">
        <v>43</v>
      </c>
      <c r="C426" s="17" t="n">
        <v>46039</v>
      </c>
      <c r="D426" s="15" t="s">
        <v>84</v>
      </c>
      <c r="E426" s="15" t="s">
        <v>69</v>
      </c>
    </row>
    <row r="427" customFormat="false" ht="15" hidden="false" customHeight="false" outlineLevel="0" collapsed="false">
      <c r="A427" s="0" t="s">
        <v>518</v>
      </c>
      <c r="B427" s="0" t="s">
        <v>41</v>
      </c>
      <c r="C427" s="17" t="n">
        <v>46079</v>
      </c>
      <c r="D427" s="15" t="s">
        <v>128</v>
      </c>
      <c r="E427" s="15" t="s">
        <v>75</v>
      </c>
    </row>
    <row r="428" customFormat="false" ht="15" hidden="false" customHeight="false" outlineLevel="0" collapsed="false">
      <c r="A428" s="0" t="s">
        <v>519</v>
      </c>
      <c r="B428" s="0" t="s">
        <v>112</v>
      </c>
      <c r="C428" s="17" t="n">
        <v>46058</v>
      </c>
      <c r="D428" s="15" t="s">
        <v>101</v>
      </c>
      <c r="E428" s="15" t="s">
        <v>59</v>
      </c>
    </row>
    <row r="429" customFormat="false" ht="15" hidden="false" customHeight="false" outlineLevel="0" collapsed="false">
      <c r="A429" s="0" t="s">
        <v>520</v>
      </c>
      <c r="B429" s="0" t="s">
        <v>95</v>
      </c>
      <c r="C429" s="17" t="n">
        <v>46047</v>
      </c>
      <c r="D429" s="15" t="s">
        <v>101</v>
      </c>
      <c r="E429" s="15" t="s">
        <v>65</v>
      </c>
    </row>
    <row r="430" customFormat="false" ht="15" hidden="false" customHeight="false" outlineLevel="0" collapsed="false">
      <c r="A430" s="0" t="s">
        <v>521</v>
      </c>
      <c r="B430" s="0" t="s">
        <v>43</v>
      </c>
      <c r="C430" s="17" t="n">
        <v>46058</v>
      </c>
      <c r="D430" s="15" t="s">
        <v>68</v>
      </c>
      <c r="E430" s="15" t="s">
        <v>65</v>
      </c>
    </row>
    <row r="431" customFormat="false" ht="15" hidden="false" customHeight="false" outlineLevel="0" collapsed="false">
      <c r="A431" s="0" t="s">
        <v>522</v>
      </c>
      <c r="B431" s="0" t="s">
        <v>57</v>
      </c>
      <c r="C431" s="17" t="n">
        <v>46064</v>
      </c>
      <c r="D431" s="15" t="s">
        <v>58</v>
      </c>
      <c r="E431" s="15" t="s">
        <v>59</v>
      </c>
    </row>
    <row r="432" customFormat="false" ht="15" hidden="false" customHeight="false" outlineLevel="0" collapsed="false">
      <c r="A432" s="0" t="s">
        <v>523</v>
      </c>
      <c r="B432" s="0" t="s">
        <v>41</v>
      </c>
      <c r="C432" s="17" t="n">
        <v>46057</v>
      </c>
      <c r="D432" s="15" t="s">
        <v>74</v>
      </c>
      <c r="E432" s="15" t="s">
        <v>59</v>
      </c>
    </row>
    <row r="433" customFormat="false" ht="15" hidden="false" customHeight="false" outlineLevel="0" collapsed="false">
      <c r="A433" s="0" t="s">
        <v>524</v>
      </c>
      <c r="B433" s="0" t="s">
        <v>124</v>
      </c>
      <c r="C433" s="17" t="n">
        <v>46064</v>
      </c>
      <c r="D433" s="15" t="s">
        <v>58</v>
      </c>
      <c r="E433" s="15" t="s">
        <v>75</v>
      </c>
    </row>
    <row r="434" customFormat="false" ht="15" hidden="false" customHeight="false" outlineLevel="0" collapsed="false">
      <c r="A434" s="0" t="s">
        <v>525</v>
      </c>
      <c r="B434" s="0" t="s">
        <v>116</v>
      </c>
      <c r="C434" s="17" t="n">
        <v>46037</v>
      </c>
      <c r="D434" s="15" t="s">
        <v>135</v>
      </c>
      <c r="E434" s="15" t="s">
        <v>172</v>
      </c>
    </row>
    <row r="435" customFormat="false" ht="15" hidden="false" customHeight="false" outlineLevel="0" collapsed="false">
      <c r="A435" s="0" t="s">
        <v>526</v>
      </c>
      <c r="B435" s="0" t="s">
        <v>57</v>
      </c>
      <c r="C435" s="17" t="n">
        <v>46039</v>
      </c>
      <c r="D435" s="15" t="s">
        <v>104</v>
      </c>
      <c r="E435" s="15" t="s">
        <v>172</v>
      </c>
    </row>
    <row r="436" customFormat="false" ht="15" hidden="false" customHeight="false" outlineLevel="0" collapsed="false">
      <c r="A436" s="0" t="s">
        <v>527</v>
      </c>
      <c r="B436" s="0" t="s">
        <v>99</v>
      </c>
      <c r="C436" s="17" t="n">
        <v>46048</v>
      </c>
      <c r="D436" s="15" t="s">
        <v>126</v>
      </c>
      <c r="E436" s="15" t="s">
        <v>69</v>
      </c>
    </row>
    <row r="437" customFormat="false" ht="15" hidden="false" customHeight="false" outlineLevel="0" collapsed="false">
      <c r="A437" s="0" t="s">
        <v>528</v>
      </c>
      <c r="B437" s="0" t="s">
        <v>37</v>
      </c>
      <c r="C437" s="17" t="n">
        <v>46075</v>
      </c>
      <c r="D437" s="15" t="s">
        <v>61</v>
      </c>
      <c r="E437" s="15" t="s">
        <v>65</v>
      </c>
    </row>
    <row r="438" customFormat="false" ht="15" hidden="false" customHeight="false" outlineLevel="0" collapsed="false">
      <c r="A438" s="0" t="s">
        <v>529</v>
      </c>
      <c r="B438" s="0" t="s">
        <v>77</v>
      </c>
      <c r="C438" s="17" t="n">
        <v>46059</v>
      </c>
      <c r="D438" s="15" t="s">
        <v>135</v>
      </c>
      <c r="E438" s="15" t="s">
        <v>65</v>
      </c>
    </row>
    <row r="439" customFormat="false" ht="15" hidden="false" customHeight="false" outlineLevel="0" collapsed="false">
      <c r="A439" s="0" t="s">
        <v>530</v>
      </c>
      <c r="B439" s="0" t="s">
        <v>35</v>
      </c>
      <c r="C439" s="17" t="n">
        <v>46047</v>
      </c>
      <c r="D439" s="15" t="s">
        <v>107</v>
      </c>
      <c r="E439" s="15" t="s">
        <v>62</v>
      </c>
    </row>
    <row r="440" customFormat="false" ht="15" hidden="false" customHeight="false" outlineLevel="0" collapsed="false">
      <c r="A440" s="0" t="s">
        <v>531</v>
      </c>
      <c r="B440" s="0" t="s">
        <v>33</v>
      </c>
      <c r="C440" s="17" t="n">
        <v>46052</v>
      </c>
      <c r="D440" s="15" t="s">
        <v>79</v>
      </c>
      <c r="E440" s="15" t="s">
        <v>59</v>
      </c>
    </row>
    <row r="441" customFormat="false" ht="15" hidden="false" customHeight="false" outlineLevel="0" collapsed="false">
      <c r="A441" s="0" t="s">
        <v>532</v>
      </c>
      <c r="B441" s="0" t="s">
        <v>37</v>
      </c>
      <c r="C441" s="17" t="n">
        <v>46047</v>
      </c>
      <c r="D441" s="15" t="s">
        <v>88</v>
      </c>
      <c r="E441" s="15" t="s">
        <v>62</v>
      </c>
    </row>
    <row r="442" customFormat="false" ht="15" hidden="false" customHeight="false" outlineLevel="0" collapsed="false">
      <c r="A442" s="0" t="s">
        <v>533</v>
      </c>
      <c r="B442" s="0" t="s">
        <v>67</v>
      </c>
      <c r="C442" s="17" t="n">
        <v>46063</v>
      </c>
      <c r="D442" s="15" t="s">
        <v>84</v>
      </c>
      <c r="E442" s="15" t="s">
        <v>105</v>
      </c>
    </row>
    <row r="443" customFormat="false" ht="15" hidden="false" customHeight="false" outlineLevel="0" collapsed="false">
      <c r="A443" s="0" t="s">
        <v>534</v>
      </c>
      <c r="B443" s="0" t="s">
        <v>33</v>
      </c>
      <c r="C443" s="17" t="n">
        <v>46046</v>
      </c>
      <c r="D443" s="15" t="s">
        <v>135</v>
      </c>
      <c r="E443" s="15" t="s">
        <v>97</v>
      </c>
    </row>
    <row r="444" customFormat="false" ht="15" hidden="false" customHeight="false" outlineLevel="0" collapsed="false">
      <c r="A444" s="0" t="s">
        <v>535</v>
      </c>
      <c r="B444" s="0" t="s">
        <v>39</v>
      </c>
      <c r="C444" s="17" t="n">
        <v>46065</v>
      </c>
      <c r="D444" s="15" t="s">
        <v>61</v>
      </c>
      <c r="E444" s="15" t="s">
        <v>85</v>
      </c>
    </row>
    <row r="445" customFormat="false" ht="15" hidden="false" customHeight="false" outlineLevel="0" collapsed="false">
      <c r="A445" s="0" t="s">
        <v>536</v>
      </c>
      <c r="B445" s="0" t="s">
        <v>83</v>
      </c>
      <c r="C445" s="17" t="n">
        <v>46074</v>
      </c>
      <c r="D445" s="15" t="s">
        <v>88</v>
      </c>
      <c r="E445" s="15" t="s">
        <v>109</v>
      </c>
    </row>
    <row r="446" customFormat="false" ht="15" hidden="false" customHeight="false" outlineLevel="0" collapsed="false">
      <c r="A446" s="0" t="s">
        <v>537</v>
      </c>
      <c r="B446" s="0" t="s">
        <v>71</v>
      </c>
      <c r="C446" s="17" t="n">
        <v>46075</v>
      </c>
      <c r="D446" s="15" t="s">
        <v>79</v>
      </c>
      <c r="E446" s="15" t="s">
        <v>85</v>
      </c>
    </row>
    <row r="447" customFormat="false" ht="15" hidden="false" customHeight="false" outlineLevel="0" collapsed="false">
      <c r="A447" s="0" t="s">
        <v>538</v>
      </c>
      <c r="B447" s="0" t="s">
        <v>71</v>
      </c>
      <c r="C447" s="17" t="n">
        <v>46046</v>
      </c>
      <c r="D447" s="15" t="s">
        <v>104</v>
      </c>
      <c r="E447" s="15" t="s">
        <v>69</v>
      </c>
    </row>
    <row r="448" customFormat="false" ht="15" hidden="false" customHeight="false" outlineLevel="0" collapsed="false">
      <c r="A448" s="0" t="s">
        <v>539</v>
      </c>
      <c r="B448" s="0" t="s">
        <v>37</v>
      </c>
      <c r="C448" s="17" t="n">
        <v>46064</v>
      </c>
      <c r="D448" s="15" t="s">
        <v>74</v>
      </c>
      <c r="E448" s="15" t="s">
        <v>85</v>
      </c>
    </row>
    <row r="449" customFormat="false" ht="15" hidden="false" customHeight="false" outlineLevel="0" collapsed="false">
      <c r="A449" s="0" t="s">
        <v>540</v>
      </c>
      <c r="B449" s="0" t="s">
        <v>83</v>
      </c>
      <c r="C449" s="17" t="n">
        <v>46041</v>
      </c>
      <c r="D449" s="15" t="s">
        <v>72</v>
      </c>
      <c r="E449" s="15" t="s">
        <v>62</v>
      </c>
    </row>
    <row r="450" customFormat="false" ht="15" hidden="false" customHeight="false" outlineLevel="0" collapsed="false">
      <c r="A450" s="0" t="s">
        <v>541</v>
      </c>
      <c r="B450" s="0" t="s">
        <v>83</v>
      </c>
      <c r="C450" s="17" t="n">
        <v>46049</v>
      </c>
      <c r="D450" s="15" t="s">
        <v>126</v>
      </c>
      <c r="E450" s="15" t="s">
        <v>65</v>
      </c>
    </row>
    <row r="451" customFormat="false" ht="15" hidden="false" customHeight="false" outlineLevel="0" collapsed="false">
      <c r="A451" s="0" t="s">
        <v>542</v>
      </c>
      <c r="B451" s="0" t="s">
        <v>112</v>
      </c>
      <c r="C451" s="17" t="n">
        <v>46030</v>
      </c>
      <c r="D451" s="15" t="s">
        <v>153</v>
      </c>
      <c r="E451" s="15" t="s">
        <v>148</v>
      </c>
    </row>
    <row r="452" customFormat="false" ht="15" hidden="false" customHeight="false" outlineLevel="0" collapsed="false">
      <c r="A452" s="0" t="s">
        <v>543</v>
      </c>
      <c r="B452" s="0" t="s">
        <v>43</v>
      </c>
      <c r="C452" s="17" t="n">
        <v>46078</v>
      </c>
      <c r="D452" s="15" t="s">
        <v>74</v>
      </c>
      <c r="E452" s="15" t="s">
        <v>62</v>
      </c>
    </row>
    <row r="453" customFormat="false" ht="15" hidden="false" customHeight="false" outlineLevel="0" collapsed="false">
      <c r="A453" s="0" t="s">
        <v>544</v>
      </c>
      <c r="B453" s="0" t="s">
        <v>67</v>
      </c>
      <c r="C453" s="17" t="n">
        <v>46052</v>
      </c>
      <c r="D453" s="15" t="s">
        <v>74</v>
      </c>
      <c r="E453" s="15" t="s">
        <v>148</v>
      </c>
    </row>
    <row r="454" customFormat="false" ht="15" hidden="false" customHeight="false" outlineLevel="0" collapsed="false">
      <c r="A454" s="0" t="s">
        <v>545</v>
      </c>
      <c r="B454" s="0" t="s">
        <v>67</v>
      </c>
      <c r="C454" s="17" t="n">
        <v>46071</v>
      </c>
      <c r="D454" s="15" t="s">
        <v>135</v>
      </c>
      <c r="E454" s="15" t="s">
        <v>75</v>
      </c>
    </row>
    <row r="455" customFormat="false" ht="15" hidden="false" customHeight="false" outlineLevel="0" collapsed="false">
      <c r="A455" s="0" t="s">
        <v>546</v>
      </c>
      <c r="B455" s="0" t="s">
        <v>39</v>
      </c>
      <c r="C455" s="17" t="n">
        <v>46047</v>
      </c>
      <c r="D455" s="15" t="s">
        <v>81</v>
      </c>
      <c r="E455" s="15" t="s">
        <v>97</v>
      </c>
    </row>
    <row r="456" customFormat="false" ht="15" hidden="false" customHeight="false" outlineLevel="0" collapsed="false">
      <c r="A456" s="0" t="s">
        <v>547</v>
      </c>
      <c r="B456" s="0" t="s">
        <v>33</v>
      </c>
      <c r="C456" s="17" t="n">
        <v>46057</v>
      </c>
      <c r="D456" s="15" t="s">
        <v>58</v>
      </c>
      <c r="E456" s="15" t="s">
        <v>59</v>
      </c>
    </row>
    <row r="457" customFormat="false" ht="15" hidden="false" customHeight="false" outlineLevel="0" collapsed="false">
      <c r="A457" s="0" t="s">
        <v>548</v>
      </c>
      <c r="B457" s="0" t="s">
        <v>77</v>
      </c>
      <c r="C457" s="17" t="n">
        <v>46044</v>
      </c>
      <c r="D457" s="15" t="s">
        <v>88</v>
      </c>
      <c r="E457" s="15" t="s">
        <v>97</v>
      </c>
    </row>
    <row r="458" customFormat="false" ht="15" hidden="false" customHeight="false" outlineLevel="0" collapsed="false">
      <c r="A458" s="0" t="s">
        <v>549</v>
      </c>
      <c r="B458" s="0" t="s">
        <v>43</v>
      </c>
      <c r="C458" s="17" t="n">
        <v>46059</v>
      </c>
      <c r="D458" s="15" t="s">
        <v>135</v>
      </c>
      <c r="E458" s="15" t="s">
        <v>85</v>
      </c>
    </row>
    <row r="459" customFormat="false" ht="15" hidden="false" customHeight="false" outlineLevel="0" collapsed="false">
      <c r="A459" s="0" t="s">
        <v>550</v>
      </c>
      <c r="B459" s="0" t="s">
        <v>33</v>
      </c>
      <c r="C459" s="17" t="n">
        <v>46062</v>
      </c>
      <c r="D459" s="15" t="s">
        <v>153</v>
      </c>
      <c r="E459" s="15" t="s">
        <v>105</v>
      </c>
    </row>
    <row r="460" customFormat="false" ht="15" hidden="false" customHeight="false" outlineLevel="0" collapsed="false">
      <c r="A460" s="0" t="s">
        <v>551</v>
      </c>
      <c r="B460" s="0" t="s">
        <v>67</v>
      </c>
      <c r="C460" s="17" t="n">
        <v>46052</v>
      </c>
      <c r="D460" s="15" t="s">
        <v>104</v>
      </c>
      <c r="E460" s="15" t="s">
        <v>65</v>
      </c>
    </row>
    <row r="461" customFormat="false" ht="15" hidden="false" customHeight="false" outlineLevel="0" collapsed="false">
      <c r="A461" s="0" t="s">
        <v>552</v>
      </c>
      <c r="B461" s="0" t="s">
        <v>77</v>
      </c>
      <c r="C461" s="17" t="n">
        <v>46071</v>
      </c>
      <c r="D461" s="15" t="s">
        <v>104</v>
      </c>
      <c r="E461" s="15" t="s">
        <v>65</v>
      </c>
    </row>
    <row r="462" customFormat="false" ht="15" hidden="false" customHeight="false" outlineLevel="0" collapsed="false">
      <c r="A462" s="0" t="s">
        <v>553</v>
      </c>
      <c r="B462" s="0" t="s">
        <v>43</v>
      </c>
      <c r="C462" s="17" t="n">
        <v>46040</v>
      </c>
      <c r="D462" s="15" t="s">
        <v>126</v>
      </c>
      <c r="E462" s="15" t="s">
        <v>59</v>
      </c>
    </row>
    <row r="463" customFormat="false" ht="15" hidden="false" customHeight="false" outlineLevel="0" collapsed="false">
      <c r="A463" s="0" t="s">
        <v>554</v>
      </c>
      <c r="B463" s="0" t="s">
        <v>43</v>
      </c>
      <c r="C463" s="17" t="n">
        <v>46034</v>
      </c>
      <c r="D463" s="15" t="s">
        <v>79</v>
      </c>
      <c r="E463" s="15" t="s">
        <v>85</v>
      </c>
    </row>
    <row r="464" customFormat="false" ht="15" hidden="false" customHeight="false" outlineLevel="0" collapsed="false">
      <c r="A464" s="0" t="s">
        <v>555</v>
      </c>
      <c r="B464" s="0" t="s">
        <v>116</v>
      </c>
      <c r="C464" s="17" t="n">
        <v>46072</v>
      </c>
      <c r="D464" s="15" t="s">
        <v>74</v>
      </c>
      <c r="E464" s="15" t="s">
        <v>65</v>
      </c>
    </row>
    <row r="465" customFormat="false" ht="15" hidden="false" customHeight="false" outlineLevel="0" collapsed="false">
      <c r="A465" s="0" t="s">
        <v>556</v>
      </c>
      <c r="B465" s="0" t="s">
        <v>83</v>
      </c>
      <c r="C465" s="17" t="n">
        <v>46081</v>
      </c>
      <c r="D465" s="15" t="s">
        <v>79</v>
      </c>
      <c r="E465" s="15" t="s">
        <v>59</v>
      </c>
    </row>
    <row r="466" customFormat="false" ht="15" hidden="false" customHeight="false" outlineLevel="0" collapsed="false">
      <c r="A466" s="0" t="s">
        <v>557</v>
      </c>
      <c r="B466" s="0" t="s">
        <v>67</v>
      </c>
      <c r="C466" s="17" t="n">
        <v>46059</v>
      </c>
      <c r="D466" s="15" t="s">
        <v>135</v>
      </c>
      <c r="E466" s="15" t="s">
        <v>69</v>
      </c>
    </row>
    <row r="467" customFormat="false" ht="15" hidden="false" customHeight="false" outlineLevel="0" collapsed="false">
      <c r="A467" s="0" t="s">
        <v>558</v>
      </c>
      <c r="B467" s="0" t="s">
        <v>39</v>
      </c>
      <c r="C467" s="17" t="n">
        <v>46074</v>
      </c>
      <c r="D467" s="15" t="s">
        <v>58</v>
      </c>
      <c r="E467" s="15" t="s">
        <v>109</v>
      </c>
    </row>
    <row r="468" customFormat="false" ht="15" hidden="false" customHeight="false" outlineLevel="0" collapsed="false">
      <c r="A468" s="0" t="s">
        <v>559</v>
      </c>
      <c r="B468" s="0" t="s">
        <v>116</v>
      </c>
      <c r="C468" s="17" t="n">
        <v>46077</v>
      </c>
      <c r="D468" s="15" t="s">
        <v>88</v>
      </c>
      <c r="E468" s="15" t="s">
        <v>65</v>
      </c>
    </row>
    <row r="469" customFormat="false" ht="15" hidden="false" customHeight="false" outlineLevel="0" collapsed="false">
      <c r="A469" s="0" t="s">
        <v>560</v>
      </c>
      <c r="B469" s="0" t="s">
        <v>43</v>
      </c>
      <c r="C469" s="17" t="n">
        <v>46072</v>
      </c>
      <c r="D469" s="15" t="s">
        <v>81</v>
      </c>
      <c r="E469" s="15" t="s">
        <v>69</v>
      </c>
    </row>
    <row r="470" customFormat="false" ht="15" hidden="false" customHeight="false" outlineLevel="0" collapsed="false">
      <c r="A470" s="0" t="s">
        <v>561</v>
      </c>
      <c r="B470" s="0" t="s">
        <v>116</v>
      </c>
      <c r="C470" s="17" t="n">
        <v>46048</v>
      </c>
      <c r="D470" s="15" t="s">
        <v>58</v>
      </c>
      <c r="E470" s="15" t="s">
        <v>151</v>
      </c>
    </row>
    <row r="471" customFormat="false" ht="15" hidden="false" customHeight="false" outlineLevel="0" collapsed="false">
      <c r="A471" s="0" t="s">
        <v>562</v>
      </c>
      <c r="B471" s="0" t="s">
        <v>103</v>
      </c>
      <c r="C471" s="17" t="n">
        <v>46042</v>
      </c>
      <c r="D471" s="15" t="s">
        <v>81</v>
      </c>
      <c r="E471" s="15" t="s">
        <v>65</v>
      </c>
    </row>
    <row r="472" customFormat="false" ht="15" hidden="false" customHeight="false" outlineLevel="0" collapsed="false">
      <c r="A472" s="0" t="s">
        <v>563</v>
      </c>
      <c r="B472" s="0" t="s">
        <v>116</v>
      </c>
      <c r="C472" s="17" t="n">
        <v>46054</v>
      </c>
      <c r="D472" s="15" t="s">
        <v>72</v>
      </c>
      <c r="E472" s="15" t="s">
        <v>105</v>
      </c>
    </row>
    <row r="473" customFormat="false" ht="15" hidden="false" customHeight="false" outlineLevel="0" collapsed="false">
      <c r="A473" s="0" t="s">
        <v>564</v>
      </c>
      <c r="B473" s="0" t="s">
        <v>71</v>
      </c>
      <c r="C473" s="17" t="n">
        <v>46081</v>
      </c>
      <c r="D473" s="15" t="s">
        <v>72</v>
      </c>
      <c r="E473" s="15" t="s">
        <v>65</v>
      </c>
    </row>
    <row r="474" customFormat="false" ht="15" hidden="false" customHeight="false" outlineLevel="0" collapsed="false">
      <c r="A474" s="0" t="s">
        <v>565</v>
      </c>
      <c r="B474" s="0" t="s">
        <v>33</v>
      </c>
      <c r="C474" s="17" t="n">
        <v>46081</v>
      </c>
      <c r="D474" s="15" t="s">
        <v>64</v>
      </c>
      <c r="E474" s="15" t="s">
        <v>65</v>
      </c>
    </row>
    <row r="475" customFormat="false" ht="15" hidden="false" customHeight="false" outlineLevel="0" collapsed="false">
      <c r="A475" s="0" t="s">
        <v>566</v>
      </c>
      <c r="B475" s="0" t="s">
        <v>67</v>
      </c>
      <c r="C475" s="17" t="n">
        <v>46052</v>
      </c>
      <c r="D475" s="15" t="s">
        <v>88</v>
      </c>
      <c r="E475" s="15" t="s">
        <v>85</v>
      </c>
    </row>
    <row r="476" customFormat="false" ht="15" hidden="false" customHeight="false" outlineLevel="0" collapsed="false">
      <c r="A476" s="0" t="s">
        <v>567</v>
      </c>
      <c r="B476" s="0" t="s">
        <v>83</v>
      </c>
      <c r="C476" s="17" t="n">
        <v>46072</v>
      </c>
      <c r="D476" s="15" t="s">
        <v>88</v>
      </c>
      <c r="E476" s="15" t="s">
        <v>85</v>
      </c>
    </row>
    <row r="477" customFormat="false" ht="15" hidden="false" customHeight="false" outlineLevel="0" collapsed="false">
      <c r="A477" s="0" t="s">
        <v>568</v>
      </c>
      <c r="B477" s="0" t="s">
        <v>83</v>
      </c>
      <c r="C477" s="17" t="n">
        <v>46068</v>
      </c>
      <c r="D477" s="15" t="s">
        <v>64</v>
      </c>
      <c r="E477" s="15" t="s">
        <v>97</v>
      </c>
    </row>
    <row r="478" customFormat="false" ht="15" hidden="false" customHeight="false" outlineLevel="0" collapsed="false">
      <c r="A478" s="0" t="s">
        <v>569</v>
      </c>
      <c r="B478" s="0" t="s">
        <v>103</v>
      </c>
      <c r="C478" s="17" t="n">
        <v>46035</v>
      </c>
      <c r="D478" s="15" t="s">
        <v>72</v>
      </c>
      <c r="E478" s="15" t="s">
        <v>69</v>
      </c>
    </row>
    <row r="479" customFormat="false" ht="15" hidden="false" customHeight="false" outlineLevel="0" collapsed="false">
      <c r="A479" s="0" t="s">
        <v>570</v>
      </c>
      <c r="B479" s="0" t="s">
        <v>41</v>
      </c>
      <c r="C479" s="17" t="n">
        <v>46053</v>
      </c>
      <c r="D479" s="15" t="s">
        <v>74</v>
      </c>
      <c r="E479" s="15" t="s">
        <v>97</v>
      </c>
    </row>
    <row r="480" customFormat="false" ht="15" hidden="false" customHeight="false" outlineLevel="0" collapsed="false">
      <c r="A480" s="0" t="s">
        <v>571</v>
      </c>
      <c r="B480" s="0" t="s">
        <v>57</v>
      </c>
      <c r="C480" s="17" t="n">
        <v>46080</v>
      </c>
      <c r="D480" s="15" t="s">
        <v>153</v>
      </c>
      <c r="E480" s="15" t="s">
        <v>85</v>
      </c>
    </row>
    <row r="481" customFormat="false" ht="15" hidden="false" customHeight="false" outlineLevel="0" collapsed="false">
      <c r="A481" s="0" t="s">
        <v>572</v>
      </c>
      <c r="B481" s="0" t="s">
        <v>99</v>
      </c>
      <c r="C481" s="17" t="n">
        <v>46060</v>
      </c>
      <c r="D481" s="15" t="s">
        <v>104</v>
      </c>
      <c r="E481" s="15" t="s">
        <v>69</v>
      </c>
    </row>
    <row r="482" customFormat="false" ht="15" hidden="false" customHeight="false" outlineLevel="0" collapsed="false">
      <c r="A482" s="0" t="s">
        <v>573</v>
      </c>
      <c r="B482" s="0" t="s">
        <v>67</v>
      </c>
      <c r="C482" s="17" t="n">
        <v>46057</v>
      </c>
      <c r="D482" s="15" t="s">
        <v>153</v>
      </c>
      <c r="E482" s="15" t="s">
        <v>172</v>
      </c>
    </row>
    <row r="483" customFormat="false" ht="15" hidden="false" customHeight="false" outlineLevel="0" collapsed="false">
      <c r="A483" s="0" t="s">
        <v>574</v>
      </c>
      <c r="B483" s="0" t="s">
        <v>57</v>
      </c>
      <c r="C483" s="17" t="n">
        <v>46071</v>
      </c>
      <c r="D483" s="15" t="s">
        <v>128</v>
      </c>
      <c r="E483" s="15" t="s">
        <v>151</v>
      </c>
    </row>
    <row r="484" customFormat="false" ht="15" hidden="false" customHeight="false" outlineLevel="0" collapsed="false">
      <c r="A484" s="0" t="s">
        <v>575</v>
      </c>
      <c r="B484" s="0" t="s">
        <v>41</v>
      </c>
      <c r="C484" s="17" t="n">
        <v>46052</v>
      </c>
      <c r="D484" s="15" t="s">
        <v>68</v>
      </c>
      <c r="E484" s="15" t="s">
        <v>59</v>
      </c>
    </row>
    <row r="485" customFormat="false" ht="15" hidden="false" customHeight="false" outlineLevel="0" collapsed="false">
      <c r="A485" s="0" t="s">
        <v>576</v>
      </c>
      <c r="B485" s="0" t="s">
        <v>95</v>
      </c>
      <c r="C485" s="17" t="n">
        <v>46055</v>
      </c>
      <c r="D485" s="15" t="s">
        <v>74</v>
      </c>
      <c r="E485" s="15" t="s">
        <v>59</v>
      </c>
    </row>
    <row r="486" customFormat="false" ht="15" hidden="false" customHeight="false" outlineLevel="0" collapsed="false">
      <c r="A486" s="0" t="s">
        <v>577</v>
      </c>
      <c r="B486" s="0" t="s">
        <v>67</v>
      </c>
      <c r="C486" s="17" t="n">
        <v>46055</v>
      </c>
      <c r="D486" s="15" t="s">
        <v>79</v>
      </c>
      <c r="E486" s="15" t="s">
        <v>62</v>
      </c>
    </row>
    <row r="487" customFormat="false" ht="15" hidden="false" customHeight="false" outlineLevel="0" collapsed="false">
      <c r="A487" s="0" t="s">
        <v>578</v>
      </c>
      <c r="B487" s="0" t="s">
        <v>71</v>
      </c>
      <c r="C487" s="17" t="n">
        <v>46066</v>
      </c>
      <c r="D487" s="15" t="s">
        <v>104</v>
      </c>
      <c r="E487" s="15" t="s">
        <v>85</v>
      </c>
    </row>
    <row r="488" customFormat="false" ht="15" hidden="false" customHeight="false" outlineLevel="0" collapsed="false">
      <c r="A488" s="0" t="s">
        <v>579</v>
      </c>
      <c r="B488" s="0" t="s">
        <v>77</v>
      </c>
      <c r="C488" s="17" t="n">
        <v>46056</v>
      </c>
      <c r="D488" s="15" t="s">
        <v>107</v>
      </c>
      <c r="E488" s="15" t="s">
        <v>59</v>
      </c>
    </row>
    <row r="489" customFormat="false" ht="15" hidden="false" customHeight="false" outlineLevel="0" collapsed="false">
      <c r="A489" s="0" t="s">
        <v>580</v>
      </c>
      <c r="B489" s="0" t="s">
        <v>57</v>
      </c>
      <c r="C489" s="17" t="n">
        <v>46039</v>
      </c>
      <c r="D489" s="15" t="s">
        <v>74</v>
      </c>
      <c r="E489" s="15" t="s">
        <v>105</v>
      </c>
    </row>
    <row r="490" customFormat="false" ht="15" hidden="false" customHeight="false" outlineLevel="0" collapsed="false">
      <c r="A490" s="0" t="s">
        <v>581</v>
      </c>
      <c r="B490" s="0" t="s">
        <v>116</v>
      </c>
      <c r="C490" s="17" t="n">
        <v>46073</v>
      </c>
      <c r="D490" s="15" t="s">
        <v>93</v>
      </c>
      <c r="E490" s="15" t="s">
        <v>62</v>
      </c>
    </row>
    <row r="491" customFormat="false" ht="15" hidden="false" customHeight="false" outlineLevel="0" collapsed="false">
      <c r="A491" s="0" t="s">
        <v>582</v>
      </c>
      <c r="B491" s="0" t="s">
        <v>99</v>
      </c>
      <c r="C491" s="17" t="n">
        <v>46064</v>
      </c>
      <c r="D491" s="15" t="s">
        <v>84</v>
      </c>
      <c r="E491" s="15" t="s">
        <v>62</v>
      </c>
    </row>
    <row r="492" customFormat="false" ht="15" hidden="false" customHeight="false" outlineLevel="0" collapsed="false">
      <c r="A492" s="0" t="s">
        <v>583</v>
      </c>
      <c r="B492" s="0" t="s">
        <v>35</v>
      </c>
      <c r="C492" s="17" t="n">
        <v>46046</v>
      </c>
      <c r="D492" s="15" t="s">
        <v>104</v>
      </c>
      <c r="E492" s="15" t="s">
        <v>109</v>
      </c>
    </row>
    <row r="493" customFormat="false" ht="15" hidden="false" customHeight="false" outlineLevel="0" collapsed="false">
      <c r="A493" s="0" t="s">
        <v>584</v>
      </c>
      <c r="B493" s="0" t="s">
        <v>41</v>
      </c>
      <c r="C493" s="17" t="n">
        <v>46080</v>
      </c>
      <c r="D493" s="15" t="s">
        <v>61</v>
      </c>
      <c r="E493" s="15" t="s">
        <v>172</v>
      </c>
    </row>
    <row r="494" customFormat="false" ht="15" hidden="false" customHeight="false" outlineLevel="0" collapsed="false">
      <c r="A494" s="0" t="s">
        <v>585</v>
      </c>
      <c r="B494" s="0" t="s">
        <v>112</v>
      </c>
      <c r="C494" s="17" t="n">
        <v>46041</v>
      </c>
      <c r="D494" s="15" t="s">
        <v>84</v>
      </c>
      <c r="E494" s="15" t="s">
        <v>62</v>
      </c>
    </row>
    <row r="495" customFormat="false" ht="15" hidden="false" customHeight="false" outlineLevel="0" collapsed="false">
      <c r="A495" s="0" t="s">
        <v>586</v>
      </c>
      <c r="B495" s="0" t="s">
        <v>83</v>
      </c>
      <c r="C495" s="17" t="n">
        <v>46056</v>
      </c>
      <c r="D495" s="15" t="s">
        <v>81</v>
      </c>
      <c r="E495" s="15" t="s">
        <v>62</v>
      </c>
    </row>
    <row r="496" customFormat="false" ht="15" hidden="false" customHeight="false" outlineLevel="0" collapsed="false">
      <c r="A496" s="0" t="s">
        <v>587</v>
      </c>
      <c r="B496" s="0" t="s">
        <v>116</v>
      </c>
      <c r="C496" s="17" t="n">
        <v>46067</v>
      </c>
      <c r="D496" s="15" t="s">
        <v>79</v>
      </c>
      <c r="E496" s="15" t="s">
        <v>65</v>
      </c>
    </row>
    <row r="497" customFormat="false" ht="15" hidden="false" customHeight="false" outlineLevel="0" collapsed="false">
      <c r="A497" s="0" t="s">
        <v>588</v>
      </c>
      <c r="B497" s="0" t="s">
        <v>57</v>
      </c>
      <c r="C497" s="17" t="n">
        <v>46046</v>
      </c>
      <c r="D497" s="15" t="s">
        <v>101</v>
      </c>
      <c r="E497" s="15" t="s">
        <v>62</v>
      </c>
    </row>
    <row r="498" customFormat="false" ht="15" hidden="false" customHeight="false" outlineLevel="0" collapsed="false">
      <c r="A498" s="0" t="s">
        <v>589</v>
      </c>
      <c r="B498" s="0" t="s">
        <v>35</v>
      </c>
      <c r="C498" s="17" t="n">
        <v>46035</v>
      </c>
      <c r="D498" s="15" t="s">
        <v>68</v>
      </c>
      <c r="E498" s="15" t="s">
        <v>85</v>
      </c>
    </row>
    <row r="499" customFormat="false" ht="15" hidden="false" customHeight="false" outlineLevel="0" collapsed="false">
      <c r="A499" s="0" t="s">
        <v>590</v>
      </c>
      <c r="B499" s="0" t="s">
        <v>33</v>
      </c>
      <c r="C499" s="17" t="n">
        <v>46027</v>
      </c>
      <c r="D499" s="15" t="s">
        <v>135</v>
      </c>
      <c r="E499" s="15" t="s">
        <v>65</v>
      </c>
    </row>
    <row r="500" customFormat="false" ht="15" hidden="false" customHeight="false" outlineLevel="0" collapsed="false">
      <c r="A500" s="0" t="s">
        <v>591</v>
      </c>
      <c r="B500" s="0" t="s">
        <v>92</v>
      </c>
      <c r="C500" s="17" t="n">
        <v>46043</v>
      </c>
      <c r="D500" s="15" t="s">
        <v>128</v>
      </c>
      <c r="E500" s="15" t="s">
        <v>97</v>
      </c>
    </row>
    <row r="501" customFormat="false" ht="15" hidden="false" customHeight="false" outlineLevel="0" collapsed="false">
      <c r="A501" s="0" t="s">
        <v>592</v>
      </c>
      <c r="B501" s="0" t="s">
        <v>35</v>
      </c>
      <c r="C501" s="17" t="n">
        <v>46046</v>
      </c>
      <c r="D501" s="15" t="s">
        <v>90</v>
      </c>
      <c r="E501" s="15" t="s">
        <v>65</v>
      </c>
    </row>
    <row r="502" customFormat="false" ht="15" hidden="false" customHeight="false" outlineLevel="0" collapsed="false">
      <c r="A502" s="0" t="s">
        <v>593</v>
      </c>
      <c r="B502" s="0" t="s">
        <v>77</v>
      </c>
      <c r="C502" s="17" t="n">
        <v>46076</v>
      </c>
      <c r="D502" s="15" t="s">
        <v>107</v>
      </c>
      <c r="E502" s="15" t="s">
        <v>62</v>
      </c>
    </row>
    <row r="503" customFormat="false" ht="15" hidden="false" customHeight="false" outlineLevel="0" collapsed="false">
      <c r="A503" s="0" t="s">
        <v>594</v>
      </c>
      <c r="B503" s="0" t="s">
        <v>112</v>
      </c>
      <c r="C503" s="17" t="n">
        <v>46029</v>
      </c>
      <c r="D503" s="15" t="s">
        <v>104</v>
      </c>
      <c r="E503" s="15" t="s">
        <v>75</v>
      </c>
    </row>
    <row r="504" customFormat="false" ht="15" hidden="false" customHeight="false" outlineLevel="0" collapsed="false">
      <c r="A504" s="0" t="s">
        <v>595</v>
      </c>
      <c r="B504" s="0" t="s">
        <v>124</v>
      </c>
      <c r="C504" s="17" t="n">
        <v>46044</v>
      </c>
      <c r="D504" s="15" t="s">
        <v>68</v>
      </c>
      <c r="E504" s="15" t="s">
        <v>62</v>
      </c>
    </row>
    <row r="505" customFormat="false" ht="15" hidden="false" customHeight="false" outlineLevel="0" collapsed="false">
      <c r="A505" s="0" t="s">
        <v>596</v>
      </c>
      <c r="B505" s="0" t="s">
        <v>57</v>
      </c>
      <c r="C505" s="17" t="n">
        <v>46040</v>
      </c>
      <c r="D505" s="15" t="s">
        <v>153</v>
      </c>
      <c r="E505" s="15" t="s">
        <v>69</v>
      </c>
    </row>
    <row r="506" customFormat="false" ht="15" hidden="false" customHeight="false" outlineLevel="0" collapsed="false">
      <c r="A506" s="0" t="s">
        <v>597</v>
      </c>
      <c r="B506" s="0" t="s">
        <v>39</v>
      </c>
      <c r="C506" s="17" t="n">
        <v>46043</v>
      </c>
      <c r="D506" s="15" t="s">
        <v>81</v>
      </c>
      <c r="E506" s="15" t="s">
        <v>69</v>
      </c>
    </row>
    <row r="507" customFormat="false" ht="15" hidden="false" customHeight="false" outlineLevel="0" collapsed="false">
      <c r="A507" s="0" t="s">
        <v>598</v>
      </c>
      <c r="B507" s="0" t="s">
        <v>41</v>
      </c>
      <c r="C507" s="17" t="n">
        <v>46068</v>
      </c>
      <c r="D507" s="15" t="s">
        <v>153</v>
      </c>
      <c r="E507" s="15" t="s">
        <v>85</v>
      </c>
    </row>
    <row r="508" customFormat="false" ht="15" hidden="false" customHeight="false" outlineLevel="0" collapsed="false">
      <c r="A508" s="0" t="s">
        <v>599</v>
      </c>
      <c r="B508" s="0" t="s">
        <v>112</v>
      </c>
      <c r="C508" s="17" t="n">
        <v>46053</v>
      </c>
      <c r="D508" s="15" t="s">
        <v>107</v>
      </c>
      <c r="E508" s="15" t="s">
        <v>65</v>
      </c>
    </row>
    <row r="509" customFormat="false" ht="15" hidden="false" customHeight="false" outlineLevel="0" collapsed="false">
      <c r="A509" s="0" t="s">
        <v>600</v>
      </c>
      <c r="B509" s="0" t="s">
        <v>112</v>
      </c>
      <c r="C509" s="17" t="n">
        <v>46041</v>
      </c>
      <c r="D509" s="15" t="s">
        <v>81</v>
      </c>
      <c r="E509" s="15" t="s">
        <v>59</v>
      </c>
    </row>
    <row r="510" customFormat="false" ht="15" hidden="false" customHeight="false" outlineLevel="0" collapsed="false">
      <c r="A510" s="0" t="s">
        <v>601</v>
      </c>
      <c r="B510" s="0" t="s">
        <v>67</v>
      </c>
      <c r="C510" s="17" t="n">
        <v>46061</v>
      </c>
      <c r="D510" s="15" t="s">
        <v>128</v>
      </c>
      <c r="E510" s="15" t="s">
        <v>75</v>
      </c>
    </row>
    <row r="511" customFormat="false" ht="15" hidden="false" customHeight="false" outlineLevel="0" collapsed="false">
      <c r="A511" s="0" t="s">
        <v>602</v>
      </c>
      <c r="B511" s="0" t="s">
        <v>71</v>
      </c>
      <c r="C511" s="17" t="n">
        <v>46038</v>
      </c>
      <c r="D511" s="15" t="s">
        <v>58</v>
      </c>
      <c r="E511" s="15" t="s">
        <v>85</v>
      </c>
    </row>
    <row r="512" customFormat="false" ht="15" hidden="false" customHeight="false" outlineLevel="0" collapsed="false">
      <c r="A512" s="0" t="s">
        <v>603</v>
      </c>
      <c r="B512" s="0" t="s">
        <v>57</v>
      </c>
      <c r="C512" s="17" t="n">
        <v>46074</v>
      </c>
      <c r="D512" s="15" t="s">
        <v>153</v>
      </c>
      <c r="E512" s="15" t="s">
        <v>59</v>
      </c>
    </row>
    <row r="513" customFormat="false" ht="15" hidden="false" customHeight="false" outlineLevel="0" collapsed="false">
      <c r="A513" s="0" t="s">
        <v>604</v>
      </c>
      <c r="B513" s="0" t="s">
        <v>41</v>
      </c>
      <c r="C513" s="17" t="n">
        <v>46052</v>
      </c>
      <c r="D513" s="15" t="s">
        <v>128</v>
      </c>
      <c r="E513" s="15" t="s">
        <v>172</v>
      </c>
    </row>
    <row r="514" customFormat="false" ht="15" hidden="false" customHeight="false" outlineLevel="0" collapsed="false">
      <c r="A514" s="0" t="s">
        <v>605</v>
      </c>
      <c r="B514" s="0" t="s">
        <v>95</v>
      </c>
      <c r="C514" s="17" t="n">
        <v>46045</v>
      </c>
      <c r="D514" s="15" t="s">
        <v>64</v>
      </c>
      <c r="E514" s="15" t="s">
        <v>62</v>
      </c>
    </row>
    <row r="515" customFormat="false" ht="15" hidden="false" customHeight="false" outlineLevel="0" collapsed="false">
      <c r="A515" s="0" t="s">
        <v>606</v>
      </c>
      <c r="B515" s="0" t="s">
        <v>67</v>
      </c>
      <c r="C515" s="17" t="n">
        <v>46043</v>
      </c>
      <c r="D515" s="15" t="s">
        <v>72</v>
      </c>
      <c r="E515" s="15" t="s">
        <v>151</v>
      </c>
    </row>
    <row r="516" customFormat="false" ht="15" hidden="false" customHeight="false" outlineLevel="0" collapsed="false">
      <c r="A516" s="0" t="s">
        <v>607</v>
      </c>
      <c r="B516" s="0" t="s">
        <v>33</v>
      </c>
      <c r="C516" s="17" t="n">
        <v>46067</v>
      </c>
      <c r="D516" s="15" t="s">
        <v>68</v>
      </c>
      <c r="E516" s="15" t="s">
        <v>97</v>
      </c>
    </row>
    <row r="517" customFormat="false" ht="15" hidden="false" customHeight="false" outlineLevel="0" collapsed="false">
      <c r="A517" s="0" t="s">
        <v>608</v>
      </c>
      <c r="B517" s="0" t="s">
        <v>112</v>
      </c>
      <c r="C517" s="17" t="n">
        <v>46077</v>
      </c>
      <c r="D517" s="15" t="s">
        <v>79</v>
      </c>
      <c r="E517" s="15" t="s">
        <v>59</v>
      </c>
    </row>
    <row r="518" customFormat="false" ht="15" hidden="false" customHeight="false" outlineLevel="0" collapsed="false">
      <c r="A518" s="0" t="s">
        <v>609</v>
      </c>
      <c r="B518" s="0" t="s">
        <v>112</v>
      </c>
      <c r="C518" s="17" t="n">
        <v>46040</v>
      </c>
      <c r="D518" s="15" t="s">
        <v>68</v>
      </c>
      <c r="E518" s="15" t="s">
        <v>97</v>
      </c>
    </row>
    <row r="519" customFormat="false" ht="15" hidden="false" customHeight="false" outlineLevel="0" collapsed="false">
      <c r="A519" s="0" t="s">
        <v>610</v>
      </c>
      <c r="B519" s="0" t="s">
        <v>103</v>
      </c>
      <c r="C519" s="17" t="n">
        <v>46044</v>
      </c>
      <c r="D519" s="15" t="s">
        <v>128</v>
      </c>
      <c r="E519" s="15" t="s">
        <v>172</v>
      </c>
    </row>
    <row r="520" customFormat="false" ht="15" hidden="false" customHeight="false" outlineLevel="0" collapsed="false">
      <c r="A520" s="0" t="s">
        <v>611</v>
      </c>
      <c r="B520" s="0" t="s">
        <v>99</v>
      </c>
      <c r="C520" s="17" t="n">
        <v>46039</v>
      </c>
      <c r="D520" s="15" t="s">
        <v>153</v>
      </c>
      <c r="E520" s="15" t="s">
        <v>65</v>
      </c>
    </row>
    <row r="521" customFormat="false" ht="15" hidden="false" customHeight="false" outlineLevel="0" collapsed="false">
      <c r="A521" s="0" t="s">
        <v>612</v>
      </c>
      <c r="B521" s="0" t="s">
        <v>67</v>
      </c>
      <c r="C521" s="17" t="n">
        <v>46030</v>
      </c>
      <c r="D521" s="15" t="s">
        <v>64</v>
      </c>
      <c r="E521" s="15" t="s">
        <v>85</v>
      </c>
    </row>
    <row r="522" customFormat="false" ht="15" hidden="false" customHeight="false" outlineLevel="0" collapsed="false">
      <c r="A522" s="0" t="s">
        <v>613</v>
      </c>
      <c r="B522" s="0" t="s">
        <v>57</v>
      </c>
      <c r="C522" s="17" t="n">
        <v>46079</v>
      </c>
      <c r="D522" s="15" t="s">
        <v>96</v>
      </c>
      <c r="E522" s="15" t="s">
        <v>109</v>
      </c>
    </row>
    <row r="523" customFormat="false" ht="15" hidden="false" customHeight="false" outlineLevel="0" collapsed="false">
      <c r="A523" s="0" t="s">
        <v>614</v>
      </c>
      <c r="B523" s="0" t="s">
        <v>41</v>
      </c>
      <c r="C523" s="17" t="n">
        <v>46045</v>
      </c>
      <c r="D523" s="15" t="s">
        <v>61</v>
      </c>
      <c r="E523" s="15" t="s">
        <v>109</v>
      </c>
    </row>
    <row r="524" customFormat="false" ht="15" hidden="false" customHeight="false" outlineLevel="0" collapsed="false">
      <c r="A524" s="0" t="s">
        <v>615</v>
      </c>
      <c r="B524" s="0" t="s">
        <v>57</v>
      </c>
      <c r="C524" s="17" t="n">
        <v>46079</v>
      </c>
      <c r="D524" s="15" t="s">
        <v>72</v>
      </c>
      <c r="E524" s="15" t="s">
        <v>65</v>
      </c>
    </row>
    <row r="525" customFormat="false" ht="15" hidden="false" customHeight="false" outlineLevel="0" collapsed="false">
      <c r="A525" s="0" t="s">
        <v>616</v>
      </c>
      <c r="B525" s="0" t="s">
        <v>92</v>
      </c>
      <c r="C525" s="17" t="n">
        <v>46079</v>
      </c>
      <c r="D525" s="15" t="s">
        <v>68</v>
      </c>
      <c r="E525" s="15" t="s">
        <v>85</v>
      </c>
    </row>
    <row r="526" customFormat="false" ht="15" hidden="false" customHeight="false" outlineLevel="0" collapsed="false">
      <c r="A526" s="0" t="s">
        <v>617</v>
      </c>
      <c r="B526" s="0" t="s">
        <v>35</v>
      </c>
      <c r="C526" s="17" t="n">
        <v>46063</v>
      </c>
      <c r="D526" s="15" t="s">
        <v>58</v>
      </c>
      <c r="E526" s="15" t="s">
        <v>85</v>
      </c>
    </row>
    <row r="527" customFormat="false" ht="15" hidden="false" customHeight="false" outlineLevel="0" collapsed="false">
      <c r="A527" s="0" t="s">
        <v>618</v>
      </c>
      <c r="B527" s="0" t="s">
        <v>95</v>
      </c>
      <c r="C527" s="17" t="n">
        <v>46066</v>
      </c>
      <c r="D527" s="15" t="s">
        <v>96</v>
      </c>
      <c r="E527" s="15" t="s">
        <v>59</v>
      </c>
    </row>
    <row r="528" customFormat="false" ht="15" hidden="false" customHeight="false" outlineLevel="0" collapsed="false">
      <c r="A528" s="0" t="s">
        <v>619</v>
      </c>
      <c r="B528" s="0" t="s">
        <v>67</v>
      </c>
      <c r="C528" s="17" t="n">
        <v>46048</v>
      </c>
      <c r="D528" s="15" t="s">
        <v>96</v>
      </c>
      <c r="E528" s="15" t="s">
        <v>65</v>
      </c>
    </row>
    <row r="529" customFormat="false" ht="15" hidden="false" customHeight="false" outlineLevel="0" collapsed="false">
      <c r="A529" s="0" t="s">
        <v>620</v>
      </c>
      <c r="B529" s="0" t="s">
        <v>116</v>
      </c>
      <c r="C529" s="17" t="n">
        <v>46058</v>
      </c>
      <c r="D529" s="15" t="s">
        <v>84</v>
      </c>
      <c r="E529" s="15" t="s">
        <v>65</v>
      </c>
    </row>
    <row r="530" customFormat="false" ht="15" hidden="false" customHeight="false" outlineLevel="0" collapsed="false">
      <c r="A530" s="0" t="s">
        <v>621</v>
      </c>
      <c r="B530" s="0" t="s">
        <v>95</v>
      </c>
      <c r="C530" s="17" t="n">
        <v>46042</v>
      </c>
      <c r="D530" s="15" t="s">
        <v>68</v>
      </c>
      <c r="E530" s="15" t="s">
        <v>85</v>
      </c>
    </row>
    <row r="531" customFormat="false" ht="15" hidden="false" customHeight="false" outlineLevel="0" collapsed="false">
      <c r="A531" s="0" t="s">
        <v>622</v>
      </c>
      <c r="B531" s="0" t="s">
        <v>95</v>
      </c>
      <c r="C531" s="17" t="n">
        <v>46049</v>
      </c>
      <c r="D531" s="15" t="s">
        <v>101</v>
      </c>
      <c r="E531" s="15" t="s">
        <v>105</v>
      </c>
    </row>
    <row r="532" customFormat="false" ht="15" hidden="false" customHeight="false" outlineLevel="0" collapsed="false">
      <c r="A532" s="0" t="s">
        <v>623</v>
      </c>
      <c r="B532" s="0" t="s">
        <v>103</v>
      </c>
      <c r="C532" s="17" t="n">
        <v>46067</v>
      </c>
      <c r="D532" s="15" t="s">
        <v>96</v>
      </c>
      <c r="E532" s="15" t="s">
        <v>69</v>
      </c>
    </row>
    <row r="533" customFormat="false" ht="15" hidden="false" customHeight="false" outlineLevel="0" collapsed="false">
      <c r="A533" s="0" t="s">
        <v>624</v>
      </c>
      <c r="B533" s="0" t="s">
        <v>83</v>
      </c>
      <c r="C533" s="17" t="n">
        <v>46052</v>
      </c>
      <c r="D533" s="15" t="s">
        <v>58</v>
      </c>
      <c r="E533" s="15" t="s">
        <v>59</v>
      </c>
    </row>
    <row r="534" customFormat="false" ht="15" hidden="false" customHeight="false" outlineLevel="0" collapsed="false">
      <c r="A534" s="0" t="s">
        <v>625</v>
      </c>
      <c r="B534" s="0" t="s">
        <v>71</v>
      </c>
      <c r="C534" s="17" t="n">
        <v>46067</v>
      </c>
      <c r="D534" s="15" t="s">
        <v>72</v>
      </c>
      <c r="E534" s="15" t="s">
        <v>85</v>
      </c>
    </row>
    <row r="535" customFormat="false" ht="15" hidden="false" customHeight="false" outlineLevel="0" collapsed="false">
      <c r="A535" s="0" t="s">
        <v>626</v>
      </c>
      <c r="B535" s="0" t="s">
        <v>112</v>
      </c>
      <c r="C535" s="17" t="n">
        <v>46065</v>
      </c>
      <c r="D535" s="15" t="s">
        <v>58</v>
      </c>
      <c r="E535" s="15" t="s">
        <v>97</v>
      </c>
    </row>
    <row r="536" customFormat="false" ht="15" hidden="false" customHeight="false" outlineLevel="0" collapsed="false">
      <c r="A536" s="0" t="s">
        <v>627</v>
      </c>
      <c r="B536" s="0" t="s">
        <v>116</v>
      </c>
      <c r="C536" s="17" t="n">
        <v>46045</v>
      </c>
      <c r="D536" s="15" t="s">
        <v>96</v>
      </c>
      <c r="E536" s="15" t="s">
        <v>59</v>
      </c>
    </row>
    <row r="537" customFormat="false" ht="15" hidden="false" customHeight="false" outlineLevel="0" collapsed="false">
      <c r="A537" s="0" t="s">
        <v>628</v>
      </c>
      <c r="B537" s="0" t="s">
        <v>124</v>
      </c>
      <c r="C537" s="17" t="n">
        <v>46049</v>
      </c>
      <c r="D537" s="15" t="s">
        <v>84</v>
      </c>
      <c r="E537" s="15" t="s">
        <v>62</v>
      </c>
    </row>
    <row r="538" customFormat="false" ht="15" hidden="false" customHeight="false" outlineLevel="0" collapsed="false">
      <c r="A538" s="0" t="s">
        <v>629</v>
      </c>
      <c r="B538" s="0" t="s">
        <v>77</v>
      </c>
      <c r="C538" s="17" t="n">
        <v>46071</v>
      </c>
      <c r="D538" s="15" t="s">
        <v>58</v>
      </c>
      <c r="E538" s="15" t="s">
        <v>97</v>
      </c>
    </row>
    <row r="539" customFormat="false" ht="15" hidden="false" customHeight="false" outlineLevel="0" collapsed="false">
      <c r="A539" s="0" t="s">
        <v>630</v>
      </c>
      <c r="B539" s="0" t="s">
        <v>39</v>
      </c>
      <c r="C539" s="17" t="n">
        <v>46059</v>
      </c>
      <c r="D539" s="15" t="s">
        <v>104</v>
      </c>
      <c r="E539" s="15" t="s">
        <v>172</v>
      </c>
    </row>
    <row r="540" customFormat="false" ht="15" hidden="false" customHeight="false" outlineLevel="0" collapsed="false">
      <c r="A540" s="0" t="s">
        <v>631</v>
      </c>
      <c r="B540" s="0" t="s">
        <v>33</v>
      </c>
      <c r="C540" s="17" t="n">
        <v>46069</v>
      </c>
      <c r="D540" s="15" t="s">
        <v>128</v>
      </c>
      <c r="E540" s="15" t="s">
        <v>85</v>
      </c>
    </row>
    <row r="541" customFormat="false" ht="15" hidden="false" customHeight="false" outlineLevel="0" collapsed="false">
      <c r="A541" s="0" t="s">
        <v>632</v>
      </c>
      <c r="B541" s="0" t="s">
        <v>33</v>
      </c>
      <c r="C541" s="17" t="n">
        <v>46039</v>
      </c>
      <c r="D541" s="15" t="s">
        <v>93</v>
      </c>
      <c r="E541" s="15" t="s">
        <v>62</v>
      </c>
    </row>
    <row r="542" customFormat="false" ht="15" hidden="false" customHeight="false" outlineLevel="0" collapsed="false">
      <c r="A542" s="0" t="s">
        <v>633</v>
      </c>
      <c r="B542" s="0" t="s">
        <v>99</v>
      </c>
      <c r="C542" s="17" t="n">
        <v>46058</v>
      </c>
      <c r="D542" s="15" t="s">
        <v>61</v>
      </c>
      <c r="E542" s="15" t="s">
        <v>75</v>
      </c>
    </row>
    <row r="543" customFormat="false" ht="15" hidden="false" customHeight="false" outlineLevel="0" collapsed="false">
      <c r="A543" s="0" t="s">
        <v>634</v>
      </c>
      <c r="B543" s="0" t="s">
        <v>41</v>
      </c>
      <c r="C543" s="17" t="n">
        <v>46077</v>
      </c>
      <c r="D543" s="15" t="s">
        <v>128</v>
      </c>
      <c r="E543" s="15" t="s">
        <v>85</v>
      </c>
    </row>
    <row r="544" customFormat="false" ht="15" hidden="false" customHeight="false" outlineLevel="0" collapsed="false">
      <c r="A544" s="0" t="s">
        <v>635</v>
      </c>
      <c r="B544" s="0" t="s">
        <v>124</v>
      </c>
      <c r="C544" s="17" t="n">
        <v>46073</v>
      </c>
      <c r="D544" s="15" t="s">
        <v>88</v>
      </c>
      <c r="E544" s="15" t="s">
        <v>62</v>
      </c>
    </row>
    <row r="545" customFormat="false" ht="15" hidden="false" customHeight="false" outlineLevel="0" collapsed="false">
      <c r="A545" s="0" t="s">
        <v>636</v>
      </c>
      <c r="B545" s="0" t="s">
        <v>71</v>
      </c>
      <c r="C545" s="17" t="n">
        <v>46034</v>
      </c>
      <c r="D545" s="15" t="s">
        <v>90</v>
      </c>
      <c r="E545" s="15" t="s">
        <v>148</v>
      </c>
    </row>
    <row r="546" customFormat="false" ht="15" hidden="false" customHeight="false" outlineLevel="0" collapsed="false">
      <c r="A546" s="0" t="s">
        <v>637</v>
      </c>
      <c r="B546" s="0" t="s">
        <v>124</v>
      </c>
      <c r="C546" s="17" t="n">
        <v>46041</v>
      </c>
      <c r="D546" s="15" t="s">
        <v>64</v>
      </c>
      <c r="E546" s="15" t="s">
        <v>69</v>
      </c>
    </row>
    <row r="547" customFormat="false" ht="15" hidden="false" customHeight="false" outlineLevel="0" collapsed="false">
      <c r="A547" s="0" t="s">
        <v>638</v>
      </c>
      <c r="B547" s="0" t="s">
        <v>37</v>
      </c>
      <c r="C547" s="17" t="n">
        <v>46056</v>
      </c>
      <c r="D547" s="15" t="s">
        <v>126</v>
      </c>
      <c r="E547" s="15" t="s">
        <v>109</v>
      </c>
    </row>
    <row r="548" customFormat="false" ht="15" hidden="false" customHeight="false" outlineLevel="0" collapsed="false">
      <c r="A548" s="0" t="s">
        <v>639</v>
      </c>
      <c r="B548" s="0" t="s">
        <v>95</v>
      </c>
      <c r="C548" s="17" t="n">
        <v>46076</v>
      </c>
      <c r="D548" s="15" t="s">
        <v>68</v>
      </c>
      <c r="E548" s="15" t="s">
        <v>69</v>
      </c>
    </row>
    <row r="549" customFormat="false" ht="15" hidden="false" customHeight="false" outlineLevel="0" collapsed="false">
      <c r="A549" s="0" t="s">
        <v>640</v>
      </c>
      <c r="B549" s="0" t="s">
        <v>124</v>
      </c>
      <c r="C549" s="17" t="n">
        <v>46033</v>
      </c>
      <c r="D549" s="15" t="s">
        <v>68</v>
      </c>
      <c r="E549" s="15" t="s">
        <v>62</v>
      </c>
    </row>
    <row r="550" customFormat="false" ht="15" hidden="false" customHeight="false" outlineLevel="0" collapsed="false">
      <c r="A550" s="0" t="s">
        <v>641</v>
      </c>
      <c r="B550" s="0" t="s">
        <v>116</v>
      </c>
      <c r="C550" s="17" t="n">
        <v>46046</v>
      </c>
      <c r="D550" s="15" t="s">
        <v>135</v>
      </c>
      <c r="E550" s="15" t="s">
        <v>105</v>
      </c>
    </row>
    <row r="551" customFormat="false" ht="15" hidden="false" customHeight="false" outlineLevel="0" collapsed="false">
      <c r="A551" s="0" t="s">
        <v>642</v>
      </c>
      <c r="B551" s="0" t="s">
        <v>35</v>
      </c>
      <c r="C551" s="17" t="n">
        <v>46054</v>
      </c>
      <c r="D551" s="15" t="s">
        <v>84</v>
      </c>
      <c r="E551" s="15" t="s">
        <v>59</v>
      </c>
    </row>
    <row r="552" customFormat="false" ht="15" hidden="false" customHeight="false" outlineLevel="0" collapsed="false">
      <c r="A552" s="0" t="s">
        <v>643</v>
      </c>
      <c r="B552" s="0" t="s">
        <v>37</v>
      </c>
      <c r="C552" s="17" t="n">
        <v>46079</v>
      </c>
      <c r="D552" s="15" t="s">
        <v>64</v>
      </c>
      <c r="E552" s="15" t="s">
        <v>69</v>
      </c>
    </row>
    <row r="553" customFormat="false" ht="15" hidden="false" customHeight="false" outlineLevel="0" collapsed="false">
      <c r="A553" s="0" t="s">
        <v>644</v>
      </c>
      <c r="B553" s="0" t="s">
        <v>103</v>
      </c>
      <c r="C553" s="17" t="n">
        <v>46049</v>
      </c>
      <c r="D553" s="15" t="s">
        <v>61</v>
      </c>
      <c r="E553" s="15" t="s">
        <v>59</v>
      </c>
    </row>
    <row r="554" customFormat="false" ht="15" hidden="false" customHeight="false" outlineLevel="0" collapsed="false">
      <c r="A554" s="0" t="s">
        <v>645</v>
      </c>
      <c r="B554" s="0" t="s">
        <v>124</v>
      </c>
      <c r="C554" s="17" t="n">
        <v>46063</v>
      </c>
      <c r="D554" s="15" t="s">
        <v>104</v>
      </c>
      <c r="E554" s="15" t="s">
        <v>85</v>
      </c>
    </row>
    <row r="555" customFormat="false" ht="15" hidden="false" customHeight="false" outlineLevel="0" collapsed="false">
      <c r="A555" s="0" t="s">
        <v>646</v>
      </c>
      <c r="B555" s="0" t="s">
        <v>95</v>
      </c>
      <c r="C555" s="17" t="n">
        <v>46039</v>
      </c>
      <c r="D555" s="15" t="s">
        <v>72</v>
      </c>
      <c r="E555" s="15" t="s">
        <v>59</v>
      </c>
    </row>
    <row r="556" customFormat="false" ht="15" hidden="false" customHeight="false" outlineLevel="0" collapsed="false">
      <c r="A556" s="0" t="s">
        <v>647</v>
      </c>
      <c r="B556" s="0" t="s">
        <v>57</v>
      </c>
      <c r="C556" s="17" t="n">
        <v>46048</v>
      </c>
      <c r="D556" s="15" t="s">
        <v>64</v>
      </c>
      <c r="E556" s="15" t="s">
        <v>85</v>
      </c>
    </row>
    <row r="557" customFormat="false" ht="15" hidden="false" customHeight="false" outlineLevel="0" collapsed="false">
      <c r="A557" s="0" t="s">
        <v>648</v>
      </c>
      <c r="B557" s="0" t="s">
        <v>92</v>
      </c>
      <c r="C557" s="17" t="n">
        <v>46056</v>
      </c>
      <c r="D557" s="15" t="s">
        <v>93</v>
      </c>
      <c r="E557" s="15" t="s">
        <v>85</v>
      </c>
    </row>
    <row r="558" customFormat="false" ht="15" hidden="false" customHeight="false" outlineLevel="0" collapsed="false">
      <c r="A558" s="0" t="s">
        <v>649</v>
      </c>
      <c r="B558" s="0" t="s">
        <v>116</v>
      </c>
      <c r="C558" s="17" t="n">
        <v>46081</v>
      </c>
      <c r="D558" s="15" t="s">
        <v>81</v>
      </c>
      <c r="E558" s="15" t="s">
        <v>65</v>
      </c>
    </row>
    <row r="559" customFormat="false" ht="15" hidden="false" customHeight="false" outlineLevel="0" collapsed="false">
      <c r="A559" s="0" t="s">
        <v>650</v>
      </c>
      <c r="B559" s="0" t="s">
        <v>103</v>
      </c>
      <c r="C559" s="17" t="n">
        <v>46077</v>
      </c>
      <c r="D559" s="15" t="s">
        <v>135</v>
      </c>
      <c r="E559" s="15" t="s">
        <v>85</v>
      </c>
    </row>
    <row r="560" customFormat="false" ht="15" hidden="false" customHeight="false" outlineLevel="0" collapsed="false">
      <c r="A560" s="0" t="s">
        <v>651</v>
      </c>
      <c r="B560" s="0" t="s">
        <v>92</v>
      </c>
      <c r="C560" s="17" t="n">
        <v>46027</v>
      </c>
      <c r="D560" s="15" t="s">
        <v>79</v>
      </c>
      <c r="E560" s="15" t="s">
        <v>85</v>
      </c>
    </row>
    <row r="561" customFormat="false" ht="15" hidden="false" customHeight="false" outlineLevel="0" collapsed="false">
      <c r="A561" s="0" t="s">
        <v>652</v>
      </c>
      <c r="B561" s="0" t="s">
        <v>92</v>
      </c>
      <c r="C561" s="17" t="n">
        <v>46061</v>
      </c>
      <c r="D561" s="15" t="s">
        <v>107</v>
      </c>
      <c r="E561" s="15" t="s">
        <v>62</v>
      </c>
    </row>
    <row r="562" customFormat="false" ht="15" hidden="false" customHeight="false" outlineLevel="0" collapsed="false">
      <c r="A562" s="0" t="s">
        <v>653</v>
      </c>
      <c r="B562" s="0" t="s">
        <v>67</v>
      </c>
      <c r="C562" s="17" t="n">
        <v>46040</v>
      </c>
      <c r="D562" s="15" t="s">
        <v>74</v>
      </c>
      <c r="E562" s="15" t="s">
        <v>59</v>
      </c>
    </row>
    <row r="563" customFormat="false" ht="15" hidden="false" customHeight="false" outlineLevel="0" collapsed="false">
      <c r="A563" s="0" t="s">
        <v>654</v>
      </c>
      <c r="B563" s="0" t="s">
        <v>33</v>
      </c>
      <c r="C563" s="17" t="n">
        <v>46068</v>
      </c>
      <c r="D563" s="15" t="s">
        <v>90</v>
      </c>
      <c r="E563" s="15" t="s">
        <v>151</v>
      </c>
    </row>
    <row r="564" customFormat="false" ht="15" hidden="false" customHeight="false" outlineLevel="0" collapsed="false">
      <c r="A564" s="0" t="s">
        <v>655</v>
      </c>
      <c r="B564" s="0" t="s">
        <v>92</v>
      </c>
      <c r="C564" s="17" t="n">
        <v>46078</v>
      </c>
      <c r="D564" s="15" t="s">
        <v>96</v>
      </c>
      <c r="E564" s="15" t="s">
        <v>97</v>
      </c>
    </row>
    <row r="565" customFormat="false" ht="15" hidden="false" customHeight="false" outlineLevel="0" collapsed="false">
      <c r="A565" s="0" t="s">
        <v>656</v>
      </c>
      <c r="B565" s="0" t="s">
        <v>112</v>
      </c>
      <c r="C565" s="17" t="n">
        <v>46046</v>
      </c>
      <c r="D565" s="15" t="s">
        <v>135</v>
      </c>
      <c r="E565" s="15" t="s">
        <v>62</v>
      </c>
    </row>
    <row r="566" customFormat="false" ht="15" hidden="false" customHeight="false" outlineLevel="0" collapsed="false">
      <c r="A566" s="0" t="s">
        <v>657</v>
      </c>
      <c r="B566" s="0" t="s">
        <v>39</v>
      </c>
      <c r="C566" s="17" t="n">
        <v>46046</v>
      </c>
      <c r="D566" s="15" t="s">
        <v>64</v>
      </c>
      <c r="E566" s="15" t="s">
        <v>65</v>
      </c>
    </row>
    <row r="567" customFormat="false" ht="15" hidden="false" customHeight="false" outlineLevel="0" collapsed="false">
      <c r="A567" s="0" t="s">
        <v>658</v>
      </c>
      <c r="B567" s="0" t="s">
        <v>33</v>
      </c>
      <c r="C567" s="17" t="n">
        <v>46038</v>
      </c>
      <c r="D567" s="15" t="s">
        <v>101</v>
      </c>
      <c r="E567" s="15" t="s">
        <v>62</v>
      </c>
    </row>
    <row r="568" customFormat="false" ht="15" hidden="false" customHeight="false" outlineLevel="0" collapsed="false">
      <c r="A568" s="0" t="s">
        <v>659</v>
      </c>
      <c r="B568" s="0" t="s">
        <v>112</v>
      </c>
      <c r="C568" s="17" t="n">
        <v>46073</v>
      </c>
      <c r="D568" s="15" t="s">
        <v>107</v>
      </c>
      <c r="E568" s="15" t="s">
        <v>75</v>
      </c>
    </row>
    <row r="569" customFormat="false" ht="15" hidden="false" customHeight="false" outlineLevel="0" collapsed="false">
      <c r="A569" s="0" t="s">
        <v>660</v>
      </c>
      <c r="B569" s="0" t="s">
        <v>103</v>
      </c>
      <c r="C569" s="17" t="n">
        <v>46068</v>
      </c>
      <c r="D569" s="15" t="s">
        <v>88</v>
      </c>
      <c r="E569" s="15" t="s">
        <v>69</v>
      </c>
    </row>
    <row r="570" customFormat="false" ht="15" hidden="false" customHeight="false" outlineLevel="0" collapsed="false">
      <c r="A570" s="0" t="s">
        <v>661</v>
      </c>
      <c r="B570" s="0" t="s">
        <v>77</v>
      </c>
      <c r="C570" s="17" t="n">
        <v>46076</v>
      </c>
      <c r="D570" s="15" t="s">
        <v>90</v>
      </c>
      <c r="E570" s="15" t="s">
        <v>59</v>
      </c>
    </row>
    <row r="571" customFormat="false" ht="15" hidden="false" customHeight="false" outlineLevel="0" collapsed="false">
      <c r="A571" s="0" t="s">
        <v>662</v>
      </c>
      <c r="B571" s="0" t="s">
        <v>71</v>
      </c>
      <c r="C571" s="17" t="n">
        <v>46081</v>
      </c>
      <c r="D571" s="15" t="s">
        <v>61</v>
      </c>
      <c r="E571" s="15" t="s">
        <v>62</v>
      </c>
    </row>
    <row r="572" customFormat="false" ht="15" hidden="false" customHeight="false" outlineLevel="0" collapsed="false">
      <c r="A572" s="0" t="s">
        <v>663</v>
      </c>
      <c r="B572" s="0" t="s">
        <v>103</v>
      </c>
      <c r="C572" s="17" t="n">
        <v>46032</v>
      </c>
      <c r="D572" s="15" t="s">
        <v>104</v>
      </c>
      <c r="E572" s="15" t="s">
        <v>85</v>
      </c>
    </row>
    <row r="573" customFormat="false" ht="15" hidden="false" customHeight="false" outlineLevel="0" collapsed="false">
      <c r="A573" s="0" t="s">
        <v>664</v>
      </c>
      <c r="B573" s="0" t="s">
        <v>71</v>
      </c>
      <c r="C573" s="17" t="n">
        <v>46027</v>
      </c>
      <c r="D573" s="15" t="s">
        <v>104</v>
      </c>
      <c r="E573" s="15" t="s">
        <v>97</v>
      </c>
    </row>
    <row r="574" customFormat="false" ht="15" hidden="false" customHeight="false" outlineLevel="0" collapsed="false">
      <c r="A574" s="0" t="s">
        <v>665</v>
      </c>
      <c r="B574" s="0" t="s">
        <v>116</v>
      </c>
      <c r="C574" s="17" t="n">
        <v>46028</v>
      </c>
      <c r="D574" s="15" t="s">
        <v>74</v>
      </c>
      <c r="E574" s="15" t="s">
        <v>65</v>
      </c>
    </row>
    <row r="575" customFormat="false" ht="15" hidden="false" customHeight="false" outlineLevel="0" collapsed="false">
      <c r="A575" s="0" t="s">
        <v>666</v>
      </c>
      <c r="B575" s="0" t="s">
        <v>43</v>
      </c>
      <c r="C575" s="17" t="n">
        <v>46045</v>
      </c>
      <c r="D575" s="15" t="s">
        <v>90</v>
      </c>
      <c r="E575" s="15" t="s">
        <v>69</v>
      </c>
    </row>
    <row r="576" customFormat="false" ht="15" hidden="false" customHeight="false" outlineLevel="0" collapsed="false">
      <c r="A576" s="0" t="s">
        <v>667</v>
      </c>
      <c r="B576" s="0" t="s">
        <v>95</v>
      </c>
      <c r="C576" s="17" t="n">
        <v>46050</v>
      </c>
      <c r="D576" s="15" t="s">
        <v>68</v>
      </c>
      <c r="E576" s="15" t="s">
        <v>75</v>
      </c>
    </row>
    <row r="577" customFormat="false" ht="15" hidden="false" customHeight="false" outlineLevel="0" collapsed="false">
      <c r="A577" s="0" t="s">
        <v>668</v>
      </c>
      <c r="B577" s="0" t="s">
        <v>39</v>
      </c>
      <c r="C577" s="17" t="n">
        <v>46036</v>
      </c>
      <c r="D577" s="15" t="s">
        <v>101</v>
      </c>
      <c r="E577" s="15" t="s">
        <v>105</v>
      </c>
    </row>
    <row r="578" customFormat="false" ht="15" hidden="false" customHeight="false" outlineLevel="0" collapsed="false">
      <c r="A578" s="0" t="s">
        <v>669</v>
      </c>
      <c r="B578" s="0" t="s">
        <v>112</v>
      </c>
      <c r="C578" s="17" t="n">
        <v>46072</v>
      </c>
      <c r="D578" s="15" t="s">
        <v>74</v>
      </c>
      <c r="E578" s="15" t="s">
        <v>65</v>
      </c>
    </row>
    <row r="579" customFormat="false" ht="15" hidden="false" customHeight="false" outlineLevel="0" collapsed="false">
      <c r="A579" s="0" t="s">
        <v>670</v>
      </c>
      <c r="B579" s="0" t="s">
        <v>92</v>
      </c>
      <c r="C579" s="17" t="n">
        <v>46048</v>
      </c>
      <c r="D579" s="15" t="s">
        <v>96</v>
      </c>
      <c r="E579" s="15" t="s">
        <v>65</v>
      </c>
    </row>
    <row r="580" customFormat="false" ht="15" hidden="false" customHeight="false" outlineLevel="0" collapsed="false">
      <c r="A580" s="0" t="s">
        <v>671</v>
      </c>
      <c r="B580" s="0" t="s">
        <v>124</v>
      </c>
      <c r="C580" s="17" t="n">
        <v>46060</v>
      </c>
      <c r="D580" s="15" t="s">
        <v>153</v>
      </c>
      <c r="E580" s="15" t="s">
        <v>59</v>
      </c>
    </row>
    <row r="581" customFormat="false" ht="15" hidden="false" customHeight="false" outlineLevel="0" collapsed="false">
      <c r="A581" s="0" t="s">
        <v>672</v>
      </c>
      <c r="B581" s="0" t="s">
        <v>77</v>
      </c>
      <c r="C581" s="17" t="n">
        <v>46062</v>
      </c>
      <c r="D581" s="15" t="s">
        <v>81</v>
      </c>
      <c r="E581" s="15" t="s">
        <v>85</v>
      </c>
    </row>
    <row r="582" customFormat="false" ht="15" hidden="false" customHeight="false" outlineLevel="0" collapsed="false">
      <c r="A582" s="0" t="s">
        <v>673</v>
      </c>
      <c r="B582" s="0" t="s">
        <v>77</v>
      </c>
      <c r="C582" s="17" t="n">
        <v>46055</v>
      </c>
      <c r="D582" s="15" t="s">
        <v>126</v>
      </c>
      <c r="E582" s="15" t="s">
        <v>62</v>
      </c>
    </row>
    <row r="583" customFormat="false" ht="15" hidden="false" customHeight="false" outlineLevel="0" collapsed="false">
      <c r="A583" s="0" t="s">
        <v>674</v>
      </c>
      <c r="B583" s="0" t="s">
        <v>83</v>
      </c>
      <c r="C583" s="17" t="n">
        <v>46048</v>
      </c>
      <c r="D583" s="15" t="s">
        <v>58</v>
      </c>
      <c r="E583" s="15" t="s">
        <v>85</v>
      </c>
    </row>
    <row r="584" customFormat="false" ht="15" hidden="false" customHeight="false" outlineLevel="0" collapsed="false">
      <c r="A584" s="0" t="s">
        <v>675</v>
      </c>
      <c r="B584" s="0" t="s">
        <v>43</v>
      </c>
      <c r="C584" s="17" t="n">
        <v>46039</v>
      </c>
      <c r="D584" s="15" t="s">
        <v>58</v>
      </c>
      <c r="E584" s="15" t="s">
        <v>65</v>
      </c>
    </row>
    <row r="585" customFormat="false" ht="15" hidden="false" customHeight="false" outlineLevel="0" collapsed="false">
      <c r="A585" s="0" t="s">
        <v>676</v>
      </c>
      <c r="B585" s="0" t="s">
        <v>37</v>
      </c>
      <c r="C585" s="17" t="n">
        <v>46076</v>
      </c>
      <c r="D585" s="15" t="s">
        <v>84</v>
      </c>
      <c r="E585" s="15" t="s">
        <v>75</v>
      </c>
    </row>
    <row r="586" customFormat="false" ht="15" hidden="false" customHeight="false" outlineLevel="0" collapsed="false">
      <c r="A586" s="0" t="s">
        <v>677</v>
      </c>
      <c r="B586" s="0" t="s">
        <v>57</v>
      </c>
      <c r="C586" s="17" t="n">
        <v>46058</v>
      </c>
      <c r="D586" s="15" t="s">
        <v>135</v>
      </c>
      <c r="E586" s="15" t="s">
        <v>62</v>
      </c>
    </row>
    <row r="587" customFormat="false" ht="15" hidden="false" customHeight="false" outlineLevel="0" collapsed="false">
      <c r="A587" s="0" t="s">
        <v>678</v>
      </c>
      <c r="B587" s="0" t="s">
        <v>37</v>
      </c>
      <c r="C587" s="17" t="n">
        <v>46053</v>
      </c>
      <c r="D587" s="15" t="s">
        <v>68</v>
      </c>
      <c r="E587" s="15" t="s">
        <v>59</v>
      </c>
    </row>
    <row r="588" customFormat="false" ht="15" hidden="false" customHeight="false" outlineLevel="0" collapsed="false">
      <c r="A588" s="0" t="s">
        <v>679</v>
      </c>
      <c r="B588" s="0" t="s">
        <v>35</v>
      </c>
      <c r="C588" s="17" t="n">
        <v>46065</v>
      </c>
      <c r="D588" s="15" t="s">
        <v>128</v>
      </c>
      <c r="E588" s="15" t="s">
        <v>65</v>
      </c>
    </row>
    <row r="589" customFormat="false" ht="15" hidden="false" customHeight="false" outlineLevel="0" collapsed="false">
      <c r="A589" s="0" t="s">
        <v>680</v>
      </c>
      <c r="B589" s="0" t="s">
        <v>92</v>
      </c>
      <c r="C589" s="17" t="n">
        <v>46077</v>
      </c>
      <c r="D589" s="15" t="s">
        <v>84</v>
      </c>
      <c r="E589" s="15" t="s">
        <v>59</v>
      </c>
    </row>
    <row r="590" customFormat="false" ht="15" hidden="false" customHeight="false" outlineLevel="0" collapsed="false">
      <c r="A590" s="0" t="s">
        <v>681</v>
      </c>
      <c r="B590" s="0" t="s">
        <v>41</v>
      </c>
      <c r="C590" s="17" t="n">
        <v>46072</v>
      </c>
      <c r="D590" s="15" t="s">
        <v>90</v>
      </c>
      <c r="E590" s="15" t="s">
        <v>105</v>
      </c>
    </row>
    <row r="591" customFormat="false" ht="15" hidden="false" customHeight="false" outlineLevel="0" collapsed="false">
      <c r="A591" s="0" t="s">
        <v>682</v>
      </c>
      <c r="B591" s="0" t="s">
        <v>124</v>
      </c>
      <c r="C591" s="17" t="n">
        <v>46041</v>
      </c>
      <c r="D591" s="15" t="s">
        <v>58</v>
      </c>
      <c r="E591" s="15" t="s">
        <v>97</v>
      </c>
    </row>
    <row r="592" customFormat="false" ht="15" hidden="false" customHeight="false" outlineLevel="0" collapsed="false">
      <c r="A592" s="0" t="s">
        <v>683</v>
      </c>
      <c r="B592" s="0" t="s">
        <v>92</v>
      </c>
      <c r="C592" s="17" t="n">
        <v>46046</v>
      </c>
      <c r="D592" s="15" t="s">
        <v>88</v>
      </c>
      <c r="E592" s="15" t="s">
        <v>69</v>
      </c>
    </row>
    <row r="593" customFormat="false" ht="15" hidden="false" customHeight="false" outlineLevel="0" collapsed="false">
      <c r="A593" s="0" t="s">
        <v>684</v>
      </c>
      <c r="B593" s="0" t="s">
        <v>41</v>
      </c>
      <c r="C593" s="17" t="n">
        <v>46049</v>
      </c>
      <c r="D593" s="15" t="s">
        <v>79</v>
      </c>
      <c r="E593" s="15" t="s">
        <v>59</v>
      </c>
    </row>
    <row r="594" customFormat="false" ht="15" hidden="false" customHeight="false" outlineLevel="0" collapsed="false">
      <c r="A594" s="0" t="s">
        <v>685</v>
      </c>
      <c r="B594" s="0" t="s">
        <v>103</v>
      </c>
      <c r="C594" s="17" t="n">
        <v>46050</v>
      </c>
      <c r="D594" s="15" t="s">
        <v>107</v>
      </c>
      <c r="E594" s="15" t="s">
        <v>65</v>
      </c>
    </row>
    <row r="595" customFormat="false" ht="15" hidden="false" customHeight="false" outlineLevel="0" collapsed="false">
      <c r="A595" s="0" t="s">
        <v>686</v>
      </c>
      <c r="B595" s="0" t="s">
        <v>43</v>
      </c>
      <c r="C595" s="17" t="n">
        <v>46068</v>
      </c>
      <c r="D595" s="15" t="s">
        <v>79</v>
      </c>
      <c r="E595" s="15" t="s">
        <v>85</v>
      </c>
    </row>
    <row r="596" customFormat="false" ht="15" hidden="false" customHeight="false" outlineLevel="0" collapsed="false">
      <c r="A596" s="0" t="s">
        <v>687</v>
      </c>
      <c r="B596" s="0" t="s">
        <v>116</v>
      </c>
      <c r="C596" s="17" t="n">
        <v>46051</v>
      </c>
      <c r="D596" s="15" t="s">
        <v>81</v>
      </c>
      <c r="E596" s="15" t="s">
        <v>105</v>
      </c>
    </row>
    <row r="597" customFormat="false" ht="15" hidden="false" customHeight="false" outlineLevel="0" collapsed="false">
      <c r="A597" s="0" t="s">
        <v>688</v>
      </c>
      <c r="B597" s="0" t="s">
        <v>39</v>
      </c>
      <c r="C597" s="17" t="n">
        <v>46053</v>
      </c>
      <c r="D597" s="15" t="s">
        <v>93</v>
      </c>
      <c r="E597" s="15" t="s">
        <v>69</v>
      </c>
    </row>
    <row r="598" customFormat="false" ht="15" hidden="false" customHeight="false" outlineLevel="0" collapsed="false">
      <c r="A598" s="0" t="s">
        <v>689</v>
      </c>
      <c r="B598" s="0" t="s">
        <v>35</v>
      </c>
      <c r="C598" s="17" t="n">
        <v>46071</v>
      </c>
      <c r="D598" s="15" t="s">
        <v>126</v>
      </c>
      <c r="E598" s="15" t="s">
        <v>85</v>
      </c>
    </row>
    <row r="599" customFormat="false" ht="15" hidden="false" customHeight="false" outlineLevel="0" collapsed="false">
      <c r="A599" s="0" t="s">
        <v>690</v>
      </c>
      <c r="B599" s="0" t="s">
        <v>124</v>
      </c>
      <c r="C599" s="17" t="n">
        <v>46035</v>
      </c>
      <c r="D599" s="15" t="s">
        <v>88</v>
      </c>
      <c r="E599" s="15" t="s">
        <v>97</v>
      </c>
    </row>
    <row r="600" customFormat="false" ht="15" hidden="false" customHeight="false" outlineLevel="0" collapsed="false">
      <c r="A600" s="0" t="s">
        <v>691</v>
      </c>
      <c r="B600" s="0" t="s">
        <v>41</v>
      </c>
      <c r="C600" s="17" t="n">
        <v>46033</v>
      </c>
      <c r="D600" s="15" t="s">
        <v>72</v>
      </c>
      <c r="E600" s="15" t="s">
        <v>105</v>
      </c>
    </row>
    <row r="601" customFormat="false" ht="15" hidden="false" customHeight="false" outlineLevel="0" collapsed="false">
      <c r="A601" s="0" t="s">
        <v>692</v>
      </c>
      <c r="B601" s="0" t="s">
        <v>83</v>
      </c>
      <c r="C601" s="17" t="n">
        <v>46057</v>
      </c>
      <c r="D601" s="15" t="s">
        <v>101</v>
      </c>
      <c r="E601" s="15" t="s">
        <v>69</v>
      </c>
    </row>
    <row r="602" customFormat="false" ht="15" hidden="false" customHeight="false" outlineLevel="0" collapsed="false">
      <c r="A602" s="0" t="s">
        <v>693</v>
      </c>
      <c r="B602" s="0" t="s">
        <v>92</v>
      </c>
      <c r="C602" s="17" t="n">
        <v>46058</v>
      </c>
      <c r="D602" s="15" t="s">
        <v>126</v>
      </c>
      <c r="E602" s="15" t="s">
        <v>59</v>
      </c>
    </row>
    <row r="603" customFormat="false" ht="15" hidden="false" customHeight="false" outlineLevel="0" collapsed="false">
      <c r="A603" s="0" t="s">
        <v>694</v>
      </c>
      <c r="B603" s="0" t="s">
        <v>43</v>
      </c>
      <c r="C603" s="17" t="n">
        <v>46063</v>
      </c>
      <c r="D603" s="15" t="s">
        <v>126</v>
      </c>
      <c r="E603" s="15" t="s">
        <v>151</v>
      </c>
    </row>
    <row r="604" customFormat="false" ht="15" hidden="false" customHeight="false" outlineLevel="0" collapsed="false">
      <c r="A604" s="0" t="s">
        <v>695</v>
      </c>
      <c r="B604" s="0" t="s">
        <v>77</v>
      </c>
      <c r="C604" s="17" t="n">
        <v>46054</v>
      </c>
      <c r="D604" s="15" t="s">
        <v>81</v>
      </c>
      <c r="E604" s="15" t="s">
        <v>69</v>
      </c>
    </row>
    <row r="605" customFormat="false" ht="15" hidden="false" customHeight="false" outlineLevel="0" collapsed="false">
      <c r="A605" s="0" t="s">
        <v>696</v>
      </c>
      <c r="B605" s="0" t="s">
        <v>99</v>
      </c>
      <c r="C605" s="17" t="n">
        <v>46067</v>
      </c>
      <c r="D605" s="15" t="s">
        <v>107</v>
      </c>
      <c r="E605" s="15" t="s">
        <v>85</v>
      </c>
    </row>
    <row r="606" customFormat="false" ht="15" hidden="false" customHeight="false" outlineLevel="0" collapsed="false">
      <c r="A606" s="0" t="s">
        <v>697</v>
      </c>
      <c r="B606" s="0" t="s">
        <v>35</v>
      </c>
      <c r="C606" s="17" t="n">
        <v>46039</v>
      </c>
      <c r="D606" s="15" t="s">
        <v>68</v>
      </c>
      <c r="E606" s="15" t="s">
        <v>105</v>
      </c>
    </row>
    <row r="607" customFormat="false" ht="15" hidden="false" customHeight="false" outlineLevel="0" collapsed="false">
      <c r="A607" s="0" t="s">
        <v>698</v>
      </c>
      <c r="B607" s="0" t="s">
        <v>67</v>
      </c>
      <c r="C607" s="17" t="n">
        <v>46058</v>
      </c>
      <c r="D607" s="15" t="s">
        <v>84</v>
      </c>
      <c r="E607" s="15" t="s">
        <v>62</v>
      </c>
    </row>
    <row r="608" customFormat="false" ht="15" hidden="false" customHeight="false" outlineLevel="0" collapsed="false">
      <c r="A608" s="0" t="s">
        <v>699</v>
      </c>
      <c r="B608" s="0" t="s">
        <v>103</v>
      </c>
      <c r="C608" s="17" t="n">
        <v>46033</v>
      </c>
      <c r="D608" s="15" t="s">
        <v>153</v>
      </c>
      <c r="E608" s="15" t="s">
        <v>62</v>
      </c>
    </row>
    <row r="609" customFormat="false" ht="15" hidden="false" customHeight="false" outlineLevel="0" collapsed="false">
      <c r="A609" s="0" t="s">
        <v>700</v>
      </c>
      <c r="B609" s="0" t="s">
        <v>33</v>
      </c>
      <c r="C609" s="17" t="n">
        <v>46047</v>
      </c>
      <c r="D609" s="15" t="s">
        <v>128</v>
      </c>
      <c r="E609" s="15" t="s">
        <v>69</v>
      </c>
    </row>
    <row r="610" customFormat="false" ht="15" hidden="false" customHeight="false" outlineLevel="0" collapsed="false">
      <c r="A610" s="0" t="s">
        <v>701</v>
      </c>
      <c r="B610" s="0" t="s">
        <v>71</v>
      </c>
      <c r="C610" s="17" t="n">
        <v>46077</v>
      </c>
      <c r="D610" s="15" t="s">
        <v>72</v>
      </c>
      <c r="E610" s="15" t="s">
        <v>148</v>
      </c>
    </row>
    <row r="611" customFormat="false" ht="15" hidden="false" customHeight="false" outlineLevel="0" collapsed="false">
      <c r="A611" s="0" t="s">
        <v>702</v>
      </c>
      <c r="B611" s="0" t="s">
        <v>37</v>
      </c>
      <c r="C611" s="17" t="n">
        <v>46073</v>
      </c>
      <c r="D611" s="15" t="s">
        <v>74</v>
      </c>
      <c r="E611" s="15" t="s">
        <v>65</v>
      </c>
    </row>
    <row r="612" customFormat="false" ht="15" hidden="false" customHeight="false" outlineLevel="0" collapsed="false">
      <c r="A612" s="0" t="s">
        <v>703</v>
      </c>
      <c r="B612" s="0" t="s">
        <v>99</v>
      </c>
      <c r="C612" s="17" t="n">
        <v>46027</v>
      </c>
      <c r="D612" s="15" t="s">
        <v>61</v>
      </c>
      <c r="E612" s="15" t="s">
        <v>85</v>
      </c>
    </row>
    <row r="613" customFormat="false" ht="15" hidden="false" customHeight="false" outlineLevel="0" collapsed="false">
      <c r="A613" s="0" t="s">
        <v>691</v>
      </c>
      <c r="B613" s="0" t="s">
        <v>41</v>
      </c>
      <c r="C613" s="17" t="n">
        <v>46033</v>
      </c>
      <c r="D613" s="15" t="s">
        <v>72</v>
      </c>
      <c r="E613" s="15" t="s">
        <v>105</v>
      </c>
    </row>
    <row r="614" customFormat="false" ht="15" hidden="false" customHeight="false" outlineLevel="0" collapsed="false">
      <c r="A614" s="0" t="s">
        <v>704</v>
      </c>
      <c r="B614" s="0" t="s">
        <v>57</v>
      </c>
      <c r="C614" s="17" t="n">
        <v>46029</v>
      </c>
      <c r="D614" s="15" t="s">
        <v>126</v>
      </c>
      <c r="E614" s="15" t="s">
        <v>62</v>
      </c>
    </row>
    <row r="615" customFormat="false" ht="15" hidden="false" customHeight="false" outlineLevel="0" collapsed="false">
      <c r="A615" s="0" t="s">
        <v>705</v>
      </c>
      <c r="B615" s="0" t="s">
        <v>116</v>
      </c>
      <c r="C615" s="17" t="n">
        <v>46047</v>
      </c>
      <c r="D615" s="15" t="s">
        <v>72</v>
      </c>
      <c r="E615" s="15" t="s">
        <v>62</v>
      </c>
    </row>
    <row r="616" customFormat="false" ht="15" hidden="false" customHeight="false" outlineLevel="0" collapsed="false">
      <c r="A616" s="0" t="s">
        <v>706</v>
      </c>
      <c r="B616" s="0" t="s">
        <v>35</v>
      </c>
      <c r="C616" s="17" t="n">
        <v>46033</v>
      </c>
      <c r="D616" s="15" t="s">
        <v>135</v>
      </c>
      <c r="E616" s="15" t="s">
        <v>85</v>
      </c>
    </row>
    <row r="617" customFormat="false" ht="15" hidden="false" customHeight="false" outlineLevel="0" collapsed="false">
      <c r="A617" s="0" t="s">
        <v>707</v>
      </c>
      <c r="B617" s="0" t="s">
        <v>67</v>
      </c>
      <c r="C617" s="17" t="n">
        <v>46065</v>
      </c>
      <c r="D617" s="15" t="s">
        <v>58</v>
      </c>
      <c r="E617" s="15" t="s">
        <v>69</v>
      </c>
    </row>
    <row r="618" customFormat="false" ht="15" hidden="false" customHeight="false" outlineLevel="0" collapsed="false">
      <c r="A618" s="0" t="s">
        <v>708</v>
      </c>
      <c r="B618" s="0" t="s">
        <v>39</v>
      </c>
      <c r="C618" s="17" t="n">
        <v>46044</v>
      </c>
      <c r="D618" s="15" t="s">
        <v>126</v>
      </c>
      <c r="E618" s="15" t="s">
        <v>59</v>
      </c>
    </row>
    <row r="619" customFormat="false" ht="15" hidden="false" customHeight="false" outlineLevel="0" collapsed="false">
      <c r="A619" s="0" t="s">
        <v>709</v>
      </c>
      <c r="B619" s="0" t="s">
        <v>57</v>
      </c>
      <c r="C619" s="17" t="n">
        <v>46067</v>
      </c>
      <c r="D619" s="15" t="s">
        <v>107</v>
      </c>
      <c r="E619" s="15" t="s">
        <v>59</v>
      </c>
    </row>
    <row r="620" customFormat="false" ht="15" hidden="false" customHeight="false" outlineLevel="0" collapsed="false">
      <c r="A620" s="0" t="s">
        <v>710</v>
      </c>
      <c r="B620" s="0" t="s">
        <v>41</v>
      </c>
      <c r="C620" s="17" t="n">
        <v>46032</v>
      </c>
      <c r="D620" s="15" t="s">
        <v>79</v>
      </c>
      <c r="E620" s="15" t="s">
        <v>97</v>
      </c>
    </row>
    <row r="621" customFormat="false" ht="15" hidden="false" customHeight="false" outlineLevel="0" collapsed="false">
      <c r="A621" s="0" t="s">
        <v>711</v>
      </c>
      <c r="B621" s="0" t="s">
        <v>41</v>
      </c>
      <c r="C621" s="17" t="n">
        <v>46043</v>
      </c>
      <c r="D621" s="15" t="s">
        <v>90</v>
      </c>
      <c r="E621" s="15" t="s">
        <v>97</v>
      </c>
    </row>
    <row r="622" customFormat="false" ht="15" hidden="false" customHeight="false" outlineLevel="0" collapsed="false">
      <c r="A622" s="0" t="s">
        <v>712</v>
      </c>
      <c r="B622" s="0" t="s">
        <v>95</v>
      </c>
      <c r="C622" s="17" t="n">
        <v>46035</v>
      </c>
      <c r="D622" s="15" t="s">
        <v>128</v>
      </c>
      <c r="E622" s="15" t="s">
        <v>97</v>
      </c>
    </row>
    <row r="623" customFormat="false" ht="15" hidden="false" customHeight="false" outlineLevel="0" collapsed="false">
      <c r="A623" s="0" t="s">
        <v>713</v>
      </c>
      <c r="B623" s="0" t="s">
        <v>67</v>
      </c>
      <c r="C623" s="17" t="n">
        <v>46035</v>
      </c>
      <c r="D623" s="15" t="s">
        <v>96</v>
      </c>
      <c r="E623" s="15" t="s">
        <v>62</v>
      </c>
    </row>
    <row r="624" customFormat="false" ht="15" hidden="false" customHeight="false" outlineLevel="0" collapsed="false">
      <c r="A624" s="0" t="s">
        <v>714</v>
      </c>
      <c r="B624" s="0" t="s">
        <v>39</v>
      </c>
      <c r="C624" s="17" t="n">
        <v>46046</v>
      </c>
      <c r="D624" s="15" t="s">
        <v>104</v>
      </c>
      <c r="E624" s="15" t="s">
        <v>151</v>
      </c>
    </row>
    <row r="625" customFormat="false" ht="15" hidden="false" customHeight="false" outlineLevel="0" collapsed="false">
      <c r="A625" s="0" t="s">
        <v>715</v>
      </c>
      <c r="B625" s="0" t="s">
        <v>116</v>
      </c>
      <c r="C625" s="17" t="n">
        <v>46050</v>
      </c>
      <c r="D625" s="15" t="s">
        <v>58</v>
      </c>
      <c r="E625" s="15" t="s">
        <v>62</v>
      </c>
    </row>
    <row r="626" customFormat="false" ht="15" hidden="false" customHeight="false" outlineLevel="0" collapsed="false">
      <c r="A626" s="0" t="s">
        <v>716</v>
      </c>
      <c r="B626" s="0" t="s">
        <v>33</v>
      </c>
      <c r="C626" s="17" t="n">
        <v>46030</v>
      </c>
      <c r="D626" s="15" t="s">
        <v>61</v>
      </c>
      <c r="E626" s="15" t="s">
        <v>59</v>
      </c>
    </row>
    <row r="627" customFormat="false" ht="15" hidden="false" customHeight="false" outlineLevel="0" collapsed="false">
      <c r="A627" s="0" t="s">
        <v>717</v>
      </c>
      <c r="B627" s="0" t="s">
        <v>116</v>
      </c>
      <c r="C627" s="17" t="n">
        <v>46053</v>
      </c>
      <c r="D627" s="15" t="s">
        <v>68</v>
      </c>
      <c r="E627" s="15" t="s">
        <v>97</v>
      </c>
    </row>
    <row r="628" customFormat="false" ht="15" hidden="false" customHeight="false" outlineLevel="0" collapsed="false">
      <c r="A628" s="0" t="s">
        <v>718</v>
      </c>
      <c r="B628" s="0" t="s">
        <v>57</v>
      </c>
      <c r="C628" s="17" t="n">
        <v>46046</v>
      </c>
      <c r="D628" s="15" t="s">
        <v>101</v>
      </c>
      <c r="E628" s="15" t="s">
        <v>148</v>
      </c>
    </row>
    <row r="629" customFormat="false" ht="15" hidden="false" customHeight="false" outlineLevel="0" collapsed="false">
      <c r="A629" s="0" t="s">
        <v>719</v>
      </c>
      <c r="B629" s="0" t="s">
        <v>103</v>
      </c>
      <c r="C629" s="17" t="n">
        <v>46074</v>
      </c>
      <c r="D629" s="15" t="s">
        <v>107</v>
      </c>
      <c r="E629" s="15" t="s">
        <v>69</v>
      </c>
    </row>
    <row r="630" customFormat="false" ht="15" hidden="false" customHeight="false" outlineLevel="0" collapsed="false">
      <c r="A630" s="0" t="s">
        <v>720</v>
      </c>
      <c r="B630" s="0" t="s">
        <v>77</v>
      </c>
      <c r="C630" s="17" t="n">
        <v>46069</v>
      </c>
      <c r="D630" s="15" t="s">
        <v>84</v>
      </c>
      <c r="E630" s="15" t="s">
        <v>59</v>
      </c>
    </row>
    <row r="631" customFormat="false" ht="15" hidden="false" customHeight="false" outlineLevel="0" collapsed="false">
      <c r="A631" s="0" t="s">
        <v>721</v>
      </c>
      <c r="B631" s="0" t="s">
        <v>39</v>
      </c>
      <c r="C631" s="17" t="n">
        <v>46040</v>
      </c>
      <c r="D631" s="15" t="s">
        <v>153</v>
      </c>
      <c r="E631" s="15" t="s">
        <v>65</v>
      </c>
    </row>
    <row r="632" customFormat="false" ht="15" hidden="false" customHeight="false" outlineLevel="0" collapsed="false">
      <c r="A632" s="0" t="s">
        <v>722</v>
      </c>
      <c r="B632" s="0" t="s">
        <v>103</v>
      </c>
      <c r="C632" s="17" t="n">
        <v>46037</v>
      </c>
      <c r="D632" s="15" t="s">
        <v>72</v>
      </c>
      <c r="E632" s="15" t="s">
        <v>97</v>
      </c>
    </row>
    <row r="633" customFormat="false" ht="15" hidden="false" customHeight="false" outlineLevel="0" collapsed="false">
      <c r="A633" s="0" t="s">
        <v>723</v>
      </c>
      <c r="B633" s="0" t="s">
        <v>124</v>
      </c>
      <c r="C633" s="17" t="n">
        <v>46055</v>
      </c>
      <c r="D633" s="15" t="s">
        <v>135</v>
      </c>
      <c r="E633" s="15" t="s">
        <v>69</v>
      </c>
    </row>
    <row r="634" customFormat="false" ht="15" hidden="false" customHeight="false" outlineLevel="0" collapsed="false">
      <c r="A634" s="0" t="s">
        <v>724</v>
      </c>
      <c r="B634" s="0" t="s">
        <v>99</v>
      </c>
      <c r="C634" s="17" t="n">
        <v>46059</v>
      </c>
      <c r="D634" s="15" t="s">
        <v>90</v>
      </c>
      <c r="E634" s="15" t="s">
        <v>69</v>
      </c>
    </row>
    <row r="635" customFormat="false" ht="15" hidden="false" customHeight="false" outlineLevel="0" collapsed="false">
      <c r="A635" s="0" t="s">
        <v>725</v>
      </c>
      <c r="B635" s="0" t="s">
        <v>43</v>
      </c>
      <c r="C635" s="17" t="n">
        <v>46078</v>
      </c>
      <c r="D635" s="15" t="s">
        <v>101</v>
      </c>
      <c r="E635" s="15" t="s">
        <v>59</v>
      </c>
    </row>
    <row r="636" customFormat="false" ht="15" hidden="false" customHeight="false" outlineLevel="0" collapsed="false">
      <c r="A636" s="0" t="s">
        <v>726</v>
      </c>
      <c r="B636" s="0" t="s">
        <v>124</v>
      </c>
      <c r="C636" s="17" t="n">
        <v>46059</v>
      </c>
      <c r="D636" s="15" t="s">
        <v>126</v>
      </c>
      <c r="E636" s="15" t="s">
        <v>151</v>
      </c>
    </row>
    <row r="637" customFormat="false" ht="15" hidden="false" customHeight="false" outlineLevel="0" collapsed="false">
      <c r="A637" s="0" t="s">
        <v>727</v>
      </c>
      <c r="B637" s="0" t="s">
        <v>33</v>
      </c>
      <c r="C637" s="17" t="n">
        <v>46042</v>
      </c>
      <c r="D637" s="15" t="s">
        <v>101</v>
      </c>
      <c r="E637" s="15" t="s">
        <v>65</v>
      </c>
    </row>
    <row r="638" customFormat="false" ht="15" hidden="false" customHeight="false" outlineLevel="0" collapsed="false">
      <c r="A638" s="0" t="s">
        <v>728</v>
      </c>
      <c r="B638" s="0" t="s">
        <v>124</v>
      </c>
      <c r="C638" s="17" t="n">
        <v>46031</v>
      </c>
      <c r="D638" s="15" t="s">
        <v>58</v>
      </c>
      <c r="E638" s="15" t="s">
        <v>59</v>
      </c>
    </row>
    <row r="639" customFormat="false" ht="15" hidden="false" customHeight="false" outlineLevel="0" collapsed="false">
      <c r="A639" s="0" t="s">
        <v>729</v>
      </c>
      <c r="B639" s="0" t="s">
        <v>83</v>
      </c>
      <c r="C639" s="17" t="n">
        <v>46080</v>
      </c>
      <c r="D639" s="15" t="s">
        <v>88</v>
      </c>
      <c r="E639" s="15" t="s">
        <v>172</v>
      </c>
    </row>
    <row r="640" customFormat="false" ht="15" hidden="false" customHeight="false" outlineLevel="0" collapsed="false">
      <c r="A640" s="0" t="s">
        <v>730</v>
      </c>
      <c r="B640" s="0" t="s">
        <v>41</v>
      </c>
      <c r="C640" s="17" t="n">
        <v>46075</v>
      </c>
      <c r="D640" s="15" t="s">
        <v>93</v>
      </c>
      <c r="E640" s="15" t="s">
        <v>65</v>
      </c>
    </row>
    <row r="641" customFormat="false" ht="15" hidden="false" customHeight="false" outlineLevel="0" collapsed="false">
      <c r="A641" s="0" t="s">
        <v>731</v>
      </c>
      <c r="B641" s="0" t="s">
        <v>43</v>
      </c>
      <c r="C641" s="17" t="n">
        <v>46064</v>
      </c>
      <c r="D641" s="15" t="s">
        <v>74</v>
      </c>
      <c r="E641" s="15" t="s">
        <v>85</v>
      </c>
    </row>
    <row r="642" customFormat="false" ht="15" hidden="false" customHeight="false" outlineLevel="0" collapsed="false">
      <c r="A642" s="0" t="s">
        <v>732</v>
      </c>
      <c r="B642" s="0" t="s">
        <v>57</v>
      </c>
      <c r="C642" s="17" t="n">
        <v>46039</v>
      </c>
      <c r="D642" s="15" t="s">
        <v>153</v>
      </c>
      <c r="E642" s="15" t="s">
        <v>69</v>
      </c>
    </row>
    <row r="643" customFormat="false" ht="15" hidden="false" customHeight="false" outlineLevel="0" collapsed="false">
      <c r="A643" s="0" t="s">
        <v>733</v>
      </c>
      <c r="B643" s="0" t="s">
        <v>95</v>
      </c>
      <c r="C643" s="17" t="n">
        <v>46027</v>
      </c>
      <c r="D643" s="15" t="s">
        <v>107</v>
      </c>
      <c r="E643" s="15" t="s">
        <v>97</v>
      </c>
    </row>
    <row r="644" customFormat="false" ht="15" hidden="false" customHeight="false" outlineLevel="0" collapsed="false">
      <c r="A644" s="0" t="s">
        <v>734</v>
      </c>
      <c r="B644" s="0" t="s">
        <v>83</v>
      </c>
      <c r="C644" s="17" t="n">
        <v>46032</v>
      </c>
      <c r="D644" s="15" t="s">
        <v>61</v>
      </c>
      <c r="E644" s="15" t="s">
        <v>65</v>
      </c>
    </row>
    <row r="645" customFormat="false" ht="15" hidden="false" customHeight="false" outlineLevel="0" collapsed="false">
      <c r="A645" s="0" t="s">
        <v>735</v>
      </c>
      <c r="B645" s="0" t="s">
        <v>124</v>
      </c>
      <c r="C645" s="17" t="n">
        <v>46054</v>
      </c>
      <c r="D645" s="15" t="s">
        <v>101</v>
      </c>
      <c r="E645" s="15" t="s">
        <v>97</v>
      </c>
    </row>
    <row r="646" customFormat="false" ht="15" hidden="false" customHeight="false" outlineLevel="0" collapsed="false">
      <c r="A646" s="0" t="s">
        <v>736</v>
      </c>
      <c r="B646" s="0" t="s">
        <v>92</v>
      </c>
      <c r="C646" s="17" t="n">
        <v>46047</v>
      </c>
      <c r="D646" s="15" t="s">
        <v>135</v>
      </c>
      <c r="E646" s="15" t="s">
        <v>59</v>
      </c>
    </row>
    <row r="647" customFormat="false" ht="15" hidden="false" customHeight="false" outlineLevel="0" collapsed="false">
      <c r="A647" s="0" t="s">
        <v>737</v>
      </c>
      <c r="B647" s="0" t="s">
        <v>95</v>
      </c>
      <c r="C647" s="17" t="n">
        <v>46081</v>
      </c>
      <c r="D647" s="15" t="s">
        <v>58</v>
      </c>
      <c r="E647" s="15" t="s">
        <v>59</v>
      </c>
    </row>
    <row r="648" customFormat="false" ht="15" hidden="false" customHeight="false" outlineLevel="0" collapsed="false">
      <c r="A648" s="0" t="s">
        <v>738</v>
      </c>
      <c r="B648" s="0" t="s">
        <v>41</v>
      </c>
      <c r="C648" s="17" t="n">
        <v>46058</v>
      </c>
      <c r="D648" s="15" t="s">
        <v>128</v>
      </c>
      <c r="E648" s="15" t="s">
        <v>62</v>
      </c>
    </row>
    <row r="649" customFormat="false" ht="15" hidden="false" customHeight="false" outlineLevel="0" collapsed="false">
      <c r="A649" s="0" t="s">
        <v>739</v>
      </c>
      <c r="B649" s="0" t="s">
        <v>33</v>
      </c>
      <c r="C649" s="17" t="n">
        <v>46067</v>
      </c>
      <c r="D649" s="15" t="s">
        <v>68</v>
      </c>
      <c r="E649" s="15" t="s">
        <v>85</v>
      </c>
    </row>
    <row r="650" customFormat="false" ht="15" hidden="false" customHeight="false" outlineLevel="0" collapsed="false">
      <c r="A650" s="0" t="s">
        <v>740</v>
      </c>
      <c r="B650" s="0" t="s">
        <v>92</v>
      </c>
      <c r="C650" s="17" t="n">
        <v>46056</v>
      </c>
      <c r="D650" s="15" t="s">
        <v>128</v>
      </c>
      <c r="E650" s="15" t="s">
        <v>97</v>
      </c>
    </row>
    <row r="651" customFormat="false" ht="15" hidden="false" customHeight="false" outlineLevel="0" collapsed="false">
      <c r="A651" s="0" t="s">
        <v>741</v>
      </c>
      <c r="B651" s="0" t="s">
        <v>33</v>
      </c>
      <c r="C651" s="17" t="n">
        <v>46047</v>
      </c>
      <c r="D651" s="15" t="s">
        <v>61</v>
      </c>
      <c r="E651" s="15" t="s">
        <v>59</v>
      </c>
    </row>
    <row r="652" customFormat="false" ht="15" hidden="false" customHeight="false" outlineLevel="0" collapsed="false">
      <c r="A652" s="0" t="s">
        <v>742</v>
      </c>
      <c r="B652" s="0" t="s">
        <v>67</v>
      </c>
      <c r="C652" s="17" t="n">
        <v>46055</v>
      </c>
      <c r="D652" s="15" t="s">
        <v>58</v>
      </c>
      <c r="E652" s="15" t="s">
        <v>151</v>
      </c>
    </row>
    <row r="653" customFormat="false" ht="15" hidden="false" customHeight="false" outlineLevel="0" collapsed="false">
      <c r="A653" s="0" t="s">
        <v>743</v>
      </c>
      <c r="B653" s="0" t="s">
        <v>35</v>
      </c>
      <c r="C653" s="17" t="n">
        <v>46081</v>
      </c>
      <c r="D653" s="15" t="s">
        <v>68</v>
      </c>
      <c r="E653" s="15" t="s">
        <v>172</v>
      </c>
    </row>
    <row r="654" customFormat="false" ht="15" hidden="false" customHeight="false" outlineLevel="0" collapsed="false">
      <c r="A654" s="0" t="s">
        <v>744</v>
      </c>
      <c r="B654" s="0" t="s">
        <v>116</v>
      </c>
      <c r="C654" s="17" t="n">
        <v>46072</v>
      </c>
      <c r="D654" s="15" t="s">
        <v>79</v>
      </c>
      <c r="E654" s="15" t="s">
        <v>97</v>
      </c>
    </row>
    <row r="655" customFormat="false" ht="15" hidden="false" customHeight="false" outlineLevel="0" collapsed="false">
      <c r="A655" s="0" t="s">
        <v>745</v>
      </c>
      <c r="B655" s="0" t="s">
        <v>95</v>
      </c>
      <c r="C655" s="17" t="n">
        <v>46079</v>
      </c>
      <c r="D655" s="15" t="s">
        <v>126</v>
      </c>
      <c r="E655" s="15" t="s">
        <v>69</v>
      </c>
    </row>
    <row r="656" customFormat="false" ht="15" hidden="false" customHeight="false" outlineLevel="0" collapsed="false">
      <c r="A656" s="0" t="s">
        <v>746</v>
      </c>
      <c r="B656" s="0" t="s">
        <v>112</v>
      </c>
      <c r="C656" s="17" t="n">
        <v>46074</v>
      </c>
      <c r="D656" s="15" t="s">
        <v>81</v>
      </c>
      <c r="E656" s="15" t="s">
        <v>62</v>
      </c>
    </row>
    <row r="657" customFormat="false" ht="15" hidden="false" customHeight="false" outlineLevel="0" collapsed="false">
      <c r="A657" s="0" t="s">
        <v>747</v>
      </c>
      <c r="B657" s="0" t="s">
        <v>37</v>
      </c>
      <c r="C657" s="17" t="n">
        <v>46035</v>
      </c>
      <c r="D657" s="15" t="s">
        <v>126</v>
      </c>
      <c r="E657" s="15" t="s">
        <v>69</v>
      </c>
    </row>
    <row r="658" customFormat="false" ht="15" hidden="false" customHeight="false" outlineLevel="0" collapsed="false">
      <c r="A658" s="0" t="s">
        <v>748</v>
      </c>
      <c r="B658" s="0" t="s">
        <v>95</v>
      </c>
      <c r="C658" s="17" t="n">
        <v>46035</v>
      </c>
      <c r="D658" s="15" t="s">
        <v>74</v>
      </c>
      <c r="E658" s="15" t="s">
        <v>62</v>
      </c>
    </row>
    <row r="659" customFormat="false" ht="15" hidden="false" customHeight="false" outlineLevel="0" collapsed="false">
      <c r="A659" s="0" t="s">
        <v>749</v>
      </c>
      <c r="B659" s="0" t="s">
        <v>116</v>
      </c>
      <c r="C659" s="17" t="n">
        <v>46079</v>
      </c>
      <c r="D659" s="15" t="s">
        <v>93</v>
      </c>
      <c r="E659" s="15" t="s">
        <v>59</v>
      </c>
    </row>
    <row r="660" customFormat="false" ht="15" hidden="false" customHeight="false" outlineLevel="0" collapsed="false">
      <c r="A660" s="0" t="s">
        <v>554</v>
      </c>
      <c r="B660" s="0" t="s">
        <v>43</v>
      </c>
      <c r="C660" s="17" t="n">
        <v>46034</v>
      </c>
      <c r="D660" s="15" t="s">
        <v>79</v>
      </c>
      <c r="E660" s="15" t="s">
        <v>85</v>
      </c>
    </row>
    <row r="661" customFormat="false" ht="15" hidden="false" customHeight="false" outlineLevel="0" collapsed="false">
      <c r="A661" s="0" t="s">
        <v>750</v>
      </c>
      <c r="B661" s="0" t="s">
        <v>92</v>
      </c>
      <c r="C661" s="17" t="n">
        <v>46028</v>
      </c>
      <c r="D661" s="15" t="s">
        <v>126</v>
      </c>
      <c r="E661" s="15" t="s">
        <v>62</v>
      </c>
    </row>
    <row r="662" customFormat="false" ht="15" hidden="false" customHeight="false" outlineLevel="0" collapsed="false">
      <c r="A662" s="0" t="s">
        <v>751</v>
      </c>
      <c r="B662" s="0" t="s">
        <v>116</v>
      </c>
      <c r="C662" s="17" t="n">
        <v>46057</v>
      </c>
      <c r="D662" s="15" t="s">
        <v>74</v>
      </c>
      <c r="E662" s="15" t="s">
        <v>105</v>
      </c>
    </row>
    <row r="663" customFormat="false" ht="15" hidden="false" customHeight="false" outlineLevel="0" collapsed="false">
      <c r="A663" s="0" t="s">
        <v>752</v>
      </c>
      <c r="B663" s="0" t="s">
        <v>92</v>
      </c>
      <c r="C663" s="17" t="n">
        <v>46057</v>
      </c>
      <c r="D663" s="15" t="s">
        <v>104</v>
      </c>
      <c r="E663" s="15" t="s">
        <v>65</v>
      </c>
    </row>
    <row r="664" customFormat="false" ht="15" hidden="false" customHeight="false" outlineLevel="0" collapsed="false">
      <c r="A664" s="0" t="s">
        <v>753</v>
      </c>
      <c r="B664" s="0" t="s">
        <v>95</v>
      </c>
      <c r="C664" s="17" t="n">
        <v>46070</v>
      </c>
      <c r="D664" s="15" t="s">
        <v>68</v>
      </c>
      <c r="E664" s="15" t="s">
        <v>85</v>
      </c>
    </row>
    <row r="665" customFormat="false" ht="15" hidden="false" customHeight="false" outlineLevel="0" collapsed="false">
      <c r="A665" s="0" t="s">
        <v>754</v>
      </c>
      <c r="B665" s="0" t="s">
        <v>71</v>
      </c>
      <c r="C665" s="17" t="n">
        <v>46052</v>
      </c>
      <c r="D665" s="15" t="s">
        <v>81</v>
      </c>
      <c r="E665" s="15" t="s">
        <v>69</v>
      </c>
    </row>
    <row r="666" customFormat="false" ht="15" hidden="false" customHeight="false" outlineLevel="0" collapsed="false">
      <c r="A666" s="0" t="s">
        <v>755</v>
      </c>
      <c r="B666" s="0" t="s">
        <v>57</v>
      </c>
      <c r="C666" s="17" t="n">
        <v>46049</v>
      </c>
      <c r="D666" s="15" t="s">
        <v>107</v>
      </c>
      <c r="E666" s="15" t="s">
        <v>97</v>
      </c>
    </row>
    <row r="667" customFormat="false" ht="15" hidden="false" customHeight="false" outlineLevel="0" collapsed="false">
      <c r="A667" s="0" t="s">
        <v>756</v>
      </c>
      <c r="B667" s="0" t="s">
        <v>33</v>
      </c>
      <c r="C667" s="17" t="n">
        <v>46058</v>
      </c>
      <c r="D667" s="15" t="s">
        <v>58</v>
      </c>
      <c r="E667" s="15" t="s">
        <v>109</v>
      </c>
    </row>
    <row r="668" customFormat="false" ht="15" hidden="false" customHeight="false" outlineLevel="0" collapsed="false">
      <c r="A668" s="0" t="s">
        <v>757</v>
      </c>
      <c r="B668" s="0" t="s">
        <v>71</v>
      </c>
      <c r="C668" s="17" t="n">
        <v>46063</v>
      </c>
      <c r="D668" s="15" t="s">
        <v>88</v>
      </c>
      <c r="E668" s="15" t="s">
        <v>65</v>
      </c>
    </row>
    <row r="669" customFormat="false" ht="15" hidden="false" customHeight="false" outlineLevel="0" collapsed="false">
      <c r="A669" s="0" t="s">
        <v>758</v>
      </c>
      <c r="B669" s="0" t="s">
        <v>112</v>
      </c>
      <c r="C669" s="17" t="n">
        <v>46045</v>
      </c>
      <c r="D669" s="15" t="s">
        <v>72</v>
      </c>
      <c r="E669" s="15" t="s">
        <v>59</v>
      </c>
    </row>
    <row r="670" customFormat="false" ht="15" hidden="false" customHeight="false" outlineLevel="0" collapsed="false">
      <c r="A670" s="0" t="s">
        <v>759</v>
      </c>
      <c r="B670" s="0" t="s">
        <v>41</v>
      </c>
      <c r="C670" s="17" t="n">
        <v>46057</v>
      </c>
      <c r="D670" s="15" t="s">
        <v>96</v>
      </c>
      <c r="E670" s="15" t="s">
        <v>59</v>
      </c>
    </row>
    <row r="671" customFormat="false" ht="15" hidden="false" customHeight="false" outlineLevel="0" collapsed="false">
      <c r="A671" s="0" t="s">
        <v>760</v>
      </c>
      <c r="B671" s="0" t="s">
        <v>35</v>
      </c>
      <c r="C671" s="17" t="n">
        <v>46073</v>
      </c>
      <c r="D671" s="15" t="s">
        <v>79</v>
      </c>
      <c r="E671" s="15" t="s">
        <v>59</v>
      </c>
    </row>
    <row r="672" customFormat="false" ht="15" hidden="false" customHeight="false" outlineLevel="0" collapsed="false">
      <c r="A672" s="0" t="s">
        <v>761</v>
      </c>
      <c r="B672" s="0" t="s">
        <v>112</v>
      </c>
      <c r="C672" s="17" t="n">
        <v>46032</v>
      </c>
      <c r="D672" s="15" t="s">
        <v>153</v>
      </c>
      <c r="E672" s="15" t="s">
        <v>151</v>
      </c>
    </row>
    <row r="673" customFormat="false" ht="15" hidden="false" customHeight="false" outlineLevel="0" collapsed="false">
      <c r="A673" s="0" t="s">
        <v>762</v>
      </c>
      <c r="B673" s="0" t="s">
        <v>37</v>
      </c>
      <c r="C673" s="17" t="n">
        <v>46042</v>
      </c>
      <c r="D673" s="15" t="s">
        <v>101</v>
      </c>
      <c r="E673" s="15" t="s">
        <v>85</v>
      </c>
    </row>
    <row r="674" customFormat="false" ht="15" hidden="false" customHeight="false" outlineLevel="0" collapsed="false">
      <c r="A674" s="0" t="s">
        <v>763</v>
      </c>
      <c r="B674" s="0" t="s">
        <v>77</v>
      </c>
      <c r="C674" s="17" t="n">
        <v>46055</v>
      </c>
      <c r="D674" s="15" t="s">
        <v>135</v>
      </c>
      <c r="E674" s="15" t="s">
        <v>65</v>
      </c>
    </row>
    <row r="675" customFormat="false" ht="15" hidden="false" customHeight="false" outlineLevel="0" collapsed="false">
      <c r="A675" s="0" t="s">
        <v>764</v>
      </c>
      <c r="B675" s="0" t="s">
        <v>43</v>
      </c>
      <c r="C675" s="17" t="n">
        <v>46051</v>
      </c>
      <c r="D675" s="15" t="s">
        <v>79</v>
      </c>
      <c r="E675" s="15" t="s">
        <v>59</v>
      </c>
    </row>
    <row r="676" customFormat="false" ht="15" hidden="false" customHeight="false" outlineLevel="0" collapsed="false">
      <c r="A676" s="0" t="s">
        <v>765</v>
      </c>
      <c r="B676" s="0" t="s">
        <v>124</v>
      </c>
      <c r="C676" s="17" t="n">
        <v>46068</v>
      </c>
      <c r="D676" s="15" t="s">
        <v>61</v>
      </c>
      <c r="E676" s="15" t="s">
        <v>85</v>
      </c>
    </row>
    <row r="677" customFormat="false" ht="15" hidden="false" customHeight="false" outlineLevel="0" collapsed="false">
      <c r="A677" s="0" t="s">
        <v>766</v>
      </c>
      <c r="B677" s="0" t="s">
        <v>67</v>
      </c>
      <c r="C677" s="17" t="n">
        <v>46067</v>
      </c>
      <c r="D677" s="15" t="s">
        <v>93</v>
      </c>
      <c r="E677" s="15" t="s">
        <v>62</v>
      </c>
    </row>
    <row r="678" customFormat="false" ht="15" hidden="false" customHeight="false" outlineLevel="0" collapsed="false">
      <c r="A678" s="0" t="s">
        <v>767</v>
      </c>
      <c r="B678" s="0" t="s">
        <v>116</v>
      </c>
      <c r="C678" s="17" t="n">
        <v>46036</v>
      </c>
      <c r="D678" s="15" t="s">
        <v>93</v>
      </c>
      <c r="E678" s="15" t="s">
        <v>97</v>
      </c>
    </row>
    <row r="679" customFormat="false" ht="15" hidden="false" customHeight="false" outlineLevel="0" collapsed="false">
      <c r="A679" s="0" t="s">
        <v>768</v>
      </c>
      <c r="B679" s="0" t="s">
        <v>37</v>
      </c>
      <c r="C679" s="17" t="n">
        <v>46067</v>
      </c>
      <c r="D679" s="15" t="s">
        <v>128</v>
      </c>
      <c r="E679" s="15" t="s">
        <v>75</v>
      </c>
    </row>
    <row r="680" customFormat="false" ht="15" hidden="false" customHeight="false" outlineLevel="0" collapsed="false">
      <c r="A680" s="0" t="s">
        <v>769</v>
      </c>
      <c r="B680" s="0" t="s">
        <v>83</v>
      </c>
      <c r="C680" s="17" t="n">
        <v>46045</v>
      </c>
      <c r="D680" s="15" t="s">
        <v>68</v>
      </c>
      <c r="E680" s="15" t="s">
        <v>69</v>
      </c>
    </row>
    <row r="681" customFormat="false" ht="15" hidden="false" customHeight="false" outlineLevel="0" collapsed="false">
      <c r="A681" s="0" t="s">
        <v>770</v>
      </c>
      <c r="B681" s="0" t="s">
        <v>39</v>
      </c>
      <c r="C681" s="17" t="n">
        <v>46058</v>
      </c>
      <c r="D681" s="15" t="s">
        <v>96</v>
      </c>
      <c r="E681" s="15" t="s">
        <v>62</v>
      </c>
    </row>
    <row r="682" customFormat="false" ht="15" hidden="false" customHeight="false" outlineLevel="0" collapsed="false">
      <c r="A682" s="0" t="s">
        <v>771</v>
      </c>
      <c r="B682" s="0" t="s">
        <v>116</v>
      </c>
      <c r="C682" s="17" t="n">
        <v>46049</v>
      </c>
      <c r="D682" s="15" t="s">
        <v>101</v>
      </c>
      <c r="E682" s="15" t="s">
        <v>59</v>
      </c>
    </row>
    <row r="683" customFormat="false" ht="15" hidden="false" customHeight="false" outlineLevel="0" collapsed="false">
      <c r="A683" s="0" t="s">
        <v>772</v>
      </c>
      <c r="B683" s="0" t="s">
        <v>77</v>
      </c>
      <c r="C683" s="17" t="n">
        <v>46047</v>
      </c>
      <c r="D683" s="15" t="s">
        <v>68</v>
      </c>
      <c r="E683" s="15" t="s">
        <v>59</v>
      </c>
    </row>
    <row r="684" customFormat="false" ht="15" hidden="false" customHeight="false" outlineLevel="0" collapsed="false">
      <c r="A684" s="0" t="s">
        <v>773</v>
      </c>
      <c r="B684" s="0" t="s">
        <v>35</v>
      </c>
      <c r="C684" s="17" t="n">
        <v>46082</v>
      </c>
      <c r="D684" s="15" t="s">
        <v>58</v>
      </c>
      <c r="E684" s="15" t="s">
        <v>69</v>
      </c>
    </row>
    <row r="685" customFormat="false" ht="15" hidden="false" customHeight="false" outlineLevel="0" collapsed="false">
      <c r="A685" s="0" t="s">
        <v>774</v>
      </c>
      <c r="B685" s="0" t="s">
        <v>43</v>
      </c>
      <c r="C685" s="17" t="n">
        <v>46069</v>
      </c>
      <c r="D685" s="15" t="s">
        <v>135</v>
      </c>
      <c r="E685" s="15" t="s">
        <v>85</v>
      </c>
    </row>
    <row r="686" customFormat="false" ht="15" hidden="false" customHeight="false" outlineLevel="0" collapsed="false">
      <c r="A686" s="0" t="s">
        <v>775</v>
      </c>
      <c r="B686" s="0" t="s">
        <v>71</v>
      </c>
      <c r="C686" s="17" t="n">
        <v>46029</v>
      </c>
      <c r="D686" s="15" t="s">
        <v>58</v>
      </c>
      <c r="E686" s="15" t="s">
        <v>59</v>
      </c>
    </row>
    <row r="687" customFormat="false" ht="15" hidden="false" customHeight="false" outlineLevel="0" collapsed="false">
      <c r="A687" s="0" t="s">
        <v>776</v>
      </c>
      <c r="B687" s="0" t="s">
        <v>37</v>
      </c>
      <c r="C687" s="17" t="n">
        <v>46040</v>
      </c>
      <c r="D687" s="15" t="s">
        <v>93</v>
      </c>
      <c r="E687" s="15" t="s">
        <v>62</v>
      </c>
    </row>
    <row r="688" customFormat="false" ht="15" hidden="false" customHeight="false" outlineLevel="0" collapsed="false">
      <c r="A688" s="0" t="s">
        <v>777</v>
      </c>
      <c r="B688" s="0" t="s">
        <v>99</v>
      </c>
      <c r="C688" s="17" t="n">
        <v>46074</v>
      </c>
      <c r="D688" s="15" t="s">
        <v>88</v>
      </c>
      <c r="E688" s="15" t="s">
        <v>59</v>
      </c>
    </row>
    <row r="689" customFormat="false" ht="15" hidden="false" customHeight="false" outlineLevel="0" collapsed="false">
      <c r="A689" s="0" t="s">
        <v>778</v>
      </c>
      <c r="B689" s="0" t="s">
        <v>92</v>
      </c>
      <c r="C689" s="17" t="n">
        <v>46045</v>
      </c>
      <c r="D689" s="15" t="s">
        <v>74</v>
      </c>
      <c r="E689" s="15" t="s">
        <v>62</v>
      </c>
    </row>
    <row r="690" customFormat="false" ht="15" hidden="false" customHeight="false" outlineLevel="0" collapsed="false">
      <c r="A690" s="0" t="s">
        <v>779</v>
      </c>
      <c r="B690" s="0" t="s">
        <v>116</v>
      </c>
      <c r="C690" s="17" t="n">
        <v>46050</v>
      </c>
      <c r="D690" s="15" t="s">
        <v>135</v>
      </c>
      <c r="E690" s="15" t="s">
        <v>69</v>
      </c>
    </row>
    <row r="691" customFormat="false" ht="15" hidden="false" customHeight="false" outlineLevel="0" collapsed="false">
      <c r="A691" s="0" t="s">
        <v>780</v>
      </c>
      <c r="B691" s="0" t="s">
        <v>95</v>
      </c>
      <c r="C691" s="17" t="n">
        <v>46066</v>
      </c>
      <c r="D691" s="15" t="s">
        <v>90</v>
      </c>
      <c r="E691" s="15" t="s">
        <v>59</v>
      </c>
    </row>
    <row r="692" customFormat="false" ht="15" hidden="false" customHeight="false" outlineLevel="0" collapsed="false">
      <c r="A692" s="0" t="s">
        <v>781</v>
      </c>
      <c r="B692" s="0" t="s">
        <v>39</v>
      </c>
      <c r="C692" s="17" t="n">
        <v>46057</v>
      </c>
      <c r="D692" s="15" t="s">
        <v>135</v>
      </c>
      <c r="E692" s="15" t="s">
        <v>97</v>
      </c>
    </row>
    <row r="693" customFormat="false" ht="15" hidden="false" customHeight="false" outlineLevel="0" collapsed="false">
      <c r="A693" s="0" t="s">
        <v>782</v>
      </c>
      <c r="B693" s="0" t="s">
        <v>33</v>
      </c>
      <c r="C693" s="17" t="n">
        <v>46036</v>
      </c>
      <c r="D693" s="15" t="s">
        <v>96</v>
      </c>
      <c r="E693" s="15" t="s">
        <v>59</v>
      </c>
    </row>
    <row r="694" customFormat="false" ht="15" hidden="false" customHeight="false" outlineLevel="0" collapsed="false">
      <c r="A694" s="0" t="s">
        <v>783</v>
      </c>
      <c r="B694" s="0" t="s">
        <v>67</v>
      </c>
      <c r="C694" s="17" t="n">
        <v>46040</v>
      </c>
      <c r="D694" s="15" t="s">
        <v>88</v>
      </c>
      <c r="E694" s="15" t="s">
        <v>69</v>
      </c>
    </row>
    <row r="695" customFormat="false" ht="15" hidden="false" customHeight="false" outlineLevel="0" collapsed="false">
      <c r="A695" s="0" t="s">
        <v>784</v>
      </c>
      <c r="B695" s="0" t="s">
        <v>95</v>
      </c>
      <c r="C695" s="17" t="n">
        <v>46074</v>
      </c>
      <c r="D695" s="15" t="s">
        <v>101</v>
      </c>
      <c r="E695" s="15" t="s">
        <v>75</v>
      </c>
    </row>
    <row r="696" customFormat="false" ht="15" hidden="false" customHeight="false" outlineLevel="0" collapsed="false">
      <c r="A696" s="0" t="s">
        <v>785</v>
      </c>
      <c r="B696" s="0" t="s">
        <v>57</v>
      </c>
      <c r="C696" s="17" t="n">
        <v>46058</v>
      </c>
      <c r="D696" s="15" t="s">
        <v>104</v>
      </c>
      <c r="E696" s="15" t="s">
        <v>69</v>
      </c>
    </row>
    <row r="697" customFormat="false" ht="15" hidden="false" customHeight="false" outlineLevel="0" collapsed="false">
      <c r="A697" s="0" t="s">
        <v>786</v>
      </c>
      <c r="B697" s="0" t="s">
        <v>112</v>
      </c>
      <c r="C697" s="17" t="n">
        <v>46080</v>
      </c>
      <c r="D697" s="15" t="s">
        <v>126</v>
      </c>
      <c r="E697" s="15" t="s">
        <v>109</v>
      </c>
    </row>
    <row r="698" customFormat="false" ht="15" hidden="false" customHeight="false" outlineLevel="0" collapsed="false">
      <c r="A698" s="0" t="s">
        <v>787</v>
      </c>
      <c r="B698" s="0" t="s">
        <v>57</v>
      </c>
      <c r="C698" s="17" t="n">
        <v>46082</v>
      </c>
      <c r="D698" s="15" t="s">
        <v>74</v>
      </c>
      <c r="E698" s="15" t="s">
        <v>62</v>
      </c>
    </row>
    <row r="699" customFormat="false" ht="15" hidden="false" customHeight="false" outlineLevel="0" collapsed="false">
      <c r="A699" s="0" t="s">
        <v>788</v>
      </c>
      <c r="B699" s="0" t="s">
        <v>37</v>
      </c>
      <c r="C699" s="17" t="n">
        <v>46065</v>
      </c>
      <c r="D699" s="15" t="s">
        <v>61</v>
      </c>
      <c r="E699" s="15" t="s">
        <v>109</v>
      </c>
    </row>
    <row r="700" customFormat="false" ht="15" hidden="false" customHeight="false" outlineLevel="0" collapsed="false">
      <c r="A700" s="0" t="s">
        <v>789</v>
      </c>
      <c r="B700" s="0" t="s">
        <v>116</v>
      </c>
      <c r="C700" s="17" t="n">
        <v>46053</v>
      </c>
      <c r="D700" s="15" t="s">
        <v>88</v>
      </c>
      <c r="E700" s="15" t="s">
        <v>69</v>
      </c>
    </row>
    <row r="701" customFormat="false" ht="15" hidden="false" customHeight="false" outlineLevel="0" collapsed="false">
      <c r="A701" s="0" t="s">
        <v>790</v>
      </c>
      <c r="B701" s="0" t="s">
        <v>116</v>
      </c>
      <c r="C701" s="17" t="n">
        <v>46045</v>
      </c>
      <c r="D701" s="15" t="s">
        <v>90</v>
      </c>
      <c r="E701" s="15" t="s">
        <v>109</v>
      </c>
    </row>
    <row r="702" customFormat="false" ht="15" hidden="false" customHeight="false" outlineLevel="0" collapsed="false">
      <c r="A702" s="0" t="s">
        <v>791</v>
      </c>
      <c r="B702" s="0" t="s">
        <v>67</v>
      </c>
      <c r="C702" s="17" t="n">
        <v>46034</v>
      </c>
      <c r="D702" s="15" t="s">
        <v>104</v>
      </c>
      <c r="E702" s="15" t="s">
        <v>59</v>
      </c>
    </row>
    <row r="703" customFormat="false" ht="15" hidden="false" customHeight="false" outlineLevel="0" collapsed="false">
      <c r="A703" s="0" t="s">
        <v>792</v>
      </c>
      <c r="B703" s="0" t="s">
        <v>116</v>
      </c>
      <c r="C703" s="17" t="n">
        <v>46082</v>
      </c>
      <c r="D703" s="15" t="s">
        <v>96</v>
      </c>
      <c r="E703" s="15" t="s">
        <v>85</v>
      </c>
    </row>
    <row r="704" customFormat="false" ht="15" hidden="false" customHeight="false" outlineLevel="0" collapsed="false">
      <c r="A704" s="0" t="s">
        <v>793</v>
      </c>
      <c r="B704" s="0" t="s">
        <v>35</v>
      </c>
      <c r="C704" s="17" t="n">
        <v>46028</v>
      </c>
      <c r="D704" s="15" t="s">
        <v>93</v>
      </c>
      <c r="E704" s="15" t="s">
        <v>97</v>
      </c>
    </row>
    <row r="705" customFormat="false" ht="15" hidden="false" customHeight="false" outlineLevel="0" collapsed="false">
      <c r="A705" s="0" t="s">
        <v>794</v>
      </c>
      <c r="B705" s="0" t="s">
        <v>41</v>
      </c>
      <c r="C705" s="17" t="n">
        <v>46047</v>
      </c>
      <c r="D705" s="15" t="s">
        <v>58</v>
      </c>
      <c r="E705" s="15" t="s">
        <v>59</v>
      </c>
    </row>
    <row r="706" customFormat="false" ht="15" hidden="false" customHeight="false" outlineLevel="0" collapsed="false">
      <c r="A706" s="0" t="s">
        <v>795</v>
      </c>
      <c r="B706" s="0" t="s">
        <v>37</v>
      </c>
      <c r="C706" s="17" t="n">
        <v>46039</v>
      </c>
      <c r="D706" s="15" t="s">
        <v>153</v>
      </c>
      <c r="E706" s="15" t="s">
        <v>59</v>
      </c>
    </row>
    <row r="707" customFormat="false" ht="15" hidden="false" customHeight="false" outlineLevel="0" collapsed="false">
      <c r="A707" s="0" t="s">
        <v>796</v>
      </c>
      <c r="B707" s="0" t="s">
        <v>35</v>
      </c>
      <c r="C707" s="17" t="n">
        <v>46046</v>
      </c>
      <c r="D707" s="15" t="s">
        <v>64</v>
      </c>
      <c r="E707" s="15" t="s">
        <v>59</v>
      </c>
    </row>
    <row r="708" customFormat="false" ht="15" hidden="false" customHeight="false" outlineLevel="0" collapsed="false">
      <c r="A708" s="0" t="s">
        <v>797</v>
      </c>
      <c r="B708" s="0" t="s">
        <v>43</v>
      </c>
      <c r="C708" s="17" t="n">
        <v>46035</v>
      </c>
      <c r="D708" s="15" t="s">
        <v>79</v>
      </c>
      <c r="E708" s="15" t="s">
        <v>97</v>
      </c>
    </row>
    <row r="709" customFormat="false" ht="15" hidden="false" customHeight="false" outlineLevel="0" collapsed="false">
      <c r="A709" s="0" t="s">
        <v>798</v>
      </c>
      <c r="B709" s="0" t="s">
        <v>39</v>
      </c>
      <c r="C709" s="17" t="n">
        <v>46081</v>
      </c>
      <c r="D709" s="15" t="s">
        <v>61</v>
      </c>
      <c r="E709" s="15" t="s">
        <v>85</v>
      </c>
    </row>
    <row r="710" customFormat="false" ht="15" hidden="false" customHeight="false" outlineLevel="0" collapsed="false">
      <c r="A710" s="0" t="s">
        <v>799</v>
      </c>
      <c r="B710" s="0" t="s">
        <v>41</v>
      </c>
      <c r="C710" s="17" t="n">
        <v>46040</v>
      </c>
      <c r="D710" s="15" t="s">
        <v>90</v>
      </c>
      <c r="E710" s="15" t="s">
        <v>69</v>
      </c>
    </row>
    <row r="711" customFormat="false" ht="15" hidden="false" customHeight="false" outlineLevel="0" collapsed="false">
      <c r="A711" s="0" t="s">
        <v>800</v>
      </c>
      <c r="B711" s="0" t="s">
        <v>116</v>
      </c>
      <c r="C711" s="17" t="n">
        <v>46033</v>
      </c>
      <c r="D711" s="15" t="s">
        <v>107</v>
      </c>
      <c r="E711" s="15" t="s">
        <v>69</v>
      </c>
    </row>
    <row r="712" customFormat="false" ht="15" hidden="false" customHeight="false" outlineLevel="0" collapsed="false">
      <c r="A712" s="0" t="s">
        <v>801</v>
      </c>
      <c r="B712" s="0" t="s">
        <v>103</v>
      </c>
      <c r="C712" s="17" t="n">
        <v>46040</v>
      </c>
      <c r="D712" s="15" t="s">
        <v>79</v>
      </c>
      <c r="E712" s="15" t="s">
        <v>65</v>
      </c>
    </row>
    <row r="713" customFormat="false" ht="15" hidden="false" customHeight="false" outlineLevel="0" collapsed="false">
      <c r="A713" s="0" t="s">
        <v>802</v>
      </c>
      <c r="B713" s="0" t="s">
        <v>39</v>
      </c>
      <c r="C713" s="17" t="n">
        <v>46056</v>
      </c>
      <c r="D713" s="15" t="s">
        <v>84</v>
      </c>
      <c r="E713" s="15" t="s">
        <v>85</v>
      </c>
    </row>
    <row r="714" customFormat="false" ht="15" hidden="false" customHeight="false" outlineLevel="0" collapsed="false">
      <c r="A714" s="0" t="s">
        <v>803</v>
      </c>
      <c r="B714" s="0" t="s">
        <v>95</v>
      </c>
      <c r="C714" s="17" t="n">
        <v>46051</v>
      </c>
      <c r="D714" s="15" t="s">
        <v>90</v>
      </c>
      <c r="E714" s="15" t="s">
        <v>172</v>
      </c>
    </row>
    <row r="715" customFormat="false" ht="15" hidden="false" customHeight="false" outlineLevel="0" collapsed="false">
      <c r="A715" s="0" t="s">
        <v>804</v>
      </c>
      <c r="B715" s="0" t="s">
        <v>92</v>
      </c>
      <c r="C715" s="17" t="n">
        <v>46042</v>
      </c>
      <c r="D715" s="15" t="s">
        <v>135</v>
      </c>
      <c r="E715" s="15" t="s">
        <v>85</v>
      </c>
    </row>
    <row r="716" customFormat="false" ht="15" hidden="false" customHeight="false" outlineLevel="0" collapsed="false">
      <c r="A716" s="0" t="s">
        <v>805</v>
      </c>
      <c r="B716" s="0" t="s">
        <v>103</v>
      </c>
      <c r="C716" s="17" t="n">
        <v>46076</v>
      </c>
      <c r="D716" s="15" t="s">
        <v>88</v>
      </c>
      <c r="E716" s="15" t="s">
        <v>69</v>
      </c>
    </row>
    <row r="717" customFormat="false" ht="15" hidden="false" customHeight="false" outlineLevel="0" collapsed="false">
      <c r="A717" s="0" t="s">
        <v>806</v>
      </c>
      <c r="B717" s="0" t="s">
        <v>112</v>
      </c>
      <c r="C717" s="17" t="n">
        <v>46048</v>
      </c>
      <c r="D717" s="15" t="s">
        <v>93</v>
      </c>
      <c r="E717" s="15" t="s">
        <v>62</v>
      </c>
    </row>
    <row r="718" customFormat="false" ht="15" hidden="false" customHeight="false" outlineLevel="0" collapsed="false">
      <c r="A718" s="0" t="s">
        <v>807</v>
      </c>
      <c r="B718" s="0" t="s">
        <v>77</v>
      </c>
      <c r="C718" s="17" t="n">
        <v>46057</v>
      </c>
      <c r="D718" s="15" t="s">
        <v>79</v>
      </c>
      <c r="E718" s="15" t="s">
        <v>62</v>
      </c>
    </row>
    <row r="719" customFormat="false" ht="15" hidden="false" customHeight="false" outlineLevel="0" collapsed="false">
      <c r="A719" s="0" t="s">
        <v>551</v>
      </c>
      <c r="B719" s="0" t="s">
        <v>67</v>
      </c>
      <c r="C719" s="17" t="n">
        <v>46052</v>
      </c>
      <c r="D719" s="15" t="s">
        <v>104</v>
      </c>
      <c r="E719" s="15" t="s">
        <v>65</v>
      </c>
    </row>
    <row r="720" customFormat="false" ht="15" hidden="false" customHeight="false" outlineLevel="0" collapsed="false">
      <c r="A720" s="0" t="s">
        <v>82</v>
      </c>
      <c r="B720" s="0" t="s">
        <v>83</v>
      </c>
      <c r="C720" s="17" t="n">
        <v>46056</v>
      </c>
      <c r="D720" s="15" t="s">
        <v>84</v>
      </c>
      <c r="E720" s="15" t="s">
        <v>85</v>
      </c>
    </row>
    <row r="721" customFormat="false" ht="15" hidden="false" customHeight="false" outlineLevel="0" collapsed="false">
      <c r="A721" s="0" t="s">
        <v>808</v>
      </c>
      <c r="B721" s="0" t="s">
        <v>116</v>
      </c>
      <c r="C721" s="17" t="n">
        <v>46081</v>
      </c>
      <c r="D721" s="15" t="s">
        <v>74</v>
      </c>
      <c r="E721" s="15" t="s">
        <v>65</v>
      </c>
    </row>
    <row r="722" customFormat="false" ht="15" hidden="false" customHeight="false" outlineLevel="0" collapsed="false">
      <c r="A722" s="0" t="s">
        <v>809</v>
      </c>
      <c r="B722" s="0" t="s">
        <v>43</v>
      </c>
      <c r="C722" s="17" t="n">
        <v>46058</v>
      </c>
      <c r="D722" s="15" t="s">
        <v>126</v>
      </c>
      <c r="E722" s="15" t="s">
        <v>65</v>
      </c>
    </row>
    <row r="723" customFormat="false" ht="15" hidden="false" customHeight="false" outlineLevel="0" collapsed="false">
      <c r="A723" s="0" t="s">
        <v>810</v>
      </c>
      <c r="B723" s="0" t="s">
        <v>77</v>
      </c>
      <c r="C723" s="17" t="n">
        <v>46071</v>
      </c>
      <c r="D723" s="15" t="s">
        <v>72</v>
      </c>
      <c r="E723" s="15" t="s">
        <v>85</v>
      </c>
    </row>
    <row r="724" customFormat="false" ht="15" hidden="false" customHeight="false" outlineLevel="0" collapsed="false">
      <c r="A724" s="0" t="s">
        <v>811</v>
      </c>
      <c r="B724" s="0" t="s">
        <v>92</v>
      </c>
      <c r="C724" s="17" t="n">
        <v>46079</v>
      </c>
      <c r="D724" s="15" t="s">
        <v>93</v>
      </c>
      <c r="E724" s="15" t="s">
        <v>85</v>
      </c>
    </row>
    <row r="725" customFormat="false" ht="15" hidden="false" customHeight="false" outlineLevel="0" collapsed="false">
      <c r="A725" s="0" t="s">
        <v>812</v>
      </c>
      <c r="B725" s="0" t="s">
        <v>92</v>
      </c>
      <c r="C725" s="17" t="n">
        <v>46054</v>
      </c>
      <c r="D725" s="15" t="s">
        <v>81</v>
      </c>
      <c r="E725" s="15" t="s">
        <v>148</v>
      </c>
    </row>
    <row r="726" customFormat="false" ht="15" hidden="false" customHeight="false" outlineLevel="0" collapsed="false">
      <c r="A726" s="0" t="s">
        <v>813</v>
      </c>
      <c r="B726" s="0" t="s">
        <v>39</v>
      </c>
      <c r="C726" s="17" t="n">
        <v>46058</v>
      </c>
      <c r="D726" s="15" t="s">
        <v>74</v>
      </c>
      <c r="E726" s="15" t="s">
        <v>85</v>
      </c>
    </row>
    <row r="727" customFormat="false" ht="15" hidden="false" customHeight="false" outlineLevel="0" collapsed="false">
      <c r="A727" s="0" t="s">
        <v>814</v>
      </c>
      <c r="B727" s="0" t="s">
        <v>116</v>
      </c>
      <c r="C727" s="17" t="n">
        <v>46049</v>
      </c>
      <c r="D727" s="15" t="s">
        <v>68</v>
      </c>
      <c r="E727" s="15" t="s">
        <v>97</v>
      </c>
    </row>
    <row r="728" customFormat="false" ht="15" hidden="false" customHeight="false" outlineLevel="0" collapsed="false">
      <c r="A728" s="0" t="s">
        <v>815</v>
      </c>
      <c r="B728" s="0" t="s">
        <v>99</v>
      </c>
      <c r="C728" s="17" t="n">
        <v>46069</v>
      </c>
      <c r="D728" s="15" t="s">
        <v>101</v>
      </c>
      <c r="E728" s="15" t="s">
        <v>85</v>
      </c>
    </row>
    <row r="729" customFormat="false" ht="15" hidden="false" customHeight="false" outlineLevel="0" collapsed="false">
      <c r="A729" s="0" t="s">
        <v>816</v>
      </c>
      <c r="B729" s="0" t="s">
        <v>71</v>
      </c>
      <c r="C729" s="17" t="n">
        <v>46071</v>
      </c>
      <c r="D729" s="15" t="s">
        <v>58</v>
      </c>
      <c r="E729" s="15" t="s">
        <v>59</v>
      </c>
    </row>
    <row r="730" customFormat="false" ht="15" hidden="false" customHeight="false" outlineLevel="0" collapsed="false">
      <c r="A730" s="0" t="s">
        <v>817</v>
      </c>
      <c r="B730" s="0" t="s">
        <v>43</v>
      </c>
      <c r="C730" s="17" t="n">
        <v>46028</v>
      </c>
      <c r="D730" s="15" t="s">
        <v>79</v>
      </c>
      <c r="E730" s="15" t="s">
        <v>109</v>
      </c>
    </row>
    <row r="731" customFormat="false" ht="15" hidden="false" customHeight="false" outlineLevel="0" collapsed="false">
      <c r="A731" s="0" t="s">
        <v>818</v>
      </c>
      <c r="B731" s="0" t="s">
        <v>124</v>
      </c>
      <c r="C731" s="17" t="n">
        <v>46028</v>
      </c>
      <c r="D731" s="15" t="s">
        <v>61</v>
      </c>
      <c r="E731" s="15" t="s">
        <v>65</v>
      </c>
    </row>
    <row r="732" customFormat="false" ht="15" hidden="false" customHeight="false" outlineLevel="0" collapsed="false">
      <c r="A732" s="0" t="s">
        <v>819</v>
      </c>
      <c r="B732" s="0" t="s">
        <v>103</v>
      </c>
      <c r="C732" s="17" t="n">
        <v>46056</v>
      </c>
      <c r="D732" s="15" t="s">
        <v>81</v>
      </c>
      <c r="E732" s="15" t="s">
        <v>85</v>
      </c>
    </row>
    <row r="733" customFormat="false" ht="15" hidden="false" customHeight="false" outlineLevel="0" collapsed="false">
      <c r="A733" s="0" t="s">
        <v>820</v>
      </c>
      <c r="B733" s="0" t="s">
        <v>33</v>
      </c>
      <c r="C733" s="17" t="n">
        <v>46073</v>
      </c>
      <c r="D733" s="15" t="s">
        <v>104</v>
      </c>
      <c r="E733" s="15" t="s">
        <v>148</v>
      </c>
    </row>
    <row r="734" customFormat="false" ht="15" hidden="false" customHeight="false" outlineLevel="0" collapsed="false">
      <c r="A734" s="0" t="s">
        <v>821</v>
      </c>
      <c r="B734" s="0" t="s">
        <v>43</v>
      </c>
      <c r="C734" s="17" t="n">
        <v>46043</v>
      </c>
      <c r="D734" s="15" t="s">
        <v>58</v>
      </c>
      <c r="E734" s="15" t="s">
        <v>85</v>
      </c>
    </row>
    <row r="735" customFormat="false" ht="15" hidden="false" customHeight="false" outlineLevel="0" collapsed="false">
      <c r="A735" s="0" t="s">
        <v>822</v>
      </c>
      <c r="B735" s="0" t="s">
        <v>41</v>
      </c>
      <c r="C735" s="17" t="n">
        <v>46046</v>
      </c>
      <c r="D735" s="15" t="s">
        <v>107</v>
      </c>
      <c r="E735" s="15" t="s">
        <v>172</v>
      </c>
    </row>
    <row r="736" customFormat="false" ht="15" hidden="false" customHeight="false" outlineLevel="0" collapsed="false">
      <c r="A736" s="0" t="s">
        <v>823</v>
      </c>
      <c r="B736" s="0" t="s">
        <v>35</v>
      </c>
      <c r="C736" s="17" t="n">
        <v>46036</v>
      </c>
      <c r="D736" s="15" t="s">
        <v>79</v>
      </c>
      <c r="E736" s="15" t="s">
        <v>59</v>
      </c>
    </row>
    <row r="737" customFormat="false" ht="15" hidden="false" customHeight="false" outlineLevel="0" collapsed="false">
      <c r="A737" s="0" t="s">
        <v>824</v>
      </c>
      <c r="B737" s="0" t="s">
        <v>77</v>
      </c>
      <c r="C737" s="17" t="n">
        <v>46037</v>
      </c>
      <c r="D737" s="15" t="s">
        <v>128</v>
      </c>
      <c r="E737" s="15" t="s">
        <v>69</v>
      </c>
    </row>
    <row r="738" customFormat="false" ht="15" hidden="false" customHeight="false" outlineLevel="0" collapsed="false">
      <c r="A738" s="0" t="s">
        <v>825</v>
      </c>
      <c r="B738" s="0" t="s">
        <v>116</v>
      </c>
      <c r="C738" s="17" t="n">
        <v>46077</v>
      </c>
      <c r="D738" s="15" t="s">
        <v>74</v>
      </c>
      <c r="E738" s="15" t="s">
        <v>62</v>
      </c>
    </row>
    <row r="739" customFormat="false" ht="15" hidden="false" customHeight="false" outlineLevel="0" collapsed="false">
      <c r="A739" s="0" t="s">
        <v>826</v>
      </c>
      <c r="B739" s="0" t="s">
        <v>77</v>
      </c>
      <c r="C739" s="17" t="n">
        <v>46032</v>
      </c>
      <c r="D739" s="15" t="s">
        <v>68</v>
      </c>
      <c r="E739" s="15" t="s">
        <v>62</v>
      </c>
    </row>
    <row r="740" customFormat="false" ht="15" hidden="false" customHeight="false" outlineLevel="0" collapsed="false">
      <c r="A740" s="0" t="s">
        <v>827</v>
      </c>
      <c r="B740" s="0" t="s">
        <v>43</v>
      </c>
      <c r="C740" s="17" t="n">
        <v>46028</v>
      </c>
      <c r="D740" s="15" t="s">
        <v>96</v>
      </c>
      <c r="E740" s="15" t="s">
        <v>59</v>
      </c>
    </row>
    <row r="741" customFormat="false" ht="15" hidden="false" customHeight="false" outlineLevel="0" collapsed="false">
      <c r="A741" s="0" t="s">
        <v>828</v>
      </c>
      <c r="B741" s="0" t="s">
        <v>41</v>
      </c>
      <c r="C741" s="17" t="n">
        <v>46076</v>
      </c>
      <c r="D741" s="15" t="s">
        <v>88</v>
      </c>
      <c r="E741" s="15" t="s">
        <v>69</v>
      </c>
    </row>
    <row r="742" customFormat="false" ht="15" hidden="false" customHeight="false" outlineLevel="0" collapsed="false">
      <c r="A742" s="0" t="s">
        <v>829</v>
      </c>
      <c r="B742" s="0" t="s">
        <v>33</v>
      </c>
      <c r="C742" s="17" t="n">
        <v>46049</v>
      </c>
      <c r="D742" s="15" t="s">
        <v>96</v>
      </c>
      <c r="E742" s="15" t="s">
        <v>75</v>
      </c>
    </row>
    <row r="743" customFormat="false" ht="15" hidden="false" customHeight="false" outlineLevel="0" collapsed="false">
      <c r="A743" s="0" t="s">
        <v>830</v>
      </c>
      <c r="B743" s="0" t="s">
        <v>83</v>
      </c>
      <c r="C743" s="17" t="n">
        <v>46046</v>
      </c>
      <c r="D743" s="15" t="s">
        <v>107</v>
      </c>
      <c r="E743" s="15" t="s">
        <v>69</v>
      </c>
    </row>
    <row r="744" customFormat="false" ht="15" hidden="false" customHeight="false" outlineLevel="0" collapsed="false">
      <c r="A744" s="0" t="s">
        <v>831</v>
      </c>
      <c r="B744" s="0" t="s">
        <v>43</v>
      </c>
      <c r="C744" s="17" t="n">
        <v>46061</v>
      </c>
      <c r="D744" s="15" t="s">
        <v>126</v>
      </c>
      <c r="E744" s="15" t="s">
        <v>85</v>
      </c>
    </row>
    <row r="745" customFormat="false" ht="15" hidden="false" customHeight="false" outlineLevel="0" collapsed="false">
      <c r="A745" s="0" t="s">
        <v>832</v>
      </c>
      <c r="B745" s="0" t="s">
        <v>67</v>
      </c>
      <c r="C745" s="17" t="n">
        <v>46061</v>
      </c>
      <c r="D745" s="15" t="s">
        <v>68</v>
      </c>
      <c r="E745" s="15" t="s">
        <v>65</v>
      </c>
    </row>
    <row r="746" customFormat="false" ht="15" hidden="false" customHeight="false" outlineLevel="0" collapsed="false">
      <c r="A746" s="0" t="s">
        <v>833</v>
      </c>
      <c r="B746" s="0" t="s">
        <v>112</v>
      </c>
      <c r="C746" s="17" t="n">
        <v>46063</v>
      </c>
      <c r="D746" s="15" t="s">
        <v>93</v>
      </c>
      <c r="E746" s="15" t="s">
        <v>85</v>
      </c>
    </row>
    <row r="747" customFormat="false" ht="15" hidden="false" customHeight="false" outlineLevel="0" collapsed="false">
      <c r="A747" s="0" t="s">
        <v>834</v>
      </c>
      <c r="B747" s="0" t="s">
        <v>37</v>
      </c>
      <c r="C747" s="17" t="n">
        <v>46059</v>
      </c>
      <c r="D747" s="15" t="s">
        <v>107</v>
      </c>
      <c r="E747" s="15" t="s">
        <v>62</v>
      </c>
    </row>
    <row r="748" customFormat="false" ht="15" hidden="false" customHeight="false" outlineLevel="0" collapsed="false">
      <c r="A748" s="0" t="s">
        <v>835</v>
      </c>
      <c r="B748" s="0" t="s">
        <v>67</v>
      </c>
      <c r="C748" s="17" t="n">
        <v>46033</v>
      </c>
      <c r="D748" s="15" t="s">
        <v>72</v>
      </c>
      <c r="E748" s="15" t="s">
        <v>148</v>
      </c>
    </row>
    <row r="749" customFormat="false" ht="15" hidden="false" customHeight="false" outlineLevel="0" collapsed="false">
      <c r="A749" s="0" t="s">
        <v>836</v>
      </c>
      <c r="B749" s="0" t="s">
        <v>124</v>
      </c>
      <c r="C749" s="17" t="n">
        <v>46072</v>
      </c>
      <c r="D749" s="15" t="s">
        <v>126</v>
      </c>
      <c r="E749" s="15" t="s">
        <v>59</v>
      </c>
    </row>
    <row r="750" customFormat="false" ht="15" hidden="false" customHeight="false" outlineLevel="0" collapsed="false">
      <c r="A750" s="0" t="s">
        <v>837</v>
      </c>
      <c r="B750" s="0" t="s">
        <v>95</v>
      </c>
      <c r="C750" s="17" t="n">
        <v>46063</v>
      </c>
      <c r="D750" s="15" t="s">
        <v>79</v>
      </c>
      <c r="E750" s="15" t="s">
        <v>109</v>
      </c>
    </row>
    <row r="751" customFormat="false" ht="15" hidden="false" customHeight="false" outlineLevel="0" collapsed="false">
      <c r="A751" s="0" t="s">
        <v>838</v>
      </c>
      <c r="B751" s="0" t="s">
        <v>83</v>
      </c>
      <c r="C751" s="17" t="n">
        <v>46045</v>
      </c>
      <c r="D751" s="15" t="s">
        <v>72</v>
      </c>
      <c r="E751" s="15" t="s">
        <v>151</v>
      </c>
    </row>
    <row r="752" customFormat="false" ht="15" hidden="false" customHeight="false" outlineLevel="0" collapsed="false">
      <c r="A752" s="0" t="s">
        <v>839</v>
      </c>
      <c r="B752" s="0" t="s">
        <v>33</v>
      </c>
      <c r="C752" s="17" t="n">
        <v>46030</v>
      </c>
      <c r="D752" s="15" t="s">
        <v>107</v>
      </c>
      <c r="E752" s="15" t="s">
        <v>97</v>
      </c>
    </row>
    <row r="753" customFormat="false" ht="15" hidden="false" customHeight="false" outlineLevel="0" collapsed="false">
      <c r="A753" s="0" t="s">
        <v>840</v>
      </c>
      <c r="B753" s="0" t="s">
        <v>99</v>
      </c>
      <c r="C753" s="17" t="n">
        <v>46081</v>
      </c>
      <c r="D753" s="15" t="s">
        <v>81</v>
      </c>
      <c r="E753" s="15" t="s">
        <v>65</v>
      </c>
    </row>
    <row r="754" customFormat="false" ht="15" hidden="false" customHeight="false" outlineLevel="0" collapsed="false">
      <c r="A754" s="0" t="s">
        <v>841</v>
      </c>
      <c r="B754" s="0" t="s">
        <v>83</v>
      </c>
      <c r="C754" s="17" t="n">
        <v>46027</v>
      </c>
      <c r="D754" s="15" t="s">
        <v>72</v>
      </c>
      <c r="E754" s="15" t="s">
        <v>172</v>
      </c>
    </row>
    <row r="755" customFormat="false" ht="15" hidden="false" customHeight="false" outlineLevel="0" collapsed="false">
      <c r="A755" s="0" t="s">
        <v>842</v>
      </c>
      <c r="B755" s="0" t="s">
        <v>41</v>
      </c>
      <c r="C755" s="17" t="n">
        <v>46064</v>
      </c>
      <c r="D755" s="15" t="s">
        <v>68</v>
      </c>
      <c r="E755" s="15" t="s">
        <v>105</v>
      </c>
    </row>
    <row r="756" customFormat="false" ht="15" hidden="false" customHeight="false" outlineLevel="0" collapsed="false">
      <c r="A756" s="0" t="s">
        <v>689</v>
      </c>
      <c r="B756" s="0" t="s">
        <v>35</v>
      </c>
      <c r="C756" s="17" t="n">
        <v>46071</v>
      </c>
      <c r="D756" s="15" t="s">
        <v>126</v>
      </c>
      <c r="E756" s="15" t="s">
        <v>85</v>
      </c>
    </row>
    <row r="757" customFormat="false" ht="15" hidden="false" customHeight="false" outlineLevel="0" collapsed="false">
      <c r="A757" s="0" t="s">
        <v>843</v>
      </c>
      <c r="B757" s="0" t="s">
        <v>67</v>
      </c>
      <c r="C757" s="17" t="n">
        <v>46038</v>
      </c>
      <c r="D757" s="15" t="s">
        <v>74</v>
      </c>
      <c r="E757" s="15" t="s">
        <v>69</v>
      </c>
    </row>
    <row r="758" customFormat="false" ht="15" hidden="false" customHeight="false" outlineLevel="0" collapsed="false">
      <c r="A758" s="0" t="s">
        <v>844</v>
      </c>
      <c r="B758" s="0" t="s">
        <v>103</v>
      </c>
      <c r="C758" s="17" t="n">
        <v>46049</v>
      </c>
      <c r="D758" s="15" t="s">
        <v>72</v>
      </c>
      <c r="E758" s="15" t="s">
        <v>97</v>
      </c>
    </row>
    <row r="759" customFormat="false" ht="15" hidden="false" customHeight="false" outlineLevel="0" collapsed="false">
      <c r="A759" s="0" t="s">
        <v>845</v>
      </c>
      <c r="B759" s="0" t="s">
        <v>77</v>
      </c>
      <c r="C759" s="17" t="n">
        <v>46069</v>
      </c>
      <c r="D759" s="15" t="s">
        <v>135</v>
      </c>
      <c r="E759" s="15" t="s">
        <v>97</v>
      </c>
    </row>
    <row r="760" customFormat="false" ht="15" hidden="false" customHeight="false" outlineLevel="0" collapsed="false">
      <c r="A760" s="0" t="s">
        <v>846</v>
      </c>
      <c r="B760" s="0" t="s">
        <v>39</v>
      </c>
      <c r="C760" s="17" t="n">
        <v>46047</v>
      </c>
      <c r="D760" s="15" t="s">
        <v>79</v>
      </c>
      <c r="E760" s="15" t="s">
        <v>59</v>
      </c>
    </row>
    <row r="761" customFormat="false" ht="15" hidden="false" customHeight="false" outlineLevel="0" collapsed="false">
      <c r="A761" s="0" t="s">
        <v>847</v>
      </c>
      <c r="B761" s="0" t="s">
        <v>83</v>
      </c>
      <c r="C761" s="17" t="n">
        <v>46053</v>
      </c>
      <c r="D761" s="15" t="s">
        <v>90</v>
      </c>
      <c r="E761" s="15" t="s">
        <v>85</v>
      </c>
    </row>
    <row r="762" customFormat="false" ht="15" hidden="false" customHeight="false" outlineLevel="0" collapsed="false">
      <c r="A762" s="0" t="s">
        <v>848</v>
      </c>
      <c r="B762" s="0" t="s">
        <v>35</v>
      </c>
      <c r="C762" s="17" t="n">
        <v>46066</v>
      </c>
      <c r="D762" s="15" t="s">
        <v>79</v>
      </c>
      <c r="E762" s="15" t="s">
        <v>109</v>
      </c>
    </row>
    <row r="763" customFormat="false" ht="15" hidden="false" customHeight="false" outlineLevel="0" collapsed="false">
      <c r="A763" s="0" t="s">
        <v>849</v>
      </c>
      <c r="B763" s="0" t="s">
        <v>103</v>
      </c>
      <c r="C763" s="17" t="n">
        <v>46054</v>
      </c>
      <c r="D763" s="15" t="s">
        <v>126</v>
      </c>
      <c r="E763" s="15" t="s">
        <v>65</v>
      </c>
    </row>
    <row r="764" customFormat="false" ht="15" hidden="false" customHeight="false" outlineLevel="0" collapsed="false">
      <c r="A764" s="0" t="s">
        <v>850</v>
      </c>
      <c r="B764" s="0" t="s">
        <v>99</v>
      </c>
      <c r="C764" s="17" t="n">
        <v>46037</v>
      </c>
      <c r="D764" s="15" t="s">
        <v>64</v>
      </c>
      <c r="E764" s="15" t="s">
        <v>97</v>
      </c>
    </row>
    <row r="765" customFormat="false" ht="15" hidden="false" customHeight="false" outlineLevel="0" collapsed="false">
      <c r="A765" s="0" t="s">
        <v>851</v>
      </c>
      <c r="B765" s="0" t="s">
        <v>124</v>
      </c>
      <c r="C765" s="17" t="n">
        <v>46031</v>
      </c>
      <c r="D765" s="15" t="s">
        <v>126</v>
      </c>
      <c r="E765" s="15" t="s">
        <v>65</v>
      </c>
    </row>
    <row r="766" customFormat="false" ht="15" hidden="false" customHeight="false" outlineLevel="0" collapsed="false">
      <c r="A766" s="0" t="s">
        <v>852</v>
      </c>
      <c r="B766" s="0" t="s">
        <v>33</v>
      </c>
      <c r="C766" s="17" t="n">
        <v>46058</v>
      </c>
      <c r="D766" s="15" t="s">
        <v>107</v>
      </c>
      <c r="E766" s="15" t="s">
        <v>65</v>
      </c>
    </row>
    <row r="767" customFormat="false" ht="15" hidden="false" customHeight="false" outlineLevel="0" collapsed="false">
      <c r="A767" s="0" t="s">
        <v>853</v>
      </c>
      <c r="B767" s="0" t="s">
        <v>112</v>
      </c>
      <c r="C767" s="17" t="n">
        <v>46044</v>
      </c>
      <c r="D767" s="15" t="s">
        <v>79</v>
      </c>
      <c r="E767" s="15" t="s">
        <v>85</v>
      </c>
    </row>
    <row r="768" customFormat="false" ht="15" hidden="false" customHeight="false" outlineLevel="0" collapsed="false">
      <c r="A768" s="0" t="s">
        <v>854</v>
      </c>
      <c r="B768" s="0" t="s">
        <v>77</v>
      </c>
      <c r="C768" s="17" t="n">
        <v>46043</v>
      </c>
      <c r="D768" s="15" t="s">
        <v>101</v>
      </c>
      <c r="E768" s="15" t="s">
        <v>151</v>
      </c>
    </row>
    <row r="769" customFormat="false" ht="15" hidden="false" customHeight="false" outlineLevel="0" collapsed="false">
      <c r="A769" s="0" t="s">
        <v>855</v>
      </c>
      <c r="B769" s="0" t="s">
        <v>92</v>
      </c>
      <c r="C769" s="17" t="n">
        <v>46045</v>
      </c>
      <c r="D769" s="15" t="s">
        <v>126</v>
      </c>
      <c r="E769" s="15" t="s">
        <v>97</v>
      </c>
    </row>
    <row r="770" customFormat="false" ht="15" hidden="false" customHeight="false" outlineLevel="0" collapsed="false">
      <c r="A770" s="0" t="s">
        <v>856</v>
      </c>
      <c r="B770" s="0" t="s">
        <v>83</v>
      </c>
      <c r="C770" s="17" t="n">
        <v>46054</v>
      </c>
      <c r="D770" s="15" t="s">
        <v>58</v>
      </c>
      <c r="E770" s="15" t="s">
        <v>69</v>
      </c>
    </row>
    <row r="771" customFormat="false" ht="15" hidden="false" customHeight="false" outlineLevel="0" collapsed="false">
      <c r="A771" s="0" t="s">
        <v>857</v>
      </c>
      <c r="B771" s="0" t="s">
        <v>37</v>
      </c>
      <c r="C771" s="17" t="n">
        <v>46028</v>
      </c>
      <c r="D771" s="15" t="s">
        <v>135</v>
      </c>
      <c r="E771" s="15" t="s">
        <v>148</v>
      </c>
    </row>
    <row r="772" customFormat="false" ht="15" hidden="false" customHeight="false" outlineLevel="0" collapsed="false">
      <c r="A772" s="0" t="s">
        <v>858</v>
      </c>
      <c r="B772" s="0" t="s">
        <v>95</v>
      </c>
      <c r="C772" s="17" t="n">
        <v>46076</v>
      </c>
      <c r="D772" s="15" t="s">
        <v>74</v>
      </c>
      <c r="E772" s="15" t="s">
        <v>97</v>
      </c>
    </row>
    <row r="773" customFormat="false" ht="15" hidden="false" customHeight="false" outlineLevel="0" collapsed="false">
      <c r="A773" s="0" t="s">
        <v>859</v>
      </c>
      <c r="B773" s="0" t="s">
        <v>41</v>
      </c>
      <c r="C773" s="17" t="n">
        <v>46030</v>
      </c>
      <c r="D773" s="15" t="s">
        <v>84</v>
      </c>
      <c r="E773" s="15" t="s">
        <v>69</v>
      </c>
    </row>
    <row r="774" customFormat="false" ht="15" hidden="false" customHeight="false" outlineLevel="0" collapsed="false">
      <c r="A774" s="0" t="s">
        <v>860</v>
      </c>
      <c r="B774" s="0" t="s">
        <v>116</v>
      </c>
      <c r="C774" s="17" t="n">
        <v>46030</v>
      </c>
      <c r="D774" s="15" t="s">
        <v>96</v>
      </c>
      <c r="E774" s="15" t="s">
        <v>65</v>
      </c>
    </row>
    <row r="775" customFormat="false" ht="15" hidden="false" customHeight="false" outlineLevel="0" collapsed="false">
      <c r="A775" s="0" t="s">
        <v>861</v>
      </c>
      <c r="B775" s="0" t="s">
        <v>112</v>
      </c>
      <c r="C775" s="17" t="n">
        <v>46036</v>
      </c>
      <c r="D775" s="15" t="s">
        <v>126</v>
      </c>
      <c r="E775" s="15" t="s">
        <v>62</v>
      </c>
    </row>
    <row r="776" customFormat="false" ht="15" hidden="false" customHeight="false" outlineLevel="0" collapsed="false">
      <c r="A776" s="0" t="s">
        <v>862</v>
      </c>
      <c r="B776" s="0" t="s">
        <v>35</v>
      </c>
      <c r="C776" s="17" t="n">
        <v>46049</v>
      </c>
      <c r="D776" s="15" t="s">
        <v>88</v>
      </c>
      <c r="E776" s="15" t="s">
        <v>97</v>
      </c>
    </row>
    <row r="777" customFormat="false" ht="15" hidden="false" customHeight="false" outlineLevel="0" collapsed="false">
      <c r="A777" s="0" t="s">
        <v>863</v>
      </c>
      <c r="B777" s="0" t="s">
        <v>57</v>
      </c>
      <c r="C777" s="17" t="n">
        <v>46053</v>
      </c>
      <c r="D777" s="15" t="s">
        <v>135</v>
      </c>
      <c r="E777" s="15" t="s">
        <v>105</v>
      </c>
    </row>
    <row r="778" customFormat="false" ht="15" hidden="false" customHeight="false" outlineLevel="0" collapsed="false">
      <c r="A778" s="0" t="s">
        <v>864</v>
      </c>
      <c r="B778" s="0" t="s">
        <v>95</v>
      </c>
      <c r="C778" s="17" t="n">
        <v>46071</v>
      </c>
      <c r="D778" s="15" t="s">
        <v>64</v>
      </c>
      <c r="E778" s="15" t="s">
        <v>85</v>
      </c>
    </row>
    <row r="779" customFormat="false" ht="15" hidden="false" customHeight="false" outlineLevel="0" collapsed="false">
      <c r="A779" s="0" t="s">
        <v>865</v>
      </c>
      <c r="B779" s="0" t="s">
        <v>43</v>
      </c>
      <c r="C779" s="17" t="n">
        <v>46080</v>
      </c>
      <c r="D779" s="15" t="s">
        <v>61</v>
      </c>
      <c r="E779" s="15" t="s">
        <v>97</v>
      </c>
    </row>
    <row r="780" customFormat="false" ht="15" hidden="false" customHeight="false" outlineLevel="0" collapsed="false">
      <c r="A780" s="0" t="s">
        <v>866</v>
      </c>
      <c r="B780" s="0" t="s">
        <v>83</v>
      </c>
      <c r="C780" s="17" t="n">
        <v>46072</v>
      </c>
      <c r="D780" s="15" t="s">
        <v>107</v>
      </c>
      <c r="E780" s="15" t="s">
        <v>59</v>
      </c>
    </row>
    <row r="781" customFormat="false" ht="15" hidden="false" customHeight="false" outlineLevel="0" collapsed="false">
      <c r="A781" s="0" t="s">
        <v>867</v>
      </c>
      <c r="B781" s="0" t="s">
        <v>112</v>
      </c>
      <c r="C781" s="17" t="n">
        <v>46030</v>
      </c>
      <c r="D781" s="15" t="s">
        <v>128</v>
      </c>
      <c r="E781" s="15" t="s">
        <v>62</v>
      </c>
    </row>
    <row r="782" customFormat="false" ht="15" hidden="false" customHeight="false" outlineLevel="0" collapsed="false">
      <c r="A782" s="0" t="s">
        <v>868</v>
      </c>
      <c r="B782" s="0" t="s">
        <v>116</v>
      </c>
      <c r="C782" s="17" t="n">
        <v>46056</v>
      </c>
      <c r="D782" s="15" t="s">
        <v>101</v>
      </c>
      <c r="E782" s="15" t="s">
        <v>62</v>
      </c>
    </row>
    <row r="783" customFormat="false" ht="15" hidden="false" customHeight="false" outlineLevel="0" collapsed="false">
      <c r="A783" s="0" t="s">
        <v>869</v>
      </c>
      <c r="B783" s="0" t="s">
        <v>35</v>
      </c>
      <c r="C783" s="17" t="n">
        <v>46068</v>
      </c>
      <c r="D783" s="15" t="s">
        <v>88</v>
      </c>
      <c r="E783" s="15" t="s">
        <v>65</v>
      </c>
    </row>
    <row r="784" customFormat="false" ht="15" hidden="false" customHeight="false" outlineLevel="0" collapsed="false">
      <c r="A784" s="0" t="s">
        <v>870</v>
      </c>
      <c r="B784" s="0" t="s">
        <v>112</v>
      </c>
      <c r="C784" s="17" t="n">
        <v>46076</v>
      </c>
      <c r="D784" s="15" t="s">
        <v>64</v>
      </c>
      <c r="E784" s="15" t="s">
        <v>65</v>
      </c>
    </row>
    <row r="785" customFormat="false" ht="15" hidden="false" customHeight="false" outlineLevel="0" collapsed="false">
      <c r="A785" s="0" t="s">
        <v>871</v>
      </c>
      <c r="B785" s="0" t="s">
        <v>95</v>
      </c>
      <c r="C785" s="17" t="n">
        <v>46037</v>
      </c>
      <c r="D785" s="15" t="s">
        <v>88</v>
      </c>
      <c r="E785" s="15" t="s">
        <v>59</v>
      </c>
    </row>
    <row r="786" customFormat="false" ht="15" hidden="false" customHeight="false" outlineLevel="0" collapsed="false">
      <c r="A786" s="0" t="s">
        <v>872</v>
      </c>
      <c r="B786" s="0" t="s">
        <v>99</v>
      </c>
      <c r="C786" s="17" t="n">
        <v>46028</v>
      </c>
      <c r="D786" s="15" t="s">
        <v>90</v>
      </c>
      <c r="E786" s="15" t="s">
        <v>148</v>
      </c>
    </row>
    <row r="787" customFormat="false" ht="15" hidden="false" customHeight="false" outlineLevel="0" collapsed="false">
      <c r="A787" s="0" t="s">
        <v>873</v>
      </c>
      <c r="B787" s="0" t="s">
        <v>116</v>
      </c>
      <c r="C787" s="17" t="n">
        <v>46047</v>
      </c>
      <c r="D787" s="15" t="s">
        <v>101</v>
      </c>
      <c r="E787" s="15" t="s">
        <v>59</v>
      </c>
    </row>
    <row r="788" customFormat="false" ht="15" hidden="false" customHeight="false" outlineLevel="0" collapsed="false">
      <c r="A788" s="0" t="s">
        <v>874</v>
      </c>
      <c r="B788" s="0" t="s">
        <v>99</v>
      </c>
      <c r="C788" s="17" t="n">
        <v>46066</v>
      </c>
      <c r="D788" s="15" t="s">
        <v>61</v>
      </c>
      <c r="E788" s="15" t="s">
        <v>69</v>
      </c>
    </row>
    <row r="789" customFormat="false" ht="15" hidden="false" customHeight="false" outlineLevel="0" collapsed="false">
      <c r="A789" s="0" t="s">
        <v>875</v>
      </c>
      <c r="B789" s="0" t="s">
        <v>41</v>
      </c>
      <c r="C789" s="17" t="n">
        <v>46079</v>
      </c>
      <c r="D789" s="15" t="s">
        <v>153</v>
      </c>
      <c r="E789" s="15" t="s">
        <v>59</v>
      </c>
    </row>
    <row r="790" customFormat="false" ht="15" hidden="false" customHeight="false" outlineLevel="0" collapsed="false">
      <c r="A790" s="0" t="s">
        <v>876</v>
      </c>
      <c r="B790" s="0" t="s">
        <v>67</v>
      </c>
      <c r="C790" s="17" t="n">
        <v>46077</v>
      </c>
      <c r="D790" s="15" t="s">
        <v>84</v>
      </c>
      <c r="E790" s="15" t="s">
        <v>65</v>
      </c>
    </row>
    <row r="791" customFormat="false" ht="15" hidden="false" customHeight="false" outlineLevel="0" collapsed="false">
      <c r="A791" s="0" t="s">
        <v>877</v>
      </c>
      <c r="B791" s="0" t="s">
        <v>67</v>
      </c>
      <c r="C791" s="17" t="n">
        <v>46067</v>
      </c>
      <c r="D791" s="15" t="s">
        <v>107</v>
      </c>
      <c r="E791" s="15" t="s">
        <v>59</v>
      </c>
    </row>
    <row r="792" customFormat="false" ht="15" hidden="false" customHeight="false" outlineLevel="0" collapsed="false">
      <c r="A792" s="0" t="s">
        <v>878</v>
      </c>
      <c r="B792" s="0" t="s">
        <v>77</v>
      </c>
      <c r="C792" s="17" t="n">
        <v>46065</v>
      </c>
      <c r="D792" s="15" t="s">
        <v>84</v>
      </c>
      <c r="E792" s="15" t="s">
        <v>151</v>
      </c>
    </row>
    <row r="793" customFormat="false" ht="15" hidden="false" customHeight="false" outlineLevel="0" collapsed="false">
      <c r="A793" s="0" t="s">
        <v>879</v>
      </c>
      <c r="B793" s="0" t="s">
        <v>57</v>
      </c>
      <c r="C793" s="17" t="n">
        <v>46036</v>
      </c>
      <c r="D793" s="15" t="s">
        <v>84</v>
      </c>
      <c r="E793" s="15" t="s">
        <v>65</v>
      </c>
    </row>
    <row r="794" customFormat="false" ht="15" hidden="false" customHeight="false" outlineLevel="0" collapsed="false">
      <c r="A794" s="0" t="s">
        <v>880</v>
      </c>
      <c r="B794" s="0" t="s">
        <v>39</v>
      </c>
      <c r="C794" s="17" t="n">
        <v>46071</v>
      </c>
      <c r="D794" s="15" t="s">
        <v>84</v>
      </c>
      <c r="E794" s="15" t="s">
        <v>59</v>
      </c>
    </row>
    <row r="795" customFormat="false" ht="15" hidden="false" customHeight="false" outlineLevel="0" collapsed="false">
      <c r="A795" s="0" t="s">
        <v>881</v>
      </c>
      <c r="B795" s="0" t="s">
        <v>41</v>
      </c>
      <c r="C795" s="17" t="n">
        <v>46051</v>
      </c>
      <c r="D795" s="15" t="s">
        <v>81</v>
      </c>
      <c r="E795" s="15" t="s">
        <v>69</v>
      </c>
    </row>
    <row r="796" customFormat="false" ht="15" hidden="false" customHeight="false" outlineLevel="0" collapsed="false">
      <c r="A796" s="0" t="s">
        <v>882</v>
      </c>
      <c r="B796" s="0" t="s">
        <v>92</v>
      </c>
      <c r="C796" s="17" t="n">
        <v>46045</v>
      </c>
      <c r="D796" s="15" t="s">
        <v>58</v>
      </c>
      <c r="E796" s="15" t="s">
        <v>59</v>
      </c>
    </row>
    <row r="797" customFormat="false" ht="15" hidden="false" customHeight="false" outlineLevel="0" collapsed="false">
      <c r="A797" s="0" t="s">
        <v>883</v>
      </c>
      <c r="B797" s="0" t="s">
        <v>112</v>
      </c>
      <c r="C797" s="17" t="n">
        <v>46049</v>
      </c>
      <c r="D797" s="15" t="s">
        <v>61</v>
      </c>
      <c r="E797" s="15" t="s">
        <v>85</v>
      </c>
    </row>
    <row r="798" customFormat="false" ht="15" hidden="false" customHeight="false" outlineLevel="0" collapsed="false">
      <c r="A798" s="0" t="s">
        <v>884</v>
      </c>
      <c r="B798" s="0" t="s">
        <v>41</v>
      </c>
      <c r="C798" s="17" t="n">
        <v>46070</v>
      </c>
      <c r="D798" s="15" t="s">
        <v>107</v>
      </c>
      <c r="E798" s="15" t="s">
        <v>85</v>
      </c>
    </row>
    <row r="799" customFormat="false" ht="15" hidden="false" customHeight="false" outlineLevel="0" collapsed="false">
      <c r="A799" s="0" t="s">
        <v>885</v>
      </c>
      <c r="B799" s="0" t="s">
        <v>39</v>
      </c>
      <c r="C799" s="17" t="n">
        <v>46063</v>
      </c>
      <c r="D799" s="15" t="s">
        <v>90</v>
      </c>
      <c r="E799" s="15" t="s">
        <v>97</v>
      </c>
    </row>
    <row r="800" customFormat="false" ht="15" hidden="false" customHeight="false" outlineLevel="0" collapsed="false">
      <c r="A800" s="0" t="s">
        <v>886</v>
      </c>
      <c r="B800" s="0" t="s">
        <v>103</v>
      </c>
      <c r="C800" s="17" t="n">
        <v>46034</v>
      </c>
      <c r="D800" s="15" t="s">
        <v>58</v>
      </c>
      <c r="E800" s="15" t="s">
        <v>105</v>
      </c>
    </row>
    <row r="801" customFormat="false" ht="15" hidden="false" customHeight="false" outlineLevel="0" collapsed="false">
      <c r="A801" s="0" t="s">
        <v>887</v>
      </c>
      <c r="B801" s="0" t="s">
        <v>35</v>
      </c>
      <c r="C801" s="17" t="n">
        <v>46041</v>
      </c>
      <c r="D801" s="15" t="s">
        <v>126</v>
      </c>
      <c r="E801" s="15" t="s">
        <v>69</v>
      </c>
    </row>
    <row r="802" customFormat="false" ht="15" hidden="false" customHeight="false" outlineLevel="0" collapsed="false">
      <c r="A802" s="0" t="s">
        <v>888</v>
      </c>
      <c r="B802" s="0" t="s">
        <v>116</v>
      </c>
      <c r="C802" s="17" t="n">
        <v>46064</v>
      </c>
      <c r="D802" s="15" t="s">
        <v>153</v>
      </c>
      <c r="E802" s="15" t="s">
        <v>75</v>
      </c>
    </row>
    <row r="803" customFormat="false" ht="15" hidden="false" customHeight="false" outlineLevel="0" collapsed="false">
      <c r="A803" s="0" t="s">
        <v>889</v>
      </c>
      <c r="B803" s="0" t="s">
        <v>92</v>
      </c>
      <c r="C803" s="17" t="n">
        <v>46044</v>
      </c>
      <c r="D803" s="15" t="s">
        <v>61</v>
      </c>
      <c r="E803" s="15" t="s">
        <v>85</v>
      </c>
    </row>
    <row r="804" customFormat="false" ht="15" hidden="false" customHeight="false" outlineLevel="0" collapsed="false">
      <c r="A804" s="0" t="s">
        <v>890</v>
      </c>
      <c r="B804" s="0" t="s">
        <v>71</v>
      </c>
      <c r="C804" s="17" t="n">
        <v>46040</v>
      </c>
      <c r="D804" s="15" t="s">
        <v>101</v>
      </c>
      <c r="E804" s="15" t="s">
        <v>69</v>
      </c>
    </row>
    <row r="805" customFormat="false" ht="15" hidden="false" customHeight="false" outlineLevel="0" collapsed="false">
      <c r="A805" s="0" t="s">
        <v>891</v>
      </c>
      <c r="B805" s="0" t="s">
        <v>71</v>
      </c>
      <c r="C805" s="17" t="n">
        <v>46051</v>
      </c>
      <c r="D805" s="15" t="s">
        <v>128</v>
      </c>
      <c r="E805" s="15" t="s">
        <v>65</v>
      </c>
    </row>
    <row r="806" customFormat="false" ht="15" hidden="false" customHeight="false" outlineLevel="0" collapsed="false">
      <c r="A806" s="0" t="s">
        <v>892</v>
      </c>
      <c r="B806" s="0" t="s">
        <v>77</v>
      </c>
      <c r="C806" s="17" t="n">
        <v>46053</v>
      </c>
      <c r="D806" s="15" t="s">
        <v>64</v>
      </c>
      <c r="E806" s="15" t="s">
        <v>97</v>
      </c>
    </row>
    <row r="807" customFormat="false" ht="15" hidden="false" customHeight="false" outlineLevel="0" collapsed="false">
      <c r="A807" s="0" t="s">
        <v>893</v>
      </c>
      <c r="B807" s="0" t="s">
        <v>71</v>
      </c>
      <c r="C807" s="17" t="n">
        <v>46070</v>
      </c>
      <c r="D807" s="15" t="s">
        <v>58</v>
      </c>
      <c r="E807" s="15" t="s">
        <v>65</v>
      </c>
    </row>
    <row r="808" customFormat="false" ht="15" hidden="false" customHeight="false" outlineLevel="0" collapsed="false">
      <c r="A808" s="0" t="s">
        <v>894</v>
      </c>
      <c r="B808" s="0" t="s">
        <v>124</v>
      </c>
      <c r="C808" s="17" t="n">
        <v>46053</v>
      </c>
      <c r="D808" s="15" t="s">
        <v>153</v>
      </c>
      <c r="E808" s="15" t="s">
        <v>85</v>
      </c>
    </row>
    <row r="809" customFormat="false" ht="15" hidden="false" customHeight="false" outlineLevel="0" collapsed="false">
      <c r="A809" s="0" t="s">
        <v>895</v>
      </c>
      <c r="B809" s="0" t="s">
        <v>43</v>
      </c>
      <c r="C809" s="17" t="n">
        <v>46038</v>
      </c>
      <c r="D809" s="15" t="s">
        <v>90</v>
      </c>
      <c r="E809" s="15" t="s">
        <v>69</v>
      </c>
    </row>
    <row r="810" customFormat="false" ht="15" hidden="false" customHeight="false" outlineLevel="0" collapsed="false">
      <c r="A810" s="0" t="s">
        <v>685</v>
      </c>
      <c r="B810" s="0" t="s">
        <v>103</v>
      </c>
      <c r="C810" s="17" t="n">
        <v>46050</v>
      </c>
      <c r="D810" s="15" t="s">
        <v>107</v>
      </c>
      <c r="E810" s="15" t="s">
        <v>65</v>
      </c>
    </row>
    <row r="811" customFormat="false" ht="15" hidden="false" customHeight="false" outlineLevel="0" collapsed="false">
      <c r="A811" s="0" t="s">
        <v>896</v>
      </c>
      <c r="B811" s="0" t="s">
        <v>39</v>
      </c>
      <c r="C811" s="17" t="n">
        <v>46068</v>
      </c>
      <c r="D811" s="15" t="s">
        <v>90</v>
      </c>
      <c r="E811" s="15" t="s">
        <v>65</v>
      </c>
    </row>
    <row r="812" customFormat="false" ht="15" hidden="false" customHeight="false" outlineLevel="0" collapsed="false">
      <c r="A812" s="0" t="s">
        <v>897</v>
      </c>
      <c r="B812" s="0" t="s">
        <v>71</v>
      </c>
      <c r="C812" s="17" t="n">
        <v>46054</v>
      </c>
      <c r="D812" s="15" t="s">
        <v>101</v>
      </c>
      <c r="E812" s="15" t="s">
        <v>59</v>
      </c>
    </row>
    <row r="813" customFormat="false" ht="15" hidden="false" customHeight="false" outlineLevel="0" collapsed="false">
      <c r="A813" s="0" t="s">
        <v>898</v>
      </c>
      <c r="B813" s="0" t="s">
        <v>116</v>
      </c>
      <c r="C813" s="17" t="n">
        <v>46070</v>
      </c>
      <c r="D813" s="15" t="s">
        <v>81</v>
      </c>
      <c r="E813" s="15" t="s">
        <v>59</v>
      </c>
    </row>
    <row r="814" customFormat="false" ht="15" hidden="false" customHeight="false" outlineLevel="0" collapsed="false">
      <c r="A814" s="0" t="s">
        <v>899</v>
      </c>
      <c r="B814" s="0" t="s">
        <v>83</v>
      </c>
      <c r="C814" s="17" t="n">
        <v>46035</v>
      </c>
      <c r="D814" s="15" t="s">
        <v>128</v>
      </c>
      <c r="E814" s="15" t="s">
        <v>69</v>
      </c>
    </row>
    <row r="815" customFormat="false" ht="15" hidden="false" customHeight="false" outlineLevel="0" collapsed="false">
      <c r="A815" s="0" t="s">
        <v>900</v>
      </c>
      <c r="B815" s="0" t="s">
        <v>33</v>
      </c>
      <c r="C815" s="17" t="n">
        <v>46039</v>
      </c>
      <c r="D815" s="15" t="s">
        <v>81</v>
      </c>
      <c r="E815" s="15" t="s">
        <v>59</v>
      </c>
    </row>
    <row r="816" customFormat="false" ht="15" hidden="false" customHeight="false" outlineLevel="0" collapsed="false">
      <c r="A816" s="0" t="s">
        <v>901</v>
      </c>
      <c r="B816" s="0" t="s">
        <v>124</v>
      </c>
      <c r="C816" s="17" t="n">
        <v>46028</v>
      </c>
      <c r="D816" s="15" t="s">
        <v>74</v>
      </c>
      <c r="E816" s="15" t="s">
        <v>59</v>
      </c>
    </row>
    <row r="817" customFormat="false" ht="15" hidden="false" customHeight="false" outlineLevel="0" collapsed="false">
      <c r="A817" s="0" t="s">
        <v>902</v>
      </c>
      <c r="B817" s="0" t="s">
        <v>71</v>
      </c>
      <c r="C817" s="17" t="n">
        <v>46027</v>
      </c>
      <c r="D817" s="15" t="s">
        <v>58</v>
      </c>
      <c r="E817" s="15" t="s">
        <v>85</v>
      </c>
    </row>
    <row r="818" customFormat="false" ht="15" hidden="false" customHeight="false" outlineLevel="0" collapsed="false">
      <c r="A818" s="0" t="s">
        <v>903</v>
      </c>
      <c r="B818" s="0" t="s">
        <v>116</v>
      </c>
      <c r="C818" s="17" t="n">
        <v>46036</v>
      </c>
      <c r="D818" s="15" t="s">
        <v>93</v>
      </c>
      <c r="E818" s="15" t="s">
        <v>65</v>
      </c>
    </row>
    <row r="819" customFormat="false" ht="15" hidden="false" customHeight="false" outlineLevel="0" collapsed="false">
      <c r="A819" s="0" t="s">
        <v>904</v>
      </c>
      <c r="B819" s="0" t="s">
        <v>35</v>
      </c>
      <c r="C819" s="17" t="n">
        <v>46078</v>
      </c>
      <c r="D819" s="15" t="s">
        <v>96</v>
      </c>
      <c r="E819" s="15" t="s">
        <v>62</v>
      </c>
    </row>
    <row r="820" customFormat="false" ht="15" hidden="false" customHeight="false" outlineLevel="0" collapsed="false">
      <c r="A820" s="0" t="s">
        <v>905</v>
      </c>
      <c r="B820" s="0" t="s">
        <v>67</v>
      </c>
      <c r="C820" s="17" t="n">
        <v>46041</v>
      </c>
      <c r="D820" s="15" t="s">
        <v>153</v>
      </c>
      <c r="E820" s="15" t="s">
        <v>59</v>
      </c>
    </row>
    <row r="821" customFormat="false" ht="15" hidden="false" customHeight="false" outlineLevel="0" collapsed="false">
      <c r="A821" s="0" t="s">
        <v>906</v>
      </c>
      <c r="B821" s="0" t="s">
        <v>99</v>
      </c>
      <c r="C821" s="17" t="n">
        <v>46037</v>
      </c>
      <c r="D821" s="15" t="s">
        <v>153</v>
      </c>
      <c r="E821" s="15" t="s">
        <v>62</v>
      </c>
    </row>
    <row r="822" customFormat="false" ht="15" hidden="false" customHeight="false" outlineLevel="0" collapsed="false">
      <c r="A822" s="0" t="s">
        <v>907</v>
      </c>
      <c r="B822" s="0" t="s">
        <v>124</v>
      </c>
      <c r="C822" s="17" t="n">
        <v>46045</v>
      </c>
      <c r="D822" s="15" t="s">
        <v>79</v>
      </c>
      <c r="E822" s="15" t="s">
        <v>65</v>
      </c>
    </row>
    <row r="823" customFormat="false" ht="15" hidden="false" customHeight="false" outlineLevel="0" collapsed="false">
      <c r="A823" s="0" t="s">
        <v>908</v>
      </c>
      <c r="B823" s="0" t="s">
        <v>71</v>
      </c>
      <c r="C823" s="17" t="n">
        <v>46029</v>
      </c>
      <c r="D823" s="15" t="s">
        <v>81</v>
      </c>
      <c r="E823" s="15" t="s">
        <v>59</v>
      </c>
    </row>
    <row r="824" customFormat="false" ht="15" hidden="false" customHeight="false" outlineLevel="0" collapsed="false">
      <c r="A824" s="0" t="s">
        <v>909</v>
      </c>
      <c r="B824" s="0" t="s">
        <v>57</v>
      </c>
      <c r="C824" s="17" t="n">
        <v>46056</v>
      </c>
      <c r="D824" s="15" t="s">
        <v>88</v>
      </c>
      <c r="E824" s="15" t="s">
        <v>69</v>
      </c>
    </row>
    <row r="825" customFormat="false" ht="15" hidden="false" customHeight="false" outlineLevel="0" collapsed="false">
      <c r="A825" s="0" t="s">
        <v>910</v>
      </c>
      <c r="B825" s="0" t="s">
        <v>71</v>
      </c>
      <c r="C825" s="17" t="n">
        <v>46042</v>
      </c>
      <c r="D825" s="15" t="s">
        <v>72</v>
      </c>
      <c r="E825" s="15" t="s">
        <v>69</v>
      </c>
    </row>
    <row r="826" customFormat="false" ht="15" hidden="false" customHeight="false" outlineLevel="0" collapsed="false">
      <c r="A826" s="0" t="s">
        <v>911</v>
      </c>
      <c r="B826" s="0" t="s">
        <v>37</v>
      </c>
      <c r="C826" s="17" t="n">
        <v>46029</v>
      </c>
      <c r="D826" s="15" t="s">
        <v>79</v>
      </c>
      <c r="E826" s="15" t="s">
        <v>151</v>
      </c>
    </row>
    <row r="827" customFormat="false" ht="15" hidden="false" customHeight="false" outlineLevel="0" collapsed="false">
      <c r="A827" s="0" t="s">
        <v>912</v>
      </c>
      <c r="B827" s="0" t="s">
        <v>71</v>
      </c>
      <c r="C827" s="17" t="n">
        <v>46045</v>
      </c>
      <c r="D827" s="15" t="s">
        <v>58</v>
      </c>
      <c r="E827" s="15" t="s">
        <v>97</v>
      </c>
    </row>
    <row r="828" customFormat="false" ht="15" hidden="false" customHeight="false" outlineLevel="0" collapsed="false">
      <c r="A828" s="0" t="s">
        <v>913</v>
      </c>
      <c r="B828" s="0" t="s">
        <v>33</v>
      </c>
      <c r="C828" s="17" t="n">
        <v>46080</v>
      </c>
      <c r="D828" s="15" t="s">
        <v>104</v>
      </c>
      <c r="E828" s="15" t="s">
        <v>69</v>
      </c>
    </row>
    <row r="829" customFormat="false" ht="15" hidden="false" customHeight="false" outlineLevel="0" collapsed="false">
      <c r="A829" s="0" t="s">
        <v>914</v>
      </c>
      <c r="B829" s="0" t="s">
        <v>67</v>
      </c>
      <c r="C829" s="17" t="n">
        <v>46054</v>
      </c>
      <c r="D829" s="15" t="s">
        <v>72</v>
      </c>
      <c r="E829" s="15" t="s">
        <v>85</v>
      </c>
    </row>
    <row r="830" customFormat="false" ht="15" hidden="false" customHeight="false" outlineLevel="0" collapsed="false">
      <c r="A830" s="0" t="s">
        <v>915</v>
      </c>
      <c r="B830" s="0" t="s">
        <v>103</v>
      </c>
      <c r="C830" s="17" t="n">
        <v>46074</v>
      </c>
      <c r="D830" s="15" t="s">
        <v>88</v>
      </c>
      <c r="E830" s="15" t="s">
        <v>148</v>
      </c>
    </row>
    <row r="831" customFormat="false" ht="15" hidden="false" customHeight="false" outlineLevel="0" collapsed="false">
      <c r="A831" s="0" t="s">
        <v>916</v>
      </c>
      <c r="B831" s="0" t="s">
        <v>92</v>
      </c>
      <c r="C831" s="17" t="n">
        <v>46056</v>
      </c>
      <c r="D831" s="15" t="s">
        <v>79</v>
      </c>
      <c r="E831" s="15" t="s">
        <v>109</v>
      </c>
    </row>
    <row r="832" customFormat="false" ht="15" hidden="false" customHeight="false" outlineLevel="0" collapsed="false">
      <c r="A832" s="0" t="s">
        <v>917</v>
      </c>
      <c r="B832" s="0" t="s">
        <v>41</v>
      </c>
      <c r="C832" s="17" t="n">
        <v>46058</v>
      </c>
      <c r="D832" s="15" t="s">
        <v>107</v>
      </c>
      <c r="E832" s="15" t="s">
        <v>85</v>
      </c>
    </row>
    <row r="833" customFormat="false" ht="15" hidden="false" customHeight="false" outlineLevel="0" collapsed="false">
      <c r="A833" s="0" t="s">
        <v>918</v>
      </c>
      <c r="B833" s="0" t="s">
        <v>103</v>
      </c>
      <c r="C833" s="17" t="n">
        <v>46064</v>
      </c>
      <c r="D833" s="15" t="s">
        <v>72</v>
      </c>
      <c r="E833" s="15" t="s">
        <v>97</v>
      </c>
    </row>
    <row r="834" customFormat="false" ht="15" hidden="false" customHeight="false" outlineLevel="0" collapsed="false">
      <c r="A834" s="0" t="s">
        <v>919</v>
      </c>
      <c r="B834" s="0" t="s">
        <v>99</v>
      </c>
      <c r="C834" s="17" t="n">
        <v>46066</v>
      </c>
      <c r="D834" s="15" t="s">
        <v>72</v>
      </c>
      <c r="E834" s="15" t="s">
        <v>85</v>
      </c>
    </row>
    <row r="835" customFormat="false" ht="15" hidden="false" customHeight="false" outlineLevel="0" collapsed="false">
      <c r="A835" s="0" t="s">
        <v>920</v>
      </c>
      <c r="B835" s="0" t="s">
        <v>116</v>
      </c>
      <c r="C835" s="17" t="n">
        <v>46045</v>
      </c>
      <c r="D835" s="15" t="s">
        <v>153</v>
      </c>
      <c r="E835" s="15" t="s">
        <v>59</v>
      </c>
    </row>
    <row r="836" customFormat="false" ht="15" hidden="false" customHeight="false" outlineLevel="0" collapsed="false">
      <c r="A836" s="0" t="s">
        <v>921</v>
      </c>
      <c r="B836" s="0" t="s">
        <v>124</v>
      </c>
      <c r="C836" s="17" t="n">
        <v>46032</v>
      </c>
      <c r="D836" s="15" t="s">
        <v>93</v>
      </c>
      <c r="E836" s="15" t="s">
        <v>85</v>
      </c>
    </row>
    <row r="837" customFormat="false" ht="15" hidden="false" customHeight="false" outlineLevel="0" collapsed="false">
      <c r="A837" s="0" t="s">
        <v>922</v>
      </c>
      <c r="B837" s="0" t="s">
        <v>71</v>
      </c>
      <c r="C837" s="17" t="n">
        <v>46033</v>
      </c>
      <c r="D837" s="15" t="s">
        <v>90</v>
      </c>
      <c r="E837" s="15" t="s">
        <v>59</v>
      </c>
    </row>
    <row r="838" customFormat="false" ht="15" hidden="false" customHeight="false" outlineLevel="0" collapsed="false">
      <c r="A838" s="0" t="s">
        <v>923</v>
      </c>
      <c r="B838" s="0" t="s">
        <v>33</v>
      </c>
      <c r="C838" s="17" t="n">
        <v>46069</v>
      </c>
      <c r="D838" s="15" t="s">
        <v>104</v>
      </c>
      <c r="E838" s="15" t="s">
        <v>69</v>
      </c>
    </row>
    <row r="839" customFormat="false" ht="15" hidden="false" customHeight="false" outlineLevel="0" collapsed="false">
      <c r="A839" s="0" t="s">
        <v>772</v>
      </c>
      <c r="B839" s="0" t="s">
        <v>77</v>
      </c>
      <c r="C839" s="17" t="n">
        <v>46047</v>
      </c>
      <c r="D839" s="15" t="s">
        <v>68</v>
      </c>
      <c r="E839" s="15" t="s">
        <v>59</v>
      </c>
    </row>
    <row r="840" customFormat="false" ht="15" hidden="false" customHeight="false" outlineLevel="0" collapsed="false">
      <c r="A840" s="0" t="s">
        <v>924</v>
      </c>
      <c r="B840" s="0" t="s">
        <v>92</v>
      </c>
      <c r="C840" s="17" t="n">
        <v>46030</v>
      </c>
      <c r="D840" s="15" t="s">
        <v>74</v>
      </c>
      <c r="E840" s="15" t="s">
        <v>62</v>
      </c>
    </row>
    <row r="841" customFormat="false" ht="15" hidden="false" customHeight="false" outlineLevel="0" collapsed="false">
      <c r="A841" s="0" t="s">
        <v>925</v>
      </c>
      <c r="B841" s="0" t="s">
        <v>67</v>
      </c>
      <c r="C841" s="17" t="n">
        <v>46075</v>
      </c>
      <c r="D841" s="15" t="s">
        <v>81</v>
      </c>
      <c r="E841" s="15" t="s">
        <v>85</v>
      </c>
    </row>
    <row r="842" customFormat="false" ht="15" hidden="false" customHeight="false" outlineLevel="0" collapsed="false">
      <c r="A842" s="0" t="s">
        <v>926</v>
      </c>
      <c r="B842" s="0" t="s">
        <v>33</v>
      </c>
      <c r="C842" s="17" t="n">
        <v>46079</v>
      </c>
      <c r="D842" s="15" t="s">
        <v>68</v>
      </c>
      <c r="E842" s="15" t="s">
        <v>97</v>
      </c>
    </row>
    <row r="843" customFormat="false" ht="15" hidden="false" customHeight="false" outlineLevel="0" collapsed="false">
      <c r="A843" s="0" t="s">
        <v>927</v>
      </c>
      <c r="B843" s="0" t="s">
        <v>35</v>
      </c>
      <c r="C843" s="17" t="n">
        <v>46066</v>
      </c>
      <c r="D843" s="15" t="s">
        <v>74</v>
      </c>
      <c r="E843" s="15" t="s">
        <v>85</v>
      </c>
    </row>
    <row r="844" customFormat="false" ht="15" hidden="false" customHeight="false" outlineLevel="0" collapsed="false">
      <c r="A844" s="0" t="s">
        <v>928</v>
      </c>
      <c r="B844" s="0" t="s">
        <v>67</v>
      </c>
      <c r="C844" s="17" t="n">
        <v>46059</v>
      </c>
      <c r="D844" s="15" t="s">
        <v>74</v>
      </c>
      <c r="E844" s="15" t="s">
        <v>69</v>
      </c>
    </row>
    <row r="845" customFormat="false" ht="15" hidden="false" customHeight="false" outlineLevel="0" collapsed="false">
      <c r="A845" s="0" t="s">
        <v>929</v>
      </c>
      <c r="B845" s="0" t="s">
        <v>116</v>
      </c>
      <c r="C845" s="17" t="n">
        <v>46052</v>
      </c>
      <c r="D845" s="15" t="s">
        <v>126</v>
      </c>
      <c r="E845" s="15" t="s">
        <v>69</v>
      </c>
    </row>
    <row r="846" customFormat="false" ht="15" hidden="false" customHeight="false" outlineLevel="0" collapsed="false">
      <c r="A846" s="0" t="s">
        <v>322</v>
      </c>
      <c r="B846" s="0" t="s">
        <v>77</v>
      </c>
      <c r="C846" s="17" t="n">
        <v>46069</v>
      </c>
      <c r="D846" s="15" t="s">
        <v>90</v>
      </c>
      <c r="E846" s="15" t="s">
        <v>69</v>
      </c>
    </row>
    <row r="847" customFormat="false" ht="15" hidden="false" customHeight="false" outlineLevel="0" collapsed="false">
      <c r="A847" s="0" t="s">
        <v>930</v>
      </c>
      <c r="B847" s="0" t="s">
        <v>124</v>
      </c>
      <c r="C847" s="17" t="n">
        <v>46071</v>
      </c>
      <c r="D847" s="15" t="s">
        <v>107</v>
      </c>
      <c r="E847" s="15" t="s">
        <v>105</v>
      </c>
    </row>
    <row r="848" customFormat="false" ht="15" hidden="false" customHeight="false" outlineLevel="0" collapsed="false">
      <c r="A848" s="0" t="s">
        <v>931</v>
      </c>
      <c r="B848" s="0" t="s">
        <v>124</v>
      </c>
      <c r="C848" s="17" t="n">
        <v>46052</v>
      </c>
      <c r="D848" s="15" t="s">
        <v>61</v>
      </c>
      <c r="E848" s="15" t="s">
        <v>65</v>
      </c>
    </row>
    <row r="849" customFormat="false" ht="15" hidden="false" customHeight="false" outlineLevel="0" collapsed="false">
      <c r="A849" s="0" t="s">
        <v>932</v>
      </c>
      <c r="B849" s="0" t="s">
        <v>77</v>
      </c>
      <c r="C849" s="17" t="n">
        <v>46053</v>
      </c>
      <c r="D849" s="15" t="s">
        <v>107</v>
      </c>
      <c r="E849" s="15" t="s">
        <v>65</v>
      </c>
    </row>
    <row r="850" customFormat="false" ht="15" hidden="false" customHeight="false" outlineLevel="0" collapsed="false">
      <c r="A850" s="0" t="s">
        <v>933</v>
      </c>
      <c r="B850" s="0" t="s">
        <v>37</v>
      </c>
      <c r="C850" s="17" t="n">
        <v>46069</v>
      </c>
      <c r="D850" s="15" t="s">
        <v>104</v>
      </c>
      <c r="E850" s="15" t="s">
        <v>148</v>
      </c>
    </row>
    <row r="851" customFormat="false" ht="15" hidden="false" customHeight="false" outlineLevel="0" collapsed="false">
      <c r="A851" s="0" t="s">
        <v>934</v>
      </c>
      <c r="B851" s="0" t="s">
        <v>77</v>
      </c>
      <c r="C851" s="17" t="n">
        <v>46032</v>
      </c>
      <c r="D851" s="15" t="s">
        <v>61</v>
      </c>
      <c r="E851" s="15" t="s">
        <v>65</v>
      </c>
    </row>
    <row r="852" customFormat="false" ht="15" hidden="false" customHeight="false" outlineLevel="0" collapsed="false">
      <c r="A852" s="0" t="s">
        <v>495</v>
      </c>
      <c r="B852" s="0" t="s">
        <v>77</v>
      </c>
      <c r="C852" s="17" t="n">
        <v>46081</v>
      </c>
      <c r="D852" s="15" t="s">
        <v>84</v>
      </c>
      <c r="E852" s="15" t="s">
        <v>97</v>
      </c>
    </row>
    <row r="853" customFormat="false" ht="15" hidden="false" customHeight="false" outlineLevel="0" collapsed="false">
      <c r="A853" s="0" t="s">
        <v>935</v>
      </c>
      <c r="B853" s="0" t="s">
        <v>77</v>
      </c>
      <c r="C853" s="17" t="n">
        <v>46040</v>
      </c>
      <c r="D853" s="15" t="s">
        <v>64</v>
      </c>
      <c r="E853" s="15" t="s">
        <v>69</v>
      </c>
    </row>
    <row r="854" customFormat="false" ht="15" hidden="false" customHeight="false" outlineLevel="0" collapsed="false">
      <c r="A854" s="0" t="s">
        <v>936</v>
      </c>
      <c r="B854" s="0" t="s">
        <v>39</v>
      </c>
      <c r="C854" s="17" t="n">
        <v>46046</v>
      </c>
      <c r="D854" s="15" t="s">
        <v>90</v>
      </c>
      <c r="E854" s="15" t="s">
        <v>69</v>
      </c>
    </row>
    <row r="855" customFormat="false" ht="15" hidden="false" customHeight="false" outlineLevel="0" collapsed="false">
      <c r="A855" s="0" t="s">
        <v>937</v>
      </c>
      <c r="B855" s="0" t="s">
        <v>71</v>
      </c>
      <c r="C855" s="17" t="n">
        <v>46072</v>
      </c>
      <c r="D855" s="15" t="s">
        <v>153</v>
      </c>
      <c r="E855" s="15" t="s">
        <v>62</v>
      </c>
    </row>
    <row r="856" customFormat="false" ht="15" hidden="false" customHeight="false" outlineLevel="0" collapsed="false">
      <c r="A856" s="0" t="s">
        <v>938</v>
      </c>
      <c r="B856" s="0" t="s">
        <v>41</v>
      </c>
      <c r="C856" s="17" t="n">
        <v>46067</v>
      </c>
      <c r="D856" s="15" t="s">
        <v>96</v>
      </c>
      <c r="E856" s="15" t="s">
        <v>172</v>
      </c>
    </row>
    <row r="857" customFormat="false" ht="15" hidden="false" customHeight="false" outlineLevel="0" collapsed="false">
      <c r="A857" s="0" t="s">
        <v>939</v>
      </c>
      <c r="B857" s="0" t="s">
        <v>124</v>
      </c>
      <c r="C857" s="17" t="n">
        <v>46031</v>
      </c>
      <c r="D857" s="15" t="s">
        <v>88</v>
      </c>
      <c r="E857" s="15" t="s">
        <v>151</v>
      </c>
    </row>
    <row r="858" customFormat="false" ht="15" hidden="false" customHeight="false" outlineLevel="0" collapsed="false">
      <c r="A858" s="0" t="s">
        <v>940</v>
      </c>
      <c r="B858" s="0" t="s">
        <v>83</v>
      </c>
      <c r="C858" s="17" t="n">
        <v>46076</v>
      </c>
      <c r="D858" s="15" t="s">
        <v>61</v>
      </c>
      <c r="E858" s="15" t="s">
        <v>85</v>
      </c>
    </row>
    <row r="859" customFormat="false" ht="15" hidden="false" customHeight="false" outlineLevel="0" collapsed="false">
      <c r="A859" s="0" t="s">
        <v>941</v>
      </c>
      <c r="B859" s="0" t="s">
        <v>112</v>
      </c>
      <c r="C859" s="17" t="n">
        <v>46042</v>
      </c>
      <c r="D859" s="15" t="s">
        <v>90</v>
      </c>
      <c r="E859" s="15" t="s">
        <v>97</v>
      </c>
    </row>
    <row r="860" customFormat="false" ht="15" hidden="false" customHeight="false" outlineLevel="0" collapsed="false">
      <c r="A860" s="0" t="s">
        <v>942</v>
      </c>
      <c r="B860" s="0" t="s">
        <v>95</v>
      </c>
      <c r="C860" s="17" t="n">
        <v>46075</v>
      </c>
      <c r="D860" s="15" t="s">
        <v>74</v>
      </c>
      <c r="E860" s="15" t="s">
        <v>97</v>
      </c>
    </row>
    <row r="861" customFormat="false" ht="15" hidden="false" customHeight="false" outlineLevel="0" collapsed="false">
      <c r="A861" s="0" t="s">
        <v>943</v>
      </c>
      <c r="B861" s="0" t="s">
        <v>95</v>
      </c>
      <c r="C861" s="17" t="n">
        <v>46039</v>
      </c>
      <c r="D861" s="15" t="s">
        <v>72</v>
      </c>
      <c r="E861" s="15" t="s">
        <v>59</v>
      </c>
    </row>
    <row r="862" customFormat="false" ht="15" hidden="false" customHeight="false" outlineLevel="0" collapsed="false">
      <c r="A862" s="0" t="s">
        <v>944</v>
      </c>
      <c r="B862" s="0" t="s">
        <v>116</v>
      </c>
      <c r="C862" s="17" t="n">
        <v>46069</v>
      </c>
      <c r="D862" s="15" t="s">
        <v>64</v>
      </c>
      <c r="E862" s="15" t="s">
        <v>85</v>
      </c>
    </row>
    <row r="863" customFormat="false" ht="15" hidden="false" customHeight="false" outlineLevel="0" collapsed="false">
      <c r="A863" s="0" t="s">
        <v>945</v>
      </c>
      <c r="B863" s="0" t="s">
        <v>92</v>
      </c>
      <c r="C863" s="17" t="n">
        <v>46050</v>
      </c>
      <c r="D863" s="15" t="s">
        <v>128</v>
      </c>
      <c r="E863" s="15" t="s">
        <v>69</v>
      </c>
    </row>
    <row r="864" customFormat="false" ht="15" hidden="false" customHeight="false" outlineLevel="0" collapsed="false">
      <c r="A864" s="0" t="s">
        <v>946</v>
      </c>
      <c r="B864" s="0" t="s">
        <v>95</v>
      </c>
      <c r="C864" s="17" t="n">
        <v>46055</v>
      </c>
      <c r="D864" s="15" t="s">
        <v>81</v>
      </c>
      <c r="E864" s="15" t="s">
        <v>105</v>
      </c>
    </row>
    <row r="865" customFormat="false" ht="15" hidden="false" customHeight="false" outlineLevel="0" collapsed="false">
      <c r="A865" s="0" t="s">
        <v>947</v>
      </c>
      <c r="B865" s="0" t="s">
        <v>103</v>
      </c>
      <c r="C865" s="17" t="n">
        <v>46056</v>
      </c>
      <c r="D865" s="15" t="s">
        <v>126</v>
      </c>
      <c r="E865" s="15" t="s">
        <v>109</v>
      </c>
    </row>
    <row r="866" customFormat="false" ht="15" hidden="false" customHeight="false" outlineLevel="0" collapsed="false">
      <c r="A866" s="0" t="s">
        <v>948</v>
      </c>
      <c r="B866" s="0" t="s">
        <v>83</v>
      </c>
      <c r="C866" s="17" t="n">
        <v>46069</v>
      </c>
      <c r="D866" s="15" t="s">
        <v>88</v>
      </c>
      <c r="E866" s="15" t="s">
        <v>65</v>
      </c>
    </row>
    <row r="867" customFormat="false" ht="15" hidden="false" customHeight="false" outlineLevel="0" collapsed="false">
      <c r="A867" s="0" t="s">
        <v>949</v>
      </c>
      <c r="B867" s="0" t="s">
        <v>35</v>
      </c>
      <c r="C867" s="17" t="n">
        <v>46056</v>
      </c>
      <c r="D867" s="15" t="s">
        <v>68</v>
      </c>
      <c r="E867" s="15" t="s">
        <v>59</v>
      </c>
    </row>
    <row r="868" customFormat="false" ht="15" hidden="false" customHeight="false" outlineLevel="0" collapsed="false">
      <c r="A868" s="0" t="s">
        <v>950</v>
      </c>
      <c r="B868" s="0" t="s">
        <v>67</v>
      </c>
      <c r="C868" s="17" t="n">
        <v>46080</v>
      </c>
      <c r="D868" s="15" t="s">
        <v>74</v>
      </c>
      <c r="E868" s="15" t="s">
        <v>85</v>
      </c>
    </row>
    <row r="869" customFormat="false" ht="15" hidden="false" customHeight="false" outlineLevel="0" collapsed="false">
      <c r="A869" s="0" t="s">
        <v>951</v>
      </c>
      <c r="B869" s="0" t="s">
        <v>124</v>
      </c>
      <c r="C869" s="17" t="n">
        <v>46075</v>
      </c>
      <c r="D869" s="15" t="s">
        <v>61</v>
      </c>
      <c r="E869" s="15" t="s">
        <v>85</v>
      </c>
    </row>
    <row r="870" customFormat="false" ht="15" hidden="false" customHeight="false" outlineLevel="0" collapsed="false">
      <c r="A870" s="0" t="s">
        <v>952</v>
      </c>
      <c r="B870" s="0" t="s">
        <v>71</v>
      </c>
      <c r="C870" s="17" t="n">
        <v>46032</v>
      </c>
      <c r="D870" s="15" t="s">
        <v>135</v>
      </c>
      <c r="E870" s="15" t="s">
        <v>65</v>
      </c>
    </row>
    <row r="871" customFormat="false" ht="15" hidden="false" customHeight="false" outlineLevel="0" collapsed="false">
      <c r="A871" s="0" t="s">
        <v>953</v>
      </c>
      <c r="B871" s="0" t="s">
        <v>99</v>
      </c>
      <c r="C871" s="17" t="n">
        <v>46037</v>
      </c>
      <c r="D871" s="15" t="s">
        <v>135</v>
      </c>
      <c r="E871" s="15" t="s">
        <v>69</v>
      </c>
    </row>
    <row r="872" customFormat="false" ht="15" hidden="false" customHeight="false" outlineLevel="0" collapsed="false">
      <c r="A872" s="0" t="s">
        <v>954</v>
      </c>
      <c r="B872" s="0" t="s">
        <v>99</v>
      </c>
      <c r="C872" s="17" t="n">
        <v>46076</v>
      </c>
      <c r="D872" s="15" t="s">
        <v>101</v>
      </c>
      <c r="E872" s="15" t="s">
        <v>85</v>
      </c>
    </row>
    <row r="873" customFormat="false" ht="15" hidden="false" customHeight="false" outlineLevel="0" collapsed="false">
      <c r="A873" s="0" t="s">
        <v>955</v>
      </c>
      <c r="B873" s="0" t="s">
        <v>92</v>
      </c>
      <c r="C873" s="17" t="n">
        <v>46076</v>
      </c>
      <c r="D873" s="15" t="s">
        <v>79</v>
      </c>
      <c r="E873" s="15" t="s">
        <v>97</v>
      </c>
    </row>
    <row r="874" customFormat="false" ht="15" hidden="false" customHeight="false" outlineLevel="0" collapsed="false">
      <c r="A874" s="0" t="s">
        <v>956</v>
      </c>
      <c r="B874" s="0" t="s">
        <v>112</v>
      </c>
      <c r="C874" s="17" t="n">
        <v>46041</v>
      </c>
      <c r="D874" s="15" t="s">
        <v>84</v>
      </c>
      <c r="E874" s="15" t="s">
        <v>97</v>
      </c>
    </row>
    <row r="875" customFormat="false" ht="15" hidden="false" customHeight="false" outlineLevel="0" collapsed="false">
      <c r="A875" s="0" t="s">
        <v>957</v>
      </c>
      <c r="B875" s="0" t="s">
        <v>35</v>
      </c>
      <c r="C875" s="17" t="n">
        <v>46055</v>
      </c>
      <c r="D875" s="15" t="s">
        <v>107</v>
      </c>
      <c r="E875" s="15" t="s">
        <v>62</v>
      </c>
    </row>
    <row r="876" customFormat="false" ht="15" hidden="false" customHeight="false" outlineLevel="0" collapsed="false">
      <c r="A876" s="0" t="s">
        <v>958</v>
      </c>
      <c r="B876" s="0" t="s">
        <v>124</v>
      </c>
      <c r="C876" s="17" t="n">
        <v>46068</v>
      </c>
      <c r="D876" s="15" t="s">
        <v>107</v>
      </c>
      <c r="E876" s="15" t="s">
        <v>105</v>
      </c>
    </row>
    <row r="877" customFormat="false" ht="15" hidden="false" customHeight="false" outlineLevel="0" collapsed="false">
      <c r="A877" s="0" t="s">
        <v>959</v>
      </c>
      <c r="B877" s="0" t="s">
        <v>37</v>
      </c>
      <c r="C877" s="17" t="n">
        <v>46050</v>
      </c>
      <c r="D877" s="15" t="s">
        <v>58</v>
      </c>
      <c r="E877" s="15" t="s">
        <v>85</v>
      </c>
    </row>
    <row r="878" customFormat="false" ht="15" hidden="false" customHeight="false" outlineLevel="0" collapsed="false">
      <c r="A878" s="0" t="s">
        <v>824</v>
      </c>
      <c r="B878" s="0" t="s">
        <v>77</v>
      </c>
      <c r="C878" s="17" t="n">
        <v>46037</v>
      </c>
      <c r="D878" s="15" t="s">
        <v>128</v>
      </c>
      <c r="E878" s="15" t="s">
        <v>69</v>
      </c>
    </row>
    <row r="879" customFormat="false" ht="15" hidden="false" customHeight="false" outlineLevel="0" collapsed="false">
      <c r="A879" s="0" t="s">
        <v>960</v>
      </c>
      <c r="B879" s="0" t="s">
        <v>103</v>
      </c>
      <c r="C879" s="17" t="n">
        <v>46070</v>
      </c>
      <c r="D879" s="15" t="s">
        <v>79</v>
      </c>
      <c r="E879" s="15" t="s">
        <v>85</v>
      </c>
    </row>
    <row r="880" customFormat="false" ht="15" hidden="false" customHeight="false" outlineLevel="0" collapsed="false">
      <c r="A880" s="0" t="s">
        <v>961</v>
      </c>
      <c r="B880" s="0" t="s">
        <v>71</v>
      </c>
      <c r="C880" s="17" t="n">
        <v>46033</v>
      </c>
      <c r="D880" s="15" t="s">
        <v>64</v>
      </c>
      <c r="E880" s="15" t="s">
        <v>172</v>
      </c>
    </row>
    <row r="881" customFormat="false" ht="15" hidden="false" customHeight="false" outlineLevel="0" collapsed="false">
      <c r="A881" s="0" t="s">
        <v>962</v>
      </c>
      <c r="B881" s="0" t="s">
        <v>39</v>
      </c>
      <c r="C881" s="17" t="n">
        <v>46074</v>
      </c>
      <c r="D881" s="15" t="s">
        <v>72</v>
      </c>
      <c r="E881" s="15" t="s">
        <v>59</v>
      </c>
    </row>
    <row r="882" customFormat="false" ht="15" hidden="false" customHeight="false" outlineLevel="0" collapsed="false">
      <c r="A882" s="0" t="s">
        <v>963</v>
      </c>
      <c r="B882" s="0" t="s">
        <v>67</v>
      </c>
      <c r="C882" s="17" t="n">
        <v>46047</v>
      </c>
      <c r="D882" s="15" t="s">
        <v>72</v>
      </c>
      <c r="E882" s="15" t="s">
        <v>65</v>
      </c>
    </row>
    <row r="883" customFormat="false" ht="15" hidden="false" customHeight="false" outlineLevel="0" collapsed="false">
      <c r="A883" s="0" t="s">
        <v>964</v>
      </c>
      <c r="B883" s="0" t="s">
        <v>92</v>
      </c>
      <c r="C883" s="17" t="n">
        <v>46036</v>
      </c>
      <c r="D883" s="15" t="s">
        <v>101</v>
      </c>
      <c r="E883" s="15" t="s">
        <v>59</v>
      </c>
    </row>
    <row r="884" customFormat="false" ht="15" hidden="false" customHeight="false" outlineLevel="0" collapsed="false">
      <c r="A884" s="0" t="s">
        <v>965</v>
      </c>
      <c r="B884" s="0" t="s">
        <v>92</v>
      </c>
      <c r="C884" s="17" t="n">
        <v>46045</v>
      </c>
      <c r="D884" s="15" t="s">
        <v>153</v>
      </c>
      <c r="E884" s="15" t="s">
        <v>62</v>
      </c>
    </row>
    <row r="885" customFormat="false" ht="15" hidden="false" customHeight="false" outlineLevel="0" collapsed="false">
      <c r="A885" s="0" t="s">
        <v>966</v>
      </c>
      <c r="B885" s="0" t="s">
        <v>99</v>
      </c>
      <c r="C885" s="17" t="n">
        <v>46056</v>
      </c>
      <c r="D885" s="15" t="s">
        <v>72</v>
      </c>
      <c r="E885" s="15" t="s">
        <v>59</v>
      </c>
    </row>
    <row r="886" customFormat="false" ht="15" hidden="false" customHeight="false" outlineLevel="0" collapsed="false">
      <c r="A886" s="0" t="s">
        <v>967</v>
      </c>
      <c r="B886" s="0" t="s">
        <v>43</v>
      </c>
      <c r="C886" s="17" t="n">
        <v>46079</v>
      </c>
      <c r="D886" s="15" t="s">
        <v>84</v>
      </c>
      <c r="E886" s="15" t="s">
        <v>65</v>
      </c>
    </row>
    <row r="887" customFormat="false" ht="15" hidden="false" customHeight="false" outlineLevel="0" collapsed="false">
      <c r="A887" s="0" t="s">
        <v>968</v>
      </c>
      <c r="B887" s="0" t="s">
        <v>35</v>
      </c>
      <c r="C887" s="17" t="n">
        <v>46066</v>
      </c>
      <c r="D887" s="15" t="s">
        <v>81</v>
      </c>
      <c r="E887" s="15" t="s">
        <v>97</v>
      </c>
    </row>
    <row r="888" customFormat="false" ht="15" hidden="false" customHeight="false" outlineLevel="0" collapsed="false">
      <c r="A888" s="0" t="s">
        <v>969</v>
      </c>
      <c r="B888" s="0" t="s">
        <v>35</v>
      </c>
      <c r="C888" s="17" t="n">
        <v>46042</v>
      </c>
      <c r="D888" s="15" t="s">
        <v>104</v>
      </c>
      <c r="E888" s="15" t="s">
        <v>59</v>
      </c>
    </row>
    <row r="889" customFormat="false" ht="15" hidden="false" customHeight="false" outlineLevel="0" collapsed="false">
      <c r="A889" s="0" t="s">
        <v>970</v>
      </c>
      <c r="B889" s="0" t="s">
        <v>103</v>
      </c>
      <c r="C889" s="17" t="n">
        <v>46075</v>
      </c>
      <c r="D889" s="15" t="s">
        <v>58</v>
      </c>
      <c r="E889" s="15" t="s">
        <v>65</v>
      </c>
    </row>
    <row r="890" customFormat="false" ht="15" hidden="false" customHeight="false" outlineLevel="0" collapsed="false">
      <c r="A890" s="0" t="s">
        <v>971</v>
      </c>
      <c r="B890" s="0" t="s">
        <v>77</v>
      </c>
      <c r="C890" s="17" t="n">
        <v>46045</v>
      </c>
      <c r="D890" s="15" t="s">
        <v>135</v>
      </c>
      <c r="E890" s="15" t="s">
        <v>62</v>
      </c>
    </row>
    <row r="891" customFormat="false" ht="15" hidden="false" customHeight="false" outlineLevel="0" collapsed="false">
      <c r="A891" s="0" t="s">
        <v>972</v>
      </c>
      <c r="B891" s="0" t="s">
        <v>124</v>
      </c>
      <c r="C891" s="17" t="n">
        <v>46033</v>
      </c>
      <c r="D891" s="15" t="s">
        <v>79</v>
      </c>
      <c r="E891" s="15" t="s">
        <v>59</v>
      </c>
    </row>
    <row r="892" customFormat="false" ht="15" hidden="false" customHeight="false" outlineLevel="0" collapsed="false">
      <c r="A892" s="0" t="s">
        <v>938</v>
      </c>
      <c r="B892" s="0" t="s">
        <v>41</v>
      </c>
      <c r="C892" s="17" t="n">
        <v>46067</v>
      </c>
      <c r="D892" s="15" t="s">
        <v>96</v>
      </c>
      <c r="E892" s="15" t="s">
        <v>172</v>
      </c>
    </row>
    <row r="893" customFormat="false" ht="15" hidden="false" customHeight="false" outlineLevel="0" collapsed="false">
      <c r="A893" s="0" t="s">
        <v>973</v>
      </c>
      <c r="B893" s="0" t="s">
        <v>95</v>
      </c>
      <c r="C893" s="17" t="n">
        <v>46056</v>
      </c>
      <c r="D893" s="15" t="s">
        <v>135</v>
      </c>
      <c r="E893" s="15" t="s">
        <v>69</v>
      </c>
    </row>
    <row r="894" customFormat="false" ht="15" hidden="false" customHeight="false" outlineLevel="0" collapsed="false">
      <c r="A894" s="0" t="s">
        <v>974</v>
      </c>
      <c r="B894" s="0" t="s">
        <v>124</v>
      </c>
      <c r="C894" s="17" t="n">
        <v>46037</v>
      </c>
      <c r="D894" s="15" t="s">
        <v>128</v>
      </c>
      <c r="E894" s="15" t="s">
        <v>62</v>
      </c>
    </row>
    <row r="895" customFormat="false" ht="15" hidden="false" customHeight="false" outlineLevel="0" collapsed="false">
      <c r="A895" s="0" t="s">
        <v>975</v>
      </c>
      <c r="B895" s="0" t="s">
        <v>124</v>
      </c>
      <c r="C895" s="17" t="n">
        <v>46076</v>
      </c>
      <c r="D895" s="15" t="s">
        <v>90</v>
      </c>
      <c r="E895" s="15" t="s">
        <v>59</v>
      </c>
    </row>
    <row r="896" customFormat="false" ht="15" hidden="false" customHeight="false" outlineLevel="0" collapsed="false">
      <c r="A896" s="0" t="s">
        <v>976</v>
      </c>
      <c r="B896" s="0" t="s">
        <v>92</v>
      </c>
      <c r="C896" s="17" t="n">
        <v>46060</v>
      </c>
      <c r="D896" s="15" t="s">
        <v>72</v>
      </c>
      <c r="E896" s="15" t="s">
        <v>97</v>
      </c>
    </row>
    <row r="897" customFormat="false" ht="15" hidden="false" customHeight="false" outlineLevel="0" collapsed="false">
      <c r="A897" s="0" t="s">
        <v>977</v>
      </c>
      <c r="B897" s="0" t="s">
        <v>71</v>
      </c>
      <c r="C897" s="17" t="n">
        <v>46074</v>
      </c>
      <c r="D897" s="15" t="s">
        <v>64</v>
      </c>
      <c r="E897" s="15" t="s">
        <v>59</v>
      </c>
    </row>
    <row r="898" customFormat="false" ht="15" hidden="false" customHeight="false" outlineLevel="0" collapsed="false">
      <c r="A898" s="0" t="s">
        <v>978</v>
      </c>
      <c r="B898" s="0" t="s">
        <v>37</v>
      </c>
      <c r="C898" s="17" t="n">
        <v>46068</v>
      </c>
      <c r="D898" s="15" t="s">
        <v>88</v>
      </c>
      <c r="E898" s="15" t="s">
        <v>69</v>
      </c>
    </row>
    <row r="899" customFormat="false" ht="15" hidden="false" customHeight="false" outlineLevel="0" collapsed="false">
      <c r="A899" s="0" t="s">
        <v>979</v>
      </c>
      <c r="B899" s="0" t="s">
        <v>37</v>
      </c>
      <c r="C899" s="17" t="n">
        <v>46044</v>
      </c>
      <c r="D899" s="15" t="s">
        <v>93</v>
      </c>
      <c r="E899" s="15" t="s">
        <v>65</v>
      </c>
    </row>
    <row r="900" customFormat="false" ht="15" hidden="false" customHeight="false" outlineLevel="0" collapsed="false">
      <c r="A900" s="0" t="s">
        <v>980</v>
      </c>
      <c r="B900" s="0" t="s">
        <v>71</v>
      </c>
      <c r="C900" s="17" t="n">
        <v>46073</v>
      </c>
      <c r="D900" s="15" t="s">
        <v>84</v>
      </c>
      <c r="E900" s="15" t="s">
        <v>65</v>
      </c>
    </row>
    <row r="901" customFormat="false" ht="15" hidden="false" customHeight="false" outlineLevel="0" collapsed="false">
      <c r="A901" s="0" t="s">
        <v>981</v>
      </c>
      <c r="B901" s="0" t="s">
        <v>124</v>
      </c>
      <c r="C901" s="17" t="n">
        <v>46036</v>
      </c>
      <c r="D901" s="15" t="s">
        <v>135</v>
      </c>
      <c r="E901" s="15" t="s">
        <v>62</v>
      </c>
    </row>
    <row r="902" customFormat="false" ht="15" hidden="false" customHeight="false" outlineLevel="0" collapsed="false">
      <c r="A902" s="0" t="s">
        <v>982</v>
      </c>
      <c r="B902" s="0" t="s">
        <v>92</v>
      </c>
      <c r="C902" s="17" t="n">
        <v>46048</v>
      </c>
      <c r="D902" s="15" t="s">
        <v>93</v>
      </c>
      <c r="E902" s="15" t="s">
        <v>69</v>
      </c>
    </row>
    <row r="903" customFormat="false" ht="15" hidden="false" customHeight="false" outlineLevel="0" collapsed="false">
      <c r="A903" s="0" t="s">
        <v>983</v>
      </c>
      <c r="B903" s="0" t="s">
        <v>95</v>
      </c>
      <c r="C903" s="17" t="n">
        <v>46038</v>
      </c>
      <c r="D903" s="15" t="s">
        <v>68</v>
      </c>
      <c r="E903" s="15" t="s">
        <v>85</v>
      </c>
    </row>
    <row r="904" customFormat="false" ht="15" hidden="false" customHeight="false" outlineLevel="0" collapsed="false">
      <c r="A904" s="0" t="s">
        <v>984</v>
      </c>
      <c r="B904" s="0" t="s">
        <v>57</v>
      </c>
      <c r="C904" s="17" t="n">
        <v>46062</v>
      </c>
      <c r="D904" s="15" t="s">
        <v>90</v>
      </c>
      <c r="E904" s="15" t="s">
        <v>85</v>
      </c>
    </row>
    <row r="905" customFormat="false" ht="15" hidden="false" customHeight="false" outlineLevel="0" collapsed="false">
      <c r="A905" s="0" t="s">
        <v>985</v>
      </c>
      <c r="B905" s="0" t="s">
        <v>99</v>
      </c>
      <c r="C905" s="17" t="n">
        <v>46065</v>
      </c>
      <c r="D905" s="15" t="s">
        <v>96</v>
      </c>
      <c r="E905" s="15" t="s">
        <v>59</v>
      </c>
    </row>
    <row r="906" customFormat="false" ht="15" hidden="false" customHeight="false" outlineLevel="0" collapsed="false">
      <c r="A906" s="0" t="s">
        <v>986</v>
      </c>
      <c r="B906" s="0" t="s">
        <v>57</v>
      </c>
      <c r="C906" s="17" t="n">
        <v>46061</v>
      </c>
      <c r="D906" s="15" t="s">
        <v>96</v>
      </c>
      <c r="E906" s="15" t="s">
        <v>62</v>
      </c>
    </row>
    <row r="907" customFormat="false" ht="15" hidden="false" customHeight="false" outlineLevel="0" collapsed="false">
      <c r="A907" s="0" t="s">
        <v>987</v>
      </c>
      <c r="B907" s="0" t="s">
        <v>116</v>
      </c>
      <c r="C907" s="17" t="n">
        <v>46043</v>
      </c>
      <c r="D907" s="15" t="s">
        <v>58</v>
      </c>
      <c r="E907" s="15" t="s">
        <v>59</v>
      </c>
    </row>
    <row r="908" customFormat="false" ht="15" hidden="false" customHeight="false" outlineLevel="0" collapsed="false">
      <c r="A908" s="0" t="s">
        <v>988</v>
      </c>
      <c r="B908" s="0" t="s">
        <v>99</v>
      </c>
      <c r="C908" s="17" t="n">
        <v>46049</v>
      </c>
      <c r="D908" s="15" t="s">
        <v>58</v>
      </c>
      <c r="E908" s="15" t="s">
        <v>85</v>
      </c>
    </row>
    <row r="909" customFormat="false" ht="15" hidden="false" customHeight="false" outlineLevel="0" collapsed="false">
      <c r="A909" s="0" t="s">
        <v>989</v>
      </c>
      <c r="B909" s="0" t="s">
        <v>77</v>
      </c>
      <c r="C909" s="17" t="n">
        <v>46032</v>
      </c>
      <c r="D909" s="15" t="s">
        <v>81</v>
      </c>
      <c r="E909" s="15" t="s">
        <v>105</v>
      </c>
    </row>
    <row r="910" customFormat="false" ht="15" hidden="false" customHeight="false" outlineLevel="0" collapsed="false">
      <c r="A910" s="0" t="s">
        <v>990</v>
      </c>
      <c r="B910" s="0" t="s">
        <v>39</v>
      </c>
      <c r="C910" s="17" t="n">
        <v>46073</v>
      </c>
      <c r="D910" s="15" t="s">
        <v>126</v>
      </c>
      <c r="E910" s="15" t="s">
        <v>59</v>
      </c>
    </row>
    <row r="911" customFormat="false" ht="15" hidden="false" customHeight="false" outlineLevel="0" collapsed="false">
      <c r="A911" s="0" t="s">
        <v>991</v>
      </c>
      <c r="B911" s="0" t="s">
        <v>77</v>
      </c>
      <c r="C911" s="17" t="n">
        <v>46031</v>
      </c>
      <c r="D911" s="15" t="s">
        <v>81</v>
      </c>
      <c r="E911" s="15" t="s">
        <v>59</v>
      </c>
    </row>
    <row r="912" customFormat="false" ht="15" hidden="false" customHeight="false" outlineLevel="0" collapsed="false">
      <c r="A912" s="0" t="s">
        <v>992</v>
      </c>
      <c r="B912" s="0" t="s">
        <v>67</v>
      </c>
      <c r="C912" s="17" t="n">
        <v>46046</v>
      </c>
      <c r="D912" s="15" t="s">
        <v>104</v>
      </c>
      <c r="E912" s="15" t="s">
        <v>69</v>
      </c>
    </row>
    <row r="913" customFormat="false" ht="15" hidden="false" customHeight="false" outlineLevel="0" collapsed="false">
      <c r="A913" s="0" t="s">
        <v>724</v>
      </c>
      <c r="B913" s="0" t="s">
        <v>99</v>
      </c>
      <c r="C913" s="17" t="n">
        <v>46059</v>
      </c>
      <c r="D913" s="15" t="s">
        <v>90</v>
      </c>
      <c r="E913" s="15" t="s">
        <v>69</v>
      </c>
    </row>
    <row r="914" customFormat="false" ht="15" hidden="false" customHeight="false" outlineLevel="0" collapsed="false">
      <c r="A914" s="0" t="s">
        <v>993</v>
      </c>
      <c r="B914" s="0" t="s">
        <v>33</v>
      </c>
      <c r="C914" s="17" t="n">
        <v>46069</v>
      </c>
      <c r="D914" s="15" t="s">
        <v>81</v>
      </c>
      <c r="E914" s="15" t="s">
        <v>97</v>
      </c>
    </row>
    <row r="915" customFormat="false" ht="15" hidden="false" customHeight="false" outlineLevel="0" collapsed="false">
      <c r="A915" s="0" t="s">
        <v>994</v>
      </c>
      <c r="B915" s="0" t="s">
        <v>57</v>
      </c>
      <c r="C915" s="17" t="n">
        <v>46063</v>
      </c>
      <c r="D915" s="15" t="s">
        <v>81</v>
      </c>
      <c r="E915" s="15" t="s">
        <v>65</v>
      </c>
    </row>
    <row r="916" customFormat="false" ht="15" hidden="false" customHeight="false" outlineLevel="0" collapsed="false">
      <c r="A916" s="0" t="s">
        <v>995</v>
      </c>
      <c r="B916" s="0" t="s">
        <v>43</v>
      </c>
      <c r="C916" s="17" t="n">
        <v>46062</v>
      </c>
      <c r="D916" s="15" t="s">
        <v>64</v>
      </c>
      <c r="E916" s="15" t="s">
        <v>69</v>
      </c>
    </row>
    <row r="917" customFormat="false" ht="15" hidden="false" customHeight="false" outlineLevel="0" collapsed="false">
      <c r="A917" s="0" t="s">
        <v>996</v>
      </c>
      <c r="B917" s="0" t="s">
        <v>43</v>
      </c>
      <c r="C917" s="17" t="n">
        <v>46033</v>
      </c>
      <c r="D917" s="15" t="s">
        <v>153</v>
      </c>
      <c r="E917" s="15" t="s">
        <v>65</v>
      </c>
    </row>
    <row r="918" customFormat="false" ht="15" hidden="false" customHeight="false" outlineLevel="0" collapsed="false">
      <c r="A918" s="0" t="s">
        <v>997</v>
      </c>
      <c r="B918" s="0" t="s">
        <v>43</v>
      </c>
      <c r="C918" s="17" t="n">
        <v>46039</v>
      </c>
      <c r="D918" s="15" t="s">
        <v>96</v>
      </c>
      <c r="E918" s="15" t="s">
        <v>65</v>
      </c>
    </row>
    <row r="919" customFormat="false" ht="15" hidden="false" customHeight="false" outlineLevel="0" collapsed="false">
      <c r="A919" s="0" t="s">
        <v>998</v>
      </c>
      <c r="B919" s="0" t="s">
        <v>67</v>
      </c>
      <c r="C919" s="17" t="n">
        <v>46049</v>
      </c>
      <c r="D919" s="15" t="s">
        <v>88</v>
      </c>
      <c r="E919" s="15" t="s">
        <v>75</v>
      </c>
    </row>
    <row r="920" customFormat="false" ht="15" hidden="false" customHeight="false" outlineLevel="0" collapsed="false">
      <c r="A920" s="0" t="s">
        <v>999</v>
      </c>
      <c r="B920" s="0" t="s">
        <v>124</v>
      </c>
      <c r="C920" s="17" t="n">
        <v>46033</v>
      </c>
      <c r="D920" s="15" t="s">
        <v>84</v>
      </c>
      <c r="E920" s="15" t="s">
        <v>69</v>
      </c>
    </row>
    <row r="921" customFormat="false" ht="15" hidden="false" customHeight="false" outlineLevel="0" collapsed="false">
      <c r="A921" s="0" t="s">
        <v>1000</v>
      </c>
      <c r="B921" s="0" t="s">
        <v>57</v>
      </c>
      <c r="C921" s="17" t="n">
        <v>46065</v>
      </c>
      <c r="D921" s="15" t="s">
        <v>68</v>
      </c>
      <c r="E921" s="15" t="s">
        <v>172</v>
      </c>
    </row>
    <row r="922" customFormat="false" ht="15" hidden="false" customHeight="false" outlineLevel="0" collapsed="false">
      <c r="A922" s="0" t="s">
        <v>1001</v>
      </c>
      <c r="B922" s="0" t="s">
        <v>116</v>
      </c>
      <c r="C922" s="17" t="n">
        <v>46049</v>
      </c>
      <c r="D922" s="15" t="s">
        <v>107</v>
      </c>
      <c r="E922" s="15" t="s">
        <v>65</v>
      </c>
    </row>
    <row r="923" customFormat="false" ht="15" hidden="false" customHeight="false" outlineLevel="0" collapsed="false">
      <c r="A923" s="0" t="s">
        <v>1002</v>
      </c>
      <c r="B923" s="0" t="s">
        <v>99</v>
      </c>
      <c r="C923" s="17" t="n">
        <v>46071</v>
      </c>
      <c r="D923" s="15" t="s">
        <v>72</v>
      </c>
      <c r="E923" s="15" t="s">
        <v>59</v>
      </c>
    </row>
    <row r="924" customFormat="false" ht="15" hidden="false" customHeight="false" outlineLevel="0" collapsed="false">
      <c r="A924" s="0" t="s">
        <v>1003</v>
      </c>
      <c r="B924" s="0" t="s">
        <v>39</v>
      </c>
      <c r="C924" s="17" t="n">
        <v>46080</v>
      </c>
      <c r="D924" s="15" t="s">
        <v>88</v>
      </c>
      <c r="E924" s="15" t="s">
        <v>151</v>
      </c>
    </row>
    <row r="925" customFormat="false" ht="15" hidden="false" customHeight="false" outlineLevel="0" collapsed="false">
      <c r="A925" s="0" t="s">
        <v>1004</v>
      </c>
      <c r="B925" s="0" t="s">
        <v>112</v>
      </c>
      <c r="C925" s="17" t="n">
        <v>46044</v>
      </c>
      <c r="D925" s="15" t="s">
        <v>68</v>
      </c>
      <c r="E925" s="15" t="s">
        <v>85</v>
      </c>
    </row>
    <row r="926" customFormat="false" ht="15" hidden="false" customHeight="false" outlineLevel="0" collapsed="false">
      <c r="A926" s="0" t="s">
        <v>1005</v>
      </c>
      <c r="B926" s="0" t="s">
        <v>77</v>
      </c>
      <c r="C926" s="17" t="n">
        <v>46057</v>
      </c>
      <c r="D926" s="15" t="s">
        <v>81</v>
      </c>
      <c r="E926" s="15" t="s">
        <v>62</v>
      </c>
    </row>
    <row r="927" customFormat="false" ht="15" hidden="false" customHeight="false" outlineLevel="0" collapsed="false">
      <c r="A927" s="0" t="s">
        <v>1006</v>
      </c>
      <c r="B927" s="0" t="s">
        <v>43</v>
      </c>
      <c r="C927" s="17" t="n">
        <v>46070</v>
      </c>
      <c r="D927" s="15" t="s">
        <v>128</v>
      </c>
      <c r="E927" s="15" t="s">
        <v>75</v>
      </c>
    </row>
    <row r="928" customFormat="false" ht="15" hidden="false" customHeight="false" outlineLevel="0" collapsed="false">
      <c r="A928" s="0" t="s">
        <v>1007</v>
      </c>
      <c r="B928" s="0" t="s">
        <v>112</v>
      </c>
      <c r="C928" s="17" t="n">
        <v>46081</v>
      </c>
      <c r="D928" s="15" t="s">
        <v>58</v>
      </c>
      <c r="E928" s="15" t="s">
        <v>65</v>
      </c>
    </row>
    <row r="929" customFormat="false" ht="15" hidden="false" customHeight="false" outlineLevel="0" collapsed="false">
      <c r="A929" s="0" t="s">
        <v>960</v>
      </c>
      <c r="B929" s="0" t="s">
        <v>103</v>
      </c>
      <c r="C929" s="17" t="n">
        <v>46070</v>
      </c>
      <c r="D929" s="15" t="s">
        <v>79</v>
      </c>
      <c r="E929" s="15" t="s">
        <v>85</v>
      </c>
    </row>
    <row r="930" customFormat="false" ht="15" hidden="false" customHeight="false" outlineLevel="0" collapsed="false">
      <c r="A930" s="0" t="s">
        <v>1008</v>
      </c>
      <c r="B930" s="0" t="s">
        <v>71</v>
      </c>
      <c r="C930" s="17" t="n">
        <v>46030</v>
      </c>
      <c r="D930" s="15" t="s">
        <v>96</v>
      </c>
      <c r="E930" s="15" t="s">
        <v>59</v>
      </c>
    </row>
    <row r="931" customFormat="false" ht="15" hidden="false" customHeight="false" outlineLevel="0" collapsed="false">
      <c r="A931" s="0" t="s">
        <v>1009</v>
      </c>
      <c r="B931" s="0" t="s">
        <v>112</v>
      </c>
      <c r="C931" s="17" t="n">
        <v>46053</v>
      </c>
      <c r="D931" s="15" t="s">
        <v>81</v>
      </c>
      <c r="E931" s="15" t="s">
        <v>85</v>
      </c>
    </row>
    <row r="932" customFormat="false" ht="15" hidden="false" customHeight="false" outlineLevel="0" collapsed="false">
      <c r="A932" s="0" t="s">
        <v>1010</v>
      </c>
      <c r="B932" s="0" t="s">
        <v>77</v>
      </c>
      <c r="C932" s="17" t="n">
        <v>46045</v>
      </c>
      <c r="D932" s="15" t="s">
        <v>61</v>
      </c>
      <c r="E932" s="15" t="s">
        <v>59</v>
      </c>
    </row>
    <row r="933" customFormat="false" ht="15" hidden="false" customHeight="false" outlineLevel="0" collapsed="false">
      <c r="A933" s="0" t="s">
        <v>1011</v>
      </c>
      <c r="B933" s="0" t="s">
        <v>67</v>
      </c>
      <c r="C933" s="17" t="n">
        <v>46049</v>
      </c>
      <c r="D933" s="15" t="s">
        <v>128</v>
      </c>
      <c r="E933" s="15" t="s">
        <v>65</v>
      </c>
    </row>
    <row r="934" customFormat="false" ht="15" hidden="false" customHeight="false" outlineLevel="0" collapsed="false">
      <c r="A934" s="0" t="s">
        <v>354</v>
      </c>
      <c r="B934" s="0" t="s">
        <v>43</v>
      </c>
      <c r="C934" s="17" t="n">
        <v>46068</v>
      </c>
      <c r="D934" s="15" t="s">
        <v>101</v>
      </c>
      <c r="E934" s="15" t="s">
        <v>85</v>
      </c>
    </row>
    <row r="935" customFormat="false" ht="15" hidden="false" customHeight="false" outlineLevel="0" collapsed="false">
      <c r="A935" s="0" t="s">
        <v>1012</v>
      </c>
      <c r="B935" s="0" t="s">
        <v>35</v>
      </c>
      <c r="C935" s="17" t="n">
        <v>46077</v>
      </c>
      <c r="D935" s="15" t="s">
        <v>107</v>
      </c>
      <c r="E935" s="15" t="s">
        <v>85</v>
      </c>
    </row>
    <row r="936" customFormat="false" ht="15" hidden="false" customHeight="false" outlineLevel="0" collapsed="false">
      <c r="A936" s="0" t="s">
        <v>1013</v>
      </c>
      <c r="B936" s="0" t="s">
        <v>116</v>
      </c>
      <c r="C936" s="17" t="n">
        <v>46075</v>
      </c>
      <c r="D936" s="15" t="s">
        <v>72</v>
      </c>
      <c r="E936" s="15" t="s">
        <v>65</v>
      </c>
    </row>
    <row r="937" customFormat="false" ht="15" hidden="false" customHeight="false" outlineLevel="0" collapsed="false">
      <c r="A937" s="0" t="s">
        <v>1014</v>
      </c>
      <c r="B937" s="0" t="s">
        <v>112</v>
      </c>
      <c r="C937" s="17" t="n">
        <v>46053</v>
      </c>
      <c r="D937" s="15" t="s">
        <v>96</v>
      </c>
      <c r="E937" s="15" t="s">
        <v>65</v>
      </c>
    </row>
    <row r="938" customFormat="false" ht="15" hidden="false" customHeight="false" outlineLevel="0" collapsed="false">
      <c r="A938" s="0" t="s">
        <v>1015</v>
      </c>
      <c r="B938" s="0" t="s">
        <v>124</v>
      </c>
      <c r="C938" s="17" t="n">
        <v>46032</v>
      </c>
      <c r="D938" s="15" t="s">
        <v>126</v>
      </c>
      <c r="E938" s="15" t="s">
        <v>85</v>
      </c>
    </row>
    <row r="939" customFormat="false" ht="15" hidden="false" customHeight="false" outlineLevel="0" collapsed="false">
      <c r="A939" s="0" t="s">
        <v>1016</v>
      </c>
      <c r="B939" s="0" t="s">
        <v>116</v>
      </c>
      <c r="C939" s="17" t="n">
        <v>46074</v>
      </c>
      <c r="D939" s="15" t="s">
        <v>96</v>
      </c>
      <c r="E939" s="15" t="s">
        <v>59</v>
      </c>
    </row>
    <row r="940" customFormat="false" ht="15" hidden="false" customHeight="false" outlineLevel="0" collapsed="false">
      <c r="A940" s="0" t="s">
        <v>1017</v>
      </c>
      <c r="B940" s="0" t="s">
        <v>67</v>
      </c>
      <c r="C940" s="17" t="n">
        <v>46030</v>
      </c>
      <c r="D940" s="15" t="s">
        <v>101</v>
      </c>
      <c r="E940" s="15" t="s">
        <v>59</v>
      </c>
    </row>
    <row r="941" customFormat="false" ht="15" hidden="false" customHeight="false" outlineLevel="0" collapsed="false">
      <c r="A941" s="0" t="s">
        <v>1018</v>
      </c>
      <c r="B941" s="0" t="s">
        <v>83</v>
      </c>
      <c r="C941" s="17" t="n">
        <v>46031</v>
      </c>
      <c r="D941" s="15" t="s">
        <v>107</v>
      </c>
      <c r="E941" s="15" t="s">
        <v>62</v>
      </c>
    </row>
    <row r="942" customFormat="false" ht="15" hidden="false" customHeight="false" outlineLevel="0" collapsed="false">
      <c r="A942" s="0" t="s">
        <v>275</v>
      </c>
      <c r="B942" s="0" t="s">
        <v>67</v>
      </c>
      <c r="C942" s="17" t="n">
        <v>46055</v>
      </c>
      <c r="D942" s="15" t="s">
        <v>61</v>
      </c>
      <c r="E942" s="15" t="s">
        <v>62</v>
      </c>
    </row>
    <row r="943" customFormat="false" ht="15" hidden="false" customHeight="false" outlineLevel="0" collapsed="false">
      <c r="A943" s="0" t="s">
        <v>1019</v>
      </c>
      <c r="B943" s="0" t="s">
        <v>83</v>
      </c>
      <c r="C943" s="17" t="n">
        <v>46045</v>
      </c>
      <c r="D943" s="15" t="s">
        <v>135</v>
      </c>
      <c r="E943" s="15" t="s">
        <v>65</v>
      </c>
    </row>
    <row r="944" customFormat="false" ht="15" hidden="false" customHeight="false" outlineLevel="0" collapsed="false">
      <c r="A944" s="0" t="s">
        <v>1020</v>
      </c>
      <c r="B944" s="0" t="s">
        <v>99</v>
      </c>
      <c r="C944" s="17" t="n">
        <v>46052</v>
      </c>
      <c r="D944" s="15" t="s">
        <v>126</v>
      </c>
      <c r="E944" s="15" t="s">
        <v>62</v>
      </c>
    </row>
    <row r="945" customFormat="false" ht="15" hidden="false" customHeight="false" outlineLevel="0" collapsed="false">
      <c r="A945" s="0" t="s">
        <v>1021</v>
      </c>
      <c r="B945" s="0" t="s">
        <v>92</v>
      </c>
      <c r="C945" s="17" t="n">
        <v>46032</v>
      </c>
      <c r="D945" s="15" t="s">
        <v>58</v>
      </c>
      <c r="E945" s="15" t="s">
        <v>97</v>
      </c>
    </row>
    <row r="946" customFormat="false" ht="15" hidden="false" customHeight="false" outlineLevel="0" collapsed="false">
      <c r="A946" s="0" t="s">
        <v>1022</v>
      </c>
      <c r="B946" s="0" t="s">
        <v>33</v>
      </c>
      <c r="C946" s="17" t="n">
        <v>46028</v>
      </c>
      <c r="D946" s="15" t="s">
        <v>68</v>
      </c>
      <c r="E946" s="15" t="s">
        <v>109</v>
      </c>
    </row>
    <row r="947" customFormat="false" ht="15" hidden="false" customHeight="false" outlineLevel="0" collapsed="false">
      <c r="A947" s="0" t="s">
        <v>1023</v>
      </c>
      <c r="B947" s="0" t="s">
        <v>103</v>
      </c>
      <c r="C947" s="17" t="n">
        <v>46029</v>
      </c>
      <c r="D947" s="15" t="s">
        <v>88</v>
      </c>
      <c r="E947" s="15" t="s">
        <v>62</v>
      </c>
    </row>
    <row r="948" customFormat="false" ht="15" hidden="false" customHeight="false" outlineLevel="0" collapsed="false">
      <c r="A948" s="0" t="s">
        <v>1024</v>
      </c>
      <c r="B948" s="0" t="s">
        <v>43</v>
      </c>
      <c r="C948" s="17" t="n">
        <v>46030</v>
      </c>
      <c r="D948" s="15" t="s">
        <v>74</v>
      </c>
      <c r="E948" s="15" t="s">
        <v>59</v>
      </c>
    </row>
    <row r="949" customFormat="false" ht="15" hidden="false" customHeight="false" outlineLevel="0" collapsed="false">
      <c r="A949" s="0" t="s">
        <v>1025</v>
      </c>
      <c r="B949" s="0" t="s">
        <v>103</v>
      </c>
      <c r="C949" s="17" t="n">
        <v>46079</v>
      </c>
      <c r="D949" s="15" t="s">
        <v>79</v>
      </c>
      <c r="E949" s="15" t="s">
        <v>65</v>
      </c>
    </row>
    <row r="950" customFormat="false" ht="15" hidden="false" customHeight="false" outlineLevel="0" collapsed="false">
      <c r="A950" s="0" t="s">
        <v>1026</v>
      </c>
      <c r="B950" s="0" t="s">
        <v>43</v>
      </c>
      <c r="C950" s="17" t="n">
        <v>46058</v>
      </c>
      <c r="D950" s="15" t="s">
        <v>74</v>
      </c>
      <c r="E950" s="15" t="s">
        <v>69</v>
      </c>
    </row>
    <row r="951" customFormat="false" ht="15" hidden="false" customHeight="false" outlineLevel="0" collapsed="false">
      <c r="A951" s="0" t="s">
        <v>1027</v>
      </c>
      <c r="B951" s="0" t="s">
        <v>57</v>
      </c>
      <c r="C951" s="17" t="n">
        <v>46059</v>
      </c>
      <c r="D951" s="15" t="s">
        <v>79</v>
      </c>
      <c r="E951" s="15" t="s">
        <v>65</v>
      </c>
    </row>
    <row r="952" customFormat="false" ht="15" hidden="false" customHeight="false" outlineLevel="0" collapsed="false">
      <c r="A952" s="0" t="s">
        <v>1028</v>
      </c>
      <c r="B952" s="0" t="s">
        <v>35</v>
      </c>
      <c r="C952" s="17" t="n">
        <v>46078</v>
      </c>
      <c r="D952" s="15" t="s">
        <v>79</v>
      </c>
      <c r="E952" s="15" t="s">
        <v>85</v>
      </c>
    </row>
    <row r="953" customFormat="false" ht="15" hidden="false" customHeight="false" outlineLevel="0" collapsed="false">
      <c r="A953" s="0" t="s">
        <v>814</v>
      </c>
      <c r="B953" s="0" t="s">
        <v>116</v>
      </c>
      <c r="C953" s="17" t="n">
        <v>46049</v>
      </c>
      <c r="D953" s="15" t="s">
        <v>68</v>
      </c>
      <c r="E953" s="15" t="s">
        <v>97</v>
      </c>
    </row>
    <row r="954" customFormat="false" ht="15" hidden="false" customHeight="false" outlineLevel="0" collapsed="false">
      <c r="A954" s="0" t="s">
        <v>1029</v>
      </c>
      <c r="B954" s="0" t="s">
        <v>95</v>
      </c>
      <c r="C954" s="17" t="n">
        <v>46051</v>
      </c>
      <c r="D954" s="15" t="s">
        <v>126</v>
      </c>
      <c r="E954" s="15" t="s">
        <v>97</v>
      </c>
    </row>
    <row r="955" customFormat="false" ht="15" hidden="false" customHeight="false" outlineLevel="0" collapsed="false">
      <c r="A955" s="0" t="s">
        <v>1030</v>
      </c>
      <c r="B955" s="0" t="s">
        <v>99</v>
      </c>
      <c r="C955" s="17" t="n">
        <v>46045</v>
      </c>
      <c r="D955" s="15" t="s">
        <v>96</v>
      </c>
      <c r="E955" s="15" t="s">
        <v>151</v>
      </c>
    </row>
    <row r="956" customFormat="false" ht="15" hidden="false" customHeight="false" outlineLevel="0" collapsed="false">
      <c r="A956" s="0" t="s">
        <v>1031</v>
      </c>
      <c r="B956" s="0" t="s">
        <v>41</v>
      </c>
      <c r="C956" s="17" t="n">
        <v>46065</v>
      </c>
      <c r="D956" s="15" t="s">
        <v>126</v>
      </c>
      <c r="E956" s="15" t="s">
        <v>65</v>
      </c>
    </row>
    <row r="957" customFormat="false" ht="15" hidden="false" customHeight="false" outlineLevel="0" collapsed="false">
      <c r="A957" s="0" t="s">
        <v>1032</v>
      </c>
      <c r="B957" s="0" t="s">
        <v>99</v>
      </c>
      <c r="C957" s="17" t="n">
        <v>46057</v>
      </c>
      <c r="D957" s="15" t="s">
        <v>135</v>
      </c>
      <c r="E957" s="15" t="s">
        <v>69</v>
      </c>
    </row>
    <row r="958" customFormat="false" ht="15" hidden="false" customHeight="false" outlineLevel="0" collapsed="false">
      <c r="A958" s="0" t="s">
        <v>1033</v>
      </c>
      <c r="B958" s="0" t="s">
        <v>77</v>
      </c>
      <c r="C958" s="17" t="n">
        <v>46073</v>
      </c>
      <c r="D958" s="15" t="s">
        <v>153</v>
      </c>
      <c r="E958" s="15" t="s">
        <v>62</v>
      </c>
    </row>
    <row r="959" customFormat="false" ht="15" hidden="false" customHeight="false" outlineLevel="0" collapsed="false">
      <c r="A959" s="0" t="s">
        <v>1034</v>
      </c>
      <c r="B959" s="0" t="s">
        <v>67</v>
      </c>
      <c r="C959" s="17" t="n">
        <v>46042</v>
      </c>
      <c r="D959" s="15" t="s">
        <v>93</v>
      </c>
      <c r="E959" s="15" t="s">
        <v>85</v>
      </c>
    </row>
    <row r="960" customFormat="false" ht="15" hidden="false" customHeight="false" outlineLevel="0" collapsed="false">
      <c r="A960" s="0" t="s">
        <v>1035</v>
      </c>
      <c r="B960" s="0" t="s">
        <v>33</v>
      </c>
      <c r="C960" s="17" t="n">
        <v>46045</v>
      </c>
      <c r="D960" s="15" t="s">
        <v>81</v>
      </c>
      <c r="E960" s="15" t="s">
        <v>85</v>
      </c>
    </row>
    <row r="961" customFormat="false" ht="15" hidden="false" customHeight="false" outlineLevel="0" collapsed="false">
      <c r="A961" s="0" t="s">
        <v>1036</v>
      </c>
      <c r="B961" s="0" t="s">
        <v>71</v>
      </c>
      <c r="C961" s="17" t="n">
        <v>46060</v>
      </c>
      <c r="D961" s="15" t="s">
        <v>79</v>
      </c>
      <c r="E961" s="15" t="s">
        <v>109</v>
      </c>
    </row>
    <row r="962" customFormat="false" ht="15" hidden="false" customHeight="false" outlineLevel="0" collapsed="false">
      <c r="A962" s="0" t="s">
        <v>1037</v>
      </c>
      <c r="B962" s="0" t="s">
        <v>83</v>
      </c>
      <c r="C962" s="17" t="n">
        <v>46038</v>
      </c>
      <c r="D962" s="15" t="s">
        <v>58</v>
      </c>
      <c r="E962" s="15" t="s">
        <v>69</v>
      </c>
    </row>
    <row r="963" customFormat="false" ht="15" hidden="false" customHeight="false" outlineLevel="0" collapsed="false">
      <c r="A963" s="0" t="s">
        <v>1038</v>
      </c>
      <c r="B963" s="0" t="s">
        <v>43</v>
      </c>
      <c r="C963" s="17" t="n">
        <v>46031</v>
      </c>
      <c r="D963" s="15" t="s">
        <v>90</v>
      </c>
      <c r="E963" s="15" t="s">
        <v>148</v>
      </c>
    </row>
    <row r="964" customFormat="false" ht="15" hidden="false" customHeight="false" outlineLevel="0" collapsed="false">
      <c r="A964" s="0" t="s">
        <v>1039</v>
      </c>
      <c r="B964" s="0" t="s">
        <v>67</v>
      </c>
      <c r="C964" s="17" t="n">
        <v>46046</v>
      </c>
      <c r="D964" s="15" t="s">
        <v>101</v>
      </c>
      <c r="E964" s="15" t="s">
        <v>62</v>
      </c>
    </row>
    <row r="965" customFormat="false" ht="15" hidden="false" customHeight="false" outlineLevel="0" collapsed="false">
      <c r="A965" s="0" t="s">
        <v>1040</v>
      </c>
      <c r="B965" s="0" t="s">
        <v>71</v>
      </c>
      <c r="C965" s="17" t="n">
        <v>46051</v>
      </c>
      <c r="D965" s="15" t="s">
        <v>104</v>
      </c>
      <c r="E965" s="15" t="s">
        <v>151</v>
      </c>
    </row>
    <row r="966" customFormat="false" ht="15" hidden="false" customHeight="false" outlineLevel="0" collapsed="false">
      <c r="A966" s="0" t="s">
        <v>1041</v>
      </c>
      <c r="B966" s="0" t="s">
        <v>116</v>
      </c>
      <c r="C966" s="17" t="n">
        <v>46030</v>
      </c>
      <c r="D966" s="15" t="s">
        <v>135</v>
      </c>
      <c r="E966" s="15" t="s">
        <v>59</v>
      </c>
    </row>
    <row r="967" customFormat="false" ht="15" hidden="false" customHeight="false" outlineLevel="0" collapsed="false">
      <c r="A967" s="0" t="s">
        <v>1042</v>
      </c>
      <c r="B967" s="0" t="s">
        <v>37</v>
      </c>
      <c r="C967" s="17" t="n">
        <v>46067</v>
      </c>
      <c r="D967" s="15" t="s">
        <v>128</v>
      </c>
      <c r="E967" s="15" t="s">
        <v>59</v>
      </c>
    </row>
    <row r="968" customFormat="false" ht="15" hidden="false" customHeight="false" outlineLevel="0" collapsed="false">
      <c r="A968" s="0" t="s">
        <v>1043</v>
      </c>
      <c r="B968" s="0" t="s">
        <v>83</v>
      </c>
      <c r="C968" s="17" t="n">
        <v>46074</v>
      </c>
      <c r="D968" s="15" t="s">
        <v>79</v>
      </c>
      <c r="E968" s="15" t="s">
        <v>62</v>
      </c>
    </row>
    <row r="969" customFormat="false" ht="15" hidden="false" customHeight="false" outlineLevel="0" collapsed="false">
      <c r="A969" s="0" t="s">
        <v>1044</v>
      </c>
      <c r="B969" s="0" t="s">
        <v>92</v>
      </c>
      <c r="C969" s="17" t="n">
        <v>46053</v>
      </c>
      <c r="D969" s="15" t="s">
        <v>72</v>
      </c>
      <c r="E969" s="15" t="s">
        <v>65</v>
      </c>
    </row>
    <row r="970" customFormat="false" ht="15" hidden="false" customHeight="false" outlineLevel="0" collapsed="false">
      <c r="A970" s="0" t="s">
        <v>1045</v>
      </c>
      <c r="B970" s="0" t="s">
        <v>57</v>
      </c>
      <c r="C970" s="17" t="n">
        <v>46045</v>
      </c>
      <c r="D970" s="15" t="s">
        <v>90</v>
      </c>
      <c r="E970" s="15" t="s">
        <v>65</v>
      </c>
    </row>
    <row r="971" customFormat="false" ht="15" hidden="false" customHeight="false" outlineLevel="0" collapsed="false">
      <c r="A971" s="0" t="s">
        <v>1046</v>
      </c>
      <c r="B971" s="0" t="s">
        <v>67</v>
      </c>
      <c r="C971" s="17" t="n">
        <v>46078</v>
      </c>
      <c r="D971" s="15" t="s">
        <v>96</v>
      </c>
      <c r="E971" s="15" t="s">
        <v>85</v>
      </c>
    </row>
    <row r="972" customFormat="false" ht="15" hidden="false" customHeight="false" outlineLevel="0" collapsed="false">
      <c r="A972" s="0" t="s">
        <v>614</v>
      </c>
      <c r="B972" s="0" t="s">
        <v>41</v>
      </c>
      <c r="C972" s="17" t="n">
        <v>46045</v>
      </c>
      <c r="D972" s="15" t="s">
        <v>61</v>
      </c>
      <c r="E972" s="15" t="s">
        <v>109</v>
      </c>
    </row>
    <row r="973" customFormat="false" ht="15" hidden="false" customHeight="false" outlineLevel="0" collapsed="false">
      <c r="A973" s="0" t="s">
        <v>1047</v>
      </c>
      <c r="B973" s="0" t="s">
        <v>112</v>
      </c>
      <c r="C973" s="17" t="n">
        <v>46075</v>
      </c>
      <c r="D973" s="15" t="s">
        <v>128</v>
      </c>
      <c r="E973" s="15" t="s">
        <v>65</v>
      </c>
    </row>
    <row r="974" customFormat="false" ht="15" hidden="false" customHeight="false" outlineLevel="0" collapsed="false">
      <c r="A974" s="0" t="s">
        <v>1048</v>
      </c>
      <c r="B974" s="0" t="s">
        <v>83</v>
      </c>
      <c r="C974" s="17" t="n">
        <v>46076</v>
      </c>
      <c r="D974" s="15" t="s">
        <v>88</v>
      </c>
      <c r="E974" s="15" t="s">
        <v>75</v>
      </c>
    </row>
    <row r="975" customFormat="false" ht="15" hidden="false" customHeight="false" outlineLevel="0" collapsed="false">
      <c r="A975" s="0" t="s">
        <v>1049</v>
      </c>
      <c r="B975" s="0" t="s">
        <v>41</v>
      </c>
      <c r="C975" s="17" t="n">
        <v>46056</v>
      </c>
      <c r="D975" s="15" t="s">
        <v>74</v>
      </c>
      <c r="E975" s="15" t="s">
        <v>69</v>
      </c>
    </row>
    <row r="976" customFormat="false" ht="15" hidden="false" customHeight="false" outlineLevel="0" collapsed="false">
      <c r="A976" s="0" t="s">
        <v>1050</v>
      </c>
      <c r="B976" s="0" t="s">
        <v>57</v>
      </c>
      <c r="C976" s="17" t="n">
        <v>46051</v>
      </c>
      <c r="D976" s="15" t="s">
        <v>84</v>
      </c>
      <c r="E976" s="15" t="s">
        <v>62</v>
      </c>
    </row>
    <row r="977" customFormat="false" ht="15" hidden="false" customHeight="false" outlineLevel="0" collapsed="false">
      <c r="A977" s="0" t="s">
        <v>1051</v>
      </c>
      <c r="B977" s="0" t="s">
        <v>124</v>
      </c>
      <c r="C977" s="17" t="n">
        <v>46028</v>
      </c>
      <c r="D977" s="15" t="s">
        <v>126</v>
      </c>
      <c r="E977" s="15" t="s">
        <v>85</v>
      </c>
    </row>
    <row r="978" customFormat="false" ht="15" hidden="false" customHeight="false" outlineLevel="0" collapsed="false">
      <c r="A978" s="0" t="s">
        <v>1052</v>
      </c>
      <c r="B978" s="0" t="s">
        <v>67</v>
      </c>
      <c r="C978" s="17" t="n">
        <v>46049</v>
      </c>
      <c r="D978" s="15" t="s">
        <v>74</v>
      </c>
      <c r="E978" s="15" t="s">
        <v>151</v>
      </c>
    </row>
    <row r="979" customFormat="false" ht="15" hidden="false" customHeight="false" outlineLevel="0" collapsed="false">
      <c r="A979" s="0" t="s">
        <v>1053</v>
      </c>
      <c r="B979" s="0" t="s">
        <v>41</v>
      </c>
      <c r="C979" s="17" t="n">
        <v>46047</v>
      </c>
      <c r="D979" s="15" t="s">
        <v>135</v>
      </c>
      <c r="E979" s="15" t="s">
        <v>172</v>
      </c>
    </row>
    <row r="980" customFormat="false" ht="15" hidden="false" customHeight="false" outlineLevel="0" collapsed="false">
      <c r="A980" s="0" t="s">
        <v>1054</v>
      </c>
      <c r="B980" s="0" t="s">
        <v>33</v>
      </c>
      <c r="C980" s="17" t="n">
        <v>46068</v>
      </c>
      <c r="D980" s="15" t="s">
        <v>128</v>
      </c>
      <c r="E980" s="15" t="s">
        <v>172</v>
      </c>
    </row>
    <row r="981" customFormat="false" ht="15" hidden="false" customHeight="false" outlineLevel="0" collapsed="false">
      <c r="A981" s="0" t="s">
        <v>1055</v>
      </c>
      <c r="B981" s="0" t="s">
        <v>41</v>
      </c>
      <c r="C981" s="17" t="n">
        <v>46063</v>
      </c>
      <c r="D981" s="15" t="s">
        <v>104</v>
      </c>
      <c r="E981" s="15" t="s">
        <v>59</v>
      </c>
    </row>
    <row r="982" customFormat="false" ht="15" hidden="false" customHeight="false" outlineLevel="0" collapsed="false">
      <c r="A982" s="0" t="s">
        <v>168</v>
      </c>
      <c r="B982" s="0" t="s">
        <v>57</v>
      </c>
      <c r="C982" s="17" t="n">
        <v>46068</v>
      </c>
      <c r="D982" s="15" t="s">
        <v>81</v>
      </c>
      <c r="E982" s="15" t="s">
        <v>62</v>
      </c>
    </row>
    <row r="983" customFormat="false" ht="15" hidden="false" customHeight="false" outlineLevel="0" collapsed="false">
      <c r="A983" s="0" t="s">
        <v>1056</v>
      </c>
      <c r="B983" s="0" t="s">
        <v>103</v>
      </c>
      <c r="C983" s="17" t="n">
        <v>46039</v>
      </c>
      <c r="D983" s="15" t="s">
        <v>90</v>
      </c>
      <c r="E983" s="15" t="s">
        <v>97</v>
      </c>
    </row>
    <row r="984" customFormat="false" ht="15" hidden="false" customHeight="false" outlineLevel="0" collapsed="false">
      <c r="A984" s="0" t="s">
        <v>1057</v>
      </c>
      <c r="B984" s="0" t="s">
        <v>35</v>
      </c>
      <c r="C984" s="17" t="n">
        <v>46074</v>
      </c>
      <c r="D984" s="15" t="s">
        <v>81</v>
      </c>
      <c r="E984" s="15" t="s">
        <v>59</v>
      </c>
    </row>
    <row r="985" customFormat="false" ht="15" hidden="false" customHeight="false" outlineLevel="0" collapsed="false">
      <c r="A985" s="0" t="s">
        <v>1058</v>
      </c>
      <c r="B985" s="0" t="s">
        <v>116</v>
      </c>
      <c r="C985" s="17" t="n">
        <v>46058</v>
      </c>
      <c r="D985" s="15" t="s">
        <v>81</v>
      </c>
      <c r="E985" s="15" t="s">
        <v>97</v>
      </c>
    </row>
    <row r="986" customFormat="false" ht="15" hidden="false" customHeight="false" outlineLevel="0" collapsed="false">
      <c r="A986" s="0" t="s">
        <v>1059</v>
      </c>
      <c r="B986" s="0" t="s">
        <v>116</v>
      </c>
      <c r="C986" s="17" t="n">
        <v>46072</v>
      </c>
      <c r="D986" s="15" t="s">
        <v>61</v>
      </c>
      <c r="E986" s="15" t="s">
        <v>97</v>
      </c>
    </row>
    <row r="987" customFormat="false" ht="15" hidden="false" customHeight="false" outlineLevel="0" collapsed="false">
      <c r="A987" s="0" t="s">
        <v>1060</v>
      </c>
      <c r="B987" s="0" t="s">
        <v>92</v>
      </c>
      <c r="C987" s="17" t="n">
        <v>46042</v>
      </c>
      <c r="D987" s="15" t="s">
        <v>101</v>
      </c>
      <c r="E987" s="15" t="s">
        <v>151</v>
      </c>
    </row>
    <row r="988" customFormat="false" ht="15" hidden="false" customHeight="false" outlineLevel="0" collapsed="false">
      <c r="A988" s="0" t="s">
        <v>1061</v>
      </c>
      <c r="B988" s="0" t="s">
        <v>39</v>
      </c>
      <c r="C988" s="17" t="n">
        <v>46033</v>
      </c>
      <c r="D988" s="15" t="s">
        <v>153</v>
      </c>
      <c r="E988" s="15" t="s">
        <v>65</v>
      </c>
    </row>
    <row r="989" customFormat="false" ht="15" hidden="false" customHeight="false" outlineLevel="0" collapsed="false">
      <c r="A989" s="0" t="s">
        <v>1062</v>
      </c>
      <c r="B989" s="0" t="s">
        <v>124</v>
      </c>
      <c r="C989" s="17" t="n">
        <v>46032</v>
      </c>
      <c r="D989" s="15" t="s">
        <v>101</v>
      </c>
      <c r="E989" s="15" t="s">
        <v>85</v>
      </c>
    </row>
    <row r="990" customFormat="false" ht="15" hidden="false" customHeight="false" outlineLevel="0" collapsed="false">
      <c r="A990" s="0" t="s">
        <v>1063</v>
      </c>
      <c r="B990" s="0" t="s">
        <v>99</v>
      </c>
      <c r="C990" s="17" t="n">
        <v>46042</v>
      </c>
      <c r="D990" s="15" t="s">
        <v>58</v>
      </c>
      <c r="E990" s="15" t="s">
        <v>65</v>
      </c>
    </row>
    <row r="991" customFormat="false" ht="15" hidden="false" customHeight="false" outlineLevel="0" collapsed="false">
      <c r="A991" s="0" t="s">
        <v>1064</v>
      </c>
      <c r="B991" s="0" t="s">
        <v>35</v>
      </c>
      <c r="C991" s="17" t="n">
        <v>46041</v>
      </c>
      <c r="D991" s="15" t="s">
        <v>61</v>
      </c>
      <c r="E991" s="15" t="s">
        <v>151</v>
      </c>
    </row>
    <row r="992" customFormat="false" ht="15" hidden="false" customHeight="false" outlineLevel="0" collapsed="false">
      <c r="A992" s="0" t="s">
        <v>1065</v>
      </c>
      <c r="B992" s="0" t="s">
        <v>57</v>
      </c>
      <c r="C992" s="17" t="n">
        <v>46054</v>
      </c>
      <c r="D992" s="15" t="s">
        <v>153</v>
      </c>
      <c r="E992" s="15" t="s">
        <v>109</v>
      </c>
    </row>
    <row r="993" customFormat="false" ht="15" hidden="false" customHeight="false" outlineLevel="0" collapsed="false">
      <c r="A993" s="0" t="s">
        <v>1066</v>
      </c>
      <c r="B993" s="0" t="s">
        <v>57</v>
      </c>
      <c r="C993" s="17" t="n">
        <v>46034</v>
      </c>
      <c r="D993" s="15" t="s">
        <v>61</v>
      </c>
      <c r="E993" s="15" t="s">
        <v>69</v>
      </c>
    </row>
    <row r="994" customFormat="false" ht="15" hidden="false" customHeight="false" outlineLevel="0" collapsed="false">
      <c r="A994" s="0" t="s">
        <v>1067</v>
      </c>
      <c r="B994" s="0" t="s">
        <v>35</v>
      </c>
      <c r="C994" s="17" t="n">
        <v>46079</v>
      </c>
      <c r="D994" s="15" t="s">
        <v>72</v>
      </c>
      <c r="E994" s="15" t="s">
        <v>97</v>
      </c>
    </row>
    <row r="995" customFormat="false" ht="15" hidden="false" customHeight="false" outlineLevel="0" collapsed="false">
      <c r="A995" s="0" t="s">
        <v>1068</v>
      </c>
      <c r="B995" s="0" t="s">
        <v>83</v>
      </c>
      <c r="C995" s="17" t="n">
        <v>46067</v>
      </c>
      <c r="D995" s="15" t="s">
        <v>74</v>
      </c>
      <c r="E995" s="15" t="s">
        <v>75</v>
      </c>
    </row>
    <row r="996" customFormat="false" ht="15" hidden="false" customHeight="false" outlineLevel="0" collapsed="false">
      <c r="A996" s="0" t="s">
        <v>1069</v>
      </c>
      <c r="B996" s="0" t="s">
        <v>67</v>
      </c>
      <c r="C996" s="17" t="n">
        <v>46065</v>
      </c>
      <c r="D996" s="15" t="s">
        <v>153</v>
      </c>
      <c r="E996" s="15" t="s">
        <v>65</v>
      </c>
    </row>
    <row r="997" customFormat="false" ht="15" hidden="false" customHeight="false" outlineLevel="0" collapsed="false">
      <c r="A997" s="0" t="s">
        <v>1070</v>
      </c>
      <c r="B997" s="0" t="s">
        <v>83</v>
      </c>
      <c r="C997" s="17" t="n">
        <v>46067</v>
      </c>
      <c r="D997" s="15" t="s">
        <v>84</v>
      </c>
      <c r="E997" s="15" t="s">
        <v>105</v>
      </c>
    </row>
    <row r="998" customFormat="false" ht="15" hidden="false" customHeight="false" outlineLevel="0" collapsed="false">
      <c r="A998" s="0" t="s">
        <v>1071</v>
      </c>
      <c r="B998" s="0" t="s">
        <v>43</v>
      </c>
      <c r="C998" s="17" t="n">
        <v>46060</v>
      </c>
      <c r="D998" s="15" t="s">
        <v>79</v>
      </c>
      <c r="E998" s="15" t="s">
        <v>85</v>
      </c>
    </row>
    <row r="999" customFormat="false" ht="15" hidden="false" customHeight="false" outlineLevel="0" collapsed="false">
      <c r="A999" s="0" t="s">
        <v>585</v>
      </c>
      <c r="B999" s="0" t="s">
        <v>112</v>
      </c>
      <c r="C999" s="17" t="n">
        <v>46041</v>
      </c>
      <c r="D999" s="15" t="s">
        <v>84</v>
      </c>
      <c r="E999" s="15" t="s">
        <v>62</v>
      </c>
    </row>
    <row r="1000" customFormat="false" ht="15" hidden="false" customHeight="false" outlineLevel="0" collapsed="false">
      <c r="A1000" s="0" t="s">
        <v>1072</v>
      </c>
      <c r="B1000" s="0" t="s">
        <v>43</v>
      </c>
      <c r="C1000" s="17" t="n">
        <v>46049</v>
      </c>
      <c r="D1000" s="15" t="s">
        <v>88</v>
      </c>
      <c r="E1000" s="15" t="s">
        <v>97</v>
      </c>
    </row>
    <row r="1001" customFormat="false" ht="15" hidden="false" customHeight="false" outlineLevel="0" collapsed="false">
      <c r="A1001" s="0" t="s">
        <v>1073</v>
      </c>
      <c r="B1001" s="0" t="s">
        <v>39</v>
      </c>
      <c r="C1001" s="17" t="n">
        <v>46049</v>
      </c>
      <c r="D1001" s="15" t="s">
        <v>90</v>
      </c>
      <c r="E1001" s="15" t="s">
        <v>59</v>
      </c>
    </row>
    <row r="1002" customFormat="false" ht="15" hidden="false" customHeight="false" outlineLevel="0" collapsed="false">
      <c r="A1002" s="0" t="s">
        <v>1074</v>
      </c>
      <c r="B1002" s="0" t="s">
        <v>39</v>
      </c>
      <c r="C1002" s="17" t="n">
        <v>46034</v>
      </c>
      <c r="D1002" s="15" t="s">
        <v>107</v>
      </c>
      <c r="E1002" s="15" t="s">
        <v>148</v>
      </c>
    </row>
    <row r="1003" customFormat="false" ht="15" hidden="false" customHeight="false" outlineLevel="0" collapsed="false">
      <c r="A1003" s="0" t="s">
        <v>1075</v>
      </c>
      <c r="B1003" s="0" t="s">
        <v>43</v>
      </c>
      <c r="C1003" s="17" t="n">
        <v>46071</v>
      </c>
      <c r="D1003" s="15" t="s">
        <v>64</v>
      </c>
      <c r="E1003" s="15" t="s">
        <v>62</v>
      </c>
    </row>
    <row r="1004" customFormat="false" ht="15" hidden="false" customHeight="false" outlineLevel="0" collapsed="false">
      <c r="A1004" s="0" t="s">
        <v>1076</v>
      </c>
      <c r="B1004" s="0" t="s">
        <v>57</v>
      </c>
      <c r="C1004" s="17" t="n">
        <v>46059</v>
      </c>
      <c r="D1004" s="15" t="s">
        <v>58</v>
      </c>
      <c r="E1004" s="15" t="s">
        <v>148</v>
      </c>
    </row>
    <row r="1005" customFormat="false" ht="15" hidden="false" customHeight="false" outlineLevel="0" collapsed="false">
      <c r="A1005" s="0" t="s">
        <v>1077</v>
      </c>
      <c r="B1005" s="0" t="s">
        <v>71</v>
      </c>
      <c r="C1005" s="17" t="n">
        <v>46058</v>
      </c>
      <c r="D1005" s="15" t="s">
        <v>79</v>
      </c>
      <c r="E1005" s="15" t="s">
        <v>69</v>
      </c>
    </row>
    <row r="1006" customFormat="false" ht="15" hidden="false" customHeight="false" outlineLevel="0" collapsed="false">
      <c r="A1006" s="0" t="s">
        <v>1078</v>
      </c>
      <c r="B1006" s="0" t="s">
        <v>99</v>
      </c>
      <c r="C1006" s="17" t="n">
        <v>46046</v>
      </c>
      <c r="D1006" s="15" t="s">
        <v>88</v>
      </c>
      <c r="E1006" s="15" t="s">
        <v>97</v>
      </c>
    </row>
    <row r="1007" customFormat="false" ht="15" hidden="false" customHeight="false" outlineLevel="0" collapsed="false">
      <c r="A1007" s="0" t="s">
        <v>1079</v>
      </c>
      <c r="B1007" s="0" t="s">
        <v>95</v>
      </c>
      <c r="C1007" s="17" t="n">
        <v>46073</v>
      </c>
      <c r="D1007" s="15" t="s">
        <v>84</v>
      </c>
      <c r="E1007" s="15" t="s">
        <v>62</v>
      </c>
    </row>
    <row r="1008" customFormat="false" ht="15" hidden="false" customHeight="false" outlineLevel="0" collapsed="false">
      <c r="A1008" s="0" t="s">
        <v>1080</v>
      </c>
      <c r="B1008" s="0" t="s">
        <v>41</v>
      </c>
      <c r="C1008" s="17" t="n">
        <v>46055</v>
      </c>
      <c r="D1008" s="15" t="s">
        <v>107</v>
      </c>
      <c r="E1008" s="15" t="s">
        <v>85</v>
      </c>
    </row>
    <row r="1009" customFormat="false" ht="15" hidden="false" customHeight="false" outlineLevel="0" collapsed="false">
      <c r="A1009" s="0" t="s">
        <v>1081</v>
      </c>
      <c r="B1009" s="0" t="s">
        <v>124</v>
      </c>
      <c r="C1009" s="17" t="n">
        <v>46071</v>
      </c>
      <c r="D1009" s="15" t="s">
        <v>84</v>
      </c>
      <c r="E1009" s="15" t="s">
        <v>85</v>
      </c>
    </row>
    <row r="1010" customFormat="false" ht="15" hidden="false" customHeight="false" outlineLevel="0" collapsed="false">
      <c r="A1010" s="0" t="s">
        <v>1082</v>
      </c>
      <c r="B1010" s="0" t="s">
        <v>41</v>
      </c>
      <c r="C1010" s="17" t="n">
        <v>46079</v>
      </c>
      <c r="D1010" s="15" t="s">
        <v>101</v>
      </c>
      <c r="E1010" s="15" t="s">
        <v>151</v>
      </c>
    </row>
    <row r="1011" customFormat="false" ht="15" hidden="false" customHeight="false" outlineLevel="0" collapsed="false">
      <c r="A1011" s="0" t="s">
        <v>1083</v>
      </c>
      <c r="B1011" s="0" t="s">
        <v>39</v>
      </c>
      <c r="C1011" s="17" t="n">
        <v>46064</v>
      </c>
      <c r="D1011" s="15" t="s">
        <v>107</v>
      </c>
      <c r="E1011" s="15" t="s">
        <v>97</v>
      </c>
    </row>
    <row r="1012" customFormat="false" ht="15" hidden="false" customHeight="false" outlineLevel="0" collapsed="false">
      <c r="A1012" s="0" t="s">
        <v>1084</v>
      </c>
      <c r="B1012" s="0" t="s">
        <v>71</v>
      </c>
      <c r="C1012" s="17" t="n">
        <v>46072</v>
      </c>
      <c r="D1012" s="15" t="s">
        <v>90</v>
      </c>
      <c r="E1012" s="15" t="s">
        <v>85</v>
      </c>
    </row>
    <row r="1013" customFormat="false" ht="15" hidden="false" customHeight="false" outlineLevel="0" collapsed="false">
      <c r="A1013" s="0" t="s">
        <v>1085</v>
      </c>
      <c r="B1013" s="0" t="s">
        <v>71</v>
      </c>
      <c r="C1013" s="17" t="n">
        <v>46041</v>
      </c>
      <c r="D1013" s="15" t="s">
        <v>84</v>
      </c>
      <c r="E1013" s="15" t="s">
        <v>151</v>
      </c>
    </row>
    <row r="1014" customFormat="false" ht="15" hidden="false" customHeight="false" outlineLevel="0" collapsed="false">
      <c r="A1014" s="0" t="s">
        <v>1086</v>
      </c>
      <c r="B1014" s="0" t="s">
        <v>92</v>
      </c>
      <c r="C1014" s="17" t="n">
        <v>46065</v>
      </c>
      <c r="D1014" s="15" t="s">
        <v>81</v>
      </c>
      <c r="E1014" s="15" t="s">
        <v>62</v>
      </c>
    </row>
    <row r="1015" customFormat="false" ht="15" hidden="false" customHeight="false" outlineLevel="0" collapsed="false">
      <c r="A1015" s="0" t="s">
        <v>1087</v>
      </c>
      <c r="B1015" s="0" t="s">
        <v>33</v>
      </c>
      <c r="C1015" s="17" t="n">
        <v>46074</v>
      </c>
      <c r="D1015" s="15" t="s">
        <v>90</v>
      </c>
      <c r="E1015" s="15" t="s">
        <v>97</v>
      </c>
    </row>
    <row r="1016" customFormat="false" ht="15" hidden="false" customHeight="false" outlineLevel="0" collapsed="false">
      <c r="A1016" s="0" t="s">
        <v>179</v>
      </c>
      <c r="B1016" s="0" t="s">
        <v>39</v>
      </c>
      <c r="C1016" s="17" t="n">
        <v>46061</v>
      </c>
      <c r="D1016" s="15" t="s">
        <v>101</v>
      </c>
      <c r="E1016" s="15" t="s">
        <v>85</v>
      </c>
    </row>
    <row r="1017" customFormat="false" ht="15" hidden="false" customHeight="false" outlineLevel="0" collapsed="false">
      <c r="A1017" s="0" t="s">
        <v>1088</v>
      </c>
      <c r="B1017" s="0" t="s">
        <v>71</v>
      </c>
      <c r="C1017" s="17" t="n">
        <v>46066</v>
      </c>
      <c r="D1017" s="15" t="s">
        <v>58</v>
      </c>
      <c r="E1017" s="15" t="s">
        <v>69</v>
      </c>
    </row>
    <row r="1018" customFormat="false" ht="15" hidden="false" customHeight="false" outlineLevel="0" collapsed="false">
      <c r="A1018" s="0" t="s">
        <v>1089</v>
      </c>
      <c r="B1018" s="0" t="s">
        <v>43</v>
      </c>
      <c r="C1018" s="17" t="n">
        <v>46027</v>
      </c>
      <c r="D1018" s="15" t="s">
        <v>107</v>
      </c>
      <c r="E1018" s="15" t="s">
        <v>97</v>
      </c>
    </row>
    <row r="1019" customFormat="false" ht="15" hidden="false" customHeight="false" outlineLevel="0" collapsed="false">
      <c r="A1019" s="0" t="s">
        <v>1090</v>
      </c>
      <c r="B1019" s="0" t="s">
        <v>37</v>
      </c>
      <c r="C1019" s="17" t="n">
        <v>46073</v>
      </c>
      <c r="D1019" s="15" t="s">
        <v>68</v>
      </c>
      <c r="E1019" s="15" t="s">
        <v>109</v>
      </c>
    </row>
    <row r="1020" customFormat="false" ht="15" hidden="false" customHeight="false" outlineLevel="0" collapsed="false">
      <c r="A1020" s="0" t="s">
        <v>1091</v>
      </c>
      <c r="B1020" s="0" t="s">
        <v>95</v>
      </c>
      <c r="C1020" s="17" t="n">
        <v>46068</v>
      </c>
      <c r="D1020" s="15" t="s">
        <v>126</v>
      </c>
      <c r="E1020" s="15" t="s">
        <v>85</v>
      </c>
    </row>
    <row r="1021" customFormat="false" ht="15" hidden="false" customHeight="false" outlineLevel="0" collapsed="false">
      <c r="A1021" s="0" t="s">
        <v>1092</v>
      </c>
      <c r="B1021" s="0" t="s">
        <v>99</v>
      </c>
      <c r="C1021" s="17" t="n">
        <v>46054</v>
      </c>
      <c r="D1021" s="15" t="s">
        <v>88</v>
      </c>
      <c r="E1021" s="15" t="s">
        <v>97</v>
      </c>
    </row>
    <row r="1022" customFormat="false" ht="15" hidden="false" customHeight="false" outlineLevel="0" collapsed="false">
      <c r="A1022" s="0" t="s">
        <v>1093</v>
      </c>
      <c r="B1022" s="0" t="s">
        <v>77</v>
      </c>
      <c r="C1022" s="17" t="n">
        <v>46056</v>
      </c>
      <c r="D1022" s="15" t="s">
        <v>72</v>
      </c>
      <c r="E1022" s="15" t="s">
        <v>59</v>
      </c>
    </row>
    <row r="1023" customFormat="false" ht="15" hidden="false" customHeight="false" outlineLevel="0" collapsed="false">
      <c r="A1023" s="0" t="s">
        <v>1094</v>
      </c>
      <c r="B1023" s="0" t="s">
        <v>116</v>
      </c>
      <c r="C1023" s="17" t="n">
        <v>46053</v>
      </c>
      <c r="D1023" s="15" t="s">
        <v>128</v>
      </c>
      <c r="E1023" s="15" t="s">
        <v>69</v>
      </c>
    </row>
    <row r="1024" customFormat="false" ht="15" hidden="false" customHeight="false" outlineLevel="0" collapsed="false">
      <c r="A1024" s="0" t="s">
        <v>1095</v>
      </c>
      <c r="B1024" s="0" t="s">
        <v>71</v>
      </c>
      <c r="C1024" s="17" t="n">
        <v>46033</v>
      </c>
      <c r="D1024" s="15" t="s">
        <v>96</v>
      </c>
      <c r="E1024" s="15" t="s">
        <v>59</v>
      </c>
    </row>
    <row r="1025" customFormat="false" ht="15" hidden="false" customHeight="false" outlineLevel="0" collapsed="false">
      <c r="A1025" s="0" t="s">
        <v>1096</v>
      </c>
      <c r="B1025" s="0" t="s">
        <v>43</v>
      </c>
      <c r="C1025" s="17" t="n">
        <v>46039</v>
      </c>
      <c r="D1025" s="15" t="s">
        <v>64</v>
      </c>
      <c r="E1025" s="15" t="s">
        <v>97</v>
      </c>
    </row>
    <row r="1026" customFormat="false" ht="15" hidden="false" customHeight="false" outlineLevel="0" collapsed="false">
      <c r="A1026" s="0" t="s">
        <v>1097</v>
      </c>
      <c r="B1026" s="0" t="s">
        <v>33</v>
      </c>
      <c r="C1026" s="17" t="n">
        <v>46042</v>
      </c>
      <c r="D1026" s="15" t="s">
        <v>153</v>
      </c>
      <c r="E1026" s="15" t="s">
        <v>69</v>
      </c>
    </row>
    <row r="1027" customFormat="false" ht="15" hidden="false" customHeight="false" outlineLevel="0" collapsed="false">
      <c r="A1027" s="0" t="s">
        <v>1098</v>
      </c>
      <c r="B1027" s="0" t="s">
        <v>67</v>
      </c>
      <c r="C1027" s="17" t="n">
        <v>46058</v>
      </c>
      <c r="D1027" s="15" t="s">
        <v>74</v>
      </c>
      <c r="E1027" s="15" t="s">
        <v>105</v>
      </c>
    </row>
    <row r="1028" customFormat="false" ht="15" hidden="false" customHeight="false" outlineLevel="0" collapsed="false">
      <c r="A1028" s="0" t="s">
        <v>1099</v>
      </c>
      <c r="B1028" s="0" t="s">
        <v>83</v>
      </c>
      <c r="C1028" s="17" t="n">
        <v>46078</v>
      </c>
      <c r="D1028" s="15" t="s">
        <v>135</v>
      </c>
      <c r="E1028" s="15" t="s">
        <v>69</v>
      </c>
    </row>
    <row r="1029" customFormat="false" ht="15" hidden="false" customHeight="false" outlineLevel="0" collapsed="false">
      <c r="A1029" s="0" t="s">
        <v>1100</v>
      </c>
      <c r="B1029" s="0" t="s">
        <v>71</v>
      </c>
      <c r="C1029" s="17" t="n">
        <v>46046</v>
      </c>
      <c r="D1029" s="15" t="s">
        <v>128</v>
      </c>
      <c r="E1029" s="15" t="s">
        <v>65</v>
      </c>
    </row>
    <row r="1030" customFormat="false" ht="15" hidden="false" customHeight="false" outlineLevel="0" collapsed="false">
      <c r="A1030" s="0" t="s">
        <v>1101</v>
      </c>
      <c r="B1030" s="0" t="s">
        <v>92</v>
      </c>
      <c r="C1030" s="17" t="n">
        <v>46081</v>
      </c>
      <c r="D1030" s="15" t="s">
        <v>135</v>
      </c>
      <c r="E1030" s="15" t="s">
        <v>97</v>
      </c>
    </row>
    <row r="1031" customFormat="false" ht="15" hidden="false" customHeight="false" outlineLevel="0" collapsed="false">
      <c r="A1031" s="0" t="s">
        <v>1102</v>
      </c>
      <c r="B1031" s="0" t="s">
        <v>77</v>
      </c>
      <c r="C1031" s="17" t="n">
        <v>46049</v>
      </c>
      <c r="D1031" s="15" t="s">
        <v>101</v>
      </c>
      <c r="E1031" s="15" t="s">
        <v>97</v>
      </c>
    </row>
    <row r="1032" customFormat="false" ht="15" hidden="false" customHeight="false" outlineLevel="0" collapsed="false">
      <c r="A1032" s="0" t="s">
        <v>1103</v>
      </c>
      <c r="B1032" s="0" t="s">
        <v>35</v>
      </c>
      <c r="C1032" s="17" t="n">
        <v>46070</v>
      </c>
      <c r="D1032" s="15" t="s">
        <v>101</v>
      </c>
      <c r="E1032" s="15" t="s">
        <v>75</v>
      </c>
    </row>
    <row r="1033" customFormat="false" ht="15" hidden="false" customHeight="false" outlineLevel="0" collapsed="false">
      <c r="A1033" s="0" t="s">
        <v>1104</v>
      </c>
      <c r="B1033" s="0" t="s">
        <v>39</v>
      </c>
      <c r="C1033" s="17" t="n">
        <v>46049</v>
      </c>
      <c r="D1033" s="15" t="s">
        <v>90</v>
      </c>
      <c r="E1033" s="15" t="s">
        <v>109</v>
      </c>
    </row>
    <row r="1034" customFormat="false" ht="15" hidden="false" customHeight="false" outlineLevel="0" collapsed="false">
      <c r="A1034" s="0" t="s">
        <v>937</v>
      </c>
      <c r="B1034" s="0" t="s">
        <v>71</v>
      </c>
      <c r="C1034" s="17" t="n">
        <v>46072</v>
      </c>
      <c r="D1034" s="15" t="s">
        <v>153</v>
      </c>
      <c r="E1034" s="15" t="s">
        <v>62</v>
      </c>
    </row>
    <row r="1035" customFormat="false" ht="15" hidden="false" customHeight="false" outlineLevel="0" collapsed="false">
      <c r="A1035" s="0" t="s">
        <v>1105</v>
      </c>
      <c r="B1035" s="0" t="s">
        <v>112</v>
      </c>
      <c r="C1035" s="17" t="n">
        <v>46080</v>
      </c>
      <c r="D1035" s="15" t="s">
        <v>107</v>
      </c>
      <c r="E1035" s="15" t="s">
        <v>59</v>
      </c>
    </row>
    <row r="1036" customFormat="false" ht="15" hidden="false" customHeight="false" outlineLevel="0" collapsed="false">
      <c r="A1036" s="0" t="s">
        <v>1106</v>
      </c>
      <c r="B1036" s="0" t="s">
        <v>83</v>
      </c>
      <c r="C1036" s="17" t="n">
        <v>46065</v>
      </c>
      <c r="D1036" s="15" t="s">
        <v>72</v>
      </c>
      <c r="E1036" s="15" t="s">
        <v>109</v>
      </c>
    </row>
    <row r="1037" customFormat="false" ht="15" hidden="false" customHeight="false" outlineLevel="0" collapsed="false">
      <c r="A1037" s="0" t="s">
        <v>1107</v>
      </c>
      <c r="B1037" s="0" t="s">
        <v>71</v>
      </c>
      <c r="C1037" s="17" t="n">
        <v>46073</v>
      </c>
      <c r="D1037" s="15" t="s">
        <v>128</v>
      </c>
      <c r="E1037" s="15" t="s">
        <v>97</v>
      </c>
    </row>
    <row r="1038" customFormat="false" ht="15" hidden="false" customHeight="false" outlineLevel="0" collapsed="false">
      <c r="A1038" s="0" t="s">
        <v>1108</v>
      </c>
      <c r="B1038" s="0" t="s">
        <v>77</v>
      </c>
      <c r="C1038" s="17" t="n">
        <v>46049</v>
      </c>
      <c r="D1038" s="15" t="s">
        <v>101</v>
      </c>
      <c r="E1038" s="15" t="s">
        <v>85</v>
      </c>
    </row>
    <row r="1039" customFormat="false" ht="15" hidden="false" customHeight="false" outlineLevel="0" collapsed="false">
      <c r="A1039" s="0" t="s">
        <v>1109</v>
      </c>
      <c r="B1039" s="0" t="s">
        <v>57</v>
      </c>
      <c r="C1039" s="17" t="n">
        <v>46030</v>
      </c>
      <c r="D1039" s="15" t="s">
        <v>104</v>
      </c>
      <c r="E1039" s="15" t="s">
        <v>105</v>
      </c>
    </row>
    <row r="1040" customFormat="false" ht="15" hidden="false" customHeight="false" outlineLevel="0" collapsed="false">
      <c r="A1040" s="0" t="s">
        <v>1110</v>
      </c>
      <c r="B1040" s="0" t="s">
        <v>41</v>
      </c>
      <c r="C1040" s="17" t="n">
        <v>46032</v>
      </c>
      <c r="D1040" s="15" t="s">
        <v>72</v>
      </c>
      <c r="E1040" s="15" t="s">
        <v>85</v>
      </c>
    </row>
    <row r="1041" customFormat="false" ht="15" hidden="false" customHeight="false" outlineLevel="0" collapsed="false">
      <c r="A1041" s="0" t="s">
        <v>425</v>
      </c>
      <c r="B1041" s="0" t="s">
        <v>92</v>
      </c>
      <c r="C1041" s="17" t="n">
        <v>46037</v>
      </c>
      <c r="D1041" s="15" t="s">
        <v>79</v>
      </c>
      <c r="E1041" s="15" t="s">
        <v>62</v>
      </c>
    </row>
    <row r="1042" customFormat="false" ht="15" hidden="false" customHeight="false" outlineLevel="0" collapsed="false">
      <c r="A1042" s="0" t="s">
        <v>1111</v>
      </c>
      <c r="B1042" s="0" t="s">
        <v>95</v>
      </c>
      <c r="C1042" s="17" t="n">
        <v>46081</v>
      </c>
      <c r="D1042" s="15" t="s">
        <v>81</v>
      </c>
      <c r="E1042" s="15" t="s">
        <v>75</v>
      </c>
    </row>
    <row r="1043" customFormat="false" ht="15" hidden="false" customHeight="false" outlineLevel="0" collapsed="false">
      <c r="A1043" s="0" t="s">
        <v>1112</v>
      </c>
      <c r="B1043" s="0" t="s">
        <v>37</v>
      </c>
      <c r="C1043" s="17" t="n">
        <v>46054</v>
      </c>
      <c r="D1043" s="15" t="s">
        <v>128</v>
      </c>
      <c r="E1043" s="15" t="s">
        <v>148</v>
      </c>
    </row>
    <row r="1044" customFormat="false" ht="15" hidden="false" customHeight="false" outlineLevel="0" collapsed="false">
      <c r="A1044" s="0" t="s">
        <v>1113</v>
      </c>
      <c r="B1044" s="0" t="s">
        <v>33</v>
      </c>
      <c r="C1044" s="17" t="n">
        <v>46052</v>
      </c>
      <c r="D1044" s="15" t="s">
        <v>64</v>
      </c>
      <c r="E1044" s="15" t="s">
        <v>85</v>
      </c>
    </row>
    <row r="1045" customFormat="false" ht="15" hidden="false" customHeight="false" outlineLevel="0" collapsed="false">
      <c r="A1045" s="0" t="s">
        <v>1114</v>
      </c>
      <c r="B1045" s="0" t="s">
        <v>71</v>
      </c>
      <c r="C1045" s="17" t="n">
        <v>46082</v>
      </c>
      <c r="D1045" s="15" t="s">
        <v>64</v>
      </c>
      <c r="E1045" s="15" t="s">
        <v>65</v>
      </c>
    </row>
    <row r="1046" customFormat="false" ht="15" hidden="false" customHeight="false" outlineLevel="0" collapsed="false">
      <c r="A1046" s="0" t="s">
        <v>1115</v>
      </c>
      <c r="B1046" s="0" t="s">
        <v>77</v>
      </c>
      <c r="C1046" s="17" t="n">
        <v>46036</v>
      </c>
      <c r="D1046" s="15" t="s">
        <v>153</v>
      </c>
      <c r="E1046" s="15" t="s">
        <v>151</v>
      </c>
    </row>
    <row r="1047" customFormat="false" ht="15" hidden="false" customHeight="false" outlineLevel="0" collapsed="false">
      <c r="A1047" s="0" t="s">
        <v>1116</v>
      </c>
      <c r="B1047" s="0" t="s">
        <v>83</v>
      </c>
      <c r="C1047" s="17" t="n">
        <v>46043</v>
      </c>
      <c r="D1047" s="15" t="s">
        <v>128</v>
      </c>
      <c r="E1047" s="15" t="s">
        <v>97</v>
      </c>
    </row>
    <row r="1048" customFormat="false" ht="15" hidden="false" customHeight="false" outlineLevel="0" collapsed="false">
      <c r="A1048" s="0" t="s">
        <v>1117</v>
      </c>
      <c r="B1048" s="0" t="s">
        <v>57</v>
      </c>
      <c r="C1048" s="17" t="n">
        <v>46069</v>
      </c>
      <c r="D1048" s="15" t="s">
        <v>128</v>
      </c>
      <c r="E1048" s="15" t="s">
        <v>85</v>
      </c>
    </row>
    <row r="1049" customFormat="false" ht="15" hidden="false" customHeight="false" outlineLevel="0" collapsed="false">
      <c r="A1049" s="0" t="s">
        <v>1118</v>
      </c>
      <c r="B1049" s="0" t="s">
        <v>41</v>
      </c>
      <c r="C1049" s="17" t="n">
        <v>46027</v>
      </c>
      <c r="D1049" s="15" t="s">
        <v>101</v>
      </c>
      <c r="E1049" s="15" t="s">
        <v>97</v>
      </c>
    </row>
    <row r="1050" customFormat="false" ht="15" hidden="false" customHeight="false" outlineLevel="0" collapsed="false">
      <c r="A1050" s="0" t="s">
        <v>1119</v>
      </c>
      <c r="B1050" s="0" t="s">
        <v>116</v>
      </c>
      <c r="C1050" s="17" t="n">
        <v>46056</v>
      </c>
      <c r="D1050" s="15" t="s">
        <v>81</v>
      </c>
      <c r="E1050" s="15" t="s">
        <v>59</v>
      </c>
    </row>
    <row r="1051" customFormat="false" ht="15" hidden="false" customHeight="false" outlineLevel="0" collapsed="false">
      <c r="A1051" s="0" t="s">
        <v>1120</v>
      </c>
      <c r="B1051" s="0" t="s">
        <v>99</v>
      </c>
      <c r="C1051" s="17" t="n">
        <v>46048</v>
      </c>
      <c r="D1051" s="15" t="s">
        <v>96</v>
      </c>
      <c r="E1051" s="15" t="s">
        <v>105</v>
      </c>
    </row>
    <row r="1052" customFormat="false" ht="15" hidden="false" customHeight="false" outlineLevel="0" collapsed="false">
      <c r="A1052" s="0" t="s">
        <v>1121</v>
      </c>
      <c r="B1052" s="0" t="s">
        <v>83</v>
      </c>
      <c r="C1052" s="17" t="n">
        <v>46053</v>
      </c>
      <c r="D1052" s="15" t="s">
        <v>74</v>
      </c>
      <c r="E1052" s="15" t="s">
        <v>59</v>
      </c>
    </row>
    <row r="1053" customFormat="false" ht="15" hidden="false" customHeight="false" outlineLevel="0" collapsed="false">
      <c r="A1053" s="0" t="s">
        <v>1122</v>
      </c>
      <c r="B1053" s="0" t="s">
        <v>116</v>
      </c>
      <c r="C1053" s="17" t="n">
        <v>46039</v>
      </c>
      <c r="D1053" s="15" t="s">
        <v>58</v>
      </c>
      <c r="E1053" s="15" t="s">
        <v>97</v>
      </c>
    </row>
    <row r="1054" customFormat="false" ht="15" hidden="false" customHeight="false" outlineLevel="0" collapsed="false">
      <c r="A1054" s="0" t="s">
        <v>1123</v>
      </c>
      <c r="B1054" s="0" t="s">
        <v>103</v>
      </c>
      <c r="C1054" s="17" t="n">
        <v>46044</v>
      </c>
      <c r="D1054" s="15" t="s">
        <v>107</v>
      </c>
      <c r="E1054" s="15" t="s">
        <v>85</v>
      </c>
    </row>
    <row r="1055" customFormat="false" ht="15" hidden="false" customHeight="false" outlineLevel="0" collapsed="false">
      <c r="A1055" s="0" t="s">
        <v>1124</v>
      </c>
      <c r="B1055" s="0" t="s">
        <v>95</v>
      </c>
      <c r="C1055" s="17" t="n">
        <v>46049</v>
      </c>
      <c r="D1055" s="15" t="s">
        <v>107</v>
      </c>
      <c r="E1055" s="15" t="s">
        <v>65</v>
      </c>
    </row>
    <row r="1056" customFormat="false" ht="15" hidden="false" customHeight="false" outlineLevel="0" collapsed="false">
      <c r="A1056" s="0" t="s">
        <v>1125</v>
      </c>
      <c r="B1056" s="0" t="s">
        <v>83</v>
      </c>
      <c r="C1056" s="17" t="n">
        <v>46062</v>
      </c>
      <c r="D1056" s="15" t="s">
        <v>128</v>
      </c>
      <c r="E1056" s="15" t="s">
        <v>69</v>
      </c>
    </row>
    <row r="1057" customFormat="false" ht="15" hidden="false" customHeight="false" outlineLevel="0" collapsed="false">
      <c r="A1057" s="0" t="s">
        <v>218</v>
      </c>
      <c r="B1057" s="0" t="s">
        <v>77</v>
      </c>
      <c r="C1057" s="17" t="n">
        <v>46028</v>
      </c>
      <c r="D1057" s="15" t="s">
        <v>58</v>
      </c>
      <c r="E1057" s="15" t="s">
        <v>85</v>
      </c>
    </row>
    <row r="1058" customFormat="false" ht="15" hidden="false" customHeight="false" outlineLevel="0" collapsed="false">
      <c r="A1058" s="0" t="s">
        <v>1126</v>
      </c>
      <c r="B1058" s="0" t="s">
        <v>35</v>
      </c>
      <c r="C1058" s="17" t="n">
        <v>46077</v>
      </c>
      <c r="D1058" s="15" t="s">
        <v>107</v>
      </c>
      <c r="E1058" s="15" t="s">
        <v>65</v>
      </c>
    </row>
    <row r="1059" customFormat="false" ht="15" hidden="false" customHeight="false" outlineLevel="0" collapsed="false">
      <c r="A1059" s="0" t="s">
        <v>1127</v>
      </c>
      <c r="B1059" s="0" t="s">
        <v>77</v>
      </c>
      <c r="C1059" s="17" t="n">
        <v>46048</v>
      </c>
      <c r="D1059" s="15" t="s">
        <v>104</v>
      </c>
      <c r="E1059" s="15" t="s">
        <v>65</v>
      </c>
    </row>
    <row r="1060" customFormat="false" ht="15" hidden="false" customHeight="false" outlineLevel="0" collapsed="false">
      <c r="A1060" s="0" t="s">
        <v>498</v>
      </c>
      <c r="B1060" s="0" t="s">
        <v>37</v>
      </c>
      <c r="C1060" s="17" t="n">
        <v>46057</v>
      </c>
      <c r="D1060" s="15" t="s">
        <v>126</v>
      </c>
      <c r="E1060" s="15" t="s">
        <v>151</v>
      </c>
    </row>
    <row r="1061" customFormat="false" ht="15" hidden="false" customHeight="false" outlineLevel="0" collapsed="false">
      <c r="A1061" s="0" t="s">
        <v>1128</v>
      </c>
      <c r="B1061" s="0" t="s">
        <v>39</v>
      </c>
      <c r="C1061" s="17" t="n">
        <v>46036</v>
      </c>
      <c r="D1061" s="15" t="s">
        <v>68</v>
      </c>
      <c r="E1061" s="15" t="s">
        <v>75</v>
      </c>
    </row>
    <row r="1062" customFormat="false" ht="15" hidden="false" customHeight="false" outlineLevel="0" collapsed="false">
      <c r="A1062" s="0" t="s">
        <v>1129</v>
      </c>
      <c r="B1062" s="0" t="s">
        <v>41</v>
      </c>
      <c r="C1062" s="17" t="n">
        <v>46082</v>
      </c>
      <c r="D1062" s="15" t="s">
        <v>81</v>
      </c>
      <c r="E1062" s="15" t="s">
        <v>65</v>
      </c>
    </row>
    <row r="1063" customFormat="false" ht="15" hidden="false" customHeight="false" outlineLevel="0" collapsed="false">
      <c r="A1063" s="0" t="s">
        <v>675</v>
      </c>
      <c r="B1063" s="0" t="s">
        <v>43</v>
      </c>
      <c r="C1063" s="17" t="n">
        <v>46039</v>
      </c>
      <c r="D1063" s="15" t="s">
        <v>58</v>
      </c>
      <c r="E1063" s="15" t="s">
        <v>65</v>
      </c>
    </row>
    <row r="1064" customFormat="false" ht="15" hidden="false" customHeight="false" outlineLevel="0" collapsed="false">
      <c r="A1064" s="0" t="s">
        <v>1130</v>
      </c>
      <c r="B1064" s="0" t="s">
        <v>39</v>
      </c>
      <c r="C1064" s="17" t="n">
        <v>46053</v>
      </c>
      <c r="D1064" s="15" t="s">
        <v>64</v>
      </c>
      <c r="E1064" s="15" t="s">
        <v>97</v>
      </c>
    </row>
    <row r="1065" customFormat="false" ht="15" hidden="false" customHeight="false" outlineLevel="0" collapsed="false">
      <c r="A1065" s="0" t="s">
        <v>1131</v>
      </c>
      <c r="B1065" s="0" t="s">
        <v>95</v>
      </c>
      <c r="C1065" s="17" t="n">
        <v>46068</v>
      </c>
      <c r="D1065" s="15" t="s">
        <v>153</v>
      </c>
      <c r="E1065" s="15" t="s">
        <v>85</v>
      </c>
    </row>
    <row r="1066" customFormat="false" ht="15" hidden="false" customHeight="false" outlineLevel="0" collapsed="false">
      <c r="A1066" s="0" t="s">
        <v>1132</v>
      </c>
      <c r="B1066" s="0" t="s">
        <v>39</v>
      </c>
      <c r="C1066" s="17" t="n">
        <v>46064</v>
      </c>
      <c r="D1066" s="15" t="s">
        <v>135</v>
      </c>
      <c r="E1066" s="15" t="s">
        <v>69</v>
      </c>
    </row>
    <row r="1067" customFormat="false" ht="15" hidden="false" customHeight="false" outlineLevel="0" collapsed="false">
      <c r="A1067" s="0" t="s">
        <v>1133</v>
      </c>
      <c r="B1067" s="0" t="s">
        <v>35</v>
      </c>
      <c r="C1067" s="17" t="n">
        <v>46066</v>
      </c>
      <c r="D1067" s="15" t="s">
        <v>64</v>
      </c>
      <c r="E1067" s="15" t="s">
        <v>172</v>
      </c>
    </row>
    <row r="1068" customFormat="false" ht="15" hidden="false" customHeight="false" outlineLevel="0" collapsed="false">
      <c r="A1068" s="0" t="s">
        <v>1134</v>
      </c>
      <c r="B1068" s="0" t="s">
        <v>77</v>
      </c>
      <c r="C1068" s="17" t="n">
        <v>46044</v>
      </c>
      <c r="D1068" s="15" t="s">
        <v>90</v>
      </c>
      <c r="E1068" s="15" t="s">
        <v>97</v>
      </c>
    </row>
    <row r="1069" customFormat="false" ht="15" hidden="false" customHeight="false" outlineLevel="0" collapsed="false">
      <c r="A1069" s="0" t="s">
        <v>1135</v>
      </c>
      <c r="B1069" s="0" t="s">
        <v>112</v>
      </c>
      <c r="C1069" s="17" t="n">
        <v>46063</v>
      </c>
      <c r="D1069" s="15" t="s">
        <v>107</v>
      </c>
      <c r="E1069" s="15" t="s">
        <v>65</v>
      </c>
    </row>
    <row r="1070" customFormat="false" ht="15" hidden="false" customHeight="false" outlineLevel="0" collapsed="false">
      <c r="A1070" s="0" t="s">
        <v>1136</v>
      </c>
      <c r="B1070" s="0" t="s">
        <v>71</v>
      </c>
      <c r="C1070" s="17" t="n">
        <v>46055</v>
      </c>
      <c r="D1070" s="15" t="s">
        <v>61</v>
      </c>
      <c r="E1070" s="15" t="s">
        <v>97</v>
      </c>
    </row>
    <row r="1071" customFormat="false" ht="15" hidden="false" customHeight="false" outlineLevel="0" collapsed="false">
      <c r="A1071" s="0" t="s">
        <v>1137</v>
      </c>
      <c r="B1071" s="0" t="s">
        <v>112</v>
      </c>
      <c r="C1071" s="17" t="n">
        <v>46061</v>
      </c>
      <c r="D1071" s="15" t="s">
        <v>128</v>
      </c>
      <c r="E1071" s="15" t="s">
        <v>97</v>
      </c>
    </row>
    <row r="1072" customFormat="false" ht="15" hidden="false" customHeight="false" outlineLevel="0" collapsed="false">
      <c r="A1072" s="0" t="s">
        <v>1138</v>
      </c>
      <c r="B1072" s="0" t="s">
        <v>41</v>
      </c>
      <c r="C1072" s="17" t="n">
        <v>46070</v>
      </c>
      <c r="D1072" s="15" t="s">
        <v>90</v>
      </c>
      <c r="E1072" s="15" t="s">
        <v>85</v>
      </c>
    </row>
    <row r="1073" customFormat="false" ht="15" hidden="false" customHeight="false" outlineLevel="0" collapsed="false">
      <c r="A1073" s="0" t="s">
        <v>1139</v>
      </c>
      <c r="B1073" s="0" t="s">
        <v>41</v>
      </c>
      <c r="C1073" s="17" t="n">
        <v>46076</v>
      </c>
      <c r="D1073" s="15" t="s">
        <v>58</v>
      </c>
      <c r="E1073" s="15" t="s">
        <v>59</v>
      </c>
    </row>
    <row r="1074" customFormat="false" ht="15" hidden="false" customHeight="false" outlineLevel="0" collapsed="false">
      <c r="A1074" s="0" t="s">
        <v>1140</v>
      </c>
      <c r="B1074" s="0" t="s">
        <v>57</v>
      </c>
      <c r="C1074" s="17" t="n">
        <v>46056</v>
      </c>
      <c r="D1074" s="15" t="s">
        <v>72</v>
      </c>
      <c r="E1074" s="15" t="s">
        <v>62</v>
      </c>
    </row>
    <row r="1075" customFormat="false" ht="15" hidden="false" customHeight="false" outlineLevel="0" collapsed="false">
      <c r="A1075" s="0" t="s">
        <v>1141</v>
      </c>
      <c r="B1075" s="0" t="s">
        <v>92</v>
      </c>
      <c r="C1075" s="17" t="n">
        <v>46051</v>
      </c>
      <c r="D1075" s="15" t="s">
        <v>153</v>
      </c>
      <c r="E1075" s="15" t="s">
        <v>59</v>
      </c>
    </row>
    <row r="1076" customFormat="false" ht="15" hidden="false" customHeight="false" outlineLevel="0" collapsed="false">
      <c r="A1076" s="0" t="s">
        <v>1142</v>
      </c>
      <c r="B1076" s="0" t="s">
        <v>95</v>
      </c>
      <c r="C1076" s="17" t="n">
        <v>46028</v>
      </c>
      <c r="D1076" s="15" t="s">
        <v>96</v>
      </c>
      <c r="E1076" s="15" t="s">
        <v>85</v>
      </c>
    </row>
    <row r="1077" customFormat="false" ht="15" hidden="false" customHeight="false" outlineLevel="0" collapsed="false">
      <c r="A1077" s="0" t="s">
        <v>1143</v>
      </c>
      <c r="B1077" s="0" t="s">
        <v>67</v>
      </c>
      <c r="C1077" s="17" t="n">
        <v>46052</v>
      </c>
      <c r="D1077" s="15" t="s">
        <v>104</v>
      </c>
      <c r="E1077" s="15" t="s">
        <v>148</v>
      </c>
    </row>
    <row r="1078" customFormat="false" ht="15" hidden="false" customHeight="false" outlineLevel="0" collapsed="false">
      <c r="A1078" s="0" t="s">
        <v>1144</v>
      </c>
      <c r="B1078" s="0" t="s">
        <v>99</v>
      </c>
      <c r="C1078" s="17" t="n">
        <v>46044</v>
      </c>
      <c r="D1078" s="15" t="s">
        <v>126</v>
      </c>
      <c r="E1078" s="15" t="s">
        <v>59</v>
      </c>
    </row>
    <row r="1079" customFormat="false" ht="15" hidden="false" customHeight="false" outlineLevel="0" collapsed="false">
      <c r="A1079" s="0" t="s">
        <v>1145</v>
      </c>
      <c r="B1079" s="0" t="s">
        <v>99</v>
      </c>
      <c r="C1079" s="17" t="n">
        <v>46044</v>
      </c>
      <c r="D1079" s="15" t="s">
        <v>128</v>
      </c>
      <c r="E1079" s="15" t="s">
        <v>65</v>
      </c>
    </row>
    <row r="1080" customFormat="false" ht="15" hidden="false" customHeight="false" outlineLevel="0" collapsed="false">
      <c r="A1080" s="0" t="s">
        <v>1146</v>
      </c>
      <c r="B1080" s="0" t="s">
        <v>67</v>
      </c>
      <c r="C1080" s="17" t="n">
        <v>46033</v>
      </c>
      <c r="D1080" s="15" t="s">
        <v>104</v>
      </c>
      <c r="E1080" s="15" t="s">
        <v>62</v>
      </c>
    </row>
    <row r="1081" customFormat="false" ht="15" hidden="false" customHeight="false" outlineLevel="0" collapsed="false">
      <c r="A1081" s="0" t="s">
        <v>1147</v>
      </c>
      <c r="B1081" s="0" t="s">
        <v>83</v>
      </c>
      <c r="C1081" s="17" t="n">
        <v>46049</v>
      </c>
      <c r="D1081" s="15" t="s">
        <v>104</v>
      </c>
      <c r="E1081" s="15" t="s">
        <v>151</v>
      </c>
    </row>
    <row r="1082" customFormat="false" ht="15" hidden="false" customHeight="false" outlineLevel="0" collapsed="false">
      <c r="A1082" s="0" t="s">
        <v>1148</v>
      </c>
      <c r="B1082" s="0" t="s">
        <v>41</v>
      </c>
      <c r="C1082" s="17" t="n">
        <v>46074</v>
      </c>
      <c r="D1082" s="15" t="s">
        <v>72</v>
      </c>
      <c r="E1082" s="15" t="s">
        <v>97</v>
      </c>
    </row>
    <row r="1083" customFormat="false" ht="15" hidden="false" customHeight="false" outlineLevel="0" collapsed="false">
      <c r="A1083" s="0" t="s">
        <v>1149</v>
      </c>
      <c r="B1083" s="0" t="s">
        <v>112</v>
      </c>
      <c r="C1083" s="17" t="n">
        <v>46049</v>
      </c>
      <c r="D1083" s="15" t="s">
        <v>93</v>
      </c>
      <c r="E1083" s="15" t="s">
        <v>85</v>
      </c>
    </row>
    <row r="1084" customFormat="false" ht="15" hidden="false" customHeight="false" outlineLevel="0" collapsed="false">
      <c r="A1084" s="0" t="s">
        <v>1150</v>
      </c>
      <c r="B1084" s="0" t="s">
        <v>35</v>
      </c>
      <c r="C1084" s="17" t="n">
        <v>46080</v>
      </c>
      <c r="D1084" s="15" t="s">
        <v>79</v>
      </c>
      <c r="E1084" s="15" t="s">
        <v>97</v>
      </c>
    </row>
    <row r="1085" customFormat="false" ht="15" hidden="false" customHeight="false" outlineLevel="0" collapsed="false">
      <c r="A1085" s="0" t="s">
        <v>1151</v>
      </c>
      <c r="B1085" s="0" t="s">
        <v>33</v>
      </c>
      <c r="C1085" s="17" t="n">
        <v>46078</v>
      </c>
      <c r="D1085" s="15" t="s">
        <v>79</v>
      </c>
      <c r="E1085" s="15" t="s">
        <v>85</v>
      </c>
    </row>
    <row r="1086" customFormat="false" ht="15" hidden="false" customHeight="false" outlineLevel="0" collapsed="false">
      <c r="A1086" s="0" t="s">
        <v>1152</v>
      </c>
      <c r="B1086" s="0" t="s">
        <v>95</v>
      </c>
      <c r="C1086" s="17" t="n">
        <v>46059</v>
      </c>
      <c r="D1086" s="15" t="s">
        <v>58</v>
      </c>
      <c r="E1086" s="15" t="s">
        <v>85</v>
      </c>
    </row>
    <row r="1087" customFormat="false" ht="15" hidden="false" customHeight="false" outlineLevel="0" collapsed="false">
      <c r="A1087" s="0" t="s">
        <v>1153</v>
      </c>
      <c r="B1087" s="0" t="s">
        <v>99</v>
      </c>
      <c r="C1087" s="17" t="n">
        <v>46029</v>
      </c>
      <c r="D1087" s="15" t="s">
        <v>81</v>
      </c>
      <c r="E1087" s="15" t="s">
        <v>69</v>
      </c>
    </row>
    <row r="1088" customFormat="false" ht="15" hidden="false" customHeight="false" outlineLevel="0" collapsed="false">
      <c r="A1088" s="0" t="s">
        <v>1154</v>
      </c>
      <c r="B1088" s="0" t="s">
        <v>57</v>
      </c>
      <c r="C1088" s="17" t="n">
        <v>46035</v>
      </c>
      <c r="D1088" s="15" t="s">
        <v>104</v>
      </c>
      <c r="E1088" s="15" t="s">
        <v>97</v>
      </c>
    </row>
    <row r="1089" customFormat="false" ht="15" hidden="false" customHeight="false" outlineLevel="0" collapsed="false">
      <c r="A1089" s="0" t="s">
        <v>1155</v>
      </c>
      <c r="B1089" s="0" t="s">
        <v>83</v>
      </c>
      <c r="C1089" s="17" t="n">
        <v>46033</v>
      </c>
      <c r="D1089" s="15" t="s">
        <v>61</v>
      </c>
      <c r="E1089" s="15" t="s">
        <v>59</v>
      </c>
    </row>
    <row r="1090" customFormat="false" ht="15" hidden="false" customHeight="false" outlineLevel="0" collapsed="false">
      <c r="A1090" s="0" t="s">
        <v>1156</v>
      </c>
      <c r="B1090" s="0" t="s">
        <v>57</v>
      </c>
      <c r="C1090" s="17" t="n">
        <v>46080</v>
      </c>
      <c r="D1090" s="15" t="s">
        <v>64</v>
      </c>
      <c r="E1090" s="15" t="s">
        <v>62</v>
      </c>
    </row>
    <row r="1091" customFormat="false" ht="15" hidden="false" customHeight="false" outlineLevel="0" collapsed="false">
      <c r="A1091" s="0" t="s">
        <v>141</v>
      </c>
      <c r="B1091" s="0" t="s">
        <v>37</v>
      </c>
      <c r="C1091" s="17" t="n">
        <v>46064</v>
      </c>
      <c r="D1091" s="15" t="s">
        <v>72</v>
      </c>
      <c r="E1091" s="15" t="s">
        <v>65</v>
      </c>
    </row>
    <row r="1092" customFormat="false" ht="15" hidden="false" customHeight="false" outlineLevel="0" collapsed="false">
      <c r="A1092" s="0" t="s">
        <v>1157</v>
      </c>
      <c r="B1092" s="0" t="s">
        <v>57</v>
      </c>
      <c r="C1092" s="17" t="n">
        <v>46062</v>
      </c>
      <c r="D1092" s="15" t="s">
        <v>74</v>
      </c>
      <c r="E1092" s="15" t="s">
        <v>65</v>
      </c>
    </row>
    <row r="1093" customFormat="false" ht="15" hidden="false" customHeight="false" outlineLevel="0" collapsed="false">
      <c r="A1093" s="0" t="s">
        <v>1158</v>
      </c>
      <c r="B1093" s="0" t="s">
        <v>116</v>
      </c>
      <c r="C1093" s="17" t="n">
        <v>46038</v>
      </c>
      <c r="D1093" s="15" t="s">
        <v>135</v>
      </c>
      <c r="E1093" s="15" t="s">
        <v>85</v>
      </c>
    </row>
    <row r="1094" customFormat="false" ht="15" hidden="false" customHeight="false" outlineLevel="0" collapsed="false">
      <c r="A1094" s="0" t="s">
        <v>1159</v>
      </c>
      <c r="B1094" s="0" t="s">
        <v>124</v>
      </c>
      <c r="C1094" s="17" t="n">
        <v>46040</v>
      </c>
      <c r="D1094" s="15" t="s">
        <v>135</v>
      </c>
      <c r="E1094" s="15" t="s">
        <v>59</v>
      </c>
    </row>
    <row r="1095" customFormat="false" ht="15" hidden="false" customHeight="false" outlineLevel="0" collapsed="false">
      <c r="A1095" s="0" t="s">
        <v>185</v>
      </c>
      <c r="B1095" s="0" t="s">
        <v>41</v>
      </c>
      <c r="C1095" s="17" t="n">
        <v>46036</v>
      </c>
      <c r="D1095" s="15" t="s">
        <v>90</v>
      </c>
      <c r="E1095" s="15" t="s">
        <v>62</v>
      </c>
    </row>
    <row r="1096" customFormat="false" ht="15" hidden="false" customHeight="false" outlineLevel="0" collapsed="false">
      <c r="A1096" s="0" t="s">
        <v>507</v>
      </c>
      <c r="B1096" s="0" t="s">
        <v>57</v>
      </c>
      <c r="C1096" s="17" t="n">
        <v>46067</v>
      </c>
      <c r="D1096" s="15" t="s">
        <v>93</v>
      </c>
      <c r="E1096" s="15" t="s">
        <v>59</v>
      </c>
    </row>
    <row r="1097" customFormat="false" ht="15" hidden="false" customHeight="false" outlineLevel="0" collapsed="false">
      <c r="A1097" s="0" t="s">
        <v>1160</v>
      </c>
      <c r="B1097" s="0" t="s">
        <v>103</v>
      </c>
      <c r="C1097" s="17" t="n">
        <v>46065</v>
      </c>
      <c r="D1097" s="15" t="s">
        <v>90</v>
      </c>
      <c r="E1097" s="15" t="s">
        <v>105</v>
      </c>
    </row>
    <row r="1098" customFormat="false" ht="15" hidden="false" customHeight="false" outlineLevel="0" collapsed="false">
      <c r="A1098" s="0" t="s">
        <v>1161</v>
      </c>
      <c r="B1098" s="0" t="s">
        <v>116</v>
      </c>
      <c r="C1098" s="17" t="n">
        <v>46028</v>
      </c>
      <c r="D1098" s="15" t="s">
        <v>104</v>
      </c>
      <c r="E1098" s="15" t="s">
        <v>97</v>
      </c>
    </row>
    <row r="1099" customFormat="false" ht="15" hidden="false" customHeight="false" outlineLevel="0" collapsed="false">
      <c r="A1099" s="0" t="s">
        <v>1162</v>
      </c>
      <c r="B1099" s="0" t="s">
        <v>57</v>
      </c>
      <c r="C1099" s="17" t="n">
        <v>46073</v>
      </c>
      <c r="D1099" s="15" t="s">
        <v>68</v>
      </c>
      <c r="E1099" s="15" t="s">
        <v>85</v>
      </c>
    </row>
    <row r="1100" customFormat="false" ht="15" hidden="false" customHeight="false" outlineLevel="0" collapsed="false">
      <c r="A1100" s="0" t="s">
        <v>1163</v>
      </c>
      <c r="B1100" s="0" t="s">
        <v>67</v>
      </c>
      <c r="C1100" s="17" t="n">
        <v>46039</v>
      </c>
      <c r="D1100" s="15" t="s">
        <v>93</v>
      </c>
      <c r="E1100" s="15" t="s">
        <v>69</v>
      </c>
    </row>
    <row r="1101" customFormat="false" ht="15" hidden="false" customHeight="false" outlineLevel="0" collapsed="false">
      <c r="A1101" s="0" t="s">
        <v>1164</v>
      </c>
      <c r="B1101" s="0" t="s">
        <v>83</v>
      </c>
      <c r="C1101" s="17" t="n">
        <v>46048</v>
      </c>
      <c r="D1101" s="15" t="s">
        <v>107</v>
      </c>
      <c r="E1101" s="15" t="s">
        <v>65</v>
      </c>
    </row>
    <row r="1102" customFormat="false" ht="15" hidden="false" customHeight="false" outlineLevel="0" collapsed="false">
      <c r="A1102" s="0" t="s">
        <v>1165</v>
      </c>
      <c r="B1102" s="0" t="s">
        <v>92</v>
      </c>
      <c r="C1102" s="17" t="n">
        <v>46048</v>
      </c>
      <c r="D1102" s="15" t="s">
        <v>64</v>
      </c>
      <c r="E1102" s="15" t="s">
        <v>62</v>
      </c>
    </row>
    <row r="1103" customFormat="false" ht="15" hidden="false" customHeight="false" outlineLevel="0" collapsed="false">
      <c r="A1103" s="0" t="s">
        <v>1166</v>
      </c>
      <c r="B1103" s="0" t="s">
        <v>116</v>
      </c>
      <c r="C1103" s="17" t="n">
        <v>46058</v>
      </c>
      <c r="D1103" s="15" t="s">
        <v>74</v>
      </c>
      <c r="E1103" s="15" t="s">
        <v>65</v>
      </c>
    </row>
    <row r="1104" customFormat="false" ht="15" hidden="false" customHeight="false" outlineLevel="0" collapsed="false">
      <c r="A1104" s="0" t="s">
        <v>1167</v>
      </c>
      <c r="B1104" s="0" t="s">
        <v>116</v>
      </c>
      <c r="C1104" s="17" t="n">
        <v>46060</v>
      </c>
      <c r="D1104" s="15" t="s">
        <v>61</v>
      </c>
      <c r="E1104" s="15" t="s">
        <v>62</v>
      </c>
    </row>
    <row r="1105" customFormat="false" ht="15" hidden="false" customHeight="false" outlineLevel="0" collapsed="false">
      <c r="A1105" s="0" t="s">
        <v>1168</v>
      </c>
      <c r="B1105" s="0" t="s">
        <v>43</v>
      </c>
      <c r="C1105" s="17" t="n">
        <v>46038</v>
      </c>
      <c r="D1105" s="15" t="s">
        <v>79</v>
      </c>
      <c r="E1105" s="15" t="s">
        <v>97</v>
      </c>
    </row>
    <row r="1106" customFormat="false" ht="15" hidden="false" customHeight="false" outlineLevel="0" collapsed="false">
      <c r="A1106" s="0" t="s">
        <v>1022</v>
      </c>
      <c r="B1106" s="0" t="s">
        <v>33</v>
      </c>
      <c r="C1106" s="17" t="n">
        <v>46028</v>
      </c>
      <c r="D1106" s="15" t="s">
        <v>68</v>
      </c>
      <c r="E1106" s="15" t="s">
        <v>109</v>
      </c>
    </row>
    <row r="1107" customFormat="false" ht="15" hidden="false" customHeight="false" outlineLevel="0" collapsed="false">
      <c r="A1107" s="0" t="s">
        <v>1169</v>
      </c>
      <c r="B1107" s="0" t="s">
        <v>71</v>
      </c>
      <c r="C1107" s="17" t="n">
        <v>46076</v>
      </c>
      <c r="D1107" s="15" t="s">
        <v>107</v>
      </c>
      <c r="E1107" s="15" t="s">
        <v>151</v>
      </c>
    </row>
    <row r="1108" customFormat="false" ht="15" hidden="false" customHeight="false" outlineLevel="0" collapsed="false">
      <c r="A1108" s="0" t="s">
        <v>1170</v>
      </c>
      <c r="B1108" s="0" t="s">
        <v>35</v>
      </c>
      <c r="C1108" s="17" t="n">
        <v>46060</v>
      </c>
      <c r="D1108" s="15" t="s">
        <v>72</v>
      </c>
      <c r="E1108" s="15" t="s">
        <v>65</v>
      </c>
    </row>
    <row r="1109" customFormat="false" ht="15" hidden="false" customHeight="false" outlineLevel="0" collapsed="false">
      <c r="A1109" s="0" t="s">
        <v>1171</v>
      </c>
      <c r="B1109" s="0" t="s">
        <v>43</v>
      </c>
      <c r="C1109" s="17" t="n">
        <v>46027</v>
      </c>
      <c r="D1109" s="15" t="s">
        <v>68</v>
      </c>
      <c r="E1109" s="15" t="s">
        <v>97</v>
      </c>
    </row>
    <row r="1110" customFormat="false" ht="15" hidden="false" customHeight="false" outlineLevel="0" collapsed="false">
      <c r="A1110" s="0" t="s">
        <v>1172</v>
      </c>
      <c r="B1110" s="0" t="s">
        <v>39</v>
      </c>
      <c r="C1110" s="17" t="n">
        <v>46048</v>
      </c>
      <c r="D1110" s="15" t="s">
        <v>135</v>
      </c>
      <c r="E1110" s="15" t="s">
        <v>85</v>
      </c>
    </row>
    <row r="1111" customFormat="false" ht="15" hidden="false" customHeight="false" outlineLevel="0" collapsed="false">
      <c r="A1111" s="0" t="s">
        <v>1173</v>
      </c>
      <c r="B1111" s="0" t="s">
        <v>37</v>
      </c>
      <c r="C1111" s="17" t="n">
        <v>46056</v>
      </c>
      <c r="D1111" s="15" t="s">
        <v>64</v>
      </c>
      <c r="E1111" s="15" t="s">
        <v>85</v>
      </c>
    </row>
    <row r="1112" customFormat="false" ht="15" hidden="false" customHeight="false" outlineLevel="0" collapsed="false">
      <c r="A1112" s="0" t="s">
        <v>1174</v>
      </c>
      <c r="B1112" s="0" t="s">
        <v>103</v>
      </c>
      <c r="C1112" s="17" t="n">
        <v>46076</v>
      </c>
      <c r="D1112" s="15" t="s">
        <v>84</v>
      </c>
      <c r="E1112" s="15" t="s">
        <v>65</v>
      </c>
    </row>
    <row r="1113" customFormat="false" ht="15" hidden="false" customHeight="false" outlineLevel="0" collapsed="false">
      <c r="A1113" s="0" t="s">
        <v>1175</v>
      </c>
      <c r="B1113" s="0" t="s">
        <v>39</v>
      </c>
      <c r="C1113" s="17" t="n">
        <v>46060</v>
      </c>
      <c r="D1113" s="15" t="s">
        <v>88</v>
      </c>
      <c r="E1113" s="15" t="s">
        <v>59</v>
      </c>
    </row>
    <row r="1114" customFormat="false" ht="15" hidden="false" customHeight="false" outlineLevel="0" collapsed="false">
      <c r="A1114" s="0" t="s">
        <v>1176</v>
      </c>
      <c r="B1114" s="0" t="s">
        <v>71</v>
      </c>
      <c r="C1114" s="17" t="n">
        <v>46039</v>
      </c>
      <c r="D1114" s="15" t="s">
        <v>74</v>
      </c>
      <c r="E1114" s="15" t="s">
        <v>59</v>
      </c>
    </row>
    <row r="1115" customFormat="false" ht="15" hidden="false" customHeight="false" outlineLevel="0" collapsed="false">
      <c r="A1115" s="0" t="s">
        <v>1177</v>
      </c>
      <c r="B1115" s="0" t="s">
        <v>103</v>
      </c>
      <c r="C1115" s="17" t="n">
        <v>46041</v>
      </c>
      <c r="D1115" s="15" t="s">
        <v>64</v>
      </c>
      <c r="E1115" s="15" t="s">
        <v>109</v>
      </c>
    </row>
    <row r="1116" customFormat="false" ht="15" hidden="false" customHeight="false" outlineLevel="0" collapsed="false">
      <c r="A1116" s="0" t="s">
        <v>1052</v>
      </c>
      <c r="B1116" s="0" t="s">
        <v>67</v>
      </c>
      <c r="C1116" s="17" t="n">
        <v>46049</v>
      </c>
      <c r="D1116" s="15" t="s">
        <v>74</v>
      </c>
      <c r="E1116" s="15" t="s">
        <v>151</v>
      </c>
    </row>
    <row r="1117" customFormat="false" ht="15" hidden="false" customHeight="false" outlineLevel="0" collapsed="false">
      <c r="A1117" s="0" t="s">
        <v>1178</v>
      </c>
      <c r="B1117" s="0" t="s">
        <v>83</v>
      </c>
      <c r="C1117" s="17" t="n">
        <v>46071</v>
      </c>
      <c r="D1117" s="15" t="s">
        <v>61</v>
      </c>
      <c r="E1117" s="15" t="s">
        <v>85</v>
      </c>
    </row>
    <row r="1118" customFormat="false" ht="15" hidden="false" customHeight="false" outlineLevel="0" collapsed="false">
      <c r="A1118" s="0" t="s">
        <v>1179</v>
      </c>
      <c r="B1118" s="0" t="s">
        <v>39</v>
      </c>
      <c r="C1118" s="17" t="n">
        <v>46052</v>
      </c>
      <c r="D1118" s="15" t="s">
        <v>58</v>
      </c>
      <c r="E1118" s="15" t="s">
        <v>97</v>
      </c>
    </row>
    <row r="1119" customFormat="false" ht="15" hidden="false" customHeight="false" outlineLevel="0" collapsed="false">
      <c r="A1119" s="0" t="s">
        <v>1180</v>
      </c>
      <c r="B1119" s="0" t="s">
        <v>37</v>
      </c>
      <c r="C1119" s="17" t="n">
        <v>46039</v>
      </c>
      <c r="D1119" s="15" t="s">
        <v>61</v>
      </c>
      <c r="E1119" s="15" t="s">
        <v>97</v>
      </c>
    </row>
    <row r="1120" customFormat="false" ht="15" hidden="false" customHeight="false" outlineLevel="0" collapsed="false">
      <c r="A1120" s="0" t="s">
        <v>1012</v>
      </c>
      <c r="B1120" s="0" t="s">
        <v>35</v>
      </c>
      <c r="C1120" s="17" t="n">
        <v>46077</v>
      </c>
      <c r="D1120" s="15" t="s">
        <v>107</v>
      </c>
      <c r="E1120" s="15" t="s">
        <v>85</v>
      </c>
    </row>
    <row r="1121" customFormat="false" ht="15" hidden="false" customHeight="false" outlineLevel="0" collapsed="false">
      <c r="A1121" s="0" t="s">
        <v>1181</v>
      </c>
      <c r="B1121" s="0" t="s">
        <v>112</v>
      </c>
      <c r="C1121" s="17" t="n">
        <v>46043</v>
      </c>
      <c r="D1121" s="15" t="s">
        <v>101</v>
      </c>
      <c r="E1121" s="15" t="s">
        <v>69</v>
      </c>
    </row>
    <row r="1122" customFormat="false" ht="15" hidden="false" customHeight="false" outlineLevel="0" collapsed="false">
      <c r="A1122" s="0" t="s">
        <v>1182</v>
      </c>
      <c r="B1122" s="0" t="s">
        <v>33</v>
      </c>
      <c r="C1122" s="17" t="n">
        <v>46069</v>
      </c>
      <c r="D1122" s="15" t="s">
        <v>96</v>
      </c>
      <c r="E1122" s="15" t="s">
        <v>97</v>
      </c>
    </row>
    <row r="1123" customFormat="false" ht="15" hidden="false" customHeight="false" outlineLevel="0" collapsed="false">
      <c r="A1123" s="0" t="s">
        <v>1183</v>
      </c>
      <c r="B1123" s="0" t="s">
        <v>99</v>
      </c>
      <c r="C1123" s="17" t="n">
        <v>46074</v>
      </c>
      <c r="D1123" s="15" t="s">
        <v>61</v>
      </c>
      <c r="E1123" s="15" t="s">
        <v>69</v>
      </c>
    </row>
    <row r="1124" customFormat="false" ht="15" hidden="false" customHeight="false" outlineLevel="0" collapsed="false">
      <c r="A1124" s="0" t="s">
        <v>1184</v>
      </c>
      <c r="B1124" s="0" t="s">
        <v>43</v>
      </c>
      <c r="C1124" s="17" t="n">
        <v>46065</v>
      </c>
      <c r="D1124" s="15" t="s">
        <v>72</v>
      </c>
      <c r="E1124" s="15" t="s">
        <v>97</v>
      </c>
    </row>
    <row r="1125" customFormat="false" ht="15" hidden="false" customHeight="false" outlineLevel="0" collapsed="false">
      <c r="A1125" s="0" t="s">
        <v>1185</v>
      </c>
      <c r="B1125" s="0" t="s">
        <v>37</v>
      </c>
      <c r="C1125" s="17" t="n">
        <v>46031</v>
      </c>
      <c r="D1125" s="15" t="s">
        <v>74</v>
      </c>
      <c r="E1125" s="15" t="s">
        <v>97</v>
      </c>
    </row>
    <row r="1126" customFormat="false" ht="15" hidden="false" customHeight="false" outlineLevel="0" collapsed="false">
      <c r="A1126" s="0" t="s">
        <v>1186</v>
      </c>
      <c r="B1126" s="0" t="s">
        <v>39</v>
      </c>
      <c r="C1126" s="17" t="n">
        <v>46041</v>
      </c>
      <c r="D1126" s="15" t="s">
        <v>81</v>
      </c>
      <c r="E1126" s="15" t="s">
        <v>62</v>
      </c>
    </row>
    <row r="1127" customFormat="false" ht="15" hidden="false" customHeight="false" outlineLevel="0" collapsed="false">
      <c r="A1127" s="0" t="s">
        <v>1187</v>
      </c>
      <c r="B1127" s="0" t="s">
        <v>116</v>
      </c>
      <c r="C1127" s="17" t="n">
        <v>46062</v>
      </c>
      <c r="D1127" s="15" t="s">
        <v>81</v>
      </c>
      <c r="E1127" s="15" t="s">
        <v>97</v>
      </c>
    </row>
    <row r="1128" customFormat="false" ht="15" hidden="false" customHeight="false" outlineLevel="0" collapsed="false">
      <c r="A1128" s="0" t="s">
        <v>1188</v>
      </c>
      <c r="B1128" s="0" t="s">
        <v>37</v>
      </c>
      <c r="C1128" s="17" t="n">
        <v>46077</v>
      </c>
      <c r="D1128" s="15" t="s">
        <v>79</v>
      </c>
      <c r="E1128" s="15" t="s">
        <v>62</v>
      </c>
    </row>
    <row r="1129" customFormat="false" ht="15" hidden="false" customHeight="false" outlineLevel="0" collapsed="false">
      <c r="A1129" s="0" t="s">
        <v>1189</v>
      </c>
      <c r="B1129" s="0" t="s">
        <v>39</v>
      </c>
      <c r="C1129" s="17" t="n">
        <v>46053</v>
      </c>
      <c r="D1129" s="15" t="s">
        <v>90</v>
      </c>
      <c r="E1129" s="15" t="s">
        <v>97</v>
      </c>
    </row>
    <row r="1130" customFormat="false" ht="15" hidden="false" customHeight="false" outlineLevel="0" collapsed="false">
      <c r="A1130" s="0" t="s">
        <v>1190</v>
      </c>
      <c r="B1130" s="0" t="s">
        <v>67</v>
      </c>
      <c r="C1130" s="17" t="n">
        <v>46082</v>
      </c>
      <c r="D1130" s="15" t="s">
        <v>96</v>
      </c>
      <c r="E1130" s="15" t="s">
        <v>85</v>
      </c>
    </row>
    <row r="1131" customFormat="false" ht="15" hidden="false" customHeight="false" outlineLevel="0" collapsed="false">
      <c r="A1131" s="0" t="s">
        <v>1191</v>
      </c>
      <c r="B1131" s="0" t="s">
        <v>112</v>
      </c>
      <c r="C1131" s="17" t="n">
        <v>46059</v>
      </c>
      <c r="D1131" s="15" t="s">
        <v>128</v>
      </c>
      <c r="E1131" s="15" t="s">
        <v>148</v>
      </c>
    </row>
    <row r="1132" customFormat="false" ht="15" hidden="false" customHeight="false" outlineLevel="0" collapsed="false">
      <c r="A1132" s="0" t="s">
        <v>1192</v>
      </c>
      <c r="B1132" s="0" t="s">
        <v>39</v>
      </c>
      <c r="C1132" s="17" t="n">
        <v>46047</v>
      </c>
      <c r="D1132" s="15" t="s">
        <v>84</v>
      </c>
      <c r="E1132" s="15" t="s">
        <v>69</v>
      </c>
    </row>
    <row r="1133" customFormat="false" ht="15" hidden="false" customHeight="false" outlineLevel="0" collapsed="false">
      <c r="A1133" s="0" t="s">
        <v>1193</v>
      </c>
      <c r="B1133" s="0" t="s">
        <v>41</v>
      </c>
      <c r="C1133" s="17" t="n">
        <v>46032</v>
      </c>
      <c r="D1133" s="15" t="s">
        <v>64</v>
      </c>
      <c r="E1133" s="15" t="s">
        <v>151</v>
      </c>
    </row>
    <row r="1134" customFormat="false" ht="15" hidden="false" customHeight="false" outlineLevel="0" collapsed="false">
      <c r="A1134" s="0" t="s">
        <v>1194</v>
      </c>
      <c r="B1134" s="0" t="s">
        <v>39</v>
      </c>
      <c r="C1134" s="17" t="n">
        <v>46052</v>
      </c>
      <c r="D1134" s="15" t="s">
        <v>153</v>
      </c>
      <c r="E1134" s="15" t="s">
        <v>85</v>
      </c>
    </row>
    <row r="1135" customFormat="false" ht="15" hidden="false" customHeight="false" outlineLevel="0" collapsed="false">
      <c r="A1135" s="0" t="s">
        <v>1195</v>
      </c>
      <c r="B1135" s="0" t="s">
        <v>33</v>
      </c>
      <c r="C1135" s="17" t="n">
        <v>46072</v>
      </c>
      <c r="D1135" s="15" t="s">
        <v>88</v>
      </c>
      <c r="E1135" s="15" t="s">
        <v>69</v>
      </c>
    </row>
    <row r="1136" customFormat="false" ht="15" hidden="false" customHeight="false" outlineLevel="0" collapsed="false">
      <c r="A1136" s="0" t="s">
        <v>1196</v>
      </c>
      <c r="B1136" s="0" t="s">
        <v>103</v>
      </c>
      <c r="C1136" s="17" t="n">
        <v>46031</v>
      </c>
      <c r="D1136" s="15" t="s">
        <v>84</v>
      </c>
      <c r="E1136" s="15" t="s">
        <v>69</v>
      </c>
    </row>
    <row r="1137" customFormat="false" ht="15" hidden="false" customHeight="false" outlineLevel="0" collapsed="false">
      <c r="A1137" s="0" t="s">
        <v>1197</v>
      </c>
      <c r="B1137" s="0" t="s">
        <v>67</v>
      </c>
      <c r="C1137" s="17" t="n">
        <v>46054</v>
      </c>
      <c r="D1137" s="15" t="s">
        <v>84</v>
      </c>
      <c r="E1137" s="15" t="s">
        <v>62</v>
      </c>
    </row>
    <row r="1138" customFormat="false" ht="15" hidden="false" customHeight="false" outlineLevel="0" collapsed="false">
      <c r="A1138" s="0" t="s">
        <v>1198</v>
      </c>
      <c r="B1138" s="0" t="s">
        <v>33</v>
      </c>
      <c r="C1138" s="17" t="n">
        <v>46056</v>
      </c>
      <c r="D1138" s="15" t="s">
        <v>72</v>
      </c>
      <c r="E1138" s="15" t="s">
        <v>151</v>
      </c>
    </row>
    <row r="1139" customFormat="false" ht="15" hidden="false" customHeight="false" outlineLevel="0" collapsed="false">
      <c r="A1139" s="0" t="s">
        <v>1199</v>
      </c>
      <c r="B1139" s="0" t="s">
        <v>57</v>
      </c>
      <c r="C1139" s="17" t="n">
        <v>46048</v>
      </c>
      <c r="D1139" s="15" t="s">
        <v>68</v>
      </c>
      <c r="E1139" s="15" t="s">
        <v>69</v>
      </c>
    </row>
    <row r="1140" customFormat="false" ht="15" hidden="false" customHeight="false" outlineLevel="0" collapsed="false">
      <c r="A1140" s="0" t="s">
        <v>1200</v>
      </c>
      <c r="B1140" s="0" t="s">
        <v>83</v>
      </c>
      <c r="C1140" s="17" t="n">
        <v>46051</v>
      </c>
      <c r="D1140" s="15" t="s">
        <v>90</v>
      </c>
      <c r="E1140" s="15" t="s">
        <v>97</v>
      </c>
    </row>
    <row r="1141" customFormat="false" ht="15" hidden="false" customHeight="false" outlineLevel="0" collapsed="false">
      <c r="A1141" s="0" t="s">
        <v>1201</v>
      </c>
      <c r="B1141" s="0" t="s">
        <v>41</v>
      </c>
      <c r="C1141" s="17" t="n">
        <v>46034</v>
      </c>
      <c r="D1141" s="15" t="s">
        <v>84</v>
      </c>
      <c r="E1141" s="15" t="s">
        <v>97</v>
      </c>
    </row>
    <row r="1142" customFormat="false" ht="15" hidden="false" customHeight="false" outlineLevel="0" collapsed="false">
      <c r="A1142" s="0" t="s">
        <v>1202</v>
      </c>
      <c r="B1142" s="0" t="s">
        <v>116</v>
      </c>
      <c r="C1142" s="17" t="n">
        <v>46064</v>
      </c>
      <c r="D1142" s="15" t="s">
        <v>104</v>
      </c>
      <c r="E1142" s="15" t="s">
        <v>109</v>
      </c>
    </row>
    <row r="1143" customFormat="false" ht="15" hidden="false" customHeight="false" outlineLevel="0" collapsed="false">
      <c r="A1143" s="0" t="s">
        <v>1203</v>
      </c>
      <c r="B1143" s="0" t="s">
        <v>71</v>
      </c>
      <c r="C1143" s="17" t="n">
        <v>46069</v>
      </c>
      <c r="D1143" s="15" t="s">
        <v>96</v>
      </c>
      <c r="E1143" s="15" t="s">
        <v>85</v>
      </c>
    </row>
    <row r="1144" customFormat="false" ht="15" hidden="false" customHeight="false" outlineLevel="0" collapsed="false">
      <c r="A1144" s="0" t="s">
        <v>1204</v>
      </c>
      <c r="B1144" s="0" t="s">
        <v>103</v>
      </c>
      <c r="C1144" s="17" t="n">
        <v>46062</v>
      </c>
      <c r="D1144" s="15" t="s">
        <v>135</v>
      </c>
      <c r="E1144" s="15" t="s">
        <v>85</v>
      </c>
    </row>
    <row r="1145" customFormat="false" ht="15" hidden="false" customHeight="false" outlineLevel="0" collapsed="false">
      <c r="A1145" s="0" t="s">
        <v>1205</v>
      </c>
      <c r="B1145" s="0" t="s">
        <v>112</v>
      </c>
      <c r="C1145" s="17" t="n">
        <v>46042</v>
      </c>
      <c r="D1145" s="15" t="s">
        <v>58</v>
      </c>
      <c r="E1145" s="15" t="s">
        <v>59</v>
      </c>
    </row>
    <row r="1146" customFormat="false" ht="15" hidden="false" customHeight="false" outlineLevel="0" collapsed="false">
      <c r="A1146" s="0" t="s">
        <v>1206</v>
      </c>
      <c r="B1146" s="0" t="s">
        <v>35</v>
      </c>
      <c r="C1146" s="17" t="n">
        <v>46066</v>
      </c>
      <c r="D1146" s="15" t="s">
        <v>104</v>
      </c>
      <c r="E1146" s="15" t="s">
        <v>151</v>
      </c>
    </row>
    <row r="1147" customFormat="false" ht="15" hidden="false" customHeight="false" outlineLevel="0" collapsed="false">
      <c r="A1147" s="0" t="s">
        <v>997</v>
      </c>
      <c r="B1147" s="0" t="s">
        <v>43</v>
      </c>
      <c r="C1147" s="17" t="n">
        <v>46039</v>
      </c>
      <c r="D1147" s="15" t="s">
        <v>96</v>
      </c>
      <c r="E1147" s="15" t="s">
        <v>65</v>
      </c>
    </row>
    <row r="1148" customFormat="false" ht="15" hidden="false" customHeight="false" outlineLevel="0" collapsed="false">
      <c r="A1148" s="0" t="s">
        <v>1207</v>
      </c>
      <c r="B1148" s="0" t="s">
        <v>92</v>
      </c>
      <c r="C1148" s="17" t="n">
        <v>46051</v>
      </c>
      <c r="D1148" s="15" t="s">
        <v>153</v>
      </c>
      <c r="E1148" s="15" t="s">
        <v>59</v>
      </c>
    </row>
    <row r="1149" customFormat="false" ht="15" hidden="false" customHeight="false" outlineLevel="0" collapsed="false">
      <c r="A1149" s="0" t="s">
        <v>1208</v>
      </c>
      <c r="B1149" s="0" t="s">
        <v>92</v>
      </c>
      <c r="C1149" s="17" t="n">
        <v>46032</v>
      </c>
      <c r="D1149" s="15" t="s">
        <v>96</v>
      </c>
      <c r="E1149" s="15" t="s">
        <v>85</v>
      </c>
    </row>
    <row r="1150" customFormat="false" ht="15" hidden="false" customHeight="false" outlineLevel="0" collapsed="false">
      <c r="A1150" s="0" t="s">
        <v>1209</v>
      </c>
      <c r="B1150" s="0" t="s">
        <v>39</v>
      </c>
      <c r="C1150" s="17" t="n">
        <v>46035</v>
      </c>
      <c r="D1150" s="15" t="s">
        <v>96</v>
      </c>
      <c r="E1150" s="15" t="s">
        <v>97</v>
      </c>
    </row>
    <row r="1151" customFormat="false" ht="15" hidden="false" customHeight="false" outlineLevel="0" collapsed="false">
      <c r="A1151" s="0" t="s">
        <v>1210</v>
      </c>
      <c r="B1151" s="0" t="s">
        <v>92</v>
      </c>
      <c r="C1151" s="17" t="n">
        <v>46033</v>
      </c>
      <c r="D1151" s="15" t="s">
        <v>90</v>
      </c>
      <c r="E1151" s="15" t="s">
        <v>59</v>
      </c>
    </row>
    <row r="1152" customFormat="false" ht="15" hidden="false" customHeight="false" outlineLevel="0" collapsed="false">
      <c r="A1152" s="0" t="s">
        <v>1211</v>
      </c>
      <c r="B1152" s="0" t="s">
        <v>39</v>
      </c>
      <c r="C1152" s="17" t="n">
        <v>46060</v>
      </c>
      <c r="D1152" s="15" t="s">
        <v>58</v>
      </c>
      <c r="E1152" s="15" t="s">
        <v>97</v>
      </c>
    </row>
    <row r="1153" customFormat="false" ht="15" hidden="false" customHeight="false" outlineLevel="0" collapsed="false">
      <c r="A1153" s="0" t="s">
        <v>1212</v>
      </c>
      <c r="B1153" s="0" t="s">
        <v>99</v>
      </c>
      <c r="C1153" s="17" t="n">
        <v>46072</v>
      </c>
      <c r="D1153" s="15" t="s">
        <v>107</v>
      </c>
      <c r="E1153" s="15" t="s">
        <v>97</v>
      </c>
    </row>
    <row r="1154" customFormat="false" ht="15" hidden="false" customHeight="false" outlineLevel="0" collapsed="false">
      <c r="A1154" s="0" t="s">
        <v>1213</v>
      </c>
      <c r="B1154" s="0" t="s">
        <v>112</v>
      </c>
      <c r="C1154" s="17" t="n">
        <v>46063</v>
      </c>
      <c r="D1154" s="15" t="s">
        <v>93</v>
      </c>
      <c r="E1154" s="15" t="s">
        <v>65</v>
      </c>
    </row>
    <row r="1155" customFormat="false" ht="15" hidden="false" customHeight="false" outlineLevel="0" collapsed="false">
      <c r="A1155" s="0" t="s">
        <v>1214</v>
      </c>
      <c r="B1155" s="0" t="s">
        <v>95</v>
      </c>
      <c r="C1155" s="17" t="n">
        <v>46063</v>
      </c>
      <c r="D1155" s="15" t="s">
        <v>79</v>
      </c>
      <c r="E1155" s="15" t="s">
        <v>65</v>
      </c>
    </row>
    <row r="1156" customFormat="false" ht="15" hidden="false" customHeight="false" outlineLevel="0" collapsed="false">
      <c r="A1156" s="0" t="s">
        <v>1215</v>
      </c>
      <c r="B1156" s="0" t="s">
        <v>99</v>
      </c>
      <c r="C1156" s="17" t="n">
        <v>46034</v>
      </c>
      <c r="D1156" s="15" t="s">
        <v>153</v>
      </c>
      <c r="E1156" s="15" t="s">
        <v>85</v>
      </c>
    </row>
    <row r="1157" customFormat="false" ht="15" hidden="false" customHeight="false" outlineLevel="0" collapsed="false">
      <c r="A1157" s="0" t="s">
        <v>1216</v>
      </c>
      <c r="B1157" s="0" t="s">
        <v>77</v>
      </c>
      <c r="C1157" s="17" t="n">
        <v>46076</v>
      </c>
      <c r="D1157" s="15" t="s">
        <v>90</v>
      </c>
      <c r="E1157" s="15" t="s">
        <v>85</v>
      </c>
    </row>
    <row r="1158" customFormat="false" ht="15" hidden="false" customHeight="false" outlineLevel="0" collapsed="false">
      <c r="A1158" s="0" t="s">
        <v>1217</v>
      </c>
      <c r="B1158" s="0" t="s">
        <v>103</v>
      </c>
      <c r="C1158" s="17" t="n">
        <v>46070</v>
      </c>
      <c r="D1158" s="15" t="s">
        <v>74</v>
      </c>
      <c r="E1158" s="15" t="s">
        <v>62</v>
      </c>
    </row>
    <row r="1159" customFormat="false" ht="15" hidden="false" customHeight="false" outlineLevel="0" collapsed="false">
      <c r="A1159" s="0" t="s">
        <v>1218</v>
      </c>
      <c r="B1159" s="0" t="s">
        <v>67</v>
      </c>
      <c r="C1159" s="17" t="n">
        <v>46034</v>
      </c>
      <c r="D1159" s="15" t="s">
        <v>84</v>
      </c>
      <c r="E1159" s="15" t="s">
        <v>151</v>
      </c>
    </row>
    <row r="1160" customFormat="false" ht="15" hidden="false" customHeight="false" outlineLevel="0" collapsed="false">
      <c r="A1160" s="0" t="s">
        <v>1219</v>
      </c>
      <c r="B1160" s="0" t="s">
        <v>39</v>
      </c>
      <c r="C1160" s="17" t="n">
        <v>46053</v>
      </c>
      <c r="D1160" s="15" t="s">
        <v>84</v>
      </c>
      <c r="E1160" s="15" t="s">
        <v>97</v>
      </c>
    </row>
    <row r="1161" customFormat="false" ht="15" hidden="false" customHeight="false" outlineLevel="0" collapsed="false">
      <c r="A1161" s="0" t="s">
        <v>1220</v>
      </c>
      <c r="B1161" s="0" t="s">
        <v>92</v>
      </c>
      <c r="C1161" s="17" t="n">
        <v>46042</v>
      </c>
      <c r="D1161" s="15" t="s">
        <v>104</v>
      </c>
      <c r="E1161" s="15" t="s">
        <v>59</v>
      </c>
    </row>
    <row r="1162" customFormat="false" ht="15" hidden="false" customHeight="false" outlineLevel="0" collapsed="false">
      <c r="A1162" s="0" t="s">
        <v>1221</v>
      </c>
      <c r="B1162" s="0" t="s">
        <v>92</v>
      </c>
      <c r="C1162" s="17" t="n">
        <v>46041</v>
      </c>
      <c r="D1162" s="15" t="s">
        <v>68</v>
      </c>
      <c r="E1162" s="15" t="s">
        <v>97</v>
      </c>
    </row>
    <row r="1163" customFormat="false" ht="15" hidden="false" customHeight="false" outlineLevel="0" collapsed="false">
      <c r="A1163" s="0" t="s">
        <v>1222</v>
      </c>
      <c r="B1163" s="0" t="s">
        <v>112</v>
      </c>
      <c r="C1163" s="17" t="n">
        <v>46054</v>
      </c>
      <c r="D1163" s="15" t="s">
        <v>64</v>
      </c>
      <c r="E1163" s="15" t="s">
        <v>65</v>
      </c>
    </row>
    <row r="1164" customFormat="false" ht="15" hidden="false" customHeight="false" outlineLevel="0" collapsed="false">
      <c r="A1164" s="0" t="s">
        <v>1223</v>
      </c>
      <c r="B1164" s="0" t="s">
        <v>37</v>
      </c>
      <c r="C1164" s="17" t="n">
        <v>46078</v>
      </c>
      <c r="D1164" s="15" t="s">
        <v>128</v>
      </c>
      <c r="E1164" s="15" t="s">
        <v>97</v>
      </c>
    </row>
    <row r="1165" customFormat="false" ht="15" hidden="false" customHeight="false" outlineLevel="0" collapsed="false">
      <c r="A1165" s="0" t="s">
        <v>1224</v>
      </c>
      <c r="B1165" s="0" t="s">
        <v>77</v>
      </c>
      <c r="C1165" s="17" t="n">
        <v>46067</v>
      </c>
      <c r="D1165" s="15" t="s">
        <v>81</v>
      </c>
      <c r="E1165" s="15" t="s">
        <v>65</v>
      </c>
    </row>
    <row r="1166" customFormat="false" ht="15" hidden="false" customHeight="false" outlineLevel="0" collapsed="false">
      <c r="A1166" s="0" t="s">
        <v>1225</v>
      </c>
      <c r="B1166" s="0" t="s">
        <v>116</v>
      </c>
      <c r="C1166" s="17" t="n">
        <v>46057</v>
      </c>
      <c r="D1166" s="15" t="s">
        <v>81</v>
      </c>
      <c r="E1166" s="15" t="s">
        <v>97</v>
      </c>
    </row>
    <row r="1167" customFormat="false" ht="15" hidden="false" customHeight="false" outlineLevel="0" collapsed="false">
      <c r="A1167" s="0" t="s">
        <v>1226</v>
      </c>
      <c r="B1167" s="0" t="s">
        <v>67</v>
      </c>
      <c r="C1167" s="17" t="n">
        <v>46047</v>
      </c>
      <c r="D1167" s="15" t="s">
        <v>101</v>
      </c>
      <c r="E1167" s="15" t="s">
        <v>65</v>
      </c>
    </row>
    <row r="1168" customFormat="false" ht="15" hidden="false" customHeight="false" outlineLevel="0" collapsed="false">
      <c r="A1168" s="0" t="s">
        <v>1075</v>
      </c>
      <c r="B1168" s="0" t="s">
        <v>43</v>
      </c>
      <c r="C1168" s="17" t="n">
        <v>46071</v>
      </c>
      <c r="D1168" s="15" t="s">
        <v>64</v>
      </c>
      <c r="E1168" s="15" t="s">
        <v>62</v>
      </c>
    </row>
    <row r="1169" customFormat="false" ht="15" hidden="false" customHeight="false" outlineLevel="0" collapsed="false">
      <c r="A1169" s="0" t="s">
        <v>1227</v>
      </c>
      <c r="B1169" s="0" t="s">
        <v>57</v>
      </c>
      <c r="C1169" s="17" t="n">
        <v>46042</v>
      </c>
      <c r="D1169" s="15" t="s">
        <v>153</v>
      </c>
      <c r="E1169" s="15" t="s">
        <v>85</v>
      </c>
    </row>
    <row r="1170" customFormat="false" ht="15" hidden="false" customHeight="false" outlineLevel="0" collapsed="false">
      <c r="A1170" s="0" t="s">
        <v>1228</v>
      </c>
      <c r="B1170" s="0" t="s">
        <v>37</v>
      </c>
      <c r="C1170" s="17" t="n">
        <v>46043</v>
      </c>
      <c r="D1170" s="15" t="s">
        <v>96</v>
      </c>
      <c r="E1170" s="15" t="s">
        <v>105</v>
      </c>
    </row>
    <row r="1171" customFormat="false" ht="15" hidden="false" customHeight="false" outlineLevel="0" collapsed="false">
      <c r="A1171" s="0" t="s">
        <v>1229</v>
      </c>
      <c r="B1171" s="0" t="s">
        <v>92</v>
      </c>
      <c r="C1171" s="17" t="n">
        <v>46062</v>
      </c>
      <c r="D1171" s="15" t="s">
        <v>104</v>
      </c>
      <c r="E1171" s="15" t="s">
        <v>97</v>
      </c>
    </row>
    <row r="1172" customFormat="false" ht="15" hidden="false" customHeight="false" outlineLevel="0" collapsed="false">
      <c r="A1172" s="0" t="s">
        <v>767</v>
      </c>
      <c r="B1172" s="0" t="s">
        <v>116</v>
      </c>
      <c r="C1172" s="17" t="n">
        <v>46036</v>
      </c>
      <c r="D1172" s="15" t="s">
        <v>93</v>
      </c>
      <c r="E1172" s="15" t="s">
        <v>97</v>
      </c>
    </row>
    <row r="1173" customFormat="false" ht="15" hidden="false" customHeight="false" outlineLevel="0" collapsed="false">
      <c r="A1173" s="0" t="s">
        <v>1230</v>
      </c>
      <c r="B1173" s="0" t="s">
        <v>77</v>
      </c>
      <c r="C1173" s="17" t="n">
        <v>46065</v>
      </c>
      <c r="D1173" s="15" t="s">
        <v>135</v>
      </c>
      <c r="E1173" s="15" t="s">
        <v>65</v>
      </c>
    </row>
    <row r="1174" customFormat="false" ht="15" hidden="false" customHeight="false" outlineLevel="0" collapsed="false">
      <c r="A1174" s="0" t="s">
        <v>1231</v>
      </c>
      <c r="B1174" s="0" t="s">
        <v>71</v>
      </c>
      <c r="C1174" s="17" t="n">
        <v>46029</v>
      </c>
      <c r="D1174" s="15" t="s">
        <v>72</v>
      </c>
      <c r="E1174" s="15" t="s">
        <v>97</v>
      </c>
    </row>
    <row r="1175" customFormat="false" ht="15" hidden="false" customHeight="false" outlineLevel="0" collapsed="false">
      <c r="A1175" s="0" t="s">
        <v>1232</v>
      </c>
      <c r="B1175" s="0" t="s">
        <v>77</v>
      </c>
      <c r="C1175" s="17" t="n">
        <v>46045</v>
      </c>
      <c r="D1175" s="15" t="s">
        <v>68</v>
      </c>
      <c r="E1175" s="15" t="s">
        <v>62</v>
      </c>
    </row>
    <row r="1176" customFormat="false" ht="15" hidden="false" customHeight="false" outlineLevel="0" collapsed="false">
      <c r="A1176" s="0" t="s">
        <v>423</v>
      </c>
      <c r="B1176" s="0" t="s">
        <v>99</v>
      </c>
      <c r="C1176" s="17" t="n">
        <v>46036</v>
      </c>
      <c r="D1176" s="15" t="s">
        <v>107</v>
      </c>
      <c r="E1176" s="15" t="s">
        <v>69</v>
      </c>
    </row>
    <row r="1177" customFormat="false" ht="15" hidden="false" customHeight="false" outlineLevel="0" collapsed="false">
      <c r="A1177" s="0" t="s">
        <v>1233</v>
      </c>
      <c r="B1177" s="0" t="s">
        <v>35</v>
      </c>
      <c r="C1177" s="17" t="n">
        <v>46032</v>
      </c>
      <c r="D1177" s="15" t="s">
        <v>88</v>
      </c>
      <c r="E1177" s="15" t="s">
        <v>85</v>
      </c>
    </row>
    <row r="1178" customFormat="false" ht="15" hidden="false" customHeight="false" outlineLevel="0" collapsed="false">
      <c r="A1178" s="0" t="s">
        <v>1234</v>
      </c>
      <c r="B1178" s="0" t="s">
        <v>95</v>
      </c>
      <c r="C1178" s="17" t="n">
        <v>46030</v>
      </c>
      <c r="D1178" s="15" t="s">
        <v>84</v>
      </c>
      <c r="E1178" s="15" t="s">
        <v>85</v>
      </c>
    </row>
    <row r="1179" customFormat="false" ht="15" hidden="false" customHeight="false" outlineLevel="0" collapsed="false">
      <c r="A1179" s="0" t="s">
        <v>1235</v>
      </c>
      <c r="B1179" s="0" t="s">
        <v>33</v>
      </c>
      <c r="C1179" s="17" t="n">
        <v>46071</v>
      </c>
      <c r="D1179" s="15" t="s">
        <v>72</v>
      </c>
      <c r="E1179" s="15" t="s">
        <v>69</v>
      </c>
    </row>
    <row r="1180" customFormat="false" ht="15" hidden="false" customHeight="false" outlineLevel="0" collapsed="false">
      <c r="A1180" s="0" t="s">
        <v>1236</v>
      </c>
      <c r="B1180" s="0" t="s">
        <v>124</v>
      </c>
      <c r="C1180" s="17" t="n">
        <v>46045</v>
      </c>
      <c r="D1180" s="15" t="s">
        <v>58</v>
      </c>
      <c r="E1180" s="15" t="s">
        <v>59</v>
      </c>
    </row>
    <row r="1181" customFormat="false" ht="15" hidden="false" customHeight="false" outlineLevel="0" collapsed="false">
      <c r="A1181" s="0" t="s">
        <v>1237</v>
      </c>
      <c r="B1181" s="0" t="s">
        <v>124</v>
      </c>
      <c r="C1181" s="17" t="n">
        <v>46044</v>
      </c>
      <c r="D1181" s="15" t="s">
        <v>128</v>
      </c>
      <c r="E1181" s="15" t="s">
        <v>85</v>
      </c>
    </row>
    <row r="1182" customFormat="false" ht="15" hidden="false" customHeight="false" outlineLevel="0" collapsed="false">
      <c r="A1182" s="0" t="s">
        <v>1238</v>
      </c>
      <c r="B1182" s="0" t="s">
        <v>92</v>
      </c>
      <c r="C1182" s="17" t="n">
        <v>46036</v>
      </c>
      <c r="D1182" s="15" t="s">
        <v>88</v>
      </c>
      <c r="E1182" s="15" t="s">
        <v>59</v>
      </c>
    </row>
    <row r="1183" customFormat="false" ht="15" hidden="false" customHeight="false" outlineLevel="0" collapsed="false">
      <c r="A1183" s="0" t="s">
        <v>1239</v>
      </c>
      <c r="B1183" s="0" t="s">
        <v>43</v>
      </c>
      <c r="C1183" s="17" t="n">
        <v>46065</v>
      </c>
      <c r="D1183" s="15" t="s">
        <v>104</v>
      </c>
      <c r="E1183" s="15" t="s">
        <v>62</v>
      </c>
    </row>
    <row r="1184" customFormat="false" ht="15" hidden="false" customHeight="false" outlineLevel="0" collapsed="false">
      <c r="A1184" s="0" t="s">
        <v>1240</v>
      </c>
      <c r="B1184" s="0" t="s">
        <v>35</v>
      </c>
      <c r="C1184" s="17" t="n">
        <v>46043</v>
      </c>
      <c r="D1184" s="15" t="s">
        <v>104</v>
      </c>
      <c r="E1184" s="15" t="s">
        <v>69</v>
      </c>
    </row>
    <row r="1185" customFormat="false" ht="15" hidden="false" customHeight="false" outlineLevel="0" collapsed="false">
      <c r="A1185" s="0" t="s">
        <v>1241</v>
      </c>
      <c r="B1185" s="0" t="s">
        <v>77</v>
      </c>
      <c r="C1185" s="17" t="n">
        <v>46054</v>
      </c>
      <c r="D1185" s="15" t="s">
        <v>81</v>
      </c>
      <c r="E1185" s="15" t="s">
        <v>97</v>
      </c>
    </row>
    <row r="1186" customFormat="false" ht="15" hidden="false" customHeight="false" outlineLevel="0" collapsed="false">
      <c r="A1186" s="0" t="s">
        <v>1242</v>
      </c>
      <c r="B1186" s="0" t="s">
        <v>37</v>
      </c>
      <c r="C1186" s="17" t="n">
        <v>46044</v>
      </c>
      <c r="D1186" s="15" t="s">
        <v>104</v>
      </c>
      <c r="E1186" s="15" t="s">
        <v>85</v>
      </c>
    </row>
    <row r="1187" customFormat="false" ht="15" hidden="false" customHeight="false" outlineLevel="0" collapsed="false">
      <c r="A1187" s="0" t="s">
        <v>1243</v>
      </c>
      <c r="B1187" s="0" t="s">
        <v>41</v>
      </c>
      <c r="C1187" s="17" t="n">
        <v>46073</v>
      </c>
      <c r="D1187" s="15" t="s">
        <v>101</v>
      </c>
      <c r="E1187" s="15" t="s">
        <v>97</v>
      </c>
    </row>
    <row r="1188" customFormat="false" ht="15" hidden="false" customHeight="false" outlineLevel="0" collapsed="false">
      <c r="A1188" s="0" t="s">
        <v>1244</v>
      </c>
      <c r="B1188" s="0" t="s">
        <v>92</v>
      </c>
      <c r="C1188" s="17" t="n">
        <v>46067</v>
      </c>
      <c r="D1188" s="15" t="s">
        <v>104</v>
      </c>
      <c r="E1188" s="15" t="s">
        <v>69</v>
      </c>
    </row>
    <row r="1189" customFormat="false" ht="15" hidden="false" customHeight="false" outlineLevel="0" collapsed="false">
      <c r="A1189" s="0" t="s">
        <v>1245</v>
      </c>
      <c r="B1189" s="0" t="s">
        <v>67</v>
      </c>
      <c r="C1189" s="17" t="n">
        <v>46074</v>
      </c>
      <c r="D1189" s="15" t="s">
        <v>64</v>
      </c>
      <c r="E1189" s="15" t="s">
        <v>65</v>
      </c>
    </row>
    <row r="1190" customFormat="false" ht="15" hidden="false" customHeight="false" outlineLevel="0" collapsed="false">
      <c r="A1190" s="0" t="s">
        <v>1246</v>
      </c>
      <c r="B1190" s="0" t="s">
        <v>67</v>
      </c>
      <c r="C1190" s="17" t="n">
        <v>46080</v>
      </c>
      <c r="D1190" s="15" t="s">
        <v>61</v>
      </c>
      <c r="E1190" s="15" t="s">
        <v>62</v>
      </c>
    </row>
    <row r="1191" customFormat="false" ht="15" hidden="false" customHeight="false" outlineLevel="0" collapsed="false">
      <c r="A1191" s="0" t="s">
        <v>1247</v>
      </c>
      <c r="B1191" s="0" t="s">
        <v>92</v>
      </c>
      <c r="C1191" s="17" t="n">
        <v>46035</v>
      </c>
      <c r="D1191" s="15" t="s">
        <v>64</v>
      </c>
      <c r="E1191" s="15" t="s">
        <v>59</v>
      </c>
    </row>
    <row r="1192" customFormat="false" ht="15" hidden="false" customHeight="false" outlineLevel="0" collapsed="false">
      <c r="A1192" s="0" t="s">
        <v>1248</v>
      </c>
      <c r="B1192" s="0" t="s">
        <v>103</v>
      </c>
      <c r="C1192" s="17" t="n">
        <v>46042</v>
      </c>
      <c r="D1192" s="15" t="s">
        <v>126</v>
      </c>
      <c r="E1192" s="15" t="s">
        <v>97</v>
      </c>
    </row>
    <row r="1193" customFormat="false" ht="15" hidden="false" customHeight="false" outlineLevel="0" collapsed="false">
      <c r="A1193" s="0" t="s">
        <v>1249</v>
      </c>
      <c r="B1193" s="0" t="s">
        <v>95</v>
      </c>
      <c r="C1193" s="17" t="n">
        <v>46063</v>
      </c>
      <c r="D1193" s="15" t="s">
        <v>61</v>
      </c>
      <c r="E1193" s="15" t="s">
        <v>85</v>
      </c>
    </row>
    <row r="1194" customFormat="false" ht="15" hidden="false" customHeight="false" outlineLevel="0" collapsed="false">
      <c r="A1194" s="0" t="s">
        <v>1250</v>
      </c>
      <c r="B1194" s="0" t="s">
        <v>33</v>
      </c>
      <c r="C1194" s="17" t="n">
        <v>46067</v>
      </c>
      <c r="D1194" s="15" t="s">
        <v>58</v>
      </c>
      <c r="E1194" s="15" t="s">
        <v>59</v>
      </c>
    </row>
    <row r="1195" customFormat="false" ht="15" hidden="false" customHeight="false" outlineLevel="0" collapsed="false">
      <c r="A1195" s="0" t="s">
        <v>1251</v>
      </c>
      <c r="B1195" s="0" t="s">
        <v>71</v>
      </c>
      <c r="C1195" s="17" t="n">
        <v>46067</v>
      </c>
      <c r="D1195" s="15" t="s">
        <v>128</v>
      </c>
      <c r="E1195" s="15" t="s">
        <v>69</v>
      </c>
    </row>
    <row r="1196" customFormat="false" ht="15" hidden="false" customHeight="false" outlineLevel="0" collapsed="false">
      <c r="A1196" s="0" t="s">
        <v>1252</v>
      </c>
      <c r="B1196" s="0" t="s">
        <v>71</v>
      </c>
      <c r="C1196" s="17" t="n">
        <v>46063</v>
      </c>
      <c r="D1196" s="15" t="s">
        <v>107</v>
      </c>
      <c r="E1196" s="15" t="s">
        <v>97</v>
      </c>
    </row>
    <row r="1197" customFormat="false" ht="15" hidden="false" customHeight="false" outlineLevel="0" collapsed="false">
      <c r="A1197" s="0" t="s">
        <v>1253</v>
      </c>
      <c r="B1197" s="0" t="s">
        <v>95</v>
      </c>
      <c r="C1197" s="17" t="n">
        <v>46061</v>
      </c>
      <c r="D1197" s="15" t="s">
        <v>128</v>
      </c>
      <c r="E1197" s="15" t="s">
        <v>172</v>
      </c>
    </row>
    <row r="1198" customFormat="false" ht="15" hidden="false" customHeight="false" outlineLevel="0" collapsed="false">
      <c r="A1198" s="0" t="s">
        <v>1254</v>
      </c>
      <c r="B1198" s="0" t="s">
        <v>83</v>
      </c>
      <c r="C1198" s="17" t="n">
        <v>46049</v>
      </c>
      <c r="D1198" s="15" t="s">
        <v>93</v>
      </c>
      <c r="E1198" s="15" t="s">
        <v>69</v>
      </c>
    </row>
    <row r="1199" customFormat="false" ht="15" hidden="false" customHeight="false" outlineLevel="0" collapsed="false">
      <c r="A1199" s="0" t="s">
        <v>1255</v>
      </c>
      <c r="B1199" s="0" t="s">
        <v>71</v>
      </c>
      <c r="C1199" s="17" t="n">
        <v>46078</v>
      </c>
      <c r="D1199" s="15" t="s">
        <v>90</v>
      </c>
      <c r="E1199" s="15" t="s">
        <v>62</v>
      </c>
    </row>
    <row r="1200" customFormat="false" ht="15" hidden="false" customHeight="false" outlineLevel="0" collapsed="false">
      <c r="A1200" s="0" t="s">
        <v>1256</v>
      </c>
      <c r="B1200" s="0" t="s">
        <v>67</v>
      </c>
      <c r="C1200" s="17" t="n">
        <v>46051</v>
      </c>
      <c r="D1200" s="15" t="s">
        <v>90</v>
      </c>
      <c r="E1200" s="15" t="s">
        <v>59</v>
      </c>
    </row>
    <row r="1201" customFormat="false" ht="15" hidden="false" customHeight="false" outlineLevel="0" collapsed="false">
      <c r="A1201" s="0" t="s">
        <v>1257</v>
      </c>
      <c r="B1201" s="0" t="s">
        <v>37</v>
      </c>
      <c r="C1201" s="17" t="n">
        <v>46075</v>
      </c>
      <c r="D1201" s="15" t="s">
        <v>104</v>
      </c>
      <c r="E1201" s="15" t="s">
        <v>69</v>
      </c>
    </row>
    <row r="1202" customFormat="false" ht="15" hidden="false" customHeight="false" outlineLevel="0" collapsed="false">
      <c r="A1202" s="0" t="s">
        <v>1258</v>
      </c>
      <c r="B1202" s="0" t="s">
        <v>77</v>
      </c>
      <c r="C1202" s="17" t="n">
        <v>46036</v>
      </c>
      <c r="D1202" s="15" t="s">
        <v>88</v>
      </c>
      <c r="E1202" s="15" t="s">
        <v>85</v>
      </c>
    </row>
    <row r="1203" customFormat="false" ht="15" hidden="false" customHeight="false" outlineLevel="0" collapsed="false">
      <c r="A1203" s="0" t="s">
        <v>1259</v>
      </c>
      <c r="B1203" s="0" t="s">
        <v>39</v>
      </c>
      <c r="C1203" s="17" t="n">
        <v>46060</v>
      </c>
      <c r="D1203" s="15" t="s">
        <v>84</v>
      </c>
      <c r="E1203" s="15" t="s">
        <v>97</v>
      </c>
    </row>
    <row r="1204" customFormat="false" ht="15" hidden="false" customHeight="false" outlineLevel="0" collapsed="false">
      <c r="A1204" s="0" t="s">
        <v>1260</v>
      </c>
      <c r="B1204" s="0" t="s">
        <v>67</v>
      </c>
      <c r="C1204" s="17" t="n">
        <v>46039</v>
      </c>
      <c r="D1204" s="15" t="s">
        <v>61</v>
      </c>
      <c r="E1204" s="15" t="s">
        <v>69</v>
      </c>
    </row>
    <row r="1205" customFormat="false" ht="15" hidden="false" customHeight="false" outlineLevel="0" collapsed="false">
      <c r="A1205" s="0" t="s">
        <v>1261</v>
      </c>
      <c r="B1205" s="0" t="s">
        <v>33</v>
      </c>
      <c r="C1205" s="17" t="n">
        <v>46066</v>
      </c>
      <c r="D1205" s="15" t="s">
        <v>68</v>
      </c>
      <c r="E1205" s="15" t="s">
        <v>62</v>
      </c>
    </row>
    <row r="1206" customFormat="false" ht="15" hidden="false" customHeight="false" outlineLevel="0" collapsed="false">
      <c r="A1206" s="0" t="s">
        <v>1262</v>
      </c>
      <c r="B1206" s="0" t="s">
        <v>35</v>
      </c>
      <c r="C1206" s="17" t="n">
        <v>46028</v>
      </c>
      <c r="D1206" s="15" t="s">
        <v>68</v>
      </c>
      <c r="E1206" s="15" t="s">
        <v>62</v>
      </c>
    </row>
    <row r="1207" customFormat="false" ht="15" hidden="false" customHeight="false" outlineLevel="0" collapsed="false">
      <c r="A1207" s="0" t="s">
        <v>908</v>
      </c>
      <c r="B1207" s="0" t="s">
        <v>71</v>
      </c>
      <c r="C1207" s="17" t="n">
        <v>46029</v>
      </c>
      <c r="D1207" s="15" t="s">
        <v>81</v>
      </c>
      <c r="E1207" s="15" t="s">
        <v>59</v>
      </c>
    </row>
    <row r="1208" customFormat="false" ht="15" hidden="false" customHeight="false" outlineLevel="0" collapsed="false">
      <c r="A1208" s="0" t="s">
        <v>1263</v>
      </c>
      <c r="B1208" s="0" t="s">
        <v>71</v>
      </c>
      <c r="C1208" s="17" t="n">
        <v>46077</v>
      </c>
      <c r="D1208" s="15" t="s">
        <v>96</v>
      </c>
      <c r="E1208" s="15" t="s">
        <v>62</v>
      </c>
    </row>
    <row r="1209" customFormat="false" ht="15" hidden="false" customHeight="false" outlineLevel="0" collapsed="false">
      <c r="A1209" s="0" t="s">
        <v>1264</v>
      </c>
      <c r="B1209" s="0" t="s">
        <v>124</v>
      </c>
      <c r="C1209" s="17" t="n">
        <v>46074</v>
      </c>
      <c r="D1209" s="15" t="s">
        <v>126</v>
      </c>
      <c r="E1209" s="15" t="s">
        <v>62</v>
      </c>
    </row>
    <row r="1210" customFormat="false" ht="15" hidden="false" customHeight="false" outlineLevel="0" collapsed="false">
      <c r="A1210" s="0" t="s">
        <v>1265</v>
      </c>
      <c r="B1210" s="0" t="s">
        <v>103</v>
      </c>
      <c r="C1210" s="17" t="n">
        <v>46072</v>
      </c>
      <c r="D1210" s="15" t="s">
        <v>104</v>
      </c>
      <c r="E1210" s="15" t="s">
        <v>151</v>
      </c>
    </row>
    <row r="1211" customFormat="false" ht="15" hidden="false" customHeight="false" outlineLevel="0" collapsed="false">
      <c r="A1211" s="0" t="s">
        <v>1266</v>
      </c>
      <c r="B1211" s="0" t="s">
        <v>124</v>
      </c>
      <c r="C1211" s="17" t="n">
        <v>46069</v>
      </c>
      <c r="D1211" s="15" t="s">
        <v>58</v>
      </c>
      <c r="E1211" s="15" t="s">
        <v>105</v>
      </c>
    </row>
    <row r="1212" customFormat="false" ht="15" hidden="false" customHeight="false" outlineLevel="0" collapsed="false">
      <c r="A1212" s="0" t="s">
        <v>1267</v>
      </c>
      <c r="B1212" s="0" t="s">
        <v>39</v>
      </c>
      <c r="C1212" s="17" t="n">
        <v>46034</v>
      </c>
      <c r="D1212" s="15" t="s">
        <v>90</v>
      </c>
      <c r="E1212" s="15" t="s">
        <v>59</v>
      </c>
    </row>
    <row r="1213" customFormat="false" ht="15" hidden="false" customHeight="false" outlineLevel="0" collapsed="false">
      <c r="A1213" s="0" t="s">
        <v>1268</v>
      </c>
      <c r="B1213" s="0" t="s">
        <v>103</v>
      </c>
      <c r="C1213" s="17" t="n">
        <v>46044</v>
      </c>
      <c r="D1213" s="15" t="s">
        <v>64</v>
      </c>
      <c r="E1213" s="15" t="s">
        <v>97</v>
      </c>
    </row>
    <row r="1214" customFormat="false" ht="15" hidden="false" customHeight="false" outlineLevel="0" collapsed="false">
      <c r="A1214" s="0" t="s">
        <v>1269</v>
      </c>
      <c r="B1214" s="0" t="s">
        <v>95</v>
      </c>
      <c r="C1214" s="17" t="n">
        <v>46052</v>
      </c>
      <c r="D1214" s="15" t="s">
        <v>96</v>
      </c>
      <c r="E1214" s="15" t="s">
        <v>69</v>
      </c>
    </row>
    <row r="1215" customFormat="false" ht="15" hidden="false" customHeight="false" outlineLevel="0" collapsed="false">
      <c r="A1215" s="0" t="s">
        <v>1270</v>
      </c>
      <c r="B1215" s="0" t="s">
        <v>103</v>
      </c>
      <c r="C1215" s="17" t="n">
        <v>46044</v>
      </c>
      <c r="D1215" s="15" t="s">
        <v>128</v>
      </c>
      <c r="E1215" s="15" t="s">
        <v>109</v>
      </c>
    </row>
    <row r="1216" customFormat="false" ht="15" hidden="false" customHeight="false" outlineLevel="0" collapsed="false">
      <c r="A1216" s="0" t="s">
        <v>226</v>
      </c>
      <c r="B1216" s="0" t="s">
        <v>67</v>
      </c>
      <c r="C1216" s="17" t="n">
        <v>46078</v>
      </c>
      <c r="D1216" s="15" t="s">
        <v>74</v>
      </c>
      <c r="E1216" s="15" t="s">
        <v>62</v>
      </c>
    </row>
    <row r="1217" customFormat="false" ht="15" hidden="false" customHeight="false" outlineLevel="0" collapsed="false">
      <c r="A1217" s="0" t="s">
        <v>1271</v>
      </c>
      <c r="B1217" s="0" t="s">
        <v>41</v>
      </c>
      <c r="C1217" s="17" t="n">
        <v>46040</v>
      </c>
      <c r="D1217" s="15" t="s">
        <v>153</v>
      </c>
      <c r="E1217" s="15" t="s">
        <v>75</v>
      </c>
    </row>
    <row r="1218" customFormat="false" ht="15" hidden="false" customHeight="false" outlineLevel="0" collapsed="false">
      <c r="A1218" s="0" t="s">
        <v>1272</v>
      </c>
      <c r="B1218" s="0" t="s">
        <v>43</v>
      </c>
      <c r="C1218" s="17" t="n">
        <v>46030</v>
      </c>
      <c r="D1218" s="15" t="s">
        <v>128</v>
      </c>
      <c r="E1218" s="15" t="s">
        <v>65</v>
      </c>
    </row>
    <row r="1219" customFormat="false" ht="15" hidden="false" customHeight="false" outlineLevel="0" collapsed="false">
      <c r="A1219" s="0" t="s">
        <v>1273</v>
      </c>
      <c r="B1219" s="0" t="s">
        <v>43</v>
      </c>
      <c r="C1219" s="17" t="n">
        <v>46033</v>
      </c>
      <c r="D1219" s="15" t="s">
        <v>153</v>
      </c>
      <c r="E1219" s="15" t="s">
        <v>97</v>
      </c>
    </row>
    <row r="1220" customFormat="false" ht="15" hidden="false" customHeight="false" outlineLevel="0" collapsed="false">
      <c r="A1220" s="0" t="s">
        <v>1274</v>
      </c>
      <c r="B1220" s="0" t="s">
        <v>83</v>
      </c>
      <c r="C1220" s="17" t="n">
        <v>46047</v>
      </c>
      <c r="D1220" s="15" t="s">
        <v>79</v>
      </c>
      <c r="E1220" s="15" t="s">
        <v>85</v>
      </c>
    </row>
    <row r="1221" customFormat="false" ht="15" hidden="false" customHeight="false" outlineLevel="0" collapsed="false">
      <c r="A1221" s="0" t="s">
        <v>1275</v>
      </c>
      <c r="B1221" s="0" t="s">
        <v>67</v>
      </c>
      <c r="C1221" s="17" t="n">
        <v>46055</v>
      </c>
      <c r="D1221" s="15" t="s">
        <v>93</v>
      </c>
      <c r="E1221" s="15" t="s">
        <v>97</v>
      </c>
    </row>
    <row r="1222" customFormat="false" ht="15" hidden="false" customHeight="false" outlineLevel="0" collapsed="false">
      <c r="A1222" s="0" t="s">
        <v>579</v>
      </c>
      <c r="B1222" s="0" t="s">
        <v>77</v>
      </c>
      <c r="C1222" s="17" t="n">
        <v>46056</v>
      </c>
      <c r="D1222" s="15" t="s">
        <v>107</v>
      </c>
      <c r="E1222" s="15" t="s">
        <v>59</v>
      </c>
    </row>
    <row r="1223" customFormat="false" ht="15" hidden="false" customHeight="false" outlineLevel="0" collapsed="false">
      <c r="A1223" s="0" t="s">
        <v>1276</v>
      </c>
      <c r="B1223" s="0" t="s">
        <v>116</v>
      </c>
      <c r="C1223" s="17" t="n">
        <v>46063</v>
      </c>
      <c r="D1223" s="15" t="s">
        <v>64</v>
      </c>
      <c r="E1223" s="15" t="s">
        <v>148</v>
      </c>
    </row>
    <row r="1224" customFormat="false" ht="15" hidden="false" customHeight="false" outlineLevel="0" collapsed="false">
      <c r="A1224" s="0" t="s">
        <v>1277</v>
      </c>
      <c r="B1224" s="0" t="s">
        <v>124</v>
      </c>
      <c r="C1224" s="17" t="n">
        <v>46028</v>
      </c>
      <c r="D1224" s="15" t="s">
        <v>84</v>
      </c>
      <c r="E1224" s="15" t="s">
        <v>69</v>
      </c>
    </row>
    <row r="1225" customFormat="false" ht="15" hidden="false" customHeight="false" outlineLevel="0" collapsed="false">
      <c r="A1225" s="0" t="s">
        <v>1278</v>
      </c>
      <c r="B1225" s="0" t="s">
        <v>92</v>
      </c>
      <c r="C1225" s="17" t="n">
        <v>46077</v>
      </c>
      <c r="D1225" s="15" t="s">
        <v>79</v>
      </c>
      <c r="E1225" s="15" t="s">
        <v>69</v>
      </c>
    </row>
    <row r="1226" customFormat="false" ht="15" hidden="false" customHeight="false" outlineLevel="0" collapsed="false">
      <c r="A1226" s="0" t="s">
        <v>1279</v>
      </c>
      <c r="B1226" s="0" t="s">
        <v>33</v>
      </c>
      <c r="C1226" s="17" t="n">
        <v>46059</v>
      </c>
      <c r="D1226" s="15" t="s">
        <v>61</v>
      </c>
      <c r="E1226" s="15" t="s">
        <v>65</v>
      </c>
    </row>
    <row r="1227" customFormat="false" ht="15" hidden="false" customHeight="false" outlineLevel="0" collapsed="false">
      <c r="A1227" s="0" t="s">
        <v>1280</v>
      </c>
      <c r="B1227" s="0" t="s">
        <v>124</v>
      </c>
      <c r="C1227" s="17" t="n">
        <v>46031</v>
      </c>
      <c r="D1227" s="15" t="s">
        <v>68</v>
      </c>
      <c r="E1227" s="15" t="s">
        <v>62</v>
      </c>
    </row>
    <row r="1228" customFormat="false" ht="15" hidden="false" customHeight="false" outlineLevel="0" collapsed="false">
      <c r="A1228" s="0" t="s">
        <v>1281</v>
      </c>
      <c r="B1228" s="0" t="s">
        <v>95</v>
      </c>
      <c r="C1228" s="17" t="n">
        <v>46036</v>
      </c>
      <c r="D1228" s="15" t="s">
        <v>128</v>
      </c>
      <c r="E1228" s="15" t="s">
        <v>97</v>
      </c>
    </row>
    <row r="1229" customFormat="false" ht="15" hidden="false" customHeight="false" outlineLevel="0" collapsed="false">
      <c r="A1229" s="0" t="s">
        <v>1282</v>
      </c>
      <c r="B1229" s="0" t="s">
        <v>41</v>
      </c>
      <c r="C1229" s="17" t="n">
        <v>46048</v>
      </c>
      <c r="D1229" s="15" t="s">
        <v>88</v>
      </c>
      <c r="E1229" s="15" t="s">
        <v>69</v>
      </c>
    </row>
    <row r="1230" customFormat="false" ht="15" hidden="false" customHeight="false" outlineLevel="0" collapsed="false">
      <c r="A1230" s="0" t="s">
        <v>1283</v>
      </c>
      <c r="B1230" s="0" t="s">
        <v>83</v>
      </c>
      <c r="C1230" s="17" t="n">
        <v>46060</v>
      </c>
      <c r="D1230" s="15" t="s">
        <v>101</v>
      </c>
      <c r="E1230" s="15" t="s">
        <v>85</v>
      </c>
    </row>
    <row r="1231" customFormat="false" ht="15" hidden="false" customHeight="false" outlineLevel="0" collapsed="false">
      <c r="A1231" s="0" t="s">
        <v>729</v>
      </c>
      <c r="B1231" s="0" t="s">
        <v>83</v>
      </c>
      <c r="C1231" s="17" t="n">
        <v>46080</v>
      </c>
      <c r="D1231" s="15" t="s">
        <v>88</v>
      </c>
      <c r="E1231" s="15" t="s">
        <v>172</v>
      </c>
    </row>
    <row r="1232" customFormat="false" ht="15" hidden="false" customHeight="false" outlineLevel="0" collapsed="false">
      <c r="A1232" s="0" t="s">
        <v>1284</v>
      </c>
      <c r="B1232" s="0" t="s">
        <v>43</v>
      </c>
      <c r="C1232" s="17" t="n">
        <v>46063</v>
      </c>
      <c r="D1232" s="15" t="s">
        <v>104</v>
      </c>
      <c r="E1232" s="15" t="s">
        <v>85</v>
      </c>
    </row>
    <row r="1233" customFormat="false" ht="15" hidden="false" customHeight="false" outlineLevel="0" collapsed="false">
      <c r="A1233" s="0" t="s">
        <v>1285</v>
      </c>
      <c r="B1233" s="0" t="s">
        <v>39</v>
      </c>
      <c r="C1233" s="17" t="n">
        <v>46045</v>
      </c>
      <c r="D1233" s="15" t="s">
        <v>96</v>
      </c>
      <c r="E1233" s="15" t="s">
        <v>69</v>
      </c>
    </row>
    <row r="1234" customFormat="false" ht="15" hidden="false" customHeight="false" outlineLevel="0" collapsed="false">
      <c r="A1234" s="0" t="s">
        <v>1286</v>
      </c>
      <c r="B1234" s="0" t="s">
        <v>71</v>
      </c>
      <c r="C1234" s="17" t="n">
        <v>46041</v>
      </c>
      <c r="D1234" s="15" t="s">
        <v>64</v>
      </c>
      <c r="E1234" s="15" t="s">
        <v>97</v>
      </c>
    </row>
    <row r="1235" customFormat="false" ht="15" hidden="false" customHeight="false" outlineLevel="0" collapsed="false">
      <c r="A1235" s="0" t="s">
        <v>1287</v>
      </c>
      <c r="B1235" s="0" t="s">
        <v>124</v>
      </c>
      <c r="C1235" s="17" t="n">
        <v>46071</v>
      </c>
      <c r="D1235" s="15" t="s">
        <v>107</v>
      </c>
      <c r="E1235" s="15" t="s">
        <v>85</v>
      </c>
    </row>
    <row r="1236" customFormat="false" ht="15" hidden="false" customHeight="false" outlineLevel="0" collapsed="false">
      <c r="A1236" s="0" t="s">
        <v>1288</v>
      </c>
      <c r="B1236" s="0" t="s">
        <v>112</v>
      </c>
      <c r="C1236" s="17" t="n">
        <v>46065</v>
      </c>
      <c r="D1236" s="15" t="s">
        <v>128</v>
      </c>
      <c r="E1236" s="15" t="s">
        <v>69</v>
      </c>
    </row>
    <row r="1237" customFormat="false" ht="15" hidden="false" customHeight="false" outlineLevel="0" collapsed="false">
      <c r="A1237" s="0" t="s">
        <v>1289</v>
      </c>
      <c r="B1237" s="0" t="s">
        <v>41</v>
      </c>
      <c r="C1237" s="17" t="n">
        <v>46056</v>
      </c>
      <c r="D1237" s="15" t="s">
        <v>107</v>
      </c>
      <c r="E1237" s="15" t="s">
        <v>59</v>
      </c>
    </row>
    <row r="1238" customFormat="false" ht="15" hidden="false" customHeight="false" outlineLevel="0" collapsed="false">
      <c r="A1238" s="0" t="s">
        <v>1290</v>
      </c>
      <c r="B1238" s="0" t="s">
        <v>67</v>
      </c>
      <c r="C1238" s="17" t="n">
        <v>46036</v>
      </c>
      <c r="D1238" s="15" t="s">
        <v>128</v>
      </c>
      <c r="E1238" s="15" t="s">
        <v>97</v>
      </c>
    </row>
    <row r="1239" customFormat="false" ht="15" hidden="false" customHeight="false" outlineLevel="0" collapsed="false">
      <c r="A1239" s="0" t="s">
        <v>1291</v>
      </c>
      <c r="B1239" s="0" t="s">
        <v>99</v>
      </c>
      <c r="C1239" s="17" t="n">
        <v>46080</v>
      </c>
      <c r="D1239" s="15" t="s">
        <v>104</v>
      </c>
      <c r="E1239" s="15" t="s">
        <v>97</v>
      </c>
    </row>
    <row r="1240" customFormat="false" ht="15" hidden="false" customHeight="false" outlineLevel="0" collapsed="false">
      <c r="A1240" s="0" t="s">
        <v>540</v>
      </c>
      <c r="B1240" s="0" t="s">
        <v>83</v>
      </c>
      <c r="C1240" s="17" t="n">
        <v>46041</v>
      </c>
      <c r="D1240" s="15" t="s">
        <v>72</v>
      </c>
      <c r="E1240" s="15" t="s">
        <v>62</v>
      </c>
    </row>
    <row r="1241" customFormat="false" ht="15" hidden="false" customHeight="false" outlineLevel="0" collapsed="false">
      <c r="A1241" s="0" t="s">
        <v>1292</v>
      </c>
      <c r="B1241" s="0" t="s">
        <v>77</v>
      </c>
      <c r="C1241" s="17" t="n">
        <v>46070</v>
      </c>
      <c r="D1241" s="15" t="s">
        <v>72</v>
      </c>
      <c r="E1241" s="15" t="s">
        <v>69</v>
      </c>
    </row>
    <row r="1242" customFormat="false" ht="15" hidden="false" customHeight="false" outlineLevel="0" collapsed="false">
      <c r="A1242" s="0" t="s">
        <v>1293</v>
      </c>
      <c r="B1242" s="0" t="s">
        <v>67</v>
      </c>
      <c r="C1242" s="17" t="n">
        <v>46031</v>
      </c>
      <c r="D1242" s="15" t="s">
        <v>135</v>
      </c>
      <c r="E1242" s="15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6" t="s">
        <v>1294</v>
      </c>
      <c r="B1" s="16" t="s">
        <v>1295</v>
      </c>
      <c r="C1" s="16" t="s">
        <v>1296</v>
      </c>
    </row>
    <row r="2" customFormat="false" ht="15" hidden="false" customHeight="false" outlineLevel="0" collapsed="false">
      <c r="A2" s="0" t="s">
        <v>35</v>
      </c>
      <c r="B2" s="0" t="s">
        <v>1297</v>
      </c>
      <c r="C2" s="0" t="s">
        <v>35</v>
      </c>
    </row>
    <row r="3" customFormat="false" ht="15" hidden="false" customHeight="false" outlineLevel="0" collapsed="false">
      <c r="A3" s="0" t="s">
        <v>92</v>
      </c>
      <c r="B3" s="0" t="s">
        <v>1297</v>
      </c>
      <c r="C3" s="0" t="s">
        <v>35</v>
      </c>
    </row>
    <row r="4" customFormat="false" ht="15" hidden="false" customHeight="false" outlineLevel="0" collapsed="false">
      <c r="A4" s="0" t="s">
        <v>57</v>
      </c>
      <c r="B4" s="0" t="s">
        <v>1297</v>
      </c>
      <c r="C4" s="0" t="s">
        <v>35</v>
      </c>
    </row>
    <row r="5" customFormat="false" ht="15" hidden="false" customHeight="false" outlineLevel="0" collapsed="false">
      <c r="A5" s="0" t="s">
        <v>43</v>
      </c>
      <c r="B5" s="0" t="s">
        <v>1298</v>
      </c>
      <c r="C5" s="0" t="s">
        <v>43</v>
      </c>
    </row>
    <row r="6" customFormat="false" ht="15" hidden="false" customHeight="false" outlineLevel="0" collapsed="false">
      <c r="A6" s="0" t="s">
        <v>77</v>
      </c>
      <c r="B6" s="0" t="s">
        <v>1298</v>
      </c>
      <c r="C6" s="0" t="s">
        <v>43</v>
      </c>
    </row>
    <row r="7" customFormat="false" ht="15" hidden="false" customHeight="false" outlineLevel="0" collapsed="false">
      <c r="A7" s="0" t="s">
        <v>83</v>
      </c>
      <c r="B7" s="0" t="s">
        <v>1298</v>
      </c>
      <c r="C7" s="0" t="s">
        <v>43</v>
      </c>
    </row>
    <row r="8" customFormat="false" ht="15" hidden="false" customHeight="false" outlineLevel="0" collapsed="false">
      <c r="A8" s="0" t="s">
        <v>37</v>
      </c>
      <c r="B8" s="0" t="s">
        <v>1299</v>
      </c>
      <c r="C8" s="0" t="s">
        <v>37</v>
      </c>
    </row>
    <row r="9" customFormat="false" ht="15" hidden="false" customHeight="false" outlineLevel="0" collapsed="false">
      <c r="A9" s="0" t="s">
        <v>124</v>
      </c>
      <c r="B9" s="0" t="s">
        <v>1299</v>
      </c>
      <c r="C9" s="0" t="s">
        <v>37</v>
      </c>
    </row>
    <row r="10" customFormat="false" ht="15" hidden="false" customHeight="false" outlineLevel="0" collapsed="false">
      <c r="A10" s="0" t="s">
        <v>71</v>
      </c>
      <c r="B10" s="0" t="s">
        <v>1299</v>
      </c>
      <c r="C10" s="0" t="s">
        <v>37</v>
      </c>
    </row>
    <row r="11" customFormat="false" ht="15" hidden="false" customHeight="false" outlineLevel="0" collapsed="false">
      <c r="A11" s="0" t="s">
        <v>39</v>
      </c>
      <c r="B11" s="0" t="s">
        <v>1300</v>
      </c>
      <c r="C11" s="0" t="s">
        <v>39</v>
      </c>
    </row>
    <row r="12" customFormat="false" ht="15" hidden="false" customHeight="false" outlineLevel="0" collapsed="false">
      <c r="A12" s="0" t="s">
        <v>67</v>
      </c>
      <c r="B12" s="0" t="s">
        <v>1300</v>
      </c>
      <c r="C12" s="0" t="s">
        <v>39</v>
      </c>
    </row>
    <row r="13" customFormat="false" ht="15" hidden="false" customHeight="false" outlineLevel="0" collapsed="false">
      <c r="A13" s="0" t="s">
        <v>103</v>
      </c>
      <c r="B13" s="0" t="s">
        <v>1300</v>
      </c>
      <c r="C13" s="0" t="s">
        <v>39</v>
      </c>
    </row>
    <row r="14" customFormat="false" ht="15" hidden="false" customHeight="false" outlineLevel="0" collapsed="false">
      <c r="A14" s="0" t="s">
        <v>41</v>
      </c>
      <c r="B14" s="0" t="s">
        <v>1301</v>
      </c>
      <c r="C14" s="0" t="s">
        <v>41</v>
      </c>
    </row>
    <row r="15" customFormat="false" ht="15" hidden="false" customHeight="false" outlineLevel="0" collapsed="false">
      <c r="A15" s="0" t="s">
        <v>116</v>
      </c>
      <c r="B15" s="0" t="s">
        <v>1301</v>
      </c>
      <c r="C15" s="0" t="s">
        <v>41</v>
      </c>
    </row>
    <row r="16" customFormat="false" ht="15" hidden="false" customHeight="false" outlineLevel="0" collapsed="false">
      <c r="A16" s="0" t="s">
        <v>99</v>
      </c>
      <c r="B16" s="0" t="s">
        <v>1301</v>
      </c>
      <c r="C16" s="0" t="s">
        <v>41</v>
      </c>
    </row>
    <row r="17" customFormat="false" ht="15" hidden="false" customHeight="false" outlineLevel="0" collapsed="false">
      <c r="A17" s="0" t="s">
        <v>33</v>
      </c>
      <c r="B17" s="0" t="s">
        <v>1302</v>
      </c>
      <c r="C17" s="0" t="s">
        <v>33</v>
      </c>
    </row>
    <row r="18" customFormat="false" ht="15" hidden="false" customHeight="false" outlineLevel="0" collapsed="false">
      <c r="A18" s="0" t="s">
        <v>112</v>
      </c>
      <c r="B18" s="0" t="s">
        <v>1302</v>
      </c>
      <c r="C18" s="0" t="s">
        <v>33</v>
      </c>
    </row>
    <row r="19" customFormat="false" ht="15" hidden="false" customHeight="false" outlineLevel="0" collapsed="false">
      <c r="A19" s="0" t="s">
        <v>95</v>
      </c>
      <c r="B19" s="0" t="s">
        <v>1302</v>
      </c>
      <c r="C19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5" min="4" style="0" width="11"/>
  </cols>
  <sheetData>
    <row r="1" customFormat="false" ht="15" hidden="false" customHeight="false" outlineLevel="0" collapsed="false">
      <c r="A1" s="16" t="s">
        <v>46</v>
      </c>
      <c r="B1" s="16" t="s">
        <v>47</v>
      </c>
      <c r="C1" s="16" t="s">
        <v>32</v>
      </c>
      <c r="D1" s="16" t="s">
        <v>49</v>
      </c>
      <c r="E1" s="16" t="s">
        <v>1303</v>
      </c>
    </row>
    <row r="2" customFormat="false" ht="15" hidden="false" customHeight="false" outlineLevel="0" collapsed="false">
      <c r="A2" s="0" t="s">
        <v>81</v>
      </c>
      <c r="B2" s="0" t="s">
        <v>1304</v>
      </c>
      <c r="C2" s="0" t="s">
        <v>36</v>
      </c>
      <c r="D2" s="18" t="n">
        <v>68</v>
      </c>
      <c r="E2" s="18" t="n">
        <v>27.5</v>
      </c>
    </row>
    <row r="3" customFormat="false" ht="15" hidden="false" customHeight="false" outlineLevel="0" collapsed="false">
      <c r="A3" s="0" t="s">
        <v>107</v>
      </c>
      <c r="B3" s="0" t="s">
        <v>1305</v>
      </c>
      <c r="C3" s="0" t="s">
        <v>36</v>
      </c>
      <c r="D3" s="18" t="n">
        <v>18</v>
      </c>
      <c r="E3" s="18" t="n">
        <v>6.5</v>
      </c>
    </row>
    <row r="4" customFormat="false" ht="15" hidden="false" customHeight="false" outlineLevel="0" collapsed="false">
      <c r="A4" s="0" t="s">
        <v>135</v>
      </c>
      <c r="B4" s="0" t="s">
        <v>1306</v>
      </c>
      <c r="C4" s="0" t="s">
        <v>36</v>
      </c>
      <c r="D4" s="18" t="n">
        <v>45</v>
      </c>
      <c r="E4" s="18" t="n">
        <v>18</v>
      </c>
    </row>
    <row r="5" customFormat="false" ht="15" hidden="false" customHeight="false" outlineLevel="0" collapsed="false">
      <c r="A5" s="0" t="s">
        <v>128</v>
      </c>
      <c r="B5" s="0" t="s">
        <v>1307</v>
      </c>
      <c r="C5" s="0" t="s">
        <v>36</v>
      </c>
      <c r="D5" s="18" t="n">
        <v>52</v>
      </c>
      <c r="E5" s="18" t="n">
        <v>21</v>
      </c>
    </row>
    <row r="6" customFormat="false" ht="15" hidden="false" customHeight="false" outlineLevel="0" collapsed="false">
      <c r="A6" s="0" t="s">
        <v>126</v>
      </c>
      <c r="B6" s="0" t="s">
        <v>1308</v>
      </c>
      <c r="C6" s="0" t="s">
        <v>40</v>
      </c>
      <c r="D6" s="18" t="n">
        <v>89</v>
      </c>
      <c r="E6" s="18" t="n">
        <v>38</v>
      </c>
    </row>
    <row r="7" customFormat="false" ht="15" hidden="false" customHeight="false" outlineLevel="0" collapsed="false">
      <c r="A7" s="0" t="s">
        <v>88</v>
      </c>
      <c r="B7" s="0" t="s">
        <v>1309</v>
      </c>
      <c r="C7" s="0" t="s">
        <v>40</v>
      </c>
      <c r="D7" s="18" t="n">
        <v>55</v>
      </c>
      <c r="E7" s="18" t="n">
        <v>22</v>
      </c>
    </row>
    <row r="8" customFormat="false" ht="15" hidden="false" customHeight="false" outlineLevel="0" collapsed="false">
      <c r="A8" s="0" t="s">
        <v>153</v>
      </c>
      <c r="B8" s="0" t="s">
        <v>1310</v>
      </c>
      <c r="C8" s="0" t="s">
        <v>40</v>
      </c>
      <c r="D8" s="18" t="n">
        <v>120</v>
      </c>
      <c r="E8" s="18" t="n">
        <v>52</v>
      </c>
    </row>
    <row r="9" customFormat="false" ht="15" hidden="false" customHeight="false" outlineLevel="0" collapsed="false">
      <c r="A9" s="0" t="s">
        <v>90</v>
      </c>
      <c r="B9" s="0" t="s">
        <v>1311</v>
      </c>
      <c r="C9" s="0" t="s">
        <v>40</v>
      </c>
      <c r="D9" s="18" t="n">
        <v>25</v>
      </c>
      <c r="E9" s="18" t="n">
        <v>9</v>
      </c>
    </row>
    <row r="10" customFormat="false" ht="15" hidden="false" customHeight="false" outlineLevel="0" collapsed="false">
      <c r="A10" s="0" t="s">
        <v>96</v>
      </c>
      <c r="B10" s="0" t="s">
        <v>1312</v>
      </c>
      <c r="C10" s="0" t="s">
        <v>34</v>
      </c>
      <c r="D10" s="18" t="n">
        <v>30</v>
      </c>
      <c r="E10" s="18" t="n">
        <v>11</v>
      </c>
    </row>
    <row r="11" customFormat="false" ht="15" hidden="false" customHeight="false" outlineLevel="0" collapsed="false">
      <c r="A11" s="0" t="s">
        <v>93</v>
      </c>
      <c r="B11" s="0" t="s">
        <v>1313</v>
      </c>
      <c r="C11" s="0" t="s">
        <v>34</v>
      </c>
      <c r="D11" s="18" t="n">
        <v>42</v>
      </c>
      <c r="E11" s="18" t="n">
        <v>15</v>
      </c>
    </row>
    <row r="12" customFormat="false" ht="15" hidden="false" customHeight="false" outlineLevel="0" collapsed="false">
      <c r="A12" s="0" t="s">
        <v>74</v>
      </c>
      <c r="B12" s="0" t="s">
        <v>1314</v>
      </c>
      <c r="C12" s="0" t="s">
        <v>34</v>
      </c>
      <c r="D12" s="18" t="n">
        <v>24</v>
      </c>
      <c r="E12" s="18" t="n">
        <v>8.5</v>
      </c>
    </row>
    <row r="13" customFormat="false" ht="15" hidden="false" customHeight="false" outlineLevel="0" collapsed="false">
      <c r="A13" s="0" t="s">
        <v>61</v>
      </c>
      <c r="B13" s="0" t="s">
        <v>1315</v>
      </c>
      <c r="C13" s="0" t="s">
        <v>34</v>
      </c>
      <c r="D13" s="18" t="n">
        <v>16</v>
      </c>
      <c r="E13" s="18" t="n">
        <v>5.5</v>
      </c>
    </row>
    <row r="14" customFormat="false" ht="15" hidden="false" customHeight="false" outlineLevel="0" collapsed="false">
      <c r="A14" s="0" t="s">
        <v>72</v>
      </c>
      <c r="B14" s="0" t="s">
        <v>1316</v>
      </c>
      <c r="C14" s="0" t="s">
        <v>38</v>
      </c>
      <c r="D14" s="18" t="n">
        <v>79</v>
      </c>
      <c r="E14" s="18" t="n">
        <v>34</v>
      </c>
    </row>
    <row r="15" customFormat="false" ht="15" hidden="false" customHeight="false" outlineLevel="0" collapsed="false">
      <c r="A15" s="0" t="s">
        <v>79</v>
      </c>
      <c r="B15" s="0" t="s">
        <v>1317</v>
      </c>
      <c r="C15" s="0" t="s">
        <v>38</v>
      </c>
      <c r="D15" s="18" t="n">
        <v>59</v>
      </c>
      <c r="E15" s="18" t="n">
        <v>24</v>
      </c>
    </row>
    <row r="16" customFormat="false" ht="15" hidden="false" customHeight="false" outlineLevel="0" collapsed="false">
      <c r="A16" s="0" t="s">
        <v>101</v>
      </c>
      <c r="B16" s="0" t="s">
        <v>1318</v>
      </c>
      <c r="C16" s="0" t="s">
        <v>38</v>
      </c>
      <c r="D16" s="18" t="n">
        <v>99</v>
      </c>
      <c r="E16" s="18" t="n">
        <v>42</v>
      </c>
    </row>
    <row r="17" customFormat="false" ht="15" hidden="false" customHeight="false" outlineLevel="0" collapsed="false">
      <c r="A17" s="0" t="s">
        <v>58</v>
      </c>
      <c r="B17" s="0" t="s">
        <v>1319</v>
      </c>
      <c r="C17" s="0" t="s">
        <v>38</v>
      </c>
      <c r="D17" s="18" t="n">
        <v>12</v>
      </c>
      <c r="E17" s="18" t="n">
        <v>3.5</v>
      </c>
    </row>
    <row r="18" customFormat="false" ht="15" hidden="false" customHeight="false" outlineLevel="0" collapsed="false">
      <c r="A18" s="0" t="s">
        <v>68</v>
      </c>
      <c r="B18" s="0" t="s">
        <v>1320</v>
      </c>
      <c r="C18" s="0" t="s">
        <v>42</v>
      </c>
      <c r="D18" s="18" t="n">
        <v>22</v>
      </c>
      <c r="E18" s="18" t="n">
        <v>8</v>
      </c>
    </row>
    <row r="19" customFormat="false" ht="15" hidden="false" customHeight="false" outlineLevel="0" collapsed="false">
      <c r="A19" s="0" t="s">
        <v>84</v>
      </c>
      <c r="B19" s="0" t="s">
        <v>1321</v>
      </c>
      <c r="C19" s="0" t="s">
        <v>42</v>
      </c>
      <c r="D19" s="18" t="n">
        <v>15</v>
      </c>
      <c r="E19" s="18" t="n">
        <v>5</v>
      </c>
    </row>
    <row r="20" customFormat="false" ht="15" hidden="false" customHeight="false" outlineLevel="0" collapsed="false">
      <c r="A20" s="0" t="s">
        <v>104</v>
      </c>
      <c r="B20" s="0" t="s">
        <v>1322</v>
      </c>
      <c r="C20" s="0" t="s">
        <v>42</v>
      </c>
      <c r="D20" s="18" t="n">
        <v>38</v>
      </c>
      <c r="E20" s="18" t="n">
        <v>15</v>
      </c>
    </row>
    <row r="21" customFormat="false" ht="15" hidden="false" customHeight="false" outlineLevel="0" collapsed="false">
      <c r="A21" s="0" t="s">
        <v>64</v>
      </c>
      <c r="B21" s="0" t="s">
        <v>1323</v>
      </c>
      <c r="C21" s="0" t="s">
        <v>42</v>
      </c>
      <c r="D21" s="18" t="n">
        <v>27</v>
      </c>
      <c r="E21" s="18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6" t="s">
        <v>45</v>
      </c>
      <c r="B1" s="16" t="s">
        <v>1324</v>
      </c>
      <c r="C1" s="16" t="s">
        <v>1325</v>
      </c>
      <c r="D1" s="16" t="s">
        <v>1326</v>
      </c>
      <c r="E1" s="16" t="s">
        <v>1327</v>
      </c>
      <c r="F1" s="16" t="s">
        <v>1328</v>
      </c>
      <c r="G1" s="16" t="s">
        <v>1329</v>
      </c>
    </row>
    <row r="2" customFormat="false" ht="15" hidden="false" customHeight="false" outlineLevel="0" collapsed="false">
      <c r="A2" s="17" t="n">
        <v>46027</v>
      </c>
      <c r="B2" s="15" t="n">
        <f aca="false">YEAR(A2)</f>
        <v>2026</v>
      </c>
      <c r="C2" s="15" t="n">
        <f aca="false">MONTH(A2)</f>
        <v>1</v>
      </c>
      <c r="D2" s="0" t="str">
        <f aca="false">TEXT(A2,"mmm")</f>
        <v>Jan</v>
      </c>
      <c r="E2" s="15" t="n">
        <f aca="false">ROUNDUP(MONTH(A2)/3,0)</f>
        <v>1</v>
      </c>
      <c r="F2" s="15" t="n">
        <f aca="false">WEEKNUM(A2,1)</f>
        <v>2</v>
      </c>
      <c r="G2" s="0" t="str">
        <f aca="false">TEXT(A2,"ddd")</f>
        <v>Mon</v>
      </c>
    </row>
    <row r="3" customFormat="false" ht="15" hidden="false" customHeight="false" outlineLevel="0" collapsed="false">
      <c r="A3" s="17" t="n">
        <v>46028</v>
      </c>
      <c r="B3" s="15" t="n">
        <f aca="false">YEAR(A3)</f>
        <v>2026</v>
      </c>
      <c r="C3" s="15" t="n">
        <f aca="false">MONTH(A3)</f>
        <v>1</v>
      </c>
      <c r="D3" s="0" t="str">
        <f aca="false">TEXT(A3,"mmm")</f>
        <v>Jan</v>
      </c>
      <c r="E3" s="15" t="n">
        <f aca="false">ROUNDUP(MONTH(A3)/3,0)</f>
        <v>1</v>
      </c>
      <c r="F3" s="15" t="n">
        <f aca="false">WEEKNUM(A3,1)</f>
        <v>2</v>
      </c>
      <c r="G3" s="0" t="str">
        <f aca="false">TEXT(A3,"ddd")</f>
        <v>Tue</v>
      </c>
    </row>
    <row r="4" customFormat="false" ht="15" hidden="false" customHeight="false" outlineLevel="0" collapsed="false">
      <c r="A4" s="17" t="n">
        <v>46029</v>
      </c>
      <c r="B4" s="15" t="n">
        <f aca="false">YEAR(A4)</f>
        <v>2026</v>
      </c>
      <c r="C4" s="15" t="n">
        <f aca="false">MONTH(A4)</f>
        <v>1</v>
      </c>
      <c r="D4" s="0" t="str">
        <f aca="false">TEXT(A4,"mmm")</f>
        <v>Jan</v>
      </c>
      <c r="E4" s="15" t="n">
        <f aca="false">ROUNDUP(MONTH(A4)/3,0)</f>
        <v>1</v>
      </c>
      <c r="F4" s="15" t="n">
        <f aca="false">WEEKNUM(A4,1)</f>
        <v>2</v>
      </c>
      <c r="G4" s="0" t="str">
        <f aca="false">TEXT(A4,"ddd")</f>
        <v>Wed</v>
      </c>
    </row>
    <row r="5" customFormat="false" ht="15" hidden="false" customHeight="false" outlineLevel="0" collapsed="false">
      <c r="A5" s="17" t="n">
        <v>46030</v>
      </c>
      <c r="B5" s="15" t="n">
        <f aca="false">YEAR(A5)</f>
        <v>2026</v>
      </c>
      <c r="C5" s="15" t="n">
        <f aca="false">MONTH(A5)</f>
        <v>1</v>
      </c>
      <c r="D5" s="0" t="str">
        <f aca="false">TEXT(A5,"mmm")</f>
        <v>Jan</v>
      </c>
      <c r="E5" s="15" t="n">
        <f aca="false">ROUNDUP(MONTH(A5)/3,0)</f>
        <v>1</v>
      </c>
      <c r="F5" s="15" t="n">
        <f aca="false">WEEKNUM(A5,1)</f>
        <v>2</v>
      </c>
      <c r="G5" s="0" t="str">
        <f aca="false">TEXT(A5,"ddd")</f>
        <v>Thu</v>
      </c>
    </row>
    <row r="6" customFormat="false" ht="15" hidden="false" customHeight="false" outlineLevel="0" collapsed="false">
      <c r="A6" s="17" t="n">
        <v>46031</v>
      </c>
      <c r="B6" s="15" t="n">
        <f aca="false">YEAR(A6)</f>
        <v>2026</v>
      </c>
      <c r="C6" s="15" t="n">
        <f aca="false">MONTH(A6)</f>
        <v>1</v>
      </c>
      <c r="D6" s="0" t="str">
        <f aca="false">TEXT(A6,"mmm")</f>
        <v>Jan</v>
      </c>
      <c r="E6" s="15" t="n">
        <f aca="false">ROUNDUP(MONTH(A6)/3,0)</f>
        <v>1</v>
      </c>
      <c r="F6" s="15" t="n">
        <f aca="false">WEEKNUM(A6,1)</f>
        <v>2</v>
      </c>
      <c r="G6" s="0" t="str">
        <f aca="false">TEXT(A6,"ddd")</f>
        <v>Fri</v>
      </c>
    </row>
    <row r="7" customFormat="false" ht="15" hidden="false" customHeight="false" outlineLevel="0" collapsed="false">
      <c r="A7" s="17" t="n">
        <v>46032</v>
      </c>
      <c r="B7" s="15" t="n">
        <f aca="false">YEAR(A7)</f>
        <v>2026</v>
      </c>
      <c r="C7" s="15" t="n">
        <f aca="false">MONTH(A7)</f>
        <v>1</v>
      </c>
      <c r="D7" s="0" t="str">
        <f aca="false">TEXT(A7,"mmm")</f>
        <v>Jan</v>
      </c>
      <c r="E7" s="15" t="n">
        <f aca="false">ROUNDUP(MONTH(A7)/3,0)</f>
        <v>1</v>
      </c>
      <c r="F7" s="15" t="n">
        <f aca="false">WEEKNUM(A7,1)</f>
        <v>2</v>
      </c>
      <c r="G7" s="0" t="str">
        <f aca="false">TEXT(A7,"ddd")</f>
        <v>Sat</v>
      </c>
    </row>
    <row r="8" customFormat="false" ht="15" hidden="false" customHeight="false" outlineLevel="0" collapsed="false">
      <c r="A8" s="17" t="n">
        <v>46033</v>
      </c>
      <c r="B8" s="15" t="n">
        <f aca="false">YEAR(A8)</f>
        <v>2026</v>
      </c>
      <c r="C8" s="15" t="n">
        <f aca="false">MONTH(A8)</f>
        <v>1</v>
      </c>
      <c r="D8" s="0" t="str">
        <f aca="false">TEXT(A8,"mmm")</f>
        <v>Jan</v>
      </c>
      <c r="E8" s="15" t="n">
        <f aca="false">ROUNDUP(MONTH(A8)/3,0)</f>
        <v>1</v>
      </c>
      <c r="F8" s="15" t="n">
        <f aca="false">WEEKNUM(A8,1)</f>
        <v>3</v>
      </c>
      <c r="G8" s="0" t="str">
        <f aca="false">TEXT(A8,"ddd")</f>
        <v>Sun</v>
      </c>
    </row>
    <row r="9" customFormat="false" ht="15" hidden="false" customHeight="false" outlineLevel="0" collapsed="false">
      <c r="A9" s="17" t="n">
        <v>46034</v>
      </c>
      <c r="B9" s="15" t="n">
        <f aca="false">YEAR(A9)</f>
        <v>2026</v>
      </c>
      <c r="C9" s="15" t="n">
        <f aca="false">MONTH(A9)</f>
        <v>1</v>
      </c>
      <c r="D9" s="0" t="str">
        <f aca="false">TEXT(A9,"mmm")</f>
        <v>Jan</v>
      </c>
      <c r="E9" s="15" t="n">
        <f aca="false">ROUNDUP(MONTH(A9)/3,0)</f>
        <v>1</v>
      </c>
      <c r="F9" s="15" t="n">
        <f aca="false">WEEKNUM(A9,1)</f>
        <v>3</v>
      </c>
      <c r="G9" s="0" t="str">
        <f aca="false">TEXT(A9,"ddd")</f>
        <v>Mon</v>
      </c>
    </row>
    <row r="10" customFormat="false" ht="15" hidden="false" customHeight="false" outlineLevel="0" collapsed="false">
      <c r="A10" s="17" t="n">
        <v>46035</v>
      </c>
      <c r="B10" s="15" t="n">
        <f aca="false">YEAR(A10)</f>
        <v>2026</v>
      </c>
      <c r="C10" s="15" t="n">
        <f aca="false">MONTH(A10)</f>
        <v>1</v>
      </c>
      <c r="D10" s="0" t="str">
        <f aca="false">TEXT(A10,"mmm")</f>
        <v>Jan</v>
      </c>
      <c r="E10" s="15" t="n">
        <f aca="false">ROUNDUP(MONTH(A10)/3,0)</f>
        <v>1</v>
      </c>
      <c r="F10" s="15" t="n">
        <f aca="false">WEEKNUM(A10,1)</f>
        <v>3</v>
      </c>
      <c r="G10" s="0" t="str">
        <f aca="false">TEXT(A10,"ddd")</f>
        <v>Tue</v>
      </c>
    </row>
    <row r="11" customFormat="false" ht="15" hidden="false" customHeight="false" outlineLevel="0" collapsed="false">
      <c r="A11" s="17" t="n">
        <v>46036</v>
      </c>
      <c r="B11" s="15" t="n">
        <f aca="false">YEAR(A11)</f>
        <v>2026</v>
      </c>
      <c r="C11" s="15" t="n">
        <f aca="false">MONTH(A11)</f>
        <v>1</v>
      </c>
      <c r="D11" s="0" t="str">
        <f aca="false">TEXT(A11,"mmm")</f>
        <v>Jan</v>
      </c>
      <c r="E11" s="15" t="n">
        <f aca="false">ROUNDUP(MONTH(A11)/3,0)</f>
        <v>1</v>
      </c>
      <c r="F11" s="15" t="n">
        <f aca="false">WEEKNUM(A11,1)</f>
        <v>3</v>
      </c>
      <c r="G11" s="0" t="str">
        <f aca="false">TEXT(A11,"ddd")</f>
        <v>Wed</v>
      </c>
    </row>
    <row r="12" customFormat="false" ht="15" hidden="false" customHeight="false" outlineLevel="0" collapsed="false">
      <c r="A12" s="17" t="n">
        <v>46037</v>
      </c>
      <c r="B12" s="15" t="n">
        <f aca="false">YEAR(A12)</f>
        <v>2026</v>
      </c>
      <c r="C12" s="15" t="n">
        <f aca="false">MONTH(A12)</f>
        <v>1</v>
      </c>
      <c r="D12" s="0" t="str">
        <f aca="false">TEXT(A12,"mmm")</f>
        <v>Jan</v>
      </c>
      <c r="E12" s="15" t="n">
        <f aca="false">ROUNDUP(MONTH(A12)/3,0)</f>
        <v>1</v>
      </c>
      <c r="F12" s="15" t="n">
        <f aca="false">WEEKNUM(A12,1)</f>
        <v>3</v>
      </c>
      <c r="G12" s="0" t="str">
        <f aca="false">TEXT(A12,"ddd")</f>
        <v>Thu</v>
      </c>
    </row>
    <row r="13" customFormat="false" ht="15" hidden="false" customHeight="false" outlineLevel="0" collapsed="false">
      <c r="A13" s="17" t="n">
        <v>46038</v>
      </c>
      <c r="B13" s="15" t="n">
        <f aca="false">YEAR(A13)</f>
        <v>2026</v>
      </c>
      <c r="C13" s="15" t="n">
        <f aca="false">MONTH(A13)</f>
        <v>1</v>
      </c>
      <c r="D13" s="0" t="str">
        <f aca="false">TEXT(A13,"mmm")</f>
        <v>Jan</v>
      </c>
      <c r="E13" s="15" t="n">
        <f aca="false">ROUNDUP(MONTH(A13)/3,0)</f>
        <v>1</v>
      </c>
      <c r="F13" s="15" t="n">
        <f aca="false">WEEKNUM(A13,1)</f>
        <v>3</v>
      </c>
      <c r="G13" s="0" t="str">
        <f aca="false">TEXT(A13,"ddd")</f>
        <v>Fri</v>
      </c>
    </row>
    <row r="14" customFormat="false" ht="15" hidden="false" customHeight="false" outlineLevel="0" collapsed="false">
      <c r="A14" s="17" t="n">
        <v>46039</v>
      </c>
      <c r="B14" s="15" t="n">
        <f aca="false">YEAR(A14)</f>
        <v>2026</v>
      </c>
      <c r="C14" s="15" t="n">
        <f aca="false">MONTH(A14)</f>
        <v>1</v>
      </c>
      <c r="D14" s="0" t="str">
        <f aca="false">TEXT(A14,"mmm")</f>
        <v>Jan</v>
      </c>
      <c r="E14" s="15" t="n">
        <f aca="false">ROUNDUP(MONTH(A14)/3,0)</f>
        <v>1</v>
      </c>
      <c r="F14" s="15" t="n">
        <f aca="false">WEEKNUM(A14,1)</f>
        <v>3</v>
      </c>
      <c r="G14" s="0" t="str">
        <f aca="false">TEXT(A14,"ddd")</f>
        <v>Sat</v>
      </c>
    </row>
    <row r="15" customFormat="false" ht="15" hidden="false" customHeight="false" outlineLevel="0" collapsed="false">
      <c r="A15" s="17" t="n">
        <v>46040</v>
      </c>
      <c r="B15" s="15" t="n">
        <f aca="false">YEAR(A15)</f>
        <v>2026</v>
      </c>
      <c r="C15" s="15" t="n">
        <f aca="false">MONTH(A15)</f>
        <v>1</v>
      </c>
      <c r="D15" s="0" t="str">
        <f aca="false">TEXT(A15,"mmm")</f>
        <v>Jan</v>
      </c>
      <c r="E15" s="15" t="n">
        <f aca="false">ROUNDUP(MONTH(A15)/3,0)</f>
        <v>1</v>
      </c>
      <c r="F15" s="15" t="n">
        <f aca="false">WEEKNUM(A15,1)</f>
        <v>4</v>
      </c>
      <c r="G15" s="0" t="str">
        <f aca="false">TEXT(A15,"ddd")</f>
        <v>Sun</v>
      </c>
    </row>
    <row r="16" customFormat="false" ht="15" hidden="false" customHeight="false" outlineLevel="0" collapsed="false">
      <c r="A16" s="17" t="n">
        <v>46041</v>
      </c>
      <c r="B16" s="15" t="n">
        <f aca="false">YEAR(A16)</f>
        <v>2026</v>
      </c>
      <c r="C16" s="15" t="n">
        <f aca="false">MONTH(A16)</f>
        <v>1</v>
      </c>
      <c r="D16" s="0" t="str">
        <f aca="false">TEXT(A16,"mmm")</f>
        <v>Jan</v>
      </c>
      <c r="E16" s="15" t="n">
        <f aca="false">ROUNDUP(MONTH(A16)/3,0)</f>
        <v>1</v>
      </c>
      <c r="F16" s="15" t="n">
        <f aca="false">WEEKNUM(A16,1)</f>
        <v>4</v>
      </c>
      <c r="G16" s="0" t="str">
        <f aca="false">TEXT(A16,"ddd")</f>
        <v>Mon</v>
      </c>
    </row>
    <row r="17" customFormat="false" ht="15" hidden="false" customHeight="false" outlineLevel="0" collapsed="false">
      <c r="A17" s="17" t="n">
        <v>46042</v>
      </c>
      <c r="B17" s="15" t="n">
        <f aca="false">YEAR(A17)</f>
        <v>2026</v>
      </c>
      <c r="C17" s="15" t="n">
        <f aca="false">MONTH(A17)</f>
        <v>1</v>
      </c>
      <c r="D17" s="0" t="str">
        <f aca="false">TEXT(A17,"mmm")</f>
        <v>Jan</v>
      </c>
      <c r="E17" s="15" t="n">
        <f aca="false">ROUNDUP(MONTH(A17)/3,0)</f>
        <v>1</v>
      </c>
      <c r="F17" s="15" t="n">
        <f aca="false">WEEKNUM(A17,1)</f>
        <v>4</v>
      </c>
      <c r="G17" s="0" t="str">
        <f aca="false">TEXT(A17,"ddd")</f>
        <v>Tue</v>
      </c>
    </row>
    <row r="18" customFormat="false" ht="15" hidden="false" customHeight="false" outlineLevel="0" collapsed="false">
      <c r="A18" s="17" t="n">
        <v>46043</v>
      </c>
      <c r="B18" s="15" t="n">
        <f aca="false">YEAR(A18)</f>
        <v>2026</v>
      </c>
      <c r="C18" s="15" t="n">
        <f aca="false">MONTH(A18)</f>
        <v>1</v>
      </c>
      <c r="D18" s="0" t="str">
        <f aca="false">TEXT(A18,"mmm")</f>
        <v>Jan</v>
      </c>
      <c r="E18" s="15" t="n">
        <f aca="false">ROUNDUP(MONTH(A18)/3,0)</f>
        <v>1</v>
      </c>
      <c r="F18" s="15" t="n">
        <f aca="false">WEEKNUM(A18,1)</f>
        <v>4</v>
      </c>
      <c r="G18" s="0" t="str">
        <f aca="false">TEXT(A18,"ddd")</f>
        <v>Wed</v>
      </c>
    </row>
    <row r="19" customFormat="false" ht="15" hidden="false" customHeight="false" outlineLevel="0" collapsed="false">
      <c r="A19" s="17" t="n">
        <v>46044</v>
      </c>
      <c r="B19" s="15" t="n">
        <f aca="false">YEAR(A19)</f>
        <v>2026</v>
      </c>
      <c r="C19" s="15" t="n">
        <f aca="false">MONTH(A19)</f>
        <v>1</v>
      </c>
      <c r="D19" s="0" t="str">
        <f aca="false">TEXT(A19,"mmm")</f>
        <v>Jan</v>
      </c>
      <c r="E19" s="15" t="n">
        <f aca="false">ROUNDUP(MONTH(A19)/3,0)</f>
        <v>1</v>
      </c>
      <c r="F19" s="15" t="n">
        <f aca="false">WEEKNUM(A19,1)</f>
        <v>4</v>
      </c>
      <c r="G19" s="0" t="str">
        <f aca="false">TEXT(A19,"ddd")</f>
        <v>Thu</v>
      </c>
    </row>
    <row r="20" customFormat="false" ht="15" hidden="false" customHeight="false" outlineLevel="0" collapsed="false">
      <c r="A20" s="17" t="n">
        <v>46045</v>
      </c>
      <c r="B20" s="15" t="n">
        <f aca="false">YEAR(A20)</f>
        <v>2026</v>
      </c>
      <c r="C20" s="15" t="n">
        <f aca="false">MONTH(A20)</f>
        <v>1</v>
      </c>
      <c r="D20" s="0" t="str">
        <f aca="false">TEXT(A20,"mmm")</f>
        <v>Jan</v>
      </c>
      <c r="E20" s="15" t="n">
        <f aca="false">ROUNDUP(MONTH(A20)/3,0)</f>
        <v>1</v>
      </c>
      <c r="F20" s="15" t="n">
        <f aca="false">WEEKNUM(A20,1)</f>
        <v>4</v>
      </c>
      <c r="G20" s="0" t="str">
        <f aca="false">TEXT(A20,"ddd")</f>
        <v>Fri</v>
      </c>
    </row>
    <row r="21" customFormat="false" ht="15" hidden="false" customHeight="false" outlineLevel="0" collapsed="false">
      <c r="A21" s="17" t="n">
        <v>46046</v>
      </c>
      <c r="B21" s="15" t="n">
        <f aca="false">YEAR(A21)</f>
        <v>2026</v>
      </c>
      <c r="C21" s="15" t="n">
        <f aca="false">MONTH(A21)</f>
        <v>1</v>
      </c>
      <c r="D21" s="0" t="str">
        <f aca="false">TEXT(A21,"mmm")</f>
        <v>Jan</v>
      </c>
      <c r="E21" s="15" t="n">
        <f aca="false">ROUNDUP(MONTH(A21)/3,0)</f>
        <v>1</v>
      </c>
      <c r="F21" s="15" t="n">
        <f aca="false">WEEKNUM(A21,1)</f>
        <v>4</v>
      </c>
      <c r="G21" s="0" t="str">
        <f aca="false">TEXT(A21,"ddd")</f>
        <v>Sat</v>
      </c>
    </row>
    <row r="22" customFormat="false" ht="15" hidden="false" customHeight="false" outlineLevel="0" collapsed="false">
      <c r="A22" s="17" t="n">
        <v>46047</v>
      </c>
      <c r="B22" s="15" t="n">
        <f aca="false">YEAR(A22)</f>
        <v>2026</v>
      </c>
      <c r="C22" s="15" t="n">
        <f aca="false">MONTH(A22)</f>
        <v>1</v>
      </c>
      <c r="D22" s="0" t="str">
        <f aca="false">TEXT(A22,"mmm")</f>
        <v>Jan</v>
      </c>
      <c r="E22" s="15" t="n">
        <f aca="false">ROUNDUP(MONTH(A22)/3,0)</f>
        <v>1</v>
      </c>
      <c r="F22" s="15" t="n">
        <f aca="false">WEEKNUM(A22,1)</f>
        <v>5</v>
      </c>
      <c r="G22" s="0" t="str">
        <f aca="false">TEXT(A22,"ddd")</f>
        <v>Sun</v>
      </c>
    </row>
    <row r="23" customFormat="false" ht="15" hidden="false" customHeight="false" outlineLevel="0" collapsed="false">
      <c r="A23" s="17" t="n">
        <v>46048</v>
      </c>
      <c r="B23" s="15" t="n">
        <f aca="false">YEAR(A23)</f>
        <v>2026</v>
      </c>
      <c r="C23" s="15" t="n">
        <f aca="false">MONTH(A23)</f>
        <v>1</v>
      </c>
      <c r="D23" s="0" t="str">
        <f aca="false">TEXT(A23,"mmm")</f>
        <v>Jan</v>
      </c>
      <c r="E23" s="15" t="n">
        <f aca="false">ROUNDUP(MONTH(A23)/3,0)</f>
        <v>1</v>
      </c>
      <c r="F23" s="15" t="n">
        <f aca="false">WEEKNUM(A23,1)</f>
        <v>5</v>
      </c>
      <c r="G23" s="0" t="str">
        <f aca="false">TEXT(A23,"ddd")</f>
        <v>Mon</v>
      </c>
    </row>
    <row r="24" customFormat="false" ht="15" hidden="false" customHeight="false" outlineLevel="0" collapsed="false">
      <c r="A24" s="17" t="n">
        <v>46049</v>
      </c>
      <c r="B24" s="15" t="n">
        <f aca="false">YEAR(A24)</f>
        <v>2026</v>
      </c>
      <c r="C24" s="15" t="n">
        <f aca="false">MONTH(A24)</f>
        <v>1</v>
      </c>
      <c r="D24" s="0" t="str">
        <f aca="false">TEXT(A24,"mmm")</f>
        <v>Jan</v>
      </c>
      <c r="E24" s="15" t="n">
        <f aca="false">ROUNDUP(MONTH(A24)/3,0)</f>
        <v>1</v>
      </c>
      <c r="F24" s="15" t="n">
        <f aca="false">WEEKNUM(A24,1)</f>
        <v>5</v>
      </c>
      <c r="G24" s="0" t="str">
        <f aca="false">TEXT(A24,"ddd")</f>
        <v>Tue</v>
      </c>
    </row>
    <row r="25" customFormat="false" ht="15" hidden="false" customHeight="false" outlineLevel="0" collapsed="false">
      <c r="A25" s="17" t="n">
        <v>46050</v>
      </c>
      <c r="B25" s="15" t="n">
        <f aca="false">YEAR(A25)</f>
        <v>2026</v>
      </c>
      <c r="C25" s="15" t="n">
        <f aca="false">MONTH(A25)</f>
        <v>1</v>
      </c>
      <c r="D25" s="0" t="str">
        <f aca="false">TEXT(A25,"mmm")</f>
        <v>Jan</v>
      </c>
      <c r="E25" s="15" t="n">
        <f aca="false">ROUNDUP(MONTH(A25)/3,0)</f>
        <v>1</v>
      </c>
      <c r="F25" s="15" t="n">
        <f aca="false">WEEKNUM(A25,1)</f>
        <v>5</v>
      </c>
      <c r="G25" s="0" t="str">
        <f aca="false">TEXT(A25,"ddd")</f>
        <v>Wed</v>
      </c>
    </row>
    <row r="26" customFormat="false" ht="15" hidden="false" customHeight="false" outlineLevel="0" collapsed="false">
      <c r="A26" s="17" t="n">
        <v>46051</v>
      </c>
      <c r="B26" s="15" t="n">
        <f aca="false">YEAR(A26)</f>
        <v>2026</v>
      </c>
      <c r="C26" s="15" t="n">
        <f aca="false">MONTH(A26)</f>
        <v>1</v>
      </c>
      <c r="D26" s="0" t="str">
        <f aca="false">TEXT(A26,"mmm")</f>
        <v>Jan</v>
      </c>
      <c r="E26" s="15" t="n">
        <f aca="false">ROUNDUP(MONTH(A26)/3,0)</f>
        <v>1</v>
      </c>
      <c r="F26" s="15" t="n">
        <f aca="false">WEEKNUM(A26,1)</f>
        <v>5</v>
      </c>
      <c r="G26" s="0" t="str">
        <f aca="false">TEXT(A26,"ddd")</f>
        <v>Thu</v>
      </c>
    </row>
    <row r="27" customFormat="false" ht="15" hidden="false" customHeight="false" outlineLevel="0" collapsed="false">
      <c r="A27" s="17" t="n">
        <v>46052</v>
      </c>
      <c r="B27" s="15" t="n">
        <f aca="false">YEAR(A27)</f>
        <v>2026</v>
      </c>
      <c r="C27" s="15" t="n">
        <f aca="false">MONTH(A27)</f>
        <v>1</v>
      </c>
      <c r="D27" s="0" t="str">
        <f aca="false">TEXT(A27,"mmm")</f>
        <v>Jan</v>
      </c>
      <c r="E27" s="15" t="n">
        <f aca="false">ROUNDUP(MONTH(A27)/3,0)</f>
        <v>1</v>
      </c>
      <c r="F27" s="15" t="n">
        <f aca="false">WEEKNUM(A27,1)</f>
        <v>5</v>
      </c>
      <c r="G27" s="0" t="str">
        <f aca="false">TEXT(A27,"ddd")</f>
        <v>Fri</v>
      </c>
    </row>
    <row r="28" customFormat="false" ht="15" hidden="false" customHeight="false" outlineLevel="0" collapsed="false">
      <c r="A28" s="17" t="n">
        <v>46053</v>
      </c>
      <c r="B28" s="15" t="n">
        <f aca="false">YEAR(A28)</f>
        <v>2026</v>
      </c>
      <c r="C28" s="15" t="n">
        <f aca="false">MONTH(A28)</f>
        <v>1</v>
      </c>
      <c r="D28" s="0" t="str">
        <f aca="false">TEXT(A28,"mmm")</f>
        <v>Jan</v>
      </c>
      <c r="E28" s="15" t="n">
        <f aca="false">ROUNDUP(MONTH(A28)/3,0)</f>
        <v>1</v>
      </c>
      <c r="F28" s="15" t="n">
        <f aca="false">WEEKNUM(A28,1)</f>
        <v>5</v>
      </c>
      <c r="G28" s="0" t="str">
        <f aca="false">TEXT(A28,"ddd")</f>
        <v>Sat</v>
      </c>
    </row>
    <row r="29" customFormat="false" ht="15" hidden="false" customHeight="false" outlineLevel="0" collapsed="false">
      <c r="A29" s="17" t="n">
        <v>46054</v>
      </c>
      <c r="B29" s="15" t="n">
        <f aca="false">YEAR(A29)</f>
        <v>2026</v>
      </c>
      <c r="C29" s="15" t="n">
        <f aca="false">MONTH(A29)</f>
        <v>2</v>
      </c>
      <c r="D29" s="0" t="str">
        <f aca="false">TEXT(A29,"mmm")</f>
        <v>Feb</v>
      </c>
      <c r="E29" s="15" t="n">
        <f aca="false">ROUNDUP(MONTH(A29)/3,0)</f>
        <v>1</v>
      </c>
      <c r="F29" s="15" t="n">
        <f aca="false">WEEKNUM(A29,1)</f>
        <v>6</v>
      </c>
      <c r="G29" s="0" t="str">
        <f aca="false">TEXT(A29,"ddd")</f>
        <v>Sun</v>
      </c>
    </row>
    <row r="30" customFormat="false" ht="15" hidden="false" customHeight="false" outlineLevel="0" collapsed="false">
      <c r="A30" s="17" t="n">
        <v>46055</v>
      </c>
      <c r="B30" s="15" t="n">
        <f aca="false">YEAR(A30)</f>
        <v>2026</v>
      </c>
      <c r="C30" s="15" t="n">
        <f aca="false">MONTH(A30)</f>
        <v>2</v>
      </c>
      <c r="D30" s="0" t="str">
        <f aca="false">TEXT(A30,"mmm")</f>
        <v>Feb</v>
      </c>
      <c r="E30" s="15" t="n">
        <f aca="false">ROUNDUP(MONTH(A30)/3,0)</f>
        <v>1</v>
      </c>
      <c r="F30" s="15" t="n">
        <f aca="false">WEEKNUM(A30,1)</f>
        <v>6</v>
      </c>
      <c r="G30" s="0" t="str">
        <f aca="false">TEXT(A30,"ddd")</f>
        <v>Mon</v>
      </c>
    </row>
    <row r="31" customFormat="false" ht="15" hidden="false" customHeight="false" outlineLevel="0" collapsed="false">
      <c r="A31" s="17" t="n">
        <v>46056</v>
      </c>
      <c r="B31" s="15" t="n">
        <f aca="false">YEAR(A31)</f>
        <v>2026</v>
      </c>
      <c r="C31" s="15" t="n">
        <f aca="false">MONTH(A31)</f>
        <v>2</v>
      </c>
      <c r="D31" s="0" t="str">
        <f aca="false">TEXT(A31,"mmm")</f>
        <v>Feb</v>
      </c>
      <c r="E31" s="15" t="n">
        <f aca="false">ROUNDUP(MONTH(A31)/3,0)</f>
        <v>1</v>
      </c>
      <c r="F31" s="15" t="n">
        <f aca="false">WEEKNUM(A31,1)</f>
        <v>6</v>
      </c>
      <c r="G31" s="0" t="str">
        <f aca="false">TEXT(A31,"ddd")</f>
        <v>Tue</v>
      </c>
    </row>
    <row r="32" customFormat="false" ht="15" hidden="false" customHeight="false" outlineLevel="0" collapsed="false">
      <c r="A32" s="17" t="n">
        <v>46057</v>
      </c>
      <c r="B32" s="15" t="n">
        <f aca="false">YEAR(A32)</f>
        <v>2026</v>
      </c>
      <c r="C32" s="15" t="n">
        <f aca="false">MONTH(A32)</f>
        <v>2</v>
      </c>
      <c r="D32" s="0" t="str">
        <f aca="false">TEXT(A32,"mmm")</f>
        <v>Feb</v>
      </c>
      <c r="E32" s="15" t="n">
        <f aca="false">ROUNDUP(MONTH(A32)/3,0)</f>
        <v>1</v>
      </c>
      <c r="F32" s="15" t="n">
        <f aca="false">WEEKNUM(A32,1)</f>
        <v>6</v>
      </c>
      <c r="G32" s="0" t="str">
        <f aca="false">TEXT(A32,"ddd")</f>
        <v>Wed</v>
      </c>
    </row>
    <row r="33" customFormat="false" ht="15" hidden="false" customHeight="false" outlineLevel="0" collapsed="false">
      <c r="A33" s="17" t="n">
        <v>46058</v>
      </c>
      <c r="B33" s="15" t="n">
        <f aca="false">YEAR(A33)</f>
        <v>2026</v>
      </c>
      <c r="C33" s="15" t="n">
        <f aca="false">MONTH(A33)</f>
        <v>2</v>
      </c>
      <c r="D33" s="0" t="str">
        <f aca="false">TEXT(A33,"mmm")</f>
        <v>Feb</v>
      </c>
      <c r="E33" s="15" t="n">
        <f aca="false">ROUNDUP(MONTH(A33)/3,0)</f>
        <v>1</v>
      </c>
      <c r="F33" s="15" t="n">
        <f aca="false">WEEKNUM(A33,1)</f>
        <v>6</v>
      </c>
      <c r="G33" s="0" t="str">
        <f aca="false">TEXT(A33,"ddd")</f>
        <v>Thu</v>
      </c>
    </row>
    <row r="34" customFormat="false" ht="15" hidden="false" customHeight="false" outlineLevel="0" collapsed="false">
      <c r="A34" s="17" t="n">
        <v>46059</v>
      </c>
      <c r="B34" s="15" t="n">
        <f aca="false">YEAR(A34)</f>
        <v>2026</v>
      </c>
      <c r="C34" s="15" t="n">
        <f aca="false">MONTH(A34)</f>
        <v>2</v>
      </c>
      <c r="D34" s="0" t="str">
        <f aca="false">TEXT(A34,"mmm")</f>
        <v>Feb</v>
      </c>
      <c r="E34" s="15" t="n">
        <f aca="false">ROUNDUP(MONTH(A34)/3,0)</f>
        <v>1</v>
      </c>
      <c r="F34" s="15" t="n">
        <f aca="false">WEEKNUM(A34,1)</f>
        <v>6</v>
      </c>
      <c r="G34" s="0" t="str">
        <f aca="false">TEXT(A34,"ddd")</f>
        <v>Fri</v>
      </c>
    </row>
    <row r="35" customFormat="false" ht="15" hidden="false" customHeight="false" outlineLevel="0" collapsed="false">
      <c r="A35" s="17" t="n">
        <v>46060</v>
      </c>
      <c r="B35" s="15" t="n">
        <f aca="false">YEAR(A35)</f>
        <v>2026</v>
      </c>
      <c r="C35" s="15" t="n">
        <f aca="false">MONTH(A35)</f>
        <v>2</v>
      </c>
      <c r="D35" s="0" t="str">
        <f aca="false">TEXT(A35,"mmm")</f>
        <v>Feb</v>
      </c>
      <c r="E35" s="15" t="n">
        <f aca="false">ROUNDUP(MONTH(A35)/3,0)</f>
        <v>1</v>
      </c>
      <c r="F35" s="15" t="n">
        <f aca="false">WEEKNUM(A35,1)</f>
        <v>6</v>
      </c>
      <c r="G35" s="0" t="str">
        <f aca="false">TEXT(A35,"ddd")</f>
        <v>Sat</v>
      </c>
    </row>
    <row r="36" customFormat="false" ht="15" hidden="false" customHeight="false" outlineLevel="0" collapsed="false">
      <c r="A36" s="17" t="n">
        <v>46061</v>
      </c>
      <c r="B36" s="15" t="n">
        <f aca="false">YEAR(A36)</f>
        <v>2026</v>
      </c>
      <c r="C36" s="15" t="n">
        <f aca="false">MONTH(A36)</f>
        <v>2</v>
      </c>
      <c r="D36" s="0" t="str">
        <f aca="false">TEXT(A36,"mmm")</f>
        <v>Feb</v>
      </c>
      <c r="E36" s="15" t="n">
        <f aca="false">ROUNDUP(MONTH(A36)/3,0)</f>
        <v>1</v>
      </c>
      <c r="F36" s="15" t="n">
        <f aca="false">WEEKNUM(A36,1)</f>
        <v>7</v>
      </c>
      <c r="G36" s="0" t="str">
        <f aca="false">TEXT(A36,"ddd")</f>
        <v>Sun</v>
      </c>
    </row>
    <row r="37" customFormat="false" ht="15" hidden="false" customHeight="false" outlineLevel="0" collapsed="false">
      <c r="A37" s="17" t="n">
        <v>46062</v>
      </c>
      <c r="B37" s="15" t="n">
        <f aca="false">YEAR(A37)</f>
        <v>2026</v>
      </c>
      <c r="C37" s="15" t="n">
        <f aca="false">MONTH(A37)</f>
        <v>2</v>
      </c>
      <c r="D37" s="0" t="str">
        <f aca="false">TEXT(A37,"mmm")</f>
        <v>Feb</v>
      </c>
      <c r="E37" s="15" t="n">
        <f aca="false">ROUNDUP(MONTH(A37)/3,0)</f>
        <v>1</v>
      </c>
      <c r="F37" s="15" t="n">
        <f aca="false">WEEKNUM(A37,1)</f>
        <v>7</v>
      </c>
      <c r="G37" s="0" t="str">
        <f aca="false">TEXT(A37,"ddd")</f>
        <v>Mon</v>
      </c>
    </row>
    <row r="38" customFormat="false" ht="15" hidden="false" customHeight="false" outlineLevel="0" collapsed="false">
      <c r="A38" s="17" t="n">
        <v>46063</v>
      </c>
      <c r="B38" s="15" t="n">
        <f aca="false">YEAR(A38)</f>
        <v>2026</v>
      </c>
      <c r="C38" s="15" t="n">
        <f aca="false">MONTH(A38)</f>
        <v>2</v>
      </c>
      <c r="D38" s="0" t="str">
        <f aca="false">TEXT(A38,"mmm")</f>
        <v>Feb</v>
      </c>
      <c r="E38" s="15" t="n">
        <f aca="false">ROUNDUP(MONTH(A38)/3,0)</f>
        <v>1</v>
      </c>
      <c r="F38" s="15" t="n">
        <f aca="false">WEEKNUM(A38,1)</f>
        <v>7</v>
      </c>
      <c r="G38" s="0" t="str">
        <f aca="false">TEXT(A38,"ddd")</f>
        <v>Tue</v>
      </c>
    </row>
    <row r="39" customFormat="false" ht="15" hidden="false" customHeight="false" outlineLevel="0" collapsed="false">
      <c r="A39" s="17" t="n">
        <v>46064</v>
      </c>
      <c r="B39" s="15" t="n">
        <f aca="false">YEAR(A39)</f>
        <v>2026</v>
      </c>
      <c r="C39" s="15" t="n">
        <f aca="false">MONTH(A39)</f>
        <v>2</v>
      </c>
      <c r="D39" s="0" t="str">
        <f aca="false">TEXT(A39,"mmm")</f>
        <v>Feb</v>
      </c>
      <c r="E39" s="15" t="n">
        <f aca="false">ROUNDUP(MONTH(A39)/3,0)</f>
        <v>1</v>
      </c>
      <c r="F39" s="15" t="n">
        <f aca="false">WEEKNUM(A39,1)</f>
        <v>7</v>
      </c>
      <c r="G39" s="0" t="str">
        <f aca="false">TEXT(A39,"ddd")</f>
        <v>Wed</v>
      </c>
    </row>
    <row r="40" customFormat="false" ht="15" hidden="false" customHeight="false" outlineLevel="0" collapsed="false">
      <c r="A40" s="17" t="n">
        <v>46065</v>
      </c>
      <c r="B40" s="15" t="n">
        <f aca="false">YEAR(A40)</f>
        <v>2026</v>
      </c>
      <c r="C40" s="15" t="n">
        <f aca="false">MONTH(A40)</f>
        <v>2</v>
      </c>
      <c r="D40" s="0" t="str">
        <f aca="false">TEXT(A40,"mmm")</f>
        <v>Feb</v>
      </c>
      <c r="E40" s="15" t="n">
        <f aca="false">ROUNDUP(MONTH(A40)/3,0)</f>
        <v>1</v>
      </c>
      <c r="F40" s="15" t="n">
        <f aca="false">WEEKNUM(A40,1)</f>
        <v>7</v>
      </c>
      <c r="G40" s="0" t="str">
        <f aca="false">TEXT(A40,"ddd")</f>
        <v>Thu</v>
      </c>
    </row>
    <row r="41" customFormat="false" ht="15" hidden="false" customHeight="false" outlineLevel="0" collapsed="false">
      <c r="A41" s="17" t="n">
        <v>46066</v>
      </c>
      <c r="B41" s="15" t="n">
        <f aca="false">YEAR(A41)</f>
        <v>2026</v>
      </c>
      <c r="C41" s="15" t="n">
        <f aca="false">MONTH(A41)</f>
        <v>2</v>
      </c>
      <c r="D41" s="0" t="str">
        <f aca="false">TEXT(A41,"mmm")</f>
        <v>Feb</v>
      </c>
      <c r="E41" s="15" t="n">
        <f aca="false">ROUNDUP(MONTH(A41)/3,0)</f>
        <v>1</v>
      </c>
      <c r="F41" s="15" t="n">
        <f aca="false">WEEKNUM(A41,1)</f>
        <v>7</v>
      </c>
      <c r="G41" s="0" t="str">
        <f aca="false">TEXT(A41,"ddd")</f>
        <v>Fri</v>
      </c>
    </row>
    <row r="42" customFormat="false" ht="15" hidden="false" customHeight="false" outlineLevel="0" collapsed="false">
      <c r="A42" s="17" t="n">
        <v>46067</v>
      </c>
      <c r="B42" s="15" t="n">
        <f aca="false">YEAR(A42)</f>
        <v>2026</v>
      </c>
      <c r="C42" s="15" t="n">
        <f aca="false">MONTH(A42)</f>
        <v>2</v>
      </c>
      <c r="D42" s="0" t="str">
        <f aca="false">TEXT(A42,"mmm")</f>
        <v>Feb</v>
      </c>
      <c r="E42" s="15" t="n">
        <f aca="false">ROUNDUP(MONTH(A42)/3,0)</f>
        <v>1</v>
      </c>
      <c r="F42" s="15" t="n">
        <f aca="false">WEEKNUM(A42,1)</f>
        <v>7</v>
      </c>
      <c r="G42" s="0" t="str">
        <f aca="false">TEXT(A42,"ddd")</f>
        <v>Sat</v>
      </c>
    </row>
    <row r="43" customFormat="false" ht="15" hidden="false" customHeight="false" outlineLevel="0" collapsed="false">
      <c r="A43" s="17" t="n">
        <v>46068</v>
      </c>
      <c r="B43" s="15" t="n">
        <f aca="false">YEAR(A43)</f>
        <v>2026</v>
      </c>
      <c r="C43" s="15" t="n">
        <f aca="false">MONTH(A43)</f>
        <v>2</v>
      </c>
      <c r="D43" s="0" t="str">
        <f aca="false">TEXT(A43,"mmm")</f>
        <v>Feb</v>
      </c>
      <c r="E43" s="15" t="n">
        <f aca="false">ROUNDUP(MONTH(A43)/3,0)</f>
        <v>1</v>
      </c>
      <c r="F43" s="15" t="n">
        <f aca="false">WEEKNUM(A43,1)</f>
        <v>8</v>
      </c>
      <c r="G43" s="0" t="str">
        <f aca="false">TEXT(A43,"ddd")</f>
        <v>Sun</v>
      </c>
    </row>
    <row r="44" customFormat="false" ht="15" hidden="false" customHeight="false" outlineLevel="0" collapsed="false">
      <c r="A44" s="17" t="n">
        <v>46069</v>
      </c>
      <c r="B44" s="15" t="n">
        <f aca="false">YEAR(A44)</f>
        <v>2026</v>
      </c>
      <c r="C44" s="15" t="n">
        <f aca="false">MONTH(A44)</f>
        <v>2</v>
      </c>
      <c r="D44" s="0" t="str">
        <f aca="false">TEXT(A44,"mmm")</f>
        <v>Feb</v>
      </c>
      <c r="E44" s="15" t="n">
        <f aca="false">ROUNDUP(MONTH(A44)/3,0)</f>
        <v>1</v>
      </c>
      <c r="F44" s="15" t="n">
        <f aca="false">WEEKNUM(A44,1)</f>
        <v>8</v>
      </c>
      <c r="G44" s="0" t="str">
        <f aca="false">TEXT(A44,"ddd")</f>
        <v>Mon</v>
      </c>
    </row>
    <row r="45" customFormat="false" ht="15" hidden="false" customHeight="false" outlineLevel="0" collapsed="false">
      <c r="A45" s="17" t="n">
        <v>46070</v>
      </c>
      <c r="B45" s="15" t="n">
        <f aca="false">YEAR(A45)</f>
        <v>2026</v>
      </c>
      <c r="C45" s="15" t="n">
        <f aca="false">MONTH(A45)</f>
        <v>2</v>
      </c>
      <c r="D45" s="0" t="str">
        <f aca="false">TEXT(A45,"mmm")</f>
        <v>Feb</v>
      </c>
      <c r="E45" s="15" t="n">
        <f aca="false">ROUNDUP(MONTH(A45)/3,0)</f>
        <v>1</v>
      </c>
      <c r="F45" s="15" t="n">
        <f aca="false">WEEKNUM(A45,1)</f>
        <v>8</v>
      </c>
      <c r="G45" s="0" t="str">
        <f aca="false">TEXT(A45,"ddd")</f>
        <v>Tue</v>
      </c>
    </row>
    <row r="46" customFormat="false" ht="15" hidden="false" customHeight="false" outlineLevel="0" collapsed="false">
      <c r="A46" s="17" t="n">
        <v>46071</v>
      </c>
      <c r="B46" s="15" t="n">
        <f aca="false">YEAR(A46)</f>
        <v>2026</v>
      </c>
      <c r="C46" s="15" t="n">
        <f aca="false">MONTH(A46)</f>
        <v>2</v>
      </c>
      <c r="D46" s="0" t="str">
        <f aca="false">TEXT(A46,"mmm")</f>
        <v>Feb</v>
      </c>
      <c r="E46" s="15" t="n">
        <f aca="false">ROUNDUP(MONTH(A46)/3,0)</f>
        <v>1</v>
      </c>
      <c r="F46" s="15" t="n">
        <f aca="false">WEEKNUM(A46,1)</f>
        <v>8</v>
      </c>
      <c r="G46" s="0" t="str">
        <f aca="false">TEXT(A46,"ddd")</f>
        <v>Wed</v>
      </c>
    </row>
    <row r="47" customFormat="false" ht="15" hidden="false" customHeight="false" outlineLevel="0" collapsed="false">
      <c r="A47" s="17" t="n">
        <v>46072</v>
      </c>
      <c r="B47" s="15" t="n">
        <f aca="false">YEAR(A47)</f>
        <v>2026</v>
      </c>
      <c r="C47" s="15" t="n">
        <f aca="false">MONTH(A47)</f>
        <v>2</v>
      </c>
      <c r="D47" s="0" t="str">
        <f aca="false">TEXT(A47,"mmm")</f>
        <v>Feb</v>
      </c>
      <c r="E47" s="15" t="n">
        <f aca="false">ROUNDUP(MONTH(A47)/3,0)</f>
        <v>1</v>
      </c>
      <c r="F47" s="15" t="n">
        <f aca="false">WEEKNUM(A47,1)</f>
        <v>8</v>
      </c>
      <c r="G47" s="0" t="str">
        <f aca="false">TEXT(A47,"ddd")</f>
        <v>Thu</v>
      </c>
    </row>
    <row r="48" customFormat="false" ht="15" hidden="false" customHeight="false" outlineLevel="0" collapsed="false">
      <c r="A48" s="17" t="n">
        <v>46073</v>
      </c>
      <c r="B48" s="15" t="n">
        <f aca="false">YEAR(A48)</f>
        <v>2026</v>
      </c>
      <c r="C48" s="15" t="n">
        <f aca="false">MONTH(A48)</f>
        <v>2</v>
      </c>
      <c r="D48" s="0" t="str">
        <f aca="false">TEXT(A48,"mmm")</f>
        <v>Feb</v>
      </c>
      <c r="E48" s="15" t="n">
        <f aca="false">ROUNDUP(MONTH(A48)/3,0)</f>
        <v>1</v>
      </c>
      <c r="F48" s="15" t="n">
        <f aca="false">WEEKNUM(A48,1)</f>
        <v>8</v>
      </c>
      <c r="G48" s="0" t="str">
        <f aca="false">TEXT(A48,"ddd")</f>
        <v>Fri</v>
      </c>
    </row>
    <row r="49" customFormat="false" ht="15" hidden="false" customHeight="false" outlineLevel="0" collapsed="false">
      <c r="A49" s="17" t="n">
        <v>46074</v>
      </c>
      <c r="B49" s="15" t="n">
        <f aca="false">YEAR(A49)</f>
        <v>2026</v>
      </c>
      <c r="C49" s="15" t="n">
        <f aca="false">MONTH(A49)</f>
        <v>2</v>
      </c>
      <c r="D49" s="0" t="str">
        <f aca="false">TEXT(A49,"mmm")</f>
        <v>Feb</v>
      </c>
      <c r="E49" s="15" t="n">
        <f aca="false">ROUNDUP(MONTH(A49)/3,0)</f>
        <v>1</v>
      </c>
      <c r="F49" s="15" t="n">
        <f aca="false">WEEKNUM(A49,1)</f>
        <v>8</v>
      </c>
      <c r="G49" s="0" t="str">
        <f aca="false">TEXT(A49,"ddd")</f>
        <v>Sat</v>
      </c>
    </row>
    <row r="50" customFormat="false" ht="15" hidden="false" customHeight="false" outlineLevel="0" collapsed="false">
      <c r="A50" s="17" t="n">
        <v>46075</v>
      </c>
      <c r="B50" s="15" t="n">
        <f aca="false">YEAR(A50)</f>
        <v>2026</v>
      </c>
      <c r="C50" s="15" t="n">
        <f aca="false">MONTH(A50)</f>
        <v>2</v>
      </c>
      <c r="D50" s="0" t="str">
        <f aca="false">TEXT(A50,"mmm")</f>
        <v>Feb</v>
      </c>
      <c r="E50" s="15" t="n">
        <f aca="false">ROUNDUP(MONTH(A50)/3,0)</f>
        <v>1</v>
      </c>
      <c r="F50" s="15" t="n">
        <f aca="false">WEEKNUM(A50,1)</f>
        <v>9</v>
      </c>
      <c r="G50" s="0" t="str">
        <f aca="false">TEXT(A50,"ddd")</f>
        <v>Sun</v>
      </c>
    </row>
    <row r="51" customFormat="false" ht="15" hidden="false" customHeight="false" outlineLevel="0" collapsed="false">
      <c r="A51" s="17" t="n">
        <v>46076</v>
      </c>
      <c r="B51" s="15" t="n">
        <f aca="false">YEAR(A51)</f>
        <v>2026</v>
      </c>
      <c r="C51" s="15" t="n">
        <f aca="false">MONTH(A51)</f>
        <v>2</v>
      </c>
      <c r="D51" s="0" t="str">
        <f aca="false">TEXT(A51,"mmm")</f>
        <v>Feb</v>
      </c>
      <c r="E51" s="15" t="n">
        <f aca="false">ROUNDUP(MONTH(A51)/3,0)</f>
        <v>1</v>
      </c>
      <c r="F51" s="15" t="n">
        <f aca="false">WEEKNUM(A51,1)</f>
        <v>9</v>
      </c>
      <c r="G51" s="0" t="str">
        <f aca="false">TEXT(A51,"ddd")</f>
        <v>Mon</v>
      </c>
    </row>
    <row r="52" customFormat="false" ht="15" hidden="false" customHeight="false" outlineLevel="0" collapsed="false">
      <c r="A52" s="17" t="n">
        <v>46077</v>
      </c>
      <c r="B52" s="15" t="n">
        <f aca="false">YEAR(A52)</f>
        <v>2026</v>
      </c>
      <c r="C52" s="15" t="n">
        <f aca="false">MONTH(A52)</f>
        <v>2</v>
      </c>
      <c r="D52" s="0" t="str">
        <f aca="false">TEXT(A52,"mmm")</f>
        <v>Feb</v>
      </c>
      <c r="E52" s="15" t="n">
        <f aca="false">ROUNDUP(MONTH(A52)/3,0)</f>
        <v>1</v>
      </c>
      <c r="F52" s="15" t="n">
        <f aca="false">WEEKNUM(A52,1)</f>
        <v>9</v>
      </c>
      <c r="G52" s="0" t="str">
        <f aca="false">TEXT(A52,"ddd")</f>
        <v>Tue</v>
      </c>
    </row>
    <row r="53" customFormat="false" ht="15" hidden="false" customHeight="false" outlineLevel="0" collapsed="false">
      <c r="A53" s="17" t="n">
        <v>46078</v>
      </c>
      <c r="B53" s="15" t="n">
        <f aca="false">YEAR(A53)</f>
        <v>2026</v>
      </c>
      <c r="C53" s="15" t="n">
        <f aca="false">MONTH(A53)</f>
        <v>2</v>
      </c>
      <c r="D53" s="0" t="str">
        <f aca="false">TEXT(A53,"mmm")</f>
        <v>Feb</v>
      </c>
      <c r="E53" s="15" t="n">
        <f aca="false">ROUNDUP(MONTH(A53)/3,0)</f>
        <v>1</v>
      </c>
      <c r="F53" s="15" t="n">
        <f aca="false">WEEKNUM(A53,1)</f>
        <v>9</v>
      </c>
      <c r="G53" s="0" t="str">
        <f aca="false">TEXT(A53,"ddd")</f>
        <v>Wed</v>
      </c>
    </row>
    <row r="54" customFormat="false" ht="15" hidden="false" customHeight="false" outlineLevel="0" collapsed="false">
      <c r="A54" s="17" t="n">
        <v>46079</v>
      </c>
      <c r="B54" s="15" t="n">
        <f aca="false">YEAR(A54)</f>
        <v>2026</v>
      </c>
      <c r="C54" s="15" t="n">
        <f aca="false">MONTH(A54)</f>
        <v>2</v>
      </c>
      <c r="D54" s="0" t="str">
        <f aca="false">TEXT(A54,"mmm")</f>
        <v>Feb</v>
      </c>
      <c r="E54" s="15" t="n">
        <f aca="false">ROUNDUP(MONTH(A54)/3,0)</f>
        <v>1</v>
      </c>
      <c r="F54" s="15" t="n">
        <f aca="false">WEEKNUM(A54,1)</f>
        <v>9</v>
      </c>
      <c r="G54" s="0" t="str">
        <f aca="false">TEXT(A54,"ddd")</f>
        <v>Thu</v>
      </c>
    </row>
    <row r="55" customFormat="false" ht="15" hidden="false" customHeight="false" outlineLevel="0" collapsed="false">
      <c r="A55" s="17" t="n">
        <v>46080</v>
      </c>
      <c r="B55" s="15" t="n">
        <f aca="false">YEAR(A55)</f>
        <v>2026</v>
      </c>
      <c r="C55" s="15" t="n">
        <f aca="false">MONTH(A55)</f>
        <v>2</v>
      </c>
      <c r="D55" s="0" t="str">
        <f aca="false">TEXT(A55,"mmm")</f>
        <v>Feb</v>
      </c>
      <c r="E55" s="15" t="n">
        <f aca="false">ROUNDUP(MONTH(A55)/3,0)</f>
        <v>1</v>
      </c>
      <c r="F55" s="15" t="n">
        <f aca="false">WEEKNUM(A55,1)</f>
        <v>9</v>
      </c>
      <c r="G55" s="0" t="str">
        <f aca="false">TEXT(A55,"ddd")</f>
        <v>Fri</v>
      </c>
    </row>
    <row r="56" customFormat="false" ht="15" hidden="false" customHeight="false" outlineLevel="0" collapsed="false">
      <c r="A56" s="17" t="n">
        <v>46081</v>
      </c>
      <c r="B56" s="15" t="n">
        <f aca="false">YEAR(A56)</f>
        <v>2026</v>
      </c>
      <c r="C56" s="15" t="n">
        <f aca="false">MONTH(A56)</f>
        <v>2</v>
      </c>
      <c r="D56" s="0" t="str">
        <f aca="false">TEXT(A56,"mmm")</f>
        <v>Feb</v>
      </c>
      <c r="E56" s="15" t="n">
        <f aca="false">ROUNDUP(MONTH(A56)/3,0)</f>
        <v>1</v>
      </c>
      <c r="F56" s="15" t="n">
        <f aca="false">WEEKNUM(A56,1)</f>
        <v>9</v>
      </c>
      <c r="G56" s="0" t="str">
        <f aca="false">TEXT(A56,"ddd")</f>
        <v>Sat</v>
      </c>
    </row>
    <row r="57" customFormat="false" ht="15" hidden="false" customHeight="false" outlineLevel="0" collapsed="false">
      <c r="A57" s="17" t="n">
        <v>46082</v>
      </c>
      <c r="B57" s="15" t="n">
        <f aca="false">YEAR(A57)</f>
        <v>2026</v>
      </c>
      <c r="C57" s="15" t="n">
        <f aca="false">MONTH(A57)</f>
        <v>3</v>
      </c>
      <c r="D57" s="0" t="str">
        <f aca="false">TEXT(A57,"mmm")</f>
        <v>Mar</v>
      </c>
      <c r="E57" s="15" t="n">
        <f aca="false">ROUNDUP(MONTH(A57)/3,0)</f>
        <v>1</v>
      </c>
      <c r="F57" s="15" t="n">
        <f aca="false">WEEKNUM(A57,1)</f>
        <v>10</v>
      </c>
      <c r="G57" s="0" t="str">
        <f aca="false">TEXT(A57,"ddd")</f>
        <v>Sun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4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6" t="s">
        <v>1330</v>
      </c>
      <c r="B1" s="16" t="s">
        <v>1331</v>
      </c>
      <c r="C1" s="16" t="s">
        <v>1332</v>
      </c>
      <c r="D1" s="16" t="s">
        <v>1333</v>
      </c>
    </row>
    <row r="2" customFormat="false" ht="30" hidden="false" customHeight="true" outlineLevel="0" collapsed="false">
      <c r="A2" s="0" t="s">
        <v>1334</v>
      </c>
      <c r="B2" s="20" t="s">
        <v>1335</v>
      </c>
      <c r="C2" s="20" t="n">
        <f aca="false">SUMIFS('Consolidated Master'!I2:I1242,'Consolidated Master'!J2:J1242,"")</f>
        <v>188741</v>
      </c>
      <c r="D2" s="14" t="n">
        <f aca="false">C2</f>
        <v>188741</v>
      </c>
    </row>
    <row r="3" customFormat="false" ht="30" hidden="false" customHeight="true" outlineLevel="0" collapsed="false">
      <c r="A3" s="0" t="s">
        <v>1336</v>
      </c>
      <c r="B3" s="20" t="s">
        <v>1337</v>
      </c>
      <c r="C3" s="20" t="n">
        <f aca="false">SUMIFS('Consolidated Master'!I2:I1242,'Consolidated Master'!C2:C1242,"Downtown",'Consolidated Master'!J2:J1242,"")</f>
        <v>32760</v>
      </c>
      <c r="D3" s="14" t="n">
        <f aca="false">C3</f>
        <v>32760</v>
      </c>
    </row>
    <row r="4" customFormat="false" ht="30" hidden="false" customHeight="true" outlineLevel="0" collapsed="false">
      <c r="A4" s="0" t="s">
        <v>1338</v>
      </c>
      <c r="B4" s="20" t="s">
        <v>1339</v>
      </c>
      <c r="C4" s="20" t="n">
        <f aca="false">SUMIFS('Consolidated Master'!I2:I1242,'Consolidated Master'!F2:F1242,"Footwear",'Consolidated Master'!J2:J1242,"")</f>
        <v>57772</v>
      </c>
      <c r="D4" s="14" t="n">
        <f aca="false">C4</f>
        <v>57772</v>
      </c>
    </row>
    <row r="5" customFormat="false" ht="30" hidden="false" customHeight="true" outlineLevel="0" collapsed="false">
      <c r="A5" s="0" t="s">
        <v>1340</v>
      </c>
      <c r="B5" s="20" t="s">
        <v>1341</v>
      </c>
      <c r="C5" s="20" t="n">
        <f aca="false">SUMIFS('Consolidated Master'!G2:G1242,'Consolidated Master'!J2:J1242,"")</f>
        <v>4133</v>
      </c>
      <c r="D5" s="15" t="n">
        <f aca="false">C5</f>
        <v>4133</v>
      </c>
    </row>
    <row r="6" customFormat="false" ht="30" hidden="false" customHeight="true" outlineLevel="0" collapsed="false">
      <c r="A6" s="0" t="s">
        <v>1342</v>
      </c>
      <c r="B6" s="20" t="s">
        <v>1343</v>
      </c>
      <c r="C6" s="21" t="n">
        <f aca="false">IFERROR(D2/COUNTIF('Consolidated Master'!J2:J1242,""),0)</f>
        <v>158.074539363484</v>
      </c>
      <c r="D6" s="14" t="n">
        <f aca="false">C6</f>
        <v>158.074539363484</v>
      </c>
    </row>
    <row r="7" customFormat="false" ht="30" hidden="false" customHeight="true" outlineLevel="0" collapsed="false">
      <c r="A7" s="0" t="s">
        <v>1344</v>
      </c>
      <c r="B7" s="20" t="s">
        <v>1345</v>
      </c>
      <c r="C7" s="20" t="n">
        <f aca="false">SUMPRODUCT(1/COUNTIF('Store Mapping'!$C$2:$C$19,'Store Mapping'!$C$2:$C$19))</f>
        <v>6</v>
      </c>
      <c r="D7" s="15" t="n">
        <f aca="false">C7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0"/>
  </cols>
  <sheetData>
    <row r="1" customFormat="false" ht="17.35" hidden="false" customHeight="false" outlineLevel="0" collapsed="false">
      <c r="A1" s="22" t="s">
        <v>1346</v>
      </c>
    </row>
    <row r="2" customFormat="false" ht="45" hidden="false" customHeight="true" outlineLevel="0" collapsed="false">
      <c r="A2" s="23" t="s">
        <v>1347</v>
      </c>
      <c r="B2" s="23"/>
      <c r="C2" s="23"/>
      <c r="D2" s="23"/>
    </row>
    <row r="4" customFormat="false" ht="31.5" hidden="false" customHeight="true" outlineLevel="0" collapsed="false">
      <c r="A4" s="24" t="s">
        <v>1348</v>
      </c>
      <c r="B4" s="25" t="s">
        <v>1349</v>
      </c>
      <c r="C4" s="25"/>
      <c r="D4" s="25"/>
    </row>
    <row r="5" customFormat="false" ht="31.5" hidden="false" customHeight="true" outlineLevel="0" collapsed="false">
      <c r="A5" s="24" t="s">
        <v>1350</v>
      </c>
      <c r="B5" s="25" t="s">
        <v>1351</v>
      </c>
      <c r="C5" s="25"/>
      <c r="D5" s="25"/>
    </row>
    <row r="6" customFormat="false" ht="31.5" hidden="false" customHeight="true" outlineLevel="0" collapsed="false">
      <c r="A6" s="24" t="s">
        <v>1352</v>
      </c>
      <c r="B6" s="25" t="s">
        <v>1353</v>
      </c>
      <c r="C6" s="25"/>
      <c r="D6" s="25"/>
    </row>
    <row r="7" customFormat="false" ht="31.5" hidden="false" customHeight="true" outlineLevel="0" collapsed="false">
      <c r="A7" s="24" t="s">
        <v>1354</v>
      </c>
      <c r="B7" s="25" t="s">
        <v>1355</v>
      </c>
      <c r="C7" s="25"/>
      <c r="D7" s="25"/>
    </row>
    <row r="8" customFormat="false" ht="31.5" hidden="false" customHeight="true" outlineLevel="0" collapsed="false">
      <c r="A8" s="24" t="s">
        <v>1356</v>
      </c>
      <c r="B8" s="25" t="s">
        <v>1357</v>
      </c>
      <c r="C8" s="25"/>
      <c r="D8" s="25"/>
    </row>
    <row r="9" customFormat="false" ht="31.5" hidden="false" customHeight="true" outlineLevel="0" collapsed="false">
      <c r="A9" s="24" t="s">
        <v>1358</v>
      </c>
      <c r="B9" s="25" t="s">
        <v>1359</v>
      </c>
      <c r="C9" s="25"/>
      <c r="D9" s="25"/>
    </row>
    <row r="10" customFormat="false" ht="31.5" hidden="false" customHeight="true" outlineLevel="0" collapsed="false">
      <c r="A10" s="24" t="s">
        <v>1360</v>
      </c>
      <c r="B10" s="25" t="s">
        <v>1361</v>
      </c>
      <c r="C10" s="25"/>
      <c r="D10" s="25"/>
    </row>
    <row r="11" customFormat="false" ht="31.5" hidden="false" customHeight="true" outlineLevel="0" collapsed="false">
      <c r="A11" s="24" t="s">
        <v>1362</v>
      </c>
      <c r="B11" s="25" t="s">
        <v>1363</v>
      </c>
      <c r="C11" s="25"/>
      <c r="D11" s="25"/>
    </row>
    <row r="12" customFormat="false" ht="31.5" hidden="false" customHeight="true" outlineLevel="0" collapsed="false">
      <c r="A12" s="24" t="s">
        <v>1364</v>
      </c>
      <c r="B12" s="25" t="s">
        <v>1365</v>
      </c>
      <c r="C12" s="25"/>
      <c r="D12" s="25"/>
    </row>
    <row r="13" customFormat="false" ht="31.5" hidden="false" customHeight="true" outlineLevel="0" collapsed="false">
      <c r="A13" s="24" t="s">
        <v>1366</v>
      </c>
      <c r="B13" s="25" t="s">
        <v>1367</v>
      </c>
      <c r="C13" s="25"/>
      <c r="D13" s="25"/>
    </row>
  </sheetData>
  <mergeCells count="11"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22" t="s">
        <v>1368</v>
      </c>
    </row>
    <row r="2" customFormat="false" ht="45" hidden="false" customHeight="true" outlineLevel="0" collapsed="false">
      <c r="A2" s="23" t="s">
        <v>1369</v>
      </c>
      <c r="B2" s="23"/>
      <c r="C2" s="23"/>
      <c r="D2" s="23"/>
      <c r="E2" s="23"/>
      <c r="F2" s="23"/>
    </row>
    <row r="4" customFormat="false" ht="15" hidden="false" customHeight="false" outlineLevel="0" collapsed="false">
      <c r="A4" s="26" t="s">
        <v>1370</v>
      </c>
    </row>
    <row r="5" customFormat="false" ht="15" hidden="false" customHeight="false" outlineLevel="0" collapsed="false">
      <c r="A5" s="26" t="s">
        <v>1371</v>
      </c>
    </row>
    <row r="6" customFormat="false" ht="15" hidden="false" customHeight="false" outlineLevel="0" collapsed="false">
      <c r="A6" s="26" t="s">
        <v>1372</v>
      </c>
    </row>
    <row r="7" customFormat="false" ht="15" hidden="false" customHeight="false" outlineLevel="0" collapsed="false">
      <c r="A7" s="26"/>
    </row>
    <row r="8" customFormat="false" ht="15" hidden="false" customHeight="false" outlineLevel="0" collapsed="false">
      <c r="A8" s="26" t="s">
        <v>1373</v>
      </c>
    </row>
    <row r="9" customFormat="false" ht="15" hidden="false" customHeight="false" outlineLevel="0" collapsed="false">
      <c r="A9" s="26" t="s">
        <v>1374</v>
      </c>
    </row>
    <row r="10" customFormat="false" ht="15" hidden="false" customHeight="false" outlineLevel="0" collapsed="false">
      <c r="A10" s="26"/>
    </row>
    <row r="11" customFormat="false" ht="15" hidden="false" customHeight="false" outlineLevel="0" collapsed="false">
      <c r="A11" s="26" t="s">
        <v>1375</v>
      </c>
    </row>
    <row r="12" customFormat="false" ht="15" hidden="false" customHeight="false" outlineLevel="0" collapsed="false">
      <c r="A12" s="26"/>
    </row>
    <row r="13" customFormat="false" ht="15" hidden="false" customHeight="false" outlineLevel="0" collapsed="false">
      <c r="A13" s="26" t="s">
        <v>1376</v>
      </c>
    </row>
    <row r="14" customFormat="false" ht="15" hidden="false" customHeight="false" outlineLevel="0" collapsed="false">
      <c r="A14" s="26" t="s">
        <v>1377</v>
      </c>
    </row>
    <row r="15" customFormat="false" ht="15" hidden="false" customHeight="false" outlineLevel="0" collapsed="false">
      <c r="A15" s="26"/>
    </row>
    <row r="16" customFormat="false" ht="15" hidden="false" customHeight="false" outlineLevel="0" collapsed="false">
      <c r="A16" s="26" t="s">
        <v>1378</v>
      </c>
    </row>
    <row r="17" customFormat="false" ht="15" hidden="false" customHeight="false" outlineLevel="0" collapsed="false">
      <c r="A17" s="26" t="s">
        <v>1379</v>
      </c>
    </row>
    <row r="18" customFormat="false" ht="15" hidden="false" customHeight="false" outlineLevel="0" collapsed="false">
      <c r="A18" s="26"/>
    </row>
    <row r="19" customFormat="false" ht="15" hidden="false" customHeight="false" outlineLevel="0" collapsed="false">
      <c r="A19" s="26" t="s">
        <v>1380</v>
      </c>
    </row>
    <row r="20" customFormat="false" ht="15" hidden="false" customHeight="false" outlineLevel="0" collapsed="false">
      <c r="A20" s="26" t="s">
        <v>1381</v>
      </c>
    </row>
    <row r="21" customFormat="false" ht="15" hidden="false" customHeight="false" outlineLevel="0" collapsed="false">
      <c r="A21" s="26" t="s">
        <v>1382</v>
      </c>
    </row>
    <row r="22" customFormat="false" ht="15" hidden="false" customHeight="false" outlineLevel="0" collapsed="false">
      <c r="A22" s="26"/>
    </row>
    <row r="23" customFormat="false" ht="15" hidden="false" customHeight="false" outlineLevel="0" collapsed="false">
      <c r="A23" s="26" t="s">
        <v>1383</v>
      </c>
    </row>
    <row r="24" customFormat="false" ht="15" hidden="false" customHeight="false" outlineLevel="0" collapsed="false">
      <c r="A24" s="26" t="s">
        <v>1384</v>
      </c>
    </row>
    <row r="25" customFormat="false" ht="15" hidden="false" customHeight="false" outlineLevel="0" collapsed="false">
      <c r="A25" s="26"/>
    </row>
    <row r="26" customFormat="false" ht="15" hidden="false" customHeight="false" outlineLevel="0" collapsed="false">
      <c r="A26" s="26" t="s">
        <v>1385</v>
      </c>
    </row>
    <row r="27" customFormat="false" ht="15" hidden="false" customHeight="false" outlineLevel="0" collapsed="false">
      <c r="A27" s="26" t="s">
        <v>1386</v>
      </c>
    </row>
    <row r="28" customFormat="false" ht="15" hidden="false" customHeight="false" outlineLevel="0" collapsed="false">
      <c r="A28" s="26" t="s">
        <v>1387</v>
      </c>
    </row>
    <row r="29" customFormat="false" ht="15" hidden="false" customHeight="false" outlineLevel="0" collapsed="false">
      <c r="A29" s="26" t="s">
        <v>1388</v>
      </c>
    </row>
    <row r="31" customFormat="false" ht="30" hidden="false" customHeight="true" outlineLevel="0" collapsed="false">
      <c r="A31" s="27" t="s">
        <v>1389</v>
      </c>
      <c r="B31" s="27"/>
      <c r="C31" s="27"/>
      <c r="D31" s="27"/>
      <c r="E31" s="27"/>
      <c r="F31" s="27"/>
    </row>
  </sheetData>
  <mergeCells count="2">
    <mergeCell ref="A2:F2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2026-09-12T06:47:31Z</dcterms:created>
  <dc:creator>openpyxl</dc:creator>
  <dc:description/>
  <dc:language>en-US</dc:language>
  <cp:lastModifiedBy/>
  <dcterms:modified xsi:type="dcterms:W3CDTF">2026-09-12T06:47:40Z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