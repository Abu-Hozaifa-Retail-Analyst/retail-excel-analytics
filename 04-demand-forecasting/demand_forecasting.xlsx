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Historical Demand" sheetId="3" state="visible" r:id="rId5"/>
    <sheet name="Moving Average" sheetId="4" state="visible" r:id="rId6"/>
    <sheet name="Forecast Validation" sheetId="5" state="visible" r:id="rId7"/>
    <sheet name="Forward Foreca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Blue cells are editable actuals. Everything downstream (moving average, back-test, forward forecast) recalculates automatically.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ETS is trained only on months 1-30 (Jan23-Jun25) and forecasts the last 6 months blind, then compares to what actually happened — an honest accuracy check.</t>
        </r>
      </text>
    </comment>
  </commentList>
</comments>
</file>

<file path=xl/sharedStrings.xml><?xml version="1.0" encoding="utf-8"?>
<sst xmlns="http://schemas.openxmlformats.org/spreadsheetml/2006/main" count="166" uniqueCount="104">
  <si>
    <t xml:space="preserve">Demand Forecasting for Reordering</t>
  </si>
  <si>
    <t xml:space="preserve">Business Problem</t>
  </si>
  <si>
    <t xml:space="preserve">Ordering too little means stockouts; ordering too much ties up cash in inventory. Predicting next month's demand per SKU — accounting for seasonality and trend, not just last month's number — lets buyers set order quantities with real confidence instead of a gut-feel guess.</t>
  </si>
  <si>
    <t xml:space="preserve">Excel Skills Demonstrated</t>
  </si>
  <si>
    <t xml:space="preserve">• FORECAST.ETS for exponential-smoothing forecasts that account for trend and seasonality</t>
  </si>
  <si>
    <t xml:space="preserve">• A 3-month moving average as a simple naive baseline for comparison</t>
  </si>
  <si>
    <t xml:space="preserve">• Trendlines (on the Dashboard chart) for a quick visual sanity check</t>
  </si>
  <si>
    <t xml:space="preserve">• Seasonality built into and recovered from 36 months of monthly history</t>
  </si>
  <si>
    <t xml:space="preserve">• MAPE (Mean Absolute Percentage Error) back-tested on a 6-month holdout, comparing FORECAST.ETS against the naive baseline</t>
  </si>
  <si>
    <t xml:space="preserve">• Conditional formatting to flag which SKUs forecast least reliably</t>
  </si>
  <si>
    <t xml:space="preserve">Method</t>
  </si>
  <si>
    <t xml:space="preserve">Historical Demand holds 36 months of actual unit sales per SKU (Jan 2023 - Dec 2025), wide format: one row per SKU, one column per month.</t>
  </si>
  <si>
    <t xml:space="preserve">Forecast Validation (Back-test) trains FORECAST.ETS on the first 30 months only, forecasts the last 6 months (Jul-Dec 2025) blind, and compares those forecasts to what actually happened. This is the honest way to check forecast accuracy — testing on data the model has already seen would flatter the result. A naive 3-month moving-average baseline is back-tested the same way for comparison.</t>
  </si>
  <si>
    <t xml:space="preserve">Forward Forecast retrains on the full 36 months (nothing held back) and forecasts the next 6 months, Jan-Jun 2026 — the numbers a buyer would actually use to plan orders.</t>
  </si>
  <si>
    <t xml:space="preserve">MAPE (Mean Absolute Percentage Error) is the average, across the 6 holdout months, of |Actual - Forecast| / Actual. Lower is better; under ~15-20% is generally considered a usable forecast for reordering purposes, though the right bar depends on the business.</t>
  </si>
  <si>
    <t xml:space="preserve">Sheet Guide</t>
  </si>
  <si>
    <t xml:space="preserve">Dashboard — Actual-vs-forecast trend chart, MAPE comparison, next-month order signal.</t>
  </si>
  <si>
    <t xml:space="preserve">Historical Demand — 24-month actuals per SKU (blue = editable input).</t>
  </si>
  <si>
    <t xml:space="preserve">Moving Average — 3-month trailing moving average per SKU, all 36 months.</t>
  </si>
  <si>
    <t xml:space="preserve">Forecast Validation — 6-month holdout back-test: ETS vs. naive MAPE per SKU.</t>
  </si>
  <si>
    <t xml:space="preserve">Forward Forecast — Live 6-month forecast (Jan-Jun 2026) for reordering.</t>
  </si>
  <si>
    <t xml:space="preserve">Source: synthetic monthly demand generated for this project (see gen_demand_data.py), with category-level seasonality and a per-SKU growth trend intentionally built in. Product master shared with the earlier projects in this repo for portfolio continuity.</t>
  </si>
  <si>
    <t xml:space="preserve">Demand Forecasting Dashboard</t>
  </si>
  <si>
    <t xml:space="preserve">20 SKUs  |  36 Months History  |  6-Month Forward Forecast</t>
  </si>
  <si>
    <t xml:space="preserve">Avg ETS MAPE</t>
  </si>
  <si>
    <t xml:space="preserve">Avg Naive MAPE</t>
  </si>
  <si>
    <t xml:space="preserve">Next Month Forecast (units)</t>
  </si>
  <si>
    <t xml:space="preserve">Best-Forecasted SKU</t>
  </si>
  <si>
    <t xml:space="preserve">ETS beats the naive 3-month-average baseline when its MAPE is lower — confirming the extra modeling effort actually earns better order-quantity decisions.</t>
  </si>
  <si>
    <t xml:space="preserve">SKU</t>
  </si>
  <si>
    <t xml:space="preserve">Product</t>
  </si>
  <si>
    <t xml:space="preserve">Category</t>
  </si>
  <si>
    <t xml:space="preserve">APP-101</t>
  </si>
  <si>
    <t xml:space="preserve">Classic Denim Jacket</t>
  </si>
  <si>
    <t xml:space="preserve">Apparel</t>
  </si>
  <si>
    <t xml:space="preserve">APP-102</t>
  </si>
  <si>
    <t xml:space="preserve">Cotton Crew T-Shirt</t>
  </si>
  <si>
    <t xml:space="preserve">APP-103</t>
  </si>
  <si>
    <t xml:space="preserve">Fleece Pullover Hoodie</t>
  </si>
  <si>
    <t xml:space="preserve">APP-104</t>
  </si>
  <si>
    <t xml:space="preserve">Slim Fit Chinos</t>
  </si>
  <si>
    <t xml:space="preserve">FTW-201</t>
  </si>
  <si>
    <t xml:space="preserve">Running Sneakers</t>
  </si>
  <si>
    <t xml:space="preserve">Footwear</t>
  </si>
  <si>
    <t xml:space="preserve">FTW-202</t>
  </si>
  <si>
    <t xml:space="preserve">Canvas Low-Top</t>
  </si>
  <si>
    <t xml:space="preserve">FTW-203</t>
  </si>
  <si>
    <t xml:space="preserve">Leather Ankle Boot</t>
  </si>
  <si>
    <t xml:space="preserve">FTW-204</t>
  </si>
  <si>
    <t xml:space="preserve">Slide Sandals</t>
  </si>
  <si>
    <t xml:space="preserve">ACC-301</t>
  </si>
  <si>
    <t xml:space="preserve">Leather Belt</t>
  </si>
  <si>
    <t xml:space="preserve">Accessories</t>
  </si>
  <si>
    <t xml:space="preserve">ACC-302</t>
  </si>
  <si>
    <t xml:space="preserve">Aviator Sunglasses</t>
  </si>
  <si>
    <t xml:space="preserve">ACC-303</t>
  </si>
  <si>
    <t xml:space="preserve">Canvas Tote Bag</t>
  </si>
  <si>
    <t xml:space="preserve">ACC-304</t>
  </si>
  <si>
    <t xml:space="preserve">Wool Beanie</t>
  </si>
  <si>
    <t xml:space="preserve">ELE-401</t>
  </si>
  <si>
    <t xml:space="preserve">Wireless Earbuds</t>
  </si>
  <si>
    <t xml:space="preserve">Electronics</t>
  </si>
  <si>
    <t xml:space="preserve">ELE-402</t>
  </si>
  <si>
    <t xml:space="preserve">Bluetooth Speaker</t>
  </si>
  <si>
    <t xml:space="preserve">ELE-403</t>
  </si>
  <si>
    <t xml:space="preserve">Fitness Tracker Band</t>
  </si>
  <si>
    <t xml:space="preserve">ELE-404</t>
  </si>
  <si>
    <t xml:space="preserve">Phone Charging Cable</t>
  </si>
  <si>
    <t xml:space="preserve">HOM-501</t>
  </si>
  <si>
    <t xml:space="preserve">Ceramic Coffee Mug Set</t>
  </si>
  <si>
    <t xml:space="preserve">Home Goods</t>
  </si>
  <si>
    <t xml:space="preserve">HOM-502</t>
  </si>
  <si>
    <t xml:space="preserve">Scented Candle</t>
  </si>
  <si>
    <t xml:space="preserve">HOM-503</t>
  </si>
  <si>
    <t xml:space="preserve">Cotton Throw Blanket</t>
  </si>
  <si>
    <t xml:space="preserve">HOM-504</t>
  </si>
  <si>
    <t xml:space="preserve">Bamboo Cutting Board</t>
  </si>
  <si>
    <t xml:space="preserve">Total (all SKUs)</t>
  </si>
  <si>
    <t xml:space="preserve">ETS Holdout Forecast (Total)</t>
  </si>
  <si>
    <t xml:space="preserve">n/a</t>
  </si>
  <si>
    <t xml:space="preserve">Actual Jul-25</t>
  </si>
  <si>
    <t xml:space="preserve">Actual Aug-25</t>
  </si>
  <si>
    <t xml:space="preserve">Actual Sep-25</t>
  </si>
  <si>
    <t xml:space="preserve">Actual Oct-25</t>
  </si>
  <si>
    <t xml:space="preserve">Actual Nov-25</t>
  </si>
  <si>
    <t xml:space="preserve">Actual Dec-25</t>
  </si>
  <si>
    <t xml:space="preserve">ETS Jul-25</t>
  </si>
  <si>
    <t xml:space="preserve">ETS Aug-25</t>
  </si>
  <si>
    <t xml:space="preserve">ETS Sep-25</t>
  </si>
  <si>
    <t xml:space="preserve">ETS Oct-25</t>
  </si>
  <si>
    <t xml:space="preserve">ETS Nov-25</t>
  </si>
  <si>
    <t xml:space="preserve">ETS Dec-25</t>
  </si>
  <si>
    <t xml:space="preserve">ETS MAPE</t>
  </si>
  <si>
    <t xml:space="preserve">Naive MA Forecast</t>
  </si>
  <si>
    <t xml:space="preserve">Naive MAPE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</si>
  <si>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</si>
  <si>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</si>
  <si>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</si>
  <si>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</si>
  <si>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</si>
  <si>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</si>
  <si>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Avg Monthly Forecast</t>
  </si>
  <si>
    <t xml:space="preserve">Recommended Order Qty (next month + 15% buffer)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</si>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</sst>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%"/>
    <numFmt numFmtId="168" formatCode="mmm\-yy"/>
    <numFmt numFmtId="169" formatCode="0.0"/>
    <numFmt numFmtId="170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1F7A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i val="true"/>
      <sz val="11"/>
      <color rgb="FFC00000"/>
      <name val="Arial"/>
      <family val="0"/>
      <charset val="1"/>
    </font>
    <font>
      <sz val="10"/>
      <name val="Arial"/>
      <family val="2"/>
    </font>
    <font>
      <i val="true"/>
      <sz val="11"/>
      <color rgb="FFA6A6A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A6A6A6"/>
      <rgbColor rgb="FF808080"/>
      <rgbColor rgb="FF878787"/>
      <rgbColor rgb="FFBE4B48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99999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Company-Wide Monthly Demand: Actual History vs. ETS Holdout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"Actual Demand (all SKUs)"</c:f>
              <c:strCache>
                <c:ptCount val="1"/>
                <c:pt idx="0">
                  <c:v>Actual Demand (all SKUs)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'Historical Demand'!$D$1:$AM$1</c:f>
              <c:multiLvlStrCache>
                <c:ptCount val="1"/>
                <c:lvl>
                  <c:pt idx="0">
                    <c:v>Dec-25</c:v>
                  </c:pt>
                </c:lvl>
                <c:lvl>
                  <c:pt idx="0">
                    <c:v>Nov-25</c:v>
                  </c:pt>
                </c:lvl>
                <c:lvl>
                  <c:pt idx="0">
                    <c:v>Oct-25</c:v>
                  </c:pt>
                </c:lvl>
                <c:lvl>
                  <c:pt idx="0">
                    <c:v>Sep-25</c:v>
                  </c:pt>
                </c:lvl>
                <c:lvl>
                  <c:pt idx="0">
                    <c:v>Aug-25</c:v>
                  </c:pt>
                </c:lvl>
                <c:lvl>
                  <c:pt idx="0">
                    <c:v>Jul-25</c:v>
                  </c:pt>
                </c:lvl>
                <c:lvl>
                  <c:pt idx="0">
                    <c:v>Jun-25</c:v>
                  </c:pt>
                </c:lvl>
                <c:lvl>
                  <c:pt idx="0">
                    <c:v>May-25</c:v>
                  </c:pt>
                </c:lvl>
                <c:lvl>
                  <c:pt idx="0">
                    <c:v>Apr-25</c:v>
                  </c:pt>
                </c:lvl>
                <c:lvl>
                  <c:pt idx="0">
                    <c:v>Mar-25</c:v>
                  </c:pt>
                </c:lvl>
                <c:lvl>
                  <c:pt idx="0">
                    <c:v>Feb-25</c:v>
                  </c:pt>
                </c:lvl>
                <c:lvl>
                  <c:pt idx="0">
                    <c:v>Jan-25</c:v>
                  </c:pt>
                </c:lvl>
                <c:lvl>
                  <c:pt idx="0">
                    <c:v>Dec-24</c:v>
                  </c:pt>
                </c:lvl>
                <c:lvl>
                  <c:pt idx="0">
                    <c:v>Nov-24</c:v>
                  </c:pt>
                </c:lvl>
                <c:lvl>
                  <c:pt idx="0">
                    <c:v>Oct-24</c:v>
                  </c:pt>
                </c:lvl>
                <c:lvl>
                  <c:pt idx="0">
                    <c:v>Sep-24</c:v>
                  </c:pt>
                </c:lvl>
                <c:lvl>
                  <c:pt idx="0">
                    <c:v>Aug-24</c:v>
                  </c:pt>
                </c:lvl>
                <c:lvl>
                  <c:pt idx="0">
                    <c:v>Jul-24</c:v>
                  </c:pt>
                </c:lvl>
                <c:lvl>
                  <c:pt idx="0">
                    <c:v>Jun-24</c:v>
                  </c:pt>
                </c:lvl>
                <c:lvl>
                  <c:pt idx="0">
                    <c:v>May-24</c:v>
                  </c:pt>
                </c:lvl>
                <c:lvl>
                  <c:pt idx="0">
                    <c:v>Apr-24</c:v>
                  </c:pt>
                </c:lvl>
                <c:lvl>
                  <c:pt idx="0">
                    <c:v>Mar-24</c:v>
                  </c:pt>
                </c:lvl>
                <c:lvl>
                  <c:pt idx="0">
                    <c:v>Feb-24</c:v>
                  </c:pt>
                </c:lvl>
                <c:lvl>
                  <c:pt idx="0">
                    <c:v>Jan-24</c:v>
                  </c:pt>
                </c:lvl>
                <c:lvl>
                  <c:pt idx="0">
                    <c:v>Dec-23</c:v>
                  </c:pt>
                </c:lvl>
                <c:lvl>
                  <c:pt idx="0">
                    <c:v>Nov-23</c:v>
                  </c:pt>
                </c:lvl>
                <c:lvl>
                  <c:pt idx="0">
                    <c:v>Oct-23</c:v>
                  </c:pt>
                </c:lvl>
                <c:lvl>
                  <c:pt idx="0">
                    <c:v>Sep-23</c:v>
                  </c:pt>
                </c:lvl>
                <c:lvl>
                  <c:pt idx="0">
                    <c:v>Aug-23</c:v>
                  </c:pt>
                </c:lvl>
                <c:lvl>
                  <c:pt idx="0">
                    <c:v>Jul-23</c:v>
                  </c:pt>
                </c:lvl>
                <c:lvl>
                  <c:pt idx="0">
                    <c:v>Jun-23</c:v>
                  </c:pt>
                </c:lvl>
                <c:lvl>
                  <c:pt idx="0">
                    <c:v>May-23</c:v>
                  </c:pt>
                </c:lvl>
                <c:lvl>
                  <c:pt idx="0">
                    <c:v>Apr-23</c:v>
                  </c:pt>
                </c:lvl>
                <c:lvl>
                  <c:pt idx="0">
                    <c:v>Mar-23</c:v>
                  </c:pt>
                </c:lvl>
                <c:lvl>
                  <c:pt idx="0">
                    <c:v>Feb-23</c:v>
                  </c:pt>
                </c:lvl>
                <c:lvl>
                  <c:pt idx="0">
                    <c:v>Jan-23</c:v>
                  </c:pt>
                </c:lvl>
              </c:multiLvlStrCache>
            </c:multiLvlStrRef>
          </c:cat>
          <c:val>
            <c:numRef>
              <c:f>'Historical Demand'!$D$23:$AM$23</c:f>
              <c:numCache>
                <c:formatCode>#,##0</c:formatCode>
                <c:ptCount val="36"/>
                <c:pt idx="0">
                  <c:v>932</c:v>
                </c:pt>
                <c:pt idx="1">
                  <c:v>858</c:v>
                </c:pt>
                <c:pt idx="2">
                  <c:v>1010</c:v>
                </c:pt>
                <c:pt idx="3">
                  <c:v>1060</c:v>
                </c:pt>
                <c:pt idx="4">
                  <c:v>1151</c:v>
                </c:pt>
                <c:pt idx="5">
                  <c:v>1100</c:v>
                </c:pt>
                <c:pt idx="6">
                  <c:v>1040</c:v>
                </c:pt>
                <c:pt idx="7">
                  <c:v>1050</c:v>
                </c:pt>
                <c:pt idx="8">
                  <c:v>1051</c:v>
                </c:pt>
                <c:pt idx="9">
                  <c:v>1077</c:v>
                </c:pt>
                <c:pt idx="10">
                  <c:v>1261</c:v>
                </c:pt>
                <c:pt idx="11">
                  <c:v>1371</c:v>
                </c:pt>
                <c:pt idx="12">
                  <c:v>1038</c:v>
                </c:pt>
                <c:pt idx="13">
                  <c:v>925</c:v>
                </c:pt>
                <c:pt idx="14">
                  <c:v>1059</c:v>
                </c:pt>
                <c:pt idx="15">
                  <c:v>1151</c:v>
                </c:pt>
                <c:pt idx="16">
                  <c:v>1173</c:v>
                </c:pt>
                <c:pt idx="17">
                  <c:v>1182</c:v>
                </c:pt>
                <c:pt idx="18">
                  <c:v>1142</c:v>
                </c:pt>
                <c:pt idx="19">
                  <c:v>1114</c:v>
                </c:pt>
                <c:pt idx="20">
                  <c:v>1119</c:v>
                </c:pt>
                <c:pt idx="21">
                  <c:v>1187</c:v>
                </c:pt>
                <c:pt idx="22">
                  <c:v>1398</c:v>
                </c:pt>
                <c:pt idx="23">
                  <c:v>1529</c:v>
                </c:pt>
                <c:pt idx="24">
                  <c:v>1144</c:v>
                </c:pt>
                <c:pt idx="25">
                  <c:v>1003</c:v>
                </c:pt>
                <c:pt idx="26">
                  <c:v>1153</c:v>
                </c:pt>
                <c:pt idx="27">
                  <c:v>1239</c:v>
                </c:pt>
                <c:pt idx="28">
                  <c:v>1300</c:v>
                </c:pt>
                <c:pt idx="29">
                  <c:v>1325</c:v>
                </c:pt>
                <c:pt idx="30">
                  <c:v>1217</c:v>
                </c:pt>
                <c:pt idx="31">
                  <c:v>1231</c:v>
                </c:pt>
                <c:pt idx="32">
                  <c:v>1235</c:v>
                </c:pt>
                <c:pt idx="33">
                  <c:v>1284</c:v>
                </c:pt>
                <c:pt idx="34">
                  <c:v>1469</c:v>
                </c:pt>
                <c:pt idx="35">
                  <c:v>1666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"ETS Holdout Forecast (last 6 months)"</c:f>
              <c:strCache>
                <c:ptCount val="1"/>
                <c:pt idx="0">
                  <c:v>ETS Holdout Forecast (last 6 months)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'Historical Demand'!$D$1:$AM$1</c:f>
              <c:multiLvlStrCache>
                <c:ptCount val="1"/>
                <c:lvl>
                  <c:pt idx="0">
                    <c:v>Dec-25</c:v>
                  </c:pt>
                </c:lvl>
                <c:lvl>
                  <c:pt idx="0">
                    <c:v>Nov-25</c:v>
                  </c:pt>
                </c:lvl>
                <c:lvl>
                  <c:pt idx="0">
                    <c:v>Oct-25</c:v>
                  </c:pt>
                </c:lvl>
                <c:lvl>
                  <c:pt idx="0">
                    <c:v>Sep-25</c:v>
                  </c:pt>
                </c:lvl>
                <c:lvl>
                  <c:pt idx="0">
                    <c:v>Aug-25</c:v>
                  </c:pt>
                </c:lvl>
                <c:lvl>
                  <c:pt idx="0">
                    <c:v>Jul-25</c:v>
                  </c:pt>
                </c:lvl>
                <c:lvl>
                  <c:pt idx="0">
                    <c:v>Jun-25</c:v>
                  </c:pt>
                </c:lvl>
                <c:lvl>
                  <c:pt idx="0">
                    <c:v>May-25</c:v>
                  </c:pt>
                </c:lvl>
                <c:lvl>
                  <c:pt idx="0">
                    <c:v>Apr-25</c:v>
                  </c:pt>
                </c:lvl>
                <c:lvl>
                  <c:pt idx="0">
                    <c:v>Mar-25</c:v>
                  </c:pt>
                </c:lvl>
                <c:lvl>
                  <c:pt idx="0">
                    <c:v>Feb-25</c:v>
                  </c:pt>
                </c:lvl>
                <c:lvl>
                  <c:pt idx="0">
                    <c:v>Jan-25</c:v>
                  </c:pt>
                </c:lvl>
                <c:lvl>
                  <c:pt idx="0">
                    <c:v>Dec-24</c:v>
                  </c:pt>
                </c:lvl>
                <c:lvl>
                  <c:pt idx="0">
                    <c:v>Nov-24</c:v>
                  </c:pt>
                </c:lvl>
                <c:lvl>
                  <c:pt idx="0">
                    <c:v>Oct-24</c:v>
                  </c:pt>
                </c:lvl>
                <c:lvl>
                  <c:pt idx="0">
                    <c:v>Sep-24</c:v>
                  </c:pt>
                </c:lvl>
                <c:lvl>
                  <c:pt idx="0">
                    <c:v>Aug-24</c:v>
                  </c:pt>
                </c:lvl>
                <c:lvl>
                  <c:pt idx="0">
                    <c:v>Jul-24</c:v>
                  </c:pt>
                </c:lvl>
                <c:lvl>
                  <c:pt idx="0">
                    <c:v>Jun-24</c:v>
                  </c:pt>
                </c:lvl>
                <c:lvl>
                  <c:pt idx="0">
                    <c:v>May-24</c:v>
                  </c:pt>
                </c:lvl>
                <c:lvl>
                  <c:pt idx="0">
                    <c:v>Apr-24</c:v>
                  </c:pt>
                </c:lvl>
                <c:lvl>
                  <c:pt idx="0">
                    <c:v>Mar-24</c:v>
                  </c:pt>
                </c:lvl>
                <c:lvl>
                  <c:pt idx="0">
                    <c:v>Feb-24</c:v>
                  </c:pt>
                </c:lvl>
                <c:lvl>
                  <c:pt idx="0">
                    <c:v>Jan-24</c:v>
                  </c:pt>
                </c:lvl>
                <c:lvl>
                  <c:pt idx="0">
                    <c:v>Dec-23</c:v>
                  </c:pt>
                </c:lvl>
                <c:lvl>
                  <c:pt idx="0">
                    <c:v>Nov-23</c:v>
                  </c:pt>
                </c:lvl>
                <c:lvl>
                  <c:pt idx="0">
                    <c:v>Oct-23</c:v>
                  </c:pt>
                </c:lvl>
                <c:lvl>
                  <c:pt idx="0">
                    <c:v>Sep-23</c:v>
                  </c:pt>
                </c:lvl>
                <c:lvl>
                  <c:pt idx="0">
                    <c:v>Aug-23</c:v>
                  </c:pt>
                </c:lvl>
                <c:lvl>
                  <c:pt idx="0">
                    <c:v>Jul-23</c:v>
                  </c:pt>
                </c:lvl>
                <c:lvl>
                  <c:pt idx="0">
                    <c:v>Jun-23</c:v>
                  </c:pt>
                </c:lvl>
                <c:lvl>
                  <c:pt idx="0">
                    <c:v>May-23</c:v>
                  </c:pt>
                </c:lvl>
                <c:lvl>
                  <c:pt idx="0">
                    <c:v>Apr-23</c:v>
                  </c:pt>
                </c:lvl>
                <c:lvl>
                  <c:pt idx="0">
                    <c:v>Mar-23</c:v>
                  </c:pt>
                </c:lvl>
                <c:lvl>
                  <c:pt idx="0">
                    <c:v>Feb-23</c:v>
                  </c:pt>
                </c:lvl>
                <c:lvl>
                  <c:pt idx="0">
                    <c:v>Jan-23</c:v>
                  </c:pt>
                </c:lvl>
              </c:multiLvlStrCache>
            </c:multiLvlStrRef>
          </c:cat>
          <c:val>
            <c:numRef>
              <c:f>'Historical Demand'!$D$24:$AM$24</c:f>
              <c:numCache>
                <c:formatCode>#,##0</c:formatCode>
                <c:ptCount val="36"/>
                <c:pt idx="30">
                  <c:v>1265.851096242</c:v>
                </c:pt>
                <c:pt idx="31">
                  <c:v>1257.94987543668</c:v>
                </c:pt>
                <c:pt idx="32">
                  <c:v>1265.95676386389</c:v>
                </c:pt>
                <c:pt idx="33">
                  <c:v>1294.81351415643</c:v>
                </c:pt>
                <c:pt idx="34">
                  <c:v>1492.54900016224</c:v>
                </c:pt>
                <c:pt idx="35">
                  <c:v>1564.71559572441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553467"/>
        <c:axId val="93296879"/>
      </c:lineChart>
      <c:catAx>
        <c:axId val="4055346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96879"/>
        <c:crosses val="autoZero"/>
        <c:auto val="1"/>
        <c:lblAlgn val="ctr"/>
        <c:lblOffset val="100"/>
        <c:noMultiLvlLbl val="0"/>
      </c:catAx>
      <c:valAx>
        <c:axId val="93296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53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Accuracy (MAPE) by SKU: ETS vs. Naive Baseline — lower is better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'Forecast Validation'!O1</c:f>
              <c:strCache>
                <c:ptCount val="1"/>
                <c:pt idx="0">
                  <c:v>ETS MAPE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Validation'!$A$2:$A$21</c:f>
              <c:strCache>
                <c:ptCount val="20"/>
                <c:pt idx="0">
                  <c:v>APP-101</c:v>
                </c:pt>
                <c:pt idx="1">
                  <c:v>APP-102</c:v>
                </c:pt>
                <c:pt idx="2">
                  <c:v>APP-103</c:v>
                </c:pt>
                <c:pt idx="3">
                  <c:v>APP-104</c:v>
                </c:pt>
                <c:pt idx="4">
                  <c:v>FTW-201</c:v>
                </c:pt>
                <c:pt idx="5">
                  <c:v>FTW-202</c:v>
                </c:pt>
                <c:pt idx="6">
                  <c:v>FTW-203</c:v>
                </c:pt>
                <c:pt idx="7">
                  <c:v>FTW-204</c:v>
                </c:pt>
                <c:pt idx="8">
                  <c:v>ACC-301</c:v>
                </c:pt>
                <c:pt idx="9">
                  <c:v>ACC-302</c:v>
                </c:pt>
                <c:pt idx="10">
                  <c:v>ACC-303</c:v>
                </c:pt>
                <c:pt idx="11">
                  <c:v>ACC-304</c:v>
                </c:pt>
                <c:pt idx="12">
                  <c:v>ELE-401</c:v>
                </c:pt>
                <c:pt idx="13">
                  <c:v>ELE-402</c:v>
                </c:pt>
                <c:pt idx="14">
                  <c:v>ELE-403</c:v>
                </c:pt>
                <c:pt idx="15">
                  <c:v>ELE-404</c:v>
                </c:pt>
                <c:pt idx="16">
                  <c:v>HOM-501</c:v>
                </c:pt>
                <c:pt idx="17">
                  <c:v>HOM-502</c:v>
                </c:pt>
                <c:pt idx="18">
                  <c:v>HOM-503</c:v>
                </c:pt>
                <c:pt idx="19">
                  <c:v>HOM-504</c:v>
                </c:pt>
              </c:strCache>
            </c:strRef>
          </c:cat>
          <c:val>
            <c:numRef>
              <c:f>'Forecast Validation'!$O$2:$O$21</c:f>
              <c:numCache>
                <c:formatCode>0.0%</c:formatCode>
                <c:ptCount val="20"/>
                <c:pt idx="0">
                  <c:v>0.0853381967083831</c:v>
                </c:pt>
                <c:pt idx="1">
                  <c:v>0.0941173338037785</c:v>
                </c:pt>
                <c:pt idx="2">
                  <c:v>0.0600247346755553</c:v>
                </c:pt>
                <c:pt idx="3">
                  <c:v>0.0505942969158266</c:v>
                </c:pt>
                <c:pt idx="4">
                  <c:v>0.0380923586259015</c:v>
                </c:pt>
                <c:pt idx="5">
                  <c:v>0.18479731381214</c:v>
                </c:pt>
                <c:pt idx="6">
                  <c:v>0.0770925693927969</c:v>
                </c:pt>
                <c:pt idx="7">
                  <c:v>0.0663989755040974</c:v>
                </c:pt>
                <c:pt idx="8">
                  <c:v>0.131436645596749</c:v>
                </c:pt>
                <c:pt idx="9">
                  <c:v>0.0572088057127232</c:v>
                </c:pt>
                <c:pt idx="10">
                  <c:v>0.0626662449503861</c:v>
                </c:pt>
                <c:pt idx="11">
                  <c:v>0.0873285610516607</c:v>
                </c:pt>
                <c:pt idx="12">
                  <c:v>0.104975262976489</c:v>
                </c:pt>
                <c:pt idx="13">
                  <c:v>0.224775532275012</c:v>
                </c:pt>
                <c:pt idx="14">
                  <c:v>0.0401043827214698</c:v>
                </c:pt>
                <c:pt idx="15">
                  <c:v>0.0629189632239017</c:v>
                </c:pt>
                <c:pt idx="16">
                  <c:v>0.105542781469183</c:v>
                </c:pt>
                <c:pt idx="17">
                  <c:v>0.13656252116403</c:v>
                </c:pt>
                <c:pt idx="18">
                  <c:v>0.1097266138862</c:v>
                </c:pt>
                <c:pt idx="19">
                  <c:v>0.0640760321866063</c:v>
                </c:pt>
              </c:numCache>
            </c:numRef>
          </c:val>
        </c:ser>
        <c:ser>
          <c:idx val="1"/>
          <c:order val="1"/>
          <c:tx>
            <c:strRef>
              <c:f>'Forecast Validation'!Q1</c:f>
              <c:strCache>
                <c:ptCount val="1"/>
                <c:pt idx="0">
                  <c:v>Naive MAPE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Validation'!$A$2:$A$21</c:f>
              <c:strCache>
                <c:ptCount val="20"/>
                <c:pt idx="0">
                  <c:v>APP-101</c:v>
                </c:pt>
                <c:pt idx="1">
                  <c:v>APP-102</c:v>
                </c:pt>
                <c:pt idx="2">
                  <c:v>APP-103</c:v>
                </c:pt>
                <c:pt idx="3">
                  <c:v>APP-104</c:v>
                </c:pt>
                <c:pt idx="4">
                  <c:v>FTW-201</c:v>
                </c:pt>
                <c:pt idx="5">
                  <c:v>FTW-202</c:v>
                </c:pt>
                <c:pt idx="6">
                  <c:v>FTW-203</c:v>
                </c:pt>
                <c:pt idx="7">
                  <c:v>FTW-204</c:v>
                </c:pt>
                <c:pt idx="8">
                  <c:v>ACC-301</c:v>
                </c:pt>
                <c:pt idx="9">
                  <c:v>ACC-302</c:v>
                </c:pt>
                <c:pt idx="10">
                  <c:v>ACC-303</c:v>
                </c:pt>
                <c:pt idx="11">
                  <c:v>ACC-304</c:v>
                </c:pt>
                <c:pt idx="12">
                  <c:v>ELE-401</c:v>
                </c:pt>
                <c:pt idx="13">
                  <c:v>ELE-402</c:v>
                </c:pt>
                <c:pt idx="14">
                  <c:v>ELE-403</c:v>
                </c:pt>
                <c:pt idx="15">
                  <c:v>ELE-404</c:v>
                </c:pt>
                <c:pt idx="16">
                  <c:v>HOM-501</c:v>
                </c:pt>
                <c:pt idx="17">
                  <c:v>HOM-502</c:v>
                </c:pt>
                <c:pt idx="18">
                  <c:v>HOM-503</c:v>
                </c:pt>
                <c:pt idx="19">
                  <c:v>HOM-504</c:v>
                </c:pt>
              </c:strCache>
            </c:strRef>
          </c:cat>
          <c:val>
            <c:numRef>
              <c:f>'Forecast Validation'!$Q$2:$Q$21</c:f>
              <c:numCache>
                <c:formatCode>0.0%</c:formatCode>
                <c:ptCount val="20"/>
                <c:pt idx="0">
                  <c:v>0.21124820798669</c:v>
                </c:pt>
                <c:pt idx="1">
                  <c:v>0.151913074097578</c:v>
                </c:pt>
                <c:pt idx="2">
                  <c:v>0.143775554062091</c:v>
                </c:pt>
                <c:pt idx="3">
                  <c:v>0.108577269013898</c:v>
                </c:pt>
                <c:pt idx="4">
                  <c:v>0.233276809850134</c:v>
                </c:pt>
                <c:pt idx="5">
                  <c:v>0.304222142259569</c:v>
                </c:pt>
                <c:pt idx="6">
                  <c:v>0.497632795379475</c:v>
                </c:pt>
                <c:pt idx="7">
                  <c:v>0.347156179831576</c:v>
                </c:pt>
                <c:pt idx="8">
                  <c:v>0.122234325500036</c:v>
                </c:pt>
                <c:pt idx="9">
                  <c:v>0.116699787285216</c:v>
                </c:pt>
                <c:pt idx="10">
                  <c:v>0.134656061847446</c:v>
                </c:pt>
                <c:pt idx="11">
                  <c:v>0.15384183987451</c:v>
                </c:pt>
                <c:pt idx="12">
                  <c:v>0.255921021769248</c:v>
                </c:pt>
                <c:pt idx="13">
                  <c:v>0.196662820680746</c:v>
                </c:pt>
                <c:pt idx="14">
                  <c:v>0.222443880690316</c:v>
                </c:pt>
                <c:pt idx="15">
                  <c:v>0.142393664129329</c:v>
                </c:pt>
                <c:pt idx="16">
                  <c:v>0.217549035625563</c:v>
                </c:pt>
                <c:pt idx="17">
                  <c:v>0.250056722552406</c:v>
                </c:pt>
                <c:pt idx="18">
                  <c:v>0.111563660754119</c:v>
                </c:pt>
                <c:pt idx="19">
                  <c:v>0.159577251953413</c:v>
                </c:pt>
              </c:numCache>
            </c:numRef>
          </c:val>
        </c:ser>
        <c:gapWidth val="150"/>
        <c:overlap val="0"/>
        <c:axId val="22292841"/>
        <c:axId val="71460907"/>
      </c:barChart>
      <c:catAx>
        <c:axId val="22292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60907"/>
        <c:crosses val="autoZero"/>
        <c:auto val="1"/>
        <c:lblAlgn val="ctr"/>
        <c:lblOffset val="100"/>
        <c:noMultiLvlLbl val="0"/>
      </c:catAx>
      <c:valAx>
        <c:axId val="71460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92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70200</xdr:rowOff>
    </xdr:from>
    <xdr:to>
      <xdr:col>11</xdr:col>
      <xdr:colOff>415800</xdr:colOff>
      <xdr:row>28</xdr:row>
      <xdr:rowOff>50400</xdr:rowOff>
    </xdr:to>
    <xdr:graphicFrame>
      <xdr:nvGraphicFramePr>
        <xdr:cNvPr id="0" name="Chart 1"/>
        <xdr:cNvGraphicFramePr/>
      </xdr:nvGraphicFramePr>
      <xdr:xfrm>
        <a:off x="141120" y="2419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70200</xdr:rowOff>
    </xdr:from>
    <xdr:to>
      <xdr:col>11</xdr:col>
      <xdr:colOff>415800</xdr:colOff>
      <xdr:row>48</xdr:row>
      <xdr:rowOff>29520</xdr:rowOff>
    </xdr:to>
    <xdr:graphicFrame>
      <xdr:nvGraphicFramePr>
        <xdr:cNvPr id="1" name="Chart 2"/>
        <xdr:cNvGraphicFramePr/>
      </xdr:nvGraphicFramePr>
      <xdr:xfrm>
        <a:off x="141120" y="58482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4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.75" hidden="false" customHeight="true" outlineLevel="0" collapsed="false">
      <c r="B8" s="4" t="s">
        <v>4</v>
      </c>
    </row>
    <row r="9" customFormat="false" ht="15.75" hidden="false" customHeight="true" outlineLevel="0" collapsed="false">
      <c r="B9" s="4" t="s">
        <v>5</v>
      </c>
    </row>
    <row r="10" customFormat="false" ht="15.75" hidden="false" customHeight="true" outlineLevel="0" collapsed="false">
      <c r="B10" s="4" t="s">
        <v>6</v>
      </c>
    </row>
    <row r="11" customFormat="false" ht="15.75" hidden="false" customHeight="true" outlineLevel="0" collapsed="false">
      <c r="B11" s="4" t="s">
        <v>7</v>
      </c>
    </row>
    <row r="12" customFormat="false" ht="15.75" hidden="false" customHeight="true" outlineLevel="0" collapsed="false">
      <c r="B12" s="4" t="s">
        <v>8</v>
      </c>
    </row>
    <row r="13" customFormat="false" ht="15.75" hidden="false" customHeight="true" outlineLevel="0" collapsed="false">
      <c r="B13" s="4" t="s">
        <v>9</v>
      </c>
    </row>
    <row r="15" customFormat="false" ht="15" hidden="false" customHeight="false" outlineLevel="0" collapsed="false">
      <c r="B15" s="2" t="s">
        <v>10</v>
      </c>
    </row>
    <row r="16" customFormat="false" ht="43.5" hidden="false" customHeight="true" outlineLevel="0" collapsed="false">
      <c r="B16" s="3" t="s">
        <v>11</v>
      </c>
    </row>
    <row r="17" customFormat="false" ht="43.5" hidden="false" customHeight="true" outlineLevel="0" collapsed="false">
      <c r="B17" s="3" t="s">
        <v>12</v>
      </c>
    </row>
    <row r="18" customFormat="false" ht="43.5" hidden="false" customHeight="true" outlineLevel="0" collapsed="false">
      <c r="B18" s="3" t="s">
        <v>13</v>
      </c>
    </row>
    <row r="19" customFormat="false" ht="43.5" hidden="false" customHeight="true" outlineLevel="0" collapsed="false">
      <c r="B19" s="3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0" t="s">
        <v>16</v>
      </c>
    </row>
    <row r="23" customFormat="false" ht="15" hidden="false" customHeight="false" outlineLevel="0" collapsed="false">
      <c r="B23" s="0" t="s">
        <v>17</v>
      </c>
    </row>
    <row r="24" customFormat="false" ht="15" hidden="false" customHeight="false" outlineLevel="0" collapsed="false">
      <c r="B24" s="0" t="s">
        <v>18</v>
      </c>
    </row>
    <row r="25" customFormat="false" ht="15" hidden="false" customHeight="false" outlineLevel="0" collapsed="false">
      <c r="B25" s="0" t="s">
        <v>19</v>
      </c>
    </row>
    <row r="26" customFormat="false" ht="15" hidden="false" customHeight="false" outlineLevel="0" collapsed="false">
      <c r="B26" s="0" t="s">
        <v>20</v>
      </c>
    </row>
    <row r="29" customFormat="false" ht="30" hidden="false" customHeight="true" outlineLevel="0" collapsed="false">
      <c r="B29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2"/>
  </cols>
  <sheetData>
    <row r="2" customFormat="false" ht="24.45" hidden="false" customHeight="false" outlineLevel="0" collapsed="false">
      <c r="B2" s="6" t="s">
        <v>22</v>
      </c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">
        <v>23</v>
      </c>
      <c r="C3" s="7"/>
      <c r="D3" s="7"/>
      <c r="E3" s="7"/>
      <c r="F3" s="7"/>
      <c r="G3" s="7"/>
      <c r="H3" s="7"/>
      <c r="I3" s="7"/>
      <c r="J3" s="7"/>
    </row>
    <row r="5" customFormat="false" ht="27.75" hidden="false" customHeight="true" outlineLevel="0" collapsed="false">
      <c r="B5" s="8" t="s">
        <v>24</v>
      </c>
      <c r="C5" s="8"/>
      <c r="D5" s="8" t="s">
        <v>25</v>
      </c>
      <c r="E5" s="8"/>
      <c r="F5" s="8" t="s">
        <v>26</v>
      </c>
      <c r="G5" s="8"/>
      <c r="H5" s="8" t="s">
        <v>27</v>
      </c>
      <c r="I5" s="8"/>
    </row>
    <row r="6" customFormat="false" ht="27.75" hidden="false" customHeight="true" outlineLevel="0" collapsed="false">
      <c r="B6" s="9" t="n">
        <f aca="false">AVERAGE('Forecast Validation'!O2:O21)</f>
        <v>0.0921889063326446</v>
      </c>
      <c r="C6" s="9"/>
      <c r="D6" s="9" t="n">
        <f aca="false">AVERAGE('Forecast Validation'!Q2:Q21)</f>
        <v>0.204070105257168</v>
      </c>
      <c r="E6" s="9"/>
      <c r="F6" s="10" t="n">
        <f aca="false">'Forward Forecast'!D23</f>
        <v>1258.28364583532</v>
      </c>
      <c r="G6" s="10"/>
      <c r="H6" s="11" t="str">
        <f aca="false">INDEX('Forecast Validation'!B2:B21,MATCH(MIN('Forecast Validation'!O2:O21),'Forecast Validation'!O2:O21,0))</f>
        <v>Running Sneakers</v>
      </c>
      <c r="I6" s="11"/>
    </row>
    <row r="9" customFormat="false" ht="30" hidden="false" customHeight="true" outlineLevel="0" collapsed="false">
      <c r="B9" s="12" t="s">
        <v>28</v>
      </c>
      <c r="C9" s="12"/>
      <c r="D9" s="12"/>
      <c r="E9" s="12"/>
      <c r="F9" s="12"/>
      <c r="G9" s="12"/>
      <c r="H9" s="12"/>
      <c r="I9" s="12"/>
      <c r="J9" s="12"/>
    </row>
  </sheetData>
  <mergeCells count="11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39" min="4" style="0" width="8"/>
  </cols>
  <sheetData>
    <row r="1" customFormat="false" ht="15" hidden="false" customHeight="false" outlineLevel="0" collapsed="false">
      <c r="A1" s="13" t="s">
        <v>29</v>
      </c>
      <c r="B1" s="13" t="s">
        <v>30</v>
      </c>
      <c r="C1" s="13" t="s">
        <v>31</v>
      </c>
      <c r="D1" s="14" t="n">
        <v>44927</v>
      </c>
      <c r="E1" s="14" t="n">
        <v>44958</v>
      </c>
      <c r="F1" s="14" t="n">
        <v>44986</v>
      </c>
      <c r="G1" s="14" t="n">
        <v>45017</v>
      </c>
      <c r="H1" s="14" t="n">
        <v>45047</v>
      </c>
      <c r="I1" s="14" t="n">
        <v>45078</v>
      </c>
      <c r="J1" s="14" t="n">
        <v>45108</v>
      </c>
      <c r="K1" s="14" t="n">
        <v>45139</v>
      </c>
      <c r="L1" s="14" t="n">
        <v>45170</v>
      </c>
      <c r="M1" s="14" t="n">
        <v>45200</v>
      </c>
      <c r="N1" s="14" t="n">
        <v>45231</v>
      </c>
      <c r="O1" s="14" t="n">
        <v>45261</v>
      </c>
      <c r="P1" s="14" t="n">
        <v>45292</v>
      </c>
      <c r="Q1" s="14" t="n">
        <v>45323</v>
      </c>
      <c r="R1" s="14" t="n">
        <v>45352</v>
      </c>
      <c r="S1" s="14" t="n">
        <v>45383</v>
      </c>
      <c r="T1" s="14" t="n">
        <v>45413</v>
      </c>
      <c r="U1" s="14" t="n">
        <v>45444</v>
      </c>
      <c r="V1" s="14" t="n">
        <v>45474</v>
      </c>
      <c r="W1" s="14" t="n">
        <v>45505</v>
      </c>
      <c r="X1" s="14" t="n">
        <v>45536</v>
      </c>
      <c r="Y1" s="14" t="n">
        <v>45566</v>
      </c>
      <c r="Z1" s="14" t="n">
        <v>45597</v>
      </c>
      <c r="AA1" s="14" t="n">
        <v>45627</v>
      </c>
      <c r="AB1" s="14" t="n">
        <v>45658</v>
      </c>
      <c r="AC1" s="14" t="n">
        <v>45689</v>
      </c>
      <c r="AD1" s="14" t="n">
        <v>45717</v>
      </c>
      <c r="AE1" s="14" t="n">
        <v>45748</v>
      </c>
      <c r="AF1" s="14" t="n">
        <v>45778</v>
      </c>
      <c r="AG1" s="14" t="n">
        <v>45809</v>
      </c>
      <c r="AH1" s="14" t="n">
        <v>45839</v>
      </c>
      <c r="AI1" s="14" t="n">
        <v>45870</v>
      </c>
      <c r="AJ1" s="14" t="n">
        <v>45901</v>
      </c>
      <c r="AK1" s="14" t="n">
        <v>45931</v>
      </c>
      <c r="AL1" s="14" t="n">
        <v>45962</v>
      </c>
      <c r="AM1" s="14" t="n">
        <v>45992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15" t="n">
        <v>46</v>
      </c>
      <c r="E2" s="15" t="n">
        <v>41</v>
      </c>
      <c r="F2" s="15" t="n">
        <v>49</v>
      </c>
      <c r="G2" s="15" t="n">
        <v>56</v>
      </c>
      <c r="H2" s="15" t="n">
        <v>63</v>
      </c>
      <c r="I2" s="15" t="n">
        <v>51</v>
      </c>
      <c r="J2" s="15" t="n">
        <v>50</v>
      </c>
      <c r="K2" s="15" t="n">
        <v>58</v>
      </c>
      <c r="L2" s="15" t="n">
        <v>65</v>
      </c>
      <c r="M2" s="15" t="n">
        <v>78</v>
      </c>
      <c r="N2" s="15" t="n">
        <v>77</v>
      </c>
      <c r="O2" s="15" t="n">
        <v>71</v>
      </c>
      <c r="P2" s="15" t="n">
        <v>53</v>
      </c>
      <c r="Q2" s="15" t="n">
        <v>45</v>
      </c>
      <c r="R2" s="15" t="n">
        <v>64</v>
      </c>
      <c r="S2" s="15" t="n">
        <v>63</v>
      </c>
      <c r="T2" s="15" t="n">
        <v>64</v>
      </c>
      <c r="U2" s="15" t="n">
        <v>62</v>
      </c>
      <c r="V2" s="15" t="n">
        <v>52</v>
      </c>
      <c r="W2" s="15" t="n">
        <v>63</v>
      </c>
      <c r="X2" s="15" t="n">
        <v>77</v>
      </c>
      <c r="Y2" s="15" t="n">
        <v>75</v>
      </c>
      <c r="Z2" s="15" t="n">
        <v>94</v>
      </c>
      <c r="AA2" s="15" t="n">
        <v>80</v>
      </c>
      <c r="AB2" s="15" t="n">
        <v>60</v>
      </c>
      <c r="AC2" s="15" t="n">
        <v>53</v>
      </c>
      <c r="AD2" s="15" t="n">
        <v>63</v>
      </c>
      <c r="AE2" s="15" t="n">
        <v>68</v>
      </c>
      <c r="AF2" s="15" t="n">
        <v>64</v>
      </c>
      <c r="AG2" s="15" t="n">
        <v>61</v>
      </c>
      <c r="AH2" s="15" t="n">
        <v>70</v>
      </c>
      <c r="AI2" s="15" t="n">
        <v>67</v>
      </c>
      <c r="AJ2" s="15" t="n">
        <v>77</v>
      </c>
      <c r="AK2" s="15" t="n">
        <v>94</v>
      </c>
      <c r="AL2" s="15" t="n">
        <v>96</v>
      </c>
      <c r="AM2" s="15" t="n">
        <v>97</v>
      </c>
    </row>
    <row r="3" customFormat="false" ht="15" hidden="false" customHeight="false" outlineLevel="0" collapsed="false">
      <c r="A3" s="0" t="s">
        <v>35</v>
      </c>
      <c r="B3" s="0" t="s">
        <v>36</v>
      </c>
      <c r="C3" s="0" t="s">
        <v>34</v>
      </c>
      <c r="D3" s="15" t="n">
        <v>78</v>
      </c>
      <c r="E3" s="15" t="n">
        <v>71</v>
      </c>
      <c r="F3" s="15" t="n">
        <v>100</v>
      </c>
      <c r="G3" s="15" t="n">
        <v>93</v>
      </c>
      <c r="H3" s="15" t="n">
        <v>108</v>
      </c>
      <c r="I3" s="15" t="n">
        <v>94</v>
      </c>
      <c r="J3" s="15" t="n">
        <v>98</v>
      </c>
      <c r="K3" s="15" t="n">
        <v>103</v>
      </c>
      <c r="L3" s="15" t="n">
        <v>112</v>
      </c>
      <c r="M3" s="15" t="n">
        <v>105</v>
      </c>
      <c r="N3" s="15" t="n">
        <v>114</v>
      </c>
      <c r="O3" s="15" t="n">
        <v>118</v>
      </c>
      <c r="P3" s="15" t="n">
        <v>91</v>
      </c>
      <c r="Q3" s="15" t="n">
        <v>72</v>
      </c>
      <c r="R3" s="15" t="n">
        <v>94</v>
      </c>
      <c r="S3" s="15" t="n">
        <v>95</v>
      </c>
      <c r="T3" s="15" t="n">
        <v>102</v>
      </c>
      <c r="U3" s="15" t="n">
        <v>85</v>
      </c>
      <c r="V3" s="15" t="n">
        <v>88</v>
      </c>
      <c r="W3" s="15" t="n">
        <v>98</v>
      </c>
      <c r="X3" s="15" t="n">
        <v>105</v>
      </c>
      <c r="Y3" s="15" t="n">
        <v>133</v>
      </c>
      <c r="Z3" s="15" t="n">
        <v>121</v>
      </c>
      <c r="AA3" s="15" t="n">
        <v>117</v>
      </c>
      <c r="AB3" s="15" t="n">
        <v>84</v>
      </c>
      <c r="AC3" s="15" t="n">
        <v>82</v>
      </c>
      <c r="AD3" s="15" t="n">
        <v>107</v>
      </c>
      <c r="AE3" s="15" t="n">
        <v>107</v>
      </c>
      <c r="AF3" s="15" t="n">
        <v>117</v>
      </c>
      <c r="AG3" s="15" t="n">
        <v>112</v>
      </c>
      <c r="AH3" s="15" t="n">
        <v>88</v>
      </c>
      <c r="AI3" s="15" t="n">
        <v>111</v>
      </c>
      <c r="AJ3" s="15" t="n">
        <v>122</v>
      </c>
      <c r="AK3" s="15" t="n">
        <v>138</v>
      </c>
      <c r="AL3" s="15" t="n">
        <v>145</v>
      </c>
      <c r="AM3" s="15" t="n">
        <v>129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s">
        <v>34</v>
      </c>
      <c r="D4" s="15" t="n">
        <v>46</v>
      </c>
      <c r="E4" s="15" t="n">
        <v>44</v>
      </c>
      <c r="F4" s="15" t="n">
        <v>53</v>
      </c>
      <c r="G4" s="15" t="n">
        <v>59</v>
      </c>
      <c r="H4" s="15" t="n">
        <v>59</v>
      </c>
      <c r="I4" s="15" t="n">
        <v>55</v>
      </c>
      <c r="J4" s="15" t="n">
        <v>57</v>
      </c>
      <c r="K4" s="15" t="n">
        <v>63</v>
      </c>
      <c r="L4" s="15" t="n">
        <v>74</v>
      </c>
      <c r="M4" s="15" t="n">
        <v>83</v>
      </c>
      <c r="N4" s="15" t="n">
        <v>76</v>
      </c>
      <c r="O4" s="15" t="n">
        <v>83</v>
      </c>
      <c r="P4" s="15" t="n">
        <v>51</v>
      </c>
      <c r="Q4" s="15" t="n">
        <v>47</v>
      </c>
      <c r="R4" s="15" t="n">
        <v>59</v>
      </c>
      <c r="S4" s="15" t="n">
        <v>71</v>
      </c>
      <c r="T4" s="15" t="n">
        <v>62</v>
      </c>
      <c r="U4" s="15" t="n">
        <v>59</v>
      </c>
      <c r="V4" s="15" t="n">
        <v>59</v>
      </c>
      <c r="W4" s="15" t="n">
        <v>69</v>
      </c>
      <c r="X4" s="15" t="n">
        <v>73</v>
      </c>
      <c r="Y4" s="15" t="n">
        <v>81</v>
      </c>
      <c r="Z4" s="15" t="n">
        <v>87</v>
      </c>
      <c r="AA4" s="15" t="n">
        <v>75</v>
      </c>
      <c r="AB4" s="15" t="n">
        <v>65</v>
      </c>
      <c r="AC4" s="15" t="n">
        <v>62</v>
      </c>
      <c r="AD4" s="15" t="n">
        <v>71</v>
      </c>
      <c r="AE4" s="15" t="n">
        <v>73</v>
      </c>
      <c r="AF4" s="15" t="n">
        <v>74</v>
      </c>
      <c r="AG4" s="15" t="n">
        <v>66</v>
      </c>
      <c r="AH4" s="15" t="n">
        <v>68</v>
      </c>
      <c r="AI4" s="15" t="n">
        <v>72</v>
      </c>
      <c r="AJ4" s="15" t="n">
        <v>77</v>
      </c>
      <c r="AK4" s="15" t="n">
        <v>97</v>
      </c>
      <c r="AL4" s="15" t="n">
        <v>102</v>
      </c>
      <c r="AM4" s="15" t="n">
        <v>84</v>
      </c>
    </row>
    <row r="5" customFormat="false" ht="15" hidden="false" customHeight="false" outlineLevel="0" collapsed="false">
      <c r="A5" s="0" t="s">
        <v>39</v>
      </c>
      <c r="B5" s="0" t="s">
        <v>40</v>
      </c>
      <c r="C5" s="0" t="s">
        <v>34</v>
      </c>
      <c r="D5" s="15" t="n">
        <v>44</v>
      </c>
      <c r="E5" s="15" t="n">
        <v>40</v>
      </c>
      <c r="F5" s="15" t="n">
        <v>43</v>
      </c>
      <c r="G5" s="15" t="n">
        <v>49</v>
      </c>
      <c r="H5" s="15" t="n">
        <v>54</v>
      </c>
      <c r="I5" s="15" t="n">
        <v>42</v>
      </c>
      <c r="J5" s="15" t="n">
        <v>44</v>
      </c>
      <c r="K5" s="15" t="n">
        <v>52</v>
      </c>
      <c r="L5" s="15" t="n">
        <v>52</v>
      </c>
      <c r="M5" s="15" t="n">
        <v>60</v>
      </c>
      <c r="N5" s="15" t="n">
        <v>72</v>
      </c>
      <c r="O5" s="15" t="n">
        <v>66</v>
      </c>
      <c r="P5" s="15" t="n">
        <v>46</v>
      </c>
      <c r="Q5" s="15" t="n">
        <v>41</v>
      </c>
      <c r="R5" s="15" t="n">
        <v>54</v>
      </c>
      <c r="S5" s="15" t="n">
        <v>51</v>
      </c>
      <c r="T5" s="15" t="n">
        <v>59</v>
      </c>
      <c r="U5" s="15" t="n">
        <v>48</v>
      </c>
      <c r="V5" s="15" t="n">
        <v>49</v>
      </c>
      <c r="W5" s="15" t="n">
        <v>51</v>
      </c>
      <c r="X5" s="15" t="n">
        <v>55</v>
      </c>
      <c r="Y5" s="15" t="n">
        <v>67</v>
      </c>
      <c r="Z5" s="15" t="n">
        <v>71</v>
      </c>
      <c r="AA5" s="15" t="n">
        <v>72</v>
      </c>
      <c r="AB5" s="15" t="n">
        <v>48</v>
      </c>
      <c r="AC5" s="15" t="n">
        <v>43</v>
      </c>
      <c r="AD5" s="15" t="n">
        <v>50</v>
      </c>
      <c r="AE5" s="15" t="n">
        <v>63</v>
      </c>
      <c r="AF5" s="15" t="n">
        <v>56</v>
      </c>
      <c r="AG5" s="15" t="n">
        <v>55</v>
      </c>
      <c r="AH5" s="15" t="n">
        <v>52</v>
      </c>
      <c r="AI5" s="15" t="n">
        <v>59</v>
      </c>
      <c r="AJ5" s="15" t="n">
        <v>57</v>
      </c>
      <c r="AK5" s="15" t="n">
        <v>70</v>
      </c>
      <c r="AL5" s="15" t="n">
        <v>68</v>
      </c>
      <c r="AM5" s="15" t="n">
        <v>71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43</v>
      </c>
      <c r="D6" s="15" t="n">
        <v>75</v>
      </c>
      <c r="E6" s="15" t="n">
        <v>82</v>
      </c>
      <c r="F6" s="15" t="n">
        <v>106</v>
      </c>
      <c r="G6" s="15" t="n">
        <v>105</v>
      </c>
      <c r="H6" s="15" t="n">
        <v>140</v>
      </c>
      <c r="I6" s="15" t="n">
        <v>121</v>
      </c>
      <c r="J6" s="15" t="n">
        <v>110</v>
      </c>
      <c r="K6" s="15" t="n">
        <v>94</v>
      </c>
      <c r="L6" s="15" t="n">
        <v>96</v>
      </c>
      <c r="M6" s="15" t="n">
        <v>76</v>
      </c>
      <c r="N6" s="15" t="n">
        <v>79</v>
      </c>
      <c r="O6" s="15" t="n">
        <v>93</v>
      </c>
      <c r="P6" s="15" t="n">
        <v>90</v>
      </c>
      <c r="Q6" s="15" t="n">
        <v>84</v>
      </c>
      <c r="R6" s="15" t="n">
        <v>122</v>
      </c>
      <c r="S6" s="15" t="n">
        <v>131</v>
      </c>
      <c r="T6" s="15" t="n">
        <v>141</v>
      </c>
      <c r="U6" s="15" t="n">
        <v>157</v>
      </c>
      <c r="V6" s="15" t="n">
        <v>140</v>
      </c>
      <c r="W6" s="15" t="n">
        <v>122</v>
      </c>
      <c r="X6" s="15" t="n">
        <v>113</v>
      </c>
      <c r="Y6" s="15" t="n">
        <v>105</v>
      </c>
      <c r="Z6" s="15" t="n">
        <v>101</v>
      </c>
      <c r="AA6" s="15" t="n">
        <v>112</v>
      </c>
      <c r="AB6" s="15" t="n">
        <v>107</v>
      </c>
      <c r="AC6" s="15" t="n">
        <v>100</v>
      </c>
      <c r="AD6" s="15" t="n">
        <v>120</v>
      </c>
      <c r="AE6" s="15" t="n">
        <v>142</v>
      </c>
      <c r="AF6" s="15" t="n">
        <v>171</v>
      </c>
      <c r="AG6" s="15" t="n">
        <v>178</v>
      </c>
      <c r="AH6" s="15" t="n">
        <v>174</v>
      </c>
      <c r="AI6" s="15" t="n">
        <v>142</v>
      </c>
      <c r="AJ6" s="15" t="n">
        <v>129</v>
      </c>
      <c r="AK6" s="15" t="n">
        <v>122</v>
      </c>
      <c r="AL6" s="15" t="n">
        <v>127</v>
      </c>
      <c r="AM6" s="15" t="n">
        <v>127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s">
        <v>43</v>
      </c>
      <c r="D7" s="15" t="n">
        <v>44</v>
      </c>
      <c r="E7" s="15" t="n">
        <v>53</v>
      </c>
      <c r="F7" s="15" t="n">
        <v>69</v>
      </c>
      <c r="G7" s="15" t="n">
        <v>75</v>
      </c>
      <c r="H7" s="15" t="n">
        <v>77</v>
      </c>
      <c r="I7" s="15" t="n">
        <v>71</v>
      </c>
      <c r="J7" s="15" t="n">
        <v>67</v>
      </c>
      <c r="K7" s="15" t="n">
        <v>57</v>
      </c>
      <c r="L7" s="15" t="n">
        <v>52</v>
      </c>
      <c r="M7" s="15" t="n">
        <v>50</v>
      </c>
      <c r="N7" s="15" t="n">
        <v>52</v>
      </c>
      <c r="O7" s="15" t="n">
        <v>54</v>
      </c>
      <c r="P7" s="15" t="n">
        <v>47</v>
      </c>
      <c r="Q7" s="15" t="n">
        <v>57</v>
      </c>
      <c r="R7" s="15" t="n">
        <v>59</v>
      </c>
      <c r="S7" s="15" t="n">
        <v>69</v>
      </c>
      <c r="T7" s="15" t="n">
        <v>78</v>
      </c>
      <c r="U7" s="15" t="n">
        <v>81</v>
      </c>
      <c r="V7" s="15" t="n">
        <v>77</v>
      </c>
      <c r="W7" s="15" t="n">
        <v>63</v>
      </c>
      <c r="X7" s="15" t="n">
        <v>63</v>
      </c>
      <c r="Y7" s="15" t="n">
        <v>58</v>
      </c>
      <c r="Z7" s="15" t="n">
        <v>50</v>
      </c>
      <c r="AA7" s="15" t="n">
        <v>58</v>
      </c>
      <c r="AB7" s="15" t="n">
        <v>55</v>
      </c>
      <c r="AC7" s="15" t="n">
        <v>53</v>
      </c>
      <c r="AD7" s="15" t="n">
        <v>61</v>
      </c>
      <c r="AE7" s="15" t="n">
        <v>68</v>
      </c>
      <c r="AF7" s="15" t="n">
        <v>80</v>
      </c>
      <c r="AG7" s="15" t="n">
        <v>82</v>
      </c>
      <c r="AH7" s="15" t="n">
        <v>65</v>
      </c>
      <c r="AI7" s="15" t="n">
        <v>65</v>
      </c>
      <c r="AJ7" s="15" t="n">
        <v>61</v>
      </c>
      <c r="AK7" s="15" t="n">
        <v>53</v>
      </c>
      <c r="AL7" s="15" t="n">
        <v>55</v>
      </c>
      <c r="AM7" s="15" t="n">
        <v>56</v>
      </c>
    </row>
    <row r="8" customFormat="false" ht="15" hidden="false" customHeight="false" outlineLevel="0" collapsed="false">
      <c r="A8" s="0" t="s">
        <v>46</v>
      </c>
      <c r="B8" s="0" t="s">
        <v>47</v>
      </c>
      <c r="C8" s="0" t="s">
        <v>43</v>
      </c>
      <c r="D8" s="15" t="n">
        <v>28</v>
      </c>
      <c r="E8" s="15" t="n">
        <v>31</v>
      </c>
      <c r="F8" s="15" t="n">
        <v>37</v>
      </c>
      <c r="G8" s="15" t="n">
        <v>41</v>
      </c>
      <c r="H8" s="15" t="n">
        <v>43</v>
      </c>
      <c r="I8" s="15" t="n">
        <v>46</v>
      </c>
      <c r="J8" s="15" t="n">
        <v>35</v>
      </c>
      <c r="K8" s="15" t="n">
        <v>32</v>
      </c>
      <c r="L8" s="15" t="n">
        <v>31</v>
      </c>
      <c r="M8" s="15" t="n">
        <v>27</v>
      </c>
      <c r="N8" s="15" t="n">
        <v>29</v>
      </c>
      <c r="O8" s="15" t="n">
        <v>27</v>
      </c>
      <c r="P8" s="15" t="n">
        <v>27</v>
      </c>
      <c r="Q8" s="15" t="n">
        <v>30</v>
      </c>
      <c r="R8" s="15" t="n">
        <v>35</v>
      </c>
      <c r="S8" s="15" t="n">
        <v>43</v>
      </c>
      <c r="T8" s="15" t="n">
        <v>41</v>
      </c>
      <c r="U8" s="15" t="n">
        <v>40</v>
      </c>
      <c r="V8" s="15" t="n">
        <v>36</v>
      </c>
      <c r="W8" s="15" t="n">
        <v>34</v>
      </c>
      <c r="X8" s="15" t="n">
        <v>32</v>
      </c>
      <c r="Y8" s="15" t="n">
        <v>26</v>
      </c>
      <c r="Z8" s="15" t="n">
        <v>27</v>
      </c>
      <c r="AA8" s="15" t="n">
        <v>29</v>
      </c>
      <c r="AB8" s="15" t="n">
        <v>27</v>
      </c>
      <c r="AC8" s="15" t="n">
        <v>30</v>
      </c>
      <c r="AD8" s="15" t="n">
        <v>31</v>
      </c>
      <c r="AE8" s="15" t="n">
        <v>41</v>
      </c>
      <c r="AF8" s="15" t="n">
        <v>46</v>
      </c>
      <c r="AG8" s="15" t="n">
        <v>46</v>
      </c>
      <c r="AH8" s="15" t="n">
        <v>34</v>
      </c>
      <c r="AI8" s="15" t="n">
        <v>31</v>
      </c>
      <c r="AJ8" s="15" t="n">
        <v>33</v>
      </c>
      <c r="AK8" s="15" t="n">
        <v>28</v>
      </c>
      <c r="AL8" s="15" t="n">
        <v>24</v>
      </c>
      <c r="AM8" s="15" t="n">
        <v>30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43</v>
      </c>
      <c r="D9" s="15" t="n">
        <v>35</v>
      </c>
      <c r="E9" s="15" t="n">
        <v>37</v>
      </c>
      <c r="F9" s="15" t="n">
        <v>48</v>
      </c>
      <c r="G9" s="15" t="n">
        <v>53</v>
      </c>
      <c r="H9" s="15" t="n">
        <v>56</v>
      </c>
      <c r="I9" s="15" t="n">
        <v>51</v>
      </c>
      <c r="J9" s="15" t="n">
        <v>49</v>
      </c>
      <c r="K9" s="15" t="n">
        <v>48</v>
      </c>
      <c r="L9" s="15" t="n">
        <v>39</v>
      </c>
      <c r="M9" s="15" t="n">
        <v>35</v>
      </c>
      <c r="N9" s="15" t="n">
        <v>33</v>
      </c>
      <c r="O9" s="15" t="n">
        <v>39</v>
      </c>
      <c r="P9" s="15" t="n">
        <v>41</v>
      </c>
      <c r="Q9" s="15" t="n">
        <v>42</v>
      </c>
      <c r="R9" s="15" t="n">
        <v>44</v>
      </c>
      <c r="S9" s="15" t="n">
        <v>55</v>
      </c>
      <c r="T9" s="15" t="n">
        <v>67</v>
      </c>
      <c r="U9" s="15" t="n">
        <v>56</v>
      </c>
      <c r="V9" s="15" t="n">
        <v>60</v>
      </c>
      <c r="W9" s="15" t="n">
        <v>48</v>
      </c>
      <c r="X9" s="15" t="n">
        <v>46</v>
      </c>
      <c r="Y9" s="15" t="n">
        <v>45</v>
      </c>
      <c r="Z9" s="15" t="n">
        <v>44</v>
      </c>
      <c r="AA9" s="15" t="n">
        <v>39</v>
      </c>
      <c r="AB9" s="15" t="n">
        <v>44</v>
      </c>
      <c r="AC9" s="15" t="n">
        <v>47</v>
      </c>
      <c r="AD9" s="15" t="n">
        <v>59</v>
      </c>
      <c r="AE9" s="15" t="n">
        <v>67</v>
      </c>
      <c r="AF9" s="15" t="n">
        <v>69</v>
      </c>
      <c r="AG9" s="15" t="n">
        <v>66</v>
      </c>
      <c r="AH9" s="15" t="n">
        <v>55</v>
      </c>
      <c r="AI9" s="15" t="n">
        <v>55</v>
      </c>
      <c r="AJ9" s="15" t="n">
        <v>49</v>
      </c>
      <c r="AK9" s="15" t="n">
        <v>43</v>
      </c>
      <c r="AL9" s="15" t="n">
        <v>49</v>
      </c>
      <c r="AM9" s="15" t="n">
        <v>51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52</v>
      </c>
      <c r="D10" s="15" t="n">
        <v>33</v>
      </c>
      <c r="E10" s="15" t="n">
        <v>29</v>
      </c>
      <c r="F10" s="15" t="n">
        <v>31</v>
      </c>
      <c r="G10" s="15" t="n">
        <v>38</v>
      </c>
      <c r="H10" s="15" t="n">
        <v>38</v>
      </c>
      <c r="I10" s="15" t="n">
        <v>44</v>
      </c>
      <c r="J10" s="15" t="n">
        <v>45</v>
      </c>
      <c r="K10" s="15" t="n">
        <v>37</v>
      </c>
      <c r="L10" s="15" t="n">
        <v>35</v>
      </c>
      <c r="M10" s="15" t="n">
        <v>35</v>
      </c>
      <c r="N10" s="15" t="n">
        <v>48</v>
      </c>
      <c r="O10" s="15" t="n">
        <v>46</v>
      </c>
      <c r="P10" s="15" t="n">
        <v>33</v>
      </c>
      <c r="Q10" s="15" t="n">
        <v>32</v>
      </c>
      <c r="R10" s="15" t="n">
        <v>35</v>
      </c>
      <c r="S10" s="15" t="n">
        <v>41</v>
      </c>
      <c r="T10" s="15" t="n">
        <v>38</v>
      </c>
      <c r="U10" s="15" t="n">
        <v>51</v>
      </c>
      <c r="V10" s="15" t="n">
        <v>43</v>
      </c>
      <c r="W10" s="15" t="n">
        <v>38</v>
      </c>
      <c r="X10" s="15" t="n">
        <v>37</v>
      </c>
      <c r="Y10" s="15" t="n">
        <v>41</v>
      </c>
      <c r="Z10" s="15" t="n">
        <v>42</v>
      </c>
      <c r="AA10" s="15" t="n">
        <v>54</v>
      </c>
      <c r="AB10" s="15" t="n">
        <v>35</v>
      </c>
      <c r="AC10" s="15" t="n">
        <v>29</v>
      </c>
      <c r="AD10" s="15" t="n">
        <v>37</v>
      </c>
      <c r="AE10" s="15" t="n">
        <v>37</v>
      </c>
      <c r="AF10" s="15" t="n">
        <v>44</v>
      </c>
      <c r="AG10" s="15" t="n">
        <v>47</v>
      </c>
      <c r="AH10" s="15" t="n">
        <v>47</v>
      </c>
      <c r="AI10" s="15" t="n">
        <v>35</v>
      </c>
      <c r="AJ10" s="15" t="n">
        <v>35</v>
      </c>
      <c r="AK10" s="15" t="n">
        <v>42</v>
      </c>
      <c r="AL10" s="15" t="n">
        <v>43</v>
      </c>
      <c r="AM10" s="15" t="n">
        <v>52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s">
        <v>52</v>
      </c>
      <c r="D11" s="15" t="n">
        <v>41</v>
      </c>
      <c r="E11" s="15" t="n">
        <v>35</v>
      </c>
      <c r="F11" s="15" t="n">
        <v>43</v>
      </c>
      <c r="G11" s="15" t="n">
        <v>47</v>
      </c>
      <c r="H11" s="15" t="n">
        <v>46</v>
      </c>
      <c r="I11" s="15" t="n">
        <v>60</v>
      </c>
      <c r="J11" s="15" t="n">
        <v>56</v>
      </c>
      <c r="K11" s="15" t="n">
        <v>54</v>
      </c>
      <c r="L11" s="15" t="n">
        <v>53</v>
      </c>
      <c r="M11" s="15" t="n">
        <v>43</v>
      </c>
      <c r="N11" s="15" t="n">
        <v>59</v>
      </c>
      <c r="O11" s="15" t="n">
        <v>66</v>
      </c>
      <c r="P11" s="15" t="n">
        <v>38</v>
      </c>
      <c r="Q11" s="15" t="n">
        <v>46</v>
      </c>
      <c r="R11" s="15" t="n">
        <v>43</v>
      </c>
      <c r="S11" s="15" t="n">
        <v>53</v>
      </c>
      <c r="T11" s="15" t="n">
        <v>55</v>
      </c>
      <c r="U11" s="15" t="n">
        <v>66</v>
      </c>
      <c r="V11" s="15" t="n">
        <v>58</v>
      </c>
      <c r="W11" s="15" t="n">
        <v>60</v>
      </c>
      <c r="X11" s="15" t="n">
        <v>52</v>
      </c>
      <c r="Y11" s="15" t="n">
        <v>49</v>
      </c>
      <c r="Z11" s="15" t="n">
        <v>70</v>
      </c>
      <c r="AA11" s="15" t="n">
        <v>70</v>
      </c>
      <c r="AB11" s="15" t="n">
        <v>49</v>
      </c>
      <c r="AC11" s="15" t="n">
        <v>44</v>
      </c>
      <c r="AD11" s="15" t="n">
        <v>57</v>
      </c>
      <c r="AE11" s="15" t="n">
        <v>56</v>
      </c>
      <c r="AF11" s="15" t="n">
        <v>68</v>
      </c>
      <c r="AG11" s="15" t="n">
        <v>76</v>
      </c>
      <c r="AH11" s="15" t="n">
        <v>70</v>
      </c>
      <c r="AI11" s="15" t="n">
        <v>67</v>
      </c>
      <c r="AJ11" s="15" t="n">
        <v>60</v>
      </c>
      <c r="AK11" s="15" t="n">
        <v>56</v>
      </c>
      <c r="AL11" s="15" t="n">
        <v>73</v>
      </c>
      <c r="AM11" s="15" t="n">
        <v>90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s">
        <v>52</v>
      </c>
      <c r="D12" s="15" t="n">
        <v>24</v>
      </c>
      <c r="E12" s="15" t="n">
        <v>24</v>
      </c>
      <c r="F12" s="15" t="n">
        <v>24</v>
      </c>
      <c r="G12" s="15" t="n">
        <v>28</v>
      </c>
      <c r="H12" s="15" t="n">
        <v>35</v>
      </c>
      <c r="I12" s="15" t="n">
        <v>35</v>
      </c>
      <c r="J12" s="15" t="n">
        <v>32</v>
      </c>
      <c r="K12" s="15" t="n">
        <v>32</v>
      </c>
      <c r="L12" s="15" t="n">
        <v>25</v>
      </c>
      <c r="M12" s="15" t="n">
        <v>25</v>
      </c>
      <c r="N12" s="15" t="n">
        <v>31</v>
      </c>
      <c r="O12" s="15" t="n">
        <v>37</v>
      </c>
      <c r="P12" s="15" t="n">
        <v>21</v>
      </c>
      <c r="Q12" s="15" t="n">
        <v>23</v>
      </c>
      <c r="R12" s="15" t="n">
        <v>25</v>
      </c>
      <c r="S12" s="15" t="n">
        <v>33</v>
      </c>
      <c r="T12" s="15" t="n">
        <v>31</v>
      </c>
      <c r="U12" s="15" t="n">
        <v>37</v>
      </c>
      <c r="V12" s="15" t="n">
        <v>33</v>
      </c>
      <c r="W12" s="15" t="n">
        <v>32</v>
      </c>
      <c r="X12" s="15" t="n">
        <v>26</v>
      </c>
      <c r="Y12" s="15" t="n">
        <v>27</v>
      </c>
      <c r="Z12" s="15" t="n">
        <v>32</v>
      </c>
      <c r="AA12" s="15" t="n">
        <v>39</v>
      </c>
      <c r="AB12" s="15" t="n">
        <v>23</v>
      </c>
      <c r="AC12" s="15" t="n">
        <v>24</v>
      </c>
      <c r="AD12" s="15" t="n">
        <v>30</v>
      </c>
      <c r="AE12" s="15" t="n">
        <v>27</v>
      </c>
      <c r="AF12" s="15" t="n">
        <v>31</v>
      </c>
      <c r="AG12" s="15" t="n">
        <v>37</v>
      </c>
      <c r="AH12" s="15" t="n">
        <v>37</v>
      </c>
      <c r="AI12" s="15" t="n">
        <v>29</v>
      </c>
      <c r="AJ12" s="15" t="n">
        <v>28</v>
      </c>
      <c r="AK12" s="15" t="n">
        <v>27</v>
      </c>
      <c r="AL12" s="15" t="n">
        <v>33</v>
      </c>
      <c r="AM12" s="15" t="n">
        <v>41</v>
      </c>
    </row>
    <row r="13" customFormat="false" ht="15" hidden="false" customHeight="false" outlineLevel="0" collapsed="false">
      <c r="A13" s="0" t="s">
        <v>57</v>
      </c>
      <c r="B13" s="0" t="s">
        <v>58</v>
      </c>
      <c r="C13" s="0" t="s">
        <v>52</v>
      </c>
      <c r="D13" s="15" t="n">
        <v>29</v>
      </c>
      <c r="E13" s="15" t="n">
        <v>24</v>
      </c>
      <c r="F13" s="15" t="n">
        <v>28</v>
      </c>
      <c r="G13" s="15" t="n">
        <v>32</v>
      </c>
      <c r="H13" s="15" t="n">
        <v>39</v>
      </c>
      <c r="I13" s="15" t="n">
        <v>44</v>
      </c>
      <c r="J13" s="15" t="n">
        <v>36</v>
      </c>
      <c r="K13" s="15" t="n">
        <v>30</v>
      </c>
      <c r="L13" s="15" t="n">
        <v>30</v>
      </c>
      <c r="M13" s="15" t="n">
        <v>33</v>
      </c>
      <c r="N13" s="15" t="n">
        <v>42</v>
      </c>
      <c r="O13" s="15" t="n">
        <v>53</v>
      </c>
      <c r="P13" s="15" t="n">
        <v>27</v>
      </c>
      <c r="Q13" s="15" t="n">
        <v>28</v>
      </c>
      <c r="R13" s="15" t="n">
        <v>35</v>
      </c>
      <c r="S13" s="15" t="n">
        <v>38</v>
      </c>
      <c r="T13" s="15" t="n">
        <v>43</v>
      </c>
      <c r="U13" s="15" t="n">
        <v>40</v>
      </c>
      <c r="V13" s="15" t="n">
        <v>43</v>
      </c>
      <c r="W13" s="15" t="n">
        <v>38</v>
      </c>
      <c r="X13" s="15" t="n">
        <v>32</v>
      </c>
      <c r="Y13" s="15" t="n">
        <v>32</v>
      </c>
      <c r="Z13" s="15" t="n">
        <v>46</v>
      </c>
      <c r="AA13" s="15" t="n">
        <v>45</v>
      </c>
      <c r="AB13" s="15" t="n">
        <v>28</v>
      </c>
      <c r="AC13" s="15" t="n">
        <v>26</v>
      </c>
      <c r="AD13" s="15" t="n">
        <v>36</v>
      </c>
      <c r="AE13" s="15" t="n">
        <v>37</v>
      </c>
      <c r="AF13" s="15" t="n">
        <v>38</v>
      </c>
      <c r="AG13" s="15" t="n">
        <v>43</v>
      </c>
      <c r="AH13" s="15" t="n">
        <v>42</v>
      </c>
      <c r="AI13" s="15" t="n">
        <v>32</v>
      </c>
      <c r="AJ13" s="15" t="n">
        <v>37</v>
      </c>
      <c r="AK13" s="15" t="n">
        <v>31</v>
      </c>
      <c r="AL13" s="15" t="n">
        <v>41</v>
      </c>
      <c r="AM13" s="15" t="n">
        <v>53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61</v>
      </c>
      <c r="D14" s="15" t="n">
        <v>80</v>
      </c>
      <c r="E14" s="15" t="n">
        <v>63</v>
      </c>
      <c r="F14" s="15" t="n">
        <v>63</v>
      </c>
      <c r="G14" s="15" t="n">
        <v>61</v>
      </c>
      <c r="H14" s="15" t="n">
        <v>61</v>
      </c>
      <c r="I14" s="15" t="n">
        <v>74</v>
      </c>
      <c r="J14" s="15" t="n">
        <v>65</v>
      </c>
      <c r="K14" s="15" t="n">
        <v>82</v>
      </c>
      <c r="L14" s="15" t="n">
        <v>76</v>
      </c>
      <c r="M14" s="15" t="n">
        <v>80</v>
      </c>
      <c r="N14" s="15" t="n">
        <v>113</v>
      </c>
      <c r="O14" s="15" t="n">
        <v>117</v>
      </c>
      <c r="P14" s="15" t="n">
        <v>98</v>
      </c>
      <c r="Q14" s="15" t="n">
        <v>77</v>
      </c>
      <c r="R14" s="15" t="n">
        <v>62</v>
      </c>
      <c r="S14" s="15" t="n">
        <v>78</v>
      </c>
      <c r="T14" s="15" t="n">
        <v>75</v>
      </c>
      <c r="U14" s="15" t="n">
        <v>82</v>
      </c>
      <c r="V14" s="15" t="n">
        <v>93</v>
      </c>
      <c r="W14" s="15" t="n">
        <v>80</v>
      </c>
      <c r="X14" s="15" t="n">
        <v>80</v>
      </c>
      <c r="Y14" s="15" t="n">
        <v>98</v>
      </c>
      <c r="Z14" s="15" t="n">
        <v>130</v>
      </c>
      <c r="AA14" s="15" t="n">
        <v>171</v>
      </c>
      <c r="AB14" s="15" t="n">
        <v>116</v>
      </c>
      <c r="AC14" s="15" t="n">
        <v>97</v>
      </c>
      <c r="AD14" s="15" t="n">
        <v>88</v>
      </c>
      <c r="AE14" s="15" t="n">
        <v>88</v>
      </c>
      <c r="AF14" s="15" t="n">
        <v>82</v>
      </c>
      <c r="AG14" s="15" t="n">
        <v>107</v>
      </c>
      <c r="AH14" s="15" t="n">
        <v>95</v>
      </c>
      <c r="AI14" s="15" t="n">
        <v>113</v>
      </c>
      <c r="AJ14" s="15" t="n">
        <v>124</v>
      </c>
      <c r="AK14" s="15" t="n">
        <v>104</v>
      </c>
      <c r="AL14" s="15" t="n">
        <v>152</v>
      </c>
      <c r="AM14" s="15" t="n">
        <v>212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61</v>
      </c>
      <c r="D15" s="15" t="n">
        <v>49</v>
      </c>
      <c r="E15" s="15" t="n">
        <v>39</v>
      </c>
      <c r="F15" s="15" t="n">
        <v>37</v>
      </c>
      <c r="G15" s="15" t="n">
        <v>36</v>
      </c>
      <c r="H15" s="15" t="n">
        <v>41</v>
      </c>
      <c r="I15" s="15" t="n">
        <v>41</v>
      </c>
      <c r="J15" s="15" t="n">
        <v>35</v>
      </c>
      <c r="K15" s="15" t="n">
        <v>45</v>
      </c>
      <c r="L15" s="15" t="n">
        <v>44</v>
      </c>
      <c r="M15" s="15" t="n">
        <v>42</v>
      </c>
      <c r="N15" s="15" t="n">
        <v>51</v>
      </c>
      <c r="O15" s="15" t="n">
        <v>65</v>
      </c>
      <c r="P15" s="15" t="n">
        <v>55</v>
      </c>
      <c r="Q15" s="15" t="n">
        <v>36</v>
      </c>
      <c r="R15" s="15" t="n">
        <v>40</v>
      </c>
      <c r="S15" s="15" t="n">
        <v>33</v>
      </c>
      <c r="T15" s="15" t="n">
        <v>36</v>
      </c>
      <c r="U15" s="15" t="n">
        <v>37</v>
      </c>
      <c r="V15" s="15" t="n">
        <v>43</v>
      </c>
      <c r="W15" s="15" t="n">
        <v>47</v>
      </c>
      <c r="X15" s="15" t="n">
        <v>41</v>
      </c>
      <c r="Y15" s="15" t="n">
        <v>45</v>
      </c>
      <c r="Z15" s="15" t="n">
        <v>65</v>
      </c>
      <c r="AA15" s="15" t="n">
        <v>74</v>
      </c>
      <c r="AB15" s="15" t="n">
        <v>53</v>
      </c>
      <c r="AC15" s="15" t="n">
        <v>45</v>
      </c>
      <c r="AD15" s="15" t="n">
        <v>40</v>
      </c>
      <c r="AE15" s="15" t="n">
        <v>36</v>
      </c>
      <c r="AF15" s="15" t="n">
        <v>40</v>
      </c>
      <c r="AG15" s="15" t="n">
        <v>43</v>
      </c>
      <c r="AH15" s="15" t="n">
        <v>44</v>
      </c>
      <c r="AI15" s="15" t="n">
        <v>45</v>
      </c>
      <c r="AJ15" s="15" t="n">
        <v>42</v>
      </c>
      <c r="AK15" s="15" t="n">
        <v>46</v>
      </c>
      <c r="AL15" s="15" t="n">
        <v>56</v>
      </c>
      <c r="AM15" s="15" t="n">
        <v>76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s">
        <v>61</v>
      </c>
      <c r="D16" s="15" t="n">
        <v>37</v>
      </c>
      <c r="E16" s="15" t="n">
        <v>26</v>
      </c>
      <c r="F16" s="15" t="n">
        <v>22</v>
      </c>
      <c r="G16" s="15" t="n">
        <v>25</v>
      </c>
      <c r="H16" s="15" t="n">
        <v>28</v>
      </c>
      <c r="I16" s="15" t="n">
        <v>29</v>
      </c>
      <c r="J16" s="15" t="n">
        <v>27</v>
      </c>
      <c r="K16" s="15" t="n">
        <v>32</v>
      </c>
      <c r="L16" s="15" t="n">
        <v>30</v>
      </c>
      <c r="M16" s="15" t="n">
        <v>35</v>
      </c>
      <c r="N16" s="15" t="n">
        <v>37</v>
      </c>
      <c r="O16" s="15" t="n">
        <v>47</v>
      </c>
      <c r="P16" s="15" t="n">
        <v>41</v>
      </c>
      <c r="Q16" s="15" t="n">
        <v>26</v>
      </c>
      <c r="R16" s="15" t="n">
        <v>26</v>
      </c>
      <c r="S16" s="15" t="n">
        <v>31</v>
      </c>
      <c r="T16" s="15" t="n">
        <v>32</v>
      </c>
      <c r="U16" s="15" t="n">
        <v>31</v>
      </c>
      <c r="V16" s="15" t="n">
        <v>30</v>
      </c>
      <c r="W16" s="15" t="n">
        <v>37</v>
      </c>
      <c r="X16" s="15" t="n">
        <v>37</v>
      </c>
      <c r="Y16" s="15" t="n">
        <v>35</v>
      </c>
      <c r="Z16" s="15" t="n">
        <v>49</v>
      </c>
      <c r="AA16" s="15" t="n">
        <v>62</v>
      </c>
      <c r="AB16" s="15" t="n">
        <v>43</v>
      </c>
      <c r="AC16" s="15" t="n">
        <v>31</v>
      </c>
      <c r="AD16" s="15" t="n">
        <v>29</v>
      </c>
      <c r="AE16" s="15" t="n">
        <v>35</v>
      </c>
      <c r="AF16" s="15" t="n">
        <v>33</v>
      </c>
      <c r="AG16" s="15" t="n">
        <v>36</v>
      </c>
      <c r="AH16" s="15" t="n">
        <v>34</v>
      </c>
      <c r="AI16" s="15" t="n">
        <v>42</v>
      </c>
      <c r="AJ16" s="15" t="n">
        <v>38</v>
      </c>
      <c r="AK16" s="15" t="n">
        <v>44</v>
      </c>
      <c r="AL16" s="15" t="n">
        <v>54</v>
      </c>
      <c r="AM16" s="15" t="n">
        <v>67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0" t="s">
        <v>61</v>
      </c>
      <c r="D17" s="15" t="n">
        <v>122</v>
      </c>
      <c r="E17" s="15" t="n">
        <v>91</v>
      </c>
      <c r="F17" s="15" t="n">
        <v>99</v>
      </c>
      <c r="G17" s="15" t="n">
        <v>101</v>
      </c>
      <c r="H17" s="15" t="n">
        <v>107</v>
      </c>
      <c r="I17" s="15" t="n">
        <v>112</v>
      </c>
      <c r="J17" s="15" t="n">
        <v>111</v>
      </c>
      <c r="K17" s="15" t="n">
        <v>113</v>
      </c>
      <c r="L17" s="15" t="n">
        <v>113</v>
      </c>
      <c r="M17" s="15" t="n">
        <v>123</v>
      </c>
      <c r="N17" s="15" t="n">
        <v>168</v>
      </c>
      <c r="O17" s="15" t="n">
        <v>191</v>
      </c>
      <c r="P17" s="15" t="n">
        <v>149</v>
      </c>
      <c r="Q17" s="15" t="n">
        <v>108</v>
      </c>
      <c r="R17" s="15" t="n">
        <v>106</v>
      </c>
      <c r="S17" s="15" t="n">
        <v>99</v>
      </c>
      <c r="T17" s="15" t="n">
        <v>93</v>
      </c>
      <c r="U17" s="15" t="n">
        <v>114</v>
      </c>
      <c r="V17" s="15" t="n">
        <v>108</v>
      </c>
      <c r="W17" s="15" t="n">
        <v>108</v>
      </c>
      <c r="X17" s="15" t="n">
        <v>106</v>
      </c>
      <c r="Y17" s="15" t="n">
        <v>127</v>
      </c>
      <c r="Z17" s="15" t="n">
        <v>181</v>
      </c>
      <c r="AA17" s="15" t="n">
        <v>204</v>
      </c>
      <c r="AB17" s="15" t="n">
        <v>172</v>
      </c>
      <c r="AC17" s="15" t="n">
        <v>102</v>
      </c>
      <c r="AD17" s="15" t="n">
        <v>101</v>
      </c>
      <c r="AE17" s="15" t="n">
        <v>118</v>
      </c>
      <c r="AF17" s="15" t="n">
        <v>118</v>
      </c>
      <c r="AG17" s="15" t="n">
        <v>127</v>
      </c>
      <c r="AH17" s="15" t="n">
        <v>115</v>
      </c>
      <c r="AI17" s="15" t="n">
        <v>133</v>
      </c>
      <c r="AJ17" s="15" t="n">
        <v>124</v>
      </c>
      <c r="AK17" s="15" t="n">
        <v>126</v>
      </c>
      <c r="AL17" s="15" t="n">
        <v>162</v>
      </c>
      <c r="AM17" s="15" t="n">
        <v>200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s">
        <v>70</v>
      </c>
      <c r="D18" s="15" t="n">
        <v>26</v>
      </c>
      <c r="E18" s="15" t="n">
        <v>30</v>
      </c>
      <c r="F18" s="15" t="n">
        <v>40</v>
      </c>
      <c r="G18" s="15" t="n">
        <v>39</v>
      </c>
      <c r="H18" s="15" t="n">
        <v>35</v>
      </c>
      <c r="I18" s="15" t="n">
        <v>32</v>
      </c>
      <c r="J18" s="15" t="n">
        <v>32</v>
      </c>
      <c r="K18" s="15" t="n">
        <v>28</v>
      </c>
      <c r="L18" s="15" t="n">
        <v>34</v>
      </c>
      <c r="M18" s="15" t="n">
        <v>39</v>
      </c>
      <c r="N18" s="15" t="n">
        <v>41</v>
      </c>
      <c r="O18" s="15" t="n">
        <v>46</v>
      </c>
      <c r="P18" s="15" t="n">
        <v>31</v>
      </c>
      <c r="Q18" s="15" t="n">
        <v>35</v>
      </c>
      <c r="R18" s="15" t="n">
        <v>37</v>
      </c>
      <c r="S18" s="15" t="n">
        <v>39</v>
      </c>
      <c r="T18" s="15" t="n">
        <v>35</v>
      </c>
      <c r="U18" s="15" t="n">
        <v>29</v>
      </c>
      <c r="V18" s="15" t="n">
        <v>32</v>
      </c>
      <c r="W18" s="15" t="n">
        <v>29</v>
      </c>
      <c r="X18" s="15" t="n">
        <v>36</v>
      </c>
      <c r="Y18" s="15" t="n">
        <v>35</v>
      </c>
      <c r="Z18" s="15" t="n">
        <v>41</v>
      </c>
      <c r="AA18" s="15" t="n">
        <v>56</v>
      </c>
      <c r="AB18" s="15" t="n">
        <v>35</v>
      </c>
      <c r="AC18" s="15" t="n">
        <v>30</v>
      </c>
      <c r="AD18" s="15" t="n">
        <v>45</v>
      </c>
      <c r="AE18" s="15" t="n">
        <v>44</v>
      </c>
      <c r="AF18" s="15" t="n">
        <v>41</v>
      </c>
      <c r="AG18" s="15" t="n">
        <v>37</v>
      </c>
      <c r="AH18" s="15" t="n">
        <v>32</v>
      </c>
      <c r="AI18" s="15" t="n">
        <v>32</v>
      </c>
      <c r="AJ18" s="15" t="n">
        <v>31</v>
      </c>
      <c r="AK18" s="15" t="n">
        <v>37</v>
      </c>
      <c r="AL18" s="15" t="n">
        <v>47</v>
      </c>
      <c r="AM18" s="15" t="n">
        <v>52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0" t="s">
        <v>70</v>
      </c>
      <c r="D19" s="15" t="n">
        <v>39</v>
      </c>
      <c r="E19" s="15" t="n">
        <v>41</v>
      </c>
      <c r="F19" s="15" t="n">
        <v>55</v>
      </c>
      <c r="G19" s="15" t="n">
        <v>52</v>
      </c>
      <c r="H19" s="15" t="n">
        <v>54</v>
      </c>
      <c r="I19" s="15" t="n">
        <v>40</v>
      </c>
      <c r="J19" s="15" t="n">
        <v>42</v>
      </c>
      <c r="K19" s="15" t="n">
        <v>41</v>
      </c>
      <c r="L19" s="15" t="n">
        <v>41</v>
      </c>
      <c r="M19" s="15" t="n">
        <v>52</v>
      </c>
      <c r="N19" s="15" t="n">
        <v>67</v>
      </c>
      <c r="O19" s="15" t="n">
        <v>65</v>
      </c>
      <c r="P19" s="15" t="n">
        <v>45</v>
      </c>
      <c r="Q19" s="15" t="n">
        <v>40</v>
      </c>
      <c r="R19" s="15" t="n">
        <v>52</v>
      </c>
      <c r="S19" s="15" t="n">
        <v>63</v>
      </c>
      <c r="T19" s="15" t="n">
        <v>58</v>
      </c>
      <c r="U19" s="15" t="n">
        <v>50</v>
      </c>
      <c r="V19" s="15" t="n">
        <v>42</v>
      </c>
      <c r="W19" s="15" t="n">
        <v>46</v>
      </c>
      <c r="X19" s="15" t="n">
        <v>51</v>
      </c>
      <c r="Y19" s="15" t="n">
        <v>46</v>
      </c>
      <c r="Z19" s="15" t="n">
        <v>69</v>
      </c>
      <c r="AA19" s="15" t="n">
        <v>80</v>
      </c>
      <c r="AB19" s="15" t="n">
        <v>49</v>
      </c>
      <c r="AC19" s="15" t="n">
        <v>47</v>
      </c>
      <c r="AD19" s="15" t="n">
        <v>59</v>
      </c>
      <c r="AE19" s="15" t="n">
        <v>64</v>
      </c>
      <c r="AF19" s="15" t="n">
        <v>55</v>
      </c>
      <c r="AG19" s="15" t="n">
        <v>51</v>
      </c>
      <c r="AH19" s="15" t="n">
        <v>43</v>
      </c>
      <c r="AI19" s="15" t="n">
        <v>41</v>
      </c>
      <c r="AJ19" s="15" t="n">
        <v>46</v>
      </c>
      <c r="AK19" s="15" t="n">
        <v>61</v>
      </c>
      <c r="AL19" s="15" t="n">
        <v>66</v>
      </c>
      <c r="AM19" s="15" t="n">
        <v>88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s">
        <v>70</v>
      </c>
      <c r="D20" s="15" t="n">
        <v>26</v>
      </c>
      <c r="E20" s="15" t="n">
        <v>27</v>
      </c>
      <c r="F20" s="15" t="n">
        <v>30</v>
      </c>
      <c r="G20" s="15" t="n">
        <v>30</v>
      </c>
      <c r="H20" s="15" t="n">
        <v>30</v>
      </c>
      <c r="I20" s="15" t="n">
        <v>27</v>
      </c>
      <c r="J20" s="15" t="n">
        <v>25</v>
      </c>
      <c r="K20" s="15" t="n">
        <v>21</v>
      </c>
      <c r="L20" s="15" t="n">
        <v>22</v>
      </c>
      <c r="M20" s="15" t="n">
        <v>25</v>
      </c>
      <c r="N20" s="15" t="n">
        <v>32</v>
      </c>
      <c r="O20" s="15" t="n">
        <v>40</v>
      </c>
      <c r="P20" s="15" t="n">
        <v>23</v>
      </c>
      <c r="Q20" s="15" t="n">
        <v>27</v>
      </c>
      <c r="R20" s="15" t="n">
        <v>33</v>
      </c>
      <c r="S20" s="15" t="n">
        <v>30</v>
      </c>
      <c r="T20" s="15" t="n">
        <v>28</v>
      </c>
      <c r="U20" s="15" t="n">
        <v>28</v>
      </c>
      <c r="V20" s="15" t="n">
        <v>25</v>
      </c>
      <c r="W20" s="15" t="n">
        <v>21</v>
      </c>
      <c r="X20" s="15" t="n">
        <v>24</v>
      </c>
      <c r="Y20" s="15" t="n">
        <v>30</v>
      </c>
      <c r="Z20" s="15" t="n">
        <v>35</v>
      </c>
      <c r="AA20" s="15" t="n">
        <v>39</v>
      </c>
      <c r="AB20" s="15" t="n">
        <v>24</v>
      </c>
      <c r="AC20" s="15" t="n">
        <v>27</v>
      </c>
      <c r="AD20" s="15" t="n">
        <v>29</v>
      </c>
      <c r="AE20" s="15" t="n">
        <v>31</v>
      </c>
      <c r="AF20" s="15" t="n">
        <v>32</v>
      </c>
      <c r="AG20" s="15" t="n">
        <v>25</v>
      </c>
      <c r="AH20" s="15" t="n">
        <v>24</v>
      </c>
      <c r="AI20" s="15" t="n">
        <v>28</v>
      </c>
      <c r="AJ20" s="15" t="n">
        <v>29</v>
      </c>
      <c r="AK20" s="15" t="n">
        <v>27</v>
      </c>
      <c r="AL20" s="15" t="n">
        <v>31</v>
      </c>
      <c r="AM20" s="15" t="n">
        <v>39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s">
        <v>70</v>
      </c>
      <c r="D21" s="15" t="n">
        <v>30</v>
      </c>
      <c r="E21" s="15" t="n">
        <v>30</v>
      </c>
      <c r="F21" s="15" t="n">
        <v>33</v>
      </c>
      <c r="G21" s="15" t="n">
        <v>40</v>
      </c>
      <c r="H21" s="15" t="n">
        <v>37</v>
      </c>
      <c r="I21" s="15" t="n">
        <v>31</v>
      </c>
      <c r="J21" s="15" t="n">
        <v>24</v>
      </c>
      <c r="K21" s="15" t="n">
        <v>28</v>
      </c>
      <c r="L21" s="15" t="n">
        <v>27</v>
      </c>
      <c r="M21" s="15" t="n">
        <v>31</v>
      </c>
      <c r="N21" s="15" t="n">
        <v>40</v>
      </c>
      <c r="O21" s="15" t="n">
        <v>47</v>
      </c>
      <c r="P21" s="15" t="n">
        <v>31</v>
      </c>
      <c r="Q21" s="15" t="n">
        <v>29</v>
      </c>
      <c r="R21" s="15" t="n">
        <v>34</v>
      </c>
      <c r="S21" s="15" t="n">
        <v>35</v>
      </c>
      <c r="T21" s="15" t="n">
        <v>35</v>
      </c>
      <c r="U21" s="15" t="n">
        <v>29</v>
      </c>
      <c r="V21" s="15" t="n">
        <v>31</v>
      </c>
      <c r="W21" s="15" t="n">
        <v>30</v>
      </c>
      <c r="X21" s="15" t="n">
        <v>33</v>
      </c>
      <c r="Y21" s="15" t="n">
        <v>32</v>
      </c>
      <c r="Z21" s="15" t="n">
        <v>43</v>
      </c>
      <c r="AA21" s="15" t="n">
        <v>53</v>
      </c>
      <c r="AB21" s="15" t="n">
        <v>27</v>
      </c>
      <c r="AC21" s="15" t="n">
        <v>31</v>
      </c>
      <c r="AD21" s="15" t="n">
        <v>40</v>
      </c>
      <c r="AE21" s="15" t="n">
        <v>37</v>
      </c>
      <c r="AF21" s="15" t="n">
        <v>41</v>
      </c>
      <c r="AG21" s="15" t="n">
        <v>30</v>
      </c>
      <c r="AH21" s="15" t="n">
        <v>28</v>
      </c>
      <c r="AI21" s="15" t="n">
        <v>32</v>
      </c>
      <c r="AJ21" s="15" t="n">
        <v>36</v>
      </c>
      <c r="AK21" s="15" t="n">
        <v>38</v>
      </c>
      <c r="AL21" s="15" t="n">
        <v>45</v>
      </c>
      <c r="AM21" s="15" t="n">
        <v>51</v>
      </c>
    </row>
    <row r="23" customFormat="false" ht="15" hidden="false" customHeight="false" outlineLevel="0" collapsed="false">
      <c r="A23" s="16" t="s">
        <v>77</v>
      </c>
      <c r="D23" s="17" t="n">
        <f aca="false">SUM(D2:D21)</f>
        <v>932</v>
      </c>
      <c r="E23" s="17" t="n">
        <f aca="false">SUM(E2:E21)</f>
        <v>858</v>
      </c>
      <c r="F23" s="17" t="n">
        <f aca="false">SUM(F2:F21)</f>
        <v>1010</v>
      </c>
      <c r="G23" s="17" t="n">
        <f aca="false">SUM(G2:G21)</f>
        <v>1060</v>
      </c>
      <c r="H23" s="17" t="n">
        <f aca="false">SUM(H2:H21)</f>
        <v>1151</v>
      </c>
      <c r="I23" s="17" t="n">
        <f aca="false">SUM(I2:I21)</f>
        <v>1100</v>
      </c>
      <c r="J23" s="17" t="n">
        <f aca="false">SUM(J2:J21)</f>
        <v>1040</v>
      </c>
      <c r="K23" s="17" t="n">
        <f aca="false">SUM(K2:K21)</f>
        <v>1050</v>
      </c>
      <c r="L23" s="17" t="n">
        <f aca="false">SUM(L2:L21)</f>
        <v>1051</v>
      </c>
      <c r="M23" s="17" t="n">
        <f aca="false">SUM(M2:M21)</f>
        <v>1077</v>
      </c>
      <c r="N23" s="17" t="n">
        <f aca="false">SUM(N2:N21)</f>
        <v>1261</v>
      </c>
      <c r="O23" s="17" t="n">
        <f aca="false">SUM(O2:O21)</f>
        <v>1371</v>
      </c>
      <c r="P23" s="17" t="n">
        <f aca="false">SUM(P2:P21)</f>
        <v>1038</v>
      </c>
      <c r="Q23" s="17" t="n">
        <f aca="false">SUM(Q2:Q21)</f>
        <v>925</v>
      </c>
      <c r="R23" s="17" t="n">
        <f aca="false">SUM(R2:R21)</f>
        <v>1059</v>
      </c>
      <c r="S23" s="17" t="n">
        <f aca="false">SUM(S2:S21)</f>
        <v>1151</v>
      </c>
      <c r="T23" s="17" t="n">
        <f aca="false">SUM(T2:T21)</f>
        <v>1173</v>
      </c>
      <c r="U23" s="17" t="n">
        <f aca="false">SUM(U2:U21)</f>
        <v>1182</v>
      </c>
      <c r="V23" s="17" t="n">
        <f aca="false">SUM(V2:V21)</f>
        <v>1142</v>
      </c>
      <c r="W23" s="17" t="n">
        <f aca="false">SUM(W2:W21)</f>
        <v>1114</v>
      </c>
      <c r="X23" s="17" t="n">
        <f aca="false">SUM(X2:X21)</f>
        <v>1119</v>
      </c>
      <c r="Y23" s="17" t="n">
        <f aca="false">SUM(Y2:Y21)</f>
        <v>1187</v>
      </c>
      <c r="Z23" s="17" t="n">
        <f aca="false">SUM(Z2:Z21)</f>
        <v>1398</v>
      </c>
      <c r="AA23" s="17" t="n">
        <f aca="false">SUM(AA2:AA21)</f>
        <v>1529</v>
      </c>
      <c r="AB23" s="17" t="n">
        <f aca="false">SUM(AB2:AB21)</f>
        <v>1144</v>
      </c>
      <c r="AC23" s="17" t="n">
        <f aca="false">SUM(AC2:AC21)</f>
        <v>1003</v>
      </c>
      <c r="AD23" s="17" t="n">
        <f aca="false">SUM(AD2:AD21)</f>
        <v>1153</v>
      </c>
      <c r="AE23" s="17" t="n">
        <f aca="false">SUM(AE2:AE21)</f>
        <v>1239</v>
      </c>
      <c r="AF23" s="17" t="n">
        <f aca="false">SUM(AF2:AF21)</f>
        <v>1300</v>
      </c>
      <c r="AG23" s="17" t="n">
        <f aca="false">SUM(AG2:AG21)</f>
        <v>1325</v>
      </c>
      <c r="AH23" s="17" t="n">
        <f aca="false">SUM(AH2:AH21)</f>
        <v>1217</v>
      </c>
      <c r="AI23" s="17" t="n">
        <f aca="false">SUM(AI2:AI21)</f>
        <v>1231</v>
      </c>
      <c r="AJ23" s="17" t="n">
        <f aca="false">SUM(AJ2:AJ21)</f>
        <v>1235</v>
      </c>
      <c r="AK23" s="17" t="n">
        <f aca="false">SUM(AK2:AK21)</f>
        <v>1284</v>
      </c>
      <c r="AL23" s="17" t="n">
        <f aca="false">SUM(AL2:AL21)</f>
        <v>1469</v>
      </c>
      <c r="AM23" s="17" t="n">
        <f aca="false">SUM(AM2:AM21)</f>
        <v>1666</v>
      </c>
    </row>
    <row r="24" customFormat="false" ht="15" hidden="false" customHeight="false" outlineLevel="0" collapsed="false">
      <c r="A24" s="18" t="s">
        <v>78</v>
      </c>
      <c r="AH24" s="19" t="n">
        <f aca="false">'Forecast Validation'!I23</f>
        <v>1265.851096242</v>
      </c>
      <c r="AI24" s="19" t="n">
        <f aca="false">'Forecast Validation'!J23</f>
        <v>1257.94987543668</v>
      </c>
      <c r="AJ24" s="19" t="n">
        <f aca="false">'Forecast Validation'!K23</f>
        <v>1265.95676386389</v>
      </c>
      <c r="AK24" s="19" t="n">
        <f aca="false">'Forecast Validation'!L23</f>
        <v>1294.81351415643</v>
      </c>
      <c r="AL24" s="19" t="n">
        <f aca="false">'Forecast Validation'!M23</f>
        <v>1492.54900016224</v>
      </c>
      <c r="AM24" s="19" t="n">
        <f aca="false">'Forecast Validation'!N23</f>
        <v>1564.71559572441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8" min="3" style="0" width="8"/>
  </cols>
  <sheetData>
    <row r="1" customFormat="false" ht="15" hidden="false" customHeight="false" outlineLevel="0" collapsed="false">
      <c r="A1" s="13" t="s">
        <v>29</v>
      </c>
      <c r="B1" s="13" t="s">
        <v>30</v>
      </c>
      <c r="C1" s="14" t="n">
        <v>44927</v>
      </c>
      <c r="D1" s="14" t="n">
        <v>44958</v>
      </c>
      <c r="E1" s="14" t="n">
        <v>44986</v>
      </c>
      <c r="F1" s="14" t="n">
        <v>45017</v>
      </c>
      <c r="G1" s="14" t="n">
        <v>45047</v>
      </c>
      <c r="H1" s="14" t="n">
        <v>45078</v>
      </c>
      <c r="I1" s="14" t="n">
        <v>45108</v>
      </c>
      <c r="J1" s="14" t="n">
        <v>45139</v>
      </c>
      <c r="K1" s="14" t="n">
        <v>45170</v>
      </c>
      <c r="L1" s="14" t="n">
        <v>45200</v>
      </c>
      <c r="M1" s="14" t="n">
        <v>45231</v>
      </c>
      <c r="N1" s="14" t="n">
        <v>45261</v>
      </c>
      <c r="O1" s="14" t="n">
        <v>45292</v>
      </c>
      <c r="P1" s="14" t="n">
        <v>45323</v>
      </c>
      <c r="Q1" s="14" t="n">
        <v>45352</v>
      </c>
      <c r="R1" s="14" t="n">
        <v>45383</v>
      </c>
      <c r="S1" s="14" t="n">
        <v>45413</v>
      </c>
      <c r="T1" s="14" t="n">
        <v>45444</v>
      </c>
      <c r="U1" s="14" t="n">
        <v>45474</v>
      </c>
      <c r="V1" s="14" t="n">
        <v>45505</v>
      </c>
      <c r="W1" s="14" t="n">
        <v>45536</v>
      </c>
      <c r="X1" s="14" t="n">
        <v>45566</v>
      </c>
      <c r="Y1" s="14" t="n">
        <v>45597</v>
      </c>
      <c r="Z1" s="14" t="n">
        <v>45627</v>
      </c>
      <c r="AA1" s="14" t="n">
        <v>45658</v>
      </c>
      <c r="AB1" s="14" t="n">
        <v>45689</v>
      </c>
      <c r="AC1" s="14" t="n">
        <v>45717</v>
      </c>
      <c r="AD1" s="14" t="n">
        <v>45748</v>
      </c>
      <c r="AE1" s="14" t="n">
        <v>45778</v>
      </c>
      <c r="AF1" s="14" t="n">
        <v>45809</v>
      </c>
      <c r="AG1" s="14" t="n">
        <v>45839</v>
      </c>
      <c r="AH1" s="14" t="n">
        <v>45870</v>
      </c>
      <c r="AI1" s="14" t="n">
        <v>45901</v>
      </c>
      <c r="AJ1" s="14" t="n">
        <v>45931</v>
      </c>
      <c r="AK1" s="14" t="n">
        <v>45962</v>
      </c>
      <c r="AL1" s="14" t="n">
        <v>45992</v>
      </c>
    </row>
    <row r="2" customFormat="false" ht="15" hidden="false" customHeight="false" outlineLevel="0" collapsed="false">
      <c r="A2" s="0" t="str">
        <f aca="false">'Historical Demand'!A2</f>
        <v>APP-101</v>
      </c>
      <c r="B2" s="0" t="str">
        <f aca="false">'Historical Demand'!B2</f>
        <v>Classic Denim Jacket</v>
      </c>
      <c r="C2" s="20" t="s">
        <v>79</v>
      </c>
      <c r="D2" s="20" t="s">
        <v>79</v>
      </c>
      <c r="E2" s="21" t="n">
        <f aca="false">AVERAGE('Historical Demand'!D2:F2)</f>
        <v>45.3333333333333</v>
      </c>
      <c r="F2" s="21" t="n">
        <f aca="false">AVERAGE('Historical Demand'!E2:G2)</f>
        <v>48.6666666666667</v>
      </c>
      <c r="G2" s="21" t="n">
        <f aca="false">AVERAGE('Historical Demand'!F2:H2)</f>
        <v>56</v>
      </c>
      <c r="H2" s="21" t="n">
        <f aca="false">AVERAGE('Historical Demand'!G2:I2)</f>
        <v>56.6666666666667</v>
      </c>
      <c r="I2" s="21" t="n">
        <f aca="false">AVERAGE('Historical Demand'!H2:J2)</f>
        <v>54.6666666666667</v>
      </c>
      <c r="J2" s="21" t="n">
        <f aca="false">AVERAGE('Historical Demand'!I2:K2)</f>
        <v>53</v>
      </c>
      <c r="K2" s="21" t="n">
        <f aca="false">AVERAGE('Historical Demand'!J2:L2)</f>
        <v>57.6666666666667</v>
      </c>
      <c r="L2" s="21" t="n">
        <f aca="false">AVERAGE('Historical Demand'!K2:M2)</f>
        <v>67</v>
      </c>
      <c r="M2" s="21" t="n">
        <f aca="false">AVERAGE('Historical Demand'!L2:N2)</f>
        <v>73.3333333333333</v>
      </c>
      <c r="N2" s="21" t="n">
        <f aca="false">AVERAGE('Historical Demand'!M2:O2)</f>
        <v>75.3333333333333</v>
      </c>
      <c r="O2" s="21" t="n">
        <f aca="false">AVERAGE('Historical Demand'!N2:P2)</f>
        <v>67</v>
      </c>
      <c r="P2" s="21" t="n">
        <f aca="false">AVERAGE('Historical Demand'!O2:Q2)</f>
        <v>56.3333333333333</v>
      </c>
      <c r="Q2" s="21" t="n">
        <f aca="false">AVERAGE('Historical Demand'!P2:R2)</f>
        <v>54</v>
      </c>
      <c r="R2" s="21" t="n">
        <f aca="false">AVERAGE('Historical Demand'!Q2:S2)</f>
        <v>57.3333333333333</v>
      </c>
      <c r="S2" s="21" t="n">
        <f aca="false">AVERAGE('Historical Demand'!R2:T2)</f>
        <v>63.6666666666667</v>
      </c>
      <c r="T2" s="21" t="n">
        <f aca="false">AVERAGE('Historical Demand'!S2:U2)</f>
        <v>63</v>
      </c>
      <c r="U2" s="21" t="n">
        <f aca="false">AVERAGE('Historical Demand'!T2:V2)</f>
        <v>59.3333333333333</v>
      </c>
      <c r="V2" s="21" t="n">
        <f aca="false">AVERAGE('Historical Demand'!U2:W2)</f>
        <v>59</v>
      </c>
      <c r="W2" s="21" t="n">
        <f aca="false">AVERAGE('Historical Demand'!V2:X2)</f>
        <v>64</v>
      </c>
      <c r="X2" s="21" t="n">
        <f aca="false">AVERAGE('Historical Demand'!W2:Y2)</f>
        <v>71.6666666666667</v>
      </c>
      <c r="Y2" s="21" t="n">
        <f aca="false">AVERAGE('Historical Demand'!X2:Z2)</f>
        <v>82</v>
      </c>
      <c r="Z2" s="21" t="n">
        <f aca="false">AVERAGE('Historical Demand'!Y2:AA2)</f>
        <v>83</v>
      </c>
      <c r="AA2" s="21" t="n">
        <f aca="false">AVERAGE('Historical Demand'!Z2:AB2)</f>
        <v>78</v>
      </c>
      <c r="AB2" s="21" t="n">
        <f aca="false">AVERAGE('Historical Demand'!AA2:AC2)</f>
        <v>64.3333333333333</v>
      </c>
      <c r="AC2" s="21" t="n">
        <f aca="false">AVERAGE('Historical Demand'!AB2:AD2)</f>
        <v>58.6666666666667</v>
      </c>
      <c r="AD2" s="21" t="n">
        <f aca="false">AVERAGE('Historical Demand'!AC2:AE2)</f>
        <v>61.3333333333333</v>
      </c>
      <c r="AE2" s="21" t="n">
        <f aca="false">AVERAGE('Historical Demand'!AD2:AF2)</f>
        <v>65</v>
      </c>
      <c r="AF2" s="21" t="n">
        <f aca="false">AVERAGE('Historical Demand'!AE2:AG2)</f>
        <v>64.3333333333333</v>
      </c>
      <c r="AG2" s="21" t="n">
        <f aca="false">AVERAGE('Historical Demand'!AF2:AH2)</f>
        <v>65</v>
      </c>
      <c r="AH2" s="21" t="n">
        <f aca="false">AVERAGE('Historical Demand'!AG2:AI2)</f>
        <v>66</v>
      </c>
      <c r="AI2" s="21" t="n">
        <f aca="false">AVERAGE('Historical Demand'!AH2:AJ2)</f>
        <v>71.3333333333333</v>
      </c>
      <c r="AJ2" s="21" t="n">
        <f aca="false">AVERAGE('Historical Demand'!AI2:AK2)</f>
        <v>79.3333333333333</v>
      </c>
      <c r="AK2" s="21" t="n">
        <f aca="false">AVERAGE('Historical Demand'!AJ2:AL2)</f>
        <v>89</v>
      </c>
      <c r="AL2" s="21" t="n">
        <f aca="false">AVERAGE('Historical Demand'!AK2:AM2)</f>
        <v>95.6666666666667</v>
      </c>
    </row>
    <row r="3" customFormat="false" ht="15" hidden="false" customHeight="false" outlineLevel="0" collapsed="false">
      <c r="A3" s="0" t="str">
        <f aca="false">'Historical Demand'!A3</f>
        <v>APP-102</v>
      </c>
      <c r="B3" s="0" t="str">
        <f aca="false">'Historical Demand'!B3</f>
        <v>Cotton Crew T-Shirt</v>
      </c>
      <c r="C3" s="20" t="s">
        <v>79</v>
      </c>
      <c r="D3" s="20" t="s">
        <v>79</v>
      </c>
      <c r="E3" s="21" t="n">
        <f aca="false">AVERAGE('Historical Demand'!D3:F3)</f>
        <v>83</v>
      </c>
      <c r="F3" s="21" t="n">
        <f aca="false">AVERAGE('Historical Demand'!E3:G3)</f>
        <v>88</v>
      </c>
      <c r="G3" s="21" t="n">
        <f aca="false">AVERAGE('Historical Demand'!F3:H3)</f>
        <v>100.333333333333</v>
      </c>
      <c r="H3" s="21" t="n">
        <f aca="false">AVERAGE('Historical Demand'!G3:I3)</f>
        <v>98.3333333333333</v>
      </c>
      <c r="I3" s="21" t="n">
        <f aca="false">AVERAGE('Historical Demand'!H3:J3)</f>
        <v>100</v>
      </c>
      <c r="J3" s="21" t="n">
        <f aca="false">AVERAGE('Historical Demand'!I3:K3)</f>
        <v>98.3333333333333</v>
      </c>
      <c r="K3" s="21" t="n">
        <f aca="false">AVERAGE('Historical Demand'!J3:L3)</f>
        <v>104.333333333333</v>
      </c>
      <c r="L3" s="21" t="n">
        <f aca="false">AVERAGE('Historical Demand'!K3:M3)</f>
        <v>106.666666666667</v>
      </c>
      <c r="M3" s="21" t="n">
        <f aca="false">AVERAGE('Historical Demand'!L3:N3)</f>
        <v>110.333333333333</v>
      </c>
      <c r="N3" s="21" t="n">
        <f aca="false">AVERAGE('Historical Demand'!M3:O3)</f>
        <v>112.333333333333</v>
      </c>
      <c r="O3" s="21" t="n">
        <f aca="false">AVERAGE('Historical Demand'!N3:P3)</f>
        <v>107.666666666667</v>
      </c>
      <c r="P3" s="21" t="n">
        <f aca="false">AVERAGE('Historical Demand'!O3:Q3)</f>
        <v>93.6666666666667</v>
      </c>
      <c r="Q3" s="21" t="n">
        <f aca="false">AVERAGE('Historical Demand'!P3:R3)</f>
        <v>85.6666666666667</v>
      </c>
      <c r="R3" s="21" t="n">
        <f aca="false">AVERAGE('Historical Demand'!Q3:S3)</f>
        <v>87</v>
      </c>
      <c r="S3" s="21" t="n">
        <f aca="false">AVERAGE('Historical Demand'!R3:T3)</f>
        <v>97</v>
      </c>
      <c r="T3" s="21" t="n">
        <f aca="false">AVERAGE('Historical Demand'!S3:U3)</f>
        <v>94</v>
      </c>
      <c r="U3" s="21" t="n">
        <f aca="false">AVERAGE('Historical Demand'!T3:V3)</f>
        <v>91.6666666666667</v>
      </c>
      <c r="V3" s="21" t="n">
        <f aca="false">AVERAGE('Historical Demand'!U3:W3)</f>
        <v>90.3333333333333</v>
      </c>
      <c r="W3" s="21" t="n">
        <f aca="false">AVERAGE('Historical Demand'!V3:X3)</f>
        <v>97</v>
      </c>
      <c r="X3" s="21" t="n">
        <f aca="false">AVERAGE('Historical Demand'!W3:Y3)</f>
        <v>112</v>
      </c>
      <c r="Y3" s="21" t="n">
        <f aca="false">AVERAGE('Historical Demand'!X3:Z3)</f>
        <v>119.666666666667</v>
      </c>
      <c r="Z3" s="21" t="n">
        <f aca="false">AVERAGE('Historical Demand'!Y3:AA3)</f>
        <v>123.666666666667</v>
      </c>
      <c r="AA3" s="21" t="n">
        <f aca="false">AVERAGE('Historical Demand'!Z3:AB3)</f>
        <v>107.333333333333</v>
      </c>
      <c r="AB3" s="21" t="n">
        <f aca="false">AVERAGE('Historical Demand'!AA3:AC3)</f>
        <v>94.3333333333333</v>
      </c>
      <c r="AC3" s="21" t="n">
        <f aca="false">AVERAGE('Historical Demand'!AB3:AD3)</f>
        <v>91</v>
      </c>
      <c r="AD3" s="21" t="n">
        <f aca="false">AVERAGE('Historical Demand'!AC3:AE3)</f>
        <v>98.6666666666667</v>
      </c>
      <c r="AE3" s="21" t="n">
        <f aca="false">AVERAGE('Historical Demand'!AD3:AF3)</f>
        <v>110.333333333333</v>
      </c>
      <c r="AF3" s="21" t="n">
        <f aca="false">AVERAGE('Historical Demand'!AE3:AG3)</f>
        <v>112</v>
      </c>
      <c r="AG3" s="21" t="n">
        <f aca="false">AVERAGE('Historical Demand'!AF3:AH3)</f>
        <v>105.666666666667</v>
      </c>
      <c r="AH3" s="21" t="n">
        <f aca="false">AVERAGE('Historical Demand'!AG3:AI3)</f>
        <v>103.666666666667</v>
      </c>
      <c r="AI3" s="21" t="n">
        <f aca="false">AVERAGE('Historical Demand'!AH3:AJ3)</f>
        <v>107</v>
      </c>
      <c r="AJ3" s="21" t="n">
        <f aca="false">AVERAGE('Historical Demand'!AI3:AK3)</f>
        <v>123.666666666667</v>
      </c>
      <c r="AK3" s="21" t="n">
        <f aca="false">AVERAGE('Historical Demand'!AJ3:AL3)</f>
        <v>135</v>
      </c>
      <c r="AL3" s="21" t="n">
        <f aca="false">AVERAGE('Historical Demand'!AK3:AM3)</f>
        <v>137.333333333333</v>
      </c>
    </row>
    <row r="4" customFormat="false" ht="15" hidden="false" customHeight="false" outlineLevel="0" collapsed="false">
      <c r="A4" s="0" t="str">
        <f aca="false">'Historical Demand'!A4</f>
        <v>APP-103</v>
      </c>
      <c r="B4" s="0" t="str">
        <f aca="false">'Historical Demand'!B4</f>
        <v>Fleece Pullover Hoodie</v>
      </c>
      <c r="C4" s="20" t="s">
        <v>79</v>
      </c>
      <c r="D4" s="20" t="s">
        <v>79</v>
      </c>
      <c r="E4" s="21" t="n">
        <f aca="false">AVERAGE('Historical Demand'!D4:F4)</f>
        <v>47.6666666666667</v>
      </c>
      <c r="F4" s="21" t="n">
        <f aca="false">AVERAGE('Historical Demand'!E4:G4)</f>
        <v>52</v>
      </c>
      <c r="G4" s="21" t="n">
        <f aca="false">AVERAGE('Historical Demand'!F4:H4)</f>
        <v>57</v>
      </c>
      <c r="H4" s="21" t="n">
        <f aca="false">AVERAGE('Historical Demand'!G4:I4)</f>
        <v>57.6666666666667</v>
      </c>
      <c r="I4" s="21" t="n">
        <f aca="false">AVERAGE('Historical Demand'!H4:J4)</f>
        <v>57</v>
      </c>
      <c r="J4" s="21" t="n">
        <f aca="false">AVERAGE('Historical Demand'!I4:K4)</f>
        <v>58.3333333333333</v>
      </c>
      <c r="K4" s="21" t="n">
        <f aca="false">AVERAGE('Historical Demand'!J4:L4)</f>
        <v>64.6666666666667</v>
      </c>
      <c r="L4" s="21" t="n">
        <f aca="false">AVERAGE('Historical Demand'!K4:M4)</f>
        <v>73.3333333333333</v>
      </c>
      <c r="M4" s="21" t="n">
        <f aca="false">AVERAGE('Historical Demand'!L4:N4)</f>
        <v>77.6666666666667</v>
      </c>
      <c r="N4" s="21" t="n">
        <f aca="false">AVERAGE('Historical Demand'!M4:O4)</f>
        <v>80.6666666666667</v>
      </c>
      <c r="O4" s="21" t="n">
        <f aca="false">AVERAGE('Historical Demand'!N4:P4)</f>
        <v>70</v>
      </c>
      <c r="P4" s="21" t="n">
        <f aca="false">AVERAGE('Historical Demand'!O4:Q4)</f>
        <v>60.3333333333333</v>
      </c>
      <c r="Q4" s="21" t="n">
        <f aca="false">AVERAGE('Historical Demand'!P4:R4)</f>
        <v>52.3333333333333</v>
      </c>
      <c r="R4" s="21" t="n">
        <f aca="false">AVERAGE('Historical Demand'!Q4:S4)</f>
        <v>59</v>
      </c>
      <c r="S4" s="21" t="n">
        <f aca="false">AVERAGE('Historical Demand'!R4:T4)</f>
        <v>64</v>
      </c>
      <c r="T4" s="21" t="n">
        <f aca="false">AVERAGE('Historical Demand'!S4:U4)</f>
        <v>64</v>
      </c>
      <c r="U4" s="21" t="n">
        <f aca="false">AVERAGE('Historical Demand'!T4:V4)</f>
        <v>60</v>
      </c>
      <c r="V4" s="21" t="n">
        <f aca="false">AVERAGE('Historical Demand'!U4:W4)</f>
        <v>62.3333333333333</v>
      </c>
      <c r="W4" s="21" t="n">
        <f aca="false">AVERAGE('Historical Demand'!V4:X4)</f>
        <v>67</v>
      </c>
      <c r="X4" s="21" t="n">
        <f aca="false">AVERAGE('Historical Demand'!W4:Y4)</f>
        <v>74.3333333333333</v>
      </c>
      <c r="Y4" s="21" t="n">
        <f aca="false">AVERAGE('Historical Demand'!X4:Z4)</f>
        <v>80.3333333333333</v>
      </c>
      <c r="Z4" s="21" t="n">
        <f aca="false">AVERAGE('Historical Demand'!Y4:AA4)</f>
        <v>81</v>
      </c>
      <c r="AA4" s="21" t="n">
        <f aca="false">AVERAGE('Historical Demand'!Z4:AB4)</f>
        <v>75.6666666666667</v>
      </c>
      <c r="AB4" s="21" t="n">
        <f aca="false">AVERAGE('Historical Demand'!AA4:AC4)</f>
        <v>67.3333333333333</v>
      </c>
      <c r="AC4" s="21" t="n">
        <f aca="false">AVERAGE('Historical Demand'!AB4:AD4)</f>
        <v>66</v>
      </c>
      <c r="AD4" s="21" t="n">
        <f aca="false">AVERAGE('Historical Demand'!AC4:AE4)</f>
        <v>68.6666666666667</v>
      </c>
      <c r="AE4" s="21" t="n">
        <f aca="false">AVERAGE('Historical Demand'!AD4:AF4)</f>
        <v>72.6666666666667</v>
      </c>
      <c r="AF4" s="21" t="n">
        <f aca="false">AVERAGE('Historical Demand'!AE4:AG4)</f>
        <v>71</v>
      </c>
      <c r="AG4" s="21" t="n">
        <f aca="false">AVERAGE('Historical Demand'!AF4:AH4)</f>
        <v>69.3333333333333</v>
      </c>
      <c r="AH4" s="21" t="n">
        <f aca="false">AVERAGE('Historical Demand'!AG4:AI4)</f>
        <v>68.6666666666667</v>
      </c>
      <c r="AI4" s="21" t="n">
        <f aca="false">AVERAGE('Historical Demand'!AH4:AJ4)</f>
        <v>72.3333333333333</v>
      </c>
      <c r="AJ4" s="21" t="n">
        <f aca="false">AVERAGE('Historical Demand'!AI4:AK4)</f>
        <v>82</v>
      </c>
      <c r="AK4" s="21" t="n">
        <f aca="false">AVERAGE('Historical Demand'!AJ4:AL4)</f>
        <v>92</v>
      </c>
      <c r="AL4" s="21" t="n">
        <f aca="false">AVERAGE('Historical Demand'!AK4:AM4)</f>
        <v>94.3333333333333</v>
      </c>
    </row>
    <row r="5" customFormat="false" ht="15" hidden="false" customHeight="false" outlineLevel="0" collapsed="false">
      <c r="A5" s="0" t="str">
        <f aca="false">'Historical Demand'!A5</f>
        <v>APP-104</v>
      </c>
      <c r="B5" s="0" t="str">
        <f aca="false">'Historical Demand'!B5</f>
        <v>Slim Fit Chinos</v>
      </c>
      <c r="C5" s="20" t="s">
        <v>79</v>
      </c>
      <c r="D5" s="20" t="s">
        <v>79</v>
      </c>
      <c r="E5" s="21" t="n">
        <f aca="false">AVERAGE('Historical Demand'!D5:F5)</f>
        <v>42.3333333333333</v>
      </c>
      <c r="F5" s="21" t="n">
        <f aca="false">AVERAGE('Historical Demand'!E5:G5)</f>
        <v>44</v>
      </c>
      <c r="G5" s="21" t="n">
        <f aca="false">AVERAGE('Historical Demand'!F5:H5)</f>
        <v>48.6666666666667</v>
      </c>
      <c r="H5" s="21" t="n">
        <f aca="false">AVERAGE('Historical Demand'!G5:I5)</f>
        <v>48.3333333333333</v>
      </c>
      <c r="I5" s="21" t="n">
        <f aca="false">AVERAGE('Historical Demand'!H5:J5)</f>
        <v>46.6666666666667</v>
      </c>
      <c r="J5" s="21" t="n">
        <f aca="false">AVERAGE('Historical Demand'!I5:K5)</f>
        <v>46</v>
      </c>
      <c r="K5" s="21" t="n">
        <f aca="false">AVERAGE('Historical Demand'!J5:L5)</f>
        <v>49.3333333333333</v>
      </c>
      <c r="L5" s="21" t="n">
        <f aca="false">AVERAGE('Historical Demand'!K5:M5)</f>
        <v>54.6666666666667</v>
      </c>
      <c r="M5" s="21" t="n">
        <f aca="false">AVERAGE('Historical Demand'!L5:N5)</f>
        <v>61.3333333333333</v>
      </c>
      <c r="N5" s="21" t="n">
        <f aca="false">AVERAGE('Historical Demand'!M5:O5)</f>
        <v>66</v>
      </c>
      <c r="O5" s="21" t="n">
        <f aca="false">AVERAGE('Historical Demand'!N5:P5)</f>
        <v>61.3333333333333</v>
      </c>
      <c r="P5" s="21" t="n">
        <f aca="false">AVERAGE('Historical Demand'!O5:Q5)</f>
        <v>51</v>
      </c>
      <c r="Q5" s="21" t="n">
        <f aca="false">AVERAGE('Historical Demand'!P5:R5)</f>
        <v>47</v>
      </c>
      <c r="R5" s="21" t="n">
        <f aca="false">AVERAGE('Historical Demand'!Q5:S5)</f>
        <v>48.6666666666667</v>
      </c>
      <c r="S5" s="21" t="n">
        <f aca="false">AVERAGE('Historical Demand'!R5:T5)</f>
        <v>54.6666666666667</v>
      </c>
      <c r="T5" s="21" t="n">
        <f aca="false">AVERAGE('Historical Demand'!S5:U5)</f>
        <v>52.6666666666667</v>
      </c>
      <c r="U5" s="21" t="n">
        <f aca="false">AVERAGE('Historical Demand'!T5:V5)</f>
        <v>52</v>
      </c>
      <c r="V5" s="21" t="n">
        <f aca="false">AVERAGE('Historical Demand'!U5:W5)</f>
        <v>49.3333333333333</v>
      </c>
      <c r="W5" s="21" t="n">
        <f aca="false">AVERAGE('Historical Demand'!V5:X5)</f>
        <v>51.6666666666667</v>
      </c>
      <c r="X5" s="21" t="n">
        <f aca="false">AVERAGE('Historical Demand'!W5:Y5)</f>
        <v>57.6666666666667</v>
      </c>
      <c r="Y5" s="21" t="n">
        <f aca="false">AVERAGE('Historical Demand'!X5:Z5)</f>
        <v>64.3333333333333</v>
      </c>
      <c r="Z5" s="21" t="n">
        <f aca="false">AVERAGE('Historical Demand'!Y5:AA5)</f>
        <v>70</v>
      </c>
      <c r="AA5" s="21" t="n">
        <f aca="false">AVERAGE('Historical Demand'!Z5:AB5)</f>
        <v>63.6666666666667</v>
      </c>
      <c r="AB5" s="21" t="n">
        <f aca="false">AVERAGE('Historical Demand'!AA5:AC5)</f>
        <v>54.3333333333333</v>
      </c>
      <c r="AC5" s="21" t="n">
        <f aca="false">AVERAGE('Historical Demand'!AB5:AD5)</f>
        <v>47</v>
      </c>
      <c r="AD5" s="21" t="n">
        <f aca="false">AVERAGE('Historical Demand'!AC5:AE5)</f>
        <v>52</v>
      </c>
      <c r="AE5" s="21" t="n">
        <f aca="false">AVERAGE('Historical Demand'!AD5:AF5)</f>
        <v>56.3333333333333</v>
      </c>
      <c r="AF5" s="21" t="n">
        <f aca="false">AVERAGE('Historical Demand'!AE5:AG5)</f>
        <v>58</v>
      </c>
      <c r="AG5" s="21" t="n">
        <f aca="false">AVERAGE('Historical Demand'!AF5:AH5)</f>
        <v>54.3333333333333</v>
      </c>
      <c r="AH5" s="21" t="n">
        <f aca="false">AVERAGE('Historical Demand'!AG5:AI5)</f>
        <v>55.3333333333333</v>
      </c>
      <c r="AI5" s="21" t="n">
        <f aca="false">AVERAGE('Historical Demand'!AH5:AJ5)</f>
        <v>56</v>
      </c>
      <c r="AJ5" s="21" t="n">
        <f aca="false">AVERAGE('Historical Demand'!AI5:AK5)</f>
        <v>62</v>
      </c>
      <c r="AK5" s="21" t="n">
        <f aca="false">AVERAGE('Historical Demand'!AJ5:AL5)</f>
        <v>65</v>
      </c>
      <c r="AL5" s="21" t="n">
        <f aca="false">AVERAGE('Historical Demand'!AK5:AM5)</f>
        <v>69.6666666666667</v>
      </c>
    </row>
    <row r="6" customFormat="false" ht="15" hidden="false" customHeight="false" outlineLevel="0" collapsed="false">
      <c r="A6" s="0" t="str">
        <f aca="false">'Historical Demand'!A6</f>
        <v>FTW-201</v>
      </c>
      <c r="B6" s="0" t="str">
        <f aca="false">'Historical Demand'!B6</f>
        <v>Running Sneakers</v>
      </c>
      <c r="C6" s="20" t="s">
        <v>79</v>
      </c>
      <c r="D6" s="20" t="s">
        <v>79</v>
      </c>
      <c r="E6" s="21" t="n">
        <f aca="false">AVERAGE('Historical Demand'!D6:F6)</f>
        <v>87.6666666666667</v>
      </c>
      <c r="F6" s="21" t="n">
        <f aca="false">AVERAGE('Historical Demand'!E6:G6)</f>
        <v>97.6666666666667</v>
      </c>
      <c r="G6" s="21" t="n">
        <f aca="false">AVERAGE('Historical Demand'!F6:H6)</f>
        <v>117</v>
      </c>
      <c r="H6" s="21" t="n">
        <f aca="false">AVERAGE('Historical Demand'!G6:I6)</f>
        <v>122</v>
      </c>
      <c r="I6" s="21" t="n">
        <f aca="false">AVERAGE('Historical Demand'!H6:J6)</f>
        <v>123.666666666667</v>
      </c>
      <c r="J6" s="21" t="n">
        <f aca="false">AVERAGE('Historical Demand'!I6:K6)</f>
        <v>108.333333333333</v>
      </c>
      <c r="K6" s="21" t="n">
        <f aca="false">AVERAGE('Historical Demand'!J6:L6)</f>
        <v>100</v>
      </c>
      <c r="L6" s="21" t="n">
        <f aca="false">AVERAGE('Historical Demand'!K6:M6)</f>
        <v>88.6666666666667</v>
      </c>
      <c r="M6" s="21" t="n">
        <f aca="false">AVERAGE('Historical Demand'!L6:N6)</f>
        <v>83.6666666666667</v>
      </c>
      <c r="N6" s="21" t="n">
        <f aca="false">AVERAGE('Historical Demand'!M6:O6)</f>
        <v>82.6666666666667</v>
      </c>
      <c r="O6" s="21" t="n">
        <f aca="false">AVERAGE('Historical Demand'!N6:P6)</f>
        <v>87.3333333333333</v>
      </c>
      <c r="P6" s="21" t="n">
        <f aca="false">AVERAGE('Historical Demand'!O6:Q6)</f>
        <v>89</v>
      </c>
      <c r="Q6" s="21" t="n">
        <f aca="false">AVERAGE('Historical Demand'!P6:R6)</f>
        <v>98.6666666666667</v>
      </c>
      <c r="R6" s="21" t="n">
        <f aca="false">AVERAGE('Historical Demand'!Q6:S6)</f>
        <v>112.333333333333</v>
      </c>
      <c r="S6" s="21" t="n">
        <f aca="false">AVERAGE('Historical Demand'!R6:T6)</f>
        <v>131.333333333333</v>
      </c>
      <c r="T6" s="21" t="n">
        <f aca="false">AVERAGE('Historical Demand'!S6:U6)</f>
        <v>143</v>
      </c>
      <c r="U6" s="21" t="n">
        <f aca="false">AVERAGE('Historical Demand'!T6:V6)</f>
        <v>146</v>
      </c>
      <c r="V6" s="21" t="n">
        <f aca="false">AVERAGE('Historical Demand'!U6:W6)</f>
        <v>139.666666666667</v>
      </c>
      <c r="W6" s="21" t="n">
        <f aca="false">AVERAGE('Historical Demand'!V6:X6)</f>
        <v>125</v>
      </c>
      <c r="X6" s="21" t="n">
        <f aca="false">AVERAGE('Historical Demand'!W6:Y6)</f>
        <v>113.333333333333</v>
      </c>
      <c r="Y6" s="21" t="n">
        <f aca="false">AVERAGE('Historical Demand'!X6:Z6)</f>
        <v>106.333333333333</v>
      </c>
      <c r="Z6" s="21" t="n">
        <f aca="false">AVERAGE('Historical Demand'!Y6:AA6)</f>
        <v>106</v>
      </c>
      <c r="AA6" s="21" t="n">
        <f aca="false">AVERAGE('Historical Demand'!Z6:AB6)</f>
        <v>106.666666666667</v>
      </c>
      <c r="AB6" s="21" t="n">
        <f aca="false">AVERAGE('Historical Demand'!AA6:AC6)</f>
        <v>106.333333333333</v>
      </c>
      <c r="AC6" s="21" t="n">
        <f aca="false">AVERAGE('Historical Demand'!AB6:AD6)</f>
        <v>109</v>
      </c>
      <c r="AD6" s="21" t="n">
        <f aca="false">AVERAGE('Historical Demand'!AC6:AE6)</f>
        <v>120.666666666667</v>
      </c>
      <c r="AE6" s="21" t="n">
        <f aca="false">AVERAGE('Historical Demand'!AD6:AF6)</f>
        <v>144.333333333333</v>
      </c>
      <c r="AF6" s="21" t="n">
        <f aca="false">AVERAGE('Historical Demand'!AE6:AG6)</f>
        <v>163.666666666667</v>
      </c>
      <c r="AG6" s="21" t="n">
        <f aca="false">AVERAGE('Historical Demand'!AF6:AH6)</f>
        <v>174.333333333333</v>
      </c>
      <c r="AH6" s="21" t="n">
        <f aca="false">AVERAGE('Historical Demand'!AG6:AI6)</f>
        <v>164.666666666667</v>
      </c>
      <c r="AI6" s="21" t="n">
        <f aca="false">AVERAGE('Historical Demand'!AH6:AJ6)</f>
        <v>148.333333333333</v>
      </c>
      <c r="AJ6" s="21" t="n">
        <f aca="false">AVERAGE('Historical Demand'!AI6:AK6)</f>
        <v>131</v>
      </c>
      <c r="AK6" s="21" t="n">
        <f aca="false">AVERAGE('Historical Demand'!AJ6:AL6)</f>
        <v>126</v>
      </c>
      <c r="AL6" s="21" t="n">
        <f aca="false">AVERAGE('Historical Demand'!AK6:AM6)</f>
        <v>125.333333333333</v>
      </c>
    </row>
    <row r="7" customFormat="false" ht="15" hidden="false" customHeight="false" outlineLevel="0" collapsed="false">
      <c r="A7" s="0" t="str">
        <f aca="false">'Historical Demand'!A7</f>
        <v>FTW-202</v>
      </c>
      <c r="B7" s="0" t="str">
        <f aca="false">'Historical Demand'!B7</f>
        <v>Canvas Low-Top</v>
      </c>
      <c r="C7" s="20" t="s">
        <v>79</v>
      </c>
      <c r="D7" s="20" t="s">
        <v>79</v>
      </c>
      <c r="E7" s="21" t="n">
        <f aca="false">AVERAGE('Historical Demand'!D7:F7)</f>
        <v>55.3333333333333</v>
      </c>
      <c r="F7" s="21" t="n">
        <f aca="false">AVERAGE('Historical Demand'!E7:G7)</f>
        <v>65.6666666666667</v>
      </c>
      <c r="G7" s="21" t="n">
        <f aca="false">AVERAGE('Historical Demand'!F7:H7)</f>
        <v>73.6666666666667</v>
      </c>
      <c r="H7" s="21" t="n">
        <f aca="false">AVERAGE('Historical Demand'!G7:I7)</f>
        <v>74.3333333333333</v>
      </c>
      <c r="I7" s="21" t="n">
        <f aca="false">AVERAGE('Historical Demand'!H7:J7)</f>
        <v>71.6666666666667</v>
      </c>
      <c r="J7" s="21" t="n">
        <f aca="false">AVERAGE('Historical Demand'!I7:K7)</f>
        <v>65</v>
      </c>
      <c r="K7" s="21" t="n">
        <f aca="false">AVERAGE('Historical Demand'!J7:L7)</f>
        <v>58.6666666666667</v>
      </c>
      <c r="L7" s="21" t="n">
        <f aca="false">AVERAGE('Historical Demand'!K7:M7)</f>
        <v>53</v>
      </c>
      <c r="M7" s="21" t="n">
        <f aca="false">AVERAGE('Historical Demand'!L7:N7)</f>
        <v>51.3333333333333</v>
      </c>
      <c r="N7" s="21" t="n">
        <f aca="false">AVERAGE('Historical Demand'!M7:O7)</f>
        <v>52</v>
      </c>
      <c r="O7" s="21" t="n">
        <f aca="false">AVERAGE('Historical Demand'!N7:P7)</f>
        <v>51</v>
      </c>
      <c r="P7" s="21" t="n">
        <f aca="false">AVERAGE('Historical Demand'!O7:Q7)</f>
        <v>52.6666666666667</v>
      </c>
      <c r="Q7" s="21" t="n">
        <f aca="false">AVERAGE('Historical Demand'!P7:R7)</f>
        <v>54.3333333333333</v>
      </c>
      <c r="R7" s="21" t="n">
        <f aca="false">AVERAGE('Historical Demand'!Q7:S7)</f>
        <v>61.6666666666667</v>
      </c>
      <c r="S7" s="21" t="n">
        <f aca="false">AVERAGE('Historical Demand'!R7:T7)</f>
        <v>68.6666666666667</v>
      </c>
      <c r="T7" s="21" t="n">
        <f aca="false">AVERAGE('Historical Demand'!S7:U7)</f>
        <v>76</v>
      </c>
      <c r="U7" s="21" t="n">
        <f aca="false">AVERAGE('Historical Demand'!T7:V7)</f>
        <v>78.6666666666667</v>
      </c>
      <c r="V7" s="21" t="n">
        <f aca="false">AVERAGE('Historical Demand'!U7:W7)</f>
        <v>73.6666666666667</v>
      </c>
      <c r="W7" s="21" t="n">
        <f aca="false">AVERAGE('Historical Demand'!V7:X7)</f>
        <v>67.6666666666667</v>
      </c>
      <c r="X7" s="21" t="n">
        <f aca="false">AVERAGE('Historical Demand'!W7:Y7)</f>
        <v>61.3333333333333</v>
      </c>
      <c r="Y7" s="21" t="n">
        <f aca="false">AVERAGE('Historical Demand'!X7:Z7)</f>
        <v>57</v>
      </c>
      <c r="Z7" s="21" t="n">
        <f aca="false">AVERAGE('Historical Demand'!Y7:AA7)</f>
        <v>55.3333333333333</v>
      </c>
      <c r="AA7" s="21" t="n">
        <f aca="false">AVERAGE('Historical Demand'!Z7:AB7)</f>
        <v>54.3333333333333</v>
      </c>
      <c r="AB7" s="21" t="n">
        <f aca="false">AVERAGE('Historical Demand'!AA7:AC7)</f>
        <v>55.3333333333333</v>
      </c>
      <c r="AC7" s="21" t="n">
        <f aca="false">AVERAGE('Historical Demand'!AB7:AD7)</f>
        <v>56.3333333333333</v>
      </c>
      <c r="AD7" s="21" t="n">
        <f aca="false">AVERAGE('Historical Demand'!AC7:AE7)</f>
        <v>60.6666666666667</v>
      </c>
      <c r="AE7" s="21" t="n">
        <f aca="false">AVERAGE('Historical Demand'!AD7:AF7)</f>
        <v>69.6666666666667</v>
      </c>
      <c r="AF7" s="21" t="n">
        <f aca="false">AVERAGE('Historical Demand'!AE7:AG7)</f>
        <v>76.6666666666667</v>
      </c>
      <c r="AG7" s="21" t="n">
        <f aca="false">AVERAGE('Historical Demand'!AF7:AH7)</f>
        <v>75.6666666666667</v>
      </c>
      <c r="AH7" s="21" t="n">
        <f aca="false">AVERAGE('Historical Demand'!AG7:AI7)</f>
        <v>70.6666666666667</v>
      </c>
      <c r="AI7" s="21" t="n">
        <f aca="false">AVERAGE('Historical Demand'!AH7:AJ7)</f>
        <v>63.6666666666667</v>
      </c>
      <c r="AJ7" s="21" t="n">
        <f aca="false">AVERAGE('Historical Demand'!AI7:AK7)</f>
        <v>59.6666666666667</v>
      </c>
      <c r="AK7" s="21" t="n">
        <f aca="false">AVERAGE('Historical Demand'!AJ7:AL7)</f>
        <v>56.3333333333333</v>
      </c>
      <c r="AL7" s="21" t="n">
        <f aca="false">AVERAGE('Historical Demand'!AK7:AM7)</f>
        <v>54.6666666666667</v>
      </c>
    </row>
    <row r="8" customFormat="false" ht="15" hidden="false" customHeight="false" outlineLevel="0" collapsed="false">
      <c r="A8" s="0" t="str">
        <f aca="false">'Historical Demand'!A8</f>
        <v>FTW-203</v>
      </c>
      <c r="B8" s="0" t="str">
        <f aca="false">'Historical Demand'!B8</f>
        <v>Leather Ankle Boot</v>
      </c>
      <c r="C8" s="20" t="s">
        <v>79</v>
      </c>
      <c r="D8" s="20" t="s">
        <v>79</v>
      </c>
      <c r="E8" s="21" t="n">
        <f aca="false">AVERAGE('Historical Demand'!D8:F8)</f>
        <v>32</v>
      </c>
      <c r="F8" s="21" t="n">
        <f aca="false">AVERAGE('Historical Demand'!E8:G8)</f>
        <v>36.3333333333333</v>
      </c>
      <c r="G8" s="21" t="n">
        <f aca="false">AVERAGE('Historical Demand'!F8:H8)</f>
        <v>40.3333333333333</v>
      </c>
      <c r="H8" s="21" t="n">
        <f aca="false">AVERAGE('Historical Demand'!G8:I8)</f>
        <v>43.3333333333333</v>
      </c>
      <c r="I8" s="21" t="n">
        <f aca="false">AVERAGE('Historical Demand'!H8:J8)</f>
        <v>41.3333333333333</v>
      </c>
      <c r="J8" s="21" t="n">
        <f aca="false">AVERAGE('Historical Demand'!I8:K8)</f>
        <v>37.6666666666667</v>
      </c>
      <c r="K8" s="21" t="n">
        <f aca="false">AVERAGE('Historical Demand'!J8:L8)</f>
        <v>32.6666666666667</v>
      </c>
      <c r="L8" s="21" t="n">
        <f aca="false">AVERAGE('Historical Demand'!K8:M8)</f>
        <v>30</v>
      </c>
      <c r="M8" s="21" t="n">
        <f aca="false">AVERAGE('Historical Demand'!L8:N8)</f>
        <v>29</v>
      </c>
      <c r="N8" s="21" t="n">
        <f aca="false">AVERAGE('Historical Demand'!M8:O8)</f>
        <v>27.6666666666667</v>
      </c>
      <c r="O8" s="21" t="n">
        <f aca="false">AVERAGE('Historical Demand'!N8:P8)</f>
        <v>27.6666666666667</v>
      </c>
      <c r="P8" s="21" t="n">
        <f aca="false">AVERAGE('Historical Demand'!O8:Q8)</f>
        <v>28</v>
      </c>
      <c r="Q8" s="21" t="n">
        <f aca="false">AVERAGE('Historical Demand'!P8:R8)</f>
        <v>30.6666666666667</v>
      </c>
      <c r="R8" s="21" t="n">
        <f aca="false">AVERAGE('Historical Demand'!Q8:S8)</f>
        <v>36</v>
      </c>
      <c r="S8" s="21" t="n">
        <f aca="false">AVERAGE('Historical Demand'!R8:T8)</f>
        <v>39.6666666666667</v>
      </c>
      <c r="T8" s="21" t="n">
        <f aca="false">AVERAGE('Historical Demand'!S8:U8)</f>
        <v>41.3333333333333</v>
      </c>
      <c r="U8" s="21" t="n">
        <f aca="false">AVERAGE('Historical Demand'!T8:V8)</f>
        <v>39</v>
      </c>
      <c r="V8" s="21" t="n">
        <f aca="false">AVERAGE('Historical Demand'!U8:W8)</f>
        <v>36.6666666666667</v>
      </c>
      <c r="W8" s="21" t="n">
        <f aca="false">AVERAGE('Historical Demand'!V8:X8)</f>
        <v>34</v>
      </c>
      <c r="X8" s="21" t="n">
        <f aca="false">AVERAGE('Historical Demand'!W8:Y8)</f>
        <v>30.6666666666667</v>
      </c>
      <c r="Y8" s="21" t="n">
        <f aca="false">AVERAGE('Historical Demand'!X8:Z8)</f>
        <v>28.3333333333333</v>
      </c>
      <c r="Z8" s="21" t="n">
        <f aca="false">AVERAGE('Historical Demand'!Y8:AA8)</f>
        <v>27.3333333333333</v>
      </c>
      <c r="AA8" s="21" t="n">
        <f aca="false">AVERAGE('Historical Demand'!Z8:AB8)</f>
        <v>27.6666666666667</v>
      </c>
      <c r="AB8" s="21" t="n">
        <f aca="false">AVERAGE('Historical Demand'!AA8:AC8)</f>
        <v>28.6666666666667</v>
      </c>
      <c r="AC8" s="21" t="n">
        <f aca="false">AVERAGE('Historical Demand'!AB8:AD8)</f>
        <v>29.3333333333333</v>
      </c>
      <c r="AD8" s="21" t="n">
        <f aca="false">AVERAGE('Historical Demand'!AC8:AE8)</f>
        <v>34</v>
      </c>
      <c r="AE8" s="21" t="n">
        <f aca="false">AVERAGE('Historical Demand'!AD8:AF8)</f>
        <v>39.3333333333333</v>
      </c>
      <c r="AF8" s="21" t="n">
        <f aca="false">AVERAGE('Historical Demand'!AE8:AG8)</f>
        <v>44.3333333333333</v>
      </c>
      <c r="AG8" s="21" t="n">
        <f aca="false">AVERAGE('Historical Demand'!AF8:AH8)</f>
        <v>42</v>
      </c>
      <c r="AH8" s="21" t="n">
        <f aca="false">AVERAGE('Historical Demand'!AG8:AI8)</f>
        <v>37</v>
      </c>
      <c r="AI8" s="21" t="n">
        <f aca="false">AVERAGE('Historical Demand'!AH8:AJ8)</f>
        <v>32.6666666666667</v>
      </c>
      <c r="AJ8" s="21" t="n">
        <f aca="false">AVERAGE('Historical Demand'!AI8:AK8)</f>
        <v>30.6666666666667</v>
      </c>
      <c r="AK8" s="21" t="n">
        <f aca="false">AVERAGE('Historical Demand'!AJ8:AL8)</f>
        <v>28.3333333333333</v>
      </c>
      <c r="AL8" s="21" t="n">
        <f aca="false">AVERAGE('Historical Demand'!AK8:AM8)</f>
        <v>27.3333333333333</v>
      </c>
    </row>
    <row r="9" customFormat="false" ht="15" hidden="false" customHeight="false" outlineLevel="0" collapsed="false">
      <c r="A9" s="0" t="str">
        <f aca="false">'Historical Demand'!A9</f>
        <v>FTW-204</v>
      </c>
      <c r="B9" s="0" t="str">
        <f aca="false">'Historical Demand'!B9</f>
        <v>Slide Sandals</v>
      </c>
      <c r="C9" s="20" t="s">
        <v>79</v>
      </c>
      <c r="D9" s="20" t="s">
        <v>79</v>
      </c>
      <c r="E9" s="21" t="n">
        <f aca="false">AVERAGE('Historical Demand'!D9:F9)</f>
        <v>40</v>
      </c>
      <c r="F9" s="21" t="n">
        <f aca="false">AVERAGE('Historical Demand'!E9:G9)</f>
        <v>46</v>
      </c>
      <c r="G9" s="21" t="n">
        <f aca="false">AVERAGE('Historical Demand'!F9:H9)</f>
        <v>52.3333333333333</v>
      </c>
      <c r="H9" s="21" t="n">
        <f aca="false">AVERAGE('Historical Demand'!G9:I9)</f>
        <v>53.3333333333333</v>
      </c>
      <c r="I9" s="21" t="n">
        <f aca="false">AVERAGE('Historical Demand'!H9:J9)</f>
        <v>52</v>
      </c>
      <c r="J9" s="21" t="n">
        <f aca="false">AVERAGE('Historical Demand'!I9:K9)</f>
        <v>49.3333333333333</v>
      </c>
      <c r="K9" s="21" t="n">
        <f aca="false">AVERAGE('Historical Demand'!J9:L9)</f>
        <v>45.3333333333333</v>
      </c>
      <c r="L9" s="21" t="n">
        <f aca="false">AVERAGE('Historical Demand'!K9:M9)</f>
        <v>40.6666666666667</v>
      </c>
      <c r="M9" s="21" t="n">
        <f aca="false">AVERAGE('Historical Demand'!L9:N9)</f>
        <v>35.6666666666667</v>
      </c>
      <c r="N9" s="21" t="n">
        <f aca="false">AVERAGE('Historical Demand'!M9:O9)</f>
        <v>35.6666666666667</v>
      </c>
      <c r="O9" s="21" t="n">
        <f aca="false">AVERAGE('Historical Demand'!N9:P9)</f>
        <v>37.6666666666667</v>
      </c>
      <c r="P9" s="21" t="n">
        <f aca="false">AVERAGE('Historical Demand'!O9:Q9)</f>
        <v>40.6666666666667</v>
      </c>
      <c r="Q9" s="21" t="n">
        <f aca="false">AVERAGE('Historical Demand'!P9:R9)</f>
        <v>42.3333333333333</v>
      </c>
      <c r="R9" s="21" t="n">
        <f aca="false">AVERAGE('Historical Demand'!Q9:S9)</f>
        <v>47</v>
      </c>
      <c r="S9" s="21" t="n">
        <f aca="false">AVERAGE('Historical Demand'!R9:T9)</f>
        <v>55.3333333333333</v>
      </c>
      <c r="T9" s="21" t="n">
        <f aca="false">AVERAGE('Historical Demand'!S9:U9)</f>
        <v>59.3333333333333</v>
      </c>
      <c r="U9" s="21" t="n">
        <f aca="false">AVERAGE('Historical Demand'!T9:V9)</f>
        <v>61</v>
      </c>
      <c r="V9" s="21" t="n">
        <f aca="false">AVERAGE('Historical Demand'!U9:W9)</f>
        <v>54.6666666666667</v>
      </c>
      <c r="W9" s="21" t="n">
        <f aca="false">AVERAGE('Historical Demand'!V9:X9)</f>
        <v>51.3333333333333</v>
      </c>
      <c r="X9" s="21" t="n">
        <f aca="false">AVERAGE('Historical Demand'!W9:Y9)</f>
        <v>46.3333333333333</v>
      </c>
      <c r="Y9" s="21" t="n">
        <f aca="false">AVERAGE('Historical Demand'!X9:Z9)</f>
        <v>45</v>
      </c>
      <c r="Z9" s="21" t="n">
        <f aca="false">AVERAGE('Historical Demand'!Y9:AA9)</f>
        <v>42.6666666666667</v>
      </c>
      <c r="AA9" s="21" t="n">
        <f aca="false">AVERAGE('Historical Demand'!Z9:AB9)</f>
        <v>42.3333333333333</v>
      </c>
      <c r="AB9" s="21" t="n">
        <f aca="false">AVERAGE('Historical Demand'!AA9:AC9)</f>
        <v>43.3333333333333</v>
      </c>
      <c r="AC9" s="21" t="n">
        <f aca="false">AVERAGE('Historical Demand'!AB9:AD9)</f>
        <v>50</v>
      </c>
      <c r="AD9" s="21" t="n">
        <f aca="false">AVERAGE('Historical Demand'!AC9:AE9)</f>
        <v>57.6666666666667</v>
      </c>
      <c r="AE9" s="21" t="n">
        <f aca="false">AVERAGE('Historical Demand'!AD9:AF9)</f>
        <v>65</v>
      </c>
      <c r="AF9" s="21" t="n">
        <f aca="false">AVERAGE('Historical Demand'!AE9:AG9)</f>
        <v>67.3333333333333</v>
      </c>
      <c r="AG9" s="21" t="n">
        <f aca="false">AVERAGE('Historical Demand'!AF9:AH9)</f>
        <v>63.3333333333333</v>
      </c>
      <c r="AH9" s="21" t="n">
        <f aca="false">AVERAGE('Historical Demand'!AG9:AI9)</f>
        <v>58.6666666666667</v>
      </c>
      <c r="AI9" s="21" t="n">
        <f aca="false">AVERAGE('Historical Demand'!AH9:AJ9)</f>
        <v>53</v>
      </c>
      <c r="AJ9" s="21" t="n">
        <f aca="false">AVERAGE('Historical Demand'!AI9:AK9)</f>
        <v>49</v>
      </c>
      <c r="AK9" s="21" t="n">
        <f aca="false">AVERAGE('Historical Demand'!AJ9:AL9)</f>
        <v>47</v>
      </c>
      <c r="AL9" s="21" t="n">
        <f aca="false">AVERAGE('Historical Demand'!AK9:AM9)</f>
        <v>47.6666666666667</v>
      </c>
    </row>
    <row r="10" customFormat="false" ht="15" hidden="false" customHeight="false" outlineLevel="0" collapsed="false">
      <c r="A10" s="0" t="str">
        <f aca="false">'Historical Demand'!A10</f>
        <v>ACC-301</v>
      </c>
      <c r="B10" s="0" t="str">
        <f aca="false">'Historical Demand'!B10</f>
        <v>Leather Belt</v>
      </c>
      <c r="C10" s="20" t="s">
        <v>79</v>
      </c>
      <c r="D10" s="20" t="s">
        <v>79</v>
      </c>
      <c r="E10" s="21" t="n">
        <f aca="false">AVERAGE('Historical Demand'!D10:F10)</f>
        <v>31</v>
      </c>
      <c r="F10" s="21" t="n">
        <f aca="false">AVERAGE('Historical Demand'!E10:G10)</f>
        <v>32.6666666666667</v>
      </c>
      <c r="G10" s="21" t="n">
        <f aca="false">AVERAGE('Historical Demand'!F10:H10)</f>
        <v>35.6666666666667</v>
      </c>
      <c r="H10" s="21" t="n">
        <f aca="false">AVERAGE('Historical Demand'!G10:I10)</f>
        <v>40</v>
      </c>
      <c r="I10" s="21" t="n">
        <f aca="false">AVERAGE('Historical Demand'!H10:J10)</f>
        <v>42.3333333333333</v>
      </c>
      <c r="J10" s="21" t="n">
        <f aca="false">AVERAGE('Historical Demand'!I10:K10)</f>
        <v>42</v>
      </c>
      <c r="K10" s="21" t="n">
        <f aca="false">AVERAGE('Historical Demand'!J10:L10)</f>
        <v>39</v>
      </c>
      <c r="L10" s="21" t="n">
        <f aca="false">AVERAGE('Historical Demand'!K10:M10)</f>
        <v>35.6666666666667</v>
      </c>
      <c r="M10" s="21" t="n">
        <f aca="false">AVERAGE('Historical Demand'!L10:N10)</f>
        <v>39.3333333333333</v>
      </c>
      <c r="N10" s="21" t="n">
        <f aca="false">AVERAGE('Historical Demand'!M10:O10)</f>
        <v>43</v>
      </c>
      <c r="O10" s="21" t="n">
        <f aca="false">AVERAGE('Historical Demand'!N10:P10)</f>
        <v>42.3333333333333</v>
      </c>
      <c r="P10" s="21" t="n">
        <f aca="false">AVERAGE('Historical Demand'!O10:Q10)</f>
        <v>37</v>
      </c>
      <c r="Q10" s="21" t="n">
        <f aca="false">AVERAGE('Historical Demand'!P10:R10)</f>
        <v>33.3333333333333</v>
      </c>
      <c r="R10" s="21" t="n">
        <f aca="false">AVERAGE('Historical Demand'!Q10:S10)</f>
        <v>36</v>
      </c>
      <c r="S10" s="21" t="n">
        <f aca="false">AVERAGE('Historical Demand'!R10:T10)</f>
        <v>38</v>
      </c>
      <c r="T10" s="21" t="n">
        <f aca="false">AVERAGE('Historical Demand'!S10:U10)</f>
        <v>43.3333333333333</v>
      </c>
      <c r="U10" s="21" t="n">
        <f aca="false">AVERAGE('Historical Demand'!T10:V10)</f>
        <v>44</v>
      </c>
      <c r="V10" s="21" t="n">
        <f aca="false">AVERAGE('Historical Demand'!U10:W10)</f>
        <v>44</v>
      </c>
      <c r="W10" s="21" t="n">
        <f aca="false">AVERAGE('Historical Demand'!V10:X10)</f>
        <v>39.3333333333333</v>
      </c>
      <c r="X10" s="21" t="n">
        <f aca="false">AVERAGE('Historical Demand'!W10:Y10)</f>
        <v>38.6666666666667</v>
      </c>
      <c r="Y10" s="21" t="n">
        <f aca="false">AVERAGE('Historical Demand'!X10:Z10)</f>
        <v>40</v>
      </c>
      <c r="Z10" s="21" t="n">
        <f aca="false">AVERAGE('Historical Demand'!Y10:AA10)</f>
        <v>45.6666666666667</v>
      </c>
      <c r="AA10" s="21" t="n">
        <f aca="false">AVERAGE('Historical Demand'!Z10:AB10)</f>
        <v>43.6666666666667</v>
      </c>
      <c r="AB10" s="21" t="n">
        <f aca="false">AVERAGE('Historical Demand'!AA10:AC10)</f>
        <v>39.3333333333333</v>
      </c>
      <c r="AC10" s="21" t="n">
        <f aca="false">AVERAGE('Historical Demand'!AB10:AD10)</f>
        <v>33.6666666666667</v>
      </c>
      <c r="AD10" s="21" t="n">
        <f aca="false">AVERAGE('Historical Demand'!AC10:AE10)</f>
        <v>34.3333333333333</v>
      </c>
      <c r="AE10" s="21" t="n">
        <f aca="false">AVERAGE('Historical Demand'!AD10:AF10)</f>
        <v>39.3333333333333</v>
      </c>
      <c r="AF10" s="21" t="n">
        <f aca="false">AVERAGE('Historical Demand'!AE10:AG10)</f>
        <v>42.6666666666667</v>
      </c>
      <c r="AG10" s="21" t="n">
        <f aca="false">AVERAGE('Historical Demand'!AF10:AH10)</f>
        <v>46</v>
      </c>
      <c r="AH10" s="21" t="n">
        <f aca="false">AVERAGE('Historical Demand'!AG10:AI10)</f>
        <v>43</v>
      </c>
      <c r="AI10" s="21" t="n">
        <f aca="false">AVERAGE('Historical Demand'!AH10:AJ10)</f>
        <v>39</v>
      </c>
      <c r="AJ10" s="21" t="n">
        <f aca="false">AVERAGE('Historical Demand'!AI10:AK10)</f>
        <v>37.3333333333333</v>
      </c>
      <c r="AK10" s="21" t="n">
        <f aca="false">AVERAGE('Historical Demand'!AJ10:AL10)</f>
        <v>40</v>
      </c>
      <c r="AL10" s="21" t="n">
        <f aca="false">AVERAGE('Historical Demand'!AK10:AM10)</f>
        <v>45.6666666666667</v>
      </c>
    </row>
    <row r="11" customFormat="false" ht="15" hidden="false" customHeight="false" outlineLevel="0" collapsed="false">
      <c r="A11" s="0" t="str">
        <f aca="false">'Historical Demand'!A11</f>
        <v>ACC-302</v>
      </c>
      <c r="B11" s="0" t="str">
        <f aca="false">'Historical Demand'!B11</f>
        <v>Aviator Sunglasses</v>
      </c>
      <c r="C11" s="20" t="s">
        <v>79</v>
      </c>
      <c r="D11" s="20" t="s">
        <v>79</v>
      </c>
      <c r="E11" s="21" t="n">
        <f aca="false">AVERAGE('Historical Demand'!D11:F11)</f>
        <v>39.6666666666667</v>
      </c>
      <c r="F11" s="21" t="n">
        <f aca="false">AVERAGE('Historical Demand'!E11:G11)</f>
        <v>41.6666666666667</v>
      </c>
      <c r="G11" s="21" t="n">
        <f aca="false">AVERAGE('Historical Demand'!F11:H11)</f>
        <v>45.3333333333333</v>
      </c>
      <c r="H11" s="21" t="n">
        <f aca="false">AVERAGE('Historical Demand'!G11:I11)</f>
        <v>51</v>
      </c>
      <c r="I11" s="21" t="n">
        <f aca="false">AVERAGE('Historical Demand'!H11:J11)</f>
        <v>54</v>
      </c>
      <c r="J11" s="21" t="n">
        <f aca="false">AVERAGE('Historical Demand'!I11:K11)</f>
        <v>56.6666666666667</v>
      </c>
      <c r="K11" s="21" t="n">
        <f aca="false">AVERAGE('Historical Demand'!J11:L11)</f>
        <v>54.3333333333333</v>
      </c>
      <c r="L11" s="21" t="n">
        <f aca="false">AVERAGE('Historical Demand'!K11:M11)</f>
        <v>50</v>
      </c>
      <c r="M11" s="21" t="n">
        <f aca="false">AVERAGE('Historical Demand'!L11:N11)</f>
        <v>51.6666666666667</v>
      </c>
      <c r="N11" s="21" t="n">
        <f aca="false">AVERAGE('Historical Demand'!M11:O11)</f>
        <v>56</v>
      </c>
      <c r="O11" s="21" t="n">
        <f aca="false">AVERAGE('Historical Demand'!N11:P11)</f>
        <v>54.3333333333333</v>
      </c>
      <c r="P11" s="21" t="n">
        <f aca="false">AVERAGE('Historical Demand'!O11:Q11)</f>
        <v>50</v>
      </c>
      <c r="Q11" s="21" t="n">
        <f aca="false">AVERAGE('Historical Demand'!P11:R11)</f>
        <v>42.3333333333333</v>
      </c>
      <c r="R11" s="21" t="n">
        <f aca="false">AVERAGE('Historical Demand'!Q11:S11)</f>
        <v>47.3333333333333</v>
      </c>
      <c r="S11" s="21" t="n">
        <f aca="false">AVERAGE('Historical Demand'!R11:T11)</f>
        <v>50.3333333333333</v>
      </c>
      <c r="T11" s="21" t="n">
        <f aca="false">AVERAGE('Historical Demand'!S11:U11)</f>
        <v>58</v>
      </c>
      <c r="U11" s="21" t="n">
        <f aca="false">AVERAGE('Historical Demand'!T11:V11)</f>
        <v>59.6666666666667</v>
      </c>
      <c r="V11" s="21" t="n">
        <f aca="false">AVERAGE('Historical Demand'!U11:W11)</f>
        <v>61.3333333333333</v>
      </c>
      <c r="W11" s="21" t="n">
        <f aca="false">AVERAGE('Historical Demand'!V11:X11)</f>
        <v>56.6666666666667</v>
      </c>
      <c r="X11" s="21" t="n">
        <f aca="false">AVERAGE('Historical Demand'!W11:Y11)</f>
        <v>53.6666666666667</v>
      </c>
      <c r="Y11" s="21" t="n">
        <f aca="false">AVERAGE('Historical Demand'!X11:Z11)</f>
        <v>57</v>
      </c>
      <c r="Z11" s="21" t="n">
        <f aca="false">AVERAGE('Historical Demand'!Y11:AA11)</f>
        <v>63</v>
      </c>
      <c r="AA11" s="21" t="n">
        <f aca="false">AVERAGE('Historical Demand'!Z11:AB11)</f>
        <v>63</v>
      </c>
      <c r="AB11" s="21" t="n">
        <f aca="false">AVERAGE('Historical Demand'!AA11:AC11)</f>
        <v>54.3333333333333</v>
      </c>
      <c r="AC11" s="21" t="n">
        <f aca="false">AVERAGE('Historical Demand'!AB11:AD11)</f>
        <v>50</v>
      </c>
      <c r="AD11" s="21" t="n">
        <f aca="false">AVERAGE('Historical Demand'!AC11:AE11)</f>
        <v>52.3333333333333</v>
      </c>
      <c r="AE11" s="21" t="n">
        <f aca="false">AVERAGE('Historical Demand'!AD11:AF11)</f>
        <v>60.3333333333333</v>
      </c>
      <c r="AF11" s="21" t="n">
        <f aca="false">AVERAGE('Historical Demand'!AE11:AG11)</f>
        <v>66.6666666666667</v>
      </c>
      <c r="AG11" s="21" t="n">
        <f aca="false">AVERAGE('Historical Demand'!AF11:AH11)</f>
        <v>71.3333333333333</v>
      </c>
      <c r="AH11" s="21" t="n">
        <f aca="false">AVERAGE('Historical Demand'!AG11:AI11)</f>
        <v>71</v>
      </c>
      <c r="AI11" s="21" t="n">
        <f aca="false">AVERAGE('Historical Demand'!AH11:AJ11)</f>
        <v>65.6666666666667</v>
      </c>
      <c r="AJ11" s="21" t="n">
        <f aca="false">AVERAGE('Historical Demand'!AI11:AK11)</f>
        <v>61</v>
      </c>
      <c r="AK11" s="21" t="n">
        <f aca="false">AVERAGE('Historical Demand'!AJ11:AL11)</f>
        <v>63</v>
      </c>
      <c r="AL11" s="21" t="n">
        <f aca="false">AVERAGE('Historical Demand'!AK11:AM11)</f>
        <v>73</v>
      </c>
    </row>
    <row r="12" customFormat="false" ht="15" hidden="false" customHeight="false" outlineLevel="0" collapsed="false">
      <c r="A12" s="0" t="str">
        <f aca="false">'Historical Demand'!A12</f>
        <v>ACC-303</v>
      </c>
      <c r="B12" s="0" t="str">
        <f aca="false">'Historical Demand'!B12</f>
        <v>Canvas Tote Bag</v>
      </c>
      <c r="C12" s="20" t="s">
        <v>79</v>
      </c>
      <c r="D12" s="20" t="s">
        <v>79</v>
      </c>
      <c r="E12" s="21" t="n">
        <f aca="false">AVERAGE('Historical Demand'!D12:F12)</f>
        <v>24</v>
      </c>
      <c r="F12" s="21" t="n">
        <f aca="false">AVERAGE('Historical Demand'!E12:G12)</f>
        <v>25.3333333333333</v>
      </c>
      <c r="G12" s="21" t="n">
        <f aca="false">AVERAGE('Historical Demand'!F12:H12)</f>
        <v>29</v>
      </c>
      <c r="H12" s="21" t="n">
        <f aca="false">AVERAGE('Historical Demand'!G12:I12)</f>
        <v>32.6666666666667</v>
      </c>
      <c r="I12" s="21" t="n">
        <f aca="false">AVERAGE('Historical Demand'!H12:J12)</f>
        <v>34</v>
      </c>
      <c r="J12" s="21" t="n">
        <f aca="false">AVERAGE('Historical Demand'!I12:K12)</f>
        <v>33</v>
      </c>
      <c r="K12" s="21" t="n">
        <f aca="false">AVERAGE('Historical Demand'!J12:L12)</f>
        <v>29.6666666666667</v>
      </c>
      <c r="L12" s="21" t="n">
        <f aca="false">AVERAGE('Historical Demand'!K12:M12)</f>
        <v>27.3333333333333</v>
      </c>
      <c r="M12" s="21" t="n">
        <f aca="false">AVERAGE('Historical Demand'!L12:N12)</f>
        <v>27</v>
      </c>
      <c r="N12" s="21" t="n">
        <f aca="false">AVERAGE('Historical Demand'!M12:O12)</f>
        <v>31</v>
      </c>
      <c r="O12" s="21" t="n">
        <f aca="false">AVERAGE('Historical Demand'!N12:P12)</f>
        <v>29.6666666666667</v>
      </c>
      <c r="P12" s="21" t="n">
        <f aca="false">AVERAGE('Historical Demand'!O12:Q12)</f>
        <v>27</v>
      </c>
      <c r="Q12" s="21" t="n">
        <f aca="false">AVERAGE('Historical Demand'!P12:R12)</f>
        <v>23</v>
      </c>
      <c r="R12" s="21" t="n">
        <f aca="false">AVERAGE('Historical Demand'!Q12:S12)</f>
        <v>27</v>
      </c>
      <c r="S12" s="21" t="n">
        <f aca="false">AVERAGE('Historical Demand'!R12:T12)</f>
        <v>29.6666666666667</v>
      </c>
      <c r="T12" s="21" t="n">
        <f aca="false">AVERAGE('Historical Demand'!S12:U12)</f>
        <v>33.6666666666667</v>
      </c>
      <c r="U12" s="21" t="n">
        <f aca="false">AVERAGE('Historical Demand'!T12:V12)</f>
        <v>33.6666666666667</v>
      </c>
      <c r="V12" s="21" t="n">
        <f aca="false">AVERAGE('Historical Demand'!U12:W12)</f>
        <v>34</v>
      </c>
      <c r="W12" s="21" t="n">
        <f aca="false">AVERAGE('Historical Demand'!V12:X12)</f>
        <v>30.3333333333333</v>
      </c>
      <c r="X12" s="21" t="n">
        <f aca="false">AVERAGE('Historical Demand'!W12:Y12)</f>
        <v>28.3333333333333</v>
      </c>
      <c r="Y12" s="21" t="n">
        <f aca="false">AVERAGE('Historical Demand'!X12:Z12)</f>
        <v>28.3333333333333</v>
      </c>
      <c r="Z12" s="21" t="n">
        <f aca="false">AVERAGE('Historical Demand'!Y12:AA12)</f>
        <v>32.6666666666667</v>
      </c>
      <c r="AA12" s="21" t="n">
        <f aca="false">AVERAGE('Historical Demand'!Z12:AB12)</f>
        <v>31.3333333333333</v>
      </c>
      <c r="AB12" s="21" t="n">
        <f aca="false">AVERAGE('Historical Demand'!AA12:AC12)</f>
        <v>28.6666666666667</v>
      </c>
      <c r="AC12" s="21" t="n">
        <f aca="false">AVERAGE('Historical Demand'!AB12:AD12)</f>
        <v>25.6666666666667</v>
      </c>
      <c r="AD12" s="21" t="n">
        <f aca="false">AVERAGE('Historical Demand'!AC12:AE12)</f>
        <v>27</v>
      </c>
      <c r="AE12" s="21" t="n">
        <f aca="false">AVERAGE('Historical Demand'!AD12:AF12)</f>
        <v>29.3333333333333</v>
      </c>
      <c r="AF12" s="21" t="n">
        <f aca="false">AVERAGE('Historical Demand'!AE12:AG12)</f>
        <v>31.6666666666667</v>
      </c>
      <c r="AG12" s="21" t="n">
        <f aca="false">AVERAGE('Historical Demand'!AF12:AH12)</f>
        <v>35</v>
      </c>
      <c r="AH12" s="21" t="n">
        <f aca="false">AVERAGE('Historical Demand'!AG12:AI12)</f>
        <v>34.3333333333333</v>
      </c>
      <c r="AI12" s="21" t="n">
        <f aca="false">AVERAGE('Historical Demand'!AH12:AJ12)</f>
        <v>31.3333333333333</v>
      </c>
      <c r="AJ12" s="21" t="n">
        <f aca="false">AVERAGE('Historical Demand'!AI12:AK12)</f>
        <v>28</v>
      </c>
      <c r="AK12" s="21" t="n">
        <f aca="false">AVERAGE('Historical Demand'!AJ12:AL12)</f>
        <v>29.3333333333333</v>
      </c>
      <c r="AL12" s="21" t="n">
        <f aca="false">AVERAGE('Historical Demand'!AK12:AM12)</f>
        <v>33.6666666666667</v>
      </c>
    </row>
    <row r="13" customFormat="false" ht="15" hidden="false" customHeight="false" outlineLevel="0" collapsed="false">
      <c r="A13" s="0" t="str">
        <f aca="false">'Historical Demand'!A13</f>
        <v>ACC-304</v>
      </c>
      <c r="B13" s="0" t="str">
        <f aca="false">'Historical Demand'!B13</f>
        <v>Wool Beanie</v>
      </c>
      <c r="C13" s="20" t="s">
        <v>79</v>
      </c>
      <c r="D13" s="20" t="s">
        <v>79</v>
      </c>
      <c r="E13" s="21" t="n">
        <f aca="false">AVERAGE('Historical Demand'!D13:F13)</f>
        <v>27</v>
      </c>
      <c r="F13" s="21" t="n">
        <f aca="false">AVERAGE('Historical Demand'!E13:G13)</f>
        <v>28</v>
      </c>
      <c r="G13" s="21" t="n">
        <f aca="false">AVERAGE('Historical Demand'!F13:H13)</f>
        <v>33</v>
      </c>
      <c r="H13" s="21" t="n">
        <f aca="false">AVERAGE('Historical Demand'!G13:I13)</f>
        <v>38.3333333333333</v>
      </c>
      <c r="I13" s="21" t="n">
        <f aca="false">AVERAGE('Historical Demand'!H13:J13)</f>
        <v>39.6666666666667</v>
      </c>
      <c r="J13" s="21" t="n">
        <f aca="false">AVERAGE('Historical Demand'!I13:K13)</f>
        <v>36.6666666666667</v>
      </c>
      <c r="K13" s="21" t="n">
        <f aca="false">AVERAGE('Historical Demand'!J13:L13)</f>
        <v>32</v>
      </c>
      <c r="L13" s="21" t="n">
        <f aca="false">AVERAGE('Historical Demand'!K13:M13)</f>
        <v>31</v>
      </c>
      <c r="M13" s="21" t="n">
        <f aca="false">AVERAGE('Historical Demand'!L13:N13)</f>
        <v>35</v>
      </c>
      <c r="N13" s="21" t="n">
        <f aca="false">AVERAGE('Historical Demand'!M13:O13)</f>
        <v>42.6666666666667</v>
      </c>
      <c r="O13" s="21" t="n">
        <f aca="false">AVERAGE('Historical Demand'!N13:P13)</f>
        <v>40.6666666666667</v>
      </c>
      <c r="P13" s="21" t="n">
        <f aca="false">AVERAGE('Historical Demand'!O13:Q13)</f>
        <v>36</v>
      </c>
      <c r="Q13" s="21" t="n">
        <f aca="false">AVERAGE('Historical Demand'!P13:R13)</f>
        <v>30</v>
      </c>
      <c r="R13" s="21" t="n">
        <f aca="false">AVERAGE('Historical Demand'!Q13:S13)</f>
        <v>33.6666666666667</v>
      </c>
      <c r="S13" s="21" t="n">
        <f aca="false">AVERAGE('Historical Demand'!R13:T13)</f>
        <v>38.6666666666667</v>
      </c>
      <c r="T13" s="21" t="n">
        <f aca="false">AVERAGE('Historical Demand'!S13:U13)</f>
        <v>40.3333333333333</v>
      </c>
      <c r="U13" s="21" t="n">
        <f aca="false">AVERAGE('Historical Demand'!T13:V13)</f>
        <v>42</v>
      </c>
      <c r="V13" s="21" t="n">
        <f aca="false">AVERAGE('Historical Demand'!U13:W13)</f>
        <v>40.3333333333333</v>
      </c>
      <c r="W13" s="21" t="n">
        <f aca="false">AVERAGE('Historical Demand'!V13:X13)</f>
        <v>37.6666666666667</v>
      </c>
      <c r="X13" s="21" t="n">
        <f aca="false">AVERAGE('Historical Demand'!W13:Y13)</f>
        <v>34</v>
      </c>
      <c r="Y13" s="21" t="n">
        <f aca="false">AVERAGE('Historical Demand'!X13:Z13)</f>
        <v>36.6666666666667</v>
      </c>
      <c r="Z13" s="21" t="n">
        <f aca="false">AVERAGE('Historical Demand'!Y13:AA13)</f>
        <v>41</v>
      </c>
      <c r="AA13" s="21" t="n">
        <f aca="false">AVERAGE('Historical Demand'!Z13:AB13)</f>
        <v>39.6666666666667</v>
      </c>
      <c r="AB13" s="21" t="n">
        <f aca="false">AVERAGE('Historical Demand'!AA13:AC13)</f>
        <v>33</v>
      </c>
      <c r="AC13" s="21" t="n">
        <f aca="false">AVERAGE('Historical Demand'!AB13:AD13)</f>
        <v>30</v>
      </c>
      <c r="AD13" s="21" t="n">
        <f aca="false">AVERAGE('Historical Demand'!AC13:AE13)</f>
        <v>33</v>
      </c>
      <c r="AE13" s="21" t="n">
        <f aca="false">AVERAGE('Historical Demand'!AD13:AF13)</f>
        <v>37</v>
      </c>
      <c r="AF13" s="21" t="n">
        <f aca="false">AVERAGE('Historical Demand'!AE13:AG13)</f>
        <v>39.3333333333333</v>
      </c>
      <c r="AG13" s="21" t="n">
        <f aca="false">AVERAGE('Historical Demand'!AF13:AH13)</f>
        <v>41</v>
      </c>
      <c r="AH13" s="21" t="n">
        <f aca="false">AVERAGE('Historical Demand'!AG13:AI13)</f>
        <v>39</v>
      </c>
      <c r="AI13" s="21" t="n">
        <f aca="false">AVERAGE('Historical Demand'!AH13:AJ13)</f>
        <v>37</v>
      </c>
      <c r="AJ13" s="21" t="n">
        <f aca="false">AVERAGE('Historical Demand'!AI13:AK13)</f>
        <v>33.3333333333333</v>
      </c>
      <c r="AK13" s="21" t="n">
        <f aca="false">AVERAGE('Historical Demand'!AJ13:AL13)</f>
        <v>36.3333333333333</v>
      </c>
      <c r="AL13" s="21" t="n">
        <f aca="false">AVERAGE('Historical Demand'!AK13:AM13)</f>
        <v>41.6666666666667</v>
      </c>
    </row>
    <row r="14" customFormat="false" ht="15" hidden="false" customHeight="false" outlineLevel="0" collapsed="false">
      <c r="A14" s="0" t="str">
        <f aca="false">'Historical Demand'!A14</f>
        <v>ELE-401</v>
      </c>
      <c r="B14" s="0" t="str">
        <f aca="false">'Historical Demand'!B14</f>
        <v>Wireless Earbuds</v>
      </c>
      <c r="C14" s="20" t="s">
        <v>79</v>
      </c>
      <c r="D14" s="20" t="s">
        <v>79</v>
      </c>
      <c r="E14" s="21" t="n">
        <f aca="false">AVERAGE('Historical Demand'!D14:F14)</f>
        <v>68.6666666666667</v>
      </c>
      <c r="F14" s="21" t="n">
        <f aca="false">AVERAGE('Historical Demand'!E14:G14)</f>
        <v>62.3333333333333</v>
      </c>
      <c r="G14" s="21" t="n">
        <f aca="false">AVERAGE('Historical Demand'!F14:H14)</f>
        <v>61.6666666666667</v>
      </c>
      <c r="H14" s="21" t="n">
        <f aca="false">AVERAGE('Historical Demand'!G14:I14)</f>
        <v>65.3333333333333</v>
      </c>
      <c r="I14" s="21" t="n">
        <f aca="false">AVERAGE('Historical Demand'!H14:J14)</f>
        <v>66.6666666666667</v>
      </c>
      <c r="J14" s="21" t="n">
        <f aca="false">AVERAGE('Historical Demand'!I14:K14)</f>
        <v>73.6666666666667</v>
      </c>
      <c r="K14" s="21" t="n">
        <f aca="false">AVERAGE('Historical Demand'!J14:L14)</f>
        <v>74.3333333333333</v>
      </c>
      <c r="L14" s="21" t="n">
        <f aca="false">AVERAGE('Historical Demand'!K14:M14)</f>
        <v>79.3333333333333</v>
      </c>
      <c r="M14" s="21" t="n">
        <f aca="false">AVERAGE('Historical Demand'!L14:N14)</f>
        <v>89.6666666666667</v>
      </c>
      <c r="N14" s="21" t="n">
        <f aca="false">AVERAGE('Historical Demand'!M14:O14)</f>
        <v>103.333333333333</v>
      </c>
      <c r="O14" s="21" t="n">
        <f aca="false">AVERAGE('Historical Demand'!N14:P14)</f>
        <v>109.333333333333</v>
      </c>
      <c r="P14" s="21" t="n">
        <f aca="false">AVERAGE('Historical Demand'!O14:Q14)</f>
        <v>97.3333333333333</v>
      </c>
      <c r="Q14" s="21" t="n">
        <f aca="false">AVERAGE('Historical Demand'!P14:R14)</f>
        <v>79</v>
      </c>
      <c r="R14" s="21" t="n">
        <f aca="false">AVERAGE('Historical Demand'!Q14:S14)</f>
        <v>72.3333333333333</v>
      </c>
      <c r="S14" s="21" t="n">
        <f aca="false">AVERAGE('Historical Demand'!R14:T14)</f>
        <v>71.6666666666667</v>
      </c>
      <c r="T14" s="21" t="n">
        <f aca="false">AVERAGE('Historical Demand'!S14:U14)</f>
        <v>78.3333333333333</v>
      </c>
      <c r="U14" s="21" t="n">
        <f aca="false">AVERAGE('Historical Demand'!T14:V14)</f>
        <v>83.3333333333333</v>
      </c>
      <c r="V14" s="21" t="n">
        <f aca="false">AVERAGE('Historical Demand'!U14:W14)</f>
        <v>85</v>
      </c>
      <c r="W14" s="21" t="n">
        <f aca="false">AVERAGE('Historical Demand'!V14:X14)</f>
        <v>84.3333333333333</v>
      </c>
      <c r="X14" s="21" t="n">
        <f aca="false">AVERAGE('Historical Demand'!W14:Y14)</f>
        <v>86</v>
      </c>
      <c r="Y14" s="21" t="n">
        <f aca="false">AVERAGE('Historical Demand'!X14:Z14)</f>
        <v>102.666666666667</v>
      </c>
      <c r="Z14" s="21" t="n">
        <f aca="false">AVERAGE('Historical Demand'!Y14:AA14)</f>
        <v>133</v>
      </c>
      <c r="AA14" s="21" t="n">
        <f aca="false">AVERAGE('Historical Demand'!Z14:AB14)</f>
        <v>139</v>
      </c>
      <c r="AB14" s="21" t="n">
        <f aca="false">AVERAGE('Historical Demand'!AA14:AC14)</f>
        <v>128</v>
      </c>
      <c r="AC14" s="21" t="n">
        <f aca="false">AVERAGE('Historical Demand'!AB14:AD14)</f>
        <v>100.333333333333</v>
      </c>
      <c r="AD14" s="21" t="n">
        <f aca="false">AVERAGE('Historical Demand'!AC14:AE14)</f>
        <v>91</v>
      </c>
      <c r="AE14" s="21" t="n">
        <f aca="false">AVERAGE('Historical Demand'!AD14:AF14)</f>
        <v>86</v>
      </c>
      <c r="AF14" s="21" t="n">
        <f aca="false">AVERAGE('Historical Demand'!AE14:AG14)</f>
        <v>92.3333333333333</v>
      </c>
      <c r="AG14" s="21" t="n">
        <f aca="false">AVERAGE('Historical Demand'!AF14:AH14)</f>
        <v>94.6666666666667</v>
      </c>
      <c r="AH14" s="21" t="n">
        <f aca="false">AVERAGE('Historical Demand'!AG14:AI14)</f>
        <v>105</v>
      </c>
      <c r="AI14" s="21" t="n">
        <f aca="false">AVERAGE('Historical Demand'!AH14:AJ14)</f>
        <v>110.666666666667</v>
      </c>
      <c r="AJ14" s="21" t="n">
        <f aca="false">AVERAGE('Historical Demand'!AI14:AK14)</f>
        <v>113.666666666667</v>
      </c>
      <c r="AK14" s="21" t="n">
        <f aca="false">AVERAGE('Historical Demand'!AJ14:AL14)</f>
        <v>126.666666666667</v>
      </c>
      <c r="AL14" s="21" t="n">
        <f aca="false">AVERAGE('Historical Demand'!AK14:AM14)</f>
        <v>156</v>
      </c>
    </row>
    <row r="15" customFormat="false" ht="15" hidden="false" customHeight="false" outlineLevel="0" collapsed="false">
      <c r="A15" s="0" t="str">
        <f aca="false">'Historical Demand'!A15</f>
        <v>ELE-402</v>
      </c>
      <c r="B15" s="0" t="str">
        <f aca="false">'Historical Demand'!B15</f>
        <v>Bluetooth Speaker</v>
      </c>
      <c r="C15" s="20" t="s">
        <v>79</v>
      </c>
      <c r="D15" s="20" t="s">
        <v>79</v>
      </c>
      <c r="E15" s="21" t="n">
        <f aca="false">AVERAGE('Historical Demand'!D15:F15)</f>
        <v>41.6666666666667</v>
      </c>
      <c r="F15" s="21" t="n">
        <f aca="false">AVERAGE('Historical Demand'!E15:G15)</f>
        <v>37.3333333333333</v>
      </c>
      <c r="G15" s="21" t="n">
        <f aca="false">AVERAGE('Historical Demand'!F15:H15)</f>
        <v>38</v>
      </c>
      <c r="H15" s="21" t="n">
        <f aca="false">AVERAGE('Historical Demand'!G15:I15)</f>
        <v>39.3333333333333</v>
      </c>
      <c r="I15" s="21" t="n">
        <f aca="false">AVERAGE('Historical Demand'!H15:J15)</f>
        <v>39</v>
      </c>
      <c r="J15" s="21" t="n">
        <f aca="false">AVERAGE('Historical Demand'!I15:K15)</f>
        <v>40.3333333333333</v>
      </c>
      <c r="K15" s="21" t="n">
        <f aca="false">AVERAGE('Historical Demand'!J15:L15)</f>
        <v>41.3333333333333</v>
      </c>
      <c r="L15" s="21" t="n">
        <f aca="false">AVERAGE('Historical Demand'!K15:M15)</f>
        <v>43.6666666666667</v>
      </c>
      <c r="M15" s="21" t="n">
        <f aca="false">AVERAGE('Historical Demand'!L15:N15)</f>
        <v>45.6666666666667</v>
      </c>
      <c r="N15" s="21" t="n">
        <f aca="false">AVERAGE('Historical Demand'!M15:O15)</f>
        <v>52.6666666666667</v>
      </c>
      <c r="O15" s="21" t="n">
        <f aca="false">AVERAGE('Historical Demand'!N15:P15)</f>
        <v>57</v>
      </c>
      <c r="P15" s="21" t="n">
        <f aca="false">AVERAGE('Historical Demand'!O15:Q15)</f>
        <v>52</v>
      </c>
      <c r="Q15" s="21" t="n">
        <f aca="false">AVERAGE('Historical Demand'!P15:R15)</f>
        <v>43.6666666666667</v>
      </c>
      <c r="R15" s="21" t="n">
        <f aca="false">AVERAGE('Historical Demand'!Q15:S15)</f>
        <v>36.3333333333333</v>
      </c>
      <c r="S15" s="21" t="n">
        <f aca="false">AVERAGE('Historical Demand'!R15:T15)</f>
        <v>36.3333333333333</v>
      </c>
      <c r="T15" s="21" t="n">
        <f aca="false">AVERAGE('Historical Demand'!S15:U15)</f>
        <v>35.3333333333333</v>
      </c>
      <c r="U15" s="21" t="n">
        <f aca="false">AVERAGE('Historical Demand'!T15:V15)</f>
        <v>38.6666666666667</v>
      </c>
      <c r="V15" s="21" t="n">
        <f aca="false">AVERAGE('Historical Demand'!U15:W15)</f>
        <v>42.3333333333333</v>
      </c>
      <c r="W15" s="21" t="n">
        <f aca="false">AVERAGE('Historical Demand'!V15:X15)</f>
        <v>43.6666666666667</v>
      </c>
      <c r="X15" s="21" t="n">
        <f aca="false">AVERAGE('Historical Demand'!W15:Y15)</f>
        <v>44.3333333333333</v>
      </c>
      <c r="Y15" s="21" t="n">
        <f aca="false">AVERAGE('Historical Demand'!X15:Z15)</f>
        <v>50.3333333333333</v>
      </c>
      <c r="Z15" s="21" t="n">
        <f aca="false">AVERAGE('Historical Demand'!Y15:AA15)</f>
        <v>61.3333333333333</v>
      </c>
      <c r="AA15" s="21" t="n">
        <f aca="false">AVERAGE('Historical Demand'!Z15:AB15)</f>
        <v>64</v>
      </c>
      <c r="AB15" s="21" t="n">
        <f aca="false">AVERAGE('Historical Demand'!AA15:AC15)</f>
        <v>57.3333333333333</v>
      </c>
      <c r="AC15" s="21" t="n">
        <f aca="false">AVERAGE('Historical Demand'!AB15:AD15)</f>
        <v>46</v>
      </c>
      <c r="AD15" s="21" t="n">
        <f aca="false">AVERAGE('Historical Demand'!AC15:AE15)</f>
        <v>40.3333333333333</v>
      </c>
      <c r="AE15" s="21" t="n">
        <f aca="false">AVERAGE('Historical Demand'!AD15:AF15)</f>
        <v>38.6666666666667</v>
      </c>
      <c r="AF15" s="21" t="n">
        <f aca="false">AVERAGE('Historical Demand'!AE15:AG15)</f>
        <v>39.6666666666667</v>
      </c>
      <c r="AG15" s="21" t="n">
        <f aca="false">AVERAGE('Historical Demand'!AF15:AH15)</f>
        <v>42.3333333333333</v>
      </c>
      <c r="AH15" s="21" t="n">
        <f aca="false">AVERAGE('Historical Demand'!AG15:AI15)</f>
        <v>44</v>
      </c>
      <c r="AI15" s="21" t="n">
        <f aca="false">AVERAGE('Historical Demand'!AH15:AJ15)</f>
        <v>43.6666666666667</v>
      </c>
      <c r="AJ15" s="21" t="n">
        <f aca="false">AVERAGE('Historical Demand'!AI15:AK15)</f>
        <v>44.3333333333333</v>
      </c>
      <c r="AK15" s="21" t="n">
        <f aca="false">AVERAGE('Historical Demand'!AJ15:AL15)</f>
        <v>48</v>
      </c>
      <c r="AL15" s="21" t="n">
        <f aca="false">AVERAGE('Historical Demand'!AK15:AM15)</f>
        <v>59.3333333333333</v>
      </c>
    </row>
    <row r="16" customFormat="false" ht="15" hidden="false" customHeight="false" outlineLevel="0" collapsed="false">
      <c r="A16" s="0" t="str">
        <f aca="false">'Historical Demand'!A16</f>
        <v>ELE-403</v>
      </c>
      <c r="B16" s="0" t="str">
        <f aca="false">'Historical Demand'!B16</f>
        <v>Fitness Tracker Band</v>
      </c>
      <c r="C16" s="20" t="s">
        <v>79</v>
      </c>
      <c r="D16" s="20" t="s">
        <v>79</v>
      </c>
      <c r="E16" s="21" t="n">
        <f aca="false">AVERAGE('Historical Demand'!D16:F16)</f>
        <v>28.3333333333333</v>
      </c>
      <c r="F16" s="21" t="n">
        <f aca="false">AVERAGE('Historical Demand'!E16:G16)</f>
        <v>24.3333333333333</v>
      </c>
      <c r="G16" s="21" t="n">
        <f aca="false">AVERAGE('Historical Demand'!F16:H16)</f>
        <v>25</v>
      </c>
      <c r="H16" s="21" t="n">
        <f aca="false">AVERAGE('Historical Demand'!G16:I16)</f>
        <v>27.3333333333333</v>
      </c>
      <c r="I16" s="21" t="n">
        <f aca="false">AVERAGE('Historical Demand'!H16:J16)</f>
        <v>28</v>
      </c>
      <c r="J16" s="21" t="n">
        <f aca="false">AVERAGE('Historical Demand'!I16:K16)</f>
        <v>29.3333333333333</v>
      </c>
      <c r="K16" s="21" t="n">
        <f aca="false">AVERAGE('Historical Demand'!J16:L16)</f>
        <v>29.6666666666667</v>
      </c>
      <c r="L16" s="21" t="n">
        <f aca="false">AVERAGE('Historical Demand'!K16:M16)</f>
        <v>32.3333333333333</v>
      </c>
      <c r="M16" s="21" t="n">
        <f aca="false">AVERAGE('Historical Demand'!L16:N16)</f>
        <v>34</v>
      </c>
      <c r="N16" s="21" t="n">
        <f aca="false">AVERAGE('Historical Demand'!M16:O16)</f>
        <v>39.6666666666667</v>
      </c>
      <c r="O16" s="21" t="n">
        <f aca="false">AVERAGE('Historical Demand'!N16:P16)</f>
        <v>41.6666666666667</v>
      </c>
      <c r="P16" s="21" t="n">
        <f aca="false">AVERAGE('Historical Demand'!O16:Q16)</f>
        <v>38</v>
      </c>
      <c r="Q16" s="21" t="n">
        <f aca="false">AVERAGE('Historical Demand'!P16:R16)</f>
        <v>31</v>
      </c>
      <c r="R16" s="21" t="n">
        <f aca="false">AVERAGE('Historical Demand'!Q16:S16)</f>
        <v>27.6666666666667</v>
      </c>
      <c r="S16" s="21" t="n">
        <f aca="false">AVERAGE('Historical Demand'!R16:T16)</f>
        <v>29.6666666666667</v>
      </c>
      <c r="T16" s="21" t="n">
        <f aca="false">AVERAGE('Historical Demand'!S16:U16)</f>
        <v>31.3333333333333</v>
      </c>
      <c r="U16" s="21" t="n">
        <f aca="false">AVERAGE('Historical Demand'!T16:V16)</f>
        <v>31</v>
      </c>
      <c r="V16" s="21" t="n">
        <f aca="false">AVERAGE('Historical Demand'!U16:W16)</f>
        <v>32.6666666666667</v>
      </c>
      <c r="W16" s="21" t="n">
        <f aca="false">AVERAGE('Historical Demand'!V16:X16)</f>
        <v>34.6666666666667</v>
      </c>
      <c r="X16" s="21" t="n">
        <f aca="false">AVERAGE('Historical Demand'!W16:Y16)</f>
        <v>36.3333333333333</v>
      </c>
      <c r="Y16" s="21" t="n">
        <f aca="false">AVERAGE('Historical Demand'!X16:Z16)</f>
        <v>40.3333333333333</v>
      </c>
      <c r="Z16" s="21" t="n">
        <f aca="false">AVERAGE('Historical Demand'!Y16:AA16)</f>
        <v>48.6666666666667</v>
      </c>
      <c r="AA16" s="21" t="n">
        <f aca="false">AVERAGE('Historical Demand'!Z16:AB16)</f>
        <v>51.3333333333333</v>
      </c>
      <c r="AB16" s="21" t="n">
        <f aca="false">AVERAGE('Historical Demand'!AA16:AC16)</f>
        <v>45.3333333333333</v>
      </c>
      <c r="AC16" s="21" t="n">
        <f aca="false">AVERAGE('Historical Demand'!AB16:AD16)</f>
        <v>34.3333333333333</v>
      </c>
      <c r="AD16" s="21" t="n">
        <f aca="false">AVERAGE('Historical Demand'!AC16:AE16)</f>
        <v>31.6666666666667</v>
      </c>
      <c r="AE16" s="21" t="n">
        <f aca="false">AVERAGE('Historical Demand'!AD16:AF16)</f>
        <v>32.3333333333333</v>
      </c>
      <c r="AF16" s="21" t="n">
        <f aca="false">AVERAGE('Historical Demand'!AE16:AG16)</f>
        <v>34.6666666666667</v>
      </c>
      <c r="AG16" s="21" t="n">
        <f aca="false">AVERAGE('Historical Demand'!AF16:AH16)</f>
        <v>34.3333333333333</v>
      </c>
      <c r="AH16" s="21" t="n">
        <f aca="false">AVERAGE('Historical Demand'!AG16:AI16)</f>
        <v>37.3333333333333</v>
      </c>
      <c r="AI16" s="21" t="n">
        <f aca="false">AVERAGE('Historical Demand'!AH16:AJ16)</f>
        <v>38</v>
      </c>
      <c r="AJ16" s="21" t="n">
        <f aca="false">AVERAGE('Historical Demand'!AI16:AK16)</f>
        <v>41.3333333333333</v>
      </c>
      <c r="AK16" s="21" t="n">
        <f aca="false">AVERAGE('Historical Demand'!AJ16:AL16)</f>
        <v>45.3333333333333</v>
      </c>
      <c r="AL16" s="21" t="n">
        <f aca="false">AVERAGE('Historical Demand'!AK16:AM16)</f>
        <v>55</v>
      </c>
    </row>
    <row r="17" customFormat="false" ht="15" hidden="false" customHeight="false" outlineLevel="0" collapsed="false">
      <c r="A17" s="0" t="str">
        <f aca="false">'Historical Demand'!A17</f>
        <v>ELE-404</v>
      </c>
      <c r="B17" s="0" t="str">
        <f aca="false">'Historical Demand'!B17</f>
        <v>Phone Charging Cable</v>
      </c>
      <c r="C17" s="20" t="s">
        <v>79</v>
      </c>
      <c r="D17" s="20" t="s">
        <v>79</v>
      </c>
      <c r="E17" s="21" t="n">
        <f aca="false">AVERAGE('Historical Demand'!D17:F17)</f>
        <v>104</v>
      </c>
      <c r="F17" s="21" t="n">
        <f aca="false">AVERAGE('Historical Demand'!E17:G17)</f>
        <v>97</v>
      </c>
      <c r="G17" s="21" t="n">
        <f aca="false">AVERAGE('Historical Demand'!F17:H17)</f>
        <v>102.333333333333</v>
      </c>
      <c r="H17" s="21" t="n">
        <f aca="false">AVERAGE('Historical Demand'!G17:I17)</f>
        <v>106.666666666667</v>
      </c>
      <c r="I17" s="21" t="n">
        <f aca="false">AVERAGE('Historical Demand'!H17:J17)</f>
        <v>110</v>
      </c>
      <c r="J17" s="21" t="n">
        <f aca="false">AVERAGE('Historical Demand'!I17:K17)</f>
        <v>112</v>
      </c>
      <c r="K17" s="21" t="n">
        <f aca="false">AVERAGE('Historical Demand'!J17:L17)</f>
        <v>112.333333333333</v>
      </c>
      <c r="L17" s="21" t="n">
        <f aca="false">AVERAGE('Historical Demand'!K17:M17)</f>
        <v>116.333333333333</v>
      </c>
      <c r="M17" s="21" t="n">
        <f aca="false">AVERAGE('Historical Demand'!L17:N17)</f>
        <v>134.666666666667</v>
      </c>
      <c r="N17" s="21" t="n">
        <f aca="false">AVERAGE('Historical Demand'!M17:O17)</f>
        <v>160.666666666667</v>
      </c>
      <c r="O17" s="21" t="n">
        <f aca="false">AVERAGE('Historical Demand'!N17:P17)</f>
        <v>169.333333333333</v>
      </c>
      <c r="P17" s="21" t="n">
        <f aca="false">AVERAGE('Historical Demand'!O17:Q17)</f>
        <v>149.333333333333</v>
      </c>
      <c r="Q17" s="21" t="n">
        <f aca="false">AVERAGE('Historical Demand'!P17:R17)</f>
        <v>121</v>
      </c>
      <c r="R17" s="21" t="n">
        <f aca="false">AVERAGE('Historical Demand'!Q17:S17)</f>
        <v>104.333333333333</v>
      </c>
      <c r="S17" s="21" t="n">
        <f aca="false">AVERAGE('Historical Demand'!R17:T17)</f>
        <v>99.3333333333333</v>
      </c>
      <c r="T17" s="21" t="n">
        <f aca="false">AVERAGE('Historical Demand'!S17:U17)</f>
        <v>102</v>
      </c>
      <c r="U17" s="21" t="n">
        <f aca="false">AVERAGE('Historical Demand'!T17:V17)</f>
        <v>105</v>
      </c>
      <c r="V17" s="21" t="n">
        <f aca="false">AVERAGE('Historical Demand'!U17:W17)</f>
        <v>110</v>
      </c>
      <c r="W17" s="21" t="n">
        <f aca="false">AVERAGE('Historical Demand'!V17:X17)</f>
        <v>107.333333333333</v>
      </c>
      <c r="X17" s="21" t="n">
        <f aca="false">AVERAGE('Historical Demand'!W17:Y17)</f>
        <v>113.666666666667</v>
      </c>
      <c r="Y17" s="21" t="n">
        <f aca="false">AVERAGE('Historical Demand'!X17:Z17)</f>
        <v>138</v>
      </c>
      <c r="Z17" s="21" t="n">
        <f aca="false">AVERAGE('Historical Demand'!Y17:AA17)</f>
        <v>170.666666666667</v>
      </c>
      <c r="AA17" s="21" t="n">
        <f aca="false">AVERAGE('Historical Demand'!Z17:AB17)</f>
        <v>185.666666666667</v>
      </c>
      <c r="AB17" s="21" t="n">
        <f aca="false">AVERAGE('Historical Demand'!AA17:AC17)</f>
        <v>159.333333333333</v>
      </c>
      <c r="AC17" s="21" t="n">
        <f aca="false">AVERAGE('Historical Demand'!AB17:AD17)</f>
        <v>125</v>
      </c>
      <c r="AD17" s="21" t="n">
        <f aca="false">AVERAGE('Historical Demand'!AC17:AE17)</f>
        <v>107</v>
      </c>
      <c r="AE17" s="21" t="n">
        <f aca="false">AVERAGE('Historical Demand'!AD17:AF17)</f>
        <v>112.333333333333</v>
      </c>
      <c r="AF17" s="21" t="n">
        <f aca="false">AVERAGE('Historical Demand'!AE17:AG17)</f>
        <v>121</v>
      </c>
      <c r="AG17" s="21" t="n">
        <f aca="false">AVERAGE('Historical Demand'!AF17:AH17)</f>
        <v>120</v>
      </c>
      <c r="AH17" s="21" t="n">
        <f aca="false">AVERAGE('Historical Demand'!AG17:AI17)</f>
        <v>125</v>
      </c>
      <c r="AI17" s="21" t="n">
        <f aca="false">AVERAGE('Historical Demand'!AH17:AJ17)</f>
        <v>124</v>
      </c>
      <c r="AJ17" s="21" t="n">
        <f aca="false">AVERAGE('Historical Demand'!AI17:AK17)</f>
        <v>127.666666666667</v>
      </c>
      <c r="AK17" s="21" t="n">
        <f aca="false">AVERAGE('Historical Demand'!AJ17:AL17)</f>
        <v>137.333333333333</v>
      </c>
      <c r="AL17" s="21" t="n">
        <f aca="false">AVERAGE('Historical Demand'!AK17:AM17)</f>
        <v>162.666666666667</v>
      </c>
    </row>
    <row r="18" customFormat="false" ht="15" hidden="false" customHeight="false" outlineLevel="0" collapsed="false">
      <c r="A18" s="0" t="str">
        <f aca="false">'Historical Demand'!A18</f>
        <v>HOM-501</v>
      </c>
      <c r="B18" s="0" t="str">
        <f aca="false">'Historical Demand'!B18</f>
        <v>Ceramic Coffee Mug Set</v>
      </c>
      <c r="C18" s="20" t="s">
        <v>79</v>
      </c>
      <c r="D18" s="20" t="s">
        <v>79</v>
      </c>
      <c r="E18" s="21" t="n">
        <f aca="false">AVERAGE('Historical Demand'!D18:F18)</f>
        <v>32</v>
      </c>
      <c r="F18" s="21" t="n">
        <f aca="false">AVERAGE('Historical Demand'!E18:G18)</f>
        <v>36.3333333333333</v>
      </c>
      <c r="G18" s="21" t="n">
        <f aca="false">AVERAGE('Historical Demand'!F18:H18)</f>
        <v>38</v>
      </c>
      <c r="H18" s="21" t="n">
        <f aca="false">AVERAGE('Historical Demand'!G18:I18)</f>
        <v>35.3333333333333</v>
      </c>
      <c r="I18" s="21" t="n">
        <f aca="false">AVERAGE('Historical Demand'!H18:J18)</f>
        <v>33</v>
      </c>
      <c r="J18" s="21" t="n">
        <f aca="false">AVERAGE('Historical Demand'!I18:K18)</f>
        <v>30.6666666666667</v>
      </c>
      <c r="K18" s="21" t="n">
        <f aca="false">AVERAGE('Historical Demand'!J18:L18)</f>
        <v>31.3333333333333</v>
      </c>
      <c r="L18" s="21" t="n">
        <f aca="false">AVERAGE('Historical Demand'!K18:M18)</f>
        <v>33.6666666666667</v>
      </c>
      <c r="M18" s="21" t="n">
        <f aca="false">AVERAGE('Historical Demand'!L18:N18)</f>
        <v>38</v>
      </c>
      <c r="N18" s="21" t="n">
        <f aca="false">AVERAGE('Historical Demand'!M18:O18)</f>
        <v>42</v>
      </c>
      <c r="O18" s="21" t="n">
        <f aca="false">AVERAGE('Historical Demand'!N18:P18)</f>
        <v>39.3333333333333</v>
      </c>
      <c r="P18" s="21" t="n">
        <f aca="false">AVERAGE('Historical Demand'!O18:Q18)</f>
        <v>37.3333333333333</v>
      </c>
      <c r="Q18" s="21" t="n">
        <f aca="false">AVERAGE('Historical Demand'!P18:R18)</f>
        <v>34.3333333333333</v>
      </c>
      <c r="R18" s="21" t="n">
        <f aca="false">AVERAGE('Historical Demand'!Q18:S18)</f>
        <v>37</v>
      </c>
      <c r="S18" s="21" t="n">
        <f aca="false">AVERAGE('Historical Demand'!R18:T18)</f>
        <v>37</v>
      </c>
      <c r="T18" s="21" t="n">
        <f aca="false">AVERAGE('Historical Demand'!S18:U18)</f>
        <v>34.3333333333333</v>
      </c>
      <c r="U18" s="21" t="n">
        <f aca="false">AVERAGE('Historical Demand'!T18:V18)</f>
        <v>32</v>
      </c>
      <c r="V18" s="21" t="n">
        <f aca="false">AVERAGE('Historical Demand'!U18:W18)</f>
        <v>30</v>
      </c>
      <c r="W18" s="21" t="n">
        <f aca="false">AVERAGE('Historical Demand'!V18:X18)</f>
        <v>32.3333333333333</v>
      </c>
      <c r="X18" s="21" t="n">
        <f aca="false">AVERAGE('Historical Demand'!W18:Y18)</f>
        <v>33.3333333333333</v>
      </c>
      <c r="Y18" s="21" t="n">
        <f aca="false">AVERAGE('Historical Demand'!X18:Z18)</f>
        <v>37.3333333333333</v>
      </c>
      <c r="Z18" s="21" t="n">
        <f aca="false">AVERAGE('Historical Demand'!Y18:AA18)</f>
        <v>44</v>
      </c>
      <c r="AA18" s="21" t="n">
        <f aca="false">AVERAGE('Historical Demand'!Z18:AB18)</f>
        <v>44</v>
      </c>
      <c r="AB18" s="21" t="n">
        <f aca="false">AVERAGE('Historical Demand'!AA18:AC18)</f>
        <v>40.3333333333333</v>
      </c>
      <c r="AC18" s="21" t="n">
        <f aca="false">AVERAGE('Historical Demand'!AB18:AD18)</f>
        <v>36.6666666666667</v>
      </c>
      <c r="AD18" s="21" t="n">
        <f aca="false">AVERAGE('Historical Demand'!AC18:AE18)</f>
        <v>39.6666666666667</v>
      </c>
      <c r="AE18" s="21" t="n">
        <f aca="false">AVERAGE('Historical Demand'!AD18:AF18)</f>
        <v>43.3333333333333</v>
      </c>
      <c r="AF18" s="21" t="n">
        <f aca="false">AVERAGE('Historical Demand'!AE18:AG18)</f>
        <v>40.6666666666667</v>
      </c>
      <c r="AG18" s="21" t="n">
        <f aca="false">AVERAGE('Historical Demand'!AF18:AH18)</f>
        <v>36.6666666666667</v>
      </c>
      <c r="AH18" s="21" t="n">
        <f aca="false">AVERAGE('Historical Demand'!AG18:AI18)</f>
        <v>33.6666666666667</v>
      </c>
      <c r="AI18" s="21" t="n">
        <f aca="false">AVERAGE('Historical Demand'!AH18:AJ18)</f>
        <v>31.6666666666667</v>
      </c>
      <c r="AJ18" s="21" t="n">
        <f aca="false">AVERAGE('Historical Demand'!AI18:AK18)</f>
        <v>33.3333333333333</v>
      </c>
      <c r="AK18" s="21" t="n">
        <f aca="false">AVERAGE('Historical Demand'!AJ18:AL18)</f>
        <v>38.3333333333333</v>
      </c>
      <c r="AL18" s="21" t="n">
        <f aca="false">AVERAGE('Historical Demand'!AK18:AM18)</f>
        <v>45.3333333333333</v>
      </c>
    </row>
    <row r="19" customFormat="false" ht="15" hidden="false" customHeight="false" outlineLevel="0" collapsed="false">
      <c r="A19" s="0" t="str">
        <f aca="false">'Historical Demand'!A19</f>
        <v>HOM-502</v>
      </c>
      <c r="B19" s="0" t="str">
        <f aca="false">'Historical Demand'!B19</f>
        <v>Scented Candle</v>
      </c>
      <c r="C19" s="20" t="s">
        <v>79</v>
      </c>
      <c r="D19" s="20" t="s">
        <v>79</v>
      </c>
      <c r="E19" s="21" t="n">
        <f aca="false">AVERAGE('Historical Demand'!D19:F19)</f>
        <v>45</v>
      </c>
      <c r="F19" s="21" t="n">
        <f aca="false">AVERAGE('Historical Demand'!E19:G19)</f>
        <v>49.3333333333333</v>
      </c>
      <c r="G19" s="21" t="n">
        <f aca="false">AVERAGE('Historical Demand'!F19:H19)</f>
        <v>53.6666666666667</v>
      </c>
      <c r="H19" s="21" t="n">
        <f aca="false">AVERAGE('Historical Demand'!G19:I19)</f>
        <v>48.6666666666667</v>
      </c>
      <c r="I19" s="21" t="n">
        <f aca="false">AVERAGE('Historical Demand'!H19:J19)</f>
        <v>45.3333333333333</v>
      </c>
      <c r="J19" s="21" t="n">
        <f aca="false">AVERAGE('Historical Demand'!I19:K19)</f>
        <v>41</v>
      </c>
      <c r="K19" s="21" t="n">
        <f aca="false">AVERAGE('Historical Demand'!J19:L19)</f>
        <v>41.3333333333333</v>
      </c>
      <c r="L19" s="21" t="n">
        <f aca="false">AVERAGE('Historical Demand'!K19:M19)</f>
        <v>44.6666666666667</v>
      </c>
      <c r="M19" s="21" t="n">
        <f aca="false">AVERAGE('Historical Demand'!L19:N19)</f>
        <v>53.3333333333333</v>
      </c>
      <c r="N19" s="21" t="n">
        <f aca="false">AVERAGE('Historical Demand'!M19:O19)</f>
        <v>61.3333333333333</v>
      </c>
      <c r="O19" s="21" t="n">
        <f aca="false">AVERAGE('Historical Demand'!N19:P19)</f>
        <v>59</v>
      </c>
      <c r="P19" s="21" t="n">
        <f aca="false">AVERAGE('Historical Demand'!O19:Q19)</f>
        <v>50</v>
      </c>
      <c r="Q19" s="21" t="n">
        <f aca="false">AVERAGE('Historical Demand'!P19:R19)</f>
        <v>45.6666666666667</v>
      </c>
      <c r="R19" s="21" t="n">
        <f aca="false">AVERAGE('Historical Demand'!Q19:S19)</f>
        <v>51.6666666666667</v>
      </c>
      <c r="S19" s="21" t="n">
        <f aca="false">AVERAGE('Historical Demand'!R19:T19)</f>
        <v>57.6666666666667</v>
      </c>
      <c r="T19" s="21" t="n">
        <f aca="false">AVERAGE('Historical Demand'!S19:U19)</f>
        <v>57</v>
      </c>
      <c r="U19" s="21" t="n">
        <f aca="false">AVERAGE('Historical Demand'!T19:V19)</f>
        <v>50</v>
      </c>
      <c r="V19" s="21" t="n">
        <f aca="false">AVERAGE('Historical Demand'!U19:W19)</f>
        <v>46</v>
      </c>
      <c r="W19" s="21" t="n">
        <f aca="false">AVERAGE('Historical Demand'!V19:X19)</f>
        <v>46.3333333333333</v>
      </c>
      <c r="X19" s="21" t="n">
        <f aca="false">AVERAGE('Historical Demand'!W19:Y19)</f>
        <v>47.6666666666667</v>
      </c>
      <c r="Y19" s="21" t="n">
        <f aca="false">AVERAGE('Historical Demand'!X19:Z19)</f>
        <v>55.3333333333333</v>
      </c>
      <c r="Z19" s="21" t="n">
        <f aca="false">AVERAGE('Historical Demand'!Y19:AA19)</f>
        <v>65</v>
      </c>
      <c r="AA19" s="21" t="n">
        <f aca="false">AVERAGE('Historical Demand'!Z19:AB19)</f>
        <v>66</v>
      </c>
      <c r="AB19" s="21" t="n">
        <f aca="false">AVERAGE('Historical Demand'!AA19:AC19)</f>
        <v>58.6666666666667</v>
      </c>
      <c r="AC19" s="21" t="n">
        <f aca="false">AVERAGE('Historical Demand'!AB19:AD19)</f>
        <v>51.6666666666667</v>
      </c>
      <c r="AD19" s="21" t="n">
        <f aca="false">AVERAGE('Historical Demand'!AC19:AE19)</f>
        <v>56.6666666666667</v>
      </c>
      <c r="AE19" s="21" t="n">
        <f aca="false">AVERAGE('Historical Demand'!AD19:AF19)</f>
        <v>59.3333333333333</v>
      </c>
      <c r="AF19" s="21" t="n">
        <f aca="false">AVERAGE('Historical Demand'!AE19:AG19)</f>
        <v>56.6666666666667</v>
      </c>
      <c r="AG19" s="21" t="n">
        <f aca="false">AVERAGE('Historical Demand'!AF19:AH19)</f>
        <v>49.6666666666667</v>
      </c>
      <c r="AH19" s="21" t="n">
        <f aca="false">AVERAGE('Historical Demand'!AG19:AI19)</f>
        <v>45</v>
      </c>
      <c r="AI19" s="21" t="n">
        <f aca="false">AVERAGE('Historical Demand'!AH19:AJ19)</f>
        <v>43.3333333333333</v>
      </c>
      <c r="AJ19" s="21" t="n">
        <f aca="false">AVERAGE('Historical Demand'!AI19:AK19)</f>
        <v>49.3333333333333</v>
      </c>
      <c r="AK19" s="21" t="n">
        <f aca="false">AVERAGE('Historical Demand'!AJ19:AL19)</f>
        <v>57.6666666666667</v>
      </c>
      <c r="AL19" s="21" t="n">
        <f aca="false">AVERAGE('Historical Demand'!AK19:AM19)</f>
        <v>71.6666666666667</v>
      </c>
    </row>
    <row r="20" customFormat="false" ht="15" hidden="false" customHeight="false" outlineLevel="0" collapsed="false">
      <c r="A20" s="0" t="str">
        <f aca="false">'Historical Demand'!A20</f>
        <v>HOM-503</v>
      </c>
      <c r="B20" s="0" t="str">
        <f aca="false">'Historical Demand'!B20</f>
        <v>Cotton Throw Blanket</v>
      </c>
      <c r="C20" s="20" t="s">
        <v>79</v>
      </c>
      <c r="D20" s="20" t="s">
        <v>79</v>
      </c>
      <c r="E20" s="21" t="n">
        <f aca="false">AVERAGE('Historical Demand'!D20:F20)</f>
        <v>27.6666666666667</v>
      </c>
      <c r="F20" s="21" t="n">
        <f aca="false">AVERAGE('Historical Demand'!E20:G20)</f>
        <v>29</v>
      </c>
      <c r="G20" s="21" t="n">
        <f aca="false">AVERAGE('Historical Demand'!F20:H20)</f>
        <v>30</v>
      </c>
      <c r="H20" s="21" t="n">
        <f aca="false">AVERAGE('Historical Demand'!G20:I20)</f>
        <v>29</v>
      </c>
      <c r="I20" s="21" t="n">
        <f aca="false">AVERAGE('Historical Demand'!H20:J20)</f>
        <v>27.3333333333333</v>
      </c>
      <c r="J20" s="21" t="n">
        <f aca="false">AVERAGE('Historical Demand'!I20:K20)</f>
        <v>24.3333333333333</v>
      </c>
      <c r="K20" s="21" t="n">
        <f aca="false">AVERAGE('Historical Demand'!J20:L20)</f>
        <v>22.6666666666667</v>
      </c>
      <c r="L20" s="21" t="n">
        <f aca="false">AVERAGE('Historical Demand'!K20:M20)</f>
        <v>22.6666666666667</v>
      </c>
      <c r="M20" s="21" t="n">
        <f aca="false">AVERAGE('Historical Demand'!L20:N20)</f>
        <v>26.3333333333333</v>
      </c>
      <c r="N20" s="21" t="n">
        <f aca="false">AVERAGE('Historical Demand'!M20:O20)</f>
        <v>32.3333333333333</v>
      </c>
      <c r="O20" s="21" t="n">
        <f aca="false">AVERAGE('Historical Demand'!N20:P20)</f>
        <v>31.6666666666667</v>
      </c>
      <c r="P20" s="21" t="n">
        <f aca="false">AVERAGE('Historical Demand'!O20:Q20)</f>
        <v>30</v>
      </c>
      <c r="Q20" s="21" t="n">
        <f aca="false">AVERAGE('Historical Demand'!P20:R20)</f>
        <v>27.6666666666667</v>
      </c>
      <c r="R20" s="21" t="n">
        <f aca="false">AVERAGE('Historical Demand'!Q20:S20)</f>
        <v>30</v>
      </c>
      <c r="S20" s="21" t="n">
        <f aca="false">AVERAGE('Historical Demand'!R20:T20)</f>
        <v>30.3333333333333</v>
      </c>
      <c r="T20" s="21" t="n">
        <f aca="false">AVERAGE('Historical Demand'!S20:U20)</f>
        <v>28.6666666666667</v>
      </c>
      <c r="U20" s="21" t="n">
        <f aca="false">AVERAGE('Historical Demand'!T20:V20)</f>
        <v>27</v>
      </c>
      <c r="V20" s="21" t="n">
        <f aca="false">AVERAGE('Historical Demand'!U20:W20)</f>
        <v>24.6666666666667</v>
      </c>
      <c r="W20" s="21" t="n">
        <f aca="false">AVERAGE('Historical Demand'!V20:X20)</f>
        <v>23.3333333333333</v>
      </c>
      <c r="X20" s="21" t="n">
        <f aca="false">AVERAGE('Historical Demand'!W20:Y20)</f>
        <v>25</v>
      </c>
      <c r="Y20" s="21" t="n">
        <f aca="false">AVERAGE('Historical Demand'!X20:Z20)</f>
        <v>29.6666666666667</v>
      </c>
      <c r="Z20" s="21" t="n">
        <f aca="false">AVERAGE('Historical Demand'!Y20:AA20)</f>
        <v>34.6666666666667</v>
      </c>
      <c r="AA20" s="21" t="n">
        <f aca="false">AVERAGE('Historical Demand'!Z20:AB20)</f>
        <v>32.6666666666667</v>
      </c>
      <c r="AB20" s="21" t="n">
        <f aca="false">AVERAGE('Historical Demand'!AA20:AC20)</f>
        <v>30</v>
      </c>
      <c r="AC20" s="21" t="n">
        <f aca="false">AVERAGE('Historical Demand'!AB20:AD20)</f>
        <v>26.6666666666667</v>
      </c>
      <c r="AD20" s="21" t="n">
        <f aca="false">AVERAGE('Historical Demand'!AC20:AE20)</f>
        <v>29</v>
      </c>
      <c r="AE20" s="21" t="n">
        <f aca="false">AVERAGE('Historical Demand'!AD20:AF20)</f>
        <v>30.6666666666667</v>
      </c>
      <c r="AF20" s="21" t="n">
        <f aca="false">AVERAGE('Historical Demand'!AE20:AG20)</f>
        <v>29.3333333333333</v>
      </c>
      <c r="AG20" s="21" t="n">
        <f aca="false">AVERAGE('Historical Demand'!AF20:AH20)</f>
        <v>27</v>
      </c>
      <c r="AH20" s="21" t="n">
        <f aca="false">AVERAGE('Historical Demand'!AG20:AI20)</f>
        <v>25.6666666666667</v>
      </c>
      <c r="AI20" s="21" t="n">
        <f aca="false">AVERAGE('Historical Demand'!AH20:AJ20)</f>
        <v>27</v>
      </c>
      <c r="AJ20" s="21" t="n">
        <f aca="false">AVERAGE('Historical Demand'!AI20:AK20)</f>
        <v>28</v>
      </c>
      <c r="AK20" s="21" t="n">
        <f aca="false">AVERAGE('Historical Demand'!AJ20:AL20)</f>
        <v>29</v>
      </c>
      <c r="AL20" s="21" t="n">
        <f aca="false">AVERAGE('Historical Demand'!AK20:AM20)</f>
        <v>32.3333333333333</v>
      </c>
    </row>
    <row r="21" customFormat="false" ht="15" hidden="false" customHeight="false" outlineLevel="0" collapsed="false">
      <c r="A21" s="0" t="str">
        <f aca="false">'Historical Demand'!A21</f>
        <v>HOM-504</v>
      </c>
      <c r="B21" s="0" t="str">
        <f aca="false">'Historical Demand'!B21</f>
        <v>Bamboo Cutting Board</v>
      </c>
      <c r="C21" s="20" t="s">
        <v>79</v>
      </c>
      <c r="D21" s="20" t="s">
        <v>79</v>
      </c>
      <c r="E21" s="21" t="n">
        <f aca="false">AVERAGE('Historical Demand'!D21:F21)</f>
        <v>31</v>
      </c>
      <c r="F21" s="21" t="n">
        <f aca="false">AVERAGE('Historical Demand'!E21:G21)</f>
        <v>34.3333333333333</v>
      </c>
      <c r="G21" s="21" t="n">
        <f aca="false">AVERAGE('Historical Demand'!F21:H21)</f>
        <v>36.6666666666667</v>
      </c>
      <c r="H21" s="21" t="n">
        <f aca="false">AVERAGE('Historical Demand'!G21:I21)</f>
        <v>36</v>
      </c>
      <c r="I21" s="21" t="n">
        <f aca="false">AVERAGE('Historical Demand'!H21:J21)</f>
        <v>30.6666666666667</v>
      </c>
      <c r="J21" s="21" t="n">
        <f aca="false">AVERAGE('Historical Demand'!I21:K21)</f>
        <v>27.6666666666667</v>
      </c>
      <c r="K21" s="21" t="n">
        <f aca="false">AVERAGE('Historical Demand'!J21:L21)</f>
        <v>26.3333333333333</v>
      </c>
      <c r="L21" s="21" t="n">
        <f aca="false">AVERAGE('Historical Demand'!K21:M21)</f>
        <v>28.6666666666667</v>
      </c>
      <c r="M21" s="21" t="n">
        <f aca="false">AVERAGE('Historical Demand'!L21:N21)</f>
        <v>32.6666666666667</v>
      </c>
      <c r="N21" s="21" t="n">
        <f aca="false">AVERAGE('Historical Demand'!M21:O21)</f>
        <v>39.3333333333333</v>
      </c>
      <c r="O21" s="21" t="n">
        <f aca="false">AVERAGE('Historical Demand'!N21:P21)</f>
        <v>39.3333333333333</v>
      </c>
      <c r="P21" s="21" t="n">
        <f aca="false">AVERAGE('Historical Demand'!O21:Q21)</f>
        <v>35.6666666666667</v>
      </c>
      <c r="Q21" s="21" t="n">
        <f aca="false">AVERAGE('Historical Demand'!P21:R21)</f>
        <v>31.3333333333333</v>
      </c>
      <c r="R21" s="21" t="n">
        <f aca="false">AVERAGE('Historical Demand'!Q21:S21)</f>
        <v>32.6666666666667</v>
      </c>
      <c r="S21" s="21" t="n">
        <f aca="false">AVERAGE('Historical Demand'!R21:T21)</f>
        <v>34.6666666666667</v>
      </c>
      <c r="T21" s="21" t="n">
        <f aca="false">AVERAGE('Historical Demand'!S21:U21)</f>
        <v>33</v>
      </c>
      <c r="U21" s="21" t="n">
        <f aca="false">AVERAGE('Historical Demand'!T21:V21)</f>
        <v>31.6666666666667</v>
      </c>
      <c r="V21" s="21" t="n">
        <f aca="false">AVERAGE('Historical Demand'!U21:W21)</f>
        <v>30</v>
      </c>
      <c r="W21" s="21" t="n">
        <f aca="false">AVERAGE('Historical Demand'!V21:X21)</f>
        <v>31.3333333333333</v>
      </c>
      <c r="X21" s="21" t="n">
        <f aca="false">AVERAGE('Historical Demand'!W21:Y21)</f>
        <v>31.6666666666667</v>
      </c>
      <c r="Y21" s="21" t="n">
        <f aca="false">AVERAGE('Historical Demand'!X21:Z21)</f>
        <v>36</v>
      </c>
      <c r="Z21" s="21" t="n">
        <f aca="false">AVERAGE('Historical Demand'!Y21:AA21)</f>
        <v>42.6666666666667</v>
      </c>
      <c r="AA21" s="21" t="n">
        <f aca="false">AVERAGE('Historical Demand'!Z21:AB21)</f>
        <v>41</v>
      </c>
      <c r="AB21" s="21" t="n">
        <f aca="false">AVERAGE('Historical Demand'!AA21:AC21)</f>
        <v>37</v>
      </c>
      <c r="AC21" s="21" t="n">
        <f aca="false">AVERAGE('Historical Demand'!AB21:AD21)</f>
        <v>32.6666666666667</v>
      </c>
      <c r="AD21" s="21" t="n">
        <f aca="false">AVERAGE('Historical Demand'!AC21:AE21)</f>
        <v>36</v>
      </c>
      <c r="AE21" s="21" t="n">
        <f aca="false">AVERAGE('Historical Demand'!AD21:AF21)</f>
        <v>39.3333333333333</v>
      </c>
      <c r="AF21" s="21" t="n">
        <f aca="false">AVERAGE('Historical Demand'!AE21:AG21)</f>
        <v>36</v>
      </c>
      <c r="AG21" s="21" t="n">
        <f aca="false">AVERAGE('Historical Demand'!AF21:AH21)</f>
        <v>33</v>
      </c>
      <c r="AH21" s="21" t="n">
        <f aca="false">AVERAGE('Historical Demand'!AG21:AI21)</f>
        <v>30</v>
      </c>
      <c r="AI21" s="21" t="n">
        <f aca="false">AVERAGE('Historical Demand'!AH21:AJ21)</f>
        <v>32</v>
      </c>
      <c r="AJ21" s="21" t="n">
        <f aca="false">AVERAGE('Historical Demand'!AI21:AK21)</f>
        <v>35.3333333333333</v>
      </c>
      <c r="AK21" s="21" t="n">
        <f aca="false">AVERAGE('Historical Demand'!AJ21:AL21)</f>
        <v>39.6666666666667</v>
      </c>
      <c r="AL21" s="21" t="n">
        <f aca="false">AVERAGE('Historical Demand'!AK21:AM21)</f>
        <v>44.6666666666667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15" min="3" style="0" width="10"/>
    <col collapsed="false" customWidth="true" hidden="false" outlineLevel="0" max="16" min="16" style="0" width="14"/>
    <col collapsed="false" customWidth="true" hidden="false" outlineLevel="0" max="17" min="17" style="0" width="11"/>
  </cols>
  <sheetData>
    <row r="1" customFormat="false" ht="23.85" hidden="false" customHeight="false" outlineLevel="0" collapsed="false">
      <c r="A1" s="13" t="s">
        <v>29</v>
      </c>
      <c r="B1" s="13" t="s">
        <v>30</v>
      </c>
      <c r="C1" s="13" t="s">
        <v>80</v>
      </c>
      <c r="D1" s="13" t="s">
        <v>81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90</v>
      </c>
      <c r="N1" s="13" t="s">
        <v>91</v>
      </c>
      <c r="O1" s="13" t="s">
        <v>92</v>
      </c>
      <c r="P1" s="13" t="s">
        <v>93</v>
      </c>
      <c r="Q1" s="13" t="s">
        <v>94</v>
      </c>
    </row>
    <row r="2" customFormat="false" ht="15" hidden="false" customHeight="false" outlineLevel="0" collapsed="false">
      <c r="A2" s="0" t="str">
        <f aca="false">'Historical Demand'!A2</f>
        <v>APP-101</v>
      </c>
      <c r="B2" s="0" t="str">
        <f aca="false">'Historical Demand'!B2</f>
        <v>Classic Denim Jacket</v>
      </c>
      <c r="C2" s="0" t="n">
        <f aca="false">'Historical Demand'!AH2</f>
        <v>70</v>
      </c>
      <c r="D2" s="0" t="n">
        <f aca="false">'Historical Demand'!AI2</f>
        <v>67</v>
      </c>
      <c r="E2" s="0" t="n">
        <f aca="false">'Historical Demand'!AJ2</f>
        <v>77</v>
      </c>
      <c r="F2" s="0" t="n">
        <f aca="false">'Historical Demand'!AK2</f>
        <v>94</v>
      </c>
      <c r="G2" s="0" t="n">
        <f aca="false">'Historical Demand'!AL2</f>
        <v>96</v>
      </c>
      <c r="H2" s="0" t="n">
        <f aca="false">'Historical Demand'!AM2</f>
        <v>97</v>
      </c>
      <c r="I2" s="21" t="n">
        <f aca="false">_xlfn.FORECAST.ETS('Historical Demand'!AH$1,'Historical Demand'!$D2:$AG2,'Historical Demand'!$D$1:$AG$1,1,1,1)</f>
        <v>58.9899196818745</v>
      </c>
      <c r="J2" s="21" t="n">
        <f aca="false">_xlfn.FORECAST.ETS('Historical Demand'!AI$1,'Historical Demand'!$D2:$AG2,'Historical Demand'!$D$1:$AG$1,1,1,1)</f>
        <v>68.4541288842783</v>
      </c>
      <c r="K2" s="21" t="n">
        <f aca="false">_xlfn.FORECAST.ETS('Historical Demand'!AJ$1,'Historical Demand'!$D2:$AG2,'Historical Demand'!$D$1:$AG$1,1,1,1)</f>
        <v>79.357689090436</v>
      </c>
      <c r="L2" s="21" t="n">
        <f aca="false">_xlfn.FORECAST.ETS('Historical Demand'!AK$1,'Historical Demand'!$D2:$AG2,'Historical Demand'!$D$1:$AG$1,1,1,1)</f>
        <v>82.4795869633819</v>
      </c>
      <c r="M2" s="21" t="n">
        <f aca="false">_xlfn.FORECAST.ETS('Historical Demand'!AL$1,'Historical Demand'!$D2:$AG2,'Historical Demand'!$D$1:$AG$1,1,1,1)</f>
        <v>93.6309059818832</v>
      </c>
      <c r="N2" s="21" t="n">
        <f aca="false">_xlfn.FORECAST.ETS('Historical Demand'!AM$1,'Historical Demand'!$D2:$AG2,'Historical Demand'!$D$1:$AG$1,1,1,1)</f>
        <v>81.9471602102692</v>
      </c>
      <c r="O2" s="22" t="n">
        <f aca="false">SUMPRODUCT(ABS(C2:H2-I2:N2)/C2:H2)/6</f>
        <v>0.0853381967083831</v>
      </c>
      <c r="P2" s="21" t="n">
        <f aca="false">AVERAGE('Historical Demand'!AE2:AG2)</f>
        <v>64.3333333333333</v>
      </c>
      <c r="Q2" s="22" t="n">
        <f aca="false">SUMPRODUCT(ABS(C2:H2-P2)/C2:H2)/6</f>
        <v>0.21124820798669</v>
      </c>
    </row>
    <row r="3" customFormat="false" ht="15" hidden="false" customHeight="false" outlineLevel="0" collapsed="false">
      <c r="A3" s="0" t="str">
        <f aca="false">'Historical Demand'!A3</f>
        <v>APP-102</v>
      </c>
      <c r="B3" s="0" t="str">
        <f aca="false">'Historical Demand'!B3</f>
        <v>Cotton Crew T-Shirt</v>
      </c>
      <c r="C3" s="0" t="n">
        <f aca="false">'Historical Demand'!AH3</f>
        <v>88</v>
      </c>
      <c r="D3" s="0" t="n">
        <f aca="false">'Historical Demand'!AI3</f>
        <v>111</v>
      </c>
      <c r="E3" s="0" t="n">
        <f aca="false">'Historical Demand'!AJ3</f>
        <v>122</v>
      </c>
      <c r="F3" s="0" t="n">
        <f aca="false">'Historical Demand'!AK3</f>
        <v>138</v>
      </c>
      <c r="G3" s="0" t="n">
        <f aca="false">'Historical Demand'!AL3</f>
        <v>145</v>
      </c>
      <c r="H3" s="0" t="n">
        <f aca="false">'Historical Demand'!AM3</f>
        <v>129</v>
      </c>
      <c r="I3" s="21" t="n">
        <f aca="false">_xlfn.FORECAST.ETS('Historical Demand'!AH$1,'Historical Demand'!$D3:$AG3,'Historical Demand'!$D$1:$AG$1,1,1,1)</f>
        <v>108.025030589522</v>
      </c>
      <c r="J3" s="21" t="n">
        <f aca="false">_xlfn.FORECAST.ETS('Historical Demand'!AI$1,'Historical Demand'!$D3:$AG3,'Historical Demand'!$D$1:$AG$1,1,1,1)</f>
        <v>113.025030589522</v>
      </c>
      <c r="K3" s="21" t="n">
        <f aca="false">_xlfn.FORECAST.ETS('Historical Demand'!AJ$1,'Historical Demand'!$D3:$AG3,'Historical Demand'!$D$1:$AG$1,1,1,1)</f>
        <v>122.025030589522</v>
      </c>
      <c r="L3" s="21" t="n">
        <f aca="false">_xlfn.FORECAST.ETS('Historical Demand'!AK$1,'Historical Demand'!$D3:$AG3,'Historical Demand'!$D$1:$AG$1,1,1,1)</f>
        <v>115.025030589522</v>
      </c>
      <c r="M3" s="21" t="n">
        <f aca="false">_xlfn.FORECAST.ETS('Historical Demand'!AL$1,'Historical Demand'!$D3:$AG3,'Historical Demand'!$D$1:$AG$1,1,1,1)</f>
        <v>124.025030589522</v>
      </c>
      <c r="N3" s="21" t="n">
        <f aca="false">_xlfn.FORECAST.ETS('Historical Demand'!AM$1,'Historical Demand'!$D3:$AG3,'Historical Demand'!$D$1:$AG$1,1,1,1)</f>
        <v>128.025030589522</v>
      </c>
      <c r="O3" s="22" t="n">
        <f aca="false">SUMPRODUCT(ABS(C3:H3-I3:N3)/C3:H3)/6</f>
        <v>0.0941173338037785</v>
      </c>
      <c r="P3" s="21" t="n">
        <f aca="false">AVERAGE('Historical Demand'!AE3:AG3)</f>
        <v>112</v>
      </c>
      <c r="Q3" s="22" t="n">
        <f aca="false">SUMPRODUCT(ABS(C3:H3-P3)/C3:H3)/6</f>
        <v>0.151913074097578</v>
      </c>
    </row>
    <row r="4" customFormat="false" ht="15" hidden="false" customHeight="false" outlineLevel="0" collapsed="false">
      <c r="A4" s="0" t="str">
        <f aca="false">'Historical Demand'!A4</f>
        <v>APP-103</v>
      </c>
      <c r="B4" s="0" t="str">
        <f aca="false">'Historical Demand'!B4</f>
        <v>Fleece Pullover Hoodie</v>
      </c>
      <c r="C4" s="0" t="n">
        <f aca="false">'Historical Demand'!AH4</f>
        <v>68</v>
      </c>
      <c r="D4" s="0" t="n">
        <f aca="false">'Historical Demand'!AI4</f>
        <v>72</v>
      </c>
      <c r="E4" s="0" t="n">
        <f aca="false">'Historical Demand'!AJ4</f>
        <v>77</v>
      </c>
      <c r="F4" s="0" t="n">
        <f aca="false">'Historical Demand'!AK4</f>
        <v>97</v>
      </c>
      <c r="G4" s="0" t="n">
        <f aca="false">'Historical Demand'!AL4</f>
        <v>102</v>
      </c>
      <c r="H4" s="0" t="n">
        <f aca="false">'Historical Demand'!AM4</f>
        <v>84</v>
      </c>
      <c r="I4" s="21" t="n">
        <f aca="false">_xlfn.FORECAST.ETS('Historical Demand'!AH$1,'Historical Demand'!$D4:$AG4,'Historical Demand'!$D$1:$AG$1,1,1,1)</f>
        <v>67.2941836647507</v>
      </c>
      <c r="J4" s="21" t="n">
        <f aca="false">_xlfn.FORECAST.ETS('Historical Demand'!AI$1,'Historical Demand'!$D4:$AG4,'Historical Demand'!$D$1:$AG$1,1,1,1)</f>
        <v>75.486241103255</v>
      </c>
      <c r="K4" s="21" t="n">
        <f aca="false">_xlfn.FORECAST.ETS('Historical Demand'!AJ$1,'Historical Demand'!$D4:$AG4,'Historical Demand'!$D$1:$AG$1,1,1,1)</f>
        <v>83.4471658184756</v>
      </c>
      <c r="L4" s="21" t="n">
        <f aca="false">_xlfn.FORECAST.ETS('Historical Demand'!AK$1,'Historical Demand'!$D4:$AG4,'Historical Demand'!$D$1:$AG$1,1,1,1)</f>
        <v>92.5607491524612</v>
      </c>
      <c r="M4" s="21" t="n">
        <f aca="false">_xlfn.FORECAST.ETS('Historical Demand'!AL$1,'Historical Demand'!$D4:$AG4,'Historical Demand'!$D$1:$AG$1,1,1,1)</f>
        <v>92.0572476513734</v>
      </c>
      <c r="N4" s="21" t="n">
        <f aca="false">_xlfn.FORECAST.ETS('Historical Demand'!AM$1,'Historical Demand'!$D4:$AG4,'Historical Demand'!$D$1:$AG$1,1,1,1)</f>
        <v>90.247573724293</v>
      </c>
      <c r="O4" s="22" t="n">
        <f aca="false">SUMPRODUCT(ABS(C4:H4-I4:N4)/C4:H4)/6</f>
        <v>0.0600247346755553</v>
      </c>
      <c r="P4" s="21" t="n">
        <f aca="false">AVERAGE('Historical Demand'!AE4:AG4)</f>
        <v>71</v>
      </c>
      <c r="Q4" s="22" t="n">
        <f aca="false">SUMPRODUCT(ABS(C4:H4-P4)/C4:H4)/6</f>
        <v>0.143775554062091</v>
      </c>
    </row>
    <row r="5" customFormat="false" ht="15" hidden="false" customHeight="false" outlineLevel="0" collapsed="false">
      <c r="A5" s="0" t="str">
        <f aca="false">'Historical Demand'!A5</f>
        <v>APP-104</v>
      </c>
      <c r="B5" s="0" t="str">
        <f aca="false">'Historical Demand'!B5</f>
        <v>Slim Fit Chinos</v>
      </c>
      <c r="C5" s="0" t="n">
        <f aca="false">'Historical Demand'!AH5</f>
        <v>52</v>
      </c>
      <c r="D5" s="0" t="n">
        <f aca="false">'Historical Demand'!AI5</f>
        <v>59</v>
      </c>
      <c r="E5" s="0" t="n">
        <f aca="false">'Historical Demand'!AJ5</f>
        <v>57</v>
      </c>
      <c r="F5" s="0" t="n">
        <f aca="false">'Historical Demand'!AK5</f>
        <v>70</v>
      </c>
      <c r="G5" s="0" t="n">
        <f aca="false">'Historical Demand'!AL5</f>
        <v>68</v>
      </c>
      <c r="H5" s="0" t="n">
        <f aca="false">'Historical Demand'!AM5</f>
        <v>71</v>
      </c>
      <c r="I5" s="21" t="n">
        <f aca="false">_xlfn.FORECAST.ETS('Historical Demand'!AH$1,'Historical Demand'!$D5:$AG5,'Historical Demand'!$D$1:$AG$1,1,1,1)</f>
        <v>51.6911922436963</v>
      </c>
      <c r="J5" s="21" t="n">
        <f aca="false">_xlfn.FORECAST.ETS('Historical Demand'!AI$1,'Historical Demand'!$D5:$AG5,'Historical Demand'!$D$1:$AG$1,1,1,1)</f>
        <v>59.5870801546895</v>
      </c>
      <c r="K5" s="21" t="n">
        <f aca="false">_xlfn.FORECAST.ETS('Historical Demand'!AJ$1,'Historical Demand'!$D5:$AG5,'Historical Demand'!$D$1:$AG$1,1,1,1)</f>
        <v>59.6576294850423</v>
      </c>
      <c r="L5" s="21" t="n">
        <f aca="false">_xlfn.FORECAST.ETS('Historical Demand'!AK$1,'Historical Demand'!$D5:$AG5,'Historical Demand'!$D$1:$AG$1,1,1,1)</f>
        <v>67.7270764821083</v>
      </c>
      <c r="M5" s="21" t="n">
        <f aca="false">_xlfn.FORECAST.ETS('Historical Demand'!AL$1,'Historical Demand'!$D5:$AG5,'Historical Demand'!$D$1:$AG$1,1,1,1)</f>
        <v>79.5877967682826</v>
      </c>
      <c r="N5" s="21" t="n">
        <f aca="false">_xlfn.FORECAST.ETS('Historical Demand'!AM$1,'Historical Demand'!$D5:$AG5,'Historical Demand'!$D$1:$AG$1,1,1,1)</f>
        <v>73.7102453019385</v>
      </c>
      <c r="O5" s="22" t="n">
        <f aca="false">SUMPRODUCT(ABS(C5:H5-I5:N5)/C5:H5)/6</f>
        <v>0.0505942969158266</v>
      </c>
      <c r="P5" s="21" t="n">
        <f aca="false">AVERAGE('Historical Demand'!AE5:AG5)</f>
        <v>58</v>
      </c>
      <c r="Q5" s="22" t="n">
        <f aca="false">SUMPRODUCT(ABS(C5:H5-P5)/C5:H5)/6</f>
        <v>0.108577269013898</v>
      </c>
    </row>
    <row r="6" customFormat="false" ht="15" hidden="false" customHeight="false" outlineLevel="0" collapsed="false">
      <c r="A6" s="0" t="str">
        <f aca="false">'Historical Demand'!A6</f>
        <v>FTW-201</v>
      </c>
      <c r="B6" s="0" t="str">
        <f aca="false">'Historical Demand'!B6</f>
        <v>Running Sneakers</v>
      </c>
      <c r="C6" s="0" t="n">
        <f aca="false">'Historical Demand'!AH6</f>
        <v>174</v>
      </c>
      <c r="D6" s="0" t="n">
        <f aca="false">'Historical Demand'!AI6</f>
        <v>142</v>
      </c>
      <c r="E6" s="0" t="n">
        <f aca="false">'Historical Demand'!AJ6</f>
        <v>129</v>
      </c>
      <c r="F6" s="0" t="n">
        <f aca="false">'Historical Demand'!AK6</f>
        <v>122</v>
      </c>
      <c r="G6" s="0" t="n">
        <f aca="false">'Historical Demand'!AL6</f>
        <v>127</v>
      </c>
      <c r="H6" s="0" t="n">
        <f aca="false">'Historical Demand'!AM6</f>
        <v>127</v>
      </c>
      <c r="I6" s="21" t="n">
        <f aca="false">_xlfn.FORECAST.ETS('Historical Demand'!AH$1,'Historical Demand'!$D6:$AG6,'Historical Demand'!$D$1:$AG$1,1,1,1)</f>
        <v>159.444173177083</v>
      </c>
      <c r="J6" s="21" t="n">
        <f aca="false">_xlfn.FORECAST.ETS('Historical Demand'!AI$1,'Historical Demand'!$D6:$AG6,'Historical Demand'!$D$1:$AG$1,1,1,1)</f>
        <v>141.573079427083</v>
      </c>
      <c r="K6" s="21" t="n">
        <f aca="false">_xlfn.FORECAST.ETS('Historical Demand'!AJ$1,'Historical Demand'!$D6:$AG6,'Historical Demand'!$D$1:$AG$1,1,1,1)</f>
        <v>133.282063802083</v>
      </c>
      <c r="L6" s="21" t="n">
        <f aca="false">_xlfn.FORECAST.ETS('Historical Demand'!AK$1,'Historical Demand'!$D6:$AG6,'Historical Demand'!$D$1:$AG$1,1,1,1)</f>
        <v>124.508626302083</v>
      </c>
      <c r="M6" s="21" t="n">
        <f aca="false">_xlfn.FORECAST.ETS('Historical Demand'!AL$1,'Historical Demand'!$D6:$AG6,'Historical Demand'!$D$1:$AG$1,1,1,1)</f>
        <v>120.959798177083</v>
      </c>
      <c r="N6" s="21" t="n">
        <f aca="false">_xlfn.FORECAST.ETS('Historical Demand'!AM$1,'Historical Demand'!$D6:$AG6,'Historical Demand'!$D$1:$AG$1,1,1,1)</f>
        <v>132.153157552083</v>
      </c>
      <c r="O6" s="22" t="n">
        <f aca="false">SUMPRODUCT(ABS(C6:H6-I6:N6)/C6:H6)/6</f>
        <v>0.0380923586259015</v>
      </c>
      <c r="P6" s="21" t="n">
        <f aca="false">AVERAGE('Historical Demand'!AE6:AG6)</f>
        <v>163.666666666667</v>
      </c>
      <c r="Q6" s="22" t="n">
        <f aca="false">SUMPRODUCT(ABS(C6:H6-P6)/C6:H6)/6</f>
        <v>0.233276809850134</v>
      </c>
    </row>
    <row r="7" customFormat="false" ht="15" hidden="false" customHeight="false" outlineLevel="0" collapsed="false">
      <c r="A7" s="0" t="str">
        <f aca="false">'Historical Demand'!A7</f>
        <v>FTW-202</v>
      </c>
      <c r="B7" s="0" t="str">
        <f aca="false">'Historical Demand'!B7</f>
        <v>Canvas Low-Top</v>
      </c>
      <c r="C7" s="0" t="n">
        <f aca="false">'Historical Demand'!AH7</f>
        <v>65</v>
      </c>
      <c r="D7" s="0" t="n">
        <f aca="false">'Historical Demand'!AI7</f>
        <v>65</v>
      </c>
      <c r="E7" s="0" t="n">
        <f aca="false">'Historical Demand'!AJ7</f>
        <v>61</v>
      </c>
      <c r="F7" s="0" t="n">
        <f aca="false">'Historical Demand'!AK7</f>
        <v>53</v>
      </c>
      <c r="G7" s="0" t="n">
        <f aca="false">'Historical Demand'!AL7</f>
        <v>55</v>
      </c>
      <c r="H7" s="0" t="n">
        <f aca="false">'Historical Demand'!AM7</f>
        <v>56</v>
      </c>
      <c r="I7" s="21" t="n">
        <f aca="false">_xlfn.FORECAST.ETS('Historical Demand'!AH$1,'Historical Demand'!$D7:$AG7,'Historical Demand'!$D$1:$AG$1,1,1,1)</f>
        <v>85.1514263928762</v>
      </c>
      <c r="J7" s="21" t="n">
        <f aca="false">_xlfn.FORECAST.ETS('Historical Demand'!AI$1,'Historical Demand'!$D7:$AG7,'Historical Demand'!$D$1:$AG$1,1,1,1)</f>
        <v>79.4072763896903</v>
      </c>
      <c r="K7" s="21" t="n">
        <f aca="false">_xlfn.FORECAST.ETS('Historical Demand'!AJ$1,'Historical Demand'!$D7:$AG7,'Historical Demand'!$D$1:$AG$1,1,1,1)</f>
        <v>74.1263375193417</v>
      </c>
      <c r="L7" s="21" t="n">
        <f aca="false">_xlfn.FORECAST.ETS('Historical Demand'!AK$1,'Historical Demand'!$D7:$AG7,'Historical Demand'!$D$1:$AG$1,1,1,1)</f>
        <v>65.4133893823551</v>
      </c>
      <c r="M7" s="21" t="n">
        <f aca="false">_xlfn.FORECAST.ETS('Historical Demand'!AL$1,'Historical Demand'!$D7:$AG7,'Historical Demand'!$D$1:$AG$1,1,1,1)</f>
        <v>60.4113944534701</v>
      </c>
      <c r="N7" s="21" t="n">
        <f aca="false">_xlfn.FORECAST.ETS('Historical Demand'!AM$1,'Historical Demand'!$D7:$AG7,'Historical Demand'!$D$1:$AG$1,1,1,1)</f>
        <v>57.6420200904357</v>
      </c>
      <c r="O7" s="22" t="n">
        <f aca="false">SUMPRODUCT(ABS(C7:H7-I7:N7)/C7:H7)/6</f>
        <v>0.18479731381214</v>
      </c>
      <c r="P7" s="21" t="n">
        <f aca="false">AVERAGE('Historical Demand'!AE7:AG7)</f>
        <v>76.6666666666667</v>
      </c>
      <c r="Q7" s="22" t="n">
        <f aca="false">SUMPRODUCT(ABS(C7:H7-P7)/C7:H7)/6</f>
        <v>0.304222142259569</v>
      </c>
    </row>
    <row r="8" customFormat="false" ht="15" hidden="false" customHeight="false" outlineLevel="0" collapsed="false">
      <c r="A8" s="0" t="str">
        <f aca="false">'Historical Demand'!A8</f>
        <v>FTW-203</v>
      </c>
      <c r="B8" s="0" t="str">
        <f aca="false">'Historical Demand'!B8</f>
        <v>Leather Ankle Boot</v>
      </c>
      <c r="C8" s="0" t="n">
        <f aca="false">'Historical Demand'!AH8</f>
        <v>34</v>
      </c>
      <c r="D8" s="0" t="n">
        <f aca="false">'Historical Demand'!AI8</f>
        <v>31</v>
      </c>
      <c r="E8" s="0" t="n">
        <f aca="false">'Historical Demand'!AJ8</f>
        <v>33</v>
      </c>
      <c r="F8" s="0" t="n">
        <f aca="false">'Historical Demand'!AK8</f>
        <v>28</v>
      </c>
      <c r="G8" s="0" t="n">
        <f aca="false">'Historical Demand'!AL8</f>
        <v>24</v>
      </c>
      <c r="H8" s="0" t="n">
        <f aca="false">'Historical Demand'!AM8</f>
        <v>30</v>
      </c>
      <c r="I8" s="21" t="n">
        <f aca="false">_xlfn.FORECAST.ETS('Historical Demand'!AH$1,'Historical Demand'!$D8:$AG8,'Historical Demand'!$D$1:$AG$1,1,1,1)</f>
        <v>34.0546318120986</v>
      </c>
      <c r="J8" s="21" t="n">
        <f aca="false">_xlfn.FORECAST.ETS('Historical Demand'!AI$1,'Historical Demand'!$D8:$AG8,'Historical Demand'!$D$1:$AG$1,1,1,1)</f>
        <v>31.0546318120986</v>
      </c>
      <c r="K8" s="21" t="n">
        <f aca="false">_xlfn.FORECAST.ETS('Historical Demand'!AJ$1,'Historical Demand'!$D8:$AG8,'Historical Demand'!$D$1:$AG$1,1,1,1)</f>
        <v>30.0546318120985</v>
      </c>
      <c r="L8" s="21" t="n">
        <f aca="false">_xlfn.FORECAST.ETS('Historical Demand'!AK$1,'Historical Demand'!$D8:$AG8,'Historical Demand'!$D$1:$AG$1,1,1,1)</f>
        <v>26.0546318120986</v>
      </c>
      <c r="M8" s="21" t="n">
        <f aca="false">_xlfn.FORECAST.ETS('Historical Demand'!AL$1,'Historical Demand'!$D8:$AG8,'Historical Demand'!$D$1:$AG$1,1,1,1)</f>
        <v>28.0546318120985</v>
      </c>
      <c r="N8" s="21" t="n">
        <f aca="false">_xlfn.FORECAST.ETS('Historical Demand'!AM$1,'Historical Demand'!$D8:$AG8,'Historical Demand'!$D$1:$AG$1,1,1,1)</f>
        <v>26.0546318120986</v>
      </c>
      <c r="O8" s="22" t="n">
        <f aca="false">SUMPRODUCT(ABS(C8:H8-I8:N8)/C8:H8)/6</f>
        <v>0.0770925693927969</v>
      </c>
      <c r="P8" s="21" t="n">
        <f aca="false">AVERAGE('Historical Demand'!AE8:AG8)</f>
        <v>44.3333333333333</v>
      </c>
      <c r="Q8" s="22" t="n">
        <f aca="false">SUMPRODUCT(ABS(C8:H8-P8)/C8:H8)/6</f>
        <v>0.497632795379475</v>
      </c>
    </row>
    <row r="9" customFormat="false" ht="15" hidden="false" customHeight="false" outlineLevel="0" collapsed="false">
      <c r="A9" s="0" t="str">
        <f aca="false">'Historical Demand'!A9</f>
        <v>FTW-204</v>
      </c>
      <c r="B9" s="0" t="str">
        <f aca="false">'Historical Demand'!B9</f>
        <v>Slide Sandals</v>
      </c>
      <c r="C9" s="0" t="n">
        <f aca="false">'Historical Demand'!AH9</f>
        <v>55</v>
      </c>
      <c r="D9" s="0" t="n">
        <f aca="false">'Historical Demand'!AI9</f>
        <v>55</v>
      </c>
      <c r="E9" s="0" t="n">
        <f aca="false">'Historical Demand'!AJ9</f>
        <v>49</v>
      </c>
      <c r="F9" s="0" t="n">
        <f aca="false">'Historical Demand'!AK9</f>
        <v>43</v>
      </c>
      <c r="G9" s="0" t="n">
        <f aca="false">'Historical Demand'!AL9</f>
        <v>49</v>
      </c>
      <c r="H9" s="0" t="n">
        <f aca="false">'Historical Demand'!AM9</f>
        <v>51</v>
      </c>
      <c r="I9" s="21" t="n">
        <f aca="false">_xlfn.FORECAST.ETS('Historical Demand'!AH$1,'Historical Demand'!$D9:$AG9,'Historical Demand'!$D$1:$AG$1,1,1,1)</f>
        <v>53.3636363636364</v>
      </c>
      <c r="J9" s="21" t="n">
        <f aca="false">_xlfn.FORECAST.ETS('Historical Demand'!AI$1,'Historical Demand'!$D9:$AG9,'Historical Demand'!$D$1:$AG$1,1,1,1)</f>
        <v>51.3636363636364</v>
      </c>
      <c r="K9" s="21" t="n">
        <f aca="false">_xlfn.FORECAST.ETS('Historical Demand'!AJ$1,'Historical Demand'!$D9:$AG9,'Historical Demand'!$D$1:$AG$1,1,1,1)</f>
        <v>50.3636363636364</v>
      </c>
      <c r="L9" s="21" t="n">
        <f aca="false">_xlfn.FORECAST.ETS('Historical Demand'!AK$1,'Historical Demand'!$D9:$AG9,'Historical Demand'!$D$1:$AG$1,1,1,1)</f>
        <v>49.3636363636364</v>
      </c>
      <c r="M9" s="21" t="n">
        <f aca="false">_xlfn.FORECAST.ETS('Historical Demand'!AL$1,'Historical Demand'!$D9:$AG9,'Historical Demand'!$D$1:$AG$1,1,1,1)</f>
        <v>44.3636363636364</v>
      </c>
      <c r="N9" s="21" t="n">
        <f aca="false">_xlfn.FORECAST.ETS('Historical Demand'!AM$1,'Historical Demand'!$D9:$AG9,'Historical Demand'!$D$1:$AG$1,1,1,1)</f>
        <v>49.3636363636364</v>
      </c>
      <c r="O9" s="22" t="n">
        <f aca="false">SUMPRODUCT(ABS(C9:H9-I9:N9)/C9:H9)/6</f>
        <v>0.0663989755040974</v>
      </c>
      <c r="P9" s="21" t="n">
        <f aca="false">AVERAGE('Historical Demand'!AE9:AG9)</f>
        <v>67.3333333333333</v>
      </c>
      <c r="Q9" s="22" t="n">
        <f aca="false">SUMPRODUCT(ABS(C9:H9-P9)/C9:H9)/6</f>
        <v>0.347156179831576</v>
      </c>
    </row>
    <row r="10" customFormat="false" ht="15" hidden="false" customHeight="false" outlineLevel="0" collapsed="false">
      <c r="A10" s="0" t="str">
        <f aca="false">'Historical Demand'!A10</f>
        <v>ACC-301</v>
      </c>
      <c r="B10" s="0" t="str">
        <f aca="false">'Historical Demand'!B10</f>
        <v>Leather Belt</v>
      </c>
      <c r="C10" s="0" t="n">
        <f aca="false">'Historical Demand'!AH10</f>
        <v>47</v>
      </c>
      <c r="D10" s="0" t="n">
        <f aca="false">'Historical Demand'!AI10</f>
        <v>35</v>
      </c>
      <c r="E10" s="0" t="n">
        <f aca="false">'Historical Demand'!AJ10</f>
        <v>35</v>
      </c>
      <c r="F10" s="0" t="n">
        <f aca="false">'Historical Demand'!AK10</f>
        <v>42</v>
      </c>
      <c r="G10" s="0" t="n">
        <f aca="false">'Historical Demand'!AL10</f>
        <v>43</v>
      </c>
      <c r="H10" s="0" t="n">
        <f aca="false">'Historical Demand'!AM10</f>
        <v>52</v>
      </c>
      <c r="I10" s="21" t="n">
        <f aca="false">_xlfn.FORECAST.ETS('Historical Demand'!AH$1,'Historical Demand'!$D10:$AG10,'Historical Demand'!$D$1:$AG$1,1,1,1)</f>
        <v>52.4431340144231</v>
      </c>
      <c r="J10" s="21" t="n">
        <f aca="false">_xlfn.FORECAST.ETS('Historical Demand'!AI$1,'Historical Demand'!$D10:$AG10,'Historical Demand'!$D$1:$AG$1,1,1,1)</f>
        <v>44.9489933894231</v>
      </c>
      <c r="K10" s="21" t="n">
        <f aca="false">_xlfn.FORECAST.ETS('Historical Demand'!AJ$1,'Historical Demand'!$D10:$AG10,'Historical Demand'!$D$1:$AG$1,1,1,1)</f>
        <v>40.1657902644231</v>
      </c>
      <c r="L10" s="21" t="n">
        <f aca="false">_xlfn.FORECAST.ETS('Historical Demand'!AK$1,'Historical Demand'!$D10:$AG10,'Historical Demand'!$D$1:$AG$1,1,1,1)</f>
        <v>38.9128605769231</v>
      </c>
      <c r="M10" s="21" t="n">
        <f aca="false">_xlfn.FORECAST.ETS('Historical Demand'!AL$1,'Historical Demand'!$D10:$AG10,'Historical Demand'!$D$1:$AG$1,1,1,1)</f>
        <v>42.6960637019231</v>
      </c>
      <c r="N10" s="21" t="n">
        <f aca="false">_xlfn.FORECAST.ETS('Historical Demand'!AM$1,'Historical Demand'!$D10:$AG10,'Historical Demand'!$D$1:$AG$1,1,1,1)</f>
        <v>43.6599308894231</v>
      </c>
      <c r="O10" s="22" t="n">
        <f aca="false">SUMPRODUCT(ABS(C10:H10-I10:N10)/C10:H10)/6</f>
        <v>0.131436645596749</v>
      </c>
      <c r="P10" s="21" t="n">
        <f aca="false">AVERAGE('Historical Demand'!AE10:AG10)</f>
        <v>42.6666666666667</v>
      </c>
      <c r="Q10" s="22" t="n">
        <f aca="false">SUMPRODUCT(ABS(C10:H10-P10)/C10:H10)/6</f>
        <v>0.122234325500036</v>
      </c>
    </row>
    <row r="11" customFormat="false" ht="15" hidden="false" customHeight="false" outlineLevel="0" collapsed="false">
      <c r="A11" s="0" t="str">
        <f aca="false">'Historical Demand'!A11</f>
        <v>ACC-302</v>
      </c>
      <c r="B11" s="0" t="str">
        <f aca="false">'Historical Demand'!B11</f>
        <v>Aviator Sunglasses</v>
      </c>
      <c r="C11" s="0" t="n">
        <f aca="false">'Historical Demand'!AH11</f>
        <v>70</v>
      </c>
      <c r="D11" s="0" t="n">
        <f aca="false">'Historical Demand'!AI11</f>
        <v>67</v>
      </c>
      <c r="E11" s="0" t="n">
        <f aca="false">'Historical Demand'!AJ11</f>
        <v>60</v>
      </c>
      <c r="F11" s="0" t="n">
        <f aca="false">'Historical Demand'!AK11</f>
        <v>56</v>
      </c>
      <c r="G11" s="0" t="n">
        <f aca="false">'Historical Demand'!AL11</f>
        <v>73</v>
      </c>
      <c r="H11" s="0" t="n">
        <f aca="false">'Historical Demand'!AM11</f>
        <v>90</v>
      </c>
      <c r="I11" s="21" t="n">
        <f aca="false">_xlfn.FORECAST.ETS('Historical Demand'!AH$1,'Historical Demand'!$D11:$AG11,'Historical Demand'!$D$1:$AG$1,1,1,1)</f>
        <v>70.3339810032548</v>
      </c>
      <c r="J11" s="21" t="n">
        <f aca="false">_xlfn.FORECAST.ETS('Historical Demand'!AI$1,'Historical Demand'!$D11:$AG11,'Historical Demand'!$D$1:$AG$1,1,1,1)</f>
        <v>68.9329980466873</v>
      </c>
      <c r="K11" s="21" t="n">
        <f aca="false">_xlfn.FORECAST.ETS('Historical Demand'!AJ$1,'Historical Demand'!$D11:$AG11,'Historical Demand'!$D$1:$AG$1,1,1,1)</f>
        <v>68.5320150901198</v>
      </c>
      <c r="L11" s="21" t="n">
        <f aca="false">_xlfn.FORECAST.ETS('Historical Demand'!AK$1,'Historical Demand'!$D11:$AG11,'Historical Demand'!$D$1:$AG$1,1,1,1)</f>
        <v>59.1310321335522</v>
      </c>
      <c r="M11" s="21" t="n">
        <f aca="false">_xlfn.FORECAST.ETS('Historical Demand'!AL$1,'Historical Demand'!$D11:$AG11,'Historical Demand'!$D$1:$AG$1,1,1,1)</f>
        <v>75.7300491769847</v>
      </c>
      <c r="N11" s="21" t="n">
        <f aca="false">_xlfn.FORECAST.ETS('Historical Demand'!AM$1,'Historical Demand'!$D11:$AG11,'Historical Demand'!$D$1:$AG$1,1,1,1)</f>
        <v>83.3290662204171</v>
      </c>
      <c r="O11" s="22" t="n">
        <f aca="false">SUMPRODUCT(ABS(C11:H11-I11:N11)/C11:H11)/6</f>
        <v>0.0572088057127232</v>
      </c>
      <c r="P11" s="21" t="n">
        <f aca="false">AVERAGE('Historical Demand'!AE11:AG11)</f>
        <v>66.6666666666667</v>
      </c>
      <c r="Q11" s="22" t="n">
        <f aca="false">SUMPRODUCT(ABS(C11:H11-P11)/C11:H11)/6</f>
        <v>0.116699787285216</v>
      </c>
    </row>
    <row r="12" customFormat="false" ht="15" hidden="false" customHeight="false" outlineLevel="0" collapsed="false">
      <c r="A12" s="0" t="str">
        <f aca="false">'Historical Demand'!A12</f>
        <v>ACC-303</v>
      </c>
      <c r="B12" s="0" t="str">
        <f aca="false">'Historical Demand'!B12</f>
        <v>Canvas Tote Bag</v>
      </c>
      <c r="C12" s="0" t="n">
        <f aca="false">'Historical Demand'!AH12</f>
        <v>37</v>
      </c>
      <c r="D12" s="0" t="n">
        <f aca="false">'Historical Demand'!AI12</f>
        <v>29</v>
      </c>
      <c r="E12" s="0" t="n">
        <f aca="false">'Historical Demand'!AJ12</f>
        <v>28</v>
      </c>
      <c r="F12" s="0" t="n">
        <f aca="false">'Historical Demand'!AK12</f>
        <v>27</v>
      </c>
      <c r="G12" s="0" t="n">
        <f aca="false">'Historical Demand'!AL12</f>
        <v>33</v>
      </c>
      <c r="H12" s="0" t="n">
        <f aca="false">'Historical Demand'!AM12</f>
        <v>41</v>
      </c>
      <c r="I12" s="21" t="n">
        <f aca="false">_xlfn.FORECAST.ETS('Historical Demand'!AH$1,'Historical Demand'!$D12:$AG12,'Historical Demand'!$D$1:$AG$1,1,1,1)</f>
        <v>33.3451040032875</v>
      </c>
      <c r="J12" s="21" t="n">
        <f aca="false">_xlfn.FORECAST.ETS('Historical Demand'!AI$1,'Historical Demand'!$D12:$AG12,'Historical Demand'!$D$1:$AG$1,1,1,1)</f>
        <v>32.9215175192265</v>
      </c>
      <c r="K12" s="21" t="n">
        <f aca="false">_xlfn.FORECAST.ETS('Historical Demand'!AJ$1,'Historical Demand'!$D12:$AG12,'Historical Demand'!$D$1:$AG$1,1,1,1)</f>
        <v>26.3451731545347</v>
      </c>
      <c r="L12" s="21" t="n">
        <f aca="false">_xlfn.FORECAST.ETS('Historical Demand'!AK$1,'Historical Demand'!$D12:$AG12,'Historical Demand'!$D$1:$AG$1,1,1,1)</f>
        <v>26.7684150636366</v>
      </c>
      <c r="M12" s="21" t="n">
        <f aca="false">_xlfn.FORECAST.ETS('Historical Demand'!AL$1,'Historical Demand'!$D12:$AG12,'Historical Demand'!$D$1:$AG$1,1,1,1)</f>
        <v>32.3444151898682</v>
      </c>
      <c r="N12" s="21" t="n">
        <f aca="false">_xlfn.FORECAST.ETS('Historical Demand'!AM$1,'Historical Demand'!$D12:$AG12,'Historical Demand'!$D$1:$AG$1,1,1,1)</f>
        <v>38.7676578391699</v>
      </c>
      <c r="O12" s="22" t="n">
        <f aca="false">SUMPRODUCT(ABS(C12:H12-I12:N12)/C12:H12)/6</f>
        <v>0.0626662449503861</v>
      </c>
      <c r="P12" s="21" t="n">
        <f aca="false">AVERAGE('Historical Demand'!AE12:AG12)</f>
        <v>31.6666666666667</v>
      </c>
      <c r="Q12" s="22" t="n">
        <f aca="false">SUMPRODUCT(ABS(C12:H12-P12)/C12:H12)/6</f>
        <v>0.134656061847446</v>
      </c>
    </row>
    <row r="13" customFormat="false" ht="15" hidden="false" customHeight="false" outlineLevel="0" collapsed="false">
      <c r="A13" s="0" t="str">
        <f aca="false">'Historical Demand'!A13</f>
        <v>ACC-304</v>
      </c>
      <c r="B13" s="0" t="str">
        <f aca="false">'Historical Demand'!B13</f>
        <v>Wool Beanie</v>
      </c>
      <c r="C13" s="0" t="n">
        <f aca="false">'Historical Demand'!AH13</f>
        <v>42</v>
      </c>
      <c r="D13" s="0" t="n">
        <f aca="false">'Historical Demand'!AI13</f>
        <v>32</v>
      </c>
      <c r="E13" s="0" t="n">
        <f aca="false">'Historical Demand'!AJ13</f>
        <v>37</v>
      </c>
      <c r="F13" s="0" t="n">
        <f aca="false">'Historical Demand'!AK13</f>
        <v>31</v>
      </c>
      <c r="G13" s="0" t="n">
        <f aca="false">'Historical Demand'!AL13</f>
        <v>41</v>
      </c>
      <c r="H13" s="0" t="n">
        <f aca="false">'Historical Demand'!AM13</f>
        <v>53</v>
      </c>
      <c r="I13" s="21" t="n">
        <f aca="false">_xlfn.FORECAST.ETS('Historical Demand'!AH$1,'Historical Demand'!$D13:$AG13,'Historical Demand'!$D$1:$AG$1,1,1,1)</f>
        <v>41.7473601791221</v>
      </c>
      <c r="J13" s="21" t="n">
        <f aca="false">_xlfn.FORECAST.ETS('Historical Demand'!AI$1,'Historical Demand'!$D13:$AG13,'Historical Demand'!$D$1:$AG$1,1,1,1)</f>
        <v>36.0124156898033</v>
      </c>
      <c r="K13" s="21" t="n">
        <f aca="false">_xlfn.FORECAST.ETS('Historical Demand'!AJ$1,'Historical Demand'!$D13:$AG13,'Historical Demand'!$D$1:$AG$1,1,1,1)</f>
        <v>32.0573275428992</v>
      </c>
      <c r="L13" s="21" t="n">
        <f aca="false">_xlfn.FORECAST.ETS('Historical Demand'!AK$1,'Historical Demand'!$D13:$AG13,'Historical Demand'!$D$1:$AG$1,1,1,1)</f>
        <v>33.3910590081082</v>
      </c>
      <c r="M13" s="21" t="n">
        <f aca="false">_xlfn.FORECAST.ETS('Historical Demand'!AL$1,'Historical Demand'!$D13:$AG13,'Historical Demand'!$D$1:$AG$1,1,1,1)</f>
        <v>45.7182302901661</v>
      </c>
      <c r="N13" s="21" t="n">
        <f aca="false">_xlfn.FORECAST.ETS('Historical Demand'!AM$1,'Historical Demand'!$D13:$AG13,'Historical Demand'!$D$1:$AG$1,1,1,1)</f>
        <v>49.4610481307167</v>
      </c>
      <c r="O13" s="22" t="n">
        <f aca="false">SUMPRODUCT(ABS(C13:H13-I13:N13)/C13:H13)/6</f>
        <v>0.0873285610516607</v>
      </c>
      <c r="P13" s="21" t="n">
        <f aca="false">AVERAGE('Historical Demand'!AE13:AG13)</f>
        <v>39.3333333333333</v>
      </c>
      <c r="Q13" s="22" t="n">
        <f aca="false">SUMPRODUCT(ABS(C13:H13-P13)/C13:H13)/6</f>
        <v>0.15384183987451</v>
      </c>
    </row>
    <row r="14" customFormat="false" ht="15" hidden="false" customHeight="false" outlineLevel="0" collapsed="false">
      <c r="A14" s="0" t="str">
        <f aca="false">'Historical Demand'!A14</f>
        <v>ELE-401</v>
      </c>
      <c r="B14" s="0" t="str">
        <f aca="false">'Historical Demand'!B14</f>
        <v>Wireless Earbuds</v>
      </c>
      <c r="C14" s="0" t="n">
        <f aca="false">'Historical Demand'!AH14</f>
        <v>95</v>
      </c>
      <c r="D14" s="0" t="n">
        <f aca="false">'Historical Demand'!AI14</f>
        <v>113</v>
      </c>
      <c r="E14" s="0" t="n">
        <f aca="false">'Historical Demand'!AJ14</f>
        <v>124</v>
      </c>
      <c r="F14" s="0" t="n">
        <f aca="false">'Historical Demand'!AK14</f>
        <v>104</v>
      </c>
      <c r="G14" s="0" t="n">
        <f aca="false">'Historical Demand'!AL14</f>
        <v>152</v>
      </c>
      <c r="H14" s="0" t="n">
        <f aca="false">'Historical Demand'!AM14</f>
        <v>212</v>
      </c>
      <c r="I14" s="21" t="n">
        <f aca="false">_xlfn.FORECAST.ETS('Historical Demand'!AH$1,'Historical Demand'!$D14:$AG14,'Historical Demand'!$D$1:$AG$1,1,1,1)</f>
        <v>100.187488459968</v>
      </c>
      <c r="J14" s="21" t="n">
        <f aca="false">_xlfn.FORECAST.ETS('Historical Demand'!AI$1,'Historical Demand'!$D14:$AG14,'Historical Demand'!$D$1:$AG$1,1,1,1)</f>
        <v>108.145198910879</v>
      </c>
      <c r="K14" s="21" t="n">
        <f aca="false">_xlfn.FORECAST.ETS('Historical Demand'!AJ$1,'Historical Demand'!$D14:$AG14,'Historical Demand'!$D$1:$AG$1,1,1,1)</f>
        <v>103.962633987374</v>
      </c>
      <c r="L14" s="21" t="n">
        <f aca="false">_xlfn.FORECAST.ETS('Historical Demand'!AK$1,'Historical Demand'!$D14:$AG14,'Historical Demand'!$D$1:$AG$1,1,1,1)</f>
        <v>112.185866920164</v>
      </c>
      <c r="M14" s="21" t="n">
        <f aca="false">_xlfn.FORECAST.ETS('Historical Demand'!AL$1,'Historical Demand'!$D14:$AG14,'Historical Demand'!$D$1:$AG$1,1,1,1)</f>
        <v>144.883324724546</v>
      </c>
      <c r="N14" s="21" t="n">
        <f aca="false">_xlfn.FORECAST.ETS('Historical Demand'!AM$1,'Historical Demand'!$D14:$AG14,'Historical Demand'!$D$1:$AG$1,1,1,1)</f>
        <v>160.025774219007</v>
      </c>
      <c r="O14" s="22" t="n">
        <f aca="false">SUMPRODUCT(ABS(C14:H14-I14:N14)/C14:H14)/6</f>
        <v>0.104975262976489</v>
      </c>
      <c r="P14" s="21" t="n">
        <f aca="false">AVERAGE('Historical Demand'!AE14:AG14)</f>
        <v>92.3333333333333</v>
      </c>
      <c r="Q14" s="22" t="n">
        <f aca="false">SUMPRODUCT(ABS(C14:H14-P14)/C14:H14)/6</f>
        <v>0.255921021769248</v>
      </c>
    </row>
    <row r="15" customFormat="false" ht="15" hidden="false" customHeight="false" outlineLevel="0" collapsed="false">
      <c r="A15" s="0" t="str">
        <f aca="false">'Historical Demand'!A15</f>
        <v>ELE-402</v>
      </c>
      <c r="B15" s="0" t="str">
        <f aca="false">'Historical Demand'!B15</f>
        <v>Bluetooth Speaker</v>
      </c>
      <c r="C15" s="0" t="n">
        <f aca="false">'Historical Demand'!AH15</f>
        <v>44</v>
      </c>
      <c r="D15" s="0" t="n">
        <f aca="false">'Historical Demand'!AI15</f>
        <v>45</v>
      </c>
      <c r="E15" s="0" t="n">
        <f aca="false">'Historical Demand'!AJ15</f>
        <v>42</v>
      </c>
      <c r="F15" s="0" t="n">
        <f aca="false">'Historical Demand'!AK15</f>
        <v>46</v>
      </c>
      <c r="G15" s="0" t="n">
        <f aca="false">'Historical Demand'!AL15</f>
        <v>56</v>
      </c>
      <c r="H15" s="0" t="n">
        <f aca="false">'Historical Demand'!AM15</f>
        <v>76</v>
      </c>
      <c r="I15" s="21" t="n">
        <f aca="false">_xlfn.FORECAST.ETS('Historical Demand'!AH$1,'Historical Demand'!$D15:$AG15,'Historical Demand'!$D$1:$AG$1,1,1,1)</f>
        <v>48.6363636363636</v>
      </c>
      <c r="J15" s="21" t="n">
        <f aca="false">_xlfn.FORECAST.ETS('Historical Demand'!AI$1,'Historical Demand'!$D15:$AG15,'Historical Demand'!$D$1:$AG$1,1,1,1)</f>
        <v>42.6363636363636</v>
      </c>
      <c r="K15" s="21" t="n">
        <f aca="false">_xlfn.FORECAST.ETS('Historical Demand'!AJ$1,'Historical Demand'!$D15:$AG15,'Historical Demand'!$D$1:$AG$1,1,1,1)</f>
        <v>46.6363636363636</v>
      </c>
      <c r="L15" s="21" t="n">
        <f aca="false">_xlfn.FORECAST.ETS('Historical Demand'!AK$1,'Historical Demand'!$D15:$AG15,'Historical Demand'!$D$1:$AG$1,1,1,1)</f>
        <v>66.6363636363636</v>
      </c>
      <c r="M15" s="21" t="n">
        <f aca="false">_xlfn.FORECAST.ETS('Historical Demand'!AL$1,'Historical Demand'!$D15:$AG15,'Historical Demand'!$D$1:$AG$1,1,1,1)</f>
        <v>75.6363636363636</v>
      </c>
      <c r="N15" s="21" t="n">
        <f aca="false">_xlfn.FORECAST.ETS('Historical Demand'!AM$1,'Historical Demand'!$D15:$AG15,'Historical Demand'!$D$1:$AG$1,1,1,1)</f>
        <v>54.6363636363636</v>
      </c>
      <c r="O15" s="22" t="n">
        <f aca="false">SUMPRODUCT(ABS(C15:H15-I15:N15)/C15:H15)/6</f>
        <v>0.224775532275012</v>
      </c>
      <c r="P15" s="21" t="n">
        <f aca="false">AVERAGE('Historical Demand'!AE15:AG15)</f>
        <v>39.6666666666667</v>
      </c>
      <c r="Q15" s="22" t="n">
        <f aca="false">SUMPRODUCT(ABS(C15:H15-P15)/C15:H15)/6</f>
        <v>0.196662820680746</v>
      </c>
    </row>
    <row r="16" customFormat="false" ht="15" hidden="false" customHeight="false" outlineLevel="0" collapsed="false">
      <c r="A16" s="0" t="str">
        <f aca="false">'Historical Demand'!A16</f>
        <v>ELE-403</v>
      </c>
      <c r="B16" s="0" t="str">
        <f aca="false">'Historical Demand'!B16</f>
        <v>Fitness Tracker Band</v>
      </c>
      <c r="C16" s="0" t="n">
        <f aca="false">'Historical Demand'!AH16</f>
        <v>34</v>
      </c>
      <c r="D16" s="0" t="n">
        <f aca="false">'Historical Demand'!AI16</f>
        <v>42</v>
      </c>
      <c r="E16" s="0" t="n">
        <f aca="false">'Historical Demand'!AJ16</f>
        <v>38</v>
      </c>
      <c r="F16" s="0" t="n">
        <f aca="false">'Historical Demand'!AK16</f>
        <v>44</v>
      </c>
      <c r="G16" s="0" t="n">
        <f aca="false">'Historical Demand'!AL16</f>
        <v>54</v>
      </c>
      <c r="H16" s="0" t="n">
        <f aca="false">'Historical Demand'!AM16</f>
        <v>67</v>
      </c>
      <c r="I16" s="21" t="n">
        <f aca="false">_xlfn.FORECAST.ETS('Historical Demand'!AH$1,'Historical Demand'!$D16:$AG16,'Historical Demand'!$D$1:$AG$1,1,1,1)</f>
        <v>35.1666666666666</v>
      </c>
      <c r="J16" s="21" t="n">
        <f aca="false">_xlfn.FORECAST.ETS('Historical Demand'!AI$1,'Historical Demand'!$D16:$AG16,'Historical Demand'!$D$1:$AG$1,1,1,1)</f>
        <v>42.1666666666666</v>
      </c>
      <c r="K16" s="21" t="n">
        <f aca="false">_xlfn.FORECAST.ETS('Historical Demand'!AJ$1,'Historical Demand'!$D16:$AG16,'Historical Demand'!$D$1:$AG$1,1,1,1)</f>
        <v>42.1666666666666</v>
      </c>
      <c r="L16" s="21" t="n">
        <f aca="false">_xlfn.FORECAST.ETS('Historical Demand'!AK$1,'Historical Demand'!$D16:$AG16,'Historical Demand'!$D$1:$AG$1,1,1,1)</f>
        <v>40.1666666666666</v>
      </c>
      <c r="M16" s="21" t="n">
        <f aca="false">_xlfn.FORECAST.ETS('Historical Demand'!AL$1,'Historical Demand'!$D16:$AG16,'Historical Demand'!$D$1:$AG$1,1,1,1)</f>
        <v>54.1666666666666</v>
      </c>
      <c r="N16" s="21" t="n">
        <f aca="false">_xlfn.FORECAST.ETS('Historical Demand'!AM$1,'Historical Demand'!$D16:$AG16,'Historical Demand'!$D$1:$AG$1,1,1,1)</f>
        <v>67.1666666666666</v>
      </c>
      <c r="O16" s="22" t="n">
        <f aca="false">SUMPRODUCT(ABS(C16:H16-I16:N16)/C16:H16)/6</f>
        <v>0.0401043827214698</v>
      </c>
      <c r="P16" s="21" t="n">
        <f aca="false">AVERAGE('Historical Demand'!AE16:AG16)</f>
        <v>34.6666666666667</v>
      </c>
      <c r="Q16" s="22" t="n">
        <f aca="false">SUMPRODUCT(ABS(C16:H16-P16)/C16:H16)/6</f>
        <v>0.222443880690316</v>
      </c>
    </row>
    <row r="17" customFormat="false" ht="15" hidden="false" customHeight="false" outlineLevel="0" collapsed="false">
      <c r="A17" s="0" t="str">
        <f aca="false">'Historical Demand'!A17</f>
        <v>ELE-404</v>
      </c>
      <c r="B17" s="0" t="str">
        <f aca="false">'Historical Demand'!B17</f>
        <v>Phone Charging Cable</v>
      </c>
      <c r="C17" s="0" t="n">
        <f aca="false">'Historical Demand'!AH17</f>
        <v>115</v>
      </c>
      <c r="D17" s="0" t="n">
        <f aca="false">'Historical Demand'!AI17</f>
        <v>133</v>
      </c>
      <c r="E17" s="0" t="n">
        <f aca="false">'Historical Demand'!AJ17</f>
        <v>124</v>
      </c>
      <c r="F17" s="0" t="n">
        <f aca="false">'Historical Demand'!AK17</f>
        <v>126</v>
      </c>
      <c r="G17" s="0" t="n">
        <f aca="false">'Historical Demand'!AL17</f>
        <v>162</v>
      </c>
      <c r="H17" s="0" t="n">
        <f aca="false">'Historical Demand'!AM17</f>
        <v>200</v>
      </c>
      <c r="I17" s="21" t="n">
        <f aca="false">_xlfn.FORECAST.ETS('Historical Demand'!AH$1,'Historical Demand'!$D17:$AG17,'Historical Demand'!$D$1:$AG$1,1,1,1)</f>
        <v>124.488286336263</v>
      </c>
      <c r="J17" s="21" t="n">
        <f aca="false">_xlfn.FORECAST.ETS('Historical Demand'!AI$1,'Historical Demand'!$D17:$AG17,'Historical Demand'!$D$1:$AG$1,1,1,1)</f>
        <v>126.488286336263</v>
      </c>
      <c r="K17" s="21" t="n">
        <f aca="false">_xlfn.FORECAST.ETS('Historical Demand'!AJ$1,'Historical Demand'!$D17:$AG17,'Historical Demand'!$D$1:$AG$1,1,1,1)</f>
        <v>126.488286336263</v>
      </c>
      <c r="L17" s="21" t="n">
        <f aca="false">_xlfn.FORECAST.ETS('Historical Demand'!AK$1,'Historical Demand'!$D17:$AG17,'Historical Demand'!$D$1:$AG$1,1,1,1)</f>
        <v>136.488286336263</v>
      </c>
      <c r="M17" s="21" t="n">
        <f aca="false">_xlfn.FORECAST.ETS('Historical Demand'!AL$1,'Historical Demand'!$D17:$AG17,'Historical Demand'!$D$1:$AG$1,1,1,1)</f>
        <v>181.488286336263</v>
      </c>
      <c r="N17" s="21" t="n">
        <f aca="false">_xlfn.FORECAST.ETS('Historical Demand'!AM$1,'Historical Demand'!$D17:$AG17,'Historical Demand'!$D$1:$AG$1,1,1,1)</f>
        <v>204.488286336263</v>
      </c>
      <c r="O17" s="22" t="n">
        <f aca="false">SUMPRODUCT(ABS(C17:H17-I17:N17)/C17:H17)/6</f>
        <v>0.0629189632239017</v>
      </c>
      <c r="P17" s="21" t="n">
        <f aca="false">AVERAGE('Historical Demand'!AE17:AG17)</f>
        <v>121</v>
      </c>
      <c r="Q17" s="22" t="n">
        <f aca="false">SUMPRODUCT(ABS(C17:H17-P17)/C17:H17)/6</f>
        <v>0.142393664129329</v>
      </c>
    </row>
    <row r="18" customFormat="false" ht="15" hidden="false" customHeight="false" outlineLevel="0" collapsed="false">
      <c r="A18" s="0" t="str">
        <f aca="false">'Historical Demand'!A18</f>
        <v>HOM-501</v>
      </c>
      <c r="B18" s="0" t="str">
        <f aca="false">'Historical Demand'!B18</f>
        <v>Ceramic Coffee Mug Set</v>
      </c>
      <c r="C18" s="0" t="n">
        <f aca="false">'Historical Demand'!AH18</f>
        <v>32</v>
      </c>
      <c r="D18" s="0" t="n">
        <f aca="false">'Historical Demand'!AI18</f>
        <v>32</v>
      </c>
      <c r="E18" s="0" t="n">
        <f aca="false">'Historical Demand'!AJ18</f>
        <v>31</v>
      </c>
      <c r="F18" s="0" t="n">
        <f aca="false">'Historical Demand'!AK18</f>
        <v>37</v>
      </c>
      <c r="G18" s="0" t="n">
        <f aca="false">'Historical Demand'!AL18</f>
        <v>47</v>
      </c>
      <c r="H18" s="0" t="n">
        <f aca="false">'Historical Demand'!AM18</f>
        <v>52</v>
      </c>
      <c r="I18" s="21" t="n">
        <f aca="false">_xlfn.FORECAST.ETS('Historical Demand'!AH$1,'Historical Demand'!$D18:$AG18,'Historical Demand'!$D$1:$AG$1,1,1,1)</f>
        <v>36.4831993554399</v>
      </c>
      <c r="J18" s="21" t="n">
        <f aca="false">_xlfn.FORECAST.ETS('Historical Demand'!AI$1,'Historical Demand'!$D18:$AG18,'Historical Demand'!$D$1:$AG$1,1,1,1)</f>
        <v>32.4831993554399</v>
      </c>
      <c r="K18" s="21" t="n">
        <f aca="false">_xlfn.FORECAST.ETS('Historical Demand'!AJ$1,'Historical Demand'!$D18:$AG18,'Historical Demand'!$D$1:$AG$1,1,1,1)</f>
        <v>38.4831993554399</v>
      </c>
      <c r="L18" s="21" t="n">
        <f aca="false">_xlfn.FORECAST.ETS('Historical Demand'!AK$1,'Historical Demand'!$D18:$AG18,'Historical Demand'!$D$1:$AG$1,1,1,1)</f>
        <v>43.4831993554399</v>
      </c>
      <c r="M18" s="21" t="n">
        <f aca="false">_xlfn.FORECAST.ETS('Historical Demand'!AL$1,'Historical Demand'!$D18:$AG18,'Historical Demand'!$D$1:$AG$1,1,1,1)</f>
        <v>45.4831993554399</v>
      </c>
      <c r="N18" s="21" t="n">
        <f aca="false">_xlfn.FORECAST.ETS('Historical Demand'!AM$1,'Historical Demand'!$D18:$AG18,'Historical Demand'!$D$1:$AG$1,1,1,1)</f>
        <v>50.4831993554399</v>
      </c>
      <c r="O18" s="22" t="n">
        <f aca="false">SUMPRODUCT(ABS(C18:H18-I18:N18)/C18:H18)/6</f>
        <v>0.105542781469183</v>
      </c>
      <c r="P18" s="21" t="n">
        <f aca="false">AVERAGE('Historical Demand'!AE18:AG18)</f>
        <v>40.6666666666667</v>
      </c>
      <c r="Q18" s="22" t="n">
        <f aca="false">SUMPRODUCT(ABS(C18:H18-P18)/C18:H18)/6</f>
        <v>0.217549035625563</v>
      </c>
    </row>
    <row r="19" customFormat="false" ht="15" hidden="false" customHeight="false" outlineLevel="0" collapsed="false">
      <c r="A19" s="0" t="str">
        <f aca="false">'Historical Demand'!A19</f>
        <v>HOM-502</v>
      </c>
      <c r="B19" s="0" t="str">
        <f aca="false">'Historical Demand'!B19</f>
        <v>Scented Candle</v>
      </c>
      <c r="C19" s="0" t="n">
        <f aca="false">'Historical Demand'!AH19</f>
        <v>43</v>
      </c>
      <c r="D19" s="0" t="n">
        <f aca="false">'Historical Demand'!AI19</f>
        <v>41</v>
      </c>
      <c r="E19" s="0" t="n">
        <f aca="false">'Historical Demand'!AJ19</f>
        <v>46</v>
      </c>
      <c r="F19" s="0" t="n">
        <f aca="false">'Historical Demand'!AK19</f>
        <v>61</v>
      </c>
      <c r="G19" s="0" t="n">
        <f aca="false">'Historical Demand'!AL19</f>
        <v>66</v>
      </c>
      <c r="H19" s="0" t="n">
        <f aca="false">'Historical Demand'!AM19</f>
        <v>88</v>
      </c>
      <c r="I19" s="21" t="n">
        <f aca="false">_xlfn.FORECAST.ETS('Historical Demand'!AH$1,'Historical Demand'!$D19:$AG19,'Historical Demand'!$D$1:$AG$1,1,1,1)</f>
        <v>48.405029296875</v>
      </c>
      <c r="J19" s="21" t="n">
        <f aca="false">_xlfn.FORECAST.ETS('Historical Demand'!AI$1,'Historical Demand'!$D19:$AG19,'Historical Demand'!$D$1:$AG$1,1,1,1)</f>
        <v>50.154052734375</v>
      </c>
      <c r="K19" s="21" t="n">
        <f aca="false">_xlfn.FORECAST.ETS('Historical Demand'!AJ$1,'Historical Demand'!$D19:$AG19,'Historical Demand'!$D$1:$AG$1,1,1,1)</f>
        <v>52.903076171875</v>
      </c>
      <c r="L19" s="21" t="n">
        <f aca="false">_xlfn.FORECAST.ETS('Historical Demand'!AK$1,'Historical Demand'!$D19:$AG19,'Historical Demand'!$D$1:$AG$1,1,1,1)</f>
        <v>55.106201171875</v>
      </c>
      <c r="M19" s="21" t="n">
        <f aca="false">_xlfn.FORECAST.ETS('Historical Demand'!AL$1,'Historical Demand'!$D19:$AG19,'Historical Demand'!$D$1:$AG$1,1,1,1)</f>
        <v>74.504638671875</v>
      </c>
      <c r="N19" s="21" t="n">
        <f aca="false">_xlfn.FORECAST.ETS('Historical Demand'!AM$1,'Historical Demand'!$D19:$AG19,'Historical Demand'!$D$1:$AG$1,1,1,1)</f>
        <v>79.652099609375</v>
      </c>
      <c r="O19" s="22" t="n">
        <f aca="false">SUMPRODUCT(ABS(C19:H19-I19:N19)/C19:H19)/6</f>
        <v>0.13656252116403</v>
      </c>
      <c r="P19" s="21" t="n">
        <f aca="false">AVERAGE('Historical Demand'!AE19:AG19)</f>
        <v>56.6666666666667</v>
      </c>
      <c r="Q19" s="22" t="n">
        <f aca="false">SUMPRODUCT(ABS(C19:H19-P19)/C19:H19)/6</f>
        <v>0.250056722552406</v>
      </c>
    </row>
    <row r="20" customFormat="false" ht="15" hidden="false" customHeight="false" outlineLevel="0" collapsed="false">
      <c r="A20" s="0" t="str">
        <f aca="false">'Historical Demand'!A20</f>
        <v>HOM-503</v>
      </c>
      <c r="B20" s="0" t="str">
        <f aca="false">'Historical Demand'!B20</f>
        <v>Cotton Throw Blanket</v>
      </c>
      <c r="C20" s="0" t="n">
        <f aca="false">'Historical Demand'!AH20</f>
        <v>24</v>
      </c>
      <c r="D20" s="0" t="n">
        <f aca="false">'Historical Demand'!AI20</f>
        <v>28</v>
      </c>
      <c r="E20" s="0" t="n">
        <f aca="false">'Historical Demand'!AJ20</f>
        <v>29</v>
      </c>
      <c r="F20" s="0" t="n">
        <f aca="false">'Historical Demand'!AK20</f>
        <v>27</v>
      </c>
      <c r="G20" s="0" t="n">
        <f aca="false">'Historical Demand'!AL20</f>
        <v>31</v>
      </c>
      <c r="H20" s="0" t="n">
        <f aca="false">'Historical Demand'!AM20</f>
        <v>39</v>
      </c>
      <c r="I20" s="21" t="n">
        <f aca="false">_xlfn.FORECAST.ETS('Historical Demand'!AH$1,'Historical Demand'!$D20:$AG20,'Historical Demand'!$D$1:$AG$1,1,1,1)</f>
        <v>25.8684371512539</v>
      </c>
      <c r="J20" s="21" t="n">
        <f aca="false">_xlfn.FORECAST.ETS('Historical Demand'!AI$1,'Historical Demand'!$D20:$AG20,'Historical Demand'!$D$1:$AG$1,1,1,1)</f>
        <v>21.8684371512539</v>
      </c>
      <c r="K20" s="21" t="n">
        <f aca="false">_xlfn.FORECAST.ETS('Historical Demand'!AJ$1,'Historical Demand'!$D20:$AG20,'Historical Demand'!$D$1:$AG$1,1,1,1)</f>
        <v>22.8684371512539</v>
      </c>
      <c r="L20" s="21" t="n">
        <f aca="false">_xlfn.FORECAST.ETS('Historical Demand'!AK$1,'Historical Demand'!$D20:$AG20,'Historical Demand'!$D$1:$AG$1,1,1,1)</f>
        <v>25.8684371512539</v>
      </c>
      <c r="M20" s="21" t="n">
        <f aca="false">_xlfn.FORECAST.ETS('Historical Demand'!AL$1,'Historical Demand'!$D20:$AG20,'Historical Demand'!$D$1:$AG$1,1,1,1)</f>
        <v>32.8684371512539</v>
      </c>
      <c r="N20" s="21" t="n">
        <f aca="false">_xlfn.FORECAST.ETS('Historical Demand'!AM$1,'Historical Demand'!$D20:$AG20,'Historical Demand'!$D$1:$AG$1,1,1,1)</f>
        <v>40.8684371512539</v>
      </c>
      <c r="O20" s="22" t="n">
        <f aca="false">SUMPRODUCT(ABS(C20:H20-I20:N20)/C20:H20)/6</f>
        <v>0.1097266138862</v>
      </c>
      <c r="P20" s="21" t="n">
        <f aca="false">AVERAGE('Historical Demand'!AE20:AG20)</f>
        <v>29.3333333333333</v>
      </c>
      <c r="Q20" s="22" t="n">
        <f aca="false">SUMPRODUCT(ABS(C20:H20-P20)/C20:H20)/6</f>
        <v>0.111563660754119</v>
      </c>
    </row>
    <row r="21" customFormat="false" ht="15" hidden="false" customHeight="false" outlineLevel="0" collapsed="false">
      <c r="A21" s="0" t="str">
        <f aca="false">'Historical Demand'!A21</f>
        <v>HOM-504</v>
      </c>
      <c r="B21" s="0" t="str">
        <f aca="false">'Historical Demand'!B21</f>
        <v>Bamboo Cutting Board</v>
      </c>
      <c r="C21" s="0" t="n">
        <f aca="false">'Historical Demand'!AH21</f>
        <v>28</v>
      </c>
      <c r="D21" s="0" t="n">
        <f aca="false">'Historical Demand'!AI21</f>
        <v>32</v>
      </c>
      <c r="E21" s="0" t="n">
        <f aca="false">'Historical Demand'!AJ21</f>
        <v>36</v>
      </c>
      <c r="F21" s="0" t="n">
        <f aca="false">'Historical Demand'!AK21</f>
        <v>38</v>
      </c>
      <c r="G21" s="0" t="n">
        <f aca="false">'Historical Demand'!AL21</f>
        <v>45</v>
      </c>
      <c r="H21" s="0" t="n">
        <f aca="false">'Historical Demand'!AM21</f>
        <v>51</v>
      </c>
      <c r="I21" s="21" t="n">
        <f aca="false">_xlfn.FORECAST.ETS('Historical Demand'!AH$1,'Historical Demand'!$D21:$AG21,'Historical Demand'!$D$1:$AG$1,1,1,1)</f>
        <v>30.7318522135417</v>
      </c>
      <c r="J21" s="21" t="n">
        <f aca="false">_xlfn.FORECAST.ETS('Historical Demand'!AI$1,'Historical Demand'!$D21:$AG21,'Historical Demand'!$D$1:$AG$1,1,1,1)</f>
        <v>31.2406412760417</v>
      </c>
      <c r="K21" s="21" t="n">
        <f aca="false">_xlfn.FORECAST.ETS('Historical Demand'!AJ$1,'Historical Demand'!$D21:$AG21,'Historical Demand'!$D$1:$AG$1,1,1,1)</f>
        <v>33.0336100260417</v>
      </c>
      <c r="L21" s="21" t="n">
        <f aca="false">_xlfn.FORECAST.ETS('Historical Demand'!AK$1,'Historical Demand'!$D21:$AG21,'Historical Demand'!$D$1:$AG$1,1,1,1)</f>
        <v>33.5423990885417</v>
      </c>
      <c r="M21" s="21" t="n">
        <f aca="false">_xlfn.FORECAST.ETS('Historical Demand'!AL$1,'Historical Demand'!$D21:$AG21,'Historical Demand'!$D$1:$AG$1,1,1,1)</f>
        <v>43.9388834635417</v>
      </c>
      <c r="N21" s="21" t="n">
        <f aca="false">_xlfn.FORECAST.ETS('Historical Demand'!AM$1,'Historical Demand'!$D21:$AG21,'Historical Demand'!$D$1:$AG$1,1,1,1)</f>
        <v>53.0336100260417</v>
      </c>
      <c r="O21" s="22" t="n">
        <f aca="false">SUMPRODUCT(ABS(C21:H21-I21:N21)/C21:H21)/6</f>
        <v>0.0640760321866063</v>
      </c>
      <c r="P21" s="21" t="n">
        <f aca="false">AVERAGE('Historical Demand'!AE21:AG21)</f>
        <v>36</v>
      </c>
      <c r="Q21" s="22" t="n">
        <f aca="false">SUMPRODUCT(ABS(C21:H21-P21)/C21:H21)/6</f>
        <v>0.159577251953413</v>
      </c>
    </row>
    <row r="23" customFormat="false" ht="15" hidden="false" customHeight="false" outlineLevel="0" collapsed="false">
      <c r="B23" s="16" t="s">
        <v>77</v>
      </c>
      <c r="I23" s="17" t="n">
        <f aca="false">SUM(I2:I21)</f>
        <v>1265.851096242</v>
      </c>
      <c r="J23" s="17" t="n">
        <f aca="false">SUM(J2:J21)</f>
        <v>1257.94987543668</v>
      </c>
      <c r="K23" s="17" t="n">
        <f aca="false">SUM(K2:K21)</f>
        <v>1265.95676386389</v>
      </c>
      <c r="L23" s="17" t="n">
        <f aca="false">SUM(L2:L21)</f>
        <v>1294.81351415643</v>
      </c>
      <c r="M23" s="17" t="n">
        <f aca="false">SUM(M2:M21)</f>
        <v>1492.54900016224</v>
      </c>
      <c r="N23" s="17" t="n">
        <f aca="false">SUM(N2:N21)</f>
        <v>1564.71559572441</v>
      </c>
    </row>
  </sheetData>
  <conditionalFormatting sqref="O2:O21">
    <cfRule type="colorScale" priority="2">
      <colorScale>
        <cfvo type="min" val="0"/>
        <cfvo type="num" val="0.15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9" min="4" style="0" width="9"/>
    <col collapsed="false" customWidth="true" hidden="false" outlineLevel="0" max="10" min="10" style="0" width="15"/>
    <col collapsed="false" customWidth="true" hidden="false" outlineLevel="0" max="11" min="11" style="0" width="22"/>
  </cols>
  <sheetData>
    <row r="1" customFormat="false" ht="35.05" hidden="false" customHeight="false" outlineLevel="0" collapsed="false">
      <c r="A1" s="13" t="s">
        <v>29</v>
      </c>
      <c r="B1" s="13" t="s">
        <v>30</v>
      </c>
      <c r="C1" s="13" t="s">
        <v>31</v>
      </c>
      <c r="D1" s="13" t="s">
        <v>95</v>
      </c>
      <c r="E1" s="13" t="s">
        <v>96</v>
      </c>
      <c r="F1" s="13" t="s">
        <v>97</v>
      </c>
      <c r="G1" s="13" t="s">
        <v>98</v>
      </c>
      <c r="H1" s="13" t="s">
        <v>99</v>
      </c>
      <c r="I1" s="13" t="s">
        <v>100</v>
      </c>
      <c r="J1" s="13" t="s">
        <v>101</v>
      </c>
      <c r="K1" s="13" t="s">
        <v>102</v>
      </c>
    </row>
    <row r="2" customFormat="false" ht="15" hidden="false" customHeight="false" outlineLevel="0" collapsed="false">
      <c r="A2" s="0" t="str">
        <f aca="false">'Historical Demand'!A2</f>
        <v>APP-101</v>
      </c>
      <c r="B2" s="0" t="str">
        <f aca="false">'Historical Demand'!B2</f>
        <v>Classic Denim Jacket</v>
      </c>
      <c r="C2" s="0" t="str">
        <f aca="false">'Historical Demand'!C2</f>
        <v>Apparel</v>
      </c>
      <c r="D2" s="23" t="n">
        <f aca="false">_xlfn.FORECAST.ETS(DATE(2026,1,1),'Historical Demand'!$D2:$AM2,'Historical Demand'!$D$1:$AM$1,1,1,1)</f>
        <v>87.2349008413462</v>
      </c>
      <c r="E2" s="23" t="n">
        <f aca="false">_xlfn.FORECAST.ETS(DATE(2026,2,1),'Historical Demand'!$D2:$AM2,'Historical Demand'!$D$1:$AM$1,1,1,1)</f>
        <v>67.2485727163462</v>
      </c>
      <c r="F2" s="23" t="n">
        <f aca="false">_xlfn.FORECAST.ETS(DATE(2026,3,1),'Historical Demand'!$D2:$AM2,'Historical Demand'!$D$1:$AM$1,1,1,1)</f>
        <v>60.2378305288462</v>
      </c>
      <c r="G2" s="23" t="n">
        <f aca="false">_xlfn.FORECAST.ETS(DATE(2026,4,1),'Historical Demand'!$D2:$AM2,'Historical Demand'!$D$1:$AM$1,1,1,1)</f>
        <v>70.2202524038462</v>
      </c>
      <c r="H2" s="23" t="n">
        <f aca="false">_xlfn.FORECAST.ETS(DATE(2026,5,1),'Historical Demand'!$D2:$AM2,'Historical Demand'!$D$1:$AM$1,1,1,1)</f>
        <v>75.2339092401358</v>
      </c>
      <c r="I2" s="23" t="n">
        <f aca="false">_xlfn.FORECAST.ETS(DATE(2026,6,1),'Historical Demand'!$D2:$AM2,'Historical Demand'!$D$1:$AM$1,1,1,1)</f>
        <v>71.2368475107046</v>
      </c>
      <c r="J2" s="23" t="n">
        <f aca="false">AVERAGE(D2:I2)</f>
        <v>71.9020522068709</v>
      </c>
      <c r="K2" s="23" t="n">
        <f aca="false">ROUND(D2*1.15,0)</f>
        <v>100</v>
      </c>
    </row>
    <row r="3" customFormat="false" ht="15" hidden="false" customHeight="false" outlineLevel="0" collapsed="false">
      <c r="A3" s="0" t="str">
        <f aca="false">'Historical Demand'!A3</f>
        <v>APP-102</v>
      </c>
      <c r="B3" s="0" t="str">
        <f aca="false">'Historical Demand'!B3</f>
        <v>Cotton Crew T-Shirt</v>
      </c>
      <c r="C3" s="0" t="str">
        <f aca="false">'Historical Demand'!C3</f>
        <v>Apparel</v>
      </c>
      <c r="D3" s="23" t="n">
        <f aca="false">_xlfn.FORECAST.ETS(DATE(2026,1,1),'Historical Demand'!$D3:$AM3,'Historical Demand'!$D$1:$AM$1,1,1,1)</f>
        <v>100.105421985252</v>
      </c>
      <c r="E3" s="23" t="n">
        <f aca="false">_xlfn.FORECAST.ETS(DATE(2026,2,1),'Historical Demand'!$D3:$AM3,'Historical Demand'!$D$1:$AM$1,1,1,1)</f>
        <v>93.6245043306408</v>
      </c>
      <c r="F3" s="23" t="n">
        <f aca="false">_xlfn.FORECAST.ETS(DATE(2026,3,1),'Historical Demand'!$D3:$AM3,'Historical Demand'!$D$1:$AM$1,1,1,1)</f>
        <v>117.252438999257</v>
      </c>
      <c r="G3" s="23" t="n">
        <f aca="false">_xlfn.FORECAST.ETS(DATE(2026,4,1),'Historical Demand'!$D3:$AM3,'Historical Demand'!$D$1:$AM$1,1,1,1)</f>
        <v>116.002967303216</v>
      </c>
      <c r="H3" s="23" t="n">
        <f aca="false">_xlfn.FORECAST.ETS(DATE(2026,5,1),'Historical Demand'!$D3:$AM3,'Historical Demand'!$D$1:$AM$1,1,1,1)</f>
        <v>125.066226784608</v>
      </c>
      <c r="I3" s="23" t="n">
        <f aca="false">_xlfn.FORECAST.ETS(DATE(2026,6,1),'Historical Demand'!$D3:$AM3,'Historical Demand'!$D$1:$AM$1,1,1,1)</f>
        <v>115.788086910806</v>
      </c>
      <c r="J3" s="23" t="n">
        <f aca="false">AVERAGE(D3:I3)</f>
        <v>111.306607718963</v>
      </c>
      <c r="K3" s="23" t="n">
        <f aca="false">ROUND(D3*1.15,0)</f>
        <v>115</v>
      </c>
    </row>
    <row r="4" customFormat="false" ht="15" hidden="false" customHeight="false" outlineLevel="0" collapsed="false">
      <c r="A4" s="0" t="str">
        <f aca="false">'Historical Demand'!A4</f>
        <v>APP-103</v>
      </c>
      <c r="B4" s="0" t="str">
        <f aca="false">'Historical Demand'!B4</f>
        <v>Fleece Pullover Hoodie</v>
      </c>
      <c r="C4" s="0" t="str">
        <f aca="false">'Historical Demand'!C4</f>
        <v>Apparel</v>
      </c>
      <c r="D4" s="23" t="n">
        <f aca="false">_xlfn.FORECAST.ETS(DATE(2026,1,1),'Historical Demand'!$D4:$AM4,'Historical Demand'!$D$1:$AM$1,1,1,1)</f>
        <v>75.5263856371743</v>
      </c>
      <c r="E4" s="23" t="n">
        <f aca="false">_xlfn.FORECAST.ETS(DATE(2026,2,1),'Historical Demand'!$D4:$AM4,'Historical Demand'!$D$1:$AM$1,1,1,1)</f>
        <v>71.5900857841888</v>
      </c>
      <c r="F4" s="23" t="n">
        <f aca="false">_xlfn.FORECAST.ETS(DATE(2026,3,1),'Historical Demand'!$D4:$AM4,'Historical Demand'!$D$1:$AM$1,1,1,1)</f>
        <v>80.0028010902449</v>
      </c>
      <c r="G4" s="23" t="n">
        <f aca="false">_xlfn.FORECAST.ETS(DATE(2026,4,1),'Historical Demand'!$D4:$AM4,'Historical Demand'!$D$1:$AM$1,1,1,1)</f>
        <v>82.5640551594641</v>
      </c>
      <c r="H4" s="23" t="n">
        <f aca="false">_xlfn.FORECAST.ETS(DATE(2026,5,1),'Historical Demand'!$D4:$AM4,'Historical Demand'!$D$1:$AM$1,1,1,1)</f>
        <v>82.9189911733965</v>
      </c>
      <c r="I4" s="23" t="n">
        <f aca="false">_xlfn.FORECAST.ETS(DATE(2026,6,1),'Historical Demand'!$D4:$AM4,'Historical Demand'!$D$1:$AM$1,1,1,1)</f>
        <v>74.9335038958859</v>
      </c>
      <c r="J4" s="23" t="n">
        <f aca="false">AVERAGE(D4:I4)</f>
        <v>77.9226371233924</v>
      </c>
      <c r="K4" s="23" t="n">
        <f aca="false">ROUND(D4*1.15,0)</f>
        <v>87</v>
      </c>
    </row>
    <row r="5" customFormat="false" ht="15" hidden="false" customHeight="false" outlineLevel="0" collapsed="false">
      <c r="A5" s="0" t="str">
        <f aca="false">'Historical Demand'!A5</f>
        <v>APP-104</v>
      </c>
      <c r="B5" s="0" t="str">
        <f aca="false">'Historical Demand'!B5</f>
        <v>Slim Fit Chinos</v>
      </c>
      <c r="C5" s="0" t="str">
        <f aca="false">'Historical Demand'!C5</f>
        <v>Apparel</v>
      </c>
      <c r="D5" s="23" t="n">
        <f aca="false">_xlfn.FORECAST.ETS(DATE(2026,1,1),'Historical Demand'!$D5:$AM5,'Historical Demand'!$D$1:$AM$1,1,1,1)</f>
        <v>51.535443954224</v>
      </c>
      <c r="E5" s="23" t="n">
        <f aca="false">_xlfn.FORECAST.ETS(DATE(2026,2,1),'Historical Demand'!$D5:$AM5,'Historical Demand'!$D$1:$AM$1,1,1,1)</f>
        <v>47.046171998933</v>
      </c>
      <c r="F5" s="23" t="n">
        <f aca="false">_xlfn.FORECAST.ETS(DATE(2026,3,1),'Historical Demand'!$D5:$AM5,'Historical Demand'!$D$1:$AM$1,1,1,1)</f>
        <v>54.459656740973</v>
      </c>
      <c r="G5" s="23" t="n">
        <f aca="false">_xlfn.FORECAST.ETS(DATE(2026,4,1),'Historical Demand'!$D5:$AM5,'Historical Demand'!$D$1:$AM$1,1,1,1)</f>
        <v>61.6221039613995</v>
      </c>
      <c r="H5" s="23" t="n">
        <f aca="false">_xlfn.FORECAST.ETS(DATE(2026,5,1),'Historical Demand'!$D5:$AM5,'Historical Demand'!$D$1:$AM$1,1,1,1)</f>
        <v>61.0299787952135</v>
      </c>
      <c r="I5" s="23" t="n">
        <f aca="false">_xlfn.FORECAST.ETS(DATE(2026,6,1),'Historical Demand'!$D5:$AM5,'Historical Demand'!$D$1:$AM$1,1,1,1)</f>
        <v>54.7525625315303</v>
      </c>
      <c r="J5" s="23" t="n">
        <f aca="false">AVERAGE(D5:I5)</f>
        <v>55.0743196637122</v>
      </c>
      <c r="K5" s="23" t="n">
        <f aca="false">ROUND(D5*1.15,0)</f>
        <v>59</v>
      </c>
    </row>
    <row r="6" customFormat="false" ht="15" hidden="false" customHeight="false" outlineLevel="0" collapsed="false">
      <c r="A6" s="0" t="str">
        <f aca="false">'Historical Demand'!A6</f>
        <v>FTW-201</v>
      </c>
      <c r="B6" s="0" t="str">
        <f aca="false">'Historical Demand'!B6</f>
        <v>Running Sneakers</v>
      </c>
      <c r="C6" s="0" t="str">
        <f aca="false">'Historical Demand'!C6</f>
        <v>Footwear</v>
      </c>
      <c r="D6" s="23" t="n">
        <f aca="false">_xlfn.FORECAST.ETS(DATE(2026,1,1),'Historical Demand'!$D6:$AM6,'Historical Demand'!$D$1:$AM$1,1,1,1)</f>
        <v>127.083333333333</v>
      </c>
      <c r="E6" s="23" t="n">
        <f aca="false">_xlfn.FORECAST.ETS(DATE(2026,2,1),'Historical Demand'!$D6:$AM6,'Historical Demand'!$D$1:$AM$1,1,1,1)</f>
        <v>120.083333333333</v>
      </c>
      <c r="F6" s="23" t="n">
        <f aca="false">_xlfn.FORECAST.ETS(DATE(2026,3,1),'Historical Demand'!$D6:$AM6,'Historical Demand'!$D$1:$AM$1,1,1,1)</f>
        <v>140.083333333333</v>
      </c>
      <c r="G6" s="23" t="n">
        <f aca="false">_xlfn.FORECAST.ETS(DATE(2026,4,1),'Historical Demand'!$D6:$AM6,'Historical Demand'!$D$1:$AM$1,1,1,1)</f>
        <v>162.083333333333</v>
      </c>
      <c r="H6" s="23" t="n">
        <f aca="false">_xlfn.FORECAST.ETS(DATE(2026,5,1),'Historical Demand'!$D6:$AM6,'Historical Demand'!$D$1:$AM$1,1,1,1)</f>
        <v>191.083333333333</v>
      </c>
      <c r="I6" s="23" t="n">
        <f aca="false">_xlfn.FORECAST.ETS(DATE(2026,6,1),'Historical Demand'!$D6:$AM6,'Historical Demand'!$D$1:$AM$1,1,1,1)</f>
        <v>198.083333333333</v>
      </c>
      <c r="J6" s="23" t="n">
        <f aca="false">AVERAGE(D6:I6)</f>
        <v>156.416666666667</v>
      </c>
      <c r="K6" s="23" t="n">
        <f aca="false">ROUND(D6*1.15,0)</f>
        <v>146</v>
      </c>
    </row>
    <row r="7" customFormat="false" ht="15" hidden="false" customHeight="false" outlineLevel="0" collapsed="false">
      <c r="A7" s="0" t="str">
        <f aca="false">'Historical Demand'!A7</f>
        <v>FTW-202</v>
      </c>
      <c r="B7" s="0" t="str">
        <f aca="false">'Historical Demand'!B7</f>
        <v>Canvas Low-Top</v>
      </c>
      <c r="C7" s="0" t="str">
        <f aca="false">'Historical Demand'!C7</f>
        <v>Footwear</v>
      </c>
      <c r="D7" s="23" t="n">
        <f aca="false">_xlfn.FORECAST.ETS(DATE(2026,1,1),'Historical Demand'!$D7:$AM7,'Historical Demand'!$D$1:$AM$1,1,1,1)</f>
        <v>55.5916842023118</v>
      </c>
      <c r="E7" s="23" t="n">
        <f aca="false">_xlfn.FORECAST.ETS(DATE(2026,2,1),'Historical Demand'!$D7:$AM7,'Historical Demand'!$D$1:$AM$1,1,1,1)</f>
        <v>63.5433841062546</v>
      </c>
      <c r="F7" s="23" t="n">
        <f aca="false">_xlfn.FORECAST.ETS(DATE(2026,3,1),'Historical Demand'!$D7:$AM7,'Historical Demand'!$D$1:$AM$1,1,1,1)</f>
        <v>70.5208520250996</v>
      </c>
      <c r="G7" s="23" t="n">
        <f aca="false">_xlfn.FORECAST.ETS(DATE(2026,4,1),'Historical Demand'!$D7:$AM7,'Historical Demand'!$D$1:$AM$1,1,1,1)</f>
        <v>82.5064613770242</v>
      </c>
      <c r="H7" s="23" t="n">
        <f aca="false">_xlfn.FORECAST.ETS(DATE(2026,5,1),'Historical Demand'!$D7:$AM7,'Historical Demand'!$D$1:$AM$1,1,1,1)</f>
        <v>84.4883987082733</v>
      </c>
      <c r="I7" s="23" t="n">
        <f aca="false">_xlfn.FORECAST.ETS(DATE(2026,6,1),'Historical Demand'!$D7:$AM7,'Historical Demand'!$D$1:$AM$1,1,1,1)</f>
        <v>67.4724284420754</v>
      </c>
      <c r="J7" s="23" t="n">
        <f aca="false">AVERAGE(D7:I7)</f>
        <v>70.6872014768398</v>
      </c>
      <c r="K7" s="23" t="n">
        <f aca="false">ROUND(D7*1.15,0)</f>
        <v>64</v>
      </c>
    </row>
    <row r="8" customFormat="false" ht="15" hidden="false" customHeight="false" outlineLevel="0" collapsed="false">
      <c r="A8" s="0" t="str">
        <f aca="false">'Historical Demand'!A8</f>
        <v>FTW-203</v>
      </c>
      <c r="B8" s="0" t="str">
        <f aca="false">'Historical Demand'!B8</f>
        <v>Leather Ankle Boot</v>
      </c>
      <c r="C8" s="0" t="str">
        <f aca="false">'Historical Demand'!C8</f>
        <v>Footwear</v>
      </c>
      <c r="D8" s="23" t="n">
        <f aca="false">_xlfn.FORECAST.ETS(DATE(2026,1,1),'Historical Demand'!$D8:$AM8,'Historical Demand'!$D$1:$AM$1,1,1,1)</f>
        <v>26.0762455583822</v>
      </c>
      <c r="E8" s="23" t="n">
        <f aca="false">_xlfn.FORECAST.ETS(DATE(2026,2,1),'Historical Demand'!$D8:$AM8,'Historical Demand'!$D$1:$AM$1,1,1,1)</f>
        <v>29.2765672085583</v>
      </c>
      <c r="F8" s="23" t="n">
        <f aca="false">_xlfn.FORECAST.ETS(DATE(2026,3,1),'Historical Demand'!$D8:$AM8,'Historical Demand'!$D$1:$AM$1,1,1,1)</f>
        <v>33.5436748542701</v>
      </c>
      <c r="G8" s="23" t="n">
        <f aca="false">_xlfn.FORECAST.ETS(DATE(2026,4,1),'Historical Demand'!$D8:$AM8,'Historical Demand'!$D$1:$AM$1,1,1,1)</f>
        <v>40.2286947479598</v>
      </c>
      <c r="H8" s="23" t="n">
        <f aca="false">_xlfn.FORECAST.ETS(DATE(2026,5,1),'Historical Demand'!$D8:$AM8,'Historical Demand'!$D$1:$AM$1,1,1,1)</f>
        <v>42.2894637560343</v>
      </c>
      <c r="I8" s="23" t="n">
        <f aca="false">_xlfn.FORECAST.ETS(DATE(2026,6,1),'Historical Demand'!$D8:$AM8,'Historical Demand'!$D$1:$AM$1,1,1,1)</f>
        <v>43.5213807028595</v>
      </c>
      <c r="J8" s="23" t="n">
        <f aca="false">AVERAGE(D8:I8)</f>
        <v>35.8226711380107</v>
      </c>
      <c r="K8" s="23" t="n">
        <f aca="false">ROUND(D8*1.15,0)</f>
        <v>30</v>
      </c>
    </row>
    <row r="9" customFormat="false" ht="15" hidden="false" customHeight="false" outlineLevel="0" collapsed="false">
      <c r="A9" s="0" t="str">
        <f aca="false">'Historical Demand'!A9</f>
        <v>FTW-204</v>
      </c>
      <c r="B9" s="0" t="str">
        <f aca="false">'Historical Demand'!B9</f>
        <v>Slide Sandals</v>
      </c>
      <c r="C9" s="0" t="str">
        <f aca="false">'Historical Demand'!C9</f>
        <v>Footwear</v>
      </c>
      <c r="D9" s="23" t="n">
        <f aca="false">_xlfn.FORECAST.ETS(DATE(2026,1,1),'Historical Demand'!$D9:$AM9,'Historical Demand'!$D$1:$AM$1,1,1,1)</f>
        <v>52.3636363636364</v>
      </c>
      <c r="E9" s="23" t="n">
        <f aca="false">_xlfn.FORECAST.ETS(DATE(2026,2,1),'Historical Demand'!$D9:$AM9,'Historical Demand'!$D$1:$AM$1,1,1,1)</f>
        <v>64.3636363636364</v>
      </c>
      <c r="F9" s="23" t="n">
        <f aca="false">_xlfn.FORECAST.ETS(DATE(2026,3,1),'Historical Demand'!$D9:$AM9,'Historical Demand'!$D$1:$AM$1,1,1,1)</f>
        <v>72.3636363636364</v>
      </c>
      <c r="G9" s="23" t="n">
        <f aca="false">_xlfn.FORECAST.ETS(DATE(2026,4,1),'Historical Demand'!$D9:$AM9,'Historical Demand'!$D$1:$AM$1,1,1,1)</f>
        <v>74.3636363636364</v>
      </c>
      <c r="H9" s="23" t="n">
        <f aca="false">_xlfn.FORECAST.ETS(DATE(2026,5,1),'Historical Demand'!$D9:$AM9,'Historical Demand'!$D$1:$AM$1,1,1,1)</f>
        <v>71.3636363636364</v>
      </c>
      <c r="I9" s="23" t="n">
        <f aca="false">_xlfn.FORECAST.ETS(DATE(2026,6,1),'Historical Demand'!$D9:$AM9,'Historical Demand'!$D$1:$AM$1,1,1,1)</f>
        <v>60.3636363636364</v>
      </c>
      <c r="J9" s="23" t="n">
        <f aca="false">AVERAGE(D9:I9)</f>
        <v>65.8636363636364</v>
      </c>
      <c r="K9" s="23" t="n">
        <f aca="false">ROUND(D9*1.15,0)</f>
        <v>60</v>
      </c>
    </row>
    <row r="10" customFormat="false" ht="15" hidden="false" customHeight="false" outlineLevel="0" collapsed="false">
      <c r="A10" s="0" t="str">
        <f aca="false">'Historical Demand'!A10</f>
        <v>ACC-301</v>
      </c>
      <c r="B10" s="0" t="str">
        <f aca="false">'Historical Demand'!B10</f>
        <v>Leather Belt</v>
      </c>
      <c r="C10" s="0" t="str">
        <f aca="false">'Historical Demand'!C10</f>
        <v>Accessories</v>
      </c>
      <c r="D10" s="23" t="n">
        <f aca="false">_xlfn.FORECAST.ETS(DATE(2026,1,1),'Historical Demand'!$D10:$AM10,'Historical Demand'!$D$1:$AM$1,1,1,1)</f>
        <v>33.717288252815</v>
      </c>
      <c r="E10" s="23" t="n">
        <f aca="false">_xlfn.FORECAST.ETS(DATE(2026,2,1),'Historical Demand'!$D10:$AM10,'Historical Demand'!$D$1:$AM$1,1,1,1)</f>
        <v>29.3699787353418</v>
      </c>
      <c r="F10" s="23" t="n">
        <f aca="false">_xlfn.FORECAST.ETS(DATE(2026,3,1),'Historical Demand'!$D10:$AM10,'Historical Demand'!$D$1:$AM$1,1,1,1)</f>
        <v>35.1401927632189</v>
      </c>
      <c r="G10" s="23" t="n">
        <f aca="false">_xlfn.FORECAST.ETS(DATE(2026,4,1),'Historical Demand'!$D10:$AM10,'Historical Demand'!$D$1:$AM$1,1,1,1)</f>
        <v>37.4900635619107</v>
      </c>
      <c r="H10" s="23" t="n">
        <f aca="false">_xlfn.FORECAST.ETS(DATE(2026,5,1),'Historical Demand'!$D10:$AM10,'Historical Demand'!$D$1:$AM$1,1,1,1)</f>
        <v>40.9565160664178</v>
      </c>
      <c r="I10" s="23" t="n">
        <f aca="false">_xlfn.FORECAST.ETS(DATE(2026,6,1),'Historical Demand'!$D10:$AM10,'Historical Demand'!$D$1:$AM$1,1,1,1)</f>
        <v>46.5743583959198</v>
      </c>
      <c r="J10" s="23" t="n">
        <f aca="false">AVERAGE(D10:I10)</f>
        <v>37.2080662959373</v>
      </c>
      <c r="K10" s="23" t="n">
        <f aca="false">ROUND(D10*1.15,0)</f>
        <v>39</v>
      </c>
    </row>
    <row r="11" customFormat="false" ht="15" hidden="false" customHeight="false" outlineLevel="0" collapsed="false">
      <c r="A11" s="0" t="str">
        <f aca="false">'Historical Demand'!A11</f>
        <v>ACC-302</v>
      </c>
      <c r="B11" s="0" t="str">
        <f aca="false">'Historical Demand'!B11</f>
        <v>Aviator Sunglasses</v>
      </c>
      <c r="C11" s="0" t="str">
        <f aca="false">'Historical Demand'!C11</f>
        <v>Accessories</v>
      </c>
      <c r="D11" s="23" t="n">
        <f aca="false">_xlfn.FORECAST.ETS(DATE(2026,1,1),'Historical Demand'!$D11:$AM11,'Historical Demand'!$D$1:$AM$1,1,1,1)</f>
        <v>54.5370523515015</v>
      </c>
      <c r="E11" s="23" t="n">
        <f aca="false">_xlfn.FORECAST.ETS(DATE(2026,2,1),'Historical Demand'!$D11:$AM11,'Historical Demand'!$D$1:$AM$1,1,1,1)</f>
        <v>56.3487511013527</v>
      </c>
      <c r="F11" s="23" t="n">
        <f aca="false">_xlfn.FORECAST.ETS(DATE(2026,3,1),'Historical Demand'!$D11:$AM11,'Historical Demand'!$D$1:$AM$1,1,1,1)</f>
        <v>64.1583390757091</v>
      </c>
      <c r="G11" s="23" t="n">
        <f aca="false">_xlfn.FORECAST.ETS(DATE(2026,4,1),'Historical Demand'!$D11:$AM11,'Historical Demand'!$D$1:$AM$1,1,1,1)</f>
        <v>68.4641095538298</v>
      </c>
      <c r="H11" s="23" t="n">
        <f aca="false">_xlfn.FORECAST.ETS(DATE(2026,5,1),'Historical Demand'!$D11:$AM11,'Historical Demand'!$D$1:$AM$1,1,1,1)</f>
        <v>68.8194989026143</v>
      </c>
      <c r="I11" s="23" t="n">
        <f aca="false">_xlfn.FORECAST.ETS(DATE(2026,6,1),'Historical Demand'!$D11:$AM11,'Historical Demand'!$D$1:$AM$1,1,1,1)</f>
        <v>82.1744208887342</v>
      </c>
      <c r="J11" s="23" t="n">
        <f aca="false">AVERAGE(D11:I11)</f>
        <v>65.750361978957</v>
      </c>
      <c r="K11" s="23" t="n">
        <f aca="false">ROUND(D11*1.15,0)</f>
        <v>63</v>
      </c>
    </row>
    <row r="12" customFormat="false" ht="15" hidden="false" customHeight="false" outlineLevel="0" collapsed="false">
      <c r="A12" s="0" t="str">
        <f aca="false">'Historical Demand'!A12</f>
        <v>ACC-303</v>
      </c>
      <c r="B12" s="0" t="str">
        <f aca="false">'Historical Demand'!B12</f>
        <v>Canvas Tote Bag</v>
      </c>
      <c r="C12" s="0" t="str">
        <f aca="false">'Historical Demand'!C12</f>
        <v>Accessories</v>
      </c>
      <c r="D12" s="23" t="n">
        <f aca="false">_xlfn.FORECAST.ETS(DATE(2026,1,1),'Historical Demand'!$D12:$AM12,'Historical Demand'!$D$1:$AM$1,1,1,1)</f>
        <v>23.0008951822917</v>
      </c>
      <c r="E12" s="23" t="n">
        <f aca="false">_xlfn.FORECAST.ETS(DATE(2026,2,1),'Historical Demand'!$D12:$AM12,'Historical Demand'!$D$1:$AM$1,1,1,1)</f>
        <v>24.6796591281891</v>
      </c>
      <c r="F12" s="23" t="n">
        <f aca="false">_xlfn.FORECAST.ETS(DATE(2026,3,1),'Historical Demand'!$D12:$AM12,'Historical Demand'!$D$1:$AM$1,1,1,1)</f>
        <v>28.6970674991608</v>
      </c>
      <c r="G12" s="23" t="n">
        <f aca="false">_xlfn.FORECAST.ETS(DATE(2026,4,1),'Historical Demand'!$D12:$AM12,'Historical Demand'!$D$1:$AM$1,1,1,1)</f>
        <v>29.5434076786041</v>
      </c>
      <c r="H12" s="23" t="n">
        <f aca="false">_xlfn.FORECAST.ETS(DATE(2026,5,1),'Historical Demand'!$D12:$AM12,'Historical Demand'!$D$1:$AM$1,1,1,1)</f>
        <v>32.5978825092316</v>
      </c>
      <c r="I12" s="23" t="n">
        <f aca="false">_xlfn.FORECAST.ETS(DATE(2026,6,1),'Historical Demand'!$D12:$AM12,'Historical Demand'!$D$1:$AM$1,1,1,1)</f>
        <v>37.5837013721466</v>
      </c>
      <c r="J12" s="23" t="n">
        <f aca="false">AVERAGE(D12:I12)</f>
        <v>29.350435561604</v>
      </c>
      <c r="K12" s="23" t="n">
        <f aca="false">ROUND(D12*1.15,0)</f>
        <v>26</v>
      </c>
    </row>
    <row r="13" customFormat="false" ht="15" hidden="false" customHeight="false" outlineLevel="0" collapsed="false">
      <c r="A13" s="0" t="str">
        <f aca="false">'Historical Demand'!A13</f>
        <v>ACC-304</v>
      </c>
      <c r="B13" s="0" t="str">
        <f aca="false">'Historical Demand'!B13</f>
        <v>Wool Beanie</v>
      </c>
      <c r="C13" s="0" t="str">
        <f aca="false">'Historical Demand'!C13</f>
        <v>Accessories</v>
      </c>
      <c r="D13" s="23" t="n">
        <f aca="false">_xlfn.FORECAST.ETS(DATE(2026,1,1),'Historical Demand'!$D13:$AM13,'Historical Demand'!$D$1:$AM$1,1,1,1)</f>
        <v>29.3777792936432</v>
      </c>
      <c r="E13" s="23" t="n">
        <f aca="false">_xlfn.FORECAST.ETS(DATE(2026,2,1),'Historical Demand'!$D13:$AM13,'Historical Demand'!$D$1:$AM$1,1,1,1)</f>
        <v>28.6091355726945</v>
      </c>
      <c r="F13" s="23" t="n">
        <f aca="false">_xlfn.FORECAST.ETS(DATE(2026,3,1),'Historical Demand'!$D13:$AM13,'Historical Demand'!$D$1:$AM$1,1,1,1)</f>
        <v>35.550291763449</v>
      </c>
      <c r="G13" s="23" t="n">
        <f aca="false">_xlfn.FORECAST.ETS(DATE(2026,4,1),'Historical Demand'!$D13:$AM13,'Historical Demand'!$D$1:$AM$1,1,1,1)</f>
        <v>37.967716032063</v>
      </c>
      <c r="H13" s="23" t="n">
        <f aca="false">_xlfn.FORECAST.ETS(DATE(2026,5,1),'Historical Demand'!$D13:$AM13,'Historical Demand'!$D$1:$AM$1,1,1,1)</f>
        <v>42.2334687637334</v>
      </c>
      <c r="I13" s="23" t="n">
        <f aca="false">_xlfn.FORECAST.ETS(DATE(2026,6,1),'Historical Demand'!$D13:$AM13,'Historical Demand'!$D$1:$AM$1,1,1,1)</f>
        <v>45.5967732066211</v>
      </c>
      <c r="J13" s="23" t="n">
        <f aca="false">AVERAGE(D13:I13)</f>
        <v>36.555860772034</v>
      </c>
      <c r="K13" s="23" t="n">
        <f aca="false">ROUND(D13*1.15,0)</f>
        <v>34</v>
      </c>
    </row>
    <row r="14" customFormat="false" ht="15" hidden="false" customHeight="false" outlineLevel="0" collapsed="false">
      <c r="A14" s="0" t="str">
        <f aca="false">'Historical Demand'!A14</f>
        <v>ELE-401</v>
      </c>
      <c r="B14" s="0" t="str">
        <f aca="false">'Historical Demand'!B14</f>
        <v>Wireless Earbuds</v>
      </c>
      <c r="C14" s="0" t="str">
        <f aca="false">'Historical Demand'!C14</f>
        <v>Electronics</v>
      </c>
      <c r="D14" s="23" t="n">
        <f aca="false">_xlfn.FORECAST.ETS(DATE(2026,1,1),'Historical Demand'!$D14:$AM14,'Historical Demand'!$D$1:$AM$1,1,1,1)</f>
        <v>138.886457475376</v>
      </c>
      <c r="E14" s="23" t="n">
        <f aca="false">_xlfn.FORECAST.ETS(DATE(2026,2,1),'Historical Demand'!$D14:$AM14,'Historical Demand'!$D$1:$AM$1,1,1,1)</f>
        <v>120.154914246262</v>
      </c>
      <c r="F14" s="23" t="n">
        <f aca="false">_xlfn.FORECAST.ETS(DATE(2026,3,1),'Historical Demand'!$D14:$AM14,'Historical Demand'!$D$1:$AM$1,1,1,1)</f>
        <v>111.046033061252</v>
      </c>
      <c r="G14" s="23" t="n">
        <f aca="false">_xlfn.FORECAST.ETS(DATE(2026,4,1),'Historical Demand'!$D14:$AM14,'Historical Demand'!$D$1:$AM$1,1,1,1)</f>
        <v>112.549877694628</v>
      </c>
      <c r="H14" s="23" t="n">
        <f aca="false">_xlfn.FORECAST.ETS(DATE(2026,5,1),'Historical Demand'!$D14:$AM14,'Historical Demand'!$D$1:$AM$1,1,1,1)</f>
        <v>107.505006994868</v>
      </c>
      <c r="I14" s="23" t="n">
        <f aca="false">_xlfn.FORECAST.ETS(DATE(2026,6,1),'Historical Demand'!$D14:$AM14,'Historical Demand'!$D$1:$AM$1,1,1,1)</f>
        <v>131.746651756721</v>
      </c>
      <c r="J14" s="23" t="n">
        <f aca="false">AVERAGE(D14:I14)</f>
        <v>120.314823538185</v>
      </c>
      <c r="K14" s="23" t="n">
        <f aca="false">ROUND(D14*1.15,0)</f>
        <v>160</v>
      </c>
    </row>
    <row r="15" customFormat="false" ht="15" hidden="false" customHeight="false" outlineLevel="0" collapsed="false">
      <c r="A15" s="0" t="str">
        <f aca="false">'Historical Demand'!A15</f>
        <v>ELE-402</v>
      </c>
      <c r="B15" s="0" t="str">
        <f aca="false">'Historical Demand'!B15</f>
        <v>Bluetooth Speaker</v>
      </c>
      <c r="C15" s="0" t="str">
        <f aca="false">'Historical Demand'!C15</f>
        <v>Electronics</v>
      </c>
      <c r="D15" s="23" t="n">
        <f aca="false">_xlfn.FORECAST.ETS(DATE(2026,1,1),'Historical Demand'!$D15:$AM15,'Historical Demand'!$D$1:$AM$1,1,1,1)</f>
        <v>57.4365892627461</v>
      </c>
      <c r="E15" s="23" t="n">
        <f aca="false">_xlfn.FORECAST.ETS(DATE(2026,2,1),'Historical Demand'!$D15:$AM15,'Historical Demand'!$D$1:$AM$1,1,1,1)</f>
        <v>45.0096157119698</v>
      </c>
      <c r="F15" s="23" t="n">
        <f aca="false">_xlfn.FORECAST.ETS(DATE(2026,3,1),'Historical Demand'!$D15:$AM15,'Historical Demand'!$D$1:$AM$1,1,1,1)</f>
        <v>43.1185966955261</v>
      </c>
      <c r="G15" s="23" t="n">
        <f aca="false">_xlfn.FORECAST.ETS(DATE(2026,4,1),'Historical Demand'!$D15:$AM15,'Historical Demand'!$D$1:$AM$1,1,1,1)</f>
        <v>39.2506067904864</v>
      </c>
      <c r="H15" s="23" t="n">
        <f aca="false">_xlfn.FORECAST.ETS(DATE(2026,5,1),'Historical Demand'!$D15:$AM15,'Historical Demand'!$D$1:$AM$1,1,1,1)</f>
        <v>43.2931848716168</v>
      </c>
      <c r="I15" s="23" t="n">
        <f aca="false">_xlfn.FORECAST.ETS(DATE(2026,6,1),'Historical Demand'!$D15:$AM15,'Historical Demand'!$D$1:$AM$1,1,1,1)</f>
        <v>44.9124668067609</v>
      </c>
      <c r="J15" s="23" t="n">
        <f aca="false">AVERAGE(D15:I15)</f>
        <v>45.5035100231844</v>
      </c>
      <c r="K15" s="23" t="n">
        <f aca="false">ROUND(D15*1.15,0)</f>
        <v>66</v>
      </c>
    </row>
    <row r="16" customFormat="false" ht="15" hidden="false" customHeight="false" outlineLevel="0" collapsed="false">
      <c r="A16" s="0" t="str">
        <f aca="false">'Historical Demand'!A16</f>
        <v>ELE-403</v>
      </c>
      <c r="B16" s="0" t="str">
        <f aca="false">'Historical Demand'!B16</f>
        <v>Fitness Tracker Band</v>
      </c>
      <c r="C16" s="0" t="str">
        <f aca="false">'Historical Demand'!C16</f>
        <v>Electronics</v>
      </c>
      <c r="D16" s="23" t="n">
        <f aca="false">_xlfn.FORECAST.ETS(DATE(2026,1,1),'Historical Demand'!$D16:$AM16,'Historical Demand'!$D$1:$AM$1,1,1,1)</f>
        <v>48.4542643229166</v>
      </c>
      <c r="E16" s="23" t="n">
        <f aca="false">_xlfn.FORECAST.ETS(DATE(2026,2,1),'Historical Demand'!$D16:$AM16,'Historical Demand'!$D$1:$AM$1,1,1,1)</f>
        <v>36.2244197527567</v>
      </c>
      <c r="F16" s="23" t="n">
        <f aca="false">_xlfn.FORECAST.ETS(DATE(2026,3,1),'Historical Demand'!$D16:$AM16,'Historical Demand'!$D$1:$AM$1,1,1,1)</f>
        <v>34.3730670611063</v>
      </c>
      <c r="G16" s="23" t="n">
        <f aca="false">_xlfn.FORECAST.ETS(DATE(2026,4,1),'Historical Demand'!$D16:$AM16,'Historical Demand'!$D$1:$AM$1,1,1,1)</f>
        <v>40.2657500902811</v>
      </c>
      <c r="H16" s="23" t="n">
        <f aca="false">_xlfn.FORECAST.ETS(DATE(2026,5,1),'Historical Demand'!$D16:$AM16,'Historical Demand'!$D$1:$AM$1,1,1,1)</f>
        <v>38.5547076861063</v>
      </c>
      <c r="I16" s="23" t="n">
        <f aca="false">_xlfn.FORECAST.ETS(DATE(2026,6,1),'Historical Demand'!$D16:$AM16,'Historical Demand'!$D$1:$AM$1,1,1,1)</f>
        <v>41.2079230944315</v>
      </c>
      <c r="J16" s="23" t="n">
        <f aca="false">AVERAGE(D16:I16)</f>
        <v>39.8466886679331</v>
      </c>
      <c r="K16" s="23" t="n">
        <f aca="false">ROUND(D16*1.15,0)</f>
        <v>56</v>
      </c>
    </row>
    <row r="17" customFormat="false" ht="15" hidden="false" customHeight="false" outlineLevel="0" collapsed="false">
      <c r="A17" s="0" t="str">
        <f aca="false">'Historical Demand'!A17</f>
        <v>ELE-404</v>
      </c>
      <c r="B17" s="0" t="str">
        <f aca="false">'Historical Demand'!B17</f>
        <v>Phone Charging Cable</v>
      </c>
      <c r="C17" s="0" t="str">
        <f aca="false">'Historical Demand'!C17</f>
        <v>Electronics</v>
      </c>
      <c r="D17" s="23" t="n">
        <f aca="false">_xlfn.FORECAST.ETS(DATE(2026,1,1),'Historical Demand'!$D17:$AM17,'Historical Demand'!$D$1:$AM$1,1,1,1)</f>
        <v>155.765022876716</v>
      </c>
      <c r="E17" s="23" t="n">
        <f aca="false">_xlfn.FORECAST.ETS(DATE(2026,2,1),'Historical Demand'!$D17:$AM17,'Historical Demand'!$D$1:$AM$1,1,1,1)</f>
        <v>102.098356210049</v>
      </c>
      <c r="F17" s="23" t="n">
        <f aca="false">_xlfn.FORECAST.ETS(DATE(2026,3,1),'Historical Demand'!$D17:$AM17,'Historical Demand'!$D$1:$AM$1,1,1,1)</f>
        <v>110.098356210049</v>
      </c>
      <c r="G17" s="23" t="n">
        <f aca="false">_xlfn.FORECAST.ETS(DATE(2026,4,1),'Historical Demand'!$D17:$AM17,'Historical Demand'!$D$1:$AM$1,1,1,1)</f>
        <v>112.098356210049</v>
      </c>
      <c r="H17" s="23" t="n">
        <f aca="false">_xlfn.FORECAST.ETS(DATE(2026,5,1),'Historical Demand'!$D17:$AM17,'Historical Demand'!$D$1:$AM$1,1,1,1)</f>
        <v>118.098356210049</v>
      </c>
      <c r="I17" s="23" t="n">
        <f aca="false">_xlfn.FORECAST.ETS(DATE(2026,6,1),'Historical Demand'!$D17:$AM17,'Historical Demand'!$D$1:$AM$1,1,1,1)</f>
        <v>123.098356210049</v>
      </c>
      <c r="J17" s="23" t="n">
        <f aca="false">AVERAGE(D17:I17)</f>
        <v>120.20946732116</v>
      </c>
      <c r="K17" s="23" t="n">
        <f aca="false">ROUND(D17*1.15,0)</f>
        <v>179</v>
      </c>
    </row>
    <row r="18" customFormat="false" ht="15" hidden="false" customHeight="false" outlineLevel="0" collapsed="false">
      <c r="A18" s="0" t="str">
        <f aca="false">'Historical Demand'!A18</f>
        <v>HOM-501</v>
      </c>
      <c r="B18" s="0" t="str">
        <f aca="false">'Historical Demand'!B18</f>
        <v>Ceramic Coffee Mug Set</v>
      </c>
      <c r="C18" s="0" t="str">
        <f aca="false">'Historical Demand'!C18</f>
        <v>Home Goods</v>
      </c>
      <c r="D18" s="23" t="n">
        <f aca="false">_xlfn.FORECAST.ETS(DATE(2026,1,1),'Historical Demand'!$D18:$AM18,'Historical Demand'!$D$1:$AM$1,1,1,1)</f>
        <v>33.7940999262499</v>
      </c>
      <c r="E18" s="23" t="n">
        <f aca="false">_xlfn.FORECAST.ETS(DATE(2026,2,1),'Historical Demand'!$D18:$AM18,'Historical Demand'!$D$1:$AM$1,1,1,1)</f>
        <v>33.7643390557181</v>
      </c>
      <c r="F18" s="23" t="n">
        <f aca="false">_xlfn.FORECAST.ETS(DATE(2026,3,1),'Historical Demand'!$D18:$AM18,'Historical Demand'!$D$1:$AM$1,1,1,1)</f>
        <v>43.5896280926146</v>
      </c>
      <c r="G18" s="23" t="n">
        <f aca="false">_xlfn.FORECAST.ETS(DATE(2026,4,1),'Historical Demand'!$D18:$AM18,'Historical Demand'!$D$1:$AM$1,1,1,1)</f>
        <v>42.7875670091246</v>
      </c>
      <c r="H18" s="23" t="n">
        <f aca="false">_xlfn.FORECAST.ETS(DATE(2026,5,1),'Historical Demand'!$D18:$AM18,'Historical Demand'!$D$1:$AM$1,1,1,1)</f>
        <v>38.8494883610995</v>
      </c>
      <c r="I18" s="23" t="n">
        <f aca="false">_xlfn.FORECAST.ETS(DATE(2026,6,1),'Historical Demand'!$D18:$AM18,'Historical Demand'!$D$1:$AM$1,1,1,1)</f>
        <v>35.5741834010728</v>
      </c>
      <c r="J18" s="23" t="n">
        <f aca="false">AVERAGE(D18:I18)</f>
        <v>38.0598843076466</v>
      </c>
      <c r="K18" s="23" t="n">
        <f aca="false">ROUND(D18*1.15,0)</f>
        <v>39</v>
      </c>
    </row>
    <row r="19" customFormat="false" ht="15" hidden="false" customHeight="false" outlineLevel="0" collapsed="false">
      <c r="A19" s="0" t="str">
        <f aca="false">'Historical Demand'!A19</f>
        <v>HOM-502</v>
      </c>
      <c r="B19" s="0" t="str">
        <f aca="false">'Historical Demand'!B19</f>
        <v>Scented Candle</v>
      </c>
      <c r="C19" s="0" t="str">
        <f aca="false">'Historical Demand'!C19</f>
        <v>Home Goods</v>
      </c>
      <c r="D19" s="23" t="n">
        <f aca="false">_xlfn.FORECAST.ETS(DATE(2026,1,1),'Historical Demand'!$D19:$AM19,'Historical Demand'!$D$1:$AM$1,1,1,1)</f>
        <v>52.9625684472948</v>
      </c>
      <c r="E19" s="23" t="n">
        <f aca="false">_xlfn.FORECAST.ETS(DATE(2026,2,1),'Historical Demand'!$D19:$AM19,'Historical Demand'!$D$1:$AM$1,1,1,1)</f>
        <v>50.5577801069824</v>
      </c>
      <c r="F19" s="23" t="n">
        <f aca="false">_xlfn.FORECAST.ETS(DATE(2026,3,1),'Historical Demand'!$D19:$AM19,'Historical Demand'!$D$1:$AM$1,1,1,1)</f>
        <v>62.8099641165581</v>
      </c>
      <c r="G19" s="23" t="n">
        <f aca="false">_xlfn.FORECAST.ETS(DATE(2026,4,1),'Historical Demand'!$D19:$AM19,'Historical Demand'!$D$1:$AM$1,1,1,1)</f>
        <v>67.9418689197618</v>
      </c>
      <c r="H19" s="23" t="n">
        <f aca="false">_xlfn.FORECAST.ETS(DATE(2026,5,1),'Historical Demand'!$D19:$AM19,'Historical Demand'!$D$1:$AM$1,1,1,1)</f>
        <v>61.5527219125945</v>
      </c>
      <c r="I19" s="23" t="n">
        <f aca="false">_xlfn.FORECAST.ETS(DATE(2026,6,1),'Historical Demand'!$D19:$AM19,'Historical Demand'!$D$1:$AM$1,1,1,1)</f>
        <v>54.9995037129817</v>
      </c>
      <c r="J19" s="23" t="n">
        <f aca="false">AVERAGE(D19:I19)</f>
        <v>58.4707345360289</v>
      </c>
      <c r="K19" s="23" t="n">
        <f aca="false">ROUND(D19*1.15,0)</f>
        <v>61</v>
      </c>
    </row>
    <row r="20" customFormat="false" ht="15" hidden="false" customHeight="false" outlineLevel="0" collapsed="false">
      <c r="A20" s="0" t="str">
        <f aca="false">'Historical Demand'!A20</f>
        <v>HOM-503</v>
      </c>
      <c r="B20" s="0" t="str">
        <f aca="false">'Historical Demand'!B20</f>
        <v>Cotton Throw Blanket</v>
      </c>
      <c r="C20" s="0" t="str">
        <f aca="false">'Historical Demand'!C20</f>
        <v>Home Goods</v>
      </c>
      <c r="D20" s="23" t="n">
        <f aca="false">_xlfn.FORECAST.ETS(DATE(2026,1,1),'Historical Demand'!$D20:$AM20,'Historical Demand'!$D$1:$AM$1,1,1,1)</f>
        <v>24.3866599014385</v>
      </c>
      <c r="E20" s="23" t="n">
        <f aca="false">_xlfn.FORECAST.ETS(DATE(2026,2,1),'Historical Demand'!$D20:$AM20,'Historical Demand'!$D$1:$AM$1,1,1,1)</f>
        <v>29.0356530786047</v>
      </c>
      <c r="F20" s="23" t="n">
        <f aca="false">_xlfn.FORECAST.ETS(DATE(2026,3,1),'Historical Demand'!$D20:$AM20,'Historical Demand'!$D$1:$AM$1,1,1,1)</f>
        <v>32.0511168893748</v>
      </c>
      <c r="G20" s="23" t="n">
        <f aca="false">_xlfn.FORECAST.ETS(DATE(2026,4,1),'Historical Demand'!$D20:$AM20,'Historical Demand'!$D$1:$AM$1,1,1,1)</f>
        <v>32.0437414656128</v>
      </c>
      <c r="H20" s="23" t="n">
        <f aca="false">_xlfn.FORECAST.ETS(DATE(2026,5,1),'Historical Demand'!$D20:$AM20,'Historical Demand'!$D$1:$AM$1,1,1,1)</f>
        <v>32.0365337420874</v>
      </c>
      <c r="I20" s="23" t="n">
        <f aca="false">_xlfn.FORECAST.ETS(DATE(2026,6,1),'Historical Demand'!$D20:$AM20,'Historical Demand'!$D$1:$AM$1,1,1,1)</f>
        <v>29.0292613198416</v>
      </c>
      <c r="J20" s="23" t="n">
        <f aca="false">AVERAGE(D20:I20)</f>
        <v>29.7638277328266</v>
      </c>
      <c r="K20" s="23" t="n">
        <f aca="false">ROUND(D20*1.15,0)</f>
        <v>28</v>
      </c>
    </row>
    <row r="21" customFormat="false" ht="15" hidden="false" customHeight="false" outlineLevel="0" collapsed="false">
      <c r="A21" s="0" t="str">
        <f aca="false">'Historical Demand'!A21</f>
        <v>HOM-504</v>
      </c>
      <c r="B21" s="0" t="str">
        <f aca="false">'Historical Demand'!B21</f>
        <v>Bamboo Cutting Board</v>
      </c>
      <c r="C21" s="0" t="str">
        <f aca="false">'Historical Demand'!C21</f>
        <v>Home Goods</v>
      </c>
      <c r="D21" s="23" t="n">
        <f aca="false">_xlfn.FORECAST.ETS(DATE(2026,1,1),'Historical Demand'!$D21:$AM21,'Historical Demand'!$D$1:$AM$1,1,1,1)</f>
        <v>30.4479166666667</v>
      </c>
      <c r="E21" s="23" t="n">
        <f aca="false">_xlfn.FORECAST.ETS(DATE(2026,2,1),'Historical Demand'!$D21:$AM21,'Historical Demand'!$D$1:$AM$1,1,1,1)</f>
        <v>32.5377604166667</v>
      </c>
      <c r="F21" s="23" t="n">
        <f aca="false">_xlfn.FORECAST.ETS(DATE(2026,3,1),'Historical Demand'!$D21:$AM21,'Historical Demand'!$D$1:$AM$1,1,1,1)</f>
        <v>39.7565104166667</v>
      </c>
      <c r="G21" s="23" t="n">
        <f aca="false">_xlfn.FORECAST.ETS(DATE(2026,4,1),'Historical Demand'!$D21:$AM21,'Historical Demand'!$D$1:$AM$1,1,1,1)</f>
        <v>39.1002604166667</v>
      </c>
      <c r="H21" s="23" t="n">
        <f aca="false">_xlfn.FORECAST.ETS(DATE(2026,5,1),'Historical Demand'!$D21:$AM21,'Historical Demand'!$D$1:$AM$1,1,1,1)</f>
        <v>41.1783854166667</v>
      </c>
      <c r="I21" s="23" t="n">
        <f aca="false">_xlfn.FORECAST.ETS(DATE(2026,6,1),'Historical Demand'!$D21:$AM21,'Historical Demand'!$D$1:$AM$1,1,1,1)</f>
        <v>32.0533854166667</v>
      </c>
      <c r="J21" s="23" t="n">
        <f aca="false">AVERAGE(D21:I21)</f>
        <v>35.845703125</v>
      </c>
      <c r="K21" s="23" t="n">
        <f aca="false">ROUND(D21*1.15,0)</f>
        <v>35</v>
      </c>
    </row>
    <row r="23" customFormat="false" ht="15" hidden="false" customHeight="false" outlineLevel="0" collapsed="false">
      <c r="A23" s="24" t="s">
        <v>103</v>
      </c>
      <c r="D23" s="25" t="n">
        <f aca="false">SUM(D2:D21)</f>
        <v>1258.28364583532</v>
      </c>
      <c r="E23" s="25" t="n">
        <f aca="false">SUM(E2:E21)</f>
        <v>1145.16661895848</v>
      </c>
      <c r="F23" s="25" t="n">
        <f aca="false">SUM(F2:F21)</f>
        <v>1268.85338758035</v>
      </c>
      <c r="G23" s="25" t="n">
        <f aca="false">SUM(G2:G21)</f>
        <v>1349.0948300729</v>
      </c>
      <c r="H23" s="25" t="n">
        <f aca="false">SUM(H2:H21)</f>
        <v>1399.14968959172</v>
      </c>
      <c r="I23" s="25" t="n">
        <f aca="false">SUM(I2:I21)</f>
        <v>1390.70276527278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2026-09-12T12:00:53Z</dcterms:created>
  <dc:creator>openpyxl</dc:creator>
  <dc:description/>
  <dc:language>en-US</dc:language>
  <cp:lastModifiedBy/>
  <dcterms:modified xsi:type="dcterms:W3CDTF">2026-09-12T12:00:55Z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