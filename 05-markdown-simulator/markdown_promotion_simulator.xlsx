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4.vml" ContentType="application/vnd.openxmlformats-officedocument.vmlDrawing"/>
  <Override PartName="/xl/drawings/_rels/drawing1.xml.rels" ContentType="application/vnd.openxmlformats-package.relationships+xml"/>
  <Override PartName="/xl/drawings/vmlDrawing5.vml" ContentType="application/vnd.openxmlformats-officedocument.vmlDrawi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6.xml" ContentType="application/vnd.openxmlformats-officedocument.spreadsheetml.comments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ashboard" sheetId="2" state="visible" r:id="rId4"/>
    <sheet name="Markdown Model" sheetId="3" state="visible" r:id="rId5"/>
    <sheet name="Category Assumptions" sheetId="4" state="visible" r:id="rId6"/>
    <sheet name="One-Variable Sensitivity" sheetId="5" state="visible" r:id="rId7"/>
    <sheet name="Two-Variable Grid" sheetId="6" state="visible" r:id="rId8"/>
    <sheet name="Scenario Comparis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6" authorId="0">
      <text>
        <r>
          <rPr>
            <sz val="10"/>
            <rFont val="Arial"/>
            <family val="2"/>
          </rPr>
          <t xml:space="preserve">Break-even discount minus a 5-point safety buffer.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Blue cells are editable assumptions. Price/Cost are averaged from the shared product master; Baseline Monthly Units and Price Elasticity are illustrative — replace with real measured figures when available.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" authorId="0">
      <text>
        <r>
          <rPr>
            <sz val="10"/>
            <rFont val="Arial"/>
            <family val="2"/>
          </rPr>
          <t xml:space="preserve">Excel equivalent: Data &gt; What-If Analysis &gt; Data Table (one-variable), row input cell = Markdown Model!C6 (Discount %). Built here as direct formulas for portability.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" authorId="0">
      <text>
        <r>
          <rPr>
            <sz val="10"/>
            <rFont val="Arial"/>
            <family val="2"/>
          </rPr>
          <t xml:space="preserve">Excel equivalent: Data &gt; What-If Analysis &gt; Data Table (two-variable), row input cell = Markdown Model!C6 (Discount %), column input cell = a category index feeding Markdown Model!C5. Built here as direct formulas so every cell is independently verifiable and the sheet needs no macro or manual refresh.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" authorId="0">
      <text>
        <r>
          <rPr>
            <sz val="10"/>
            <rFont val="Arial"/>
            <family val="2"/>
          </rPr>
          <t xml:space="preserve">Excel equivalent: Data &gt; What-If Analysis &gt; Scenario Manager, with Discount % as the changing cell and Revenue/Profit as result cells — this table is that summary report, built as live formulas.</t>
        </r>
      </text>
    </comment>
  </commentList>
</comments>
</file>

<file path=xl/sharedStrings.xml><?xml version="1.0" encoding="utf-8"?>
<sst xmlns="http://schemas.openxmlformats.org/spreadsheetml/2006/main" count="90" uniqueCount="70">
  <si>
    <t xml:space="preserve">Markdown &amp; Promotion Impact Simulator</t>
  </si>
  <si>
    <t xml:space="preserve">Business Problem</t>
  </si>
  <si>
    <t xml:space="preserve">Should a category get a 10%, 20%, or 30% discount — and what does each option do to margin? A markdown grows units sold (demand curves down as price drops) but shrinks the margin on every unit. Whether a given discount helps or hurts total profit depends on how price-sensitive that category's customers are.</t>
  </si>
  <si>
    <t xml:space="preserve">Excel Skills Demonstrated</t>
  </si>
  <si>
    <t xml:space="preserve">• One-variable sensitivity table: profit/revenue across a range of discount levels</t>
  </si>
  <si>
    <t xml:space="preserve">• Two-variable sensitivity grid: discount level x category, profit impact at every combination</t>
  </si>
  <si>
    <t xml:space="preserve">• Break-even discount solved algebraically (a closed-form Goal Seek)</t>
  </si>
  <si>
    <t xml:space="preserve">• Scenario comparison table (a Scenario-Manager-style summary) across named promo options</t>
  </si>
  <si>
    <t xml:space="preserve">• Data validation dropdown to switch the active category</t>
  </si>
  <si>
    <t xml:space="preserve">• Sensitivity charts and conditional-formatting heat maps</t>
  </si>
  <si>
    <t xml:space="preserve">The Model</t>
  </si>
  <si>
    <t xml:space="preserve">Price elasticity of demand (E) says how much unit volume rises for a given % price cut: %ΔVolume = E x %ΔPrice-cut. E = 2.0 means a 10% price cut lifts volume ~20%. Elasticity differs by category — Footwear customers are assumed far more price-sensitive than Electronics buyers, for example.</t>
  </si>
  <si>
    <t xml:space="preserve">For a discount d: New Price = Price x (1-d); New Volume = Volume x (1 + E x d); New Profit = New Volume x (New Price - Cost). This is the single formula everything else in this workbook is built from.</t>
  </si>
  <si>
    <t xml:space="preserve">Break-even Discount % is the discount at which New Profit equals Baseline Profit — deeper than this and the promotion actively loses money, even though revenue is rising. It has a clean closed form: Break-even Discount = Margin% - 1/Elasticity. (This is the algebraic equivalent of using Excel's Goal Seek to find the discount % that zeroes out Profit Change — Data &gt; What-If Analysis &gt; Goal Seek, set Profit Change to 0 by changing Discount %, would land on the same number.)</t>
  </si>
  <si>
    <t xml:space="preserve">A Note on Data Tables &amp; Scenario Manager</t>
  </si>
  <si>
    <t xml:space="preserve">Excel's What-If Analysis &gt; Data Table feature and Scenario Manager both work by temporarily substituting values into a live model cell — they're interactive tools, not stored formulas, so they don't travel well as a portable file. The One-Variable Sensitivity, Two-Variable Grid, and Scenario Comparison sheets in this workbook reproduce exactly what those tools would output, but as ordinary formulas that recalculate on open in any spreadsheet program — no macros, no manual re-run needed. In live Excel, you could build the same One-Variable/Two-Variable grids using Data &gt; What-If Analysis &gt; Data Table pointed at the Markdown Model sheet's Discount % and Category cells.</t>
  </si>
  <si>
    <t xml:space="preserve">Sheet Guide</t>
  </si>
  <si>
    <t xml:space="preserve">Dashboard — KPIs + sensitivity chart + scenario chart — start here.</t>
  </si>
  <si>
    <t xml:space="preserve">Markdown Model — The live what-if calculator: pick a category and a discount %.</t>
  </si>
  <si>
    <t xml:space="preserve">Category Assumptions — Price, cost, volume, and elasticity per category (blue = editable).</t>
  </si>
  <si>
    <t xml:space="preserve">One-Variable Sensitivity — Profit/Revenue across 0-40% discount, for the selected category.</t>
  </si>
  <si>
    <t xml:space="preserve">Two-Variable Grid — Profit Change % across discount x category, all at once.</t>
  </si>
  <si>
    <t xml:space="preserve">Scenario Comparison — Named promo scenarios compared side by side.</t>
  </si>
  <si>
    <t xml:space="preserve">Source: category price/cost derived from the shared product master used across this repo; baseline volume and elasticity are illustrative assumptions, not measured figures. Replace them on Category Assumptions with real numbers and every sheet recalculates.</t>
  </si>
  <si>
    <t xml:space="preserve">Markdown &amp; Promotion Impact Dashboard</t>
  </si>
  <si>
    <t xml:space="preserve">Profit Change $ (current)</t>
  </si>
  <si>
    <t xml:space="preserve">Profit Change % (current)</t>
  </si>
  <si>
    <t xml:space="preserve">Break-even Discount %</t>
  </si>
  <si>
    <t xml:space="preserve">Recommended Max Discount</t>
  </si>
  <si>
    <t xml:space="preserve">Tip: change the category and discount % on the Markdown Model sheet — every chart and table here updates automatically.</t>
  </si>
  <si>
    <t xml:space="preserve">Markdown Impact Calculator</t>
  </si>
  <si>
    <t xml:space="preserve">Change the blue cells to test any category / discount combination.</t>
  </si>
  <si>
    <t xml:space="preserve">Selected Category</t>
  </si>
  <si>
    <t xml:space="preserve">Apparel</t>
  </si>
  <si>
    <t xml:space="preserve">Discount %</t>
  </si>
  <si>
    <t xml:space="preserve">How to read this</t>
  </si>
  <si>
    <t xml:space="preserve">Baseline Unit Price</t>
  </si>
  <si>
    <t xml:space="preserve">If Profit Change % (C21) is negative, this discount destroys profit even though revenue likely rose — the volume lift isn't enough to cover the margin given up per unit. Compare the Discount % to Break-even Discount % above.</t>
  </si>
  <si>
    <t xml:space="preserve">Baseline Unit Cost</t>
  </si>
  <si>
    <t xml:space="preserve">Baseline Monthly Units</t>
  </si>
  <si>
    <t xml:space="preserve">Price Elasticity</t>
  </si>
  <si>
    <t xml:space="preserve">New Price</t>
  </si>
  <si>
    <t xml:space="preserve">Volume Lift %</t>
  </si>
  <si>
    <t xml:space="preserve">New Monthly Units</t>
  </si>
  <si>
    <t xml:space="preserve">Baseline Revenue</t>
  </si>
  <si>
    <t xml:space="preserve">Baseline Profit</t>
  </si>
  <si>
    <t xml:space="preserve">New Revenue</t>
  </si>
  <si>
    <t xml:space="preserve">New Profit</t>
  </si>
  <si>
    <t xml:space="preserve">Profit Change $</t>
  </si>
  <si>
    <t xml:space="preserve">Profit Change %</t>
  </si>
  <si>
    <t xml:space="preserve">Category</t>
  </si>
  <si>
    <t xml:space="preserve">Avg Unit Price</t>
  </si>
  <si>
    <t xml:space="preserve">Avg Unit Cost</t>
  </si>
  <si>
    <t xml:space="preserve">Margin %</t>
  </si>
  <si>
    <t xml:space="preserve">Footwear</t>
  </si>
  <si>
    <t xml:space="preserve">Accessories</t>
  </si>
  <si>
    <t xml:space="preserve">Electronics</t>
  </si>
  <si>
    <t xml:space="preserve">Home Goods</t>
  </si>
  <si>
    <t xml:space="preserve">One-Variable Sensitivity — varies Discount % for the category currently selected on Markdown Model</t>
  </si>
  <si>
    <t xml:space="preserve">New Volume</t>
  </si>
  <si>
    <t xml:space="preserve">Revenue</t>
  </si>
  <si>
    <t xml:space="preserve">Profit</t>
  </si>
  <si>
    <t xml:space="preserve">Two-Variable Grid — Profit Change % by Discount % (rows) x Category (columns)</t>
  </si>
  <si>
    <t xml:space="preserve">Scenario Comparison — for the category currently selected on Markdown Model</t>
  </si>
  <si>
    <t xml:space="preserve">Scenario</t>
  </si>
  <si>
    <t xml:space="preserve">No Discount</t>
  </si>
  <si>
    <t xml:space="preserve">Light Promo</t>
  </si>
  <si>
    <t xml:space="preserve">Moderate Promo</t>
  </si>
  <si>
    <t xml:space="preserve">Deep Clearance</t>
  </si>
  <si>
    <t xml:space="preserve">Custom (Markdown Model)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</si>
</sst>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"/>
    <numFmt numFmtId="166" formatCode="0.0%"/>
    <numFmt numFmtId="167" formatCode="0%"/>
    <numFmt numFmtId="168" formatCode="\$#,##0.00"/>
    <numFmt numFmtId="169" formatCode="#,##0"/>
    <numFmt numFmtId="170" formatCode="0.00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864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20"/>
      <color rgb="FF1F3864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6"/>
      <color rgb="FF1F3864"/>
      <name val="Arial"/>
      <family val="0"/>
      <charset val="1"/>
    </font>
    <font>
      <i val="true"/>
      <sz val="10"/>
      <color rgb="FF1F7A1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name val="Arial"/>
      <family val="0"/>
      <charset val="1"/>
    </font>
    <font>
      <b val="true"/>
      <sz val="12"/>
      <color rgb="FF0000FF"/>
      <name val="Arial"/>
      <family val="0"/>
      <charset val="1"/>
    </font>
    <font>
      <b val="true"/>
      <sz val="12"/>
      <color rgb="FF00800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1"/>
      <color rgb="FF008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2"/>
      <name val="Arial"/>
      <family val="0"/>
      <charset val="1"/>
    </font>
    <font>
      <sz val="10"/>
      <name val="Arial"/>
      <family val="2"/>
    </font>
    <font>
      <sz val="11"/>
      <color rgb="FF0000FF"/>
      <name val="Arial"/>
      <family val="0"/>
      <charset val="1"/>
    </font>
    <font>
      <b val="true"/>
      <sz val="11"/>
      <color rgb="FF1F3864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CE6F1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0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78787"/>
      <rgbColor rgb="FF993366"/>
      <rgbColor rgb="FFF9F9F9"/>
      <rgbColor rgb="FFDCE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4A7EBB"/>
      <rgbColor rgb="FF999999"/>
      <rgbColor rgb="FF1F3864"/>
      <rgbColor rgb="FF1F7A1F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Profit vs. Discount % (selected category)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'One-Variable Sensitivity'!D2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'One-Variable Sensitivity'!$A$3:$A$23</c:f>
              <c:strCache>
                <c:ptCount val="21"/>
                <c:pt idx="0">
                  <c:v>0%</c:v>
                </c:pt>
                <c:pt idx="1">
                  <c:v>2%</c:v>
                </c:pt>
                <c:pt idx="2">
                  <c:v>4%</c:v>
                </c:pt>
                <c:pt idx="3">
                  <c:v>6%</c:v>
                </c:pt>
                <c:pt idx="4">
                  <c:v>8%</c:v>
                </c:pt>
                <c:pt idx="5">
                  <c:v>10%</c:v>
                </c:pt>
                <c:pt idx="6">
                  <c:v>12%</c:v>
                </c:pt>
                <c:pt idx="7">
                  <c:v>14%</c:v>
                </c:pt>
                <c:pt idx="8">
                  <c:v>16%</c:v>
                </c:pt>
                <c:pt idx="9">
                  <c:v>18%</c:v>
                </c:pt>
                <c:pt idx="10">
                  <c:v>20%</c:v>
                </c:pt>
                <c:pt idx="11">
                  <c:v>22%</c:v>
                </c:pt>
                <c:pt idx="12">
                  <c:v>24%</c:v>
                </c:pt>
                <c:pt idx="13">
                  <c:v>26%</c:v>
                </c:pt>
                <c:pt idx="14">
                  <c:v>28%</c:v>
                </c:pt>
                <c:pt idx="15">
                  <c:v>30%</c:v>
                </c:pt>
                <c:pt idx="16">
                  <c:v>32%</c:v>
                </c:pt>
                <c:pt idx="17">
                  <c:v>34%</c:v>
                </c:pt>
                <c:pt idx="18">
                  <c:v>36%</c:v>
                </c:pt>
                <c:pt idx="19">
                  <c:v>38%</c:v>
                </c:pt>
                <c:pt idx="20">
                  <c:v>40%</c:v>
                </c:pt>
              </c:strCache>
            </c:strRef>
          </c:cat>
          <c:val>
            <c:numRef>
              <c:f>'One-Variable Sensitivity'!$D$3:$D$23</c:f>
              <c:numCache>
                <c:formatCode>\$#,##0</c:formatCode>
                <c:ptCount val="21"/>
                <c:pt idx="0">
                  <c:v>10450</c:v>
                </c:pt>
                <c:pt idx="1">
                  <c:v>10465.9828</c:v>
                </c:pt>
                <c:pt idx="2">
                  <c:v>10456.9312</c:v>
                </c:pt>
                <c:pt idx="3">
                  <c:v>10422.8452</c:v>
                </c:pt>
                <c:pt idx="4">
                  <c:v>10363.7248</c:v>
                </c:pt>
                <c:pt idx="5">
                  <c:v>10279.57</c:v>
                </c:pt>
                <c:pt idx="6">
                  <c:v>10170.3808</c:v>
                </c:pt>
                <c:pt idx="7">
                  <c:v>10036.1572</c:v>
                </c:pt>
                <c:pt idx="8">
                  <c:v>9876.8992</c:v>
                </c:pt>
                <c:pt idx="9">
                  <c:v>9692.6068</c:v>
                </c:pt>
                <c:pt idx="10">
                  <c:v>9483.28</c:v>
                </c:pt>
                <c:pt idx="11">
                  <c:v>9248.9188</c:v>
                </c:pt>
                <c:pt idx="12">
                  <c:v>8989.5232</c:v>
                </c:pt>
                <c:pt idx="13">
                  <c:v>8705.0932</c:v>
                </c:pt>
                <c:pt idx="14">
                  <c:v>8395.6288</c:v>
                </c:pt>
                <c:pt idx="15">
                  <c:v>8061.13</c:v>
                </c:pt>
                <c:pt idx="16">
                  <c:v>7701.5968</c:v>
                </c:pt>
                <c:pt idx="17">
                  <c:v>7317.0292</c:v>
                </c:pt>
                <c:pt idx="18">
                  <c:v>6907.4272</c:v>
                </c:pt>
                <c:pt idx="19">
                  <c:v>6472.7908</c:v>
                </c:pt>
                <c:pt idx="20">
                  <c:v>6013.12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6550249"/>
        <c:axId val="63283925"/>
      </c:lineChart>
      <c:catAx>
        <c:axId val="9655024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Discount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283925"/>
        <c:crosses val="autoZero"/>
        <c:auto val="1"/>
        <c:lblAlgn val="ctr"/>
        <c:lblOffset val="100"/>
        <c:noMultiLvlLbl val="0"/>
      </c:catAx>
      <c:valAx>
        <c:axId val="6328392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Profit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55024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Profit Change % by Scenario (selected category)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'Scenario Comparison'!G2</c:f>
              <c:strCache>
                <c:ptCount val="1"/>
                <c:pt idx="0">
                  <c:v>Profit Change %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'Scenario Comparison'!$A$3:$A$7</c:f>
              <c:strCache>
                <c:ptCount val="5"/>
                <c:pt idx="0">
                  <c:v>No Discount</c:v>
                </c:pt>
                <c:pt idx="1">
                  <c:v>Light Promo</c:v>
                </c:pt>
                <c:pt idx="2">
                  <c:v>Moderate Promo</c:v>
                </c:pt>
                <c:pt idx="3">
                  <c:v>Deep Clearance</c:v>
                </c:pt>
                <c:pt idx="4">
                  <c:v>Custom (Markdown Model)</c:v>
                </c:pt>
              </c:strCache>
            </c:strRef>
          </c:cat>
          <c:val>
            <c:numRef>
              <c:f>'Scenario Comparison'!$G$3:$G$7</c:f>
              <c:numCache>
                <c:formatCode>0.0%</c:formatCode>
                <c:ptCount val="5"/>
                <c:pt idx="0">
                  <c:v>0</c:v>
                </c:pt>
                <c:pt idx="1">
                  <c:v>-0.0163090909090908</c:v>
                </c:pt>
                <c:pt idx="2">
                  <c:v>-0.0925090909090907</c:v>
                </c:pt>
                <c:pt idx="3">
                  <c:v>-0.2286</c:v>
                </c:pt>
                <c:pt idx="4">
                  <c:v>-0.0925090909090907</c:v>
                </c:pt>
              </c:numCache>
            </c:numRef>
          </c:val>
        </c:ser>
        <c:gapWidth val="150"/>
        <c:overlap val="0"/>
        <c:axId val="62784511"/>
        <c:axId val="29029358"/>
      </c:barChart>
      <c:catAx>
        <c:axId val="62784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029358"/>
        <c:crosses val="autoZero"/>
        <c:auto val="1"/>
        <c:lblAlgn val="ctr"/>
        <c:lblOffset val="100"/>
        <c:noMultiLvlLbl val="0"/>
      </c:catAx>
      <c:valAx>
        <c:axId val="2902935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Profit Change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78451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9</xdr:row>
      <xdr:rowOff>70560</xdr:rowOff>
    </xdr:from>
    <xdr:to>
      <xdr:col>11</xdr:col>
      <xdr:colOff>415800</xdr:colOff>
      <xdr:row>28</xdr:row>
      <xdr:rowOff>50760</xdr:rowOff>
    </xdr:to>
    <xdr:graphicFrame>
      <xdr:nvGraphicFramePr>
        <xdr:cNvPr id="0" name="Chart 1"/>
        <xdr:cNvGraphicFramePr/>
      </xdr:nvGraphicFramePr>
      <xdr:xfrm>
        <a:off x="141120" y="2266920"/>
        <a:ext cx="86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27</xdr:row>
      <xdr:rowOff>70560</xdr:rowOff>
    </xdr:from>
    <xdr:to>
      <xdr:col>11</xdr:col>
      <xdr:colOff>415800</xdr:colOff>
      <xdr:row>48</xdr:row>
      <xdr:rowOff>29520</xdr:rowOff>
    </xdr:to>
    <xdr:graphicFrame>
      <xdr:nvGraphicFramePr>
        <xdr:cNvPr id="1" name="Chart 2"/>
        <xdr:cNvGraphicFramePr/>
      </xdr:nvGraphicFramePr>
      <xdr:xfrm>
        <a:off x="141120" y="5695920"/>
        <a:ext cx="863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3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4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5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0"/>
  </cols>
  <sheetData>
    <row r="2" customFormat="false" ht="22.05" hidden="false" customHeight="false" outlineLevel="0" collapsed="false">
      <c r="B2" s="1" t="s">
        <v>0</v>
      </c>
    </row>
    <row r="4" customFormat="false" ht="15" hidden="false" customHeight="false" outlineLevel="0" collapsed="false">
      <c r="B4" s="2" t="s">
        <v>1</v>
      </c>
    </row>
    <row r="5" customFormat="false" ht="45" hidden="false" customHeight="true" outlineLevel="0" collapsed="false">
      <c r="B5" s="3" t="s">
        <v>2</v>
      </c>
    </row>
    <row r="7" customFormat="false" ht="15" hidden="false" customHeight="false" outlineLevel="0" collapsed="false">
      <c r="B7" s="2" t="s">
        <v>3</v>
      </c>
    </row>
    <row r="8" customFormat="false" ht="15.75" hidden="false" customHeight="true" outlineLevel="0" collapsed="false">
      <c r="B8" s="4" t="s">
        <v>4</v>
      </c>
    </row>
    <row r="9" customFormat="false" ht="15.75" hidden="false" customHeight="true" outlineLevel="0" collapsed="false">
      <c r="B9" s="4" t="s">
        <v>5</v>
      </c>
    </row>
    <row r="10" customFormat="false" ht="15.75" hidden="false" customHeight="true" outlineLevel="0" collapsed="false">
      <c r="B10" s="4" t="s">
        <v>6</v>
      </c>
    </row>
    <row r="11" customFormat="false" ht="15.75" hidden="false" customHeight="true" outlineLevel="0" collapsed="false">
      <c r="B11" s="4" t="s">
        <v>7</v>
      </c>
    </row>
    <row r="12" customFormat="false" ht="15.75" hidden="false" customHeight="true" outlineLevel="0" collapsed="false">
      <c r="B12" s="4" t="s">
        <v>8</v>
      </c>
    </row>
    <row r="13" customFormat="false" ht="15.75" hidden="false" customHeight="true" outlineLevel="0" collapsed="false">
      <c r="B13" s="4" t="s">
        <v>9</v>
      </c>
    </row>
    <row r="15" customFormat="false" ht="15" hidden="false" customHeight="false" outlineLevel="0" collapsed="false">
      <c r="B15" s="2" t="s">
        <v>10</v>
      </c>
    </row>
    <row r="16" customFormat="false" ht="45.75" hidden="false" customHeight="true" outlineLevel="0" collapsed="false">
      <c r="B16" s="3" t="s">
        <v>11</v>
      </c>
    </row>
    <row r="17" customFormat="false" ht="45.75" hidden="false" customHeight="true" outlineLevel="0" collapsed="false">
      <c r="B17" s="3" t="s">
        <v>12</v>
      </c>
    </row>
    <row r="18" customFormat="false" ht="45.75" hidden="false" customHeight="true" outlineLevel="0" collapsed="false">
      <c r="B18" s="3" t="s">
        <v>13</v>
      </c>
    </row>
    <row r="20" customFormat="false" ht="15" hidden="false" customHeight="false" outlineLevel="0" collapsed="false">
      <c r="B20" s="2" t="s">
        <v>14</v>
      </c>
    </row>
    <row r="21" customFormat="false" ht="75" hidden="false" customHeight="true" outlineLevel="0" collapsed="false">
      <c r="B21" s="3" t="s">
        <v>15</v>
      </c>
    </row>
    <row r="23" customFormat="false" ht="15" hidden="false" customHeight="false" outlineLevel="0" collapsed="false">
      <c r="B23" s="2" t="s">
        <v>16</v>
      </c>
    </row>
    <row r="24" customFormat="false" ht="15" hidden="false" customHeight="false" outlineLevel="0" collapsed="false">
      <c r="B24" s="0" t="s">
        <v>17</v>
      </c>
    </row>
    <row r="25" customFormat="false" ht="15" hidden="false" customHeight="false" outlineLevel="0" collapsed="false">
      <c r="B25" s="0" t="s">
        <v>18</v>
      </c>
    </row>
    <row r="26" customFormat="false" ht="15" hidden="false" customHeight="false" outlineLevel="0" collapsed="false">
      <c r="B26" s="0" t="s">
        <v>19</v>
      </c>
    </row>
    <row r="27" customFormat="false" ht="15" hidden="false" customHeight="false" outlineLevel="0" collapsed="false">
      <c r="B27" s="0" t="s">
        <v>20</v>
      </c>
    </row>
    <row r="28" customFormat="false" ht="15" hidden="false" customHeight="false" outlineLevel="0" collapsed="false">
      <c r="B28" s="0" t="s">
        <v>21</v>
      </c>
    </row>
    <row r="29" customFormat="false" ht="15" hidden="false" customHeight="false" outlineLevel="0" collapsed="false">
      <c r="B29" s="0" t="s">
        <v>22</v>
      </c>
    </row>
    <row r="32" customFormat="false" ht="30" hidden="false" customHeight="true" outlineLevel="0" collapsed="false">
      <c r="B32" s="5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10" min="2" style="0" width="12"/>
  </cols>
  <sheetData>
    <row r="2" customFormat="false" ht="24.45" hidden="false" customHeight="false" outlineLevel="0" collapsed="false">
      <c r="B2" s="6" t="s">
        <v>24</v>
      </c>
      <c r="C2" s="6"/>
      <c r="D2" s="6"/>
      <c r="E2" s="6"/>
      <c r="F2" s="6"/>
      <c r="G2" s="6"/>
      <c r="H2" s="6"/>
      <c r="I2" s="6"/>
      <c r="J2" s="6"/>
    </row>
    <row r="3" customFormat="false" ht="15" hidden="false" customHeight="false" outlineLevel="0" collapsed="false">
      <c r="B3" s="7" t="str">
        <f aca="false">"Category: "&amp;'Markdown Model'!$C$5&amp;"   |   Discount: "&amp;TEXT('Markdown Model'!$C$6,"0%")</f>
        <v>Category: Apparel   |   Discount: 20%</v>
      </c>
      <c r="C3" s="7"/>
      <c r="D3" s="7"/>
      <c r="E3" s="7"/>
      <c r="F3" s="7"/>
      <c r="G3" s="7"/>
      <c r="H3" s="7"/>
      <c r="I3" s="7"/>
      <c r="J3" s="7"/>
    </row>
    <row r="5" customFormat="false" ht="27.75" hidden="false" customHeight="true" outlineLevel="0" collapsed="false">
      <c r="B5" s="8" t="s">
        <v>25</v>
      </c>
      <c r="C5" s="8"/>
      <c r="D5" s="8" t="s">
        <v>26</v>
      </c>
      <c r="E5" s="8"/>
      <c r="F5" s="8" t="s">
        <v>27</v>
      </c>
      <c r="G5" s="8"/>
      <c r="H5" s="8" t="s">
        <v>28</v>
      </c>
      <c r="I5" s="8"/>
    </row>
    <row r="6" customFormat="false" ht="27.75" hidden="false" customHeight="true" outlineLevel="0" collapsed="false">
      <c r="B6" s="9" t="n">
        <f aca="false">'Markdown Model'!$C$20</f>
        <v>-966.719999999998</v>
      </c>
      <c r="C6" s="9"/>
      <c r="D6" s="10" t="n">
        <f aca="false">'Markdown Model'!$C$21</f>
        <v>-0.0925090909090907</v>
      </c>
      <c r="E6" s="10"/>
      <c r="F6" s="10" t="n">
        <f aca="false">'Markdown Model'!$F$5</f>
        <v>0.0455373406193078</v>
      </c>
      <c r="G6" s="10"/>
      <c r="H6" s="10" t="n">
        <f aca="false">'Markdown Model'!$F$6</f>
        <v>0</v>
      </c>
      <c r="I6" s="10"/>
    </row>
    <row r="9" customFormat="false" ht="18" hidden="false" customHeight="true" outlineLevel="0" collapsed="false">
      <c r="B9" s="11" t="s">
        <v>29</v>
      </c>
      <c r="C9" s="11"/>
      <c r="D9" s="11"/>
      <c r="E9" s="11"/>
      <c r="F9" s="11"/>
      <c r="G9" s="11"/>
      <c r="H9" s="11"/>
      <c r="I9" s="11"/>
      <c r="J9" s="11"/>
    </row>
  </sheetData>
  <mergeCells count="11">
    <mergeCell ref="B2:J2"/>
    <mergeCell ref="B3:J3"/>
    <mergeCell ref="B5:C5"/>
    <mergeCell ref="D5:E5"/>
    <mergeCell ref="F5:G5"/>
    <mergeCell ref="H5:I5"/>
    <mergeCell ref="B6:C6"/>
    <mergeCell ref="D6:E6"/>
    <mergeCell ref="F6:G6"/>
    <mergeCell ref="H6:I6"/>
    <mergeCell ref="B9:J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3" min="3" style="0" width="18"/>
    <col collapsed="false" customWidth="true" hidden="false" outlineLevel="0" max="4" min="4" style="0" width="3"/>
    <col collapsed="false" customWidth="true" hidden="false" outlineLevel="0" max="5" min="5" style="0" width="32"/>
    <col collapsed="false" customWidth="true" hidden="false" outlineLevel="0" max="6" min="6" style="0" width="18"/>
  </cols>
  <sheetData>
    <row r="2" customFormat="false" ht="19.7" hidden="false" customHeight="false" outlineLevel="0" collapsed="false">
      <c r="B2" s="12" t="s">
        <v>30</v>
      </c>
    </row>
    <row r="3" customFormat="false" ht="15" hidden="false" customHeight="false" outlineLevel="0" collapsed="false">
      <c r="B3" s="13" t="s">
        <v>31</v>
      </c>
    </row>
    <row r="5" customFormat="false" ht="15" hidden="false" customHeight="false" outlineLevel="0" collapsed="false">
      <c r="B5" s="14" t="s">
        <v>32</v>
      </c>
      <c r="C5" s="15" t="s">
        <v>33</v>
      </c>
      <c r="E5" s="14" t="s">
        <v>27</v>
      </c>
      <c r="F5" s="16" t="n">
        <f aca="false">INDEX('Category Assumptions'!$G$2:$G$6,MATCH($C$5,'Category Assumptions'!$A$2:$A$6,0))</f>
        <v>0.0455373406193078</v>
      </c>
    </row>
    <row r="6" customFormat="false" ht="15" hidden="false" customHeight="false" outlineLevel="0" collapsed="false">
      <c r="B6" s="14" t="s">
        <v>34</v>
      </c>
      <c r="C6" s="17" t="n">
        <v>0.2</v>
      </c>
      <c r="E6" s="14" t="s">
        <v>28</v>
      </c>
      <c r="F6" s="18" t="n">
        <f aca="false">MAX(F5-0.05,0)</f>
        <v>0</v>
      </c>
    </row>
    <row r="8" customFormat="false" ht="15" hidden="false" customHeight="false" outlineLevel="0" collapsed="false">
      <c r="E8" s="19" t="s">
        <v>35</v>
      </c>
    </row>
    <row r="9" customFormat="false" ht="90" hidden="false" customHeight="true" outlineLevel="0" collapsed="false">
      <c r="B9" s="0" t="s">
        <v>36</v>
      </c>
      <c r="C9" s="20" t="n">
        <f aca="false">INDEX('Category Assumptions'!$B$2:$B$6,MATCH($C$5,'Category Assumptions'!$A$2:$A$6,0))</f>
        <v>45.75</v>
      </c>
      <c r="E9" s="21" t="s">
        <v>37</v>
      </c>
      <c r="F9" s="21"/>
    </row>
    <row r="10" customFormat="false" ht="15" hidden="false" customHeight="false" outlineLevel="0" collapsed="false">
      <c r="B10" s="0" t="s">
        <v>38</v>
      </c>
      <c r="C10" s="20" t="n">
        <f aca="false">INDEX('Category Assumptions'!$C$2:$C$6,MATCH($C$5,'Category Assumptions'!$A$2:$A$6,0))</f>
        <v>18.25</v>
      </c>
      <c r="E10" s="21"/>
      <c r="F10" s="21"/>
    </row>
    <row r="11" customFormat="false" ht="15" hidden="false" customHeight="false" outlineLevel="0" collapsed="false">
      <c r="B11" s="0" t="s">
        <v>39</v>
      </c>
      <c r="C11" s="22" t="n">
        <f aca="false">INDEX('Category Assumptions'!$E$2:$E$6,MATCH($C$5,'Category Assumptions'!$A$2:$A$6,0))</f>
        <v>380</v>
      </c>
      <c r="E11" s="21"/>
      <c r="F11" s="21"/>
    </row>
    <row r="12" customFormat="false" ht="15" hidden="false" customHeight="false" outlineLevel="0" collapsed="false">
      <c r="B12" s="0" t="s">
        <v>40</v>
      </c>
      <c r="C12" s="23" t="n">
        <f aca="false">INDEX('Category Assumptions'!$F$2:$F$6,MATCH($C$5,'Category Assumptions'!$A$2:$A$6,0))</f>
        <v>1.8</v>
      </c>
      <c r="E12" s="21"/>
      <c r="F12" s="21"/>
    </row>
    <row r="13" customFormat="false" ht="15" hidden="false" customHeight="false" outlineLevel="0" collapsed="false">
      <c r="B13" s="14" t="s">
        <v>41</v>
      </c>
      <c r="C13" s="24" t="n">
        <f aca="false">C9*(1-$C$6)</f>
        <v>36.6</v>
      </c>
      <c r="E13" s="21"/>
      <c r="F13" s="21"/>
    </row>
    <row r="14" customFormat="false" ht="15" hidden="false" customHeight="false" outlineLevel="0" collapsed="false">
      <c r="B14" s="0" t="s">
        <v>42</v>
      </c>
      <c r="C14" s="25" t="n">
        <f aca="false">C12*$C$6</f>
        <v>0.36</v>
      </c>
    </row>
    <row r="15" customFormat="false" ht="15" hidden="false" customHeight="false" outlineLevel="0" collapsed="false">
      <c r="B15" s="0" t="s">
        <v>43</v>
      </c>
      <c r="C15" s="26" t="n">
        <f aca="false">C11*(1+C14)</f>
        <v>516.8</v>
      </c>
    </row>
    <row r="16" customFormat="false" ht="15" hidden="false" customHeight="false" outlineLevel="0" collapsed="false">
      <c r="B16" s="0" t="s">
        <v>44</v>
      </c>
      <c r="C16" s="27" t="n">
        <f aca="false">C9*C11</f>
        <v>17385</v>
      </c>
    </row>
    <row r="17" customFormat="false" ht="15" hidden="false" customHeight="false" outlineLevel="0" collapsed="false">
      <c r="B17" s="0" t="s">
        <v>45</v>
      </c>
      <c r="C17" s="27" t="n">
        <f aca="false">(C9-C10)*C11</f>
        <v>10450</v>
      </c>
    </row>
    <row r="18" customFormat="false" ht="15" hidden="false" customHeight="false" outlineLevel="0" collapsed="false">
      <c r="B18" s="0" t="s">
        <v>46</v>
      </c>
      <c r="C18" s="27" t="n">
        <f aca="false">C13*C15</f>
        <v>18914.88</v>
      </c>
    </row>
    <row r="19" customFormat="false" ht="15" hidden="false" customHeight="false" outlineLevel="0" collapsed="false">
      <c r="B19" s="0" t="s">
        <v>47</v>
      </c>
      <c r="C19" s="27" t="n">
        <f aca="false">(C13-C10)*C15</f>
        <v>9483.28</v>
      </c>
    </row>
    <row r="20" customFormat="false" ht="15" hidden="false" customHeight="false" outlineLevel="0" collapsed="false">
      <c r="B20" s="14" t="s">
        <v>48</v>
      </c>
      <c r="C20" s="28" t="n">
        <f aca="false">C19-C17</f>
        <v>-966.719999999998</v>
      </c>
    </row>
    <row r="21" customFormat="false" ht="15" hidden="false" customHeight="false" outlineLevel="0" collapsed="false">
      <c r="B21" s="14" t="s">
        <v>49</v>
      </c>
      <c r="C21" s="29" t="n">
        <f aca="false">C20/C17</f>
        <v>-0.0925090909090907</v>
      </c>
    </row>
  </sheetData>
  <mergeCells count="1">
    <mergeCell ref="E9:F13"/>
  </mergeCells>
  <dataValidations count="1">
    <dataValidation allowBlank="false" errorStyle="stop" operator="between" showDropDown="false" showErrorMessage="false" showInputMessage="false" sqref="C5" type="list">
      <formula1>'Category Assumptions'!$A$2:$A$6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4"/>
    <col collapsed="false" customWidth="true" hidden="false" outlineLevel="0" max="4" min="4" style="0" width="10"/>
    <col collapsed="false" customWidth="true" hidden="false" outlineLevel="0" max="5" min="5" style="0" width="20"/>
    <col collapsed="false" customWidth="true" hidden="false" outlineLevel="0" max="6" min="6" style="0" width="14"/>
    <col collapsed="false" customWidth="true" hidden="false" outlineLevel="0" max="7" min="7" style="0" width="18"/>
  </cols>
  <sheetData>
    <row r="1" customFormat="false" ht="23.85" hidden="false" customHeight="false" outlineLevel="0" collapsed="false">
      <c r="A1" s="30" t="s">
        <v>50</v>
      </c>
      <c r="B1" s="30" t="s">
        <v>51</v>
      </c>
      <c r="C1" s="30" t="s">
        <v>52</v>
      </c>
      <c r="D1" s="30" t="s">
        <v>53</v>
      </c>
      <c r="E1" s="30" t="s">
        <v>39</v>
      </c>
      <c r="F1" s="30" t="s">
        <v>40</v>
      </c>
      <c r="G1" s="30" t="s">
        <v>27</v>
      </c>
    </row>
    <row r="2" customFormat="false" ht="15" hidden="false" customHeight="false" outlineLevel="0" collapsed="false">
      <c r="A2" s="0" t="s">
        <v>33</v>
      </c>
      <c r="B2" s="31" t="n">
        <v>45.75</v>
      </c>
      <c r="C2" s="31" t="n">
        <v>18.25</v>
      </c>
      <c r="D2" s="32" t="n">
        <f aca="false">(B2-C2)/B2</f>
        <v>0.601092896174863</v>
      </c>
      <c r="E2" s="33" t="n">
        <v>380</v>
      </c>
      <c r="F2" s="34" t="n">
        <v>1.8</v>
      </c>
      <c r="G2" s="32" t="n">
        <f aca="false">D2-1/F2</f>
        <v>0.0455373406193078</v>
      </c>
    </row>
    <row r="3" customFormat="false" ht="15" hidden="false" customHeight="false" outlineLevel="0" collapsed="false">
      <c r="A3" s="0" t="s">
        <v>54</v>
      </c>
      <c r="B3" s="31" t="n">
        <v>72.25</v>
      </c>
      <c r="C3" s="31" t="n">
        <v>30.25</v>
      </c>
      <c r="D3" s="32" t="n">
        <f aca="false">(B3-C3)/B3</f>
        <v>0.581314878892734</v>
      </c>
      <c r="E3" s="33" t="n">
        <v>340</v>
      </c>
      <c r="F3" s="34" t="n">
        <v>2.2</v>
      </c>
      <c r="G3" s="32" t="n">
        <f aca="false">D3-1/F3</f>
        <v>0.126769424347279</v>
      </c>
    </row>
    <row r="4" customFormat="false" ht="15" hidden="false" customHeight="false" outlineLevel="0" collapsed="false">
      <c r="A4" s="0" t="s">
        <v>55</v>
      </c>
      <c r="B4" s="31" t="n">
        <v>28</v>
      </c>
      <c r="C4" s="31" t="n">
        <v>10</v>
      </c>
      <c r="D4" s="32" t="n">
        <f aca="false">(B4-C4)/B4</f>
        <v>0.642857142857143</v>
      </c>
      <c r="E4" s="33" t="n">
        <v>300</v>
      </c>
      <c r="F4" s="34" t="n">
        <v>1.5</v>
      </c>
      <c r="G4" s="32" t="n">
        <f aca="false">D4-1/F4</f>
        <v>-0.0238095238095237</v>
      </c>
    </row>
    <row r="5" customFormat="false" ht="15" hidden="false" customHeight="false" outlineLevel="0" collapsed="false">
      <c r="A5" s="0" t="s">
        <v>56</v>
      </c>
      <c r="B5" s="31" t="n">
        <v>62.25</v>
      </c>
      <c r="C5" s="31" t="n">
        <v>25.88</v>
      </c>
      <c r="D5" s="32" t="n">
        <f aca="false">(B5-C5)/B5</f>
        <v>0.58425702811245</v>
      </c>
      <c r="E5" s="33" t="n">
        <v>260</v>
      </c>
      <c r="F5" s="34" t="n">
        <v>1.3</v>
      </c>
      <c r="G5" s="32" t="n">
        <f aca="false">D5-1/F5</f>
        <v>-0.184973741118319</v>
      </c>
    </row>
    <row r="6" customFormat="false" ht="15" hidden="false" customHeight="false" outlineLevel="0" collapsed="false">
      <c r="A6" s="0" t="s">
        <v>57</v>
      </c>
      <c r="B6" s="31" t="n">
        <v>25.5</v>
      </c>
      <c r="C6" s="31" t="n">
        <v>9.5</v>
      </c>
      <c r="D6" s="32" t="n">
        <f aca="false">(B6-C6)/B6</f>
        <v>0.627450980392157</v>
      </c>
      <c r="E6" s="33" t="n">
        <v>220</v>
      </c>
      <c r="F6" s="34" t="n">
        <v>1.6</v>
      </c>
      <c r="G6" s="32" t="n">
        <f aca="false">D6-1/F6</f>
        <v>0.00245098039215685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4" min="2" style="0" width="12"/>
    <col collapsed="false" customWidth="true" hidden="false" outlineLevel="0" max="5" min="5" style="0" width="15"/>
  </cols>
  <sheetData>
    <row r="1" customFormat="false" ht="18" hidden="false" customHeight="true" outlineLevel="0" collapsed="false">
      <c r="A1" s="35" t="s">
        <v>58</v>
      </c>
      <c r="B1" s="35"/>
      <c r="C1" s="35"/>
      <c r="D1" s="35"/>
      <c r="E1" s="35"/>
    </row>
    <row r="2" customFormat="false" ht="15" hidden="false" customHeight="false" outlineLevel="0" collapsed="false">
      <c r="A2" s="30" t="s">
        <v>34</v>
      </c>
      <c r="B2" s="30" t="s">
        <v>59</v>
      </c>
      <c r="C2" s="30" t="s">
        <v>60</v>
      </c>
      <c r="D2" s="30" t="s">
        <v>61</v>
      </c>
      <c r="E2" s="30" t="s">
        <v>49</v>
      </c>
    </row>
    <row r="3" customFormat="false" ht="15" hidden="false" customHeight="false" outlineLevel="0" collapsed="false">
      <c r="A3" s="36" t="n">
        <v>0</v>
      </c>
      <c r="B3" s="37" t="n">
        <f aca="false">'Markdown Model'!$C$11*(1+'Markdown Model'!$C$12*A3)</f>
        <v>380</v>
      </c>
      <c r="C3" s="38" t="n">
        <f aca="false">('Markdown Model'!$C$9*(1-A3))*B3</f>
        <v>17385</v>
      </c>
      <c r="D3" s="38" t="n">
        <f aca="false">(('Markdown Model'!$C$9*(1-A3))-'Markdown Model'!$C$10)*B3</f>
        <v>10450</v>
      </c>
      <c r="E3" s="32" t="n">
        <f aca="false">(D3-'Markdown Model'!$C$17)/'Markdown Model'!$C$17</f>
        <v>0</v>
      </c>
    </row>
    <row r="4" customFormat="false" ht="15" hidden="false" customHeight="false" outlineLevel="0" collapsed="false">
      <c r="A4" s="36" t="n">
        <v>0.02</v>
      </c>
      <c r="B4" s="37" t="n">
        <f aca="false">'Markdown Model'!$C$11*(1+'Markdown Model'!$C$12*A4)</f>
        <v>393.68</v>
      </c>
      <c r="C4" s="38" t="n">
        <f aca="false">('Markdown Model'!$C$9*(1-A4))*B4</f>
        <v>17650.6428</v>
      </c>
      <c r="D4" s="38" t="n">
        <f aca="false">(('Markdown Model'!$C$9*(1-A4))-'Markdown Model'!$C$10)*B4</f>
        <v>10465.9828</v>
      </c>
      <c r="E4" s="32" t="n">
        <f aca="false">(D4-'Markdown Model'!$C$17)/'Markdown Model'!$C$17</f>
        <v>0.00152945454545452</v>
      </c>
    </row>
    <row r="5" customFormat="false" ht="15" hidden="false" customHeight="false" outlineLevel="0" collapsed="false">
      <c r="A5" s="36" t="n">
        <v>0.04</v>
      </c>
      <c r="B5" s="37" t="n">
        <f aca="false">'Markdown Model'!$C$11*(1+'Markdown Model'!$C$12*A5)</f>
        <v>407.36</v>
      </c>
      <c r="C5" s="38" t="n">
        <f aca="false">('Markdown Model'!$C$9*(1-A5))*B5</f>
        <v>17891.2512</v>
      </c>
      <c r="D5" s="38" t="n">
        <f aca="false">(('Markdown Model'!$C$9*(1-A5))-'Markdown Model'!$C$10)*B5</f>
        <v>10456.9312</v>
      </c>
      <c r="E5" s="32" t="n">
        <f aca="false">(D5-'Markdown Model'!$C$17)/'Markdown Model'!$C$17</f>
        <v>0.000663272727272813</v>
      </c>
    </row>
    <row r="6" customFormat="false" ht="15" hidden="false" customHeight="false" outlineLevel="0" collapsed="false">
      <c r="A6" s="36" t="n">
        <v>0.06</v>
      </c>
      <c r="B6" s="37" t="n">
        <f aca="false">'Markdown Model'!$C$11*(1+'Markdown Model'!$C$12*A6)</f>
        <v>421.04</v>
      </c>
      <c r="C6" s="38" t="n">
        <f aca="false">('Markdown Model'!$C$9*(1-A6))*B6</f>
        <v>18106.8252</v>
      </c>
      <c r="D6" s="38" t="n">
        <f aca="false">(('Markdown Model'!$C$9*(1-A6))-'Markdown Model'!$C$10)*B6</f>
        <v>10422.8452</v>
      </c>
      <c r="E6" s="32" t="n">
        <f aca="false">(D6-'Markdown Model'!$C$17)/'Markdown Model'!$C$17</f>
        <v>-0.00259854545454565</v>
      </c>
    </row>
    <row r="7" customFormat="false" ht="15" hidden="false" customHeight="false" outlineLevel="0" collapsed="false">
      <c r="A7" s="36" t="n">
        <v>0.08</v>
      </c>
      <c r="B7" s="37" t="n">
        <f aca="false">'Markdown Model'!$C$11*(1+'Markdown Model'!$C$12*A7)</f>
        <v>434.72</v>
      </c>
      <c r="C7" s="38" t="n">
        <f aca="false">('Markdown Model'!$C$9*(1-A7))*B7</f>
        <v>18297.3648</v>
      </c>
      <c r="D7" s="38" t="n">
        <f aca="false">(('Markdown Model'!$C$9*(1-A7))-'Markdown Model'!$C$10)*B7</f>
        <v>10363.7248</v>
      </c>
      <c r="E7" s="32" t="n">
        <f aca="false">(D7-'Markdown Model'!$C$17)/'Markdown Model'!$C$17</f>
        <v>-0.00825599999999983</v>
      </c>
    </row>
    <row r="8" customFormat="false" ht="15" hidden="false" customHeight="false" outlineLevel="0" collapsed="false">
      <c r="A8" s="36" t="n">
        <v>0.1</v>
      </c>
      <c r="B8" s="37" t="n">
        <f aca="false">'Markdown Model'!$C$11*(1+'Markdown Model'!$C$12*A8)</f>
        <v>448.4</v>
      </c>
      <c r="C8" s="38" t="n">
        <f aca="false">('Markdown Model'!$C$9*(1-A8))*B8</f>
        <v>18462.87</v>
      </c>
      <c r="D8" s="38" t="n">
        <f aca="false">(('Markdown Model'!$C$9*(1-A8))-'Markdown Model'!$C$10)*B8</f>
        <v>10279.57</v>
      </c>
      <c r="E8" s="32" t="n">
        <f aca="false">(D8-'Markdown Model'!$C$17)/'Markdown Model'!$C$17</f>
        <v>-0.0163090909090908</v>
      </c>
    </row>
    <row r="9" customFormat="false" ht="15" hidden="false" customHeight="false" outlineLevel="0" collapsed="false">
      <c r="A9" s="36" t="n">
        <v>0.12</v>
      </c>
      <c r="B9" s="37" t="n">
        <f aca="false">'Markdown Model'!$C$11*(1+'Markdown Model'!$C$12*A9)</f>
        <v>462.08</v>
      </c>
      <c r="C9" s="38" t="n">
        <f aca="false">('Markdown Model'!$C$9*(1-A9))*B9</f>
        <v>18603.3408</v>
      </c>
      <c r="D9" s="38" t="n">
        <f aca="false">(('Markdown Model'!$C$9*(1-A9))-'Markdown Model'!$C$10)*B9</f>
        <v>10170.3808</v>
      </c>
      <c r="E9" s="32" t="n">
        <f aca="false">(D9-'Markdown Model'!$C$17)/'Markdown Model'!$C$17</f>
        <v>-0.0267578181818183</v>
      </c>
    </row>
    <row r="10" customFormat="false" ht="15" hidden="false" customHeight="false" outlineLevel="0" collapsed="false">
      <c r="A10" s="36" t="n">
        <v>0.14</v>
      </c>
      <c r="B10" s="37" t="n">
        <f aca="false">'Markdown Model'!$C$11*(1+'Markdown Model'!$C$12*A10)</f>
        <v>475.76</v>
      </c>
      <c r="C10" s="38" t="n">
        <f aca="false">('Markdown Model'!$C$9*(1-A10))*B10</f>
        <v>18718.7772</v>
      </c>
      <c r="D10" s="38" t="n">
        <f aca="false">(('Markdown Model'!$C$9*(1-A10))-'Markdown Model'!$C$10)*B10</f>
        <v>10036.1572</v>
      </c>
      <c r="E10" s="32" t="n">
        <f aca="false">(D10-'Markdown Model'!$C$17)/'Markdown Model'!$C$17</f>
        <v>-0.0396021818181819</v>
      </c>
    </row>
    <row r="11" customFormat="false" ht="15" hidden="false" customHeight="false" outlineLevel="0" collapsed="false">
      <c r="A11" s="36" t="n">
        <v>0.16</v>
      </c>
      <c r="B11" s="37" t="n">
        <f aca="false">'Markdown Model'!$C$11*(1+'Markdown Model'!$C$12*A11)</f>
        <v>489.44</v>
      </c>
      <c r="C11" s="38" t="n">
        <f aca="false">('Markdown Model'!$C$9*(1-A11))*B11</f>
        <v>18809.1792</v>
      </c>
      <c r="D11" s="38" t="n">
        <f aca="false">(('Markdown Model'!$C$9*(1-A11))-'Markdown Model'!$C$10)*B11</f>
        <v>9876.8992</v>
      </c>
      <c r="E11" s="32" t="n">
        <f aca="false">(D11-'Markdown Model'!$C$17)/'Markdown Model'!$C$17</f>
        <v>-0.0548421818181818</v>
      </c>
    </row>
    <row r="12" customFormat="false" ht="15" hidden="false" customHeight="false" outlineLevel="0" collapsed="false">
      <c r="A12" s="36" t="n">
        <v>0.18</v>
      </c>
      <c r="B12" s="37" t="n">
        <f aca="false">'Markdown Model'!$C$11*(1+'Markdown Model'!$C$12*A12)</f>
        <v>503.12</v>
      </c>
      <c r="C12" s="38" t="n">
        <f aca="false">('Markdown Model'!$C$9*(1-A12))*B12</f>
        <v>18874.5468</v>
      </c>
      <c r="D12" s="38" t="n">
        <f aca="false">(('Markdown Model'!$C$9*(1-A12))-'Markdown Model'!$C$10)*B12</f>
        <v>9692.6068</v>
      </c>
      <c r="E12" s="32" t="n">
        <f aca="false">(D12-'Markdown Model'!$C$17)/'Markdown Model'!$C$17</f>
        <v>-0.0724778181818182</v>
      </c>
    </row>
    <row r="13" customFormat="false" ht="15" hidden="false" customHeight="false" outlineLevel="0" collapsed="false">
      <c r="A13" s="36" t="n">
        <v>0.2</v>
      </c>
      <c r="B13" s="37" t="n">
        <f aca="false">'Markdown Model'!$C$11*(1+'Markdown Model'!$C$12*A13)</f>
        <v>516.8</v>
      </c>
      <c r="C13" s="38" t="n">
        <f aca="false">('Markdown Model'!$C$9*(1-A13))*B13</f>
        <v>18914.88</v>
      </c>
      <c r="D13" s="38" t="n">
        <f aca="false">(('Markdown Model'!$C$9*(1-A13))-'Markdown Model'!$C$10)*B13</f>
        <v>9483.28</v>
      </c>
      <c r="E13" s="32" t="n">
        <f aca="false">(D13-'Markdown Model'!$C$17)/'Markdown Model'!$C$17</f>
        <v>-0.0925090909090907</v>
      </c>
    </row>
    <row r="14" customFormat="false" ht="15" hidden="false" customHeight="false" outlineLevel="0" collapsed="false">
      <c r="A14" s="36" t="n">
        <v>0.22</v>
      </c>
      <c r="B14" s="37" t="n">
        <f aca="false">'Markdown Model'!$C$11*(1+'Markdown Model'!$C$12*A14)</f>
        <v>530.48</v>
      </c>
      <c r="C14" s="38" t="n">
        <f aca="false">('Markdown Model'!$C$9*(1-A14))*B14</f>
        <v>18930.1788</v>
      </c>
      <c r="D14" s="38" t="n">
        <f aca="false">(('Markdown Model'!$C$9*(1-A14))-'Markdown Model'!$C$10)*B14</f>
        <v>9248.9188</v>
      </c>
      <c r="E14" s="32" t="n">
        <f aca="false">(D14-'Markdown Model'!$C$17)/'Markdown Model'!$C$17</f>
        <v>-0.114936</v>
      </c>
    </row>
    <row r="15" customFormat="false" ht="15" hidden="false" customHeight="false" outlineLevel="0" collapsed="false">
      <c r="A15" s="36" t="n">
        <v>0.24</v>
      </c>
      <c r="B15" s="37" t="n">
        <f aca="false">'Markdown Model'!$C$11*(1+'Markdown Model'!$C$12*A15)</f>
        <v>544.16</v>
      </c>
      <c r="C15" s="38" t="n">
        <f aca="false">('Markdown Model'!$C$9*(1-A15))*B15</f>
        <v>18920.4432</v>
      </c>
      <c r="D15" s="38" t="n">
        <f aca="false">(('Markdown Model'!$C$9*(1-A15))-'Markdown Model'!$C$10)*B15</f>
        <v>8989.5232</v>
      </c>
      <c r="E15" s="32" t="n">
        <f aca="false">(D15-'Markdown Model'!$C$17)/'Markdown Model'!$C$17</f>
        <v>-0.139758545454545</v>
      </c>
    </row>
    <row r="16" customFormat="false" ht="15" hidden="false" customHeight="false" outlineLevel="0" collapsed="false">
      <c r="A16" s="36" t="n">
        <v>0.26</v>
      </c>
      <c r="B16" s="37" t="n">
        <f aca="false">'Markdown Model'!$C$11*(1+'Markdown Model'!$C$12*A16)</f>
        <v>557.84</v>
      </c>
      <c r="C16" s="38" t="n">
        <f aca="false">('Markdown Model'!$C$9*(1-A16))*B16</f>
        <v>18885.6732</v>
      </c>
      <c r="D16" s="38" t="n">
        <f aca="false">(('Markdown Model'!$C$9*(1-A16))-'Markdown Model'!$C$10)*B16</f>
        <v>8705.0932</v>
      </c>
      <c r="E16" s="32" t="n">
        <f aca="false">(D16-'Markdown Model'!$C$17)/'Markdown Model'!$C$17</f>
        <v>-0.166976727272727</v>
      </c>
    </row>
    <row r="17" customFormat="false" ht="15" hidden="false" customHeight="false" outlineLevel="0" collapsed="false">
      <c r="A17" s="36" t="n">
        <v>0.28</v>
      </c>
      <c r="B17" s="37" t="n">
        <f aca="false">'Markdown Model'!$C$11*(1+'Markdown Model'!$C$12*A17)</f>
        <v>571.52</v>
      </c>
      <c r="C17" s="38" t="n">
        <f aca="false">('Markdown Model'!$C$9*(1-A17))*B17</f>
        <v>18825.8688</v>
      </c>
      <c r="D17" s="38" t="n">
        <f aca="false">(('Markdown Model'!$C$9*(1-A17))-'Markdown Model'!$C$10)*B17</f>
        <v>8395.6288</v>
      </c>
      <c r="E17" s="32" t="n">
        <f aca="false">(D17-'Markdown Model'!$C$17)/'Markdown Model'!$C$17</f>
        <v>-0.196590545454546</v>
      </c>
    </row>
    <row r="18" customFormat="false" ht="15" hidden="false" customHeight="false" outlineLevel="0" collapsed="false">
      <c r="A18" s="36" t="n">
        <v>0.3</v>
      </c>
      <c r="B18" s="37" t="n">
        <f aca="false">'Markdown Model'!$C$11*(1+'Markdown Model'!$C$12*A18)</f>
        <v>585.2</v>
      </c>
      <c r="C18" s="38" t="n">
        <f aca="false">('Markdown Model'!$C$9*(1-A18))*B18</f>
        <v>18741.03</v>
      </c>
      <c r="D18" s="38" t="n">
        <f aca="false">(('Markdown Model'!$C$9*(1-A18))-'Markdown Model'!$C$10)*B18</f>
        <v>8061.13</v>
      </c>
      <c r="E18" s="32" t="n">
        <f aca="false">(D18-'Markdown Model'!$C$17)/'Markdown Model'!$C$17</f>
        <v>-0.2286</v>
      </c>
    </row>
    <row r="19" customFormat="false" ht="15" hidden="false" customHeight="false" outlineLevel="0" collapsed="false">
      <c r="A19" s="36" t="n">
        <v>0.32</v>
      </c>
      <c r="B19" s="37" t="n">
        <f aca="false">'Markdown Model'!$C$11*(1+'Markdown Model'!$C$12*A19)</f>
        <v>598.88</v>
      </c>
      <c r="C19" s="38" t="n">
        <f aca="false">('Markdown Model'!$C$9*(1-A19))*B19</f>
        <v>18631.1568</v>
      </c>
      <c r="D19" s="38" t="n">
        <f aca="false">(('Markdown Model'!$C$9*(1-A19))-'Markdown Model'!$C$10)*B19</f>
        <v>7701.5968</v>
      </c>
      <c r="E19" s="32" t="n">
        <f aca="false">(D19-'Markdown Model'!$C$17)/'Markdown Model'!$C$17</f>
        <v>-0.263005090909091</v>
      </c>
    </row>
    <row r="20" customFormat="false" ht="15" hidden="false" customHeight="false" outlineLevel="0" collapsed="false">
      <c r="A20" s="36" t="n">
        <v>0.34</v>
      </c>
      <c r="B20" s="37" t="n">
        <f aca="false">'Markdown Model'!$C$11*(1+'Markdown Model'!$C$12*A20)</f>
        <v>612.56</v>
      </c>
      <c r="C20" s="38" t="n">
        <f aca="false">('Markdown Model'!$C$9*(1-A20))*B20</f>
        <v>18496.2492</v>
      </c>
      <c r="D20" s="38" t="n">
        <f aca="false">(('Markdown Model'!$C$9*(1-A20))-'Markdown Model'!$C$10)*B20</f>
        <v>7317.0292</v>
      </c>
      <c r="E20" s="32" t="n">
        <f aca="false">(D20-'Markdown Model'!$C$17)/'Markdown Model'!$C$17</f>
        <v>-0.299805818181818</v>
      </c>
    </row>
    <row r="21" customFormat="false" ht="15" hidden="false" customHeight="false" outlineLevel="0" collapsed="false">
      <c r="A21" s="36" t="n">
        <v>0.36</v>
      </c>
      <c r="B21" s="37" t="n">
        <f aca="false">'Markdown Model'!$C$11*(1+'Markdown Model'!$C$12*A21)</f>
        <v>626.24</v>
      </c>
      <c r="C21" s="38" t="n">
        <f aca="false">('Markdown Model'!$C$9*(1-A21))*B21</f>
        <v>18336.3072</v>
      </c>
      <c r="D21" s="38" t="n">
        <f aca="false">(('Markdown Model'!$C$9*(1-A21))-'Markdown Model'!$C$10)*B21</f>
        <v>6907.4272</v>
      </c>
      <c r="E21" s="32" t="n">
        <f aca="false">(D21-'Markdown Model'!$C$17)/'Markdown Model'!$C$17</f>
        <v>-0.339002181818182</v>
      </c>
    </row>
    <row r="22" customFormat="false" ht="15" hidden="false" customHeight="false" outlineLevel="0" collapsed="false">
      <c r="A22" s="36" t="n">
        <v>0.38</v>
      </c>
      <c r="B22" s="37" t="n">
        <f aca="false">'Markdown Model'!$C$11*(1+'Markdown Model'!$C$12*A22)</f>
        <v>639.92</v>
      </c>
      <c r="C22" s="38" t="n">
        <f aca="false">('Markdown Model'!$C$9*(1-A22))*B22</f>
        <v>18151.3308</v>
      </c>
      <c r="D22" s="38" t="n">
        <f aca="false">(('Markdown Model'!$C$9*(1-A22))-'Markdown Model'!$C$10)*B22</f>
        <v>6472.7908</v>
      </c>
      <c r="E22" s="32" t="n">
        <f aca="false">(D22-'Markdown Model'!$C$17)/'Markdown Model'!$C$17</f>
        <v>-0.380594181818182</v>
      </c>
    </row>
    <row r="23" customFormat="false" ht="15" hidden="false" customHeight="false" outlineLevel="0" collapsed="false">
      <c r="A23" s="36" t="n">
        <v>0.4</v>
      </c>
      <c r="B23" s="37" t="n">
        <f aca="false">'Markdown Model'!$C$11*(1+'Markdown Model'!$C$12*A23)</f>
        <v>653.6</v>
      </c>
      <c r="C23" s="38" t="n">
        <f aca="false">('Markdown Model'!$C$9*(1-A23))*B23</f>
        <v>17941.32</v>
      </c>
      <c r="D23" s="38" t="n">
        <f aca="false">(('Markdown Model'!$C$9*(1-A23))-'Markdown Model'!$C$10)*B23</f>
        <v>6013.12</v>
      </c>
      <c r="E23" s="32" t="n">
        <f aca="false">(D23-'Markdown Model'!$C$17)/'Markdown Model'!$C$17</f>
        <v>-0.424581818181818</v>
      </c>
    </row>
  </sheetData>
  <mergeCells count="1">
    <mergeCell ref="A1:E1"/>
  </mergeCells>
  <conditionalFormatting sqref="E3:E23">
    <cfRule type="colorScale" priority="2">
      <colorScale>
        <cfvo type="min" val="0"/>
        <cfvo type="num" val="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6" min="2" style="0" width="13"/>
  </cols>
  <sheetData>
    <row r="1" customFormat="false" ht="18" hidden="false" customHeight="true" outlineLevel="0" collapsed="false">
      <c r="A1" s="35" t="s">
        <v>62</v>
      </c>
      <c r="B1" s="35"/>
      <c r="C1" s="35"/>
      <c r="D1" s="35"/>
      <c r="E1" s="35"/>
      <c r="F1" s="35"/>
    </row>
    <row r="2" customFormat="false" ht="15" hidden="false" customHeight="false" outlineLevel="0" collapsed="false">
      <c r="A2" s="30" t="s">
        <v>34</v>
      </c>
      <c r="B2" s="30" t="s">
        <v>33</v>
      </c>
      <c r="C2" s="30" t="s">
        <v>54</v>
      </c>
      <c r="D2" s="30" t="s">
        <v>55</v>
      </c>
      <c r="E2" s="30" t="s">
        <v>56</v>
      </c>
      <c r="F2" s="30" t="s">
        <v>57</v>
      </c>
    </row>
    <row r="3" customFormat="false" ht="15" hidden="false" customHeight="false" outlineLevel="0" collapsed="false">
      <c r="A3" s="36" t="n">
        <v>0</v>
      </c>
      <c r="B3" s="32" t="n">
        <f aca="false">(((INDEX('Category Assumptions'!$B$2:$B$6,MATCH(B$2,'Category Assumptions'!$A$2:$A$6,0))*(1-$A3))-INDEX('Category Assumptions'!$C$2:$C$6,MATCH(B$2,'Category Assumptions'!$A$2:$A$6,0)))*(INDEX('Category Assumptions'!$E$2:$E$6,MATCH(B$2,'Category Assumptions'!$A$2:$A$6,0))*(1+INDEX('Category Assumptions'!$F$2:$F$6,MATCH(B$2,'Category Assumptions'!$A$2:$A$6,0))*$A3))-((INDEX('Category Assumptions'!$B$2:$B$6,MATCH(B$2,'Category Assumptions'!$A$2:$A$6,0))-INDEX('Category Assumptions'!$C$2:$C$6,MATCH(B$2,'Category Assumptions'!$A$2:$A$6,0)))*INDEX('Category Assumptions'!$E$2:$E$6,MATCH(B$2,'Category Assumptions'!$A$2:$A$6,0))))/((INDEX('Category Assumptions'!$B$2:$B$6,MATCH(B$2,'Category Assumptions'!$A$2:$A$6,0))-INDEX('Category Assumptions'!$C$2:$C$6,MATCH(B$2,'Category Assumptions'!$A$2:$A$6,0)))*INDEX('Category Assumptions'!$E$2:$E$6,MATCH(B$2,'Category Assumptions'!$A$2:$A$6,0)))</f>
        <v>0</v>
      </c>
      <c r="C3" s="32" t="n">
        <f aca="false">(((INDEX('Category Assumptions'!$B$2:$B$6,MATCH(C$2,'Category Assumptions'!$A$2:$A$6,0))*(1-$A3))-INDEX('Category Assumptions'!$C$2:$C$6,MATCH(C$2,'Category Assumptions'!$A$2:$A$6,0)))*(INDEX('Category Assumptions'!$E$2:$E$6,MATCH(C$2,'Category Assumptions'!$A$2:$A$6,0))*(1+INDEX('Category Assumptions'!$F$2:$F$6,MATCH(C$2,'Category Assumptions'!$A$2:$A$6,0))*$A3))-((INDEX('Category Assumptions'!$B$2:$B$6,MATCH(C$2,'Category Assumptions'!$A$2:$A$6,0))-INDEX('Category Assumptions'!$C$2:$C$6,MATCH(C$2,'Category Assumptions'!$A$2:$A$6,0)))*INDEX('Category Assumptions'!$E$2:$E$6,MATCH(C$2,'Category Assumptions'!$A$2:$A$6,0))))/((INDEX('Category Assumptions'!$B$2:$B$6,MATCH(C$2,'Category Assumptions'!$A$2:$A$6,0))-INDEX('Category Assumptions'!$C$2:$C$6,MATCH(C$2,'Category Assumptions'!$A$2:$A$6,0)))*INDEX('Category Assumptions'!$E$2:$E$6,MATCH(C$2,'Category Assumptions'!$A$2:$A$6,0)))</f>
        <v>0</v>
      </c>
      <c r="D3" s="32" t="n">
        <f aca="false">(((INDEX('Category Assumptions'!$B$2:$B$6,MATCH(D$2,'Category Assumptions'!$A$2:$A$6,0))*(1-$A3))-INDEX('Category Assumptions'!$C$2:$C$6,MATCH(D$2,'Category Assumptions'!$A$2:$A$6,0)))*(INDEX('Category Assumptions'!$E$2:$E$6,MATCH(D$2,'Category Assumptions'!$A$2:$A$6,0))*(1+INDEX('Category Assumptions'!$F$2:$F$6,MATCH(D$2,'Category Assumptions'!$A$2:$A$6,0))*$A3))-((INDEX('Category Assumptions'!$B$2:$B$6,MATCH(D$2,'Category Assumptions'!$A$2:$A$6,0))-INDEX('Category Assumptions'!$C$2:$C$6,MATCH(D$2,'Category Assumptions'!$A$2:$A$6,0)))*INDEX('Category Assumptions'!$E$2:$E$6,MATCH(D$2,'Category Assumptions'!$A$2:$A$6,0))))/((INDEX('Category Assumptions'!$B$2:$B$6,MATCH(D$2,'Category Assumptions'!$A$2:$A$6,0))-INDEX('Category Assumptions'!$C$2:$C$6,MATCH(D$2,'Category Assumptions'!$A$2:$A$6,0)))*INDEX('Category Assumptions'!$E$2:$E$6,MATCH(D$2,'Category Assumptions'!$A$2:$A$6,0)))</f>
        <v>0</v>
      </c>
      <c r="E3" s="32" t="n">
        <f aca="false">(((INDEX('Category Assumptions'!$B$2:$B$6,MATCH(E$2,'Category Assumptions'!$A$2:$A$6,0))*(1-$A3))-INDEX('Category Assumptions'!$C$2:$C$6,MATCH(E$2,'Category Assumptions'!$A$2:$A$6,0)))*(INDEX('Category Assumptions'!$E$2:$E$6,MATCH(E$2,'Category Assumptions'!$A$2:$A$6,0))*(1+INDEX('Category Assumptions'!$F$2:$F$6,MATCH(E$2,'Category Assumptions'!$A$2:$A$6,0))*$A3))-((INDEX('Category Assumptions'!$B$2:$B$6,MATCH(E$2,'Category Assumptions'!$A$2:$A$6,0))-INDEX('Category Assumptions'!$C$2:$C$6,MATCH(E$2,'Category Assumptions'!$A$2:$A$6,0)))*INDEX('Category Assumptions'!$E$2:$E$6,MATCH(E$2,'Category Assumptions'!$A$2:$A$6,0))))/((INDEX('Category Assumptions'!$B$2:$B$6,MATCH(E$2,'Category Assumptions'!$A$2:$A$6,0))-INDEX('Category Assumptions'!$C$2:$C$6,MATCH(E$2,'Category Assumptions'!$A$2:$A$6,0)))*INDEX('Category Assumptions'!$E$2:$E$6,MATCH(E$2,'Category Assumptions'!$A$2:$A$6,0)))</f>
        <v>0</v>
      </c>
      <c r="F3" s="32" t="n">
        <f aca="false">(((INDEX('Category Assumptions'!$B$2:$B$6,MATCH(F$2,'Category Assumptions'!$A$2:$A$6,0))*(1-$A3))-INDEX('Category Assumptions'!$C$2:$C$6,MATCH(F$2,'Category Assumptions'!$A$2:$A$6,0)))*(INDEX('Category Assumptions'!$E$2:$E$6,MATCH(F$2,'Category Assumptions'!$A$2:$A$6,0))*(1+INDEX('Category Assumptions'!$F$2:$F$6,MATCH(F$2,'Category Assumptions'!$A$2:$A$6,0))*$A3))-((INDEX('Category Assumptions'!$B$2:$B$6,MATCH(F$2,'Category Assumptions'!$A$2:$A$6,0))-INDEX('Category Assumptions'!$C$2:$C$6,MATCH(F$2,'Category Assumptions'!$A$2:$A$6,0)))*INDEX('Category Assumptions'!$E$2:$E$6,MATCH(F$2,'Category Assumptions'!$A$2:$A$6,0))))/((INDEX('Category Assumptions'!$B$2:$B$6,MATCH(F$2,'Category Assumptions'!$A$2:$A$6,0))-INDEX('Category Assumptions'!$C$2:$C$6,MATCH(F$2,'Category Assumptions'!$A$2:$A$6,0)))*INDEX('Category Assumptions'!$E$2:$E$6,MATCH(F$2,'Category Assumptions'!$A$2:$A$6,0)))</f>
        <v>0</v>
      </c>
    </row>
    <row r="4" customFormat="false" ht="15" hidden="false" customHeight="false" outlineLevel="0" collapsed="false">
      <c r="A4" s="36" t="n">
        <v>0.05</v>
      </c>
      <c r="B4" s="32" t="n">
        <f aca="false">(((INDEX('Category Assumptions'!$B$2:$B$6,MATCH(B$2,'Category Assumptions'!$A$2:$A$6,0))*(1-$A4))-INDEX('Category Assumptions'!$C$2:$C$6,MATCH(B$2,'Category Assumptions'!$A$2:$A$6,0)))*(INDEX('Category Assumptions'!$E$2:$E$6,MATCH(B$2,'Category Assumptions'!$A$2:$A$6,0))*(1+INDEX('Category Assumptions'!$F$2:$F$6,MATCH(B$2,'Category Assumptions'!$A$2:$A$6,0))*$A4))-((INDEX('Category Assumptions'!$B$2:$B$6,MATCH(B$2,'Category Assumptions'!$A$2:$A$6,0))-INDEX('Category Assumptions'!$C$2:$C$6,MATCH(B$2,'Category Assumptions'!$A$2:$A$6,0)))*INDEX('Category Assumptions'!$E$2:$E$6,MATCH(B$2,'Category Assumptions'!$A$2:$A$6,0))))/((INDEX('Category Assumptions'!$B$2:$B$6,MATCH(B$2,'Category Assumptions'!$A$2:$A$6,0))-INDEX('Category Assumptions'!$C$2:$C$6,MATCH(B$2,'Category Assumptions'!$A$2:$A$6,0)))*INDEX('Category Assumptions'!$E$2:$E$6,MATCH(B$2,'Category Assumptions'!$A$2:$A$6,0)))</f>
        <v>-0.000668181818181825</v>
      </c>
      <c r="C4" s="32" t="n">
        <f aca="false">(((INDEX('Category Assumptions'!$B$2:$B$6,MATCH(C$2,'Category Assumptions'!$A$2:$A$6,0))*(1-$A4))-INDEX('Category Assumptions'!$C$2:$C$6,MATCH(C$2,'Category Assumptions'!$A$2:$A$6,0)))*(INDEX('Category Assumptions'!$E$2:$E$6,MATCH(C$2,'Category Assumptions'!$A$2:$A$6,0))*(1+INDEX('Category Assumptions'!$F$2:$F$6,MATCH(C$2,'Category Assumptions'!$A$2:$A$6,0))*$A4))-((INDEX('Category Assumptions'!$B$2:$B$6,MATCH(C$2,'Category Assumptions'!$A$2:$A$6,0))-INDEX('Category Assumptions'!$C$2:$C$6,MATCH(C$2,'Category Assumptions'!$A$2:$A$6,0)))*INDEX('Category Assumptions'!$E$2:$E$6,MATCH(C$2,'Category Assumptions'!$A$2:$A$6,0))))/((INDEX('Category Assumptions'!$B$2:$B$6,MATCH(C$2,'Category Assumptions'!$A$2:$A$6,0))-INDEX('Category Assumptions'!$C$2:$C$6,MATCH(C$2,'Category Assumptions'!$A$2:$A$6,0)))*INDEX('Category Assumptions'!$E$2:$E$6,MATCH(C$2,'Category Assumptions'!$A$2:$A$6,0)))</f>
        <v>0.0145267857142859</v>
      </c>
      <c r="D4" s="32" t="n">
        <f aca="false">(((INDEX('Category Assumptions'!$B$2:$B$6,MATCH(D$2,'Category Assumptions'!$A$2:$A$6,0))*(1-$A4))-INDEX('Category Assumptions'!$C$2:$C$6,MATCH(D$2,'Category Assumptions'!$A$2:$A$6,0)))*(INDEX('Category Assumptions'!$E$2:$E$6,MATCH(D$2,'Category Assumptions'!$A$2:$A$6,0))*(1+INDEX('Category Assumptions'!$F$2:$F$6,MATCH(D$2,'Category Assumptions'!$A$2:$A$6,0))*$A4))-((INDEX('Category Assumptions'!$B$2:$B$6,MATCH(D$2,'Category Assumptions'!$A$2:$A$6,0))-INDEX('Category Assumptions'!$C$2:$C$6,MATCH(D$2,'Category Assumptions'!$A$2:$A$6,0)))*INDEX('Category Assumptions'!$E$2:$E$6,MATCH(D$2,'Category Assumptions'!$A$2:$A$6,0))))/((INDEX('Category Assumptions'!$B$2:$B$6,MATCH(D$2,'Category Assumptions'!$A$2:$A$6,0))-INDEX('Category Assumptions'!$C$2:$C$6,MATCH(D$2,'Category Assumptions'!$A$2:$A$6,0)))*INDEX('Category Assumptions'!$E$2:$E$6,MATCH(D$2,'Category Assumptions'!$A$2:$A$6,0)))</f>
        <v>-0.00861111111111128</v>
      </c>
      <c r="E4" s="32" t="n">
        <f aca="false">(((INDEX('Category Assumptions'!$B$2:$B$6,MATCH(E$2,'Category Assumptions'!$A$2:$A$6,0))*(1-$A4))-INDEX('Category Assumptions'!$C$2:$C$6,MATCH(E$2,'Category Assumptions'!$A$2:$A$6,0)))*(INDEX('Category Assumptions'!$E$2:$E$6,MATCH(E$2,'Category Assumptions'!$A$2:$A$6,0))*(1+INDEX('Category Assumptions'!$F$2:$F$6,MATCH(E$2,'Category Assumptions'!$A$2:$A$6,0))*$A4))-((INDEX('Category Assumptions'!$B$2:$B$6,MATCH(E$2,'Category Assumptions'!$A$2:$A$6,0))-INDEX('Category Assumptions'!$C$2:$C$6,MATCH(E$2,'Category Assumptions'!$A$2:$A$6,0)))*INDEX('Category Assumptions'!$E$2:$E$6,MATCH(E$2,'Category Assumptions'!$A$2:$A$6,0))))/((INDEX('Category Assumptions'!$B$2:$B$6,MATCH(E$2,'Category Assumptions'!$A$2:$A$6,0))-INDEX('Category Assumptions'!$C$2:$C$6,MATCH(E$2,'Category Assumptions'!$A$2:$A$6,0)))*INDEX('Category Assumptions'!$E$2:$E$6,MATCH(E$2,'Category Assumptions'!$A$2:$A$6,0)))</f>
        <v>-0.0261413940060493</v>
      </c>
      <c r="F4" s="32" t="n">
        <f aca="false">(((INDEX('Category Assumptions'!$B$2:$B$6,MATCH(F$2,'Category Assumptions'!$A$2:$A$6,0))*(1-$A4))-INDEX('Category Assumptions'!$C$2:$C$6,MATCH(F$2,'Category Assumptions'!$A$2:$A$6,0)))*(INDEX('Category Assumptions'!$E$2:$E$6,MATCH(F$2,'Category Assumptions'!$A$2:$A$6,0))*(1+INDEX('Category Assumptions'!$F$2:$F$6,MATCH(F$2,'Category Assumptions'!$A$2:$A$6,0))*$A4))-((INDEX('Category Assumptions'!$B$2:$B$6,MATCH(F$2,'Category Assumptions'!$A$2:$A$6,0))-INDEX('Category Assumptions'!$C$2:$C$6,MATCH(F$2,'Category Assumptions'!$A$2:$A$6,0)))*INDEX('Category Assumptions'!$E$2:$E$6,MATCH(F$2,'Category Assumptions'!$A$2:$A$6,0))))/((INDEX('Category Assumptions'!$B$2:$B$6,MATCH(F$2,'Category Assumptions'!$A$2:$A$6,0))-INDEX('Category Assumptions'!$C$2:$C$6,MATCH(F$2,'Category Assumptions'!$A$2:$A$6,0)))*INDEX('Category Assumptions'!$E$2:$E$6,MATCH(F$2,'Category Assumptions'!$A$2:$A$6,0)))</f>
        <v>-0.00606250000000004</v>
      </c>
    </row>
    <row r="5" customFormat="false" ht="15" hidden="false" customHeight="false" outlineLevel="0" collapsed="false">
      <c r="A5" s="36" t="n">
        <v>0.1</v>
      </c>
      <c r="B5" s="32" t="n">
        <f aca="false">(((INDEX('Category Assumptions'!$B$2:$B$6,MATCH(B$2,'Category Assumptions'!$A$2:$A$6,0))*(1-$A5))-INDEX('Category Assumptions'!$C$2:$C$6,MATCH(B$2,'Category Assumptions'!$A$2:$A$6,0)))*(INDEX('Category Assumptions'!$E$2:$E$6,MATCH(B$2,'Category Assumptions'!$A$2:$A$6,0))*(1+INDEX('Category Assumptions'!$F$2:$F$6,MATCH(B$2,'Category Assumptions'!$A$2:$A$6,0))*$A5))-((INDEX('Category Assumptions'!$B$2:$B$6,MATCH(B$2,'Category Assumptions'!$A$2:$A$6,0))-INDEX('Category Assumptions'!$C$2:$C$6,MATCH(B$2,'Category Assumptions'!$A$2:$A$6,0)))*INDEX('Category Assumptions'!$E$2:$E$6,MATCH(B$2,'Category Assumptions'!$A$2:$A$6,0))))/((INDEX('Category Assumptions'!$B$2:$B$6,MATCH(B$2,'Category Assumptions'!$A$2:$A$6,0))-INDEX('Category Assumptions'!$C$2:$C$6,MATCH(B$2,'Category Assumptions'!$A$2:$A$6,0)))*INDEX('Category Assumptions'!$E$2:$E$6,MATCH(B$2,'Category Assumptions'!$A$2:$A$6,0)))</f>
        <v>-0.0163090909090908</v>
      </c>
      <c r="C5" s="32" t="n">
        <f aca="false">(((INDEX('Category Assumptions'!$B$2:$B$6,MATCH(C$2,'Category Assumptions'!$A$2:$A$6,0))*(1-$A5))-INDEX('Category Assumptions'!$C$2:$C$6,MATCH(C$2,'Category Assumptions'!$A$2:$A$6,0)))*(INDEX('Category Assumptions'!$E$2:$E$6,MATCH(C$2,'Category Assumptions'!$A$2:$A$6,0))*(1+INDEX('Category Assumptions'!$F$2:$F$6,MATCH(C$2,'Category Assumptions'!$A$2:$A$6,0))*$A5))-((INDEX('Category Assumptions'!$B$2:$B$6,MATCH(C$2,'Category Assumptions'!$A$2:$A$6,0))-INDEX('Category Assumptions'!$C$2:$C$6,MATCH(C$2,'Category Assumptions'!$A$2:$A$6,0)))*INDEX('Category Assumptions'!$E$2:$E$6,MATCH(C$2,'Category Assumptions'!$A$2:$A$6,0))))/((INDEX('Category Assumptions'!$B$2:$B$6,MATCH(C$2,'Category Assumptions'!$A$2:$A$6,0))-INDEX('Category Assumptions'!$C$2:$C$6,MATCH(C$2,'Category Assumptions'!$A$2:$A$6,0)))*INDEX('Category Assumptions'!$E$2:$E$6,MATCH(C$2,'Category Assumptions'!$A$2:$A$6,0)))</f>
        <v>0.0101309523809525</v>
      </c>
      <c r="D5" s="32" t="n">
        <f aca="false">(((INDEX('Category Assumptions'!$B$2:$B$6,MATCH(D$2,'Category Assumptions'!$A$2:$A$6,0))*(1-$A5))-INDEX('Category Assumptions'!$C$2:$C$6,MATCH(D$2,'Category Assumptions'!$A$2:$A$6,0)))*(INDEX('Category Assumptions'!$E$2:$E$6,MATCH(D$2,'Category Assumptions'!$A$2:$A$6,0))*(1+INDEX('Category Assumptions'!$F$2:$F$6,MATCH(D$2,'Category Assumptions'!$A$2:$A$6,0))*$A5))-((INDEX('Category Assumptions'!$B$2:$B$6,MATCH(D$2,'Category Assumptions'!$A$2:$A$6,0))-INDEX('Category Assumptions'!$C$2:$C$6,MATCH(D$2,'Category Assumptions'!$A$2:$A$6,0)))*INDEX('Category Assumptions'!$E$2:$E$6,MATCH(D$2,'Category Assumptions'!$A$2:$A$6,0))))/((INDEX('Category Assumptions'!$B$2:$B$6,MATCH(D$2,'Category Assumptions'!$A$2:$A$6,0))-INDEX('Category Assumptions'!$C$2:$C$6,MATCH(D$2,'Category Assumptions'!$A$2:$A$6,0)))*INDEX('Category Assumptions'!$E$2:$E$6,MATCH(D$2,'Category Assumptions'!$A$2:$A$6,0)))</f>
        <v>-0.0288888888888889</v>
      </c>
      <c r="E5" s="32" t="n">
        <f aca="false">(((INDEX('Category Assumptions'!$B$2:$B$6,MATCH(E$2,'Category Assumptions'!$A$2:$A$6,0))*(1-$A5))-INDEX('Category Assumptions'!$C$2:$C$6,MATCH(E$2,'Category Assumptions'!$A$2:$A$6,0)))*(INDEX('Category Assumptions'!$E$2:$E$6,MATCH(E$2,'Category Assumptions'!$A$2:$A$6,0))*(1+INDEX('Category Assumptions'!$F$2:$F$6,MATCH(E$2,'Category Assumptions'!$A$2:$A$6,0))*$A5))-((INDEX('Category Assumptions'!$B$2:$B$6,MATCH(E$2,'Category Assumptions'!$A$2:$A$6,0))-INDEX('Category Assumptions'!$C$2:$C$6,MATCH(E$2,'Category Assumptions'!$A$2:$A$6,0)))*INDEX('Category Assumptions'!$E$2:$E$6,MATCH(E$2,'Category Assumptions'!$A$2:$A$6,0))))/((INDEX('Category Assumptions'!$B$2:$B$6,MATCH(E$2,'Category Assumptions'!$A$2:$A$6,0))-INDEX('Category Assumptions'!$C$2:$C$6,MATCH(E$2,'Category Assumptions'!$A$2:$A$6,0)))*INDEX('Category Assumptions'!$E$2:$E$6,MATCH(E$2,'Category Assumptions'!$A$2:$A$6,0)))</f>
        <v>-0.0634080285949961</v>
      </c>
      <c r="F5" s="32" t="n">
        <f aca="false">(((INDEX('Category Assumptions'!$B$2:$B$6,MATCH(F$2,'Category Assumptions'!$A$2:$A$6,0))*(1-$A5))-INDEX('Category Assumptions'!$C$2:$C$6,MATCH(F$2,'Category Assumptions'!$A$2:$A$6,0)))*(INDEX('Category Assumptions'!$E$2:$E$6,MATCH(F$2,'Category Assumptions'!$A$2:$A$6,0))*(1+INDEX('Category Assumptions'!$F$2:$F$6,MATCH(F$2,'Category Assumptions'!$A$2:$A$6,0))*$A5))-((INDEX('Category Assumptions'!$B$2:$B$6,MATCH(F$2,'Category Assumptions'!$A$2:$A$6,0))-INDEX('Category Assumptions'!$C$2:$C$6,MATCH(F$2,'Category Assumptions'!$A$2:$A$6,0)))*INDEX('Category Assumptions'!$E$2:$E$6,MATCH(F$2,'Category Assumptions'!$A$2:$A$6,0))))/((INDEX('Category Assumptions'!$B$2:$B$6,MATCH(F$2,'Category Assumptions'!$A$2:$A$6,0))-INDEX('Category Assumptions'!$C$2:$C$6,MATCH(F$2,'Category Assumptions'!$A$2:$A$6,0)))*INDEX('Category Assumptions'!$E$2:$E$6,MATCH(F$2,'Category Assumptions'!$A$2:$A$6,0)))</f>
        <v>-0.0248749999999999</v>
      </c>
    </row>
    <row r="6" customFormat="false" ht="15" hidden="false" customHeight="false" outlineLevel="0" collapsed="false">
      <c r="A6" s="36" t="n">
        <v>0.15</v>
      </c>
      <c r="B6" s="32" t="n">
        <f aca="false">(((INDEX('Category Assumptions'!$B$2:$B$6,MATCH(B$2,'Category Assumptions'!$A$2:$A$6,0))*(1-$A6))-INDEX('Category Assumptions'!$C$2:$C$6,MATCH(B$2,'Category Assumptions'!$A$2:$A$6,0)))*(INDEX('Category Assumptions'!$E$2:$E$6,MATCH(B$2,'Category Assumptions'!$A$2:$A$6,0))*(1+INDEX('Category Assumptions'!$F$2:$F$6,MATCH(B$2,'Category Assumptions'!$A$2:$A$6,0))*$A6))-((INDEX('Category Assumptions'!$B$2:$B$6,MATCH(B$2,'Category Assumptions'!$A$2:$A$6,0))-INDEX('Category Assumptions'!$C$2:$C$6,MATCH(B$2,'Category Assumptions'!$A$2:$A$6,0)))*INDEX('Category Assumptions'!$E$2:$E$6,MATCH(B$2,'Category Assumptions'!$A$2:$A$6,0))))/((INDEX('Category Assumptions'!$B$2:$B$6,MATCH(B$2,'Category Assumptions'!$A$2:$A$6,0))-INDEX('Category Assumptions'!$C$2:$C$6,MATCH(B$2,'Category Assumptions'!$A$2:$A$6,0)))*INDEX('Category Assumptions'!$E$2:$E$6,MATCH(B$2,'Category Assumptions'!$A$2:$A$6,0)))</f>
        <v>-0.0469227272727275</v>
      </c>
      <c r="C6" s="32" t="n">
        <f aca="false">(((INDEX('Category Assumptions'!$B$2:$B$6,MATCH(C$2,'Category Assumptions'!$A$2:$A$6,0))*(1-$A6))-INDEX('Category Assumptions'!$C$2:$C$6,MATCH(C$2,'Category Assumptions'!$A$2:$A$6,0)))*(INDEX('Category Assumptions'!$E$2:$E$6,MATCH(C$2,'Category Assumptions'!$A$2:$A$6,0))*(1+INDEX('Category Assumptions'!$F$2:$F$6,MATCH(C$2,'Category Assumptions'!$A$2:$A$6,0))*$A6))-((INDEX('Category Assumptions'!$B$2:$B$6,MATCH(C$2,'Category Assumptions'!$A$2:$A$6,0))-INDEX('Category Assumptions'!$C$2:$C$6,MATCH(C$2,'Category Assumptions'!$A$2:$A$6,0)))*INDEX('Category Assumptions'!$E$2:$E$6,MATCH(C$2,'Category Assumptions'!$A$2:$A$6,0))))/((INDEX('Category Assumptions'!$B$2:$B$6,MATCH(C$2,'Category Assumptions'!$A$2:$A$6,0))-INDEX('Category Assumptions'!$C$2:$C$6,MATCH(C$2,'Category Assumptions'!$A$2:$A$6,0)))*INDEX('Category Assumptions'!$E$2:$E$6,MATCH(C$2,'Category Assumptions'!$A$2:$A$6,0)))</f>
        <v>-0.0131874999999998</v>
      </c>
      <c r="D6" s="32" t="n">
        <f aca="false">(((INDEX('Category Assumptions'!$B$2:$B$6,MATCH(D$2,'Category Assumptions'!$A$2:$A$6,0))*(1-$A6))-INDEX('Category Assumptions'!$C$2:$C$6,MATCH(D$2,'Category Assumptions'!$A$2:$A$6,0)))*(INDEX('Category Assumptions'!$E$2:$E$6,MATCH(D$2,'Category Assumptions'!$A$2:$A$6,0))*(1+INDEX('Category Assumptions'!$F$2:$F$6,MATCH(D$2,'Category Assumptions'!$A$2:$A$6,0))*$A6))-((INDEX('Category Assumptions'!$B$2:$B$6,MATCH(D$2,'Category Assumptions'!$A$2:$A$6,0))-INDEX('Category Assumptions'!$C$2:$C$6,MATCH(D$2,'Category Assumptions'!$A$2:$A$6,0)))*INDEX('Category Assumptions'!$E$2:$E$6,MATCH(D$2,'Category Assumptions'!$A$2:$A$6,0))))/((INDEX('Category Assumptions'!$B$2:$B$6,MATCH(D$2,'Category Assumptions'!$A$2:$A$6,0))-INDEX('Category Assumptions'!$C$2:$C$6,MATCH(D$2,'Category Assumptions'!$A$2:$A$6,0)))*INDEX('Category Assumptions'!$E$2:$E$6,MATCH(D$2,'Category Assumptions'!$A$2:$A$6,0)))</f>
        <v>-0.0608333333333333</v>
      </c>
      <c r="E6" s="32" t="n">
        <f aca="false">(((INDEX('Category Assumptions'!$B$2:$B$6,MATCH(E$2,'Category Assumptions'!$A$2:$A$6,0))*(1-$A6))-INDEX('Category Assumptions'!$C$2:$C$6,MATCH(E$2,'Category Assumptions'!$A$2:$A$6,0)))*(INDEX('Category Assumptions'!$E$2:$E$6,MATCH(E$2,'Category Assumptions'!$A$2:$A$6,0))*(1+INDEX('Category Assumptions'!$F$2:$F$6,MATCH(E$2,'Category Assumptions'!$A$2:$A$6,0))*$A6))-((INDEX('Category Assumptions'!$B$2:$B$6,MATCH(E$2,'Category Assumptions'!$A$2:$A$6,0))-INDEX('Category Assumptions'!$C$2:$C$6,MATCH(E$2,'Category Assumptions'!$A$2:$A$6,0)))*INDEX('Category Assumptions'!$E$2:$E$6,MATCH(E$2,'Category Assumptions'!$A$2:$A$6,0))))/((INDEX('Category Assumptions'!$B$2:$B$6,MATCH(E$2,'Category Assumptions'!$A$2:$A$6,0))-INDEX('Category Assumptions'!$C$2:$C$6,MATCH(E$2,'Category Assumptions'!$A$2:$A$6,0)))*INDEX('Category Assumptions'!$E$2:$E$6,MATCH(E$2,'Category Assumptions'!$A$2:$A$6,0)))</f>
        <v>-0.111799903766841</v>
      </c>
      <c r="F6" s="32" t="n">
        <f aca="false">(((INDEX('Category Assumptions'!$B$2:$B$6,MATCH(F$2,'Category Assumptions'!$A$2:$A$6,0))*(1-$A6))-INDEX('Category Assumptions'!$C$2:$C$6,MATCH(F$2,'Category Assumptions'!$A$2:$A$6,0)))*(INDEX('Category Assumptions'!$E$2:$E$6,MATCH(F$2,'Category Assumptions'!$A$2:$A$6,0))*(1+INDEX('Category Assumptions'!$F$2:$F$6,MATCH(F$2,'Category Assumptions'!$A$2:$A$6,0))*$A6))-((INDEX('Category Assumptions'!$B$2:$B$6,MATCH(F$2,'Category Assumptions'!$A$2:$A$6,0))-INDEX('Category Assumptions'!$C$2:$C$6,MATCH(F$2,'Category Assumptions'!$A$2:$A$6,0)))*INDEX('Category Assumptions'!$E$2:$E$6,MATCH(F$2,'Category Assumptions'!$A$2:$A$6,0))))/((INDEX('Category Assumptions'!$B$2:$B$6,MATCH(F$2,'Category Assumptions'!$A$2:$A$6,0))-INDEX('Category Assumptions'!$C$2:$C$6,MATCH(F$2,'Category Assumptions'!$A$2:$A$6,0)))*INDEX('Category Assumptions'!$E$2:$E$6,MATCH(F$2,'Category Assumptions'!$A$2:$A$6,0)))</f>
        <v>-0.0564375</v>
      </c>
    </row>
    <row r="7" customFormat="false" ht="15" hidden="false" customHeight="false" outlineLevel="0" collapsed="false">
      <c r="A7" s="36" t="n">
        <v>0.2</v>
      </c>
      <c r="B7" s="32" t="n">
        <f aca="false">(((INDEX('Category Assumptions'!$B$2:$B$6,MATCH(B$2,'Category Assumptions'!$A$2:$A$6,0))*(1-$A7))-INDEX('Category Assumptions'!$C$2:$C$6,MATCH(B$2,'Category Assumptions'!$A$2:$A$6,0)))*(INDEX('Category Assumptions'!$E$2:$E$6,MATCH(B$2,'Category Assumptions'!$A$2:$A$6,0))*(1+INDEX('Category Assumptions'!$F$2:$F$6,MATCH(B$2,'Category Assumptions'!$A$2:$A$6,0))*$A7))-((INDEX('Category Assumptions'!$B$2:$B$6,MATCH(B$2,'Category Assumptions'!$A$2:$A$6,0))-INDEX('Category Assumptions'!$C$2:$C$6,MATCH(B$2,'Category Assumptions'!$A$2:$A$6,0)))*INDEX('Category Assumptions'!$E$2:$E$6,MATCH(B$2,'Category Assumptions'!$A$2:$A$6,0))))/((INDEX('Category Assumptions'!$B$2:$B$6,MATCH(B$2,'Category Assumptions'!$A$2:$A$6,0))-INDEX('Category Assumptions'!$C$2:$C$6,MATCH(B$2,'Category Assumptions'!$A$2:$A$6,0)))*INDEX('Category Assumptions'!$E$2:$E$6,MATCH(B$2,'Category Assumptions'!$A$2:$A$6,0)))</f>
        <v>-0.0925090909090907</v>
      </c>
      <c r="C7" s="32" t="n">
        <f aca="false">(((INDEX('Category Assumptions'!$B$2:$B$6,MATCH(C$2,'Category Assumptions'!$A$2:$A$6,0))*(1-$A7))-INDEX('Category Assumptions'!$C$2:$C$6,MATCH(C$2,'Category Assumptions'!$A$2:$A$6,0)))*(INDEX('Category Assumptions'!$E$2:$E$6,MATCH(C$2,'Category Assumptions'!$A$2:$A$6,0))*(1+INDEX('Category Assumptions'!$F$2:$F$6,MATCH(C$2,'Category Assumptions'!$A$2:$A$6,0))*$A7))-((INDEX('Category Assumptions'!$B$2:$B$6,MATCH(C$2,'Category Assumptions'!$A$2:$A$6,0))-INDEX('Category Assumptions'!$C$2:$C$6,MATCH(C$2,'Category Assumptions'!$A$2:$A$6,0)))*INDEX('Category Assumptions'!$E$2:$E$6,MATCH(C$2,'Category Assumptions'!$A$2:$A$6,0))))/((INDEX('Category Assumptions'!$B$2:$B$6,MATCH(C$2,'Category Assumptions'!$A$2:$A$6,0))-INDEX('Category Assumptions'!$C$2:$C$6,MATCH(C$2,'Category Assumptions'!$A$2:$A$6,0)))*INDEX('Category Assumptions'!$E$2:$E$6,MATCH(C$2,'Category Assumptions'!$A$2:$A$6,0)))</f>
        <v>-0.0554285714285713</v>
      </c>
      <c r="D7" s="32" t="n">
        <f aca="false">(((INDEX('Category Assumptions'!$B$2:$B$6,MATCH(D$2,'Category Assumptions'!$A$2:$A$6,0))*(1-$A7))-INDEX('Category Assumptions'!$C$2:$C$6,MATCH(D$2,'Category Assumptions'!$A$2:$A$6,0)))*(INDEX('Category Assumptions'!$E$2:$E$6,MATCH(D$2,'Category Assumptions'!$A$2:$A$6,0))*(1+INDEX('Category Assumptions'!$F$2:$F$6,MATCH(D$2,'Category Assumptions'!$A$2:$A$6,0))*$A7))-((INDEX('Category Assumptions'!$B$2:$B$6,MATCH(D$2,'Category Assumptions'!$A$2:$A$6,0))-INDEX('Category Assumptions'!$C$2:$C$6,MATCH(D$2,'Category Assumptions'!$A$2:$A$6,0)))*INDEX('Category Assumptions'!$E$2:$E$6,MATCH(D$2,'Category Assumptions'!$A$2:$A$6,0))))/((INDEX('Category Assumptions'!$B$2:$B$6,MATCH(D$2,'Category Assumptions'!$A$2:$A$6,0))-INDEX('Category Assumptions'!$C$2:$C$6,MATCH(D$2,'Category Assumptions'!$A$2:$A$6,0)))*INDEX('Category Assumptions'!$E$2:$E$6,MATCH(D$2,'Category Assumptions'!$A$2:$A$6,0)))</f>
        <v>-0.104444444444444</v>
      </c>
      <c r="E7" s="32" t="n">
        <f aca="false">(((INDEX('Category Assumptions'!$B$2:$B$6,MATCH(E$2,'Category Assumptions'!$A$2:$A$6,0))*(1-$A7))-INDEX('Category Assumptions'!$C$2:$C$6,MATCH(E$2,'Category Assumptions'!$A$2:$A$6,0)))*(INDEX('Category Assumptions'!$E$2:$E$6,MATCH(E$2,'Category Assumptions'!$A$2:$A$6,0))*(1+INDEX('Category Assumptions'!$F$2:$F$6,MATCH(E$2,'Category Assumptions'!$A$2:$A$6,0))*$A7))-((INDEX('Category Assumptions'!$B$2:$B$6,MATCH(E$2,'Category Assumptions'!$A$2:$A$6,0))-INDEX('Category Assumptions'!$C$2:$C$6,MATCH(E$2,'Category Assumptions'!$A$2:$A$6,0)))*INDEX('Category Assumptions'!$E$2:$E$6,MATCH(E$2,'Category Assumptions'!$A$2:$A$6,0))))/((INDEX('Category Assumptions'!$B$2:$B$6,MATCH(E$2,'Category Assumptions'!$A$2:$A$6,0))-INDEX('Category Assumptions'!$C$2:$C$6,MATCH(E$2,'Category Assumptions'!$A$2:$A$6,0)))*INDEX('Category Assumptions'!$E$2:$E$6,MATCH(E$2,'Category Assumptions'!$A$2:$A$6,0)))</f>
        <v>-0.171317019521584</v>
      </c>
      <c r="F7" s="32" t="n">
        <f aca="false">(((INDEX('Category Assumptions'!$B$2:$B$6,MATCH(F$2,'Category Assumptions'!$A$2:$A$6,0))*(1-$A7))-INDEX('Category Assumptions'!$C$2:$C$6,MATCH(F$2,'Category Assumptions'!$A$2:$A$6,0)))*(INDEX('Category Assumptions'!$E$2:$E$6,MATCH(F$2,'Category Assumptions'!$A$2:$A$6,0))*(1+INDEX('Category Assumptions'!$F$2:$F$6,MATCH(F$2,'Category Assumptions'!$A$2:$A$6,0))*$A7))-((INDEX('Category Assumptions'!$B$2:$B$6,MATCH(F$2,'Category Assumptions'!$A$2:$A$6,0))-INDEX('Category Assumptions'!$C$2:$C$6,MATCH(F$2,'Category Assumptions'!$A$2:$A$6,0)))*INDEX('Category Assumptions'!$E$2:$E$6,MATCH(F$2,'Category Assumptions'!$A$2:$A$6,0))))/((INDEX('Category Assumptions'!$B$2:$B$6,MATCH(F$2,'Category Assumptions'!$A$2:$A$6,0))-INDEX('Category Assumptions'!$C$2:$C$6,MATCH(F$2,'Category Assumptions'!$A$2:$A$6,0)))*INDEX('Category Assumptions'!$E$2:$E$6,MATCH(F$2,'Category Assumptions'!$A$2:$A$6,0)))</f>
        <v>-0.10075</v>
      </c>
    </row>
    <row r="8" customFormat="false" ht="15" hidden="false" customHeight="false" outlineLevel="0" collapsed="false">
      <c r="A8" s="36" t="n">
        <v>0.25</v>
      </c>
      <c r="B8" s="32" t="n">
        <f aca="false">(((INDEX('Category Assumptions'!$B$2:$B$6,MATCH(B$2,'Category Assumptions'!$A$2:$A$6,0))*(1-$A8))-INDEX('Category Assumptions'!$C$2:$C$6,MATCH(B$2,'Category Assumptions'!$A$2:$A$6,0)))*(INDEX('Category Assumptions'!$E$2:$E$6,MATCH(B$2,'Category Assumptions'!$A$2:$A$6,0))*(1+INDEX('Category Assumptions'!$F$2:$F$6,MATCH(B$2,'Category Assumptions'!$A$2:$A$6,0))*$A8))-((INDEX('Category Assumptions'!$B$2:$B$6,MATCH(B$2,'Category Assumptions'!$A$2:$A$6,0))-INDEX('Category Assumptions'!$C$2:$C$6,MATCH(B$2,'Category Assumptions'!$A$2:$A$6,0)))*INDEX('Category Assumptions'!$E$2:$E$6,MATCH(B$2,'Category Assumptions'!$A$2:$A$6,0))))/((INDEX('Category Assumptions'!$B$2:$B$6,MATCH(B$2,'Category Assumptions'!$A$2:$A$6,0))-INDEX('Category Assumptions'!$C$2:$C$6,MATCH(B$2,'Category Assumptions'!$A$2:$A$6,0)))*INDEX('Category Assumptions'!$E$2:$E$6,MATCH(B$2,'Category Assumptions'!$A$2:$A$6,0)))</f>
        <v>-0.153068181818182</v>
      </c>
      <c r="C8" s="32" t="n">
        <f aca="false">(((INDEX('Category Assumptions'!$B$2:$B$6,MATCH(C$2,'Category Assumptions'!$A$2:$A$6,0))*(1-$A8))-INDEX('Category Assumptions'!$C$2:$C$6,MATCH(C$2,'Category Assumptions'!$A$2:$A$6,0)))*(INDEX('Category Assumptions'!$E$2:$E$6,MATCH(C$2,'Category Assumptions'!$A$2:$A$6,0))*(1+INDEX('Category Assumptions'!$F$2:$F$6,MATCH(C$2,'Category Assumptions'!$A$2:$A$6,0))*$A8))-((INDEX('Category Assumptions'!$B$2:$B$6,MATCH(C$2,'Category Assumptions'!$A$2:$A$6,0))-INDEX('Category Assumptions'!$C$2:$C$6,MATCH(C$2,'Category Assumptions'!$A$2:$A$6,0)))*INDEX('Category Assumptions'!$E$2:$E$6,MATCH(C$2,'Category Assumptions'!$A$2:$A$6,0))))/((INDEX('Category Assumptions'!$B$2:$B$6,MATCH(C$2,'Category Assumptions'!$A$2:$A$6,0))-INDEX('Category Assumptions'!$C$2:$C$6,MATCH(C$2,'Category Assumptions'!$A$2:$A$6,0)))*INDEX('Category Assumptions'!$E$2:$E$6,MATCH(C$2,'Category Assumptions'!$A$2:$A$6,0)))</f>
        <v>-0.116592261904762</v>
      </c>
      <c r="D8" s="32" t="n">
        <f aca="false">(((INDEX('Category Assumptions'!$B$2:$B$6,MATCH(D$2,'Category Assumptions'!$A$2:$A$6,0))*(1-$A8))-INDEX('Category Assumptions'!$C$2:$C$6,MATCH(D$2,'Category Assumptions'!$A$2:$A$6,0)))*(INDEX('Category Assumptions'!$E$2:$E$6,MATCH(D$2,'Category Assumptions'!$A$2:$A$6,0))*(1+INDEX('Category Assumptions'!$F$2:$F$6,MATCH(D$2,'Category Assumptions'!$A$2:$A$6,0))*$A8))-((INDEX('Category Assumptions'!$B$2:$B$6,MATCH(D$2,'Category Assumptions'!$A$2:$A$6,0))-INDEX('Category Assumptions'!$C$2:$C$6,MATCH(D$2,'Category Assumptions'!$A$2:$A$6,0)))*INDEX('Category Assumptions'!$E$2:$E$6,MATCH(D$2,'Category Assumptions'!$A$2:$A$6,0))))/((INDEX('Category Assumptions'!$B$2:$B$6,MATCH(D$2,'Category Assumptions'!$A$2:$A$6,0))-INDEX('Category Assumptions'!$C$2:$C$6,MATCH(D$2,'Category Assumptions'!$A$2:$A$6,0)))*INDEX('Category Assumptions'!$E$2:$E$6,MATCH(D$2,'Category Assumptions'!$A$2:$A$6,0)))</f>
        <v>-0.159722222222222</v>
      </c>
      <c r="E8" s="32" t="n">
        <f aca="false">(((INDEX('Category Assumptions'!$B$2:$B$6,MATCH(E$2,'Category Assumptions'!$A$2:$A$6,0))*(1-$A8))-INDEX('Category Assumptions'!$C$2:$C$6,MATCH(E$2,'Category Assumptions'!$A$2:$A$6,0)))*(INDEX('Category Assumptions'!$E$2:$E$6,MATCH(E$2,'Category Assumptions'!$A$2:$A$6,0))*(1+INDEX('Category Assumptions'!$F$2:$F$6,MATCH(E$2,'Category Assumptions'!$A$2:$A$6,0))*$A8))-((INDEX('Category Assumptions'!$B$2:$B$6,MATCH(E$2,'Category Assumptions'!$A$2:$A$6,0))-INDEX('Category Assumptions'!$C$2:$C$6,MATCH(E$2,'Category Assumptions'!$A$2:$A$6,0)))*INDEX('Category Assumptions'!$E$2:$E$6,MATCH(E$2,'Category Assumptions'!$A$2:$A$6,0))))/((INDEX('Category Assumptions'!$B$2:$B$6,MATCH(E$2,'Category Assumptions'!$A$2:$A$6,0))-INDEX('Category Assumptions'!$C$2:$C$6,MATCH(E$2,'Category Assumptions'!$A$2:$A$6,0)))*INDEX('Category Assumptions'!$E$2:$E$6,MATCH(E$2,'Category Assumptions'!$A$2:$A$6,0)))</f>
        <v>-0.241959375859225</v>
      </c>
      <c r="F8" s="32" t="n">
        <f aca="false">(((INDEX('Category Assumptions'!$B$2:$B$6,MATCH(F$2,'Category Assumptions'!$A$2:$A$6,0))*(1-$A8))-INDEX('Category Assumptions'!$C$2:$C$6,MATCH(F$2,'Category Assumptions'!$A$2:$A$6,0)))*(INDEX('Category Assumptions'!$E$2:$E$6,MATCH(F$2,'Category Assumptions'!$A$2:$A$6,0))*(1+INDEX('Category Assumptions'!$F$2:$F$6,MATCH(F$2,'Category Assumptions'!$A$2:$A$6,0))*$A8))-((INDEX('Category Assumptions'!$B$2:$B$6,MATCH(F$2,'Category Assumptions'!$A$2:$A$6,0))-INDEX('Category Assumptions'!$C$2:$C$6,MATCH(F$2,'Category Assumptions'!$A$2:$A$6,0)))*INDEX('Category Assumptions'!$E$2:$E$6,MATCH(F$2,'Category Assumptions'!$A$2:$A$6,0))))/((INDEX('Category Assumptions'!$B$2:$B$6,MATCH(F$2,'Category Assumptions'!$A$2:$A$6,0))-INDEX('Category Assumptions'!$C$2:$C$6,MATCH(F$2,'Category Assumptions'!$A$2:$A$6,0)))*INDEX('Category Assumptions'!$E$2:$E$6,MATCH(F$2,'Category Assumptions'!$A$2:$A$6,0)))</f>
        <v>-0.1578125</v>
      </c>
    </row>
    <row r="9" customFormat="false" ht="15" hidden="false" customHeight="false" outlineLevel="0" collapsed="false">
      <c r="A9" s="36" t="n">
        <v>0.3</v>
      </c>
      <c r="B9" s="32" t="n">
        <f aca="false">(((INDEX('Category Assumptions'!$B$2:$B$6,MATCH(B$2,'Category Assumptions'!$A$2:$A$6,0))*(1-$A9))-INDEX('Category Assumptions'!$C$2:$C$6,MATCH(B$2,'Category Assumptions'!$A$2:$A$6,0)))*(INDEX('Category Assumptions'!$E$2:$E$6,MATCH(B$2,'Category Assumptions'!$A$2:$A$6,0))*(1+INDEX('Category Assumptions'!$F$2:$F$6,MATCH(B$2,'Category Assumptions'!$A$2:$A$6,0))*$A9))-((INDEX('Category Assumptions'!$B$2:$B$6,MATCH(B$2,'Category Assumptions'!$A$2:$A$6,0))-INDEX('Category Assumptions'!$C$2:$C$6,MATCH(B$2,'Category Assumptions'!$A$2:$A$6,0)))*INDEX('Category Assumptions'!$E$2:$E$6,MATCH(B$2,'Category Assumptions'!$A$2:$A$6,0))))/((INDEX('Category Assumptions'!$B$2:$B$6,MATCH(B$2,'Category Assumptions'!$A$2:$A$6,0))-INDEX('Category Assumptions'!$C$2:$C$6,MATCH(B$2,'Category Assumptions'!$A$2:$A$6,0)))*INDEX('Category Assumptions'!$E$2:$E$6,MATCH(B$2,'Category Assumptions'!$A$2:$A$6,0)))</f>
        <v>-0.2286</v>
      </c>
      <c r="C9" s="32" t="n">
        <f aca="false">(((INDEX('Category Assumptions'!$B$2:$B$6,MATCH(C$2,'Category Assumptions'!$A$2:$A$6,0))*(1-$A9))-INDEX('Category Assumptions'!$C$2:$C$6,MATCH(C$2,'Category Assumptions'!$A$2:$A$6,0)))*(INDEX('Category Assumptions'!$E$2:$E$6,MATCH(C$2,'Category Assumptions'!$A$2:$A$6,0))*(1+INDEX('Category Assumptions'!$F$2:$F$6,MATCH(C$2,'Category Assumptions'!$A$2:$A$6,0))*$A9))-((INDEX('Category Assumptions'!$B$2:$B$6,MATCH(C$2,'Category Assumptions'!$A$2:$A$6,0))-INDEX('Category Assumptions'!$C$2:$C$6,MATCH(C$2,'Category Assumptions'!$A$2:$A$6,0)))*INDEX('Category Assumptions'!$E$2:$E$6,MATCH(C$2,'Category Assumptions'!$A$2:$A$6,0))))/((INDEX('Category Assumptions'!$B$2:$B$6,MATCH(C$2,'Category Assumptions'!$A$2:$A$6,0))-INDEX('Category Assumptions'!$C$2:$C$6,MATCH(C$2,'Category Assumptions'!$A$2:$A$6,0)))*INDEX('Category Assumptions'!$E$2:$E$6,MATCH(C$2,'Category Assumptions'!$A$2:$A$6,0)))</f>
        <v>-0.196678571428571</v>
      </c>
      <c r="D9" s="32" t="n">
        <f aca="false">(((INDEX('Category Assumptions'!$B$2:$B$6,MATCH(D$2,'Category Assumptions'!$A$2:$A$6,0))*(1-$A9))-INDEX('Category Assumptions'!$C$2:$C$6,MATCH(D$2,'Category Assumptions'!$A$2:$A$6,0)))*(INDEX('Category Assumptions'!$E$2:$E$6,MATCH(D$2,'Category Assumptions'!$A$2:$A$6,0))*(1+INDEX('Category Assumptions'!$F$2:$F$6,MATCH(D$2,'Category Assumptions'!$A$2:$A$6,0))*$A9))-((INDEX('Category Assumptions'!$B$2:$B$6,MATCH(D$2,'Category Assumptions'!$A$2:$A$6,0))-INDEX('Category Assumptions'!$C$2:$C$6,MATCH(D$2,'Category Assumptions'!$A$2:$A$6,0)))*INDEX('Category Assumptions'!$E$2:$E$6,MATCH(D$2,'Category Assumptions'!$A$2:$A$6,0))))/((INDEX('Category Assumptions'!$B$2:$B$6,MATCH(D$2,'Category Assumptions'!$A$2:$A$6,0))-INDEX('Category Assumptions'!$C$2:$C$6,MATCH(D$2,'Category Assumptions'!$A$2:$A$6,0)))*INDEX('Category Assumptions'!$E$2:$E$6,MATCH(D$2,'Category Assumptions'!$A$2:$A$6,0)))</f>
        <v>-0.226666666666667</v>
      </c>
      <c r="E9" s="32" t="n">
        <f aca="false">(((INDEX('Category Assumptions'!$B$2:$B$6,MATCH(E$2,'Category Assumptions'!$A$2:$A$6,0))*(1-$A9))-INDEX('Category Assumptions'!$C$2:$C$6,MATCH(E$2,'Category Assumptions'!$A$2:$A$6,0)))*(INDEX('Category Assumptions'!$E$2:$E$6,MATCH(E$2,'Category Assumptions'!$A$2:$A$6,0))*(1+INDEX('Category Assumptions'!$F$2:$F$6,MATCH(E$2,'Category Assumptions'!$A$2:$A$6,0))*$A9))-((INDEX('Category Assumptions'!$B$2:$B$6,MATCH(E$2,'Category Assumptions'!$A$2:$A$6,0))-INDEX('Category Assumptions'!$C$2:$C$6,MATCH(E$2,'Category Assumptions'!$A$2:$A$6,0)))*INDEX('Category Assumptions'!$E$2:$E$6,MATCH(E$2,'Category Assumptions'!$A$2:$A$6,0))))/((INDEX('Category Assumptions'!$B$2:$B$6,MATCH(E$2,'Category Assumptions'!$A$2:$A$6,0))-INDEX('Category Assumptions'!$C$2:$C$6,MATCH(E$2,'Category Assumptions'!$A$2:$A$6,0)))*INDEX('Category Assumptions'!$E$2:$E$6,MATCH(E$2,'Category Assumptions'!$A$2:$A$6,0)))</f>
        <v>-0.323726972779764</v>
      </c>
      <c r="F9" s="32" t="n">
        <f aca="false">(((INDEX('Category Assumptions'!$B$2:$B$6,MATCH(F$2,'Category Assumptions'!$A$2:$A$6,0))*(1-$A9))-INDEX('Category Assumptions'!$C$2:$C$6,MATCH(F$2,'Category Assumptions'!$A$2:$A$6,0)))*(INDEX('Category Assumptions'!$E$2:$E$6,MATCH(F$2,'Category Assumptions'!$A$2:$A$6,0))*(1+INDEX('Category Assumptions'!$F$2:$F$6,MATCH(F$2,'Category Assumptions'!$A$2:$A$6,0))*$A9))-((INDEX('Category Assumptions'!$B$2:$B$6,MATCH(F$2,'Category Assumptions'!$A$2:$A$6,0))-INDEX('Category Assumptions'!$C$2:$C$6,MATCH(F$2,'Category Assumptions'!$A$2:$A$6,0)))*INDEX('Category Assumptions'!$E$2:$E$6,MATCH(F$2,'Category Assumptions'!$A$2:$A$6,0))))/((INDEX('Category Assumptions'!$B$2:$B$6,MATCH(F$2,'Category Assumptions'!$A$2:$A$6,0))-INDEX('Category Assumptions'!$C$2:$C$6,MATCH(F$2,'Category Assumptions'!$A$2:$A$6,0)))*INDEX('Category Assumptions'!$E$2:$E$6,MATCH(F$2,'Category Assumptions'!$A$2:$A$6,0)))</f>
        <v>-0.227625</v>
      </c>
    </row>
    <row r="10" customFormat="false" ht="15" hidden="false" customHeight="false" outlineLevel="0" collapsed="false">
      <c r="A10" s="36" t="n">
        <v>0.35</v>
      </c>
      <c r="B10" s="32" t="n">
        <f aca="false">(((INDEX('Category Assumptions'!$B$2:$B$6,MATCH(B$2,'Category Assumptions'!$A$2:$A$6,0))*(1-$A10))-INDEX('Category Assumptions'!$C$2:$C$6,MATCH(B$2,'Category Assumptions'!$A$2:$A$6,0)))*(INDEX('Category Assumptions'!$E$2:$E$6,MATCH(B$2,'Category Assumptions'!$A$2:$A$6,0))*(1+INDEX('Category Assumptions'!$F$2:$F$6,MATCH(B$2,'Category Assumptions'!$A$2:$A$6,0))*$A10))-((INDEX('Category Assumptions'!$B$2:$B$6,MATCH(B$2,'Category Assumptions'!$A$2:$A$6,0))-INDEX('Category Assumptions'!$C$2:$C$6,MATCH(B$2,'Category Assumptions'!$A$2:$A$6,0)))*INDEX('Category Assumptions'!$E$2:$E$6,MATCH(B$2,'Category Assumptions'!$A$2:$A$6,0))))/((INDEX('Category Assumptions'!$B$2:$B$6,MATCH(B$2,'Category Assumptions'!$A$2:$A$6,0))-INDEX('Category Assumptions'!$C$2:$C$6,MATCH(B$2,'Category Assumptions'!$A$2:$A$6,0)))*INDEX('Category Assumptions'!$E$2:$E$6,MATCH(B$2,'Category Assumptions'!$A$2:$A$6,0)))</f>
        <v>-0.319104545454546</v>
      </c>
      <c r="C10" s="32" t="n">
        <f aca="false">(((INDEX('Category Assumptions'!$B$2:$B$6,MATCH(C$2,'Category Assumptions'!$A$2:$A$6,0))*(1-$A10))-INDEX('Category Assumptions'!$C$2:$C$6,MATCH(C$2,'Category Assumptions'!$A$2:$A$6,0)))*(INDEX('Category Assumptions'!$E$2:$E$6,MATCH(C$2,'Category Assumptions'!$A$2:$A$6,0))*(1+INDEX('Category Assumptions'!$F$2:$F$6,MATCH(C$2,'Category Assumptions'!$A$2:$A$6,0))*$A10))-((INDEX('Category Assumptions'!$B$2:$B$6,MATCH(C$2,'Category Assumptions'!$A$2:$A$6,0))-INDEX('Category Assumptions'!$C$2:$C$6,MATCH(C$2,'Category Assumptions'!$A$2:$A$6,0)))*INDEX('Category Assumptions'!$E$2:$E$6,MATCH(C$2,'Category Assumptions'!$A$2:$A$6,0))))/((INDEX('Category Assumptions'!$B$2:$B$6,MATCH(C$2,'Category Assumptions'!$A$2:$A$6,0))-INDEX('Category Assumptions'!$C$2:$C$6,MATCH(C$2,'Category Assumptions'!$A$2:$A$6,0)))*INDEX('Category Assumptions'!$E$2:$E$6,MATCH(C$2,'Category Assumptions'!$A$2:$A$6,0)))</f>
        <v>-0.2956875</v>
      </c>
      <c r="D10" s="32" t="n">
        <f aca="false">(((INDEX('Category Assumptions'!$B$2:$B$6,MATCH(D$2,'Category Assumptions'!$A$2:$A$6,0))*(1-$A10))-INDEX('Category Assumptions'!$C$2:$C$6,MATCH(D$2,'Category Assumptions'!$A$2:$A$6,0)))*(INDEX('Category Assumptions'!$E$2:$E$6,MATCH(D$2,'Category Assumptions'!$A$2:$A$6,0))*(1+INDEX('Category Assumptions'!$F$2:$F$6,MATCH(D$2,'Category Assumptions'!$A$2:$A$6,0))*$A10))-((INDEX('Category Assumptions'!$B$2:$B$6,MATCH(D$2,'Category Assumptions'!$A$2:$A$6,0))-INDEX('Category Assumptions'!$C$2:$C$6,MATCH(D$2,'Category Assumptions'!$A$2:$A$6,0)))*INDEX('Category Assumptions'!$E$2:$E$6,MATCH(D$2,'Category Assumptions'!$A$2:$A$6,0))))/((INDEX('Category Assumptions'!$B$2:$B$6,MATCH(D$2,'Category Assumptions'!$A$2:$A$6,0))-INDEX('Category Assumptions'!$C$2:$C$6,MATCH(D$2,'Category Assumptions'!$A$2:$A$6,0)))*INDEX('Category Assumptions'!$E$2:$E$6,MATCH(D$2,'Category Assumptions'!$A$2:$A$6,0)))</f>
        <v>-0.305277777777778</v>
      </c>
      <c r="E10" s="32" t="n">
        <f aca="false">(((INDEX('Category Assumptions'!$B$2:$B$6,MATCH(E$2,'Category Assumptions'!$A$2:$A$6,0))*(1-$A10))-INDEX('Category Assumptions'!$C$2:$C$6,MATCH(E$2,'Category Assumptions'!$A$2:$A$6,0)))*(INDEX('Category Assumptions'!$E$2:$E$6,MATCH(E$2,'Category Assumptions'!$A$2:$A$6,0))*(1+INDEX('Category Assumptions'!$F$2:$F$6,MATCH(E$2,'Category Assumptions'!$A$2:$A$6,0))*$A10))-((INDEX('Category Assumptions'!$B$2:$B$6,MATCH(E$2,'Category Assumptions'!$A$2:$A$6,0))-INDEX('Category Assumptions'!$C$2:$C$6,MATCH(E$2,'Category Assumptions'!$A$2:$A$6,0)))*INDEX('Category Assumptions'!$E$2:$E$6,MATCH(E$2,'Category Assumptions'!$A$2:$A$6,0))))/((INDEX('Category Assumptions'!$B$2:$B$6,MATCH(E$2,'Category Assumptions'!$A$2:$A$6,0))-INDEX('Category Assumptions'!$C$2:$C$6,MATCH(E$2,'Category Assumptions'!$A$2:$A$6,0)))*INDEX('Category Assumptions'!$E$2:$E$6,MATCH(E$2,'Category Assumptions'!$A$2:$A$6,0)))</f>
        <v>-0.4166198102832</v>
      </c>
      <c r="F10" s="32" t="n">
        <f aca="false">(((INDEX('Category Assumptions'!$B$2:$B$6,MATCH(F$2,'Category Assumptions'!$A$2:$A$6,0))*(1-$A10))-INDEX('Category Assumptions'!$C$2:$C$6,MATCH(F$2,'Category Assumptions'!$A$2:$A$6,0)))*(INDEX('Category Assumptions'!$E$2:$E$6,MATCH(F$2,'Category Assumptions'!$A$2:$A$6,0))*(1+INDEX('Category Assumptions'!$F$2:$F$6,MATCH(F$2,'Category Assumptions'!$A$2:$A$6,0))*$A10))-((INDEX('Category Assumptions'!$B$2:$B$6,MATCH(F$2,'Category Assumptions'!$A$2:$A$6,0))-INDEX('Category Assumptions'!$C$2:$C$6,MATCH(F$2,'Category Assumptions'!$A$2:$A$6,0)))*INDEX('Category Assumptions'!$E$2:$E$6,MATCH(F$2,'Category Assumptions'!$A$2:$A$6,0))))/((INDEX('Category Assumptions'!$B$2:$B$6,MATCH(F$2,'Category Assumptions'!$A$2:$A$6,0))-INDEX('Category Assumptions'!$C$2:$C$6,MATCH(F$2,'Category Assumptions'!$A$2:$A$6,0)))*INDEX('Category Assumptions'!$E$2:$E$6,MATCH(F$2,'Category Assumptions'!$A$2:$A$6,0)))</f>
        <v>-0.3101875</v>
      </c>
    </row>
    <row r="11" customFormat="false" ht="15" hidden="false" customHeight="false" outlineLevel="0" collapsed="false">
      <c r="A11" s="36" t="n">
        <v>0.4</v>
      </c>
      <c r="B11" s="32" t="n">
        <f aca="false">(((INDEX('Category Assumptions'!$B$2:$B$6,MATCH(B$2,'Category Assumptions'!$A$2:$A$6,0))*(1-$A11))-INDEX('Category Assumptions'!$C$2:$C$6,MATCH(B$2,'Category Assumptions'!$A$2:$A$6,0)))*(INDEX('Category Assumptions'!$E$2:$E$6,MATCH(B$2,'Category Assumptions'!$A$2:$A$6,0))*(1+INDEX('Category Assumptions'!$F$2:$F$6,MATCH(B$2,'Category Assumptions'!$A$2:$A$6,0))*$A11))-((INDEX('Category Assumptions'!$B$2:$B$6,MATCH(B$2,'Category Assumptions'!$A$2:$A$6,0))-INDEX('Category Assumptions'!$C$2:$C$6,MATCH(B$2,'Category Assumptions'!$A$2:$A$6,0)))*INDEX('Category Assumptions'!$E$2:$E$6,MATCH(B$2,'Category Assumptions'!$A$2:$A$6,0))))/((INDEX('Category Assumptions'!$B$2:$B$6,MATCH(B$2,'Category Assumptions'!$A$2:$A$6,0))-INDEX('Category Assumptions'!$C$2:$C$6,MATCH(B$2,'Category Assumptions'!$A$2:$A$6,0)))*INDEX('Category Assumptions'!$E$2:$E$6,MATCH(B$2,'Category Assumptions'!$A$2:$A$6,0)))</f>
        <v>-0.424581818181818</v>
      </c>
      <c r="C11" s="32" t="n">
        <f aca="false">(((INDEX('Category Assumptions'!$B$2:$B$6,MATCH(C$2,'Category Assumptions'!$A$2:$A$6,0))*(1-$A11))-INDEX('Category Assumptions'!$C$2:$C$6,MATCH(C$2,'Category Assumptions'!$A$2:$A$6,0)))*(INDEX('Category Assumptions'!$E$2:$E$6,MATCH(C$2,'Category Assumptions'!$A$2:$A$6,0))*(1+INDEX('Category Assumptions'!$F$2:$F$6,MATCH(C$2,'Category Assumptions'!$A$2:$A$6,0))*$A11))-((INDEX('Category Assumptions'!$B$2:$B$6,MATCH(C$2,'Category Assumptions'!$A$2:$A$6,0))-INDEX('Category Assumptions'!$C$2:$C$6,MATCH(C$2,'Category Assumptions'!$A$2:$A$6,0)))*INDEX('Category Assumptions'!$E$2:$E$6,MATCH(C$2,'Category Assumptions'!$A$2:$A$6,0))))/((INDEX('Category Assumptions'!$B$2:$B$6,MATCH(C$2,'Category Assumptions'!$A$2:$A$6,0))-INDEX('Category Assumptions'!$C$2:$C$6,MATCH(C$2,'Category Assumptions'!$A$2:$A$6,0)))*INDEX('Category Assumptions'!$E$2:$E$6,MATCH(C$2,'Category Assumptions'!$A$2:$A$6,0)))</f>
        <v>-0.413619047619047</v>
      </c>
      <c r="D11" s="32" t="n">
        <f aca="false">(((INDEX('Category Assumptions'!$B$2:$B$6,MATCH(D$2,'Category Assumptions'!$A$2:$A$6,0))*(1-$A11))-INDEX('Category Assumptions'!$C$2:$C$6,MATCH(D$2,'Category Assumptions'!$A$2:$A$6,0)))*(INDEX('Category Assumptions'!$E$2:$E$6,MATCH(D$2,'Category Assumptions'!$A$2:$A$6,0))*(1+INDEX('Category Assumptions'!$F$2:$F$6,MATCH(D$2,'Category Assumptions'!$A$2:$A$6,0))*$A11))-((INDEX('Category Assumptions'!$B$2:$B$6,MATCH(D$2,'Category Assumptions'!$A$2:$A$6,0))-INDEX('Category Assumptions'!$C$2:$C$6,MATCH(D$2,'Category Assumptions'!$A$2:$A$6,0)))*INDEX('Category Assumptions'!$E$2:$E$6,MATCH(D$2,'Category Assumptions'!$A$2:$A$6,0))))/((INDEX('Category Assumptions'!$B$2:$B$6,MATCH(D$2,'Category Assumptions'!$A$2:$A$6,0))-INDEX('Category Assumptions'!$C$2:$C$6,MATCH(D$2,'Category Assumptions'!$A$2:$A$6,0)))*INDEX('Category Assumptions'!$E$2:$E$6,MATCH(D$2,'Category Assumptions'!$A$2:$A$6,0)))</f>
        <v>-0.395555555555556</v>
      </c>
      <c r="E11" s="32" t="n">
        <f aca="false">(((INDEX('Category Assumptions'!$B$2:$B$6,MATCH(E$2,'Category Assumptions'!$A$2:$A$6,0))*(1-$A11))-INDEX('Category Assumptions'!$C$2:$C$6,MATCH(E$2,'Category Assumptions'!$A$2:$A$6,0)))*(INDEX('Category Assumptions'!$E$2:$E$6,MATCH(E$2,'Category Assumptions'!$A$2:$A$6,0))*(1+INDEX('Category Assumptions'!$F$2:$F$6,MATCH(E$2,'Category Assumptions'!$A$2:$A$6,0))*$A11))-((INDEX('Category Assumptions'!$B$2:$B$6,MATCH(E$2,'Category Assumptions'!$A$2:$A$6,0))-INDEX('Category Assumptions'!$C$2:$C$6,MATCH(E$2,'Category Assumptions'!$A$2:$A$6,0)))*INDEX('Category Assumptions'!$E$2:$E$6,MATCH(E$2,'Category Assumptions'!$A$2:$A$6,0))))/((INDEX('Category Assumptions'!$B$2:$B$6,MATCH(E$2,'Category Assumptions'!$A$2:$A$6,0))-INDEX('Category Assumptions'!$C$2:$C$6,MATCH(E$2,'Category Assumptions'!$A$2:$A$6,0)))*INDEX('Category Assumptions'!$E$2:$E$6,MATCH(E$2,'Category Assumptions'!$A$2:$A$6,0)))</f>
        <v>-0.520637888369535</v>
      </c>
      <c r="F11" s="32" t="n">
        <f aca="false">(((INDEX('Category Assumptions'!$B$2:$B$6,MATCH(F$2,'Category Assumptions'!$A$2:$A$6,0))*(1-$A11))-INDEX('Category Assumptions'!$C$2:$C$6,MATCH(F$2,'Category Assumptions'!$A$2:$A$6,0)))*(INDEX('Category Assumptions'!$E$2:$E$6,MATCH(F$2,'Category Assumptions'!$A$2:$A$6,0))*(1+INDEX('Category Assumptions'!$F$2:$F$6,MATCH(F$2,'Category Assumptions'!$A$2:$A$6,0))*$A11))-((INDEX('Category Assumptions'!$B$2:$B$6,MATCH(F$2,'Category Assumptions'!$A$2:$A$6,0))-INDEX('Category Assumptions'!$C$2:$C$6,MATCH(F$2,'Category Assumptions'!$A$2:$A$6,0)))*INDEX('Category Assumptions'!$E$2:$E$6,MATCH(F$2,'Category Assumptions'!$A$2:$A$6,0))))/((INDEX('Category Assumptions'!$B$2:$B$6,MATCH(F$2,'Category Assumptions'!$A$2:$A$6,0))-INDEX('Category Assumptions'!$C$2:$C$6,MATCH(F$2,'Category Assumptions'!$A$2:$A$6,0)))*INDEX('Category Assumptions'!$E$2:$E$6,MATCH(F$2,'Category Assumptions'!$A$2:$A$6,0)))</f>
        <v>-0.4055</v>
      </c>
    </row>
  </sheetData>
  <mergeCells count="1">
    <mergeCell ref="A1:F1"/>
  </mergeCells>
  <conditionalFormatting sqref="B3:F11">
    <cfRule type="colorScale" priority="2">
      <colorScale>
        <cfvo type="min" val="0"/>
        <cfvo type="num" val="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1"/>
    <col collapsed="false" customWidth="true" hidden="false" outlineLevel="0" max="6" min="3" style="0" width="12"/>
    <col collapsed="false" customWidth="true" hidden="false" outlineLevel="0" max="7" min="7" style="0" width="15"/>
  </cols>
  <sheetData>
    <row r="1" customFormat="false" ht="18" hidden="false" customHeight="true" outlineLevel="0" collapsed="false">
      <c r="A1" s="35" t="s">
        <v>63</v>
      </c>
      <c r="B1" s="35"/>
      <c r="C1" s="35"/>
      <c r="D1" s="35"/>
      <c r="E1" s="35"/>
      <c r="F1" s="35"/>
      <c r="G1" s="35"/>
    </row>
    <row r="2" customFormat="false" ht="15" hidden="false" customHeight="false" outlineLevel="0" collapsed="false">
      <c r="A2" s="30" t="s">
        <v>64</v>
      </c>
      <c r="B2" s="30" t="s">
        <v>34</v>
      </c>
      <c r="C2" s="30" t="s">
        <v>41</v>
      </c>
      <c r="D2" s="30" t="s">
        <v>59</v>
      </c>
      <c r="E2" s="30" t="s">
        <v>60</v>
      </c>
      <c r="F2" s="30" t="s">
        <v>61</v>
      </c>
      <c r="G2" s="30" t="s">
        <v>49</v>
      </c>
    </row>
    <row r="3" customFormat="false" ht="15" hidden="false" customHeight="false" outlineLevel="0" collapsed="false">
      <c r="A3" s="0" t="s">
        <v>65</v>
      </c>
      <c r="B3" s="36" t="n">
        <f aca="false">0</f>
        <v>0</v>
      </c>
      <c r="C3" s="39" t="n">
        <f aca="false">'Markdown Model'!$C$9*(1-B3)</f>
        <v>45.75</v>
      </c>
      <c r="D3" s="37" t="n">
        <f aca="false">'Markdown Model'!$C$11*(1+'Markdown Model'!$C$12*B3)</f>
        <v>380</v>
      </c>
      <c r="E3" s="38" t="n">
        <f aca="false">C3*D3</f>
        <v>17385</v>
      </c>
      <c r="F3" s="38" t="n">
        <f aca="false">(C3-'Markdown Model'!$C$10)*D3</f>
        <v>10450</v>
      </c>
      <c r="G3" s="32" t="n">
        <f aca="false">(F3-'Markdown Model'!$C$17)/'Markdown Model'!$C$17</f>
        <v>0</v>
      </c>
    </row>
    <row r="4" customFormat="false" ht="15" hidden="false" customHeight="false" outlineLevel="0" collapsed="false">
      <c r="A4" s="0" t="s">
        <v>66</v>
      </c>
      <c r="B4" s="36" t="n">
        <f aca="false">0.1</f>
        <v>0.1</v>
      </c>
      <c r="C4" s="39" t="n">
        <f aca="false">'Markdown Model'!$C$9*(1-B4)</f>
        <v>41.175</v>
      </c>
      <c r="D4" s="37" t="n">
        <f aca="false">'Markdown Model'!$C$11*(1+'Markdown Model'!$C$12*B4)</f>
        <v>448.4</v>
      </c>
      <c r="E4" s="38" t="n">
        <f aca="false">C4*D4</f>
        <v>18462.87</v>
      </c>
      <c r="F4" s="38" t="n">
        <f aca="false">(C4-'Markdown Model'!$C$10)*D4</f>
        <v>10279.57</v>
      </c>
      <c r="G4" s="32" t="n">
        <f aca="false">(F4-'Markdown Model'!$C$17)/'Markdown Model'!$C$17</f>
        <v>-0.0163090909090908</v>
      </c>
    </row>
    <row r="5" customFormat="false" ht="15" hidden="false" customHeight="false" outlineLevel="0" collapsed="false">
      <c r="A5" s="0" t="s">
        <v>67</v>
      </c>
      <c r="B5" s="36" t="n">
        <f aca="false">0.2</f>
        <v>0.2</v>
      </c>
      <c r="C5" s="39" t="n">
        <f aca="false">'Markdown Model'!$C$9*(1-B5)</f>
        <v>36.6</v>
      </c>
      <c r="D5" s="37" t="n">
        <f aca="false">'Markdown Model'!$C$11*(1+'Markdown Model'!$C$12*B5)</f>
        <v>516.8</v>
      </c>
      <c r="E5" s="38" t="n">
        <f aca="false">C5*D5</f>
        <v>18914.88</v>
      </c>
      <c r="F5" s="38" t="n">
        <f aca="false">(C5-'Markdown Model'!$C$10)*D5</f>
        <v>9483.28</v>
      </c>
      <c r="G5" s="32" t="n">
        <f aca="false">(F5-'Markdown Model'!$C$17)/'Markdown Model'!$C$17</f>
        <v>-0.0925090909090907</v>
      </c>
    </row>
    <row r="6" customFormat="false" ht="15" hidden="false" customHeight="false" outlineLevel="0" collapsed="false">
      <c r="A6" s="0" t="s">
        <v>68</v>
      </c>
      <c r="B6" s="36" t="n">
        <f aca="false">0.3</f>
        <v>0.3</v>
      </c>
      <c r="C6" s="39" t="n">
        <f aca="false">'Markdown Model'!$C$9*(1-B6)</f>
        <v>32.025</v>
      </c>
      <c r="D6" s="37" t="n">
        <f aca="false">'Markdown Model'!$C$11*(1+'Markdown Model'!$C$12*B6)</f>
        <v>585.2</v>
      </c>
      <c r="E6" s="38" t="n">
        <f aca="false">C6*D6</f>
        <v>18741.03</v>
      </c>
      <c r="F6" s="38" t="n">
        <f aca="false">(C6-'Markdown Model'!$C$10)*D6</f>
        <v>8061.13</v>
      </c>
      <c r="G6" s="32" t="n">
        <f aca="false">(F6-'Markdown Model'!$C$17)/'Markdown Model'!$C$17</f>
        <v>-0.2286</v>
      </c>
    </row>
    <row r="7" customFormat="false" ht="15" hidden="false" customHeight="false" outlineLevel="0" collapsed="false">
      <c r="A7" s="0" t="s">
        <v>69</v>
      </c>
      <c r="B7" s="36" t="n">
        <f aca="false">'Markdown Model'!$C$6</f>
        <v>0.2</v>
      </c>
      <c r="C7" s="39" t="n">
        <f aca="false">'Markdown Model'!$C$9*(1-B7)</f>
        <v>36.6</v>
      </c>
      <c r="D7" s="37" t="n">
        <f aca="false">'Markdown Model'!$C$11*(1+'Markdown Model'!$C$12*B7)</f>
        <v>516.8</v>
      </c>
      <c r="E7" s="38" t="n">
        <f aca="false">C7*D7</f>
        <v>18914.88</v>
      </c>
      <c r="F7" s="38" t="n">
        <f aca="false">(C7-'Markdown Model'!$C$10)*D7</f>
        <v>9483.28</v>
      </c>
      <c r="G7" s="32" t="n">
        <f aca="false">(F7-'Markdown Model'!$C$17)/'Markdown Model'!$C$17</f>
        <v>-0.0925090909090907</v>
      </c>
    </row>
  </sheetData>
  <mergeCells count="1">
    <mergeCell ref="A1:G1"/>
  </mergeCells>
  <conditionalFormatting sqref="G3:G7">
    <cfRule type="colorScale" priority="2">
      <colorScale>
        <cfvo type="min" val="0"/>
        <cfvo type="num" val="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2026-09-11T20:02:22Z</dcterms:created>
  <dc:creator>openpyxl</dc:creator>
  <dc:description/>
  <dc:language>en-US</dc:language>
  <cp:lastModifiedBy/>
  <dcterms:modified xsi:type="dcterms:W3CDTF">2026-09-11T20:02:27Z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